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defaultThemeVersion="124226"/>
  <xr:revisionPtr revIDLastSave="0" documentId="13_ncr:1_{9DDA1F71-2592-486E-84AB-CB0D77F7FF06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K7" i="2" s="1"/>
  <c r="F7" i="2"/>
  <c r="G7" i="2" s="1"/>
  <c r="J9" i="2" l="1"/>
  <c r="N41" i="2"/>
  <c r="N39" i="2"/>
  <c r="N38" i="2"/>
  <c r="M38" i="2"/>
  <c r="B38" i="2"/>
  <c r="J37" i="2"/>
  <c r="F37" i="2"/>
  <c r="J36" i="2"/>
  <c r="F36" i="2"/>
  <c r="J35" i="2"/>
  <c r="F35" i="2"/>
  <c r="J34" i="2"/>
  <c r="F34" i="2"/>
  <c r="J33" i="2"/>
  <c r="F33" i="2"/>
  <c r="C33" i="2"/>
  <c r="J32" i="2"/>
  <c r="F32" i="2"/>
  <c r="G32" i="2" s="1"/>
  <c r="C32" i="2"/>
  <c r="J31" i="2"/>
  <c r="F31" i="2"/>
  <c r="G31" i="2" s="1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G24" i="2" s="1"/>
  <c r="C24" i="2"/>
  <c r="J23" i="2"/>
  <c r="F23" i="2"/>
  <c r="C23" i="2"/>
  <c r="J22" i="2"/>
  <c r="F22" i="2"/>
  <c r="C22" i="2"/>
  <c r="J21" i="2"/>
  <c r="F21" i="2"/>
  <c r="C21" i="2"/>
  <c r="J20" i="2"/>
  <c r="F20" i="2"/>
  <c r="C20" i="2"/>
  <c r="J19" i="2"/>
  <c r="F19" i="2"/>
  <c r="C19" i="2"/>
  <c r="J18" i="2"/>
  <c r="F18" i="2"/>
  <c r="C18" i="2"/>
  <c r="J17" i="2"/>
  <c r="F17" i="2"/>
  <c r="C17" i="2"/>
  <c r="J16" i="2"/>
  <c r="F16" i="2"/>
  <c r="C16" i="2"/>
  <c r="J15" i="2"/>
  <c r="F15" i="2"/>
  <c r="C15" i="2"/>
  <c r="J14" i="2"/>
  <c r="F14" i="2"/>
  <c r="C14" i="2"/>
  <c r="J13" i="2"/>
  <c r="F13" i="2"/>
  <c r="C13" i="2"/>
  <c r="J12" i="2"/>
  <c r="F12" i="2"/>
  <c r="C12" i="2"/>
  <c r="J11" i="2"/>
  <c r="F11" i="2"/>
  <c r="C11" i="2"/>
  <c r="J10" i="2"/>
  <c r="F10" i="2"/>
  <c r="C10" i="2"/>
  <c r="F9" i="2"/>
  <c r="C9" i="2"/>
  <c r="J8" i="2"/>
  <c r="K8" i="2" s="1"/>
  <c r="F8" i="2"/>
  <c r="C8" i="2"/>
  <c r="G23" i="2" l="1"/>
  <c r="K12" i="2"/>
  <c r="G12" i="2"/>
  <c r="G11" i="2"/>
  <c r="G9" i="2"/>
  <c r="K29" i="2"/>
  <c r="G34" i="2"/>
  <c r="C38" i="2"/>
  <c r="K11" i="2"/>
  <c r="G22" i="2"/>
  <c r="K31" i="2"/>
  <c r="G28" i="2"/>
  <c r="G10" i="2"/>
  <c r="K36" i="2"/>
  <c r="G33" i="2"/>
  <c r="K18" i="2"/>
  <c r="K30" i="2"/>
  <c r="G35" i="2"/>
  <c r="G37" i="2"/>
  <c r="K37" i="2"/>
  <c r="G36" i="2"/>
  <c r="K35" i="2"/>
  <c r="K34" i="2"/>
  <c r="K33" i="2"/>
  <c r="K32" i="2"/>
  <c r="G30" i="2"/>
  <c r="K27" i="2"/>
  <c r="K26" i="2"/>
  <c r="K28" i="2"/>
  <c r="K25" i="2"/>
  <c r="G29" i="2"/>
  <c r="G27" i="2"/>
  <c r="G25" i="2"/>
  <c r="G26" i="2"/>
  <c r="K24" i="2"/>
  <c r="K23" i="2"/>
  <c r="K21" i="2"/>
  <c r="K20" i="2"/>
  <c r="K22" i="2"/>
  <c r="K19" i="2"/>
  <c r="G20" i="2"/>
  <c r="G21" i="2"/>
  <c r="G19" i="2"/>
  <c r="G18" i="2"/>
  <c r="K17" i="2"/>
  <c r="G16" i="2"/>
  <c r="G17" i="2"/>
  <c r="K15" i="2"/>
  <c r="G15" i="2"/>
  <c r="K10" i="2"/>
  <c r="K16" i="2"/>
  <c r="K13" i="2"/>
  <c r="K14" i="2"/>
  <c r="G13" i="2"/>
  <c r="G14" i="2"/>
  <c r="K9" i="2"/>
  <c r="G8" i="2"/>
  <c r="G38" i="2" l="1"/>
  <c r="F41" i="2" s="1"/>
  <c r="K38" i="2"/>
  <c r="K41" i="2" s="1"/>
  <c r="G41" i="2" l="1"/>
  <c r="J41" i="2"/>
  <c r="I30" i="3" l="1"/>
  <c r="I31" i="3"/>
  <c r="E30" i="3"/>
  <c r="E31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<sst xmlns="http://schemas.openxmlformats.org/spreadsheetml/2006/main" count="75" uniqueCount="39">
  <si>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</si>
  <si>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</si>
  <si>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</si>
  <si>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</si>
  <si>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</si>
  <si>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</si>
  <si>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</si>
  <si>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</si>
  <si>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</si>
  <si>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</si>
  <si>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</si>
  <si>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</si>
  <si>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</si>
  <si>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</si>
  <si>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</si>
  <si>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</si>
  <si>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</si>
  <si>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</si>
  <si>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</si>
  <si>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</si>
  <si>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</si>
  <si>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</si>
  <si>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</si>
  <si>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</si>
  <si>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</si>
  <si>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</si>
  <si>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</si>
  <si>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</si>
  <si>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</si>
  <si>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</si>
  <si>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</si>
  <si>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</si>
  <si>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</si>
  <si>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</si>
  <si>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</si>
  <si>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</si>
  <si>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</si>
  <si>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</si>
  <si>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Month : June-2025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</si>
</sst>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33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1" fontId="6" fillId="2" borderId="28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4" fontId="15" fillId="0" borderId="36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" fontId="14" fillId="0" borderId="38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1" fontId="14" fillId="0" borderId="36" xfId="0" applyNumberFormat="1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" fontId="16" fillId="0" borderId="39" xfId="0" applyNumberFormat="1" applyFont="1" applyBorder="1" applyAlignment="1">
      <alignment horizontal="center" vertical="center"/>
    </xf>
    <xf numFmtId="1" fontId="17" fillId="0" borderId="40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2" xfId="0" applyFont="1" applyFill="1" applyBorder="1" applyAlignment="1">
      <alignment horizontal="center" vertical="center"/>
    </xf>
    <xf numFmtId="0" fontId="19" fillId="3" borderId="43" xfId="0" applyFont="1" applyFill="1" applyBorder="1" applyAlignment="1">
      <alignment horizontal="center" vertical="center"/>
    </xf>
    <xf numFmtId="0" fontId="19" fillId="5" borderId="42" xfId="0" applyFont="1" applyFill="1" applyBorder="1" applyAlignment="1">
      <alignment horizontal="center" vertical="center"/>
    </xf>
    <xf numFmtId="0" fontId="19" fillId="7" borderId="41" xfId="0" applyFont="1" applyFill="1" applyBorder="1" applyAlignment="1">
      <alignment vertical="center"/>
    </xf>
    <xf numFmtId="0" fontId="19" fillId="7" borderId="42" xfId="0" applyFont="1" applyFill="1" applyBorder="1" applyAlignment="1">
      <alignment vertical="center"/>
    </xf>
    <xf numFmtId="0" fontId="19" fillId="7" borderId="42" xfId="0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1" fontId="21" fillId="3" borderId="43" xfId="0" applyNumberFormat="1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1" fontId="21" fillId="5" borderId="42" xfId="0" applyNumberFormat="1" applyFont="1" applyFill="1" applyBorder="1" applyAlignment="1">
      <alignment horizontal="center" vertical="center"/>
    </xf>
    <xf numFmtId="0" fontId="21" fillId="7" borderId="44" xfId="0" applyFont="1" applyFill="1" applyBorder="1" applyAlignment="1">
      <alignment vertical="center"/>
    </xf>
    <xf numFmtId="0" fontId="21" fillId="7" borderId="45" xfId="0" applyFont="1" applyFill="1" applyBorder="1" applyAlignment="1">
      <alignment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13" fillId="8" borderId="11" xfId="0" applyNumberFormat="1" applyFont="1" applyFill="1" applyBorder="1" applyAlignment="1">
      <alignment horizontal="center" vertical="center" wrapText="1"/>
    </xf>
    <xf numFmtId="1" fontId="13" fillId="8" borderId="12" xfId="0" applyNumberFormat="1" applyFont="1" applyFill="1" applyBorder="1" applyAlignment="1">
      <alignment horizontal="center" vertical="center" wrapText="1"/>
    </xf>
    <xf numFmtId="0" fontId="19" fillId="3" borderId="41" xfId="0" applyFont="1" applyFill="1" applyBorder="1" applyAlignment="1">
      <alignment horizontal="left" vertical="center"/>
    </xf>
    <xf numFmtId="0" fontId="19" fillId="3" borderId="42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19" fillId="5" borderId="42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3" borderId="42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21" fillId="5" borderId="4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2"/>
  <sheetViews>
    <sheetView workbookViewId="0">
      <selection activeCell="L21" sqref="L21"/>
    </sheetView>
  </sheetViews>
  <sheetFormatPr defaultColWidth="11.5703125" defaultRowHeight="15"/>
  <cols>
    <col min="1" max="1" width="29.140625" style="48" bestFit="1" customWidth="1"/>
    <col min="2" max="3" width="11.5703125" style="43"/>
    <col min="4" max="4" width="13.42578125" style="43" customWidth="1"/>
    <col min="5" max="5" width="12.5703125" style="47" customWidth="1"/>
    <col min="6" max="6" width="12.5703125" style="45" customWidth="1"/>
    <col min="7" max="7" width="11.5703125" style="47"/>
    <col min="8" max="8" width="11.5703125" style="45"/>
    <col min="9" max="9" width="11.5703125" style="47"/>
    <col min="10" max="10" width="11.5703125" style="49"/>
    <col min="11" max="12" width="11.5703125" style="47"/>
    <col min="13" max="13" width="23.42578125" style="47" customWidth="1"/>
    <col min="14" max="24" width="11.5703125" style="47"/>
    <col min="25" max="16384" width="11.5703125" style="50"/>
  </cols>
  <sheetData>
    <row r="1" spans="1:12" s="41" customFormat="1" ht="60">
      <c r="A1" s="37" t="s">
        <v>12</v>
      </c>
      <c r="B1" s="37" t="s">
        <v>13</v>
      </c>
      <c r="C1" s="37" t="s">
        <v>14</v>
      </c>
      <c r="D1" s="37" t="s">
        <v>15</v>
      </c>
      <c r="E1" s="38" t="s">
        <v>16</v>
      </c>
      <c r="F1" s="39" t="s">
        <v>17</v>
      </c>
      <c r="G1" s="38" t="s">
        <v>18</v>
      </c>
      <c r="H1" s="39" t="s">
        <v>19</v>
      </c>
      <c r="I1" s="38" t="s">
        <v>20</v>
      </c>
      <c r="J1" s="40" t="s">
        <v>21</v>
      </c>
      <c r="K1" s="38" t="s">
        <v>22</v>
      </c>
      <c r="L1" s="38" t="s">
        <v>23</v>
      </c>
    </row>
    <row r="2" spans="1:12">
      <c r="A2" s="42" t="s">
        <v>24</v>
      </c>
      <c r="B2" s="43">
        <v>1</v>
      </c>
      <c r="C2" s="43">
        <v>6</v>
      </c>
      <c r="D2" s="43">
        <v>2025</v>
      </c>
      <c r="E2" s="44">
        <f>Sheet2!G8</f>
        <v>6644</v>
      </c>
      <c r="F2" s="45">
        <v>0.2</v>
      </c>
      <c r="G2" s="44"/>
      <c r="I2" s="44">
        <f>Sheet2!K8</f>
        <v>28</v>
      </c>
      <c r="J2" s="46">
        <v>7.84</v>
      </c>
      <c r="K2" s="44">
        <v>95</v>
      </c>
      <c r="L2" s="44">
        <v>118</v>
      </c>
    </row>
    <row r="3" spans="1:12">
      <c r="A3" s="42" t="s">
        <v>24</v>
      </c>
      <c r="B3" s="43">
        <f>B2+1</f>
        <v>2</v>
      </c>
      <c r="C3" s="43">
        <v>6</v>
      </c>
      <c r="D3" s="43">
        <v>2025</v>
      </c>
      <c r="E3" s="44">
        <f>Sheet2!G9</f>
        <v>6577</v>
      </c>
      <c r="F3" s="45">
        <v>0.2</v>
      </c>
      <c r="G3" s="44"/>
      <c r="I3" s="44">
        <f>Sheet2!K9</f>
        <v>22</v>
      </c>
      <c r="J3" s="46">
        <v>7.84</v>
      </c>
      <c r="K3" s="44">
        <v>95</v>
      </c>
      <c r="L3" s="44">
        <v>115</v>
      </c>
    </row>
    <row r="4" spans="1:12">
      <c r="A4" s="42" t="s">
        <v>24</v>
      </c>
      <c r="B4" s="43">
        <f t="shared" ref="B4:B31" si="0">B3+1</f>
        <v>3</v>
      </c>
      <c r="C4" s="43">
        <v>6</v>
      </c>
      <c r="D4" s="43">
        <v>2025</v>
      </c>
      <c r="E4" s="44">
        <f>Sheet2!G10</f>
        <v>6367</v>
      </c>
      <c r="F4" s="45">
        <v>0.2</v>
      </c>
      <c r="G4" s="44"/>
      <c r="I4" s="44">
        <f>Sheet2!K10</f>
        <v>27</v>
      </c>
      <c r="J4" s="46">
        <v>7.84</v>
      </c>
      <c r="K4" s="44">
        <v>97</v>
      </c>
      <c r="L4" s="44">
        <v>116</v>
      </c>
    </row>
    <row r="5" spans="1:12">
      <c r="A5" s="42" t="s">
        <v>24</v>
      </c>
      <c r="B5" s="43">
        <f t="shared" si="0"/>
        <v>4</v>
      </c>
      <c r="C5" s="43">
        <v>6</v>
      </c>
      <c r="D5" s="43">
        <v>2025</v>
      </c>
      <c r="E5" s="44">
        <f>Sheet2!G11</f>
        <v>6153</v>
      </c>
      <c r="F5" s="45">
        <v>0.2</v>
      </c>
      <c r="G5" s="44"/>
      <c r="I5" s="44">
        <f>Sheet2!K11</f>
        <v>27</v>
      </c>
      <c r="J5" s="46">
        <v>7.84</v>
      </c>
      <c r="K5" s="44">
        <v>95</v>
      </c>
      <c r="L5" s="44">
        <v>144</v>
      </c>
    </row>
    <row r="6" spans="1:12">
      <c r="A6" s="42" t="s">
        <v>24</v>
      </c>
      <c r="B6" s="43">
        <f t="shared" si="0"/>
        <v>5</v>
      </c>
      <c r="C6" s="43">
        <v>6</v>
      </c>
      <c r="D6" s="43">
        <v>2025</v>
      </c>
      <c r="E6" s="44">
        <f>Sheet2!G12</f>
        <v>6193</v>
      </c>
      <c r="F6" s="45">
        <v>0.2</v>
      </c>
      <c r="G6" s="44"/>
      <c r="I6" s="44">
        <f>Sheet2!K12</f>
        <v>28</v>
      </c>
      <c r="J6" s="46">
        <v>7.84</v>
      </c>
      <c r="K6" s="44">
        <v>97</v>
      </c>
      <c r="L6" s="44">
        <v>125</v>
      </c>
    </row>
    <row r="7" spans="1:12">
      <c r="A7" s="42" t="s">
        <v>24</v>
      </c>
      <c r="B7" s="43">
        <f t="shared" si="0"/>
        <v>6</v>
      </c>
      <c r="C7" s="43">
        <v>6</v>
      </c>
      <c r="D7" s="43">
        <v>2025</v>
      </c>
      <c r="E7" s="44">
        <f>Sheet2!G13</f>
        <v>6133</v>
      </c>
      <c r="F7" s="45">
        <v>0.2</v>
      </c>
      <c r="G7" s="44"/>
      <c r="I7" s="44">
        <f>Sheet2!K13</f>
        <v>28</v>
      </c>
      <c r="J7" s="46">
        <v>7.84</v>
      </c>
      <c r="K7" s="44">
        <v>108</v>
      </c>
      <c r="L7" s="44">
        <v>145</v>
      </c>
    </row>
    <row r="8" spans="1:12">
      <c r="A8" s="42" t="s">
        <v>24</v>
      </c>
      <c r="B8" s="43">
        <f t="shared" si="0"/>
        <v>7</v>
      </c>
      <c r="C8" s="43">
        <v>6</v>
      </c>
      <c r="D8" s="43">
        <v>2025</v>
      </c>
      <c r="E8" s="44">
        <f>Sheet2!G14</f>
        <v>6053</v>
      </c>
      <c r="F8" s="45">
        <v>0.2</v>
      </c>
      <c r="G8" s="44"/>
      <c r="I8" s="44">
        <f>Sheet2!K14</f>
        <v>29</v>
      </c>
      <c r="J8" s="46">
        <v>7.84</v>
      </c>
      <c r="K8" s="44">
        <v>108</v>
      </c>
      <c r="L8" s="44">
        <v>149</v>
      </c>
    </row>
    <row r="9" spans="1:12">
      <c r="A9" s="42" t="s">
        <v>24</v>
      </c>
      <c r="B9" s="43">
        <f t="shared" si="0"/>
        <v>8</v>
      </c>
      <c r="C9" s="43">
        <v>6</v>
      </c>
      <c r="D9" s="43">
        <v>2025</v>
      </c>
      <c r="E9" s="44">
        <f>Sheet2!G15</f>
        <v>6319</v>
      </c>
      <c r="F9" s="45">
        <v>0.2</v>
      </c>
      <c r="G9" s="44"/>
      <c r="I9" s="44">
        <f>Sheet2!K15</f>
        <v>29</v>
      </c>
      <c r="J9" s="46">
        <v>7.84</v>
      </c>
      <c r="K9" s="44">
        <v>77</v>
      </c>
      <c r="L9" s="44">
        <v>94</v>
      </c>
    </row>
    <row r="10" spans="1:12">
      <c r="A10" s="42" t="s">
        <v>24</v>
      </c>
      <c r="B10" s="43">
        <f t="shared" si="0"/>
        <v>9</v>
      </c>
      <c r="C10" s="43">
        <v>6</v>
      </c>
      <c r="D10" s="43">
        <v>2025</v>
      </c>
      <c r="E10" s="44">
        <f>Sheet2!G16</f>
        <v>6626</v>
      </c>
      <c r="F10" s="45">
        <v>0.2</v>
      </c>
      <c r="G10" s="44"/>
      <c r="I10" s="44">
        <f>Sheet2!K16</f>
        <v>21</v>
      </c>
      <c r="J10" s="46">
        <v>7.84</v>
      </c>
      <c r="K10" s="44">
        <v>82</v>
      </c>
      <c r="L10" s="44">
        <v>98</v>
      </c>
    </row>
    <row r="11" spans="1:12">
      <c r="A11" s="42" t="s">
        <v>24</v>
      </c>
      <c r="B11" s="43">
        <f t="shared" si="0"/>
        <v>10</v>
      </c>
      <c r="C11" s="43">
        <v>6</v>
      </c>
      <c r="D11" s="43">
        <v>2025</v>
      </c>
      <c r="E11" s="44">
        <f>Sheet2!G17</f>
        <v>6627</v>
      </c>
      <c r="F11" s="45">
        <v>0.2</v>
      </c>
      <c r="G11" s="44"/>
      <c r="I11" s="44">
        <f>Sheet2!K17</f>
        <v>23</v>
      </c>
      <c r="J11" s="46">
        <v>7.84</v>
      </c>
      <c r="K11" s="44">
        <v>84</v>
      </c>
      <c r="L11" s="44">
        <v>101</v>
      </c>
    </row>
    <row r="12" spans="1:12">
      <c r="A12" s="42" t="s">
        <v>24</v>
      </c>
      <c r="B12" s="43">
        <f t="shared" si="0"/>
        <v>11</v>
      </c>
      <c r="C12" s="43">
        <v>6</v>
      </c>
      <c r="D12" s="43">
        <v>2025</v>
      </c>
      <c r="E12" s="44">
        <f>Sheet2!G18</f>
        <v>6592</v>
      </c>
      <c r="F12" s="45">
        <v>0.2</v>
      </c>
      <c r="G12" s="44"/>
      <c r="I12" s="44">
        <f>Sheet2!K18</f>
        <v>19</v>
      </c>
      <c r="J12" s="46">
        <v>7.84</v>
      </c>
      <c r="K12" s="44">
        <v>82</v>
      </c>
      <c r="L12" s="44">
        <v>98</v>
      </c>
    </row>
    <row r="13" spans="1:12">
      <c r="A13" s="42" t="s">
        <v>24</v>
      </c>
      <c r="B13" s="43">
        <f t="shared" si="0"/>
        <v>12</v>
      </c>
      <c r="C13" s="43">
        <v>6</v>
      </c>
      <c r="D13" s="43">
        <v>2025</v>
      </c>
      <c r="E13" s="44">
        <f>Sheet2!G19</f>
        <v>6618</v>
      </c>
      <c r="F13" s="45">
        <v>0.2</v>
      </c>
      <c r="G13" s="44"/>
      <c r="I13" s="44">
        <f>Sheet2!K19</f>
        <v>20</v>
      </c>
      <c r="J13" s="46">
        <v>7.84</v>
      </c>
      <c r="K13" s="44">
        <v>76</v>
      </c>
      <c r="L13" s="44">
        <v>93</v>
      </c>
    </row>
    <row r="14" spans="1:12">
      <c r="A14" s="42" t="s">
        <v>24</v>
      </c>
      <c r="B14" s="43">
        <f t="shared" si="0"/>
        <v>13</v>
      </c>
      <c r="C14" s="43">
        <v>6</v>
      </c>
      <c r="D14" s="43">
        <v>2025</v>
      </c>
      <c r="E14" s="44">
        <f>Sheet2!G20</f>
        <v>6870</v>
      </c>
      <c r="F14" s="45">
        <v>0.2</v>
      </c>
      <c r="G14" s="44"/>
      <c r="I14" s="44">
        <f>Sheet2!K20</f>
        <v>26</v>
      </c>
      <c r="J14" s="46">
        <v>7.84</v>
      </c>
      <c r="K14" s="44">
        <v>73</v>
      </c>
      <c r="L14" s="44">
        <v>91</v>
      </c>
    </row>
    <row r="15" spans="1:12">
      <c r="A15" s="42" t="s">
        <v>24</v>
      </c>
      <c r="B15" s="43">
        <f t="shared" si="0"/>
        <v>14</v>
      </c>
      <c r="C15" s="43">
        <v>6</v>
      </c>
      <c r="D15" s="43">
        <v>2025</v>
      </c>
      <c r="E15" s="44">
        <f>Sheet2!G21</f>
        <v>6733</v>
      </c>
      <c r="F15" s="45">
        <v>0.2</v>
      </c>
      <c r="G15" s="44"/>
      <c r="I15" s="44">
        <f>Sheet2!K21</f>
        <v>20</v>
      </c>
      <c r="J15" s="46">
        <v>7.84</v>
      </c>
      <c r="K15" s="44">
        <v>77</v>
      </c>
      <c r="L15" s="44">
        <v>96</v>
      </c>
    </row>
    <row r="16" spans="1:12">
      <c r="A16" s="42" t="s">
        <v>24</v>
      </c>
      <c r="B16" s="43">
        <f t="shared" si="0"/>
        <v>15</v>
      </c>
      <c r="C16" s="43">
        <v>6</v>
      </c>
      <c r="D16" s="43">
        <v>2025</v>
      </c>
      <c r="E16" s="44">
        <f>Sheet2!G22</f>
        <v>6370</v>
      </c>
      <c r="F16" s="45">
        <v>0.2</v>
      </c>
      <c r="G16" s="44"/>
      <c r="I16" s="44">
        <f>Sheet2!K22</f>
        <v>25</v>
      </c>
      <c r="J16" s="46">
        <v>7.84</v>
      </c>
      <c r="K16" s="44">
        <v>76</v>
      </c>
      <c r="L16" s="44">
        <v>91</v>
      </c>
    </row>
    <row r="17" spans="1:12">
      <c r="A17" s="42" t="s">
        <v>24</v>
      </c>
      <c r="B17" s="43">
        <f t="shared" si="0"/>
        <v>16</v>
      </c>
      <c r="C17" s="43">
        <v>6</v>
      </c>
      <c r="D17" s="43">
        <v>2025</v>
      </c>
      <c r="E17" s="44">
        <f>Sheet2!G23</f>
        <v>6492</v>
      </c>
      <c r="F17" s="45">
        <v>0.2</v>
      </c>
      <c r="G17" s="44"/>
      <c r="I17" s="44">
        <f>Sheet2!K23</f>
        <v>23</v>
      </c>
      <c r="J17" s="46">
        <v>7.84</v>
      </c>
      <c r="K17" s="44">
        <v>85</v>
      </c>
      <c r="L17" s="44">
        <v>99</v>
      </c>
    </row>
    <row r="18" spans="1:12">
      <c r="A18" s="42" t="s">
        <v>24</v>
      </c>
      <c r="B18" s="43">
        <f t="shared" si="0"/>
        <v>17</v>
      </c>
      <c r="C18" s="43">
        <v>6</v>
      </c>
      <c r="D18" s="43">
        <v>2025</v>
      </c>
      <c r="E18" s="44">
        <f>Sheet2!G24</f>
        <v>6648</v>
      </c>
      <c r="F18" s="45">
        <v>0.2</v>
      </c>
      <c r="G18" s="44"/>
      <c r="I18" s="44">
        <f>Sheet2!K24</f>
        <v>19</v>
      </c>
      <c r="J18" s="46">
        <v>7.84</v>
      </c>
      <c r="K18" s="44">
        <v>86</v>
      </c>
      <c r="L18" s="44">
        <v>102</v>
      </c>
    </row>
    <row r="19" spans="1:12">
      <c r="A19" s="42" t="s">
        <v>24</v>
      </c>
      <c r="B19" s="43">
        <f t="shared" si="0"/>
        <v>18</v>
      </c>
      <c r="C19" s="43">
        <v>6</v>
      </c>
      <c r="D19" s="43">
        <v>2025</v>
      </c>
      <c r="E19" s="44">
        <f>Sheet2!G25</f>
        <v>6535</v>
      </c>
      <c r="F19" s="45">
        <v>0.2</v>
      </c>
      <c r="G19" s="44"/>
      <c r="I19" s="44">
        <f>Sheet2!K25</f>
        <v>26</v>
      </c>
      <c r="J19" s="46">
        <v>7.84</v>
      </c>
      <c r="K19" s="44">
        <v>90</v>
      </c>
      <c r="L19" s="44">
        <v>108</v>
      </c>
    </row>
    <row r="20" spans="1:12">
      <c r="A20" s="42" t="s">
        <v>24</v>
      </c>
      <c r="B20" s="43">
        <f t="shared" si="0"/>
        <v>19</v>
      </c>
      <c r="C20" s="43">
        <v>6</v>
      </c>
      <c r="D20" s="43">
        <v>2025</v>
      </c>
      <c r="E20" s="44">
        <f>Sheet2!G26</f>
        <v>6304</v>
      </c>
      <c r="F20" s="45">
        <v>0.2</v>
      </c>
      <c r="G20" s="44"/>
      <c r="I20" s="44">
        <f>Sheet2!K26</f>
        <v>22</v>
      </c>
      <c r="J20" s="46">
        <v>7.84</v>
      </c>
      <c r="K20" s="44">
        <v>78</v>
      </c>
      <c r="L20" s="44">
        <v>93</v>
      </c>
    </row>
    <row r="21" spans="1:12">
      <c r="A21" s="42" t="s">
        <v>24</v>
      </c>
      <c r="B21" s="43">
        <f t="shared" si="0"/>
        <v>20</v>
      </c>
      <c r="C21" s="43">
        <v>6</v>
      </c>
      <c r="D21" s="43">
        <v>2025</v>
      </c>
      <c r="E21" s="44">
        <f>Sheet2!G27</f>
        <v>6181</v>
      </c>
      <c r="F21" s="45">
        <v>0.2</v>
      </c>
      <c r="G21" s="44"/>
      <c r="I21" s="44">
        <f>Sheet2!K27</f>
        <v>19</v>
      </c>
      <c r="J21" s="46">
        <v>7.84</v>
      </c>
      <c r="K21" s="44">
        <v>72</v>
      </c>
      <c r="L21" s="44">
        <v>88</v>
      </c>
    </row>
    <row r="22" spans="1:12">
      <c r="A22" s="42" t="s">
        <v>24</v>
      </c>
      <c r="B22" s="43">
        <f t="shared" si="0"/>
        <v>21</v>
      </c>
      <c r="C22" s="43">
        <v>6</v>
      </c>
      <c r="D22" s="43">
        <v>2025</v>
      </c>
      <c r="E22" s="44">
        <f>Sheet2!G28</f>
        <v>6334</v>
      </c>
      <c r="F22" s="45">
        <v>0.2</v>
      </c>
      <c r="G22" s="44"/>
      <c r="I22" s="44">
        <f>Sheet2!K28</f>
        <v>26</v>
      </c>
      <c r="J22" s="46">
        <v>7.84</v>
      </c>
      <c r="K22" s="44"/>
      <c r="L22" s="44"/>
    </row>
    <row r="23" spans="1:12">
      <c r="A23" s="42" t="s">
        <v>24</v>
      </c>
      <c r="B23" s="43">
        <f t="shared" si="0"/>
        <v>22</v>
      </c>
      <c r="C23" s="43">
        <v>6</v>
      </c>
      <c r="D23" s="43">
        <v>2025</v>
      </c>
      <c r="E23" s="44">
        <f>Sheet2!G29</f>
        <v>-34714229</v>
      </c>
      <c r="F23" s="45">
        <v>0.2</v>
      </c>
      <c r="G23" s="44"/>
      <c r="I23" s="44">
        <f>Sheet2!K29</f>
        <v>-2586</v>
      </c>
      <c r="J23" s="46">
        <v>7.84</v>
      </c>
      <c r="K23" s="44"/>
      <c r="L23" s="44"/>
    </row>
    <row r="24" spans="1:12">
      <c r="A24" s="42" t="s">
        <v>24</v>
      </c>
      <c r="B24" s="43">
        <f t="shared" si="0"/>
        <v>23</v>
      </c>
      <c r="C24" s="43">
        <v>6</v>
      </c>
      <c r="D24" s="43">
        <v>2025</v>
      </c>
      <c r="E24" s="44">
        <f>Sheet2!G30</f>
        <v>0</v>
      </c>
      <c r="F24" s="45">
        <v>0.2</v>
      </c>
      <c r="G24" s="44"/>
      <c r="I24" s="44">
        <f>Sheet2!K30</f>
        <v>0</v>
      </c>
      <c r="J24" s="46">
        <v>7.84</v>
      </c>
      <c r="K24" s="44"/>
      <c r="L24" s="44"/>
    </row>
    <row r="25" spans="1:12">
      <c r="A25" s="42" t="s">
        <v>24</v>
      </c>
      <c r="B25" s="43">
        <f t="shared" si="0"/>
        <v>24</v>
      </c>
      <c r="C25" s="43">
        <v>6</v>
      </c>
      <c r="D25" s="43">
        <v>2025</v>
      </c>
      <c r="E25" s="44">
        <f>Sheet2!G31</f>
        <v>0</v>
      </c>
      <c r="F25" s="45">
        <v>0.2</v>
      </c>
      <c r="G25" s="44"/>
      <c r="I25" s="44">
        <f>Sheet2!K31</f>
        <v>0</v>
      </c>
      <c r="J25" s="46">
        <v>7.84</v>
      </c>
      <c r="K25" s="44"/>
      <c r="L25" s="44"/>
    </row>
    <row r="26" spans="1:12">
      <c r="A26" s="42" t="s">
        <v>24</v>
      </c>
      <c r="B26" s="43">
        <f>B25+1</f>
        <v>25</v>
      </c>
      <c r="C26" s="43">
        <v>6</v>
      </c>
      <c r="D26" s="43">
        <v>2025</v>
      </c>
      <c r="E26" s="44">
        <f>Sheet2!G32</f>
        <v>0</v>
      </c>
      <c r="F26" s="45">
        <v>0.2</v>
      </c>
      <c r="G26" s="44"/>
      <c r="I26" s="44">
        <f>Sheet2!K32</f>
        <v>0</v>
      </c>
      <c r="J26" s="46">
        <v>7.84</v>
      </c>
      <c r="K26" s="44"/>
      <c r="L26" s="44"/>
    </row>
    <row r="27" spans="1:12">
      <c r="A27" s="42" t="s">
        <v>24</v>
      </c>
      <c r="B27" s="43">
        <f t="shared" si="0"/>
        <v>26</v>
      </c>
      <c r="C27" s="43">
        <v>6</v>
      </c>
      <c r="D27" s="43">
        <v>2025</v>
      </c>
      <c r="E27" s="44">
        <f>Sheet2!G33</f>
        <v>0</v>
      </c>
      <c r="F27" s="45">
        <v>0.2</v>
      </c>
      <c r="G27" s="44"/>
      <c r="I27" s="44">
        <f>Sheet2!K33</f>
        <v>0</v>
      </c>
      <c r="J27" s="46">
        <v>7.84</v>
      </c>
      <c r="K27" s="44"/>
      <c r="L27" s="44"/>
    </row>
    <row r="28" spans="1:12">
      <c r="A28" s="42" t="s">
        <v>24</v>
      </c>
      <c r="B28" s="43">
        <f t="shared" si="0"/>
        <v>27</v>
      </c>
      <c r="C28" s="43">
        <v>6</v>
      </c>
      <c r="D28" s="43">
        <v>2025</v>
      </c>
      <c r="E28" s="44">
        <f>Sheet2!G34</f>
        <v>0</v>
      </c>
      <c r="F28" s="45">
        <v>0.2</v>
      </c>
      <c r="G28" s="44"/>
      <c r="I28" s="44">
        <f>Sheet2!K34</f>
        <v>0</v>
      </c>
      <c r="J28" s="46">
        <v>7.84</v>
      </c>
      <c r="K28" s="44"/>
      <c r="L28" s="44"/>
    </row>
    <row r="29" spans="1:12">
      <c r="A29" s="42" t="s">
        <v>24</v>
      </c>
      <c r="B29" s="43">
        <f t="shared" si="0"/>
        <v>28</v>
      </c>
      <c r="C29" s="43">
        <v>6</v>
      </c>
      <c r="D29" s="43">
        <v>2025</v>
      </c>
      <c r="E29" s="44">
        <f>Sheet2!G35</f>
        <v>0</v>
      </c>
      <c r="F29" s="45">
        <v>0.2</v>
      </c>
      <c r="G29" s="44"/>
      <c r="I29" s="44">
        <f>Sheet2!K35</f>
        <v>0</v>
      </c>
      <c r="J29" s="46">
        <v>7.84</v>
      </c>
      <c r="K29" s="44"/>
      <c r="L29" s="44"/>
    </row>
    <row r="30" spans="1:12">
      <c r="A30" s="42" t="s">
        <v>24</v>
      </c>
      <c r="B30" s="43">
        <f t="shared" si="0"/>
        <v>29</v>
      </c>
      <c r="C30" s="43">
        <v>6</v>
      </c>
      <c r="D30" s="43">
        <v>2025</v>
      </c>
      <c r="E30" s="44">
        <f>Sheet2!G36</f>
        <v>0</v>
      </c>
      <c r="F30" s="45">
        <v>0.2</v>
      </c>
      <c r="G30" s="44"/>
      <c r="I30" s="44">
        <f>Sheet2!K36</f>
        <v>0</v>
      </c>
      <c r="J30" s="46">
        <v>7.84</v>
      </c>
      <c r="K30" s="44"/>
      <c r="L30" s="44"/>
    </row>
    <row r="31" spans="1:12">
      <c r="A31" s="42" t="s">
        <v>24</v>
      </c>
      <c r="B31" s="43">
        <f t="shared" si="0"/>
        <v>30</v>
      </c>
      <c r="C31" s="43">
        <v>6</v>
      </c>
      <c r="D31" s="43">
        <v>2025</v>
      </c>
      <c r="E31" s="44">
        <f>Sheet2!G37</f>
        <v>0</v>
      </c>
      <c r="F31" s="45">
        <v>0.2</v>
      </c>
      <c r="G31" s="44"/>
      <c r="I31" s="44">
        <f>Sheet2!K37</f>
        <v>0</v>
      </c>
      <c r="J31" s="46">
        <v>7.84</v>
      </c>
      <c r="K31" s="44"/>
      <c r="L31" s="44"/>
    </row>
    <row r="32" spans="1:12">
      <c r="G32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topLeftCell="A9" zoomScaleNormal="100" workbookViewId="0">
      <selection activeCell="I28" sqref="I28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4" ht="31.5" thickBot="1">
      <c r="A1" s="123" t="s">
        <v>25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</row>
    <row r="2" spans="1:14" ht="29.25" customHeight="1" thickBot="1">
      <c r="A2" s="125" t="s">
        <v>38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</row>
    <row r="3" spans="1:14">
      <c r="A3" s="1" t="s">
        <v>0</v>
      </c>
      <c r="B3" s="107" t="s">
        <v>1</v>
      </c>
      <c r="C3" s="108"/>
      <c r="D3" s="111" t="s">
        <v>2</v>
      </c>
      <c r="E3" s="112"/>
      <c r="F3" s="112"/>
      <c r="G3" s="113"/>
      <c r="H3" s="117" t="s">
        <v>3</v>
      </c>
      <c r="I3" s="118"/>
      <c r="J3" s="118"/>
      <c r="K3" s="119"/>
      <c r="L3" s="127" t="s">
        <v>26</v>
      </c>
      <c r="M3" s="128"/>
      <c r="N3" s="128"/>
    </row>
    <row r="4" spans="1:14">
      <c r="A4" s="1"/>
      <c r="B4" s="109"/>
      <c r="C4" s="110"/>
      <c r="D4" s="114"/>
      <c r="E4" s="115"/>
      <c r="F4" s="115"/>
      <c r="G4" s="116"/>
      <c r="H4" s="120"/>
      <c r="I4" s="121"/>
      <c r="J4" s="121"/>
      <c r="K4" s="122"/>
      <c r="L4" s="51" t="s">
        <v>27</v>
      </c>
      <c r="M4" s="129" t="s">
        <v>28</v>
      </c>
      <c r="N4" s="131" t="s">
        <v>29</v>
      </c>
    </row>
    <row r="5" spans="1:14" ht="15.75" thickBot="1">
      <c r="A5" s="2"/>
      <c r="B5" s="3" t="s">
        <v>4</v>
      </c>
      <c r="C5" s="4" t="s">
        <v>5</v>
      </c>
      <c r="D5" s="36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2" t="s">
        <v>30</v>
      </c>
      <c r="M5" s="130"/>
      <c r="N5" s="132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4"/>
      <c r="M6" s="53"/>
      <c r="N6" s="55"/>
    </row>
    <row r="7" spans="1:14" ht="15.75" customHeight="1">
      <c r="A7" s="20">
        <v>31</v>
      </c>
      <c r="B7" s="21"/>
      <c r="C7" s="22"/>
      <c r="D7" s="97">
        <v>34578860</v>
      </c>
      <c r="E7" s="64">
        <v>0</v>
      </c>
      <c r="F7" s="25">
        <f t="shared" ref="F7" si="0">(D7+E7)</f>
        <v>34578860</v>
      </c>
      <c r="G7" s="26">
        <f t="shared" ref="G7" si="1">(F7-F6)</f>
        <v>34578860</v>
      </c>
      <c r="H7" s="97">
        <v>1464</v>
      </c>
      <c r="I7" s="98">
        <v>615</v>
      </c>
      <c r="J7" s="25">
        <f t="shared" ref="J7" si="2">H7+I7</f>
        <v>2079</v>
      </c>
      <c r="K7" s="22">
        <f t="shared" ref="K7" si="3">(J7-J6)</f>
        <v>2079</v>
      </c>
      <c r="L7" s="21"/>
      <c r="M7" s="56"/>
      <c r="N7" s="57"/>
    </row>
    <row r="8" spans="1:14" ht="15" customHeight="1" thickBot="1">
      <c r="A8" s="20">
        <v>1</v>
      </c>
      <c r="B8" s="27"/>
      <c r="C8" s="28">
        <f t="shared" ref="C8:C33" si="4">(229/100*B8)</f>
        <v>0</v>
      </c>
      <c r="D8" s="24">
        <v>34585504</v>
      </c>
      <c r="E8" s="24">
        <v>0</v>
      </c>
      <c r="F8" s="25">
        <f t="shared" ref="F8:F37" si="5">(D8+E8)</f>
        <v>34585504</v>
      </c>
      <c r="G8" s="29">
        <f t="shared" ref="G8:G37" si="6">(F8-F7)</f>
        <v>6644</v>
      </c>
      <c r="H8" s="30">
        <v>1492</v>
      </c>
      <c r="I8" s="24">
        <v>615</v>
      </c>
      <c r="J8" s="25">
        <f>H8+I8</f>
        <v>2107</v>
      </c>
      <c r="K8" s="22">
        <f t="shared" ref="K8:K37" si="7">(J8-J7)</f>
        <v>28</v>
      </c>
      <c r="L8" s="27"/>
      <c r="M8" s="58"/>
      <c r="N8" s="59"/>
    </row>
    <row r="9" spans="1:14" ht="15.75" thickTop="1">
      <c r="A9" s="20">
        <v>2</v>
      </c>
      <c r="B9" s="31"/>
      <c r="C9" s="32">
        <f t="shared" si="4"/>
        <v>0</v>
      </c>
      <c r="D9" s="24">
        <v>34592081</v>
      </c>
      <c r="E9" s="24">
        <v>0</v>
      </c>
      <c r="F9" s="25">
        <f t="shared" si="5"/>
        <v>34592081</v>
      </c>
      <c r="G9" s="26">
        <f t="shared" si="6"/>
        <v>6577</v>
      </c>
      <c r="H9" s="30">
        <v>1514</v>
      </c>
      <c r="I9" s="24">
        <v>615</v>
      </c>
      <c r="J9" s="25">
        <f>H9+I9</f>
        <v>2129</v>
      </c>
      <c r="K9" s="22">
        <f t="shared" si="7"/>
        <v>22</v>
      </c>
      <c r="L9" s="60"/>
      <c r="M9" s="56"/>
      <c r="N9" s="61"/>
    </row>
    <row r="10" spans="1:14">
      <c r="A10" s="20">
        <v>3</v>
      </c>
      <c r="B10" s="21"/>
      <c r="C10" s="22">
        <f t="shared" si="4"/>
        <v>0</v>
      </c>
      <c r="D10" s="33">
        <v>34598448</v>
      </c>
      <c r="E10" s="24">
        <v>0</v>
      </c>
      <c r="F10" s="25">
        <f t="shared" si="5"/>
        <v>34598448</v>
      </c>
      <c r="G10" s="26">
        <f t="shared" si="6"/>
        <v>6367</v>
      </c>
      <c r="H10" s="30">
        <v>1541</v>
      </c>
      <c r="I10" s="24">
        <v>615</v>
      </c>
      <c r="J10" s="25">
        <f t="shared" ref="J10:J37" si="8">H10+I10</f>
        <v>2156</v>
      </c>
      <c r="K10" s="22">
        <f t="shared" si="7"/>
        <v>27</v>
      </c>
      <c r="L10" s="60"/>
      <c r="M10" s="56"/>
      <c r="N10" s="61"/>
    </row>
    <row r="11" spans="1:14">
      <c r="A11" s="20">
        <v>4</v>
      </c>
      <c r="B11" s="21"/>
      <c r="C11" s="22">
        <f t="shared" si="4"/>
        <v>0</v>
      </c>
      <c r="D11" s="23">
        <v>34604601</v>
      </c>
      <c r="E11" s="24">
        <v>0</v>
      </c>
      <c r="F11" s="25">
        <f t="shared" si="5"/>
        <v>34604601</v>
      </c>
      <c r="G11" s="26">
        <f t="shared" si="6"/>
        <v>6153</v>
      </c>
      <c r="H11" s="30">
        <v>1568</v>
      </c>
      <c r="I11" s="24">
        <v>615</v>
      </c>
      <c r="J11" s="25">
        <f t="shared" si="8"/>
        <v>2183</v>
      </c>
      <c r="K11" s="22">
        <f t="shared" si="7"/>
        <v>27</v>
      </c>
      <c r="L11" s="60"/>
      <c r="M11" s="56"/>
      <c r="N11" s="61"/>
    </row>
    <row r="12" spans="1:14">
      <c r="A12" s="20">
        <v>5</v>
      </c>
      <c r="B12" s="21"/>
      <c r="C12" s="22">
        <f t="shared" si="4"/>
        <v>0</v>
      </c>
      <c r="D12" s="23">
        <v>34610794</v>
      </c>
      <c r="E12" s="24">
        <v>0</v>
      </c>
      <c r="F12" s="25">
        <f t="shared" si="5"/>
        <v>34610794</v>
      </c>
      <c r="G12" s="26">
        <f t="shared" si="6"/>
        <v>6193</v>
      </c>
      <c r="H12" s="30">
        <v>1596</v>
      </c>
      <c r="I12" s="24">
        <v>615</v>
      </c>
      <c r="J12" s="25">
        <f t="shared" si="8"/>
        <v>2211</v>
      </c>
      <c r="K12" s="22">
        <f t="shared" si="7"/>
        <v>28</v>
      </c>
      <c r="L12" s="60"/>
      <c r="M12" s="56"/>
      <c r="N12" s="61"/>
    </row>
    <row r="13" spans="1:14">
      <c r="A13" s="20">
        <v>6</v>
      </c>
      <c r="B13" s="21"/>
      <c r="C13" s="22">
        <f t="shared" si="4"/>
        <v>0</v>
      </c>
      <c r="D13" s="23">
        <v>34616927</v>
      </c>
      <c r="E13" s="24">
        <v>0</v>
      </c>
      <c r="F13" s="25">
        <f t="shared" si="5"/>
        <v>34616927</v>
      </c>
      <c r="G13" s="26">
        <f t="shared" si="6"/>
        <v>6133</v>
      </c>
      <c r="H13" s="30">
        <v>1624</v>
      </c>
      <c r="I13" s="24">
        <v>615</v>
      </c>
      <c r="J13" s="25">
        <f t="shared" si="8"/>
        <v>2239</v>
      </c>
      <c r="K13" s="22">
        <f t="shared" si="7"/>
        <v>28</v>
      </c>
      <c r="L13" s="60"/>
      <c r="M13" s="56"/>
      <c r="N13" s="61"/>
    </row>
    <row r="14" spans="1:14">
      <c r="A14" s="20">
        <v>7</v>
      </c>
      <c r="B14" s="21"/>
      <c r="C14" s="22">
        <f t="shared" si="4"/>
        <v>0</v>
      </c>
      <c r="D14" s="23">
        <v>34622980</v>
      </c>
      <c r="E14" s="24">
        <v>0</v>
      </c>
      <c r="F14" s="25">
        <f t="shared" si="5"/>
        <v>34622980</v>
      </c>
      <c r="G14" s="26">
        <f t="shared" si="6"/>
        <v>6053</v>
      </c>
      <c r="H14" s="30">
        <v>1653</v>
      </c>
      <c r="I14" s="24">
        <v>615</v>
      </c>
      <c r="J14" s="25">
        <f t="shared" si="8"/>
        <v>2268</v>
      </c>
      <c r="K14" s="22">
        <f t="shared" si="7"/>
        <v>29</v>
      </c>
      <c r="L14" s="60"/>
      <c r="M14" s="56"/>
      <c r="N14" s="61"/>
    </row>
    <row r="15" spans="1:14">
      <c r="A15" s="20">
        <v>8</v>
      </c>
      <c r="B15" s="21"/>
      <c r="C15" s="22">
        <f t="shared" si="4"/>
        <v>0</v>
      </c>
      <c r="D15" s="23">
        <v>34629299</v>
      </c>
      <c r="E15" s="24">
        <v>0</v>
      </c>
      <c r="F15" s="25">
        <f t="shared" si="5"/>
        <v>34629299</v>
      </c>
      <c r="G15" s="26">
        <f t="shared" si="6"/>
        <v>6319</v>
      </c>
      <c r="H15" s="30">
        <v>1682</v>
      </c>
      <c r="I15" s="24">
        <v>615</v>
      </c>
      <c r="J15" s="25">
        <f t="shared" si="8"/>
        <v>2297</v>
      </c>
      <c r="K15" s="22">
        <f t="shared" si="7"/>
        <v>29</v>
      </c>
      <c r="L15" s="60"/>
      <c r="M15" s="56"/>
      <c r="N15" s="61"/>
    </row>
    <row r="16" spans="1:14">
      <c r="A16" s="20">
        <v>9</v>
      </c>
      <c r="B16" s="21"/>
      <c r="C16" s="22">
        <f t="shared" si="4"/>
        <v>0</v>
      </c>
      <c r="D16" s="23">
        <v>34635925</v>
      </c>
      <c r="E16" s="24">
        <v>0</v>
      </c>
      <c r="F16" s="25">
        <f t="shared" si="5"/>
        <v>34635925</v>
      </c>
      <c r="G16" s="26">
        <f t="shared" si="6"/>
        <v>6626</v>
      </c>
      <c r="H16" s="30">
        <v>1703</v>
      </c>
      <c r="I16" s="24">
        <v>615</v>
      </c>
      <c r="J16" s="25">
        <f t="shared" si="8"/>
        <v>2318</v>
      </c>
      <c r="K16" s="22">
        <f t="shared" si="7"/>
        <v>21</v>
      </c>
      <c r="L16" s="21"/>
      <c r="M16" s="56"/>
      <c r="N16" s="61"/>
    </row>
    <row r="17" spans="1:14">
      <c r="A17" s="20">
        <v>10</v>
      </c>
      <c r="B17" s="21"/>
      <c r="C17" s="22">
        <f t="shared" si="4"/>
        <v>0</v>
      </c>
      <c r="D17" s="23">
        <v>34642552</v>
      </c>
      <c r="E17" s="24">
        <v>0</v>
      </c>
      <c r="F17" s="25">
        <f t="shared" si="5"/>
        <v>34642552</v>
      </c>
      <c r="G17" s="26">
        <f t="shared" si="6"/>
        <v>6627</v>
      </c>
      <c r="H17" s="30">
        <v>1726</v>
      </c>
      <c r="I17" s="24">
        <v>615</v>
      </c>
      <c r="J17" s="25">
        <f t="shared" si="8"/>
        <v>2341</v>
      </c>
      <c r="K17" s="22">
        <f t="shared" si="7"/>
        <v>23</v>
      </c>
      <c r="L17" s="21"/>
      <c r="M17" s="56"/>
      <c r="N17" s="61"/>
    </row>
    <row r="18" spans="1:14">
      <c r="A18" s="20">
        <v>11</v>
      </c>
      <c r="B18" s="21"/>
      <c r="C18" s="22">
        <f t="shared" si="4"/>
        <v>0</v>
      </c>
      <c r="D18" s="23">
        <v>34649144</v>
      </c>
      <c r="E18" s="24">
        <v>0</v>
      </c>
      <c r="F18" s="25">
        <f t="shared" si="5"/>
        <v>34649144</v>
      </c>
      <c r="G18" s="26">
        <f t="shared" si="6"/>
        <v>6592</v>
      </c>
      <c r="H18" s="30">
        <v>1745</v>
      </c>
      <c r="I18" s="24">
        <v>615</v>
      </c>
      <c r="J18" s="25">
        <f t="shared" si="8"/>
        <v>2360</v>
      </c>
      <c r="K18" s="22">
        <f t="shared" si="7"/>
        <v>19</v>
      </c>
      <c r="L18" s="60"/>
      <c r="M18" s="56"/>
      <c r="N18" s="61"/>
    </row>
    <row r="19" spans="1:14">
      <c r="A19" s="20">
        <v>12</v>
      </c>
      <c r="B19" s="21"/>
      <c r="C19" s="22">
        <f t="shared" si="4"/>
        <v>0</v>
      </c>
      <c r="D19" s="23">
        <v>34655762</v>
      </c>
      <c r="E19" s="24">
        <v>0</v>
      </c>
      <c r="F19" s="25">
        <f t="shared" si="5"/>
        <v>34655762</v>
      </c>
      <c r="G19" s="26">
        <f t="shared" si="6"/>
        <v>6618</v>
      </c>
      <c r="H19" s="30">
        <v>1765</v>
      </c>
      <c r="I19" s="24">
        <v>615</v>
      </c>
      <c r="J19" s="25">
        <f t="shared" si="8"/>
        <v>2380</v>
      </c>
      <c r="K19" s="22">
        <f t="shared" si="7"/>
        <v>20</v>
      </c>
      <c r="L19" s="60"/>
      <c r="M19" s="56"/>
      <c r="N19" s="61"/>
    </row>
    <row r="20" spans="1:14">
      <c r="A20" s="20">
        <v>13</v>
      </c>
      <c r="B20" s="21"/>
      <c r="C20" s="22">
        <f t="shared" si="4"/>
        <v>0</v>
      </c>
      <c r="D20" s="23">
        <v>34662632</v>
      </c>
      <c r="E20" s="24">
        <v>0</v>
      </c>
      <c r="F20" s="25">
        <f t="shared" si="5"/>
        <v>34662632</v>
      </c>
      <c r="G20" s="26">
        <f t="shared" si="6"/>
        <v>6870</v>
      </c>
      <c r="H20" s="30">
        <v>1791</v>
      </c>
      <c r="I20" s="24">
        <v>615</v>
      </c>
      <c r="J20" s="25">
        <f t="shared" si="8"/>
        <v>2406</v>
      </c>
      <c r="K20" s="22">
        <f t="shared" si="7"/>
        <v>26</v>
      </c>
      <c r="L20" s="62"/>
      <c r="M20" s="56"/>
      <c r="N20" s="61"/>
    </row>
    <row r="21" spans="1:14">
      <c r="A21" s="20">
        <v>14</v>
      </c>
      <c r="B21" s="21"/>
      <c r="C21" s="22">
        <f t="shared" si="4"/>
        <v>0</v>
      </c>
      <c r="D21" s="23">
        <v>34669365</v>
      </c>
      <c r="E21" s="24">
        <v>0</v>
      </c>
      <c r="F21" s="25">
        <f t="shared" si="5"/>
        <v>34669365</v>
      </c>
      <c r="G21" s="26">
        <f t="shared" si="6"/>
        <v>6733</v>
      </c>
      <c r="H21" s="30">
        <v>1811</v>
      </c>
      <c r="I21" s="24">
        <v>615</v>
      </c>
      <c r="J21" s="25">
        <f t="shared" si="8"/>
        <v>2426</v>
      </c>
      <c r="K21" s="22">
        <f t="shared" si="7"/>
        <v>20</v>
      </c>
      <c r="L21" s="21"/>
      <c r="M21" s="56"/>
      <c r="N21" s="61"/>
    </row>
    <row r="22" spans="1:14">
      <c r="A22" s="20">
        <v>15</v>
      </c>
      <c r="B22" s="21"/>
      <c r="C22" s="22">
        <f t="shared" si="4"/>
        <v>0</v>
      </c>
      <c r="D22" s="23">
        <v>34675735</v>
      </c>
      <c r="E22" s="24">
        <v>0</v>
      </c>
      <c r="F22" s="25">
        <f t="shared" si="5"/>
        <v>34675735</v>
      </c>
      <c r="G22" s="26">
        <f t="shared" si="6"/>
        <v>6370</v>
      </c>
      <c r="H22" s="23">
        <v>1836</v>
      </c>
      <c r="I22" s="24">
        <v>615</v>
      </c>
      <c r="J22" s="25">
        <f t="shared" si="8"/>
        <v>2451</v>
      </c>
      <c r="K22" s="22">
        <f t="shared" si="7"/>
        <v>25</v>
      </c>
      <c r="L22" s="60"/>
      <c r="M22" s="56"/>
      <c r="N22" s="61"/>
    </row>
    <row r="23" spans="1:14">
      <c r="A23" s="20">
        <v>16</v>
      </c>
      <c r="B23" s="21"/>
      <c r="C23" s="22">
        <f t="shared" si="4"/>
        <v>0</v>
      </c>
      <c r="D23" s="23">
        <v>34682227</v>
      </c>
      <c r="E23" s="24">
        <v>0</v>
      </c>
      <c r="F23" s="25">
        <f t="shared" si="5"/>
        <v>34682227</v>
      </c>
      <c r="G23" s="26">
        <f t="shared" si="6"/>
        <v>6492</v>
      </c>
      <c r="H23" s="23">
        <v>1859</v>
      </c>
      <c r="I23" s="24">
        <v>615</v>
      </c>
      <c r="J23" s="25">
        <f t="shared" si="8"/>
        <v>2474</v>
      </c>
      <c r="K23" s="22">
        <f t="shared" si="7"/>
        <v>23</v>
      </c>
      <c r="L23" s="21"/>
      <c r="M23" s="56"/>
      <c r="N23" s="61"/>
    </row>
    <row r="24" spans="1:14">
      <c r="A24" s="20">
        <v>17</v>
      </c>
      <c r="B24" s="21"/>
      <c r="C24" s="22">
        <f t="shared" si="4"/>
        <v>0</v>
      </c>
      <c r="D24" s="23">
        <v>34688875</v>
      </c>
      <c r="E24" s="24">
        <v>0</v>
      </c>
      <c r="F24" s="25">
        <f t="shared" si="5"/>
        <v>34688875</v>
      </c>
      <c r="G24" s="26">
        <f t="shared" si="6"/>
        <v>6648</v>
      </c>
      <c r="H24" s="23">
        <v>1878</v>
      </c>
      <c r="I24" s="24">
        <v>615</v>
      </c>
      <c r="J24" s="25">
        <f t="shared" si="8"/>
        <v>2493</v>
      </c>
      <c r="K24" s="22">
        <f t="shared" si="7"/>
        <v>19</v>
      </c>
      <c r="L24" s="21"/>
      <c r="M24" s="56"/>
      <c r="N24" s="61"/>
    </row>
    <row r="25" spans="1:14">
      <c r="A25" s="20">
        <v>18</v>
      </c>
      <c r="B25" s="21"/>
      <c r="C25" s="22">
        <f t="shared" si="4"/>
        <v>0</v>
      </c>
      <c r="D25" s="23">
        <v>34695410</v>
      </c>
      <c r="E25" s="24">
        <v>0</v>
      </c>
      <c r="F25" s="25">
        <f t="shared" si="5"/>
        <v>34695410</v>
      </c>
      <c r="G25" s="26">
        <f t="shared" si="6"/>
        <v>6535</v>
      </c>
      <c r="H25" s="23">
        <v>1904</v>
      </c>
      <c r="I25" s="24">
        <v>615</v>
      </c>
      <c r="J25" s="25">
        <f t="shared" si="8"/>
        <v>2519</v>
      </c>
      <c r="K25" s="22">
        <f t="shared" si="7"/>
        <v>26</v>
      </c>
      <c r="L25" s="21"/>
      <c r="M25" s="56"/>
      <c r="N25" s="61"/>
    </row>
    <row r="26" spans="1:14">
      <c r="A26" s="20">
        <v>19</v>
      </c>
      <c r="B26" s="21"/>
      <c r="C26" s="22">
        <f t="shared" si="4"/>
        <v>0</v>
      </c>
      <c r="D26" s="23">
        <v>34701714</v>
      </c>
      <c r="E26" s="24">
        <v>0</v>
      </c>
      <c r="F26" s="25">
        <f t="shared" si="5"/>
        <v>34701714</v>
      </c>
      <c r="G26" s="26">
        <f t="shared" si="6"/>
        <v>6304</v>
      </c>
      <c r="H26" s="23">
        <v>1926</v>
      </c>
      <c r="I26" s="24">
        <v>615</v>
      </c>
      <c r="J26" s="25">
        <f t="shared" si="8"/>
        <v>2541</v>
      </c>
      <c r="K26" s="22">
        <f t="shared" si="7"/>
        <v>22</v>
      </c>
      <c r="L26" s="60"/>
      <c r="M26" s="56"/>
      <c r="N26" s="61"/>
    </row>
    <row r="27" spans="1:14">
      <c r="A27" s="20">
        <v>20</v>
      </c>
      <c r="B27" s="21"/>
      <c r="C27" s="22">
        <f t="shared" si="4"/>
        <v>0</v>
      </c>
      <c r="D27" s="23">
        <v>34707895</v>
      </c>
      <c r="E27" s="24">
        <v>0</v>
      </c>
      <c r="F27" s="25">
        <f t="shared" si="5"/>
        <v>34707895</v>
      </c>
      <c r="G27" s="26">
        <f t="shared" si="6"/>
        <v>6181</v>
      </c>
      <c r="H27" s="23">
        <v>1945</v>
      </c>
      <c r="I27" s="24">
        <v>615</v>
      </c>
      <c r="J27" s="25">
        <f t="shared" si="8"/>
        <v>2560</v>
      </c>
      <c r="K27" s="22">
        <f t="shared" si="7"/>
        <v>19</v>
      </c>
      <c r="L27" s="60"/>
      <c r="M27" s="56"/>
      <c r="N27" s="61"/>
    </row>
    <row r="28" spans="1:14">
      <c r="A28" s="20">
        <v>21</v>
      </c>
      <c r="B28" s="21"/>
      <c r="C28" s="22">
        <f t="shared" si="4"/>
        <v>0</v>
      </c>
      <c r="D28" s="34">
        <v>34714229</v>
      </c>
      <c r="E28" s="24">
        <v>0</v>
      </c>
      <c r="F28" s="25">
        <f t="shared" si="5"/>
        <v>34714229</v>
      </c>
      <c r="G28" s="26">
        <f t="shared" si="6"/>
        <v>6334</v>
      </c>
      <c r="H28" s="23">
        <v>1971</v>
      </c>
      <c r="I28" s="24">
        <v>615</v>
      </c>
      <c r="J28" s="25">
        <f t="shared" si="8"/>
        <v>2586</v>
      </c>
      <c r="K28" s="22">
        <f t="shared" si="7"/>
        <v>26</v>
      </c>
      <c r="L28" s="21"/>
      <c r="M28" s="56"/>
      <c r="N28" s="61"/>
    </row>
    <row r="29" spans="1:14">
      <c r="A29" s="20">
        <v>22</v>
      </c>
      <c r="B29" s="21"/>
      <c r="C29" s="22">
        <f t="shared" si="4"/>
        <v>0</v>
      </c>
      <c r="D29" s="23"/>
      <c r="E29" s="24">
        <v>0</v>
      </c>
      <c r="F29" s="25">
        <f t="shared" si="5"/>
        <v>0</v>
      </c>
      <c r="G29" s="26">
        <f t="shared" si="6"/>
        <v>-34714229</v>
      </c>
      <c r="H29" s="23"/>
      <c r="I29" s="24"/>
      <c r="J29" s="25">
        <f t="shared" si="8"/>
        <v>0</v>
      </c>
      <c r="K29" s="22">
        <f t="shared" si="7"/>
        <v>-2586</v>
      </c>
      <c r="L29" s="60"/>
      <c r="M29" s="56"/>
      <c r="N29" s="61"/>
    </row>
    <row r="30" spans="1:14">
      <c r="A30" s="20">
        <v>23</v>
      </c>
      <c r="B30" s="21"/>
      <c r="C30" s="22">
        <f t="shared" si="4"/>
        <v>0</v>
      </c>
      <c r="D30" s="23"/>
      <c r="E30" s="24">
        <v>0</v>
      </c>
      <c r="F30" s="25">
        <f t="shared" si="5"/>
        <v>0</v>
      </c>
      <c r="G30" s="26">
        <f t="shared" si="6"/>
        <v>0</v>
      </c>
      <c r="H30" s="23"/>
      <c r="I30" s="24"/>
      <c r="J30" s="25">
        <f t="shared" si="8"/>
        <v>0</v>
      </c>
      <c r="K30" s="22">
        <f t="shared" si="7"/>
        <v>0</v>
      </c>
      <c r="L30" s="21"/>
      <c r="M30" s="56"/>
      <c r="N30" s="61"/>
    </row>
    <row r="31" spans="1:14">
      <c r="A31" s="20">
        <v>24</v>
      </c>
      <c r="B31" s="21"/>
      <c r="C31" s="22">
        <f t="shared" si="4"/>
        <v>0</v>
      </c>
      <c r="D31" s="23"/>
      <c r="E31" s="24">
        <v>0</v>
      </c>
      <c r="F31" s="25">
        <f t="shared" si="5"/>
        <v>0</v>
      </c>
      <c r="G31" s="26">
        <f t="shared" si="6"/>
        <v>0</v>
      </c>
      <c r="H31" s="23"/>
      <c r="I31" s="24"/>
      <c r="J31" s="25">
        <f t="shared" si="8"/>
        <v>0</v>
      </c>
      <c r="K31" s="22">
        <f t="shared" si="7"/>
        <v>0</v>
      </c>
      <c r="L31" s="60"/>
      <c r="M31" s="56"/>
      <c r="N31" s="61"/>
    </row>
    <row r="32" spans="1:14">
      <c r="A32" s="20">
        <v>25</v>
      </c>
      <c r="B32" s="21"/>
      <c r="C32" s="22">
        <f t="shared" si="4"/>
        <v>0</v>
      </c>
      <c r="D32" s="23"/>
      <c r="E32" s="24">
        <v>0</v>
      </c>
      <c r="F32" s="25">
        <f t="shared" si="5"/>
        <v>0</v>
      </c>
      <c r="G32" s="26">
        <f t="shared" si="6"/>
        <v>0</v>
      </c>
      <c r="H32" s="23"/>
      <c r="I32" s="24"/>
      <c r="J32" s="25">
        <f t="shared" si="8"/>
        <v>0</v>
      </c>
      <c r="K32" s="22">
        <f t="shared" si="7"/>
        <v>0</v>
      </c>
      <c r="L32" s="60"/>
      <c r="M32" s="56"/>
      <c r="N32" s="61"/>
    </row>
    <row r="33" spans="1:14">
      <c r="A33" s="20">
        <v>26</v>
      </c>
      <c r="B33" s="21"/>
      <c r="C33" s="22">
        <f t="shared" si="4"/>
        <v>0</v>
      </c>
      <c r="D33" s="23"/>
      <c r="E33" s="24">
        <v>0</v>
      </c>
      <c r="F33" s="25">
        <f t="shared" si="5"/>
        <v>0</v>
      </c>
      <c r="G33" s="26">
        <f t="shared" si="6"/>
        <v>0</v>
      </c>
      <c r="H33" s="35"/>
      <c r="I33" s="24"/>
      <c r="J33" s="25">
        <f t="shared" si="8"/>
        <v>0</v>
      </c>
      <c r="K33" s="22">
        <f t="shared" si="7"/>
        <v>0</v>
      </c>
      <c r="L33" s="21"/>
      <c r="M33" s="56"/>
      <c r="N33" s="61"/>
    </row>
    <row r="34" spans="1:14">
      <c r="A34" s="20">
        <v>27</v>
      </c>
      <c r="B34" s="21"/>
      <c r="C34" s="22"/>
      <c r="D34" s="23"/>
      <c r="E34" s="24">
        <v>0</v>
      </c>
      <c r="F34" s="25">
        <f t="shared" si="5"/>
        <v>0</v>
      </c>
      <c r="G34" s="26">
        <f t="shared" si="6"/>
        <v>0</v>
      </c>
      <c r="H34" s="23"/>
      <c r="I34" s="24"/>
      <c r="J34" s="25">
        <f t="shared" si="8"/>
        <v>0</v>
      </c>
      <c r="K34" s="22">
        <f t="shared" si="7"/>
        <v>0</v>
      </c>
      <c r="L34" s="21"/>
      <c r="M34" s="56"/>
      <c r="N34" s="61"/>
    </row>
    <row r="35" spans="1:14">
      <c r="A35" s="20">
        <v>28</v>
      </c>
      <c r="B35" s="21"/>
      <c r="C35" s="22"/>
      <c r="D35" s="23"/>
      <c r="E35" s="24">
        <v>0</v>
      </c>
      <c r="F35" s="25">
        <f t="shared" si="5"/>
        <v>0</v>
      </c>
      <c r="G35" s="26">
        <f t="shared" si="6"/>
        <v>0</v>
      </c>
      <c r="H35" s="23"/>
      <c r="I35" s="24"/>
      <c r="J35" s="25">
        <f t="shared" si="8"/>
        <v>0</v>
      </c>
      <c r="K35" s="22">
        <f t="shared" si="7"/>
        <v>0</v>
      </c>
      <c r="L35" s="21"/>
      <c r="M35" s="56"/>
      <c r="N35" s="61"/>
    </row>
    <row r="36" spans="1:14">
      <c r="A36" s="20">
        <v>29</v>
      </c>
      <c r="B36" s="21"/>
      <c r="C36" s="22"/>
      <c r="D36" s="63"/>
      <c r="E36" s="64">
        <v>0</v>
      </c>
      <c r="F36" s="25">
        <f t="shared" si="5"/>
        <v>0</v>
      </c>
      <c r="G36" s="26">
        <f t="shared" si="6"/>
        <v>0</v>
      </c>
      <c r="H36" s="63"/>
      <c r="I36" s="24"/>
      <c r="J36" s="25">
        <f t="shared" si="8"/>
        <v>0</v>
      </c>
      <c r="K36" s="22">
        <f t="shared" si="7"/>
        <v>0</v>
      </c>
      <c r="L36" s="21"/>
      <c r="M36" s="56"/>
      <c r="N36" s="61"/>
    </row>
    <row r="37" spans="1:14" ht="15.75" thickBot="1">
      <c r="A37" s="20">
        <v>30</v>
      </c>
      <c r="B37" s="21"/>
      <c r="C37" s="22"/>
      <c r="D37" s="63"/>
      <c r="E37" s="64">
        <v>0</v>
      </c>
      <c r="F37" s="25">
        <f t="shared" si="5"/>
        <v>0</v>
      </c>
      <c r="G37" s="26">
        <f t="shared" si="6"/>
        <v>0</v>
      </c>
      <c r="H37" s="63"/>
      <c r="I37" s="64"/>
      <c r="J37" s="25">
        <f t="shared" si="8"/>
        <v>0</v>
      </c>
      <c r="K37" s="22">
        <f t="shared" si="7"/>
        <v>0</v>
      </c>
      <c r="L37" s="21"/>
      <c r="M37" s="56"/>
      <c r="N37" s="61"/>
    </row>
    <row r="38" spans="1:14" ht="19.5" thickBot="1">
      <c r="A38" s="65" t="s">
        <v>8</v>
      </c>
      <c r="B38" s="66" t="e">
        <f>AVERAGE(B8:B37)</f>
        <v>#DIV/0!</v>
      </c>
      <c r="C38" s="67">
        <f>SUM(C8:C37)</f>
        <v>0</v>
      </c>
      <c r="D38" s="68"/>
      <c r="E38" s="69"/>
      <c r="F38" s="70"/>
      <c r="G38" s="71">
        <f>SUM(G8:G37)</f>
        <v>-34578860</v>
      </c>
      <c r="H38" s="72"/>
      <c r="I38" s="69"/>
      <c r="J38" s="73"/>
      <c r="K38" s="71">
        <f>SUM(K8:K37)</f>
        <v>-2079</v>
      </c>
      <c r="L38" s="74"/>
      <c r="M38" s="75">
        <f>SUM(M8:M37)</f>
        <v>0</v>
      </c>
      <c r="N38" s="76">
        <f>SUM(N8:N37)</f>
        <v>0</v>
      </c>
    </row>
    <row r="39" spans="1:14" ht="15.75" thickBot="1">
      <c r="A39" s="77"/>
      <c r="B39" s="78"/>
      <c r="C39" s="79"/>
      <c r="F39" s="77"/>
      <c r="G39" s="80"/>
      <c r="K39" s="77"/>
      <c r="M39" s="81"/>
      <c r="N39" s="82">
        <f>SUM(N8:N37)</f>
        <v>0</v>
      </c>
    </row>
    <row r="40" spans="1:14" ht="33" thickTop="1" thickBot="1">
      <c r="B40" s="83"/>
      <c r="C40" s="83"/>
      <c r="D40" s="99" t="s">
        <v>31</v>
      </c>
      <c r="E40" s="100"/>
      <c r="F40" s="84" t="s">
        <v>32</v>
      </c>
      <c r="G40" s="85" t="s">
        <v>33</v>
      </c>
      <c r="H40" s="101" t="s">
        <v>34</v>
      </c>
      <c r="I40" s="102"/>
      <c r="J40" s="86" t="s">
        <v>32</v>
      </c>
      <c r="K40" s="86" t="s">
        <v>35</v>
      </c>
      <c r="L40" s="87" t="s">
        <v>36</v>
      </c>
      <c r="M40" s="88"/>
      <c r="N40" s="89" t="s">
        <v>32</v>
      </c>
    </row>
    <row r="41" spans="1:14" ht="30" thickTop="1" thickBot="1">
      <c r="B41" s="83"/>
      <c r="C41" s="83"/>
      <c r="D41" s="103" t="s">
        <v>37</v>
      </c>
      <c r="E41" s="104"/>
      <c r="F41" s="90">
        <f>(G38*0.2)</f>
        <v>-6915772</v>
      </c>
      <c r="G41" s="91">
        <f>G38</f>
        <v>-34578860</v>
      </c>
      <c r="H41" s="105" t="s">
        <v>37</v>
      </c>
      <c r="I41" s="106"/>
      <c r="J41" s="92">
        <f>(K38*7.84)</f>
        <v>-16299.36</v>
      </c>
      <c r="K41" s="93">
        <f>K38</f>
        <v>-2079</v>
      </c>
      <c r="L41" s="94" t="s">
        <v>37</v>
      </c>
      <c r="M41" s="95"/>
      <c r="N41" s="96">
        <f>(O41)</f>
        <v>0</v>
      </c>
    </row>
    <row r="42" spans="1:14" ht="15.75" thickTop="1"/>
  </sheetData>
  <mergeCells count="12">
    <mergeCell ref="A1:N1"/>
    <mergeCell ref="A2:N2"/>
    <mergeCell ref="L3:N3"/>
    <mergeCell ref="M4:M5"/>
    <mergeCell ref="N4:N5"/>
    <mergeCell ref="D40:E40"/>
    <mergeCell ref="H40:I40"/>
    <mergeCell ref="D41:E41"/>
    <mergeCell ref="H41:I41"/>
    <mergeCell ref="B3:C4"/>
    <mergeCell ref="D3:G4"/>
    <mergeCell ref="H3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2025-06-22T13:27:36Z</dcterms:modified>
</cp:coreProperties>
</file>