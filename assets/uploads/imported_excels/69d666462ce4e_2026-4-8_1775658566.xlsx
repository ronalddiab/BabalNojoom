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Desktop/HEP 2025 - Liwa &amp; Mugheria/LIWA/HEP Daily Bateen Liwa 2026/"/>
    </mc:Choice>
  </mc:AlternateContent>
  <xr:revisionPtr revIDLastSave="440" documentId="13_ncr:1_{B58BA514-7E63-407F-96A2-90D76B401778}" xr6:coauthVersionLast="47" xr6:coauthVersionMax="47" xr10:uidLastSave="{CCB91081-E096-4DBE-80F6-86412A705DE4}"/>
  <bookViews>
    <workbookView xWindow="-120" yWindow="-120" windowWidth="29040" windowHeight="15720" tabRatio="783" xr2:uid="{00000000-000D-0000-FFFF-FFFF00000000}"/>
  </bookViews>
  <sheets>
    <sheet name="Total" sheetId="15" r:id="rId1"/>
    <sheet name="BAN-L Electrical &amp; Water " sheetId="14" r:id="rId2"/>
  </sheets>
  <definedNames>
    <definedName name="_xlnm.Print_Area" localSheetId="1">'BAN-L Electrical &amp; Water '!$C$1:$U$38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5" l="1"/>
  <c r="E26" i="15"/>
  <c r="E27" i="15"/>
  <c r="E28" i="15"/>
  <c r="E29" i="15"/>
  <c r="E30" i="15"/>
  <c r="E31" i="15"/>
  <c r="E32" i="15"/>
  <c r="D38" i="14"/>
  <c r="D39" i="14" s="1"/>
  <c r="F38" i="14"/>
  <c r="H38" i="14"/>
  <c r="J38" i="14"/>
  <c r="L38" i="14"/>
  <c r="N38" i="14"/>
  <c r="C42" i="14"/>
  <c r="E42" i="14"/>
  <c r="G42" i="14"/>
  <c r="I42" i="14"/>
  <c r="K42" i="14"/>
  <c r="M42" i="14"/>
  <c r="S42" i="14" l="1"/>
  <c r="Q42" i="14"/>
  <c r="O42" i="14"/>
  <c r="I31" i="15"/>
  <c r="I32" i="15"/>
  <c r="B30" i="15"/>
  <c r="B31" i="15"/>
  <c r="B32" i="15"/>
  <c r="T33" i="14"/>
  <c r="T34" i="14"/>
  <c r="T35" i="14"/>
  <c r="T36" i="14"/>
  <c r="T37" i="14"/>
  <c r="R33" i="14"/>
  <c r="R34" i="14"/>
  <c r="R35" i="14"/>
  <c r="R36" i="14"/>
  <c r="R37" i="14"/>
  <c r="P33" i="14"/>
  <c r="P34" i="14"/>
  <c r="P35" i="14"/>
  <c r="P36" i="14"/>
  <c r="P37" i="14"/>
  <c r="N33" i="14"/>
  <c r="N34" i="14"/>
  <c r="N35" i="14"/>
  <c r="N36" i="14"/>
  <c r="N37" i="14"/>
  <c r="L32" i="14"/>
  <c r="L33" i="14"/>
  <c r="L34" i="14"/>
  <c r="L35" i="14"/>
  <c r="L36" i="14"/>
  <c r="L37" i="14"/>
  <c r="J33" i="14"/>
  <c r="J34" i="14"/>
  <c r="J35" i="14"/>
  <c r="J36" i="14"/>
  <c r="J37" i="14"/>
  <c r="H33" i="14"/>
  <c r="H34" i="14"/>
  <c r="H35" i="14"/>
  <c r="H36" i="14"/>
  <c r="H37" i="14"/>
  <c r="F33" i="14"/>
  <c r="F34" i="14"/>
  <c r="F35" i="14"/>
  <c r="F36" i="14"/>
  <c r="F37" i="14"/>
  <c r="D33" i="14"/>
  <c r="D34" i="14"/>
  <c r="D35" i="14"/>
  <c r="D36" i="14"/>
  <c r="D3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7" i="14"/>
  <c r="D7" i="14" l="1"/>
  <c r="F7" i="14"/>
  <c r="H7" i="14"/>
  <c r="J7" i="14"/>
  <c r="D8" i="14"/>
  <c r="F8" i="14"/>
  <c r="H8" i="14"/>
  <c r="J8" i="14"/>
  <c r="D9" i="14"/>
  <c r="F9" i="14"/>
  <c r="H9" i="14"/>
  <c r="J9" i="14"/>
  <c r="D10" i="14"/>
  <c r="F10" i="14"/>
  <c r="H10" i="14"/>
  <c r="J10" i="14"/>
  <c r="D11" i="14"/>
  <c r="F11" i="14"/>
  <c r="H11" i="14"/>
  <c r="J11" i="14"/>
  <c r="D12" i="14"/>
  <c r="F12" i="14"/>
  <c r="H12" i="14"/>
  <c r="J12" i="14"/>
  <c r="D13" i="14"/>
  <c r="F13" i="14"/>
  <c r="H13" i="14"/>
  <c r="J13" i="14"/>
  <c r="D14" i="14"/>
  <c r="F14" i="14"/>
  <c r="H14" i="14"/>
  <c r="J14" i="14"/>
  <c r="D15" i="14"/>
  <c r="F15" i="14"/>
  <c r="H15" i="14"/>
  <c r="J15" i="14"/>
  <c r="D16" i="14"/>
  <c r="F16" i="14"/>
  <c r="H16" i="14"/>
  <c r="J16" i="14"/>
  <c r="D17" i="14"/>
  <c r="F17" i="14"/>
  <c r="H17" i="14"/>
  <c r="J17" i="14"/>
  <c r="D18" i="14"/>
  <c r="F18" i="14"/>
  <c r="H18" i="14"/>
  <c r="J18" i="14"/>
  <c r="D19" i="14"/>
  <c r="F19" i="14"/>
  <c r="H19" i="14"/>
  <c r="J19" i="14"/>
  <c r="D20" i="14"/>
  <c r="F20" i="14"/>
  <c r="H20" i="14"/>
  <c r="J20" i="14"/>
  <c r="D21" i="14"/>
  <c r="F21" i="14"/>
  <c r="H21" i="14"/>
  <c r="J21" i="14"/>
  <c r="D22" i="14"/>
  <c r="F22" i="14"/>
  <c r="H22" i="14"/>
  <c r="J22" i="14"/>
  <c r="D23" i="14"/>
  <c r="F23" i="14"/>
  <c r="H23" i="14"/>
  <c r="J23" i="14"/>
  <c r="D24" i="14"/>
  <c r="F24" i="14"/>
  <c r="H24" i="14"/>
  <c r="J24" i="14"/>
  <c r="D25" i="14"/>
  <c r="F25" i="14"/>
  <c r="H25" i="14"/>
  <c r="J25" i="14"/>
  <c r="D26" i="14"/>
  <c r="F26" i="14"/>
  <c r="H26" i="14"/>
  <c r="J26" i="14"/>
  <c r="D27" i="14"/>
  <c r="F27" i="14"/>
  <c r="H27" i="14"/>
  <c r="J27" i="14"/>
  <c r="D28" i="14"/>
  <c r="F28" i="14"/>
  <c r="H28" i="14"/>
  <c r="J28" i="14"/>
  <c r="D29" i="14"/>
  <c r="F29" i="14"/>
  <c r="H29" i="14"/>
  <c r="J29" i="14"/>
  <c r="D30" i="14"/>
  <c r="F30" i="14"/>
  <c r="H30" i="14"/>
  <c r="J30" i="14"/>
  <c r="D31" i="14"/>
  <c r="F31" i="14"/>
  <c r="H31" i="14"/>
  <c r="J31" i="14"/>
  <c r="D32" i="14"/>
  <c r="F32" i="14"/>
  <c r="H32" i="14"/>
  <c r="J32" i="14"/>
  <c r="L7" i="14"/>
  <c r="N7" i="14"/>
  <c r="R7" i="14"/>
  <c r="T7" i="14"/>
  <c r="L8" i="14"/>
  <c r="N8" i="14"/>
  <c r="R8" i="14"/>
  <c r="T8" i="14"/>
  <c r="L9" i="14"/>
  <c r="N9" i="14"/>
  <c r="R9" i="14"/>
  <c r="T9" i="14"/>
  <c r="L10" i="14"/>
  <c r="N10" i="14"/>
  <c r="R10" i="14"/>
  <c r="T10" i="14"/>
  <c r="L11" i="14"/>
  <c r="N11" i="14"/>
  <c r="R11" i="14"/>
  <c r="T11" i="14"/>
  <c r="L12" i="14"/>
  <c r="N12" i="14"/>
  <c r="R12" i="14"/>
  <c r="T12" i="14"/>
  <c r="L13" i="14"/>
  <c r="N13" i="14"/>
  <c r="R13" i="14"/>
  <c r="T13" i="14"/>
  <c r="L14" i="14"/>
  <c r="N14" i="14"/>
  <c r="R14" i="14"/>
  <c r="T14" i="14"/>
  <c r="R24" i="14"/>
  <c r="R25" i="14"/>
  <c r="R26" i="14"/>
  <c r="R27" i="14"/>
  <c r="R28" i="14"/>
  <c r="R29" i="14"/>
  <c r="R30" i="14"/>
  <c r="N29" i="14"/>
  <c r="N28" i="14"/>
  <c r="N27" i="14"/>
  <c r="N26" i="14"/>
  <c r="N25" i="14"/>
  <c r="N24" i="14"/>
  <c r="L24" i="14"/>
  <c r="L25" i="14"/>
  <c r="L26" i="14"/>
  <c r="L27" i="14"/>
  <c r="L28" i="14"/>
  <c r="L29" i="14"/>
  <c r="L30" i="14"/>
  <c r="L31" i="14"/>
  <c r="R15" i="14"/>
  <c r="R16" i="14"/>
  <c r="R17" i="14"/>
  <c r="R18" i="14"/>
  <c r="R19" i="14"/>
  <c r="R20" i="14"/>
  <c r="R21" i="14"/>
  <c r="R22" i="14"/>
  <c r="R23" i="14"/>
  <c r="R31" i="14"/>
  <c r="R32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N32" i="14"/>
  <c r="N31" i="14"/>
  <c r="N30" i="14"/>
  <c r="N23" i="14"/>
  <c r="L23" i="14"/>
  <c r="N22" i="14"/>
  <c r="L22" i="14"/>
  <c r="N21" i="14"/>
  <c r="L21" i="14"/>
  <c r="N20" i="14"/>
  <c r="L20" i="14"/>
  <c r="N19" i="14"/>
  <c r="L19" i="14"/>
  <c r="N18" i="14"/>
  <c r="L18" i="14"/>
  <c r="N17" i="14"/>
  <c r="L17" i="14"/>
  <c r="N16" i="14"/>
  <c r="L16" i="14"/>
  <c r="N15" i="14"/>
  <c r="L15" i="14"/>
  <c r="I30" i="15" l="1"/>
  <c r="H39" i="14"/>
  <c r="N39" i="14"/>
  <c r="L39" i="14"/>
  <c r="J39" i="14"/>
  <c r="F39" i="14"/>
  <c r="E24" i="15"/>
  <c r="E23" i="15"/>
  <c r="E22" i="15"/>
  <c r="E21" i="15"/>
  <c r="E20" i="15"/>
  <c r="E19" i="15"/>
  <c r="E15" i="15"/>
  <c r="E13" i="15"/>
  <c r="E12" i="15"/>
  <c r="E10" i="15"/>
  <c r="E9" i="15"/>
  <c r="E8" i="15"/>
  <c r="E6" i="15"/>
  <c r="E3" i="15"/>
  <c r="E2" i="15"/>
  <c r="E16" i="15" l="1"/>
  <c r="E18" i="15"/>
  <c r="E14" i="15"/>
  <c r="E11" i="15"/>
  <c r="E17" i="15"/>
  <c r="E7" i="15"/>
  <c r="E4" i="15"/>
  <c r="E5" i="15"/>
  <c r="I2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</calcChain>
</file>

<file path=xl/sharedStrings.xml><?xml version="1.0" encoding="utf-8"?>
<sst xmlns="http://schemas.openxmlformats.org/spreadsheetml/2006/main" count="92" uniqueCount="40">
  <si>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</si>
  <si>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</si>
  <si>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</si>
  <si>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</si>
  <si>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</si>
  <si>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</si>
  <si>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</si>
  <si>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</si>
  <si>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(USG) USG</t>
  </si>
  <si>
    <t>Water Utility Supply (USG) $/USG</t>
  </si>
  <si>
    <t>Irrigation Water (USG) USG</t>
  </si>
  <si>
    <t>Irrigation water  $/USG</t>
  </si>
  <si>
    <t xml:space="preserve">Room Nights </t>
  </si>
  <si>
    <t xml:space="preserve">Total Guests </t>
  </si>
  <si>
    <t>Bateen Liwa</t>
  </si>
  <si>
    <t xml:space="preserve">BAN- Bateen Liwa Utility Readings </t>
  </si>
  <si>
    <t>TYPE</t>
  </si>
  <si>
    <t>Time</t>
  </si>
  <si>
    <t xml:space="preserve">BAN- Bateen Liwa Block 01 </t>
  </si>
  <si>
    <t xml:space="preserve">Daily Consumptions </t>
  </si>
  <si>
    <t>BAN- Bateen Liwa Block 02</t>
  </si>
  <si>
    <t>BAN- Bateen Liwa Block 03</t>
  </si>
  <si>
    <t>BAN- Bateen Liwa Block 04</t>
  </si>
  <si>
    <t>BAN- Bateen Liwa Arrival Building</t>
  </si>
  <si>
    <t>BAN- Bateen Liwa Main Building</t>
  </si>
  <si>
    <t>BAN- Bateen Arrival Readings -Irrigation Water 01. 80W KF-24532212</t>
  </si>
  <si>
    <t>BAN- Bateen Arrival Readings -Irrigation Water 02. 50W KF-23510667</t>
  </si>
  <si>
    <t>BAN- Bateen Liwa Arrival Readings - Sweet Water.                   100W KF-24542604</t>
  </si>
  <si>
    <t xml:space="preserve">Remarks </t>
  </si>
  <si>
    <t>Meter</t>
  </si>
  <si>
    <t>AC No 15T20D000097</t>
  </si>
  <si>
    <t>AC N0 15T20D000022</t>
  </si>
  <si>
    <t>AC No 15T20D000062</t>
  </si>
  <si>
    <t>AC No 15T20D000064</t>
  </si>
  <si>
    <t>AC No 15T20D000174</t>
  </si>
  <si>
    <t>AC N0 15T20D000177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</si>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</sst>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1"/>
      <color rgb="FF000000"/>
      <name val="Calibri"/>
      <family val="2"/>
    </font>
    <font>
      <b/>
      <sz val="1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1" fillId="0" borderId="0" xfId="1" applyFont="1"/>
    <xf numFmtId="0" fontId="9" fillId="0" borderId="0" xfId="1"/>
    <xf numFmtId="0" fontId="13" fillId="7" borderId="5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5" fillId="9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1D4A9FB-96CC-4ACF-A867-2973552E91BF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'!$D$6:$D$38</c:f>
              <c:numCache>
                <c:formatCode>General</c:formatCode>
                <c:ptCount val="33"/>
                <c:pt idx="0">
                  <c:v>0</c:v>
                </c:pt>
                <c:pt idx="1">
                  <c:v>1131</c:v>
                </c:pt>
                <c:pt idx="2">
                  <c:v>1174</c:v>
                </c:pt>
                <c:pt idx="3">
                  <c:v>1233</c:v>
                </c:pt>
                <c:pt idx="4">
                  <c:v>1174</c:v>
                </c:pt>
                <c:pt idx="5">
                  <c:v>1235</c:v>
                </c:pt>
                <c:pt idx="6">
                  <c:v>1156</c:v>
                </c:pt>
                <c:pt idx="7">
                  <c:v>1176</c:v>
                </c:pt>
                <c:pt idx="8">
                  <c:v>1145</c:v>
                </c:pt>
                <c:pt idx="9">
                  <c:v>1144</c:v>
                </c:pt>
                <c:pt idx="10">
                  <c:v>1099</c:v>
                </c:pt>
                <c:pt idx="11">
                  <c:v>1144</c:v>
                </c:pt>
                <c:pt idx="12">
                  <c:v>1159</c:v>
                </c:pt>
                <c:pt idx="13">
                  <c:v>1205</c:v>
                </c:pt>
                <c:pt idx="14">
                  <c:v>1167</c:v>
                </c:pt>
                <c:pt idx="15">
                  <c:v>1203</c:v>
                </c:pt>
                <c:pt idx="16">
                  <c:v>1306</c:v>
                </c:pt>
                <c:pt idx="17">
                  <c:v>1387</c:v>
                </c:pt>
                <c:pt idx="18">
                  <c:v>1370</c:v>
                </c:pt>
                <c:pt idx="19">
                  <c:v>1131</c:v>
                </c:pt>
                <c:pt idx="20">
                  <c:v>1131</c:v>
                </c:pt>
                <c:pt idx="21">
                  <c:v>1109</c:v>
                </c:pt>
                <c:pt idx="22">
                  <c:v>1074</c:v>
                </c:pt>
                <c:pt idx="23">
                  <c:v>1227</c:v>
                </c:pt>
                <c:pt idx="24">
                  <c:v>731</c:v>
                </c:pt>
                <c:pt idx="25">
                  <c:v>728</c:v>
                </c:pt>
                <c:pt idx="26">
                  <c:v>728</c:v>
                </c:pt>
                <c:pt idx="27">
                  <c:v>714</c:v>
                </c:pt>
                <c:pt idx="28">
                  <c:v>561</c:v>
                </c:pt>
                <c:pt idx="29">
                  <c:v>1020</c:v>
                </c:pt>
                <c:pt idx="30">
                  <c:v>1107</c:v>
                </c:pt>
                <c:pt idx="31">
                  <c:v>948</c:v>
                </c:pt>
                <c:pt idx="32">
                  <c:v>-1631676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'!$P$6:$P$38</c:f>
              <c:numCache>
                <c:formatCode>General</c:formatCode>
                <c:ptCount val="33"/>
                <c:pt idx="0">
                  <c:v>0</c:v>
                </c:pt>
                <c:pt idx="1">
                  <c:v>117</c:v>
                </c:pt>
                <c:pt idx="2">
                  <c:v>119</c:v>
                </c:pt>
                <c:pt idx="3">
                  <c:v>125</c:v>
                </c:pt>
                <c:pt idx="4">
                  <c:v>111</c:v>
                </c:pt>
                <c:pt idx="5">
                  <c:v>123</c:v>
                </c:pt>
                <c:pt idx="6">
                  <c:v>123</c:v>
                </c:pt>
                <c:pt idx="7">
                  <c:v>121</c:v>
                </c:pt>
                <c:pt idx="8">
                  <c:v>118</c:v>
                </c:pt>
                <c:pt idx="9">
                  <c:v>121</c:v>
                </c:pt>
                <c:pt idx="10">
                  <c:v>129</c:v>
                </c:pt>
                <c:pt idx="11">
                  <c:v>88</c:v>
                </c:pt>
                <c:pt idx="12">
                  <c:v>93</c:v>
                </c:pt>
                <c:pt idx="13">
                  <c:v>76</c:v>
                </c:pt>
                <c:pt idx="14">
                  <c:v>138</c:v>
                </c:pt>
                <c:pt idx="15">
                  <c:v>113</c:v>
                </c:pt>
                <c:pt idx="16">
                  <c:v>141</c:v>
                </c:pt>
                <c:pt idx="17">
                  <c:v>126</c:v>
                </c:pt>
                <c:pt idx="18">
                  <c:v>121</c:v>
                </c:pt>
                <c:pt idx="19">
                  <c:v>127</c:v>
                </c:pt>
                <c:pt idx="20">
                  <c:v>106</c:v>
                </c:pt>
                <c:pt idx="21">
                  <c:v>106</c:v>
                </c:pt>
                <c:pt idx="22">
                  <c:v>89</c:v>
                </c:pt>
                <c:pt idx="23">
                  <c:v>143</c:v>
                </c:pt>
                <c:pt idx="24">
                  <c:v>48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550407</xdr:colOff>
      <xdr:row>5</xdr:row>
      <xdr:rowOff>149678</xdr:rowOff>
    </xdr:from>
    <xdr:to>
      <xdr:col>37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530998</xdr:colOff>
      <xdr:row>14</xdr:row>
      <xdr:rowOff>176891</xdr:rowOff>
    </xdr:from>
    <xdr:to>
      <xdr:col>37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  <a:ext uri="{147F2762-F138-4A5C-976F-8EAC2B608ADB}">
              <a16:predDERef xmlns:a16="http://schemas.microsoft.com/office/drawing/2014/main" pre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550689</xdr:colOff>
      <xdr:row>23</xdr:row>
      <xdr:rowOff>248929</xdr:rowOff>
    </xdr:from>
    <xdr:to>
      <xdr:col>37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  <a:ext uri="{147F2762-F138-4A5C-976F-8EAC2B608ADB}">
              <a16:predDERef xmlns:a16="http://schemas.microsoft.com/office/drawing/2014/main" pre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124240</xdr:rowOff>
    </xdr:from>
    <xdr:to>
      <xdr:col>20</xdr:col>
      <xdr:colOff>2470978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AF2-46CC-4711-AABD-FCF3E7855600}">
  <dimension ref="A1:Z34"/>
  <sheetViews>
    <sheetView tabSelected="1" workbookViewId="0">
      <selection activeCell="M14" sqref="M14"/>
    </sheetView>
  </sheetViews>
  <sheetFormatPr defaultColWidth="11.5703125" defaultRowHeight="15" x14ac:dyDescent="0.25"/>
  <cols>
    <col min="1" max="1" width="29.140625" style="28" bestFit="1" customWidth="1"/>
    <col min="2" max="3" width="11.5703125" style="23"/>
    <col min="4" max="4" width="13.42578125" style="23" customWidth="1"/>
    <col min="5" max="5" width="12.5703125" style="26" customWidth="1"/>
    <col min="6" max="6" width="12.5703125" style="25" customWidth="1"/>
    <col min="7" max="7" width="11.5703125" style="26"/>
    <col min="8" max="8" width="11.5703125" style="25"/>
    <col min="9" max="9" width="11.5703125" style="26"/>
    <col min="10" max="10" width="11.5703125" style="27"/>
    <col min="11" max="11" width="11.5703125" style="26"/>
    <col min="12" max="12" width="11.5703125" style="27"/>
    <col min="13" max="26" width="11.5703125" style="26"/>
    <col min="27" max="16384" width="11.5703125" style="29"/>
  </cols>
  <sheetData>
    <row r="1" spans="1:14" s="21" customFormat="1" ht="75" x14ac:dyDescent="0.25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18" t="s">
        <v>6</v>
      </c>
      <c r="H1" s="19" t="s">
        <v>7</v>
      </c>
      <c r="I1" s="18" t="s">
        <v>8</v>
      </c>
      <c r="J1" s="20" t="s">
        <v>9</v>
      </c>
      <c r="K1" s="18" t="s">
        <v>10</v>
      </c>
      <c r="L1" s="20" t="s">
        <v>11</v>
      </c>
      <c r="M1" s="18" t="s">
        <v>12</v>
      </c>
      <c r="N1" s="18" t="s">
        <v>13</v>
      </c>
    </row>
    <row r="2" spans="1:14" x14ac:dyDescent="0.25">
      <c r="A2" s="22" t="s">
        <v>14</v>
      </c>
      <c r="B2" s="23">
        <v>1</v>
      </c>
      <c r="C2" s="23">
        <v>3</v>
      </c>
      <c r="D2" s="23">
        <v>2026</v>
      </c>
      <c r="E2" s="24">
        <f>IF('BAN-L Electrical &amp; Water '!D7+'BAN-L Electrical &amp; Water '!F7+'BAN-L Electrical &amp; Water '!H7+'BAN-L Electrical &amp; Water '!J7+'BAN-L Electrical &amp; Water '!L7+'BAN-L Electrical &amp; Water '!N7&gt;0,'BAN-L Electrical &amp; Water '!D7+'BAN-L Electrical &amp; Water '!F7+'BAN-L Electrical &amp; Water '!H7+'BAN-L Electrical &amp; Water '!J7+'BAN-L Electrical &amp; Water '!L7+'BAN-L Electrical &amp; Water '!N7,0)</f>
        <v>10282</v>
      </c>
      <c r="F2" s="25">
        <v>0.2</v>
      </c>
      <c r="G2" s="24"/>
      <c r="H2" s="25">
        <v>5.42</v>
      </c>
      <c r="I2" s="24">
        <f>IF('BAN-L Electrical &amp; Water '!P7+'BAN-L Electrical &amp; Water '!R7+'BAN-L Electrical &amp; Water '!T7&gt;0,'BAN-L Electrical &amp; Water '!P7+'BAN-L Electrical &amp; Water '!R7+'BAN-L Electrical &amp; Water '!T7,0)</f>
        <v>267</v>
      </c>
      <c r="J2" s="25">
        <v>7.84</v>
      </c>
      <c r="K2" s="24"/>
      <c r="L2" s="25">
        <v>7.84</v>
      </c>
      <c r="M2" s="32">
        <v>43</v>
      </c>
      <c r="N2" s="32">
        <v>119</v>
      </c>
    </row>
    <row r="3" spans="1:14" x14ac:dyDescent="0.25">
      <c r="A3" s="22" t="s">
        <v>14</v>
      </c>
      <c r="B3" s="23">
        <f>B2+1</f>
        <v>2</v>
      </c>
      <c r="C3" s="23">
        <v>3</v>
      </c>
      <c r="D3" s="23">
        <v>2026</v>
      </c>
      <c r="E3" s="24">
        <f>IF('BAN-L Electrical &amp; Water '!D8+'BAN-L Electrical &amp; Water '!F8+'BAN-L Electrical &amp; Water '!H8+'BAN-L Electrical &amp; Water '!J8+'BAN-L Electrical &amp; Water '!L8+'BAN-L Electrical &amp; Water '!N8&gt;0,'BAN-L Electrical &amp; Water '!D8+'BAN-L Electrical &amp; Water '!F8+'BAN-L Electrical &amp; Water '!H8+'BAN-L Electrical &amp; Water '!J8+'BAN-L Electrical &amp; Water '!L8+'BAN-L Electrical &amp; Water '!N8,0)</f>
        <v>11976</v>
      </c>
      <c r="F3" s="25">
        <v>0.2</v>
      </c>
      <c r="G3" s="24"/>
      <c r="H3" s="25">
        <v>5.42</v>
      </c>
      <c r="I3" s="24">
        <f>IF('BAN-L Electrical &amp; Water '!P8+'BAN-L Electrical &amp; Water '!R8+'BAN-L Electrical &amp; Water '!T8&gt;0,'BAN-L Electrical &amp; Water '!P8+'BAN-L Electrical &amp; Water '!R8+'BAN-L Electrical &amp; Water '!T8,0)</f>
        <v>330</v>
      </c>
      <c r="J3" s="25">
        <v>7.84</v>
      </c>
      <c r="K3" s="24"/>
      <c r="L3" s="25">
        <v>7.84</v>
      </c>
      <c r="M3" s="32">
        <v>47</v>
      </c>
      <c r="N3" s="32">
        <v>141</v>
      </c>
    </row>
    <row r="4" spans="1:14" x14ac:dyDescent="0.25">
      <c r="A4" s="22" t="s">
        <v>14</v>
      </c>
      <c r="B4" s="23">
        <f t="shared" ref="B4:B32" si="0">B3+1</f>
        <v>3</v>
      </c>
      <c r="C4" s="23">
        <v>3</v>
      </c>
      <c r="D4" s="23">
        <v>2026</v>
      </c>
      <c r="E4" s="24">
        <f>IF('BAN-L Electrical &amp; Water '!D9+'BAN-L Electrical &amp; Water '!F9+'BAN-L Electrical &amp; Water '!H9+'BAN-L Electrical &amp; Water '!J9+'BAN-L Electrical &amp; Water '!L9+'BAN-L Electrical &amp; Water '!N9&gt;0,'BAN-L Electrical &amp; Water '!D9+'BAN-L Electrical &amp; Water '!F9+'BAN-L Electrical &amp; Water '!H9+'BAN-L Electrical &amp; Water '!J9+'BAN-L Electrical &amp; Water '!L9+'BAN-L Electrical &amp; Water '!N9,0)</f>
        <v>11920</v>
      </c>
      <c r="F4" s="25">
        <v>0.2</v>
      </c>
      <c r="G4" s="24"/>
      <c r="H4" s="25">
        <v>5.42</v>
      </c>
      <c r="I4" s="24">
        <f>IF('BAN-L Electrical &amp; Water '!P9+'BAN-L Electrical &amp; Water '!R9+'BAN-L Electrical &amp; Water '!T9&gt;0,'BAN-L Electrical &amp; Water '!P9+'BAN-L Electrical &amp; Water '!R9+'BAN-L Electrical &amp; Water '!T9,0)</f>
        <v>274</v>
      </c>
      <c r="J4" s="25">
        <v>7.84</v>
      </c>
      <c r="K4" s="24"/>
      <c r="L4" s="25">
        <v>7.84</v>
      </c>
      <c r="M4" s="32">
        <v>51</v>
      </c>
      <c r="N4" s="32">
        <v>156</v>
      </c>
    </row>
    <row r="5" spans="1:14" x14ac:dyDescent="0.25">
      <c r="A5" s="22" t="s">
        <v>14</v>
      </c>
      <c r="B5" s="23">
        <f t="shared" si="0"/>
        <v>4</v>
      </c>
      <c r="C5" s="23">
        <v>3</v>
      </c>
      <c r="D5" s="23">
        <v>2026</v>
      </c>
      <c r="E5" s="24">
        <f>IF('BAN-L Electrical &amp; Water '!D10+'BAN-L Electrical &amp; Water '!F10+'BAN-L Electrical &amp; Water '!H10+'BAN-L Electrical &amp; Water '!J10+'BAN-L Electrical &amp; Water '!L10+'BAN-L Electrical &amp; Water '!N10&gt;0,'BAN-L Electrical &amp; Water '!D10+'BAN-L Electrical &amp; Water '!F10+'BAN-L Electrical &amp; Water '!H10+'BAN-L Electrical &amp; Water '!J10+'BAN-L Electrical &amp; Water '!L10+'BAN-L Electrical &amp; Water '!N10,0)</f>
        <v>11331</v>
      </c>
      <c r="F5" s="25">
        <v>0.2</v>
      </c>
      <c r="G5" s="24"/>
      <c r="H5" s="25">
        <v>5.42</v>
      </c>
      <c r="I5" s="24">
        <f>IF('BAN-L Electrical &amp; Water '!P10+'BAN-L Electrical &amp; Water '!R10+'BAN-L Electrical &amp; Water '!T10&gt;0,'BAN-L Electrical &amp; Water '!P10+'BAN-L Electrical &amp; Water '!R10+'BAN-L Electrical &amp; Water '!T10,0)</f>
        <v>213</v>
      </c>
      <c r="J5" s="25">
        <v>7.84</v>
      </c>
      <c r="K5" s="24"/>
      <c r="L5" s="25">
        <v>7.84</v>
      </c>
      <c r="M5" s="32">
        <v>42</v>
      </c>
      <c r="N5" s="32">
        <v>129</v>
      </c>
    </row>
    <row r="6" spans="1:14" x14ac:dyDescent="0.25">
      <c r="A6" s="22" t="s">
        <v>14</v>
      </c>
      <c r="B6" s="23">
        <f t="shared" si="0"/>
        <v>5</v>
      </c>
      <c r="C6" s="23">
        <v>3</v>
      </c>
      <c r="D6" s="23">
        <v>2026</v>
      </c>
      <c r="E6" s="24">
        <f>IF('BAN-L Electrical &amp; Water '!D11+'BAN-L Electrical &amp; Water '!F11+'BAN-L Electrical &amp; Water '!H11+'BAN-L Electrical &amp; Water '!J11+'BAN-L Electrical &amp; Water '!L11+'BAN-L Electrical &amp; Water '!N11&gt;0,'BAN-L Electrical &amp; Water '!D11+'BAN-L Electrical &amp; Water '!F11+'BAN-L Electrical &amp; Water '!H11+'BAN-L Electrical &amp; Water '!J11+'BAN-L Electrical &amp; Water '!L11+'BAN-L Electrical &amp; Water '!N11,0)</f>
        <v>10354</v>
      </c>
      <c r="F6" s="25">
        <v>0.2</v>
      </c>
      <c r="G6" s="24"/>
      <c r="H6" s="25">
        <v>5.42</v>
      </c>
      <c r="I6" s="24">
        <f>IF('BAN-L Electrical &amp; Water '!P11+'BAN-L Electrical &amp; Water '!R11+'BAN-L Electrical &amp; Water '!T11&gt;0,'BAN-L Electrical &amp; Water '!P11+'BAN-L Electrical &amp; Water '!R11+'BAN-L Electrical &amp; Water '!T11,0)</f>
        <v>253</v>
      </c>
      <c r="J6" s="25">
        <v>7.84</v>
      </c>
      <c r="K6" s="24"/>
      <c r="L6" s="25">
        <v>7.84</v>
      </c>
      <c r="M6" s="32">
        <v>42</v>
      </c>
      <c r="N6" s="32">
        <v>126</v>
      </c>
    </row>
    <row r="7" spans="1:14" x14ac:dyDescent="0.25">
      <c r="A7" s="22" t="s">
        <v>14</v>
      </c>
      <c r="B7" s="23">
        <f t="shared" si="0"/>
        <v>6</v>
      </c>
      <c r="C7" s="23">
        <v>3</v>
      </c>
      <c r="D7" s="23">
        <v>2026</v>
      </c>
      <c r="E7" s="24">
        <f>IF('BAN-L Electrical &amp; Water '!D12+'BAN-L Electrical &amp; Water '!F12+'BAN-L Electrical &amp; Water '!H12+'BAN-L Electrical &amp; Water '!J12+'BAN-L Electrical &amp; Water '!L12+'BAN-L Electrical &amp; Water '!N12&gt;0,'BAN-L Electrical &amp; Water '!D12+'BAN-L Electrical &amp; Water '!F12+'BAN-L Electrical &amp; Water '!H12+'BAN-L Electrical &amp; Water '!J12+'BAN-L Electrical &amp; Water '!L12+'BAN-L Electrical &amp; Water '!N12,0)</f>
        <v>10445</v>
      </c>
      <c r="F7" s="25">
        <v>0.2</v>
      </c>
      <c r="G7" s="24"/>
      <c r="H7" s="25">
        <v>5.42</v>
      </c>
      <c r="I7" s="24">
        <f>IF('BAN-L Electrical &amp; Water '!P12+'BAN-L Electrical &amp; Water '!R12+'BAN-L Electrical &amp; Water '!T12&gt;0,'BAN-L Electrical &amp; Water '!P12+'BAN-L Electrical &amp; Water '!R12+'BAN-L Electrical &amp; Water '!T12,0)</f>
        <v>327</v>
      </c>
      <c r="J7" s="25">
        <v>7.84</v>
      </c>
      <c r="K7" s="24"/>
      <c r="L7" s="25">
        <v>7.84</v>
      </c>
      <c r="M7" s="32">
        <v>37</v>
      </c>
      <c r="N7" s="32">
        <v>112</v>
      </c>
    </row>
    <row r="8" spans="1:14" x14ac:dyDescent="0.25">
      <c r="A8" s="22" t="s">
        <v>14</v>
      </c>
      <c r="B8" s="23">
        <f t="shared" si="0"/>
        <v>7</v>
      </c>
      <c r="C8" s="23">
        <v>3</v>
      </c>
      <c r="D8" s="23">
        <v>2026</v>
      </c>
      <c r="E8" s="24">
        <f>IF('BAN-L Electrical &amp; Water '!D13+'BAN-L Electrical &amp; Water '!F13+'BAN-L Electrical &amp; Water '!H13+'BAN-L Electrical &amp; Water '!J13+'BAN-L Electrical &amp; Water '!L13+'BAN-L Electrical &amp; Water '!N13&gt;0,'BAN-L Electrical &amp; Water '!D13+'BAN-L Electrical &amp; Water '!F13+'BAN-L Electrical &amp; Water '!H13+'BAN-L Electrical &amp; Water '!J13+'BAN-L Electrical &amp; Water '!L13+'BAN-L Electrical &amp; Water '!N13,0)</f>
        <v>10308</v>
      </c>
      <c r="F8" s="25">
        <v>0.2</v>
      </c>
      <c r="G8" s="24"/>
      <c r="H8" s="25">
        <v>5.42</v>
      </c>
      <c r="I8" s="24">
        <f>IF('BAN-L Electrical &amp; Water '!P13+'BAN-L Electrical &amp; Water '!R13+'BAN-L Electrical &amp; Water '!T13&gt;0,'BAN-L Electrical &amp; Water '!P13+'BAN-L Electrical &amp; Water '!R13+'BAN-L Electrical &amp; Water '!T13,0)</f>
        <v>259</v>
      </c>
      <c r="J8" s="25">
        <v>7.84</v>
      </c>
      <c r="K8" s="24"/>
      <c r="L8" s="25">
        <v>7.84</v>
      </c>
      <c r="M8" s="32">
        <v>39</v>
      </c>
      <c r="N8" s="32">
        <v>112</v>
      </c>
    </row>
    <row r="9" spans="1:14" x14ac:dyDescent="0.25">
      <c r="A9" s="22" t="s">
        <v>14</v>
      </c>
      <c r="B9" s="23">
        <f t="shared" si="0"/>
        <v>8</v>
      </c>
      <c r="C9" s="23">
        <v>3</v>
      </c>
      <c r="D9" s="23">
        <v>2026</v>
      </c>
      <c r="E9" s="24">
        <f>IF('BAN-L Electrical &amp; Water '!D14+'BAN-L Electrical &amp; Water '!F14+'BAN-L Electrical &amp; Water '!H14+'BAN-L Electrical &amp; Water '!J14+'BAN-L Electrical &amp; Water '!L14+'BAN-L Electrical &amp; Water '!N14&gt;0,'BAN-L Electrical &amp; Water '!D14+'BAN-L Electrical &amp; Water '!F14+'BAN-L Electrical &amp; Water '!H14+'BAN-L Electrical &amp; Water '!J14+'BAN-L Electrical &amp; Water '!L14+'BAN-L Electrical &amp; Water '!N14,0)</f>
        <v>9993</v>
      </c>
      <c r="F9" s="25">
        <v>0.2</v>
      </c>
      <c r="G9" s="24"/>
      <c r="H9" s="25">
        <v>5.42</v>
      </c>
      <c r="I9" s="24">
        <f>IF('BAN-L Electrical &amp; Water '!P14+'BAN-L Electrical &amp; Water '!R14+'BAN-L Electrical &amp; Water '!T14&gt;0,'BAN-L Electrical &amp; Water '!P14+'BAN-L Electrical &amp; Water '!R14+'BAN-L Electrical &amp; Water '!T14,0)</f>
        <v>286</v>
      </c>
      <c r="J9" s="25">
        <v>7.84</v>
      </c>
      <c r="K9" s="24"/>
      <c r="L9" s="25">
        <v>7.84</v>
      </c>
      <c r="M9" s="32">
        <v>41</v>
      </c>
      <c r="N9" s="32">
        <v>113</v>
      </c>
    </row>
    <row r="10" spans="1:14" x14ac:dyDescent="0.25">
      <c r="A10" s="22" t="s">
        <v>14</v>
      </c>
      <c r="B10" s="23">
        <f t="shared" si="0"/>
        <v>9</v>
      </c>
      <c r="C10" s="23">
        <v>3</v>
      </c>
      <c r="D10" s="23">
        <v>2026</v>
      </c>
      <c r="E10" s="24">
        <f>IF('BAN-L Electrical &amp; Water '!D15+'BAN-L Electrical &amp; Water '!F15+'BAN-L Electrical &amp; Water '!H15+'BAN-L Electrical &amp; Water '!J15+'BAN-L Electrical &amp; Water '!L15+'BAN-L Electrical &amp; Water '!N15&gt;0,'BAN-L Electrical &amp; Water '!D15+'BAN-L Electrical &amp; Water '!F15+'BAN-L Electrical &amp; Water '!H15+'BAN-L Electrical &amp; Water '!J15+'BAN-L Electrical &amp; Water '!L15+'BAN-L Electrical &amp; Water '!N15,0)</f>
        <v>10823</v>
      </c>
      <c r="F10" s="25">
        <v>0.2</v>
      </c>
      <c r="G10" s="24"/>
      <c r="H10" s="25">
        <v>5.42</v>
      </c>
      <c r="I10" s="24">
        <f>IF('BAN-L Electrical &amp; Water '!P15+'BAN-L Electrical &amp; Water '!R15+'BAN-L Electrical &amp; Water '!T15&gt;0,'BAN-L Electrical &amp; Water '!P15+'BAN-L Electrical &amp; Water '!R15+'BAN-L Electrical &amp; Water '!T15,0)</f>
        <v>211</v>
      </c>
      <c r="J10" s="25">
        <v>7.84</v>
      </c>
      <c r="K10" s="24"/>
      <c r="L10" s="25">
        <v>7.84</v>
      </c>
      <c r="M10" s="32">
        <v>50</v>
      </c>
      <c r="N10" s="32">
        <v>142</v>
      </c>
    </row>
    <row r="11" spans="1:14" x14ac:dyDescent="0.25">
      <c r="A11" s="22" t="s">
        <v>14</v>
      </c>
      <c r="B11" s="23">
        <f t="shared" si="0"/>
        <v>10</v>
      </c>
      <c r="C11" s="23">
        <v>3</v>
      </c>
      <c r="D11" s="23">
        <v>2026</v>
      </c>
      <c r="E11" s="24">
        <f>IF('BAN-L Electrical &amp; Water '!D16+'BAN-L Electrical &amp; Water '!F16+'BAN-L Electrical &amp; Water '!H16+'BAN-L Electrical &amp; Water '!J16+'BAN-L Electrical &amp; Water '!L16+'BAN-L Electrical &amp; Water '!N16&gt;0,'BAN-L Electrical &amp; Water '!D16+'BAN-L Electrical &amp; Water '!F16+'BAN-L Electrical &amp; Water '!H16+'BAN-L Electrical &amp; Water '!J16+'BAN-L Electrical &amp; Water '!L16+'BAN-L Electrical &amp; Water '!N16,0)</f>
        <v>10881</v>
      </c>
      <c r="F11" s="25">
        <v>0.2</v>
      </c>
      <c r="G11" s="24"/>
      <c r="H11" s="25">
        <v>5.42</v>
      </c>
      <c r="I11" s="24">
        <f>IF('BAN-L Electrical &amp; Water '!P16+'BAN-L Electrical &amp; Water '!R16+'BAN-L Electrical &amp; Water '!T16&gt;0,'BAN-L Electrical &amp; Water '!P16+'BAN-L Electrical &amp; Water '!R16+'BAN-L Electrical &amp; Water '!T16,0)</f>
        <v>297</v>
      </c>
      <c r="J11" s="25">
        <v>7.84</v>
      </c>
      <c r="K11" s="24"/>
      <c r="L11" s="25">
        <v>7.84</v>
      </c>
      <c r="M11" s="32">
        <v>45</v>
      </c>
      <c r="N11" s="32">
        <v>125</v>
      </c>
    </row>
    <row r="12" spans="1:14" x14ac:dyDescent="0.25">
      <c r="A12" s="22" t="s">
        <v>14</v>
      </c>
      <c r="B12" s="23">
        <f t="shared" si="0"/>
        <v>11</v>
      </c>
      <c r="C12" s="23">
        <v>3</v>
      </c>
      <c r="D12" s="23">
        <v>2026</v>
      </c>
      <c r="E12" s="24">
        <f>IF('BAN-L Electrical &amp; Water '!D17+'BAN-L Electrical &amp; Water '!F17+'BAN-L Electrical &amp; Water '!H17+'BAN-L Electrical &amp; Water '!J17+'BAN-L Electrical &amp; Water '!L17+'BAN-L Electrical &amp; Water '!N17&gt;0,'BAN-L Electrical &amp; Water '!D17+'BAN-L Electrical &amp; Water '!F17+'BAN-L Electrical &amp; Water '!H17+'BAN-L Electrical &amp; Water '!J17+'BAN-L Electrical &amp; Water '!L17+'BAN-L Electrical &amp; Water '!N17,0)</f>
        <v>10094</v>
      </c>
      <c r="F12" s="25">
        <v>0.2</v>
      </c>
      <c r="G12" s="24"/>
      <c r="H12" s="25">
        <v>5.42</v>
      </c>
      <c r="I12" s="24">
        <f>IF('BAN-L Electrical &amp; Water '!P17+'BAN-L Electrical &amp; Water '!R17+'BAN-L Electrical &amp; Water '!T17&gt;0,'BAN-L Electrical &amp; Water '!P17+'BAN-L Electrical &amp; Water '!R17+'BAN-L Electrical &amp; Water '!T17,0)</f>
        <v>229</v>
      </c>
      <c r="J12" s="25">
        <v>7.84</v>
      </c>
      <c r="K12" s="24"/>
      <c r="L12" s="25">
        <v>7.84</v>
      </c>
      <c r="M12" s="32">
        <v>37</v>
      </c>
      <c r="N12" s="32">
        <v>102</v>
      </c>
    </row>
    <row r="13" spans="1:14" x14ac:dyDescent="0.25">
      <c r="A13" s="22" t="s">
        <v>14</v>
      </c>
      <c r="B13" s="23">
        <f t="shared" si="0"/>
        <v>12</v>
      </c>
      <c r="C13" s="23">
        <v>3</v>
      </c>
      <c r="D13" s="23">
        <v>2026</v>
      </c>
      <c r="E13" s="24">
        <f>IF('BAN-L Electrical &amp; Water '!D18+'BAN-L Electrical &amp; Water '!F18+'BAN-L Electrical &amp; Water '!H18+'BAN-L Electrical &amp; Water '!J18+'BAN-L Electrical &amp; Water '!L18+'BAN-L Electrical &amp; Water '!N18&gt;0,'BAN-L Electrical &amp; Water '!D18+'BAN-L Electrical &amp; Water '!F18+'BAN-L Electrical &amp; Water '!H18+'BAN-L Electrical &amp; Water '!J18+'BAN-L Electrical &amp; Water '!L18+'BAN-L Electrical &amp; Water '!N18,0)</f>
        <v>10004</v>
      </c>
      <c r="F13" s="25">
        <v>0.2</v>
      </c>
      <c r="G13" s="24"/>
      <c r="H13" s="25">
        <v>5.42</v>
      </c>
      <c r="I13" s="24">
        <f>IF('BAN-L Electrical &amp; Water '!P18+'BAN-L Electrical &amp; Water '!R18+'BAN-L Electrical &amp; Water '!T18&gt;0,'BAN-L Electrical &amp; Water '!P18+'BAN-L Electrical &amp; Water '!R18+'BAN-L Electrical &amp; Water '!T18,0)</f>
        <v>268</v>
      </c>
      <c r="J13" s="25">
        <v>7.84</v>
      </c>
      <c r="K13" s="24"/>
      <c r="L13" s="25">
        <v>7.84</v>
      </c>
      <c r="M13" s="32">
        <v>20</v>
      </c>
      <c r="N13" s="32">
        <v>56</v>
      </c>
    </row>
    <row r="14" spans="1:14" x14ac:dyDescent="0.25">
      <c r="A14" s="22" t="s">
        <v>14</v>
      </c>
      <c r="B14" s="23">
        <f t="shared" si="0"/>
        <v>13</v>
      </c>
      <c r="C14" s="23">
        <v>3</v>
      </c>
      <c r="D14" s="23">
        <v>2026</v>
      </c>
      <c r="E14" s="24">
        <f>IF('BAN-L Electrical &amp; Water '!D19+'BAN-L Electrical &amp; Water '!F19+'BAN-L Electrical &amp; Water '!H19+'BAN-L Electrical &amp; Water '!J19+'BAN-L Electrical &amp; Water '!L19+'BAN-L Electrical &amp; Water '!N19&gt;0,'BAN-L Electrical &amp; Water '!D19+'BAN-L Electrical &amp; Water '!F19+'BAN-L Electrical &amp; Water '!H19+'BAN-L Electrical &amp; Water '!J19+'BAN-L Electrical &amp; Water '!L19+'BAN-L Electrical &amp; Water '!N19,0)</f>
        <v>10813</v>
      </c>
      <c r="F14" s="25">
        <v>0.2</v>
      </c>
      <c r="G14" s="24"/>
      <c r="H14" s="25">
        <v>5.42</v>
      </c>
      <c r="I14" s="24">
        <f>IF('BAN-L Electrical &amp; Water '!P19+'BAN-L Electrical &amp; Water '!R19+'BAN-L Electrical &amp; Water '!T19&gt;0,'BAN-L Electrical &amp; Water '!P19+'BAN-L Electrical &amp; Water '!R19+'BAN-L Electrical &amp; Water '!T19,0)</f>
        <v>185</v>
      </c>
      <c r="J14" s="25">
        <v>7.84</v>
      </c>
      <c r="K14" s="24"/>
      <c r="L14" s="25">
        <v>7.84</v>
      </c>
      <c r="M14" s="32">
        <v>30</v>
      </c>
      <c r="N14" s="32">
        <v>86</v>
      </c>
    </row>
    <row r="15" spans="1:14" x14ac:dyDescent="0.25">
      <c r="A15" s="22" t="s">
        <v>14</v>
      </c>
      <c r="B15" s="23">
        <f t="shared" si="0"/>
        <v>14</v>
      </c>
      <c r="C15" s="23">
        <v>3</v>
      </c>
      <c r="D15" s="23">
        <v>2026</v>
      </c>
      <c r="E15" s="24">
        <f>IF('BAN-L Electrical &amp; Water '!D20+'BAN-L Electrical &amp; Water '!F20+'BAN-L Electrical &amp; Water '!H20+'BAN-L Electrical &amp; Water '!J20+'BAN-L Electrical &amp; Water '!L20+'BAN-L Electrical &amp; Water '!N20&gt;0,'BAN-L Electrical &amp; Water '!D20+'BAN-L Electrical &amp; Water '!F20+'BAN-L Electrical &amp; Water '!H20+'BAN-L Electrical &amp; Water '!J20+'BAN-L Electrical &amp; Water '!L20+'BAN-L Electrical &amp; Water '!N20,0)</f>
        <v>10860</v>
      </c>
      <c r="F15" s="25">
        <v>0.2</v>
      </c>
      <c r="G15" s="24"/>
      <c r="H15" s="25">
        <v>5.42</v>
      </c>
      <c r="I15" s="24">
        <f>IF('BAN-L Electrical &amp; Water '!P20+'BAN-L Electrical &amp; Water '!R20+'BAN-L Electrical &amp; Water '!T20&gt;0,'BAN-L Electrical &amp; Water '!P20+'BAN-L Electrical &amp; Water '!R20+'BAN-L Electrical &amp; Water '!T20,0)</f>
        <v>228</v>
      </c>
      <c r="J15" s="25">
        <v>7.84</v>
      </c>
      <c r="K15" s="24"/>
      <c r="L15" s="25">
        <v>7.84</v>
      </c>
      <c r="M15" s="32">
        <v>43</v>
      </c>
      <c r="N15" s="32">
        <v>125</v>
      </c>
    </row>
    <row r="16" spans="1:14" x14ac:dyDescent="0.25">
      <c r="A16" s="22" t="s">
        <v>14</v>
      </c>
      <c r="B16" s="23">
        <f t="shared" si="0"/>
        <v>15</v>
      </c>
      <c r="C16" s="23">
        <v>3</v>
      </c>
      <c r="D16" s="23">
        <v>2026</v>
      </c>
      <c r="E16" s="24">
        <f>IF('BAN-L Electrical &amp; Water '!D21+'BAN-L Electrical &amp; Water '!F21+'BAN-L Electrical &amp; Water '!H21+'BAN-L Electrical &amp; Water '!J21+'BAN-L Electrical &amp; Water '!L21+'BAN-L Electrical &amp; Water '!N21&gt;0,'BAN-L Electrical &amp; Water '!D21+'BAN-L Electrical &amp; Water '!F21+'BAN-L Electrical &amp; Water '!H21+'BAN-L Electrical &amp; Water '!J21+'BAN-L Electrical &amp; Water '!L21+'BAN-L Electrical &amp; Water '!N21,0)</f>
        <v>11085</v>
      </c>
      <c r="F16" s="25">
        <v>0.2</v>
      </c>
      <c r="G16" s="24"/>
      <c r="H16" s="25">
        <v>5.42</v>
      </c>
      <c r="I16" s="24">
        <f>IF('BAN-L Electrical &amp; Water '!P21+'BAN-L Electrical &amp; Water '!R21+'BAN-L Electrical &amp; Water '!T21&gt;0,'BAN-L Electrical &amp; Water '!P21+'BAN-L Electrical &amp; Water '!R21+'BAN-L Electrical &amp; Water '!T21,0)</f>
        <v>209</v>
      </c>
      <c r="J16" s="25">
        <v>7.84</v>
      </c>
      <c r="K16" s="24"/>
      <c r="L16" s="25">
        <v>7.84</v>
      </c>
      <c r="M16" s="32">
        <v>33</v>
      </c>
      <c r="N16" s="32">
        <v>97</v>
      </c>
    </row>
    <row r="17" spans="1:14" x14ac:dyDescent="0.25">
      <c r="A17" s="22" t="s">
        <v>14</v>
      </c>
      <c r="B17" s="23">
        <f t="shared" si="0"/>
        <v>16</v>
      </c>
      <c r="C17" s="23">
        <v>3</v>
      </c>
      <c r="D17" s="23">
        <v>2026</v>
      </c>
      <c r="E17" s="24">
        <f>IF('BAN-L Electrical &amp; Water '!D22+'BAN-L Electrical &amp; Water '!F22+'BAN-L Electrical &amp; Water '!H22+'BAN-L Electrical &amp; Water '!J22+'BAN-L Electrical &amp; Water '!L22+'BAN-L Electrical &amp; Water '!N22&gt;0,'BAN-L Electrical &amp; Water '!D22+'BAN-L Electrical &amp; Water '!F22+'BAN-L Electrical &amp; Water '!H22+'BAN-L Electrical &amp; Water '!J22+'BAN-L Electrical &amp; Water '!L22+'BAN-L Electrical &amp; Water '!N22,0)</f>
        <v>11636</v>
      </c>
      <c r="F17" s="25">
        <v>0.2</v>
      </c>
      <c r="G17" s="24"/>
      <c r="H17" s="25">
        <v>5.42</v>
      </c>
      <c r="I17" s="24">
        <f>IF('BAN-L Electrical &amp; Water '!P22+'BAN-L Electrical &amp; Water '!R22+'BAN-L Electrical &amp; Water '!T22&gt;0,'BAN-L Electrical &amp; Water '!P22+'BAN-L Electrical &amp; Water '!R22+'BAN-L Electrical &amp; Water '!T22,0)</f>
        <v>248</v>
      </c>
      <c r="J17" s="25">
        <v>7.84</v>
      </c>
      <c r="K17" s="24"/>
      <c r="L17" s="25">
        <v>7.84</v>
      </c>
      <c r="M17" s="32">
        <v>41</v>
      </c>
      <c r="N17" s="32">
        <v>120</v>
      </c>
    </row>
    <row r="18" spans="1:14" x14ac:dyDescent="0.25">
      <c r="A18" s="22" t="s">
        <v>14</v>
      </c>
      <c r="B18" s="23">
        <f t="shared" si="0"/>
        <v>17</v>
      </c>
      <c r="C18" s="23">
        <v>3</v>
      </c>
      <c r="D18" s="23">
        <v>2026</v>
      </c>
      <c r="E18" s="24">
        <f>IF('BAN-L Electrical &amp; Water '!D23+'BAN-L Electrical &amp; Water '!F23+'BAN-L Electrical &amp; Water '!H23+'BAN-L Electrical &amp; Water '!J23+'BAN-L Electrical &amp; Water '!L23+'BAN-L Electrical &amp; Water '!N23&gt;0,'BAN-L Electrical &amp; Water '!D23+'BAN-L Electrical &amp; Water '!F23+'BAN-L Electrical &amp; Water '!H23+'BAN-L Electrical &amp; Water '!J23+'BAN-L Electrical &amp; Water '!L23+'BAN-L Electrical &amp; Water '!N23,0)</f>
        <v>12381</v>
      </c>
      <c r="F18" s="25">
        <v>0.2</v>
      </c>
      <c r="G18" s="24"/>
      <c r="H18" s="25">
        <v>5.42</v>
      </c>
      <c r="I18" s="24">
        <f>IF('BAN-L Electrical &amp; Water '!P23+'BAN-L Electrical &amp; Water '!R23+'BAN-L Electrical &amp; Water '!T23&gt;0,'BAN-L Electrical &amp; Water '!P23+'BAN-L Electrical &amp; Water '!R23+'BAN-L Electrical &amp; Water '!T23,0)</f>
        <v>239</v>
      </c>
      <c r="J18" s="25">
        <v>7.84</v>
      </c>
      <c r="K18" s="24"/>
      <c r="L18" s="25">
        <v>7.84</v>
      </c>
      <c r="M18" s="32">
        <v>37</v>
      </c>
      <c r="N18" s="32">
        <v>111</v>
      </c>
    </row>
    <row r="19" spans="1:14" x14ac:dyDescent="0.25">
      <c r="A19" s="22" t="s">
        <v>14</v>
      </c>
      <c r="B19" s="23">
        <f t="shared" si="0"/>
        <v>18</v>
      </c>
      <c r="C19" s="23">
        <v>3</v>
      </c>
      <c r="D19" s="23">
        <v>2026</v>
      </c>
      <c r="E19" s="24">
        <f>IF('BAN-L Electrical &amp; Water '!D24+'BAN-L Electrical &amp; Water '!F24+'BAN-L Electrical &amp; Water '!H24+'BAN-L Electrical &amp; Water '!J24+'BAN-L Electrical &amp; Water '!L24+'BAN-L Electrical &amp; Water '!N24&gt;0,'BAN-L Electrical &amp; Water '!D24+'BAN-L Electrical &amp; Water '!F24+'BAN-L Electrical &amp; Water '!H24+'BAN-L Electrical &amp; Water '!J24+'BAN-L Electrical &amp; Water '!L24+'BAN-L Electrical &amp; Water '!N24,0)</f>
        <v>12280</v>
      </c>
      <c r="F19" s="25">
        <v>0.2</v>
      </c>
      <c r="G19" s="24"/>
      <c r="H19" s="25">
        <v>5.42</v>
      </c>
      <c r="I19" s="24">
        <f>IF('BAN-L Electrical &amp; Water '!P24+'BAN-L Electrical &amp; Water '!R24+'BAN-L Electrical &amp; Water '!T24&gt;0,'BAN-L Electrical &amp; Water '!P24+'BAN-L Electrical &amp; Water '!R24+'BAN-L Electrical &amp; Water '!T24,0)</f>
        <v>233</v>
      </c>
      <c r="J19" s="25">
        <v>7.84</v>
      </c>
      <c r="K19" s="24"/>
      <c r="L19" s="25">
        <v>7.84</v>
      </c>
      <c r="M19" s="32">
        <v>37</v>
      </c>
      <c r="N19" s="32">
        <v>111</v>
      </c>
    </row>
    <row r="20" spans="1:14" x14ac:dyDescent="0.25">
      <c r="A20" s="22" t="s">
        <v>14</v>
      </c>
      <c r="B20" s="23">
        <f t="shared" si="0"/>
        <v>19</v>
      </c>
      <c r="C20" s="23">
        <v>3</v>
      </c>
      <c r="D20" s="23">
        <v>2026</v>
      </c>
      <c r="E20" s="24">
        <f>IF('BAN-L Electrical &amp; Water '!D25+'BAN-L Electrical &amp; Water '!F25+'BAN-L Electrical &amp; Water '!H25+'BAN-L Electrical &amp; Water '!J25+'BAN-L Electrical &amp; Water '!L25+'BAN-L Electrical &amp; Water '!N25&gt;0,'BAN-L Electrical &amp; Water '!D25+'BAN-L Electrical &amp; Water '!F25+'BAN-L Electrical &amp; Water '!H25+'BAN-L Electrical &amp; Water '!J25+'BAN-L Electrical &amp; Water '!L25+'BAN-L Electrical &amp; Water '!N25,0)</f>
        <v>10710</v>
      </c>
      <c r="F20" s="25">
        <v>0.2</v>
      </c>
      <c r="G20" s="24"/>
      <c r="H20" s="25">
        <v>5.42</v>
      </c>
      <c r="I20" s="24">
        <f>IF('BAN-L Electrical &amp; Water '!P25+'BAN-L Electrical &amp; Water '!R25+'BAN-L Electrical &amp; Water '!T25&gt;0,'BAN-L Electrical &amp; Water '!P25+'BAN-L Electrical &amp; Water '!R25+'BAN-L Electrical &amp; Water '!T25,0)</f>
        <v>235</v>
      </c>
      <c r="J20" s="25">
        <v>7.84</v>
      </c>
      <c r="K20" s="24"/>
      <c r="L20" s="25">
        <v>7.84</v>
      </c>
      <c r="M20" s="32">
        <v>37</v>
      </c>
      <c r="N20" s="32">
        <v>109</v>
      </c>
    </row>
    <row r="21" spans="1:14" x14ac:dyDescent="0.25">
      <c r="A21" s="22" t="s">
        <v>14</v>
      </c>
      <c r="B21" s="23">
        <f t="shared" si="0"/>
        <v>20</v>
      </c>
      <c r="C21" s="23">
        <v>3</v>
      </c>
      <c r="D21" s="23">
        <v>2026</v>
      </c>
      <c r="E21" s="24">
        <f>IF('BAN-L Electrical &amp; Water '!D26+'BAN-L Electrical &amp; Water '!F26+'BAN-L Electrical &amp; Water '!H26+'BAN-L Electrical &amp; Water '!J26+'BAN-L Electrical &amp; Water '!L26+'BAN-L Electrical &amp; Water '!N26&gt;0,'BAN-L Electrical &amp; Water '!D26+'BAN-L Electrical &amp; Water '!F26+'BAN-L Electrical &amp; Water '!H26+'BAN-L Electrical &amp; Water '!J26+'BAN-L Electrical &amp; Water '!L26+'BAN-L Electrical &amp; Water '!N26,0)</f>
        <v>11294</v>
      </c>
      <c r="F21" s="25">
        <v>0.2</v>
      </c>
      <c r="G21" s="24"/>
      <c r="H21" s="25">
        <v>5.42</v>
      </c>
      <c r="I21" s="24">
        <f>IF('BAN-L Electrical &amp; Water '!P26+'BAN-L Electrical &amp; Water '!R26+'BAN-L Electrical &amp; Water '!T26&gt;0,'BAN-L Electrical &amp; Water '!P26+'BAN-L Electrical &amp; Water '!R26+'BAN-L Electrical &amp; Water '!T26,0)</f>
        <v>203</v>
      </c>
      <c r="J21" s="25">
        <v>7.84</v>
      </c>
      <c r="K21" s="24"/>
      <c r="L21" s="25">
        <v>7.84</v>
      </c>
      <c r="M21" s="32">
        <v>46</v>
      </c>
      <c r="N21" s="32">
        <v>127</v>
      </c>
    </row>
    <row r="22" spans="1:14" x14ac:dyDescent="0.25">
      <c r="A22" s="22" t="s">
        <v>14</v>
      </c>
      <c r="B22" s="23">
        <f t="shared" si="0"/>
        <v>21</v>
      </c>
      <c r="C22" s="23">
        <v>3</v>
      </c>
      <c r="D22" s="23">
        <v>2026</v>
      </c>
      <c r="E22" s="24">
        <f>IF('BAN-L Electrical &amp; Water '!D27+'BAN-L Electrical &amp; Water '!F27+'BAN-L Electrical &amp; Water '!H27+'BAN-L Electrical &amp; Water '!J27+'BAN-L Electrical &amp; Water '!L27+'BAN-L Electrical &amp; Water '!N27&gt;0,'BAN-L Electrical &amp; Water '!D27+'BAN-L Electrical &amp; Water '!F27+'BAN-L Electrical &amp; Water '!H27+'BAN-L Electrical &amp; Water '!J27+'BAN-L Electrical &amp; Water '!L27+'BAN-L Electrical &amp; Water '!N27,0)</f>
        <v>11266</v>
      </c>
      <c r="F22" s="25">
        <v>0.2</v>
      </c>
      <c r="G22" s="24"/>
      <c r="H22" s="25">
        <v>5.42</v>
      </c>
      <c r="I22" s="24">
        <f>IF('BAN-L Electrical &amp; Water '!P27+'BAN-L Electrical &amp; Water '!R27+'BAN-L Electrical &amp; Water '!T27&gt;0,'BAN-L Electrical &amp; Water '!P27+'BAN-L Electrical &amp; Water '!R27+'BAN-L Electrical &amp; Water '!T27,0)</f>
        <v>229</v>
      </c>
      <c r="J22" s="25">
        <v>7.84</v>
      </c>
      <c r="K22" s="24"/>
      <c r="L22" s="25">
        <v>7.84</v>
      </c>
      <c r="M22" s="32">
        <v>38</v>
      </c>
      <c r="N22" s="32">
        <v>103</v>
      </c>
    </row>
    <row r="23" spans="1:14" x14ac:dyDescent="0.25">
      <c r="A23" s="22" t="s">
        <v>14</v>
      </c>
      <c r="B23" s="23">
        <f t="shared" si="0"/>
        <v>22</v>
      </c>
      <c r="C23" s="23">
        <v>3</v>
      </c>
      <c r="D23" s="23">
        <v>2026</v>
      </c>
      <c r="E23" s="24">
        <f>IF('BAN-L Electrical &amp; Water '!D28+'BAN-L Electrical &amp; Water '!F28+'BAN-L Electrical &amp; Water '!H28+'BAN-L Electrical &amp; Water '!J28+'BAN-L Electrical &amp; Water '!L28+'BAN-L Electrical &amp; Water '!N28&gt;0,'BAN-L Electrical &amp; Water '!D28+'BAN-L Electrical &amp; Water '!F28+'BAN-L Electrical &amp; Water '!H28+'BAN-L Electrical &amp; Water '!J28+'BAN-L Electrical &amp; Water '!L28+'BAN-L Electrical &amp; Water '!N28,0)</f>
        <v>10015</v>
      </c>
      <c r="F23" s="25">
        <v>0.2</v>
      </c>
      <c r="G23" s="24"/>
      <c r="H23" s="25">
        <v>5.42</v>
      </c>
      <c r="I23" s="24">
        <f>IF('BAN-L Electrical &amp; Water '!P28+'BAN-L Electrical &amp; Water '!R28+'BAN-L Electrical &amp; Water '!T28&gt;0,'BAN-L Electrical &amp; Water '!P28+'BAN-L Electrical &amp; Water '!R28+'BAN-L Electrical &amp; Water '!T28,0)</f>
        <v>188</v>
      </c>
      <c r="J23" s="25">
        <v>7.84</v>
      </c>
      <c r="K23" s="24"/>
      <c r="L23" s="25">
        <v>7.84</v>
      </c>
      <c r="M23" s="32">
        <v>10</v>
      </c>
      <c r="N23" s="32">
        <v>25</v>
      </c>
    </row>
    <row r="24" spans="1:14" x14ac:dyDescent="0.25">
      <c r="A24" s="22" t="s">
        <v>14</v>
      </c>
      <c r="B24" s="23">
        <f t="shared" si="0"/>
        <v>23</v>
      </c>
      <c r="C24" s="23">
        <v>3</v>
      </c>
      <c r="D24" s="23">
        <v>2026</v>
      </c>
      <c r="E24" s="24">
        <f>IF('BAN-L Electrical &amp; Water '!D29+'BAN-L Electrical &amp; Water '!F29+'BAN-L Electrical &amp; Water '!H29+'BAN-L Electrical &amp; Water '!J29+'BAN-L Electrical &amp; Water '!L29+'BAN-L Electrical &amp; Water '!N29&gt;0,'BAN-L Electrical &amp; Water '!D29+'BAN-L Electrical &amp; Water '!F29+'BAN-L Electrical &amp; Water '!H29+'BAN-L Electrical &amp; Water '!J29+'BAN-L Electrical &amp; Water '!L29+'BAN-L Electrical &amp; Water '!N29,0)</f>
        <v>11333</v>
      </c>
      <c r="F24" s="25">
        <v>0.2</v>
      </c>
      <c r="G24" s="24"/>
      <c r="H24" s="25">
        <v>5.42</v>
      </c>
      <c r="I24" s="24">
        <f>IF('BAN-L Electrical &amp; Water '!P29+'BAN-L Electrical &amp; Water '!R29+'BAN-L Electrical &amp; Water '!T29&gt;0,'BAN-L Electrical &amp; Water '!P29+'BAN-L Electrical &amp; Water '!R29+'BAN-L Electrical &amp; Water '!T29,0)</f>
        <v>296</v>
      </c>
      <c r="J24" s="25">
        <v>7.84</v>
      </c>
      <c r="K24" s="24"/>
      <c r="L24" s="25">
        <v>7.84</v>
      </c>
      <c r="M24" s="32">
        <v>9</v>
      </c>
      <c r="N24" s="32">
        <v>19</v>
      </c>
    </row>
    <row r="25" spans="1:14" x14ac:dyDescent="0.25">
      <c r="A25" s="22" t="s">
        <v>14</v>
      </c>
      <c r="B25" s="23">
        <f t="shared" si="0"/>
        <v>24</v>
      </c>
      <c r="C25" s="23">
        <v>3</v>
      </c>
      <c r="D25" s="23">
        <v>2026</v>
      </c>
      <c r="E25" s="24">
        <f>IF('BAN-L Electrical &amp; Water '!D30+'BAN-L Electrical &amp; Water '!F30+'BAN-L Electrical &amp; Water '!H30+'BAN-L Electrical &amp; Water '!J30+'BAN-L Electrical &amp; Water '!L30+'BAN-L Electrical &amp; Water '!N30&gt;0,'BAN-L Electrical &amp; Water '!D30+'BAN-L Electrical &amp; Water '!F30+'BAN-L Electrical &amp; Water '!H30+'BAN-L Electrical &amp; Water '!J30+'BAN-L Electrical &amp; Water '!L30+'BAN-L Electrical &amp; Water '!N30,0)</f>
        <v>7813</v>
      </c>
      <c r="F25" s="25">
        <v>0.2</v>
      </c>
      <c r="G25" s="24"/>
      <c r="H25" s="25">
        <v>5.42</v>
      </c>
      <c r="I25" s="24">
        <f>IF('BAN-L Electrical &amp; Water '!P30+'BAN-L Electrical &amp; Water '!R30+'BAN-L Electrical &amp; Water '!T30&gt;0,'BAN-L Electrical &amp; Water '!P30+'BAN-L Electrical &amp; Water '!R30+'BAN-L Electrical &amp; Water '!T30,0)</f>
        <v>131</v>
      </c>
      <c r="J25" s="25">
        <v>7.84</v>
      </c>
      <c r="K25" s="24"/>
      <c r="L25" s="25">
        <v>7.84</v>
      </c>
      <c r="M25" s="32">
        <v>8</v>
      </c>
      <c r="N25" s="32">
        <v>15</v>
      </c>
    </row>
    <row r="26" spans="1:14" x14ac:dyDescent="0.25">
      <c r="A26" s="22" t="s">
        <v>14</v>
      </c>
      <c r="B26" s="23">
        <f>B25+1</f>
        <v>25</v>
      </c>
      <c r="C26" s="23">
        <v>3</v>
      </c>
      <c r="D26" s="23">
        <v>2026</v>
      </c>
      <c r="E26" s="24">
        <f>IF('BAN-L Electrical &amp; Water '!D31+'BAN-L Electrical &amp; Water '!F31+'BAN-L Electrical &amp; Water '!H31+'BAN-L Electrical &amp; Water '!J31+'BAN-L Electrical &amp; Water '!L31+'BAN-L Electrical &amp; Water '!N31&gt;0,'BAN-L Electrical &amp; Water '!D31+'BAN-L Electrical &amp; Water '!F31+'BAN-L Electrical &amp; Water '!H31+'BAN-L Electrical &amp; Water '!J31+'BAN-L Electrical &amp; Water '!L31+'BAN-L Electrical &amp; Water '!N31,0)</f>
        <v>8421</v>
      </c>
      <c r="F26" s="25">
        <v>0.2</v>
      </c>
      <c r="G26" s="24"/>
      <c r="H26" s="25">
        <v>5.42</v>
      </c>
      <c r="I26" s="24">
        <f>IF('BAN-L Electrical &amp; Water '!P31+'BAN-L Electrical &amp; Water '!R31+'BAN-L Electrical &amp; Water '!T31&gt;0,'BAN-L Electrical &amp; Water '!P31+'BAN-L Electrical &amp; Water '!R31+'BAN-L Electrical &amp; Water '!T31,0)</f>
        <v>72</v>
      </c>
      <c r="J26" s="25">
        <v>7.84</v>
      </c>
      <c r="K26" s="24"/>
      <c r="L26" s="25">
        <v>7.84</v>
      </c>
      <c r="M26" s="32">
        <v>9</v>
      </c>
      <c r="N26" s="32">
        <v>22</v>
      </c>
    </row>
    <row r="27" spans="1:14" x14ac:dyDescent="0.25">
      <c r="A27" s="22" t="s">
        <v>14</v>
      </c>
      <c r="B27" s="23">
        <f t="shared" si="0"/>
        <v>26</v>
      </c>
      <c r="C27" s="23">
        <v>3</v>
      </c>
      <c r="D27" s="23">
        <v>2026</v>
      </c>
      <c r="E27" s="24">
        <f>IF('BAN-L Electrical &amp; Water '!D32+'BAN-L Electrical &amp; Water '!F32+'BAN-L Electrical &amp; Water '!H32+'BAN-L Electrical &amp; Water '!J32+'BAN-L Electrical &amp; Water '!L32+'BAN-L Electrical &amp; Water '!N32&gt;0,'BAN-L Electrical &amp; Water '!D32+'BAN-L Electrical &amp; Water '!F32+'BAN-L Electrical &amp; Water '!H32+'BAN-L Electrical &amp; Water '!J32+'BAN-L Electrical &amp; Water '!L32+'BAN-L Electrical &amp; Water '!N32,0)</f>
        <v>7905</v>
      </c>
      <c r="F27" s="25">
        <v>0.2</v>
      </c>
      <c r="G27" s="24"/>
      <c r="H27" s="25">
        <v>5.42</v>
      </c>
      <c r="I27" s="24">
        <f>IF('BAN-L Electrical &amp; Water '!P32+'BAN-L Electrical &amp; Water '!R32+'BAN-L Electrical &amp; Water '!T32&gt;0,'BAN-L Electrical &amp; Water '!P32+'BAN-L Electrical &amp; Water '!R32+'BAN-L Electrical &amp; Water '!T32,0)</f>
        <v>53</v>
      </c>
      <c r="J27" s="25">
        <v>7.84</v>
      </c>
      <c r="K27" s="24"/>
      <c r="L27" s="25">
        <v>7.84</v>
      </c>
      <c r="M27" s="32">
        <v>10</v>
      </c>
      <c r="N27" s="32">
        <v>22</v>
      </c>
    </row>
    <row r="28" spans="1:14" x14ac:dyDescent="0.25">
      <c r="A28" s="22" t="s">
        <v>14</v>
      </c>
      <c r="B28" s="23">
        <f t="shared" si="0"/>
        <v>27</v>
      </c>
      <c r="C28" s="23">
        <v>3</v>
      </c>
      <c r="D28" s="23">
        <v>2026</v>
      </c>
      <c r="E28" s="24">
        <f>IF('BAN-L Electrical &amp; Water '!D33+'BAN-L Electrical &amp; Water '!F33+'BAN-L Electrical &amp; Water '!H33+'BAN-L Electrical &amp; Water '!J33+'BAN-L Electrical &amp; Water '!L33+'BAN-L Electrical &amp; Water '!N33&gt;0,'BAN-L Electrical &amp; Water '!D33+'BAN-L Electrical &amp; Water '!F33+'BAN-L Electrical &amp; Water '!H33+'BAN-L Electrical &amp; Water '!J33+'BAN-L Electrical &amp; Water '!L33+'BAN-L Electrical &amp; Water '!N33,0)</f>
        <v>8547</v>
      </c>
      <c r="F28" s="25">
        <v>0.2</v>
      </c>
      <c r="G28" s="24"/>
      <c r="H28" s="25">
        <v>5.42</v>
      </c>
      <c r="I28" s="24">
        <f>IF('BAN-L Electrical &amp; Water '!P33+'BAN-L Electrical &amp; Water '!R33+'BAN-L Electrical &amp; Water '!T33&gt;0,'BAN-L Electrical &amp; Water '!P33+'BAN-L Electrical &amp; Water '!R33+'BAN-L Electrical &amp; Water '!T33,0)</f>
        <v>71</v>
      </c>
      <c r="J28" s="25">
        <v>7.84</v>
      </c>
      <c r="K28" s="24"/>
      <c r="L28" s="25">
        <v>7.84</v>
      </c>
      <c r="M28" s="32">
        <v>35</v>
      </c>
      <c r="N28" s="32">
        <v>92</v>
      </c>
    </row>
    <row r="29" spans="1:14" x14ac:dyDescent="0.25">
      <c r="A29" s="22" t="s">
        <v>14</v>
      </c>
      <c r="B29" s="23">
        <f t="shared" si="0"/>
        <v>28</v>
      </c>
      <c r="C29" s="23">
        <v>3</v>
      </c>
      <c r="D29" s="23">
        <v>2026</v>
      </c>
      <c r="E29" s="24">
        <f>IF('BAN-L Electrical &amp; Water '!D34+'BAN-L Electrical &amp; Water '!F34+'BAN-L Electrical &amp; Water '!H34+'BAN-L Electrical &amp; Water '!J34+'BAN-L Electrical &amp; Water '!L34+'BAN-L Electrical &amp; Water '!N34&gt;0,'BAN-L Electrical &amp; Water '!D34+'BAN-L Electrical &amp; Water '!F34+'BAN-L Electrical &amp; Water '!H34+'BAN-L Electrical &amp; Water '!J34+'BAN-L Electrical &amp; Water '!L34+'BAN-L Electrical &amp; Water '!N34,0)</f>
        <v>8541</v>
      </c>
      <c r="F29" s="25">
        <v>0.2</v>
      </c>
      <c r="G29" s="24"/>
      <c r="H29" s="25">
        <v>5.42</v>
      </c>
      <c r="I29" s="24">
        <f>IF('BAN-L Electrical &amp; Water '!P38+'BAN-L Electrical &amp; Water '!R38+'BAN-L Electrical &amp; Water '!T38&gt;0,'BAN-L Electrical &amp; Water '!P38+'BAN-L Electrical &amp; Water '!R38+'BAN-L Electrical &amp; Water '!T38,0)</f>
        <v>0</v>
      </c>
      <c r="J29" s="25">
        <v>7.84</v>
      </c>
      <c r="K29" s="24"/>
      <c r="L29" s="25">
        <v>7.84</v>
      </c>
      <c r="M29" s="32">
        <v>46</v>
      </c>
      <c r="N29" s="32">
        <v>128</v>
      </c>
    </row>
    <row r="30" spans="1:14" x14ac:dyDescent="0.25">
      <c r="A30" s="22" t="s">
        <v>14</v>
      </c>
      <c r="B30" s="23">
        <f t="shared" si="0"/>
        <v>29</v>
      </c>
      <c r="C30" s="23">
        <v>3</v>
      </c>
      <c r="D30" s="23">
        <v>2026</v>
      </c>
      <c r="E30" s="24">
        <f>IF('BAN-L Electrical &amp; Water '!D35+'BAN-L Electrical &amp; Water '!F35+'BAN-L Electrical &amp; Water '!H35+'BAN-L Electrical &amp; Water '!J35+'BAN-L Electrical &amp; Water '!L35+'BAN-L Electrical &amp; Water '!N35&gt;0,'BAN-L Electrical &amp; Water '!D35+'BAN-L Electrical &amp; Water '!F35+'BAN-L Electrical &amp; Water '!H35+'BAN-L Electrical &amp; Water '!J35+'BAN-L Electrical &amp; Water '!L35+'BAN-L Electrical &amp; Water '!N35,0)</f>
        <v>10006</v>
      </c>
      <c r="F30" s="25">
        <v>0.2</v>
      </c>
      <c r="G30" s="24"/>
      <c r="H30" s="25">
        <v>5.42</v>
      </c>
      <c r="I30" s="24">
        <f>IF('BAN-L Electrical &amp; Water '!P39+'BAN-L Electrical &amp; Water '!R39+'BAN-L Electrical &amp; Water '!T39&gt;0,'BAN-L Electrical &amp; Water '!P39+'BAN-L Electrical &amp; Water '!R39+'BAN-L Electrical &amp; Water '!T39,0)</f>
        <v>0</v>
      </c>
      <c r="J30" s="25">
        <v>7.84</v>
      </c>
      <c r="K30" s="24"/>
      <c r="L30" s="25">
        <v>7.84</v>
      </c>
      <c r="M30" s="32">
        <v>12</v>
      </c>
      <c r="N30" s="32">
        <v>38</v>
      </c>
    </row>
    <row r="31" spans="1:14" x14ac:dyDescent="0.25">
      <c r="A31" s="22" t="s">
        <v>14</v>
      </c>
      <c r="B31" s="23">
        <f t="shared" si="0"/>
        <v>30</v>
      </c>
      <c r="C31" s="23">
        <v>3</v>
      </c>
      <c r="D31" s="23">
        <v>2026</v>
      </c>
      <c r="E31" s="24">
        <f>IF('BAN-L Electrical &amp; Water '!D36+'BAN-L Electrical &amp; Water '!F36+'BAN-L Electrical &amp; Water '!H36+'BAN-L Electrical &amp; Water '!J36+'BAN-L Electrical &amp; Water '!L36+'BAN-L Electrical &amp; Water '!N36&gt;0,'BAN-L Electrical &amp; Water '!D36+'BAN-L Electrical &amp; Water '!F36+'BAN-L Electrical &amp; Water '!H36+'BAN-L Electrical &amp; Water '!J36+'BAN-L Electrical &amp; Water '!L36+'BAN-L Electrical &amp; Water '!N36,0)</f>
        <v>9456</v>
      </c>
      <c r="F31" s="25">
        <v>0.2</v>
      </c>
      <c r="G31" s="24"/>
      <c r="H31" s="25">
        <v>5.42</v>
      </c>
      <c r="I31" s="24">
        <f>IF('BAN-L Electrical &amp; Water '!P40+'BAN-L Electrical &amp; Water '!R40+'BAN-L Electrical &amp; Water '!T40&gt;0,'BAN-L Electrical &amp; Water '!P40+'BAN-L Electrical &amp; Water '!R40+'BAN-L Electrical &amp; Water '!T40,0)</f>
        <v>0</v>
      </c>
      <c r="J31" s="25">
        <v>7.84</v>
      </c>
      <c r="K31" s="24"/>
      <c r="L31" s="25">
        <v>7.84</v>
      </c>
      <c r="M31" s="32">
        <v>13</v>
      </c>
      <c r="N31" s="32">
        <v>36</v>
      </c>
    </row>
    <row r="32" spans="1:14" x14ac:dyDescent="0.25">
      <c r="A32" s="22" t="s">
        <v>14</v>
      </c>
      <c r="B32" s="23">
        <f t="shared" si="0"/>
        <v>31</v>
      </c>
      <c r="C32" s="23">
        <v>3</v>
      </c>
      <c r="D32" s="23">
        <v>2026</v>
      </c>
      <c r="E32" s="24">
        <f>IF('BAN-L Electrical &amp; Water '!D37+'BAN-L Electrical &amp; Water '!F37+'BAN-L Electrical &amp; Water '!H37+'BAN-L Electrical &amp; Water '!J37+'BAN-L Electrical &amp; Water '!L37+'BAN-L Electrical &amp; Water '!N37&gt;0,'BAN-L Electrical &amp; Water '!D37+'BAN-L Electrical &amp; Water '!F37+'BAN-L Electrical &amp; Water '!H37+'BAN-L Electrical &amp; Water '!J37+'BAN-L Electrical &amp; Water '!L37+'BAN-L Electrical &amp; Water '!N37,0)</f>
        <v>9611</v>
      </c>
      <c r="F32" s="25">
        <v>0.2</v>
      </c>
      <c r="G32" s="24"/>
      <c r="H32" s="25">
        <v>5.42</v>
      </c>
      <c r="I32" s="24">
        <f>IF('BAN-L Electrical &amp; Water '!P41+'BAN-L Electrical &amp; Water '!R41+'BAN-L Electrical &amp; Water '!T41&gt;0,'BAN-L Electrical &amp; Water '!P41+'BAN-L Electrical &amp; Water '!R41+'BAN-L Electrical &amp; Water '!T41,0)</f>
        <v>0</v>
      </c>
      <c r="J32" s="25">
        <v>7.84</v>
      </c>
      <c r="K32" s="24"/>
      <c r="L32" s="25">
        <v>7.84</v>
      </c>
      <c r="M32" s="32">
        <v>12</v>
      </c>
      <c r="N32" s="32">
        <v>29</v>
      </c>
    </row>
    <row r="33" spans="5:9" x14ac:dyDescent="0.25">
      <c r="G33" s="24"/>
      <c r="I33" s="24"/>
    </row>
    <row r="34" spans="5:9" x14ac:dyDescent="0.25">
      <c r="E34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X44"/>
  <sheetViews>
    <sheetView topLeftCell="A28" zoomScale="60" zoomScaleNormal="60" zoomScaleSheetLayoutView="90" zoomScalePageLayoutView="52" workbookViewId="0">
      <selection activeCell="F52" sqref="F52"/>
    </sheetView>
  </sheetViews>
  <sheetFormatPr defaultRowHeight="15" x14ac:dyDescent="0.25"/>
  <cols>
    <col min="1" max="2" width="21.42578125" customWidth="1"/>
    <col min="3" max="3" width="30.42578125" style="1" bestFit="1" customWidth="1"/>
    <col min="4" max="4" width="31.140625" style="1" customWidth="1"/>
    <col min="5" max="5" width="33.28515625" style="1" customWidth="1"/>
    <col min="6" max="6" width="31.140625" style="1" customWidth="1"/>
    <col min="7" max="7" width="30.42578125" style="1" bestFit="1" customWidth="1"/>
    <col min="8" max="8" width="31.140625" style="1" customWidth="1"/>
    <col min="9" max="9" width="30.42578125" style="1" bestFit="1" customWidth="1"/>
    <col min="10" max="10" width="31.140625" style="1" customWidth="1"/>
    <col min="11" max="11" width="30.42578125" style="1" bestFit="1" customWidth="1"/>
    <col min="12" max="12" width="31.140625" style="1" customWidth="1"/>
    <col min="13" max="13" width="33.28515625" style="1" customWidth="1"/>
    <col min="14" max="14" width="31.140625" style="1" customWidth="1"/>
    <col min="15" max="15" width="30.85546875" style="5" customWidth="1"/>
    <col min="16" max="16" width="30.42578125" style="5" customWidth="1"/>
    <col min="17" max="17" width="30.85546875" style="5" customWidth="1"/>
    <col min="18" max="18" width="30.42578125" style="5" customWidth="1"/>
    <col min="19" max="19" width="30.85546875" style="5" customWidth="1"/>
    <col min="20" max="20" width="30.42578125" style="5" customWidth="1"/>
    <col min="21" max="21" width="55.7109375" style="1" bestFit="1" customWidth="1"/>
  </cols>
  <sheetData>
    <row r="1" spans="1:24" ht="95.1" customHeight="1" thickBot="1" x14ac:dyDescent="0.3">
      <c r="C1" s="38" t="s">
        <v>15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X1" s="2"/>
    </row>
    <row r="2" spans="1:24" s="1" customFormat="1" ht="54.75" customHeight="1" thickBot="1" x14ac:dyDescent="0.3">
      <c r="A2" s="8" t="s">
        <v>16</v>
      </c>
      <c r="B2" s="37" t="s">
        <v>17</v>
      </c>
      <c r="C2" s="11" t="s">
        <v>18</v>
      </c>
      <c r="D2" s="36" t="s">
        <v>19</v>
      </c>
      <c r="E2" s="11" t="s">
        <v>20</v>
      </c>
      <c r="F2" s="36" t="s">
        <v>19</v>
      </c>
      <c r="G2" s="11" t="s">
        <v>21</v>
      </c>
      <c r="H2" s="36" t="s">
        <v>19</v>
      </c>
      <c r="I2" s="11" t="s">
        <v>22</v>
      </c>
      <c r="J2" s="36" t="s">
        <v>19</v>
      </c>
      <c r="K2" s="11" t="s">
        <v>23</v>
      </c>
      <c r="L2" s="36" t="s">
        <v>19</v>
      </c>
      <c r="M2" s="11" t="s">
        <v>24</v>
      </c>
      <c r="N2" s="36" t="s">
        <v>19</v>
      </c>
      <c r="O2" s="35" t="s">
        <v>25</v>
      </c>
      <c r="P2" s="35" t="s">
        <v>19</v>
      </c>
      <c r="Q2" s="35" t="s">
        <v>26</v>
      </c>
      <c r="R2" s="35" t="s">
        <v>19</v>
      </c>
      <c r="S2" s="35" t="s">
        <v>27</v>
      </c>
      <c r="T2" s="35" t="s">
        <v>19</v>
      </c>
      <c r="U2" s="40" t="s">
        <v>28</v>
      </c>
    </row>
    <row r="3" spans="1:24" ht="60" customHeight="1" thickBot="1" x14ac:dyDescent="0.3">
      <c r="A3" s="8" t="s">
        <v>29</v>
      </c>
      <c r="B3" s="37"/>
      <c r="C3" s="14" t="s">
        <v>30</v>
      </c>
      <c r="D3" s="36"/>
      <c r="E3" s="14" t="s">
        <v>31</v>
      </c>
      <c r="F3" s="36"/>
      <c r="G3" s="14" t="s">
        <v>32</v>
      </c>
      <c r="H3" s="36"/>
      <c r="I3" s="14" t="s">
        <v>33</v>
      </c>
      <c r="J3" s="36"/>
      <c r="K3" s="14" t="s">
        <v>34</v>
      </c>
      <c r="L3" s="36"/>
      <c r="M3" s="14" t="s">
        <v>35</v>
      </c>
      <c r="N3" s="36"/>
      <c r="O3" s="35"/>
      <c r="P3" s="35"/>
      <c r="Q3" s="35"/>
      <c r="R3" s="35"/>
      <c r="S3" s="35"/>
      <c r="T3" s="35"/>
      <c r="U3" s="40"/>
    </row>
    <row r="4" spans="1:24" ht="46.5" customHeight="1" thickBot="1" x14ac:dyDescent="0.3">
      <c r="A4" s="37" t="s">
        <v>36</v>
      </c>
      <c r="B4" s="37"/>
      <c r="C4" s="36" t="s">
        <v>37</v>
      </c>
      <c r="D4" s="36"/>
      <c r="E4" s="36" t="s">
        <v>37</v>
      </c>
      <c r="F4" s="36"/>
      <c r="G4" s="36" t="s">
        <v>37</v>
      </c>
      <c r="H4" s="36"/>
      <c r="I4" s="36" t="s">
        <v>37</v>
      </c>
      <c r="J4" s="36"/>
      <c r="K4" s="36" t="s">
        <v>37</v>
      </c>
      <c r="L4" s="36"/>
      <c r="M4" s="36" t="s">
        <v>37</v>
      </c>
      <c r="N4" s="36"/>
      <c r="O4" s="35"/>
      <c r="P4" s="35"/>
      <c r="Q4" s="35"/>
      <c r="R4" s="35"/>
      <c r="S4" s="35"/>
      <c r="T4" s="35"/>
      <c r="U4" s="40"/>
    </row>
    <row r="5" spans="1:24" ht="24.95" customHeight="1" thickBot="1" x14ac:dyDescent="0.3">
      <c r="A5" s="37"/>
      <c r="B5" s="37"/>
      <c r="C5" s="36"/>
      <c r="D5" s="12" t="s">
        <v>38</v>
      </c>
      <c r="E5" s="36"/>
      <c r="F5" s="12" t="s">
        <v>38</v>
      </c>
      <c r="G5" s="36"/>
      <c r="H5" s="12" t="s">
        <v>38</v>
      </c>
      <c r="I5" s="36"/>
      <c r="J5" s="12" t="s">
        <v>38</v>
      </c>
      <c r="K5" s="36"/>
      <c r="L5" s="12" t="s">
        <v>38</v>
      </c>
      <c r="M5" s="36"/>
      <c r="N5" s="12">
        <v>0</v>
      </c>
      <c r="O5" s="13" t="s">
        <v>39</v>
      </c>
      <c r="P5" s="13" t="s">
        <v>39</v>
      </c>
      <c r="Q5" s="13" t="s">
        <v>39</v>
      </c>
      <c r="R5" s="13" t="s">
        <v>39</v>
      </c>
      <c r="S5" s="13" t="s">
        <v>39</v>
      </c>
      <c r="T5" s="13" t="s">
        <v>39</v>
      </c>
      <c r="U5" s="40"/>
    </row>
    <row r="6" spans="1:24" ht="39" customHeight="1" x14ac:dyDescent="0.3">
      <c r="A6" s="6">
        <v>46081</v>
      </c>
      <c r="B6" s="15">
        <v>0.375</v>
      </c>
      <c r="C6" s="33">
        <v>1597859</v>
      </c>
      <c r="D6" s="30">
        <v>0</v>
      </c>
      <c r="E6" s="33">
        <v>1408676</v>
      </c>
      <c r="F6" s="30">
        <v>0</v>
      </c>
      <c r="G6" s="33">
        <v>1855069</v>
      </c>
      <c r="H6" s="30">
        <v>0</v>
      </c>
      <c r="I6" s="33">
        <v>2238866</v>
      </c>
      <c r="J6" s="30">
        <v>0</v>
      </c>
      <c r="K6" s="33">
        <v>2423075</v>
      </c>
      <c r="L6" s="30">
        <v>0</v>
      </c>
      <c r="M6" s="33">
        <v>5301506</v>
      </c>
      <c r="N6" s="30">
        <v>0</v>
      </c>
      <c r="O6" s="34">
        <v>23385</v>
      </c>
      <c r="P6" s="31">
        <v>0</v>
      </c>
      <c r="Q6" s="34">
        <v>10090</v>
      </c>
      <c r="R6" s="31">
        <v>0</v>
      </c>
      <c r="S6" s="34">
        <v>15747</v>
      </c>
      <c r="T6" s="9">
        <v>0</v>
      </c>
      <c r="U6" s="7"/>
    </row>
    <row r="7" spans="1:24" ht="39" customHeight="1" x14ac:dyDescent="0.3">
      <c r="A7" s="6">
        <v>46082</v>
      </c>
      <c r="B7" s="16">
        <v>0.22916666666666666</v>
      </c>
      <c r="C7" s="33">
        <v>1598990</v>
      </c>
      <c r="D7" s="4">
        <f t="shared" ref="D7:D38" si="0">C7-C6</f>
        <v>1131</v>
      </c>
      <c r="E7" s="33">
        <v>1409743</v>
      </c>
      <c r="F7" s="4">
        <f>E7-E6</f>
        <v>1067</v>
      </c>
      <c r="G7" s="33">
        <v>1856351</v>
      </c>
      <c r="H7" s="4">
        <f>G7-G6</f>
        <v>1282</v>
      </c>
      <c r="I7" s="33">
        <v>2240161</v>
      </c>
      <c r="J7" s="4">
        <f>I7-I6</f>
        <v>1295</v>
      </c>
      <c r="K7" s="33">
        <v>2424798</v>
      </c>
      <c r="L7" s="4">
        <f>K7-K6</f>
        <v>1723</v>
      </c>
      <c r="M7" s="33">
        <v>5305290</v>
      </c>
      <c r="N7" s="4">
        <f>M7-M6</f>
        <v>3784</v>
      </c>
      <c r="O7" s="34">
        <v>23502</v>
      </c>
      <c r="P7" s="10">
        <f>O7-O6</f>
        <v>117</v>
      </c>
      <c r="Q7" s="34">
        <v>10175</v>
      </c>
      <c r="R7" s="10">
        <f>Q7-Q6</f>
        <v>85</v>
      </c>
      <c r="S7" s="34">
        <v>15812</v>
      </c>
      <c r="T7" s="10">
        <f>S7-S6</f>
        <v>65</v>
      </c>
      <c r="U7" s="3"/>
    </row>
    <row r="8" spans="1:24" ht="39" customHeight="1" x14ac:dyDescent="0.3">
      <c r="A8" s="6">
        <v>46083</v>
      </c>
      <c r="B8" s="16">
        <v>0.2638888888888889</v>
      </c>
      <c r="C8" s="33">
        <v>1600164</v>
      </c>
      <c r="D8" s="4">
        <f t="shared" si="0"/>
        <v>1174</v>
      </c>
      <c r="E8" s="33">
        <v>1410846</v>
      </c>
      <c r="F8" s="4">
        <f t="shared" ref="F8:F38" si="1">E8-E7</f>
        <v>1103</v>
      </c>
      <c r="G8" s="33">
        <v>1857838</v>
      </c>
      <c r="H8" s="4">
        <f t="shared" ref="H8:H38" si="2">G8-G7</f>
        <v>1487</v>
      </c>
      <c r="I8" s="33">
        <v>2241997</v>
      </c>
      <c r="J8" s="4">
        <f t="shared" ref="J8:J38" si="3">I8-I7</f>
        <v>1836</v>
      </c>
      <c r="K8" s="33">
        <v>2426810</v>
      </c>
      <c r="L8" s="4">
        <f t="shared" ref="L8:L38" si="4">K8-K7</f>
        <v>2012</v>
      </c>
      <c r="M8" s="33">
        <v>5309654</v>
      </c>
      <c r="N8" s="4">
        <f t="shared" ref="N8:N38" si="5">M8-M7</f>
        <v>4364</v>
      </c>
      <c r="O8" s="34">
        <v>23621</v>
      </c>
      <c r="P8" s="10">
        <f t="shared" ref="P8:P37" si="6">O8-O7</f>
        <v>119</v>
      </c>
      <c r="Q8" s="34">
        <v>10297</v>
      </c>
      <c r="R8" s="10">
        <f t="shared" ref="R8:R37" si="7">Q8-Q7</f>
        <v>122</v>
      </c>
      <c r="S8" s="34">
        <v>15901</v>
      </c>
      <c r="T8" s="10">
        <f>S8-S7</f>
        <v>89</v>
      </c>
      <c r="U8" s="3"/>
    </row>
    <row r="9" spans="1:24" ht="39" customHeight="1" x14ac:dyDescent="0.3">
      <c r="A9" s="6">
        <v>46084</v>
      </c>
      <c r="B9" s="16">
        <v>0.21527777777777779</v>
      </c>
      <c r="C9" s="33">
        <v>1601397</v>
      </c>
      <c r="D9" s="4">
        <f t="shared" si="0"/>
        <v>1233</v>
      </c>
      <c r="E9" s="33">
        <v>1412010</v>
      </c>
      <c r="F9" s="4">
        <f t="shared" si="1"/>
        <v>1164</v>
      </c>
      <c r="G9" s="33">
        <v>1859257</v>
      </c>
      <c r="H9" s="4">
        <f t="shared" si="2"/>
        <v>1419</v>
      </c>
      <c r="I9" s="33">
        <v>2243833</v>
      </c>
      <c r="J9" s="4">
        <f t="shared" si="3"/>
        <v>1836</v>
      </c>
      <c r="K9" s="33">
        <v>2428856</v>
      </c>
      <c r="L9" s="4">
        <f t="shared" si="4"/>
        <v>2046</v>
      </c>
      <c r="M9" s="33">
        <v>5313876</v>
      </c>
      <c r="N9" s="4">
        <f t="shared" si="5"/>
        <v>4222</v>
      </c>
      <c r="O9" s="34">
        <v>23746</v>
      </c>
      <c r="P9" s="10">
        <f t="shared" si="6"/>
        <v>125</v>
      </c>
      <c r="Q9" s="34">
        <v>10366</v>
      </c>
      <c r="R9" s="10">
        <f t="shared" si="7"/>
        <v>69</v>
      </c>
      <c r="S9" s="34">
        <v>15981</v>
      </c>
      <c r="T9" s="10">
        <f t="shared" ref="T9:T37" si="8">S9-S8</f>
        <v>80</v>
      </c>
      <c r="U9" s="3"/>
    </row>
    <row r="10" spans="1:24" ht="39" customHeight="1" x14ac:dyDescent="0.3">
      <c r="A10" s="6">
        <v>46085</v>
      </c>
      <c r="B10" s="16">
        <v>0.22222222222222221</v>
      </c>
      <c r="C10" s="33">
        <v>1602571</v>
      </c>
      <c r="D10" s="4">
        <f t="shared" si="0"/>
        <v>1174</v>
      </c>
      <c r="E10" s="33">
        <v>1413090</v>
      </c>
      <c r="F10" s="4">
        <f t="shared" si="1"/>
        <v>1080</v>
      </c>
      <c r="G10" s="33">
        <v>1860551</v>
      </c>
      <c r="H10" s="4">
        <f t="shared" si="2"/>
        <v>1294</v>
      </c>
      <c r="I10" s="33">
        <v>2245641</v>
      </c>
      <c r="J10" s="4">
        <f t="shared" si="3"/>
        <v>1808</v>
      </c>
      <c r="K10" s="33">
        <v>2430828</v>
      </c>
      <c r="L10" s="4">
        <f t="shared" si="4"/>
        <v>1972</v>
      </c>
      <c r="M10" s="33">
        <v>5317879</v>
      </c>
      <c r="N10" s="4">
        <f t="shared" si="5"/>
        <v>4003</v>
      </c>
      <c r="O10" s="34">
        <v>23857</v>
      </c>
      <c r="P10" s="10">
        <f t="shared" si="6"/>
        <v>111</v>
      </c>
      <c r="Q10" s="34">
        <v>10406</v>
      </c>
      <c r="R10" s="10">
        <f t="shared" si="7"/>
        <v>40</v>
      </c>
      <c r="S10" s="34">
        <v>16043</v>
      </c>
      <c r="T10" s="10">
        <f t="shared" si="8"/>
        <v>62</v>
      </c>
      <c r="U10" s="3"/>
    </row>
    <row r="11" spans="1:24" ht="39" customHeight="1" x14ac:dyDescent="0.3">
      <c r="A11" s="6">
        <v>46086</v>
      </c>
      <c r="B11" s="16">
        <v>0.23611111111111113</v>
      </c>
      <c r="C11" s="33">
        <v>1603806</v>
      </c>
      <c r="D11" s="4">
        <f t="shared" si="0"/>
        <v>1235</v>
      </c>
      <c r="E11" s="33">
        <v>1414225</v>
      </c>
      <c r="F11" s="4">
        <f t="shared" si="1"/>
        <v>1135</v>
      </c>
      <c r="G11" s="33">
        <v>1861741</v>
      </c>
      <c r="H11" s="4">
        <f t="shared" si="2"/>
        <v>1190</v>
      </c>
      <c r="I11" s="33">
        <v>2247287</v>
      </c>
      <c r="J11" s="4">
        <f t="shared" si="3"/>
        <v>1646</v>
      </c>
      <c r="K11" s="33">
        <v>2432505</v>
      </c>
      <c r="L11" s="4">
        <f t="shared" si="4"/>
        <v>1677</v>
      </c>
      <c r="M11" s="33">
        <v>5321350</v>
      </c>
      <c r="N11" s="4">
        <f t="shared" si="5"/>
        <v>3471</v>
      </c>
      <c r="O11" s="34">
        <v>23980</v>
      </c>
      <c r="P11" s="10">
        <f t="shared" si="6"/>
        <v>123</v>
      </c>
      <c r="Q11" s="34">
        <v>10494</v>
      </c>
      <c r="R11" s="10">
        <f t="shared" si="7"/>
        <v>88</v>
      </c>
      <c r="S11" s="34">
        <v>16085</v>
      </c>
      <c r="T11" s="10">
        <f t="shared" si="8"/>
        <v>42</v>
      </c>
      <c r="U11" s="3"/>
    </row>
    <row r="12" spans="1:24" ht="39" customHeight="1" x14ac:dyDescent="0.3">
      <c r="A12" s="6">
        <v>46087</v>
      </c>
      <c r="B12" s="16">
        <v>0.22916666666666666</v>
      </c>
      <c r="C12" s="33">
        <v>1604962</v>
      </c>
      <c r="D12" s="4">
        <f t="shared" si="0"/>
        <v>1156</v>
      </c>
      <c r="E12" s="33">
        <v>1415325</v>
      </c>
      <c r="F12" s="4">
        <f t="shared" si="1"/>
        <v>1100</v>
      </c>
      <c r="G12" s="33">
        <v>1862969</v>
      </c>
      <c r="H12" s="4">
        <f t="shared" si="2"/>
        <v>1228</v>
      </c>
      <c r="I12" s="33">
        <v>2248828</v>
      </c>
      <c r="J12" s="4">
        <f t="shared" si="3"/>
        <v>1541</v>
      </c>
      <c r="K12" s="33">
        <v>2434233</v>
      </c>
      <c r="L12" s="4">
        <f t="shared" si="4"/>
        <v>1728</v>
      </c>
      <c r="M12" s="33">
        <v>5325042</v>
      </c>
      <c r="N12" s="4">
        <f t="shared" si="5"/>
        <v>3692</v>
      </c>
      <c r="O12" s="34">
        <v>24103</v>
      </c>
      <c r="P12" s="10">
        <f t="shared" si="6"/>
        <v>123</v>
      </c>
      <c r="Q12" s="34">
        <v>10562</v>
      </c>
      <c r="R12" s="10">
        <f t="shared" si="7"/>
        <v>68</v>
      </c>
      <c r="S12" s="34">
        <v>16221</v>
      </c>
      <c r="T12" s="10">
        <f t="shared" si="8"/>
        <v>136</v>
      </c>
      <c r="U12" s="3"/>
    </row>
    <row r="13" spans="1:24" ht="39" customHeight="1" x14ac:dyDescent="0.3">
      <c r="A13" s="6">
        <v>46088</v>
      </c>
      <c r="B13" s="16">
        <v>0.24305555555555555</v>
      </c>
      <c r="C13" s="33">
        <v>1606138</v>
      </c>
      <c r="D13" s="4">
        <f t="shared" si="0"/>
        <v>1176</v>
      </c>
      <c r="E13" s="33">
        <v>1416459</v>
      </c>
      <c r="F13" s="4">
        <f t="shared" si="1"/>
        <v>1134</v>
      </c>
      <c r="G13" s="33">
        <v>1864300</v>
      </c>
      <c r="H13" s="4">
        <f t="shared" si="2"/>
        <v>1331</v>
      </c>
      <c r="I13" s="33">
        <v>2250323</v>
      </c>
      <c r="J13" s="4">
        <f t="shared" si="3"/>
        <v>1495</v>
      </c>
      <c r="K13" s="33">
        <v>2435807</v>
      </c>
      <c r="L13" s="4">
        <f t="shared" si="4"/>
        <v>1574</v>
      </c>
      <c r="M13" s="33">
        <v>5328640</v>
      </c>
      <c r="N13" s="4">
        <f t="shared" si="5"/>
        <v>3598</v>
      </c>
      <c r="O13" s="34">
        <v>24224</v>
      </c>
      <c r="P13" s="10">
        <f t="shared" si="6"/>
        <v>121</v>
      </c>
      <c r="Q13" s="34">
        <v>10617</v>
      </c>
      <c r="R13" s="10">
        <f t="shared" si="7"/>
        <v>55</v>
      </c>
      <c r="S13" s="34">
        <v>16304</v>
      </c>
      <c r="T13" s="10">
        <f t="shared" si="8"/>
        <v>83</v>
      </c>
      <c r="U13" s="3"/>
    </row>
    <row r="14" spans="1:24" ht="39" customHeight="1" x14ac:dyDescent="0.3">
      <c r="A14" s="6">
        <v>46089</v>
      </c>
      <c r="B14" s="16">
        <v>0.22222222222222221</v>
      </c>
      <c r="C14" s="33">
        <v>1607283</v>
      </c>
      <c r="D14" s="4">
        <f t="shared" si="0"/>
        <v>1145</v>
      </c>
      <c r="E14" s="33">
        <v>1417508</v>
      </c>
      <c r="F14" s="4">
        <f t="shared" si="1"/>
        <v>1049</v>
      </c>
      <c r="G14" s="33">
        <v>1865564</v>
      </c>
      <c r="H14" s="4">
        <f t="shared" si="2"/>
        <v>1264</v>
      </c>
      <c r="I14" s="33">
        <v>2251738</v>
      </c>
      <c r="J14" s="4">
        <f t="shared" si="3"/>
        <v>1415</v>
      </c>
      <c r="K14" s="33">
        <v>2437479</v>
      </c>
      <c r="L14" s="4">
        <f t="shared" si="4"/>
        <v>1672</v>
      </c>
      <c r="M14" s="33">
        <v>5332088</v>
      </c>
      <c r="N14" s="4">
        <f t="shared" si="5"/>
        <v>3448</v>
      </c>
      <c r="O14" s="34">
        <v>24342</v>
      </c>
      <c r="P14" s="10">
        <f t="shared" si="6"/>
        <v>118</v>
      </c>
      <c r="Q14" s="34">
        <v>10683</v>
      </c>
      <c r="R14" s="10">
        <f t="shared" si="7"/>
        <v>66</v>
      </c>
      <c r="S14" s="34">
        <v>16406</v>
      </c>
      <c r="T14" s="10">
        <f t="shared" si="8"/>
        <v>102</v>
      </c>
      <c r="U14" s="3"/>
    </row>
    <row r="15" spans="1:24" ht="39" customHeight="1" x14ac:dyDescent="0.3">
      <c r="A15" s="6">
        <v>46090</v>
      </c>
      <c r="B15" s="16">
        <v>0.21875</v>
      </c>
      <c r="C15" s="33">
        <v>1608427</v>
      </c>
      <c r="D15" s="4">
        <f t="shared" si="0"/>
        <v>1144</v>
      </c>
      <c r="E15" s="33">
        <v>1418616</v>
      </c>
      <c r="F15" s="4">
        <f t="shared" si="1"/>
        <v>1108</v>
      </c>
      <c r="G15" s="33">
        <v>1866965</v>
      </c>
      <c r="H15" s="4">
        <f t="shared" si="2"/>
        <v>1401</v>
      </c>
      <c r="I15" s="33">
        <v>2253295</v>
      </c>
      <c r="J15" s="4">
        <f>I15-I14</f>
        <v>1557</v>
      </c>
      <c r="K15" s="33">
        <v>2439232</v>
      </c>
      <c r="L15" s="4">
        <f t="shared" si="4"/>
        <v>1753</v>
      </c>
      <c r="M15" s="33">
        <v>5335948</v>
      </c>
      <c r="N15" s="4">
        <f t="shared" si="5"/>
        <v>3860</v>
      </c>
      <c r="O15" s="34">
        <v>24463</v>
      </c>
      <c r="P15" s="10">
        <f t="shared" si="6"/>
        <v>121</v>
      </c>
      <c r="Q15" s="34">
        <v>10716</v>
      </c>
      <c r="R15" s="10">
        <f t="shared" si="7"/>
        <v>33</v>
      </c>
      <c r="S15" s="34">
        <v>16463</v>
      </c>
      <c r="T15" s="10">
        <f t="shared" si="8"/>
        <v>57</v>
      </c>
      <c r="U15" s="3"/>
    </row>
    <row r="16" spans="1:24" ht="39" customHeight="1" x14ac:dyDescent="0.3">
      <c r="A16" s="6">
        <v>46091</v>
      </c>
      <c r="B16" s="16">
        <v>0.22916666666666666</v>
      </c>
      <c r="C16" s="33">
        <v>1609526</v>
      </c>
      <c r="D16" s="4">
        <f t="shared" si="0"/>
        <v>1099</v>
      </c>
      <c r="E16" s="33">
        <v>1419701</v>
      </c>
      <c r="F16" s="4">
        <f t="shared" si="1"/>
        <v>1085</v>
      </c>
      <c r="G16" s="33">
        <v>1868338</v>
      </c>
      <c r="H16" s="4">
        <f t="shared" si="2"/>
        <v>1373</v>
      </c>
      <c r="I16" s="33">
        <v>2254775</v>
      </c>
      <c r="J16" s="4">
        <f t="shared" si="3"/>
        <v>1480</v>
      </c>
      <c r="K16" s="33">
        <v>2441071</v>
      </c>
      <c r="L16" s="4">
        <f t="shared" si="4"/>
        <v>1839</v>
      </c>
      <c r="M16" s="33">
        <v>5339953</v>
      </c>
      <c r="N16" s="4">
        <f t="shared" si="5"/>
        <v>4005</v>
      </c>
      <c r="O16" s="34">
        <v>24592</v>
      </c>
      <c r="P16" s="10">
        <f t="shared" si="6"/>
        <v>129</v>
      </c>
      <c r="Q16" s="34">
        <v>10797</v>
      </c>
      <c r="R16" s="10">
        <f t="shared" si="7"/>
        <v>81</v>
      </c>
      <c r="S16" s="34">
        <v>16550</v>
      </c>
      <c r="T16" s="10">
        <f t="shared" si="8"/>
        <v>87</v>
      </c>
      <c r="U16" s="3"/>
    </row>
    <row r="17" spans="1:21" ht="39" customHeight="1" x14ac:dyDescent="0.3">
      <c r="A17" s="6">
        <v>46092</v>
      </c>
      <c r="B17" s="16">
        <v>0.23611111111111113</v>
      </c>
      <c r="C17" s="33">
        <v>1610670</v>
      </c>
      <c r="D17" s="4">
        <f t="shared" si="0"/>
        <v>1144</v>
      </c>
      <c r="E17" s="33">
        <v>1420824</v>
      </c>
      <c r="F17" s="4">
        <f t="shared" si="1"/>
        <v>1123</v>
      </c>
      <c r="G17" s="33">
        <v>1869623</v>
      </c>
      <c r="H17" s="4">
        <f t="shared" si="2"/>
        <v>1285</v>
      </c>
      <c r="I17" s="33">
        <v>2256344</v>
      </c>
      <c r="J17" s="4">
        <f t="shared" si="3"/>
        <v>1569</v>
      </c>
      <c r="K17" s="33">
        <v>2442842</v>
      </c>
      <c r="L17" s="4">
        <f t="shared" si="4"/>
        <v>1771</v>
      </c>
      <c r="M17" s="33">
        <v>5343155</v>
      </c>
      <c r="N17" s="4">
        <f t="shared" si="5"/>
        <v>3202</v>
      </c>
      <c r="O17" s="34">
        <v>24680</v>
      </c>
      <c r="P17" s="10">
        <f t="shared" si="6"/>
        <v>88</v>
      </c>
      <c r="Q17" s="34">
        <v>10872</v>
      </c>
      <c r="R17" s="10">
        <f t="shared" si="7"/>
        <v>75</v>
      </c>
      <c r="S17" s="34">
        <v>16616</v>
      </c>
      <c r="T17" s="10">
        <f t="shared" si="8"/>
        <v>66</v>
      </c>
      <c r="U17" s="3"/>
    </row>
    <row r="18" spans="1:21" ht="39" customHeight="1" x14ac:dyDescent="0.3">
      <c r="A18" s="6">
        <v>46093</v>
      </c>
      <c r="B18" s="16">
        <v>0.27083333333333331</v>
      </c>
      <c r="C18" s="33">
        <v>1611829</v>
      </c>
      <c r="D18" s="4">
        <f t="shared" si="0"/>
        <v>1159</v>
      </c>
      <c r="E18" s="33">
        <v>1421857</v>
      </c>
      <c r="F18" s="4">
        <f t="shared" si="1"/>
        <v>1033</v>
      </c>
      <c r="G18" s="33">
        <v>1871043</v>
      </c>
      <c r="H18" s="4">
        <f t="shared" si="2"/>
        <v>1420</v>
      </c>
      <c r="I18" s="33">
        <v>2257801</v>
      </c>
      <c r="J18" s="4">
        <f t="shared" si="3"/>
        <v>1457</v>
      </c>
      <c r="K18" s="33">
        <v>2444710</v>
      </c>
      <c r="L18" s="4">
        <f t="shared" si="4"/>
        <v>1868</v>
      </c>
      <c r="M18" s="33">
        <v>5346222</v>
      </c>
      <c r="N18" s="4">
        <f t="shared" si="5"/>
        <v>3067</v>
      </c>
      <c r="O18" s="34">
        <v>24773</v>
      </c>
      <c r="P18" s="10">
        <f t="shared" si="6"/>
        <v>93</v>
      </c>
      <c r="Q18" s="34">
        <v>10954</v>
      </c>
      <c r="R18" s="10">
        <f t="shared" si="7"/>
        <v>82</v>
      </c>
      <c r="S18" s="34">
        <v>16709</v>
      </c>
      <c r="T18" s="10">
        <f t="shared" si="8"/>
        <v>93</v>
      </c>
      <c r="U18" s="3"/>
    </row>
    <row r="19" spans="1:21" ht="39" customHeight="1" x14ac:dyDescent="0.3">
      <c r="A19" s="6">
        <v>46094</v>
      </c>
      <c r="B19" s="16">
        <v>0.22916666666666666</v>
      </c>
      <c r="C19" s="33">
        <v>1613034</v>
      </c>
      <c r="D19" s="4">
        <f t="shared" si="0"/>
        <v>1205</v>
      </c>
      <c r="E19" s="33">
        <v>1422919</v>
      </c>
      <c r="F19" s="4">
        <f t="shared" si="1"/>
        <v>1062</v>
      </c>
      <c r="G19" s="33">
        <v>1872426</v>
      </c>
      <c r="H19" s="4">
        <f t="shared" si="2"/>
        <v>1383</v>
      </c>
      <c r="I19" s="33">
        <v>2259217</v>
      </c>
      <c r="J19" s="4">
        <f t="shared" si="3"/>
        <v>1416</v>
      </c>
      <c r="K19" s="33">
        <v>2446646</v>
      </c>
      <c r="L19" s="4">
        <f t="shared" si="4"/>
        <v>1936</v>
      </c>
      <c r="M19" s="33">
        <v>5350033</v>
      </c>
      <c r="N19" s="4">
        <f t="shared" si="5"/>
        <v>3811</v>
      </c>
      <c r="O19" s="34">
        <v>24849</v>
      </c>
      <c r="P19" s="10">
        <f t="shared" si="6"/>
        <v>76</v>
      </c>
      <c r="Q19" s="34">
        <v>10983</v>
      </c>
      <c r="R19" s="10">
        <f t="shared" si="7"/>
        <v>29</v>
      </c>
      <c r="S19" s="34">
        <v>16789</v>
      </c>
      <c r="T19" s="10">
        <f t="shared" si="8"/>
        <v>80</v>
      </c>
      <c r="U19" s="3"/>
    </row>
    <row r="20" spans="1:21" ht="39" customHeight="1" x14ac:dyDescent="0.3">
      <c r="A20" s="6">
        <v>46095</v>
      </c>
      <c r="B20" s="16">
        <v>0.21875</v>
      </c>
      <c r="C20" s="33">
        <v>1614201</v>
      </c>
      <c r="D20" s="4">
        <f t="shared" si="0"/>
        <v>1167</v>
      </c>
      <c r="E20" s="33">
        <v>1423981</v>
      </c>
      <c r="F20" s="4">
        <f t="shared" si="1"/>
        <v>1062</v>
      </c>
      <c r="G20" s="33">
        <v>1873841</v>
      </c>
      <c r="H20" s="4">
        <f t="shared" si="2"/>
        <v>1415</v>
      </c>
      <c r="I20" s="33">
        <v>2260595</v>
      </c>
      <c r="J20" s="4">
        <f t="shared" si="3"/>
        <v>1378</v>
      </c>
      <c r="K20" s="33">
        <v>2448605</v>
      </c>
      <c r="L20" s="4">
        <f t="shared" si="4"/>
        <v>1959</v>
      </c>
      <c r="M20" s="33">
        <v>5353912</v>
      </c>
      <c r="N20" s="4">
        <f t="shared" si="5"/>
        <v>3879</v>
      </c>
      <c r="O20" s="34">
        <v>24987</v>
      </c>
      <c r="P20" s="10">
        <f t="shared" si="6"/>
        <v>138</v>
      </c>
      <c r="Q20" s="34">
        <v>11019</v>
      </c>
      <c r="R20" s="10">
        <f t="shared" si="7"/>
        <v>36</v>
      </c>
      <c r="S20" s="34">
        <v>16843</v>
      </c>
      <c r="T20" s="10">
        <f t="shared" si="8"/>
        <v>54</v>
      </c>
      <c r="U20" s="3"/>
    </row>
    <row r="21" spans="1:21" ht="39" customHeight="1" x14ac:dyDescent="0.3">
      <c r="A21" s="6">
        <v>46096</v>
      </c>
      <c r="B21" s="16">
        <v>0.20833333333333334</v>
      </c>
      <c r="C21" s="33">
        <v>1615404</v>
      </c>
      <c r="D21" s="4">
        <f t="shared" si="0"/>
        <v>1203</v>
      </c>
      <c r="E21" s="33">
        <v>1425044</v>
      </c>
      <c r="F21" s="4">
        <f t="shared" si="1"/>
        <v>1063</v>
      </c>
      <c r="G21" s="33">
        <v>1875118</v>
      </c>
      <c r="H21" s="4">
        <f t="shared" si="2"/>
        <v>1277</v>
      </c>
      <c r="I21" s="33">
        <v>2262095</v>
      </c>
      <c r="J21" s="4">
        <f t="shared" si="3"/>
        <v>1500</v>
      </c>
      <c r="K21" s="33">
        <v>2450593</v>
      </c>
      <c r="L21" s="4">
        <f t="shared" si="4"/>
        <v>1988</v>
      </c>
      <c r="M21" s="33">
        <v>5357966</v>
      </c>
      <c r="N21" s="4">
        <f t="shared" si="5"/>
        <v>4054</v>
      </c>
      <c r="O21" s="34">
        <v>25100</v>
      </c>
      <c r="P21" s="10">
        <f t="shared" si="6"/>
        <v>113</v>
      </c>
      <c r="Q21" s="34">
        <v>11046</v>
      </c>
      <c r="R21" s="10">
        <f t="shared" si="7"/>
        <v>27</v>
      </c>
      <c r="S21" s="34">
        <v>16912</v>
      </c>
      <c r="T21" s="10">
        <f t="shared" si="8"/>
        <v>69</v>
      </c>
      <c r="U21" s="3"/>
    </row>
    <row r="22" spans="1:21" ht="39" customHeight="1" x14ac:dyDescent="0.3">
      <c r="A22" s="6">
        <v>46097</v>
      </c>
      <c r="B22" s="16">
        <v>0.20138888888888887</v>
      </c>
      <c r="C22" s="33">
        <v>1616710</v>
      </c>
      <c r="D22" s="4">
        <f t="shared" si="0"/>
        <v>1306</v>
      </c>
      <c r="E22" s="33">
        <v>1426113</v>
      </c>
      <c r="F22" s="4">
        <f t="shared" si="1"/>
        <v>1069</v>
      </c>
      <c r="G22" s="33">
        <v>1876593</v>
      </c>
      <c r="H22" s="4">
        <f t="shared" si="2"/>
        <v>1475</v>
      </c>
      <c r="I22" s="33">
        <v>2263618</v>
      </c>
      <c r="J22" s="4">
        <f t="shared" si="3"/>
        <v>1523</v>
      </c>
      <c r="K22" s="33">
        <v>2452724</v>
      </c>
      <c r="L22" s="4">
        <f t="shared" si="4"/>
        <v>2131</v>
      </c>
      <c r="M22" s="33">
        <v>5362098</v>
      </c>
      <c r="N22" s="4">
        <f t="shared" si="5"/>
        <v>4132</v>
      </c>
      <c r="O22" s="34">
        <v>25241</v>
      </c>
      <c r="P22" s="10">
        <f t="shared" si="6"/>
        <v>141</v>
      </c>
      <c r="Q22" s="34">
        <v>11081</v>
      </c>
      <c r="R22" s="10">
        <f t="shared" si="7"/>
        <v>35</v>
      </c>
      <c r="S22" s="34">
        <v>16984</v>
      </c>
      <c r="T22" s="10">
        <f t="shared" si="8"/>
        <v>72</v>
      </c>
      <c r="U22" s="3"/>
    </row>
    <row r="23" spans="1:21" ht="39" customHeight="1" x14ac:dyDescent="0.3">
      <c r="A23" s="6">
        <v>46098</v>
      </c>
      <c r="B23" s="16">
        <v>0.21527777777777779</v>
      </c>
      <c r="C23" s="33">
        <v>1618097</v>
      </c>
      <c r="D23" s="4">
        <f t="shared" si="0"/>
        <v>1387</v>
      </c>
      <c r="E23" s="33">
        <v>1427190</v>
      </c>
      <c r="F23" s="4">
        <f t="shared" si="1"/>
        <v>1077</v>
      </c>
      <c r="G23" s="33">
        <v>1878153</v>
      </c>
      <c r="H23" s="4">
        <f t="shared" si="2"/>
        <v>1560</v>
      </c>
      <c r="I23" s="33">
        <v>2265187</v>
      </c>
      <c r="J23" s="4">
        <f t="shared" si="3"/>
        <v>1569</v>
      </c>
      <c r="K23" s="33">
        <v>2455040</v>
      </c>
      <c r="L23" s="4">
        <f t="shared" si="4"/>
        <v>2316</v>
      </c>
      <c r="M23" s="33">
        <v>5366570</v>
      </c>
      <c r="N23" s="4">
        <f t="shared" si="5"/>
        <v>4472</v>
      </c>
      <c r="O23" s="34">
        <v>25367</v>
      </c>
      <c r="P23" s="10">
        <f t="shared" si="6"/>
        <v>126</v>
      </c>
      <c r="Q23" s="34">
        <v>11119</v>
      </c>
      <c r="R23" s="10">
        <f t="shared" si="7"/>
        <v>38</v>
      </c>
      <c r="S23" s="34">
        <v>17059</v>
      </c>
      <c r="T23" s="10">
        <f t="shared" si="8"/>
        <v>75</v>
      </c>
      <c r="U23" s="3"/>
    </row>
    <row r="24" spans="1:21" ht="39" customHeight="1" x14ac:dyDescent="0.3">
      <c r="A24" s="6">
        <v>46099</v>
      </c>
      <c r="B24" s="16">
        <v>0.22916666666666666</v>
      </c>
      <c r="C24" s="33">
        <v>1619467</v>
      </c>
      <c r="D24" s="4">
        <f t="shared" si="0"/>
        <v>1370</v>
      </c>
      <c r="E24" s="33">
        <v>1428233</v>
      </c>
      <c r="F24" s="4">
        <f t="shared" si="1"/>
        <v>1043</v>
      </c>
      <c r="G24" s="33">
        <v>1879611</v>
      </c>
      <c r="H24" s="4">
        <f t="shared" si="2"/>
        <v>1458</v>
      </c>
      <c r="I24" s="33">
        <v>2266804</v>
      </c>
      <c r="J24" s="4">
        <f t="shared" si="3"/>
        <v>1617</v>
      </c>
      <c r="K24" s="33">
        <v>2457306</v>
      </c>
      <c r="L24" s="4">
        <f t="shared" si="4"/>
        <v>2266</v>
      </c>
      <c r="M24" s="33">
        <v>5371096</v>
      </c>
      <c r="N24" s="4">
        <f t="shared" si="5"/>
        <v>4526</v>
      </c>
      <c r="O24" s="34">
        <v>25488</v>
      </c>
      <c r="P24" s="10">
        <f t="shared" si="6"/>
        <v>121</v>
      </c>
      <c r="Q24" s="34">
        <v>11154</v>
      </c>
      <c r="R24" s="10">
        <f t="shared" si="7"/>
        <v>35</v>
      </c>
      <c r="S24" s="34">
        <v>17136</v>
      </c>
      <c r="T24" s="10">
        <f t="shared" si="8"/>
        <v>77</v>
      </c>
      <c r="U24" s="3"/>
    </row>
    <row r="25" spans="1:21" ht="39" customHeight="1" x14ac:dyDescent="0.3">
      <c r="A25" s="6">
        <v>46100</v>
      </c>
      <c r="B25" s="16">
        <v>0.23958333333333334</v>
      </c>
      <c r="C25" s="33">
        <v>1620598</v>
      </c>
      <c r="D25" s="4">
        <f t="shared" si="0"/>
        <v>1131</v>
      </c>
      <c r="E25" s="33">
        <v>1429278</v>
      </c>
      <c r="F25" s="4">
        <f t="shared" si="1"/>
        <v>1045</v>
      </c>
      <c r="G25" s="33">
        <v>1880999</v>
      </c>
      <c r="H25" s="4">
        <f t="shared" si="2"/>
        <v>1388</v>
      </c>
      <c r="I25" s="33">
        <v>2268304</v>
      </c>
      <c r="J25" s="4">
        <f t="shared" si="3"/>
        <v>1500</v>
      </c>
      <c r="K25" s="33">
        <v>2459325</v>
      </c>
      <c r="L25" s="4">
        <f t="shared" si="4"/>
        <v>2019</v>
      </c>
      <c r="M25" s="33">
        <v>5374723</v>
      </c>
      <c r="N25" s="4">
        <f t="shared" si="5"/>
        <v>3627</v>
      </c>
      <c r="O25" s="34">
        <v>25615</v>
      </c>
      <c r="P25" s="10">
        <f t="shared" si="6"/>
        <v>127</v>
      </c>
      <c r="Q25" s="34">
        <v>11197</v>
      </c>
      <c r="R25" s="10">
        <f t="shared" si="7"/>
        <v>43</v>
      </c>
      <c r="S25" s="34">
        <v>17201</v>
      </c>
      <c r="T25" s="10">
        <f t="shared" si="8"/>
        <v>65</v>
      </c>
      <c r="U25" s="3"/>
    </row>
    <row r="26" spans="1:21" ht="39" customHeight="1" x14ac:dyDescent="0.3">
      <c r="A26" s="6">
        <v>46101</v>
      </c>
      <c r="B26" s="16">
        <v>0.24652777777777779</v>
      </c>
      <c r="C26" s="33">
        <v>1621729</v>
      </c>
      <c r="D26" s="4">
        <f t="shared" si="0"/>
        <v>1131</v>
      </c>
      <c r="E26" s="33">
        <v>1430402</v>
      </c>
      <c r="F26" s="4">
        <f t="shared" si="1"/>
        <v>1124</v>
      </c>
      <c r="G26" s="33">
        <v>1882409</v>
      </c>
      <c r="H26" s="4">
        <f t="shared" si="2"/>
        <v>1410</v>
      </c>
      <c r="I26" s="33">
        <v>2269932</v>
      </c>
      <c r="J26" s="4">
        <f t="shared" si="3"/>
        <v>1628</v>
      </c>
      <c r="K26" s="33">
        <v>2461367</v>
      </c>
      <c r="L26" s="4">
        <f t="shared" si="4"/>
        <v>2042</v>
      </c>
      <c r="M26" s="33">
        <v>5378682</v>
      </c>
      <c r="N26" s="4">
        <f t="shared" si="5"/>
        <v>3959</v>
      </c>
      <c r="O26" s="34">
        <v>25721</v>
      </c>
      <c r="P26" s="10">
        <f t="shared" si="6"/>
        <v>106</v>
      </c>
      <c r="Q26" s="34">
        <v>11233</v>
      </c>
      <c r="R26" s="10">
        <f t="shared" si="7"/>
        <v>36</v>
      </c>
      <c r="S26" s="34">
        <v>17262</v>
      </c>
      <c r="T26" s="10">
        <f t="shared" si="8"/>
        <v>61</v>
      </c>
      <c r="U26" s="3"/>
    </row>
    <row r="27" spans="1:21" ht="39" customHeight="1" x14ac:dyDescent="0.3">
      <c r="A27" s="6">
        <v>46102</v>
      </c>
      <c r="B27" s="16">
        <v>0.20833333333333334</v>
      </c>
      <c r="C27" s="33">
        <v>1622838</v>
      </c>
      <c r="D27" s="4">
        <f t="shared" si="0"/>
        <v>1109</v>
      </c>
      <c r="E27" s="33">
        <v>1431548</v>
      </c>
      <c r="F27" s="4">
        <f t="shared" si="1"/>
        <v>1146</v>
      </c>
      <c r="G27" s="33">
        <v>1883787</v>
      </c>
      <c r="H27" s="4">
        <f t="shared" si="2"/>
        <v>1378</v>
      </c>
      <c r="I27" s="33">
        <v>2271415</v>
      </c>
      <c r="J27" s="4">
        <f t="shared" si="3"/>
        <v>1483</v>
      </c>
      <c r="K27" s="33">
        <v>2463471</v>
      </c>
      <c r="L27" s="4">
        <f t="shared" si="4"/>
        <v>2104</v>
      </c>
      <c r="M27" s="33">
        <v>5382728</v>
      </c>
      <c r="N27" s="4">
        <f t="shared" si="5"/>
        <v>4046</v>
      </c>
      <c r="O27" s="34">
        <v>25827</v>
      </c>
      <c r="P27" s="10">
        <f t="shared" si="6"/>
        <v>106</v>
      </c>
      <c r="Q27" s="34">
        <v>11277</v>
      </c>
      <c r="R27" s="10">
        <f t="shared" si="7"/>
        <v>44</v>
      </c>
      <c r="S27" s="34">
        <v>17341</v>
      </c>
      <c r="T27" s="10">
        <f t="shared" si="8"/>
        <v>79</v>
      </c>
      <c r="U27" s="3"/>
    </row>
    <row r="28" spans="1:21" ht="39" customHeight="1" x14ac:dyDescent="0.3">
      <c r="A28" s="6">
        <v>46103</v>
      </c>
      <c r="B28" s="16">
        <v>0.27083333333333331</v>
      </c>
      <c r="C28" s="33">
        <v>1623912</v>
      </c>
      <c r="D28" s="4">
        <f t="shared" si="0"/>
        <v>1074</v>
      </c>
      <c r="E28" s="33">
        <v>1432638</v>
      </c>
      <c r="F28" s="4">
        <f t="shared" si="1"/>
        <v>1090</v>
      </c>
      <c r="G28" s="33">
        <v>1885208</v>
      </c>
      <c r="H28" s="4">
        <f t="shared" si="2"/>
        <v>1421</v>
      </c>
      <c r="I28" s="33">
        <v>2272840</v>
      </c>
      <c r="J28" s="4">
        <f t="shared" si="3"/>
        <v>1425</v>
      </c>
      <c r="K28" s="33">
        <v>2465343</v>
      </c>
      <c r="L28" s="4">
        <f t="shared" si="4"/>
        <v>1872</v>
      </c>
      <c r="M28" s="33">
        <v>5385861</v>
      </c>
      <c r="N28" s="4">
        <f t="shared" si="5"/>
        <v>3133</v>
      </c>
      <c r="O28" s="34">
        <v>25916</v>
      </c>
      <c r="P28" s="10">
        <f t="shared" si="6"/>
        <v>89</v>
      </c>
      <c r="Q28" s="34">
        <v>11317</v>
      </c>
      <c r="R28" s="10">
        <f t="shared" si="7"/>
        <v>40</v>
      </c>
      <c r="S28" s="34">
        <v>17400</v>
      </c>
      <c r="T28" s="10">
        <f t="shared" si="8"/>
        <v>59</v>
      </c>
      <c r="U28" s="3"/>
    </row>
    <row r="29" spans="1:21" ht="39" customHeight="1" x14ac:dyDescent="0.3">
      <c r="A29" s="6">
        <v>46104</v>
      </c>
      <c r="B29" s="16">
        <v>0.20833333333333334</v>
      </c>
      <c r="C29" s="33">
        <v>1625139</v>
      </c>
      <c r="D29" s="4">
        <f t="shared" si="0"/>
        <v>1227</v>
      </c>
      <c r="E29" s="33">
        <v>1433763</v>
      </c>
      <c r="F29" s="4">
        <f t="shared" si="1"/>
        <v>1125</v>
      </c>
      <c r="G29" s="33">
        <v>1886638</v>
      </c>
      <c r="H29" s="4">
        <f t="shared" si="2"/>
        <v>1430</v>
      </c>
      <c r="I29" s="33">
        <v>2274372</v>
      </c>
      <c r="J29" s="4">
        <f t="shared" si="3"/>
        <v>1532</v>
      </c>
      <c r="K29" s="33">
        <v>2467434</v>
      </c>
      <c r="L29" s="4">
        <f t="shared" si="4"/>
        <v>2091</v>
      </c>
      <c r="M29" s="33">
        <v>5389789</v>
      </c>
      <c r="N29" s="4">
        <f t="shared" si="5"/>
        <v>3928</v>
      </c>
      <c r="O29" s="34">
        <v>26059</v>
      </c>
      <c r="P29" s="10">
        <f t="shared" si="6"/>
        <v>143</v>
      </c>
      <c r="Q29" s="34">
        <v>11377</v>
      </c>
      <c r="R29" s="10">
        <f t="shared" si="7"/>
        <v>60</v>
      </c>
      <c r="S29" s="34">
        <v>17493</v>
      </c>
      <c r="T29" s="10">
        <f t="shared" si="8"/>
        <v>93</v>
      </c>
      <c r="U29" s="3"/>
    </row>
    <row r="30" spans="1:21" ht="39" customHeight="1" x14ac:dyDescent="0.3">
      <c r="A30" s="6">
        <v>46105</v>
      </c>
      <c r="B30" s="16">
        <v>0.1875</v>
      </c>
      <c r="C30" s="33">
        <v>1625870</v>
      </c>
      <c r="D30" s="4">
        <f t="shared" si="0"/>
        <v>731</v>
      </c>
      <c r="E30" s="33">
        <v>1434719</v>
      </c>
      <c r="F30" s="4">
        <f t="shared" si="1"/>
        <v>956</v>
      </c>
      <c r="G30" s="33">
        <v>1887588</v>
      </c>
      <c r="H30" s="4">
        <f t="shared" si="2"/>
        <v>950</v>
      </c>
      <c r="I30" s="33">
        <v>2275490</v>
      </c>
      <c r="J30" s="4">
        <f t="shared" si="3"/>
        <v>1118</v>
      </c>
      <c r="K30" s="33">
        <v>2469000</v>
      </c>
      <c r="L30" s="4">
        <f t="shared" si="4"/>
        <v>1566</v>
      </c>
      <c r="M30" s="33">
        <v>5392281</v>
      </c>
      <c r="N30" s="4">
        <f t="shared" si="5"/>
        <v>2492</v>
      </c>
      <c r="O30" s="34">
        <v>26107</v>
      </c>
      <c r="P30" s="10">
        <f t="shared" si="6"/>
        <v>48</v>
      </c>
      <c r="Q30" s="34">
        <v>11391</v>
      </c>
      <c r="R30" s="10">
        <f t="shared" si="7"/>
        <v>14</v>
      </c>
      <c r="S30" s="34">
        <v>17562</v>
      </c>
      <c r="T30" s="10">
        <f t="shared" si="8"/>
        <v>69</v>
      </c>
      <c r="U30" s="3"/>
    </row>
    <row r="31" spans="1:21" ht="39" customHeight="1" x14ac:dyDescent="0.3">
      <c r="A31" s="6">
        <v>46106</v>
      </c>
      <c r="B31" s="16">
        <v>0.27083333333333331</v>
      </c>
      <c r="C31" s="33">
        <v>1626598</v>
      </c>
      <c r="D31" s="4">
        <f t="shared" si="0"/>
        <v>728</v>
      </c>
      <c r="E31" s="33">
        <v>1435622</v>
      </c>
      <c r="F31" s="4">
        <f t="shared" si="1"/>
        <v>903</v>
      </c>
      <c r="G31" s="33">
        <v>1888530</v>
      </c>
      <c r="H31" s="4">
        <f t="shared" si="2"/>
        <v>942</v>
      </c>
      <c r="I31" s="33">
        <v>2276615</v>
      </c>
      <c r="J31" s="4">
        <f t="shared" si="3"/>
        <v>1125</v>
      </c>
      <c r="K31" s="33">
        <v>2470559</v>
      </c>
      <c r="L31" s="4">
        <f t="shared" si="4"/>
        <v>1559</v>
      </c>
      <c r="M31" s="33">
        <v>5395445</v>
      </c>
      <c r="N31" s="4">
        <f t="shared" si="5"/>
        <v>3164</v>
      </c>
      <c r="O31" s="34">
        <v>26107</v>
      </c>
      <c r="P31" s="10">
        <f t="shared" si="6"/>
        <v>0</v>
      </c>
      <c r="Q31" s="34">
        <v>11391</v>
      </c>
      <c r="R31" s="10">
        <f t="shared" si="7"/>
        <v>0</v>
      </c>
      <c r="S31" s="34">
        <v>17634</v>
      </c>
      <c r="T31" s="10">
        <f t="shared" si="8"/>
        <v>72</v>
      </c>
      <c r="U31" s="3"/>
    </row>
    <row r="32" spans="1:21" ht="39" customHeight="1" x14ac:dyDescent="0.3">
      <c r="A32" s="6">
        <v>46107</v>
      </c>
      <c r="B32" s="16">
        <v>0.25</v>
      </c>
      <c r="C32" s="33">
        <v>1627326</v>
      </c>
      <c r="D32" s="4">
        <f t="shared" si="0"/>
        <v>728</v>
      </c>
      <c r="E32" s="33">
        <v>1436478</v>
      </c>
      <c r="F32" s="4">
        <f t="shared" si="1"/>
        <v>856</v>
      </c>
      <c r="G32" s="33">
        <v>1889520</v>
      </c>
      <c r="H32" s="4">
        <f t="shared" si="2"/>
        <v>990</v>
      </c>
      <c r="I32" s="33">
        <v>2277760</v>
      </c>
      <c r="J32" s="4">
        <f t="shared" si="3"/>
        <v>1145</v>
      </c>
      <c r="K32" s="33">
        <v>2472213</v>
      </c>
      <c r="L32" s="4">
        <f t="shared" si="4"/>
        <v>1654</v>
      </c>
      <c r="M32" s="33">
        <v>5397977</v>
      </c>
      <c r="N32" s="4">
        <f t="shared" si="5"/>
        <v>2532</v>
      </c>
      <c r="O32" s="34">
        <v>26107</v>
      </c>
      <c r="P32" s="10">
        <f t="shared" si="6"/>
        <v>0</v>
      </c>
      <c r="Q32" s="34">
        <v>11391</v>
      </c>
      <c r="R32" s="10">
        <f t="shared" si="7"/>
        <v>0</v>
      </c>
      <c r="S32" s="34">
        <v>17687</v>
      </c>
      <c r="T32" s="10">
        <f t="shared" si="8"/>
        <v>53</v>
      </c>
      <c r="U32" s="3"/>
    </row>
    <row r="33" spans="1:21" ht="39" customHeight="1" x14ac:dyDescent="0.3">
      <c r="A33" s="6">
        <v>46108</v>
      </c>
      <c r="B33" s="16">
        <v>0.22916666666666699</v>
      </c>
      <c r="C33" s="33">
        <v>1628040</v>
      </c>
      <c r="D33" s="4">
        <f t="shared" si="0"/>
        <v>714</v>
      </c>
      <c r="E33" s="33">
        <v>1437318</v>
      </c>
      <c r="F33" s="4">
        <f t="shared" si="1"/>
        <v>840</v>
      </c>
      <c r="G33" s="33">
        <v>1890560</v>
      </c>
      <c r="H33" s="4">
        <f t="shared" si="2"/>
        <v>1040</v>
      </c>
      <c r="I33" s="33">
        <v>2278940</v>
      </c>
      <c r="J33" s="4">
        <f t="shared" si="3"/>
        <v>1180</v>
      </c>
      <c r="K33" s="33">
        <v>2473995</v>
      </c>
      <c r="L33" s="4">
        <f t="shared" si="4"/>
        <v>1782</v>
      </c>
      <c r="M33" s="33">
        <v>5400968</v>
      </c>
      <c r="N33" s="4">
        <f t="shared" si="5"/>
        <v>2991</v>
      </c>
      <c r="O33" s="34">
        <v>26107</v>
      </c>
      <c r="P33" s="10">
        <f t="shared" si="6"/>
        <v>0</v>
      </c>
      <c r="Q33" s="34">
        <v>11391</v>
      </c>
      <c r="R33" s="10">
        <f t="shared" si="7"/>
        <v>0</v>
      </c>
      <c r="S33" s="34">
        <v>17758</v>
      </c>
      <c r="T33" s="10">
        <f t="shared" si="8"/>
        <v>71</v>
      </c>
      <c r="U33" s="3"/>
    </row>
    <row r="34" spans="1:21" ht="39" customHeight="1" x14ac:dyDescent="0.3">
      <c r="A34" s="6">
        <v>46109</v>
      </c>
      <c r="B34" s="16">
        <v>0.20833333333333301</v>
      </c>
      <c r="C34" s="33">
        <v>1628601</v>
      </c>
      <c r="D34" s="4">
        <f t="shared" si="0"/>
        <v>561</v>
      </c>
      <c r="E34" s="33">
        <v>1438314</v>
      </c>
      <c r="F34" s="4">
        <f t="shared" si="1"/>
        <v>996</v>
      </c>
      <c r="G34" s="33">
        <v>1891545</v>
      </c>
      <c r="H34" s="4">
        <f t="shared" si="2"/>
        <v>985</v>
      </c>
      <c r="I34" s="33">
        <v>2280272</v>
      </c>
      <c r="J34" s="4">
        <f t="shared" si="3"/>
        <v>1332</v>
      </c>
      <c r="K34" s="33">
        <v>2475795</v>
      </c>
      <c r="L34" s="4">
        <f t="shared" si="4"/>
        <v>1800</v>
      </c>
      <c r="M34" s="33">
        <v>5403835</v>
      </c>
      <c r="N34" s="4">
        <f t="shared" si="5"/>
        <v>2867</v>
      </c>
      <c r="O34" s="34">
        <v>26107</v>
      </c>
      <c r="P34" s="10">
        <f t="shared" si="6"/>
        <v>0</v>
      </c>
      <c r="Q34" s="34">
        <v>11391</v>
      </c>
      <c r="R34" s="10">
        <f t="shared" si="7"/>
        <v>0</v>
      </c>
      <c r="S34" s="34">
        <v>17811</v>
      </c>
      <c r="T34" s="10">
        <f t="shared" si="8"/>
        <v>53</v>
      </c>
      <c r="U34" s="3"/>
    </row>
    <row r="35" spans="1:21" ht="39" customHeight="1" x14ac:dyDescent="0.3">
      <c r="A35" s="6">
        <v>46110</v>
      </c>
      <c r="B35" s="16">
        <v>0.22916666666666666</v>
      </c>
      <c r="C35" s="33">
        <v>1629621</v>
      </c>
      <c r="D35" s="4">
        <f t="shared" si="0"/>
        <v>1020</v>
      </c>
      <c r="E35" s="33">
        <v>1439325</v>
      </c>
      <c r="F35" s="4">
        <f t="shared" si="1"/>
        <v>1011</v>
      </c>
      <c r="G35" s="33">
        <v>1892753</v>
      </c>
      <c r="H35" s="4">
        <f t="shared" si="2"/>
        <v>1208</v>
      </c>
      <c r="I35" s="33">
        <v>2282061</v>
      </c>
      <c r="J35" s="4">
        <f t="shared" si="3"/>
        <v>1789</v>
      </c>
      <c r="K35" s="33">
        <v>2477416</v>
      </c>
      <c r="L35" s="4">
        <f t="shared" si="4"/>
        <v>1621</v>
      </c>
      <c r="M35" s="33">
        <v>5407192</v>
      </c>
      <c r="N35" s="4">
        <f t="shared" si="5"/>
        <v>3357</v>
      </c>
      <c r="O35" s="34">
        <v>26107</v>
      </c>
      <c r="P35" s="10">
        <f t="shared" si="6"/>
        <v>0</v>
      </c>
      <c r="Q35" s="34">
        <v>11391</v>
      </c>
      <c r="R35" s="10">
        <f t="shared" si="7"/>
        <v>0</v>
      </c>
      <c r="S35" s="34">
        <v>17882</v>
      </c>
      <c r="T35" s="10">
        <f t="shared" si="8"/>
        <v>71</v>
      </c>
      <c r="U35" s="3"/>
    </row>
    <row r="36" spans="1:21" ht="39" customHeight="1" x14ac:dyDescent="0.3">
      <c r="A36" s="6">
        <v>46111</v>
      </c>
      <c r="B36" s="16">
        <v>0.23958333333333334</v>
      </c>
      <c r="C36" s="33">
        <v>1630728</v>
      </c>
      <c r="D36" s="4">
        <f t="shared" si="0"/>
        <v>1107</v>
      </c>
      <c r="E36" s="33">
        <v>1440244</v>
      </c>
      <c r="F36" s="4">
        <f t="shared" si="1"/>
        <v>919</v>
      </c>
      <c r="G36" s="33">
        <v>1893902</v>
      </c>
      <c r="H36" s="4">
        <f t="shared" si="2"/>
        <v>1149</v>
      </c>
      <c r="I36" s="33">
        <v>2283590</v>
      </c>
      <c r="J36" s="4">
        <f t="shared" si="3"/>
        <v>1529</v>
      </c>
      <c r="K36" s="33">
        <v>2479011</v>
      </c>
      <c r="L36" s="4">
        <f t="shared" si="4"/>
        <v>1595</v>
      </c>
      <c r="M36" s="33">
        <v>5410349</v>
      </c>
      <c r="N36" s="4">
        <f t="shared" si="5"/>
        <v>3157</v>
      </c>
      <c r="O36" s="34">
        <v>26107</v>
      </c>
      <c r="P36" s="10">
        <f t="shared" si="6"/>
        <v>0</v>
      </c>
      <c r="Q36" s="34">
        <v>11391</v>
      </c>
      <c r="R36" s="10">
        <f t="shared" si="7"/>
        <v>0</v>
      </c>
      <c r="S36" s="34">
        <v>17970</v>
      </c>
      <c r="T36" s="10">
        <f t="shared" si="8"/>
        <v>88</v>
      </c>
      <c r="U36" s="3"/>
    </row>
    <row r="37" spans="1:21" ht="39" customHeight="1" x14ac:dyDescent="0.3">
      <c r="A37" s="6">
        <v>46112</v>
      </c>
      <c r="B37" s="16">
        <v>0.24652777777777779</v>
      </c>
      <c r="C37" s="33">
        <v>1631676</v>
      </c>
      <c r="D37" s="4">
        <f t="shared" si="0"/>
        <v>948</v>
      </c>
      <c r="E37" s="33">
        <v>1441078</v>
      </c>
      <c r="F37" s="4">
        <f t="shared" si="1"/>
        <v>834</v>
      </c>
      <c r="G37" s="33">
        <v>1895097</v>
      </c>
      <c r="H37" s="4">
        <f t="shared" si="2"/>
        <v>1195</v>
      </c>
      <c r="I37" s="33">
        <v>2284936</v>
      </c>
      <c r="J37" s="4">
        <f t="shared" si="3"/>
        <v>1346</v>
      </c>
      <c r="K37" s="33">
        <v>2480870</v>
      </c>
      <c r="L37" s="4">
        <f t="shared" si="4"/>
        <v>1859</v>
      </c>
      <c r="M37" s="33">
        <v>5413778</v>
      </c>
      <c r="N37" s="4">
        <f t="shared" si="5"/>
        <v>3429</v>
      </c>
      <c r="O37" s="34">
        <v>26107</v>
      </c>
      <c r="P37" s="10">
        <f t="shared" si="6"/>
        <v>0</v>
      </c>
      <c r="Q37" s="34">
        <v>11391</v>
      </c>
      <c r="R37" s="10">
        <f t="shared" si="7"/>
        <v>0</v>
      </c>
      <c r="S37" s="34">
        <v>18094</v>
      </c>
      <c r="T37" s="10">
        <f t="shared" si="8"/>
        <v>124</v>
      </c>
      <c r="U37" s="3"/>
    </row>
    <row r="38" spans="1:21" ht="39" customHeight="1" x14ac:dyDescent="0.3">
      <c r="A38" s="6">
        <v>46113</v>
      </c>
      <c r="B38" s="16">
        <v>0.125</v>
      </c>
      <c r="C38" s="33"/>
      <c r="D38" s="4">
        <f t="shared" si="0"/>
        <v>-1631676</v>
      </c>
      <c r="E38" s="33"/>
      <c r="F38" s="4">
        <f t="shared" si="1"/>
        <v>-1441078</v>
      </c>
      <c r="G38" s="33"/>
      <c r="H38" s="4">
        <f t="shared" si="2"/>
        <v>-1895097</v>
      </c>
      <c r="I38" s="33"/>
      <c r="J38" s="4">
        <f t="shared" si="3"/>
        <v>-2284936</v>
      </c>
      <c r="K38" s="33"/>
      <c r="L38" s="4">
        <f t="shared" si="4"/>
        <v>-2480870</v>
      </c>
      <c r="M38" s="33"/>
      <c r="N38" s="4">
        <f t="shared" si="5"/>
        <v>-5413778</v>
      </c>
      <c r="O38" s="34"/>
      <c r="P38" s="10"/>
      <c r="Q38" s="34"/>
      <c r="R38" s="10"/>
      <c r="S38" s="34"/>
      <c r="T38" s="10"/>
      <c r="U38" s="3"/>
    </row>
    <row r="39" spans="1:21" x14ac:dyDescent="0.25">
      <c r="D39" s="1">
        <f>SUM(D6:D38)</f>
        <v>-1597859</v>
      </c>
      <c r="F39" s="1">
        <f>SUM(F6:F38)</f>
        <v>-1408676</v>
      </c>
      <c r="H39" s="1">
        <f>SUM(H6:H38)</f>
        <v>-1855069</v>
      </c>
      <c r="J39" s="1">
        <f>SUM(J6:J38)</f>
        <v>-2238866</v>
      </c>
      <c r="L39" s="1">
        <f>SUM(L6:L38)</f>
        <v>-2423075</v>
      </c>
      <c r="N39" s="1">
        <f>SUM(N5:N38)</f>
        <v>-5301506</v>
      </c>
      <c r="P39" s="1"/>
      <c r="R39" s="1"/>
      <c r="T39" s="1"/>
    </row>
    <row r="42" spans="1:21" x14ac:dyDescent="0.25">
      <c r="C42" s="1">
        <f>C38-C6</f>
        <v>-1597859</v>
      </c>
      <c r="E42" s="1">
        <f>E38-E6</f>
        <v>-1408676</v>
      </c>
      <c r="G42" s="1">
        <f>G38-G6</f>
        <v>-1855069</v>
      </c>
      <c r="I42" s="1">
        <f>I38-I6</f>
        <v>-2238866</v>
      </c>
      <c r="K42" s="1">
        <f>K38-K6</f>
        <v>-2423075</v>
      </c>
      <c r="M42" s="1">
        <f>M38-M6</f>
        <v>-5301506</v>
      </c>
      <c r="O42" s="1">
        <f>O38-O6</f>
        <v>-23385</v>
      </c>
      <c r="Q42" s="1">
        <f>Q38-Q6</f>
        <v>-10090</v>
      </c>
      <c r="S42" s="1">
        <f>S38-S6</f>
        <v>-15747</v>
      </c>
    </row>
    <row r="44" spans="1:21" x14ac:dyDescent="0.25">
      <c r="D44" s="1">
        <v>33817</v>
      </c>
    </row>
  </sheetData>
  <mergeCells count="22">
    <mergeCell ref="A4:A5"/>
    <mergeCell ref="C1:U1"/>
    <mergeCell ref="D2:D4"/>
    <mergeCell ref="P2:P4"/>
    <mergeCell ref="U2:U5"/>
    <mergeCell ref="F2:F4"/>
    <mergeCell ref="O2:O4"/>
    <mergeCell ref="Q2:Q4"/>
    <mergeCell ref="B2:B5"/>
    <mergeCell ref="C4:C5"/>
    <mergeCell ref="E4:E5"/>
    <mergeCell ref="H2:H4"/>
    <mergeCell ref="G4:G5"/>
    <mergeCell ref="J2:J4"/>
    <mergeCell ref="I4:I5"/>
    <mergeCell ref="S2:S4"/>
    <mergeCell ref="T2:T4"/>
    <mergeCell ref="L2:L4"/>
    <mergeCell ref="N2:N4"/>
    <mergeCell ref="K4:K5"/>
    <mergeCell ref="M4:M5"/>
    <mergeCell ref="R2:R4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29D9069525B4A8C299D6D6E4D9842" ma:contentTypeVersion="16" ma:contentTypeDescription="Create a new document." ma:contentTypeScope="" ma:versionID="e54e0c0dea70299338c727cec1b8bdef">
  <xsd:schema xmlns:xsd="http://www.w3.org/2001/XMLSchema" xmlns:xs="http://www.w3.org/2001/XMLSchema" xmlns:p="http://schemas.microsoft.com/office/2006/metadata/properties" xmlns:ns3="bdac2669-c29b-4eee-91c8-439ba055a508" xmlns:ns4="8ab914d0-83cb-4256-bfab-90cf244784c7" targetNamespace="http://schemas.microsoft.com/office/2006/metadata/properties" ma:root="true" ma:fieldsID="75e53a7030d9167bdcea465d4aad9651" ns3:_="" ns4:_="">
    <xsd:import namespace="bdac2669-c29b-4eee-91c8-439ba055a508"/>
    <xsd:import namespace="8ab914d0-83cb-4256-bfab-90cf244784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c2669-c29b-4eee-91c8-439ba055a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914d0-83cb-4256-bfab-90cf24478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ac2669-c29b-4eee-91c8-439ba055a5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EE0889-3C7D-4A1D-8F6C-CBC732B80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c2669-c29b-4eee-91c8-439ba055a508"/>
    <ds:schemaRef ds:uri="8ab914d0-83cb-4256-bfab-90cf244784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688C7A-5E58-4F59-8DB0-1F93F20E5B17}">
  <ds:schemaRefs>
    <ds:schemaRef ds:uri="http://schemas.microsoft.com/office/2006/metadata/properties"/>
    <ds:schemaRef ds:uri="http://schemas.microsoft.com/office/infopath/2007/PartnerControls"/>
    <ds:schemaRef ds:uri="bdac2669-c29b-4eee-91c8-439ba055a508"/>
  </ds:schemaRefs>
</ds:datastoreItem>
</file>

<file path=customXml/itemProps3.xml><?xml version="1.0" encoding="utf-8"?>
<ds:datastoreItem xmlns:ds="http://schemas.openxmlformats.org/officeDocument/2006/customXml" ds:itemID="{F1509642-2593-4443-9081-B746EEEC7E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BAN-L Electrical &amp; Water </vt:lpstr>
      <vt:lpstr>'BAN-L Electrical &amp; Water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Muhammad Waseem</cp:lastModifiedBy>
  <cp:revision/>
  <dcterms:created xsi:type="dcterms:W3CDTF">2018-12-27T05:07:34Z</dcterms:created>
  <dcterms:modified xsi:type="dcterms:W3CDTF">2026-04-08T14:28:20Z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ContentTypeId">
    <vt:lpwstr>0x01010005129D9069525B4A8C299D6D6E4D9842</vt:lpwstr>
  </property>
</Properties>
</file>