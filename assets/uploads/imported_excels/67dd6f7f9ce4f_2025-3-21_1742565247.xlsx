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19/"/>
    </mc:Choice>
  </mc:AlternateContent>
  <xr:revisionPtr revIDLastSave="756" documentId="8_{8847650D-614C-4264-8C87-30D8B5EB4252}" xr6:coauthVersionLast="47" xr6:coauthVersionMax="47" xr10:uidLastSave="{50C9ECA2-5636-4DF0-8265-FED83AA23E82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" l="1"/>
  <c r="I8" i="5"/>
  <c r="H8" i="5"/>
  <c r="E8" i="5"/>
  <c r="Q8" i="5"/>
  <c r="F8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P8" i="5"/>
  <c r="O8" i="5"/>
  <c r="N8" i="5"/>
  <c r="M8" i="5"/>
  <c r="L8" i="5"/>
  <c r="K8" i="5"/>
  <c r="G8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4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C4" i="6"/>
  <c r="G30" i="2" l="1"/>
  <c r="G31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AF15" i="5" l="1"/>
  <c r="AF21" i="3" l="1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C35" i="6" l="1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Y21" i="3"/>
  <c r="X21" i="3"/>
  <c r="T21" i="3"/>
  <c r="S21" i="3"/>
  <c r="R21" i="3"/>
  <c r="M21" i="3"/>
  <c r="L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1" i="3" l="1"/>
  <c r="W21" i="3"/>
  <c r="K21" i="3"/>
  <c r="O21" i="3"/>
  <c r="AA21" i="3"/>
  <c r="P21" i="3"/>
  <c r="AB21" i="3"/>
  <c r="E21" i="3"/>
  <c r="Q21" i="3"/>
  <c r="AC21" i="3"/>
  <c r="I2" i="2" a="1"/>
  <c r="I2" i="2" s="1"/>
  <c r="E16" i="5"/>
  <c r="I21" i="3"/>
  <c r="U21" i="3"/>
  <c r="V21" i="3"/>
  <c r="N21" i="3"/>
  <c r="Z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H7" authorId="0" shapeId="0" xr:uid="{AD810976-D3D2-4E23-B9E7-075A0FE30E7D}">
      <text>
        <r>
          <rPr>
            <b/>
            <sz val="9"/>
            <color indexed="81"/>
            <rFont val="Tahoma"/>
            <family val="2"/>
          </rPr>
          <t>Showing -EP-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<sst xmlns="http://schemas.openxmlformats.org/spreadsheetml/2006/main" count="120" uniqueCount="85">
  <si>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</si>
  <si>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</si>
  <si>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</si>
  <si>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</si>
  <si>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</si>
  <si>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</si>
  <si>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</si>
  <si>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</si>
  <si>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</si>
  <si>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</si>
  <si>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</si>
  <si>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</si>
  <si>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</si>
  <si>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</si>
  <si>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</si>
  <si>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</si>
  <si>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</si>
  <si>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</si>
  <si>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</si>
  <si>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</si>
  <si>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</si>
  <si>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</si>
  <si>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</si>
  <si>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</si>
  <si>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</si>
  <si>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</si>
  <si>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</si>
  <si>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</si>
  <si>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</si>
  <si>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</si>
  <si>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</si>
  <si>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</si>
  <si>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</si>
  <si>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</si>
  <si>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</si>
  <si>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</si>
  <si>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</si>
  <si>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</si>
  <si>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</si>
  <si>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</si>
  <si>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</si>
  <si>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</si>
  <si>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</si>
  <si>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</si>
  <si>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</si>
  <si>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</si>
  <si>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</si>
  <si>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</si>
  <si>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</si>
  <si>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</si>
  <si>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</si>
  <si>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</si>
  <si>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</si>
  <si>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</si>
  <si>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</si>
  <si>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</si>
  <si>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</si>
  <si>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</si>
  <si>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</si>
  <si>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</si>
  <si>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</si>
  <si>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</si>
  <si>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</si>
  <si>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</si>
  <si>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</si>
  <si>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</si>
  <si>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</si>
  <si>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</si>
  <si>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</si>
  <si>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</si>
  <si>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</si>
  <si>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</si>
  <si>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</si>
  <si>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</si>
  <si>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</si>
  <si>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</si>
  <si>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</si>
  <si>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</si>
  <si>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</si>
  <si>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</si>
  <si>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</si>
  <si>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FEBRUARY  2019</t>
    </r>
  </si>
  <si>
    <t>DAILY GAS METER READINGS &amp; CONSUMPTION (Liters) February 2019</t>
  </si>
  <si>
    <t>DAILY ELECTRICITY METER READINGS &amp; CONSUMPTION FEBRUARY 2019</t>
  </si>
  <si>
    <t>Occupied Room &amp; Number of Guest - Februray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</si>
</sst>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165" fontId="15" fillId="5" borderId="2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168" fontId="26" fillId="0" borderId="21" xfId="1" applyNumberFormat="1" applyFont="1" applyFill="1" applyBorder="1"/>
    <xf numFmtId="166" fontId="15" fillId="0" borderId="2" xfId="0" applyNumberFormat="1" applyFont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center" vertical="center"/>
    </xf>
    <xf numFmtId="166" fontId="15" fillId="5" borderId="2" xfId="0" applyNumberFormat="1" applyFont="1" applyFill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5" fontId="16" fillId="1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"/>
  <sheetViews>
    <sheetView workbookViewId="0">
      <selection activeCell="D2" sqref="D2:D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2</v>
      </c>
      <c r="D2" s="10">
        <v>2019</v>
      </c>
      <c r="E2" s="4" cm="1">
        <f t="array" ref="E2:E30">TRANSPOSE(Electricity!E21:AG21)</f>
        <v>31990</v>
      </c>
      <c r="F2" s="11">
        <v>0.2</v>
      </c>
      <c r="G2" s="4">
        <f>LPG!C4</f>
        <v>1896.9267857142856</v>
      </c>
      <c r="H2" s="11">
        <v>1.2900068626038923</v>
      </c>
      <c r="I2" s="4" cm="1">
        <f t="array" ref="I2:I30">TRANSPOSE(Water!E15:AG15)</f>
        <v>798.91599999999971</v>
      </c>
      <c r="J2" s="11">
        <v>7.84</v>
      </c>
      <c r="K2" s="4">
        <f>'Occupied &amp; No. of Guest'!B3</f>
        <v>400</v>
      </c>
      <c r="L2" s="4">
        <f>'Occupied &amp; No. of Guest'!C3</f>
        <v>576</v>
      </c>
    </row>
    <row r="3" spans="1:12" x14ac:dyDescent="0.25">
      <c r="A3" s="9" t="s">
        <v>12</v>
      </c>
      <c r="B3" s="10">
        <f>B2+1</f>
        <v>2</v>
      </c>
      <c r="C3" s="10">
        <v>2</v>
      </c>
      <c r="D3" s="10">
        <v>2019</v>
      </c>
      <c r="E3" s="4">
        <v>30967</v>
      </c>
      <c r="F3" s="11">
        <v>0.2</v>
      </c>
      <c r="G3" s="4">
        <f>LPG!C5</f>
        <v>1896.9267857142856</v>
      </c>
      <c r="H3" s="11">
        <v>1.2900068626038923</v>
      </c>
      <c r="I3" s="4">
        <v>330.25799999999685</v>
      </c>
      <c r="J3" s="11">
        <v>7.84</v>
      </c>
      <c r="K3" s="4">
        <f>'Occupied &amp; No. of Guest'!B4</f>
        <v>365</v>
      </c>
      <c r="L3" s="4">
        <f>'Occupied &amp; No. of Guest'!C4</f>
        <v>475</v>
      </c>
    </row>
    <row r="4" spans="1:12" x14ac:dyDescent="0.25">
      <c r="A4" s="9" t="s">
        <v>12</v>
      </c>
      <c r="B4" s="10">
        <f t="shared" ref="B4:B32" si="0">B3+1</f>
        <v>3</v>
      </c>
      <c r="C4" s="10">
        <v>2</v>
      </c>
      <c r="D4" s="10">
        <v>2019</v>
      </c>
      <c r="E4" s="4">
        <v>33358</v>
      </c>
      <c r="F4" s="11">
        <v>0.2</v>
      </c>
      <c r="G4" s="4">
        <f>LPG!C6</f>
        <v>1896.9267857142856</v>
      </c>
      <c r="H4" s="11">
        <v>1.2900068626038923</v>
      </c>
      <c r="I4" s="4">
        <v>301.99000000000478</v>
      </c>
      <c r="J4" s="11">
        <v>7.84</v>
      </c>
      <c r="K4" s="4">
        <f>'Occupied &amp; No. of Guest'!B5</f>
        <v>439</v>
      </c>
      <c r="L4" s="4">
        <f>'Occupied &amp; No. of Guest'!C5</f>
        <v>589</v>
      </c>
    </row>
    <row r="5" spans="1:12" x14ac:dyDescent="0.25">
      <c r="A5" s="9" t="s">
        <v>12</v>
      </c>
      <c r="B5" s="10">
        <f t="shared" si="0"/>
        <v>4</v>
      </c>
      <c r="C5" s="10">
        <v>2</v>
      </c>
      <c r="D5" s="10">
        <v>2019</v>
      </c>
      <c r="E5" s="4">
        <v>31582</v>
      </c>
      <c r="F5" s="11">
        <v>0.2</v>
      </c>
      <c r="G5" s="4">
        <f>LPG!C7</f>
        <v>1896.9267857142856</v>
      </c>
      <c r="H5" s="11">
        <v>1.2900068626038923</v>
      </c>
      <c r="I5" s="4">
        <v>319.41399999999777</v>
      </c>
      <c r="J5" s="11">
        <v>7.84</v>
      </c>
      <c r="K5" s="4">
        <f>'Occupied &amp; No. of Guest'!B6</f>
        <v>481</v>
      </c>
      <c r="L5" s="4">
        <f>'Occupied &amp; No. of Guest'!C6</f>
        <v>662</v>
      </c>
    </row>
    <row r="6" spans="1:12" x14ac:dyDescent="0.25">
      <c r="A6" s="9" t="s">
        <v>12</v>
      </c>
      <c r="B6" s="10">
        <f t="shared" si="0"/>
        <v>5</v>
      </c>
      <c r="C6" s="10">
        <v>2</v>
      </c>
      <c r="D6" s="10">
        <v>2019</v>
      </c>
      <c r="E6" s="4">
        <v>30790</v>
      </c>
      <c r="F6" s="11">
        <v>0.2</v>
      </c>
      <c r="G6" s="4">
        <f>LPG!C8</f>
        <v>1896.9267857142856</v>
      </c>
      <c r="H6" s="11">
        <v>1.2900068626038923</v>
      </c>
      <c r="I6" s="4">
        <v>253.20400000000009</v>
      </c>
      <c r="J6" s="11">
        <v>7.84</v>
      </c>
      <c r="K6" s="4">
        <f>'Occupied &amp; No. of Guest'!B7</f>
        <v>468</v>
      </c>
      <c r="L6" s="4">
        <f>'Occupied &amp; No. of Guest'!C7</f>
        <v>623</v>
      </c>
    </row>
    <row r="7" spans="1:12" x14ac:dyDescent="0.25">
      <c r="A7" s="9" t="s">
        <v>12</v>
      </c>
      <c r="B7" s="10">
        <f t="shared" si="0"/>
        <v>6</v>
      </c>
      <c r="C7" s="10">
        <v>2</v>
      </c>
      <c r="D7" s="10">
        <v>2019</v>
      </c>
      <c r="E7" s="4">
        <v>30793</v>
      </c>
      <c r="F7" s="11">
        <v>0.2</v>
      </c>
      <c r="G7" s="4">
        <f>LPG!C9</f>
        <v>1896.9267857142856</v>
      </c>
      <c r="H7" s="11">
        <v>1.2900068626038923</v>
      </c>
      <c r="I7" s="4">
        <v>246.54800000000296</v>
      </c>
      <c r="J7" s="11">
        <v>7.84</v>
      </c>
      <c r="K7" s="4">
        <f>'Occupied &amp; No. of Guest'!B8</f>
        <v>453</v>
      </c>
      <c r="L7" s="4">
        <f>'Occupied &amp; No. of Guest'!C8</f>
        <v>594</v>
      </c>
    </row>
    <row r="8" spans="1:12" x14ac:dyDescent="0.25">
      <c r="A8" s="9" t="s">
        <v>12</v>
      </c>
      <c r="B8" s="10">
        <f t="shared" si="0"/>
        <v>7</v>
      </c>
      <c r="C8" s="10">
        <v>2</v>
      </c>
      <c r="D8" s="10">
        <v>2019</v>
      </c>
      <c r="E8" s="4">
        <v>29397</v>
      </c>
      <c r="F8" s="11">
        <v>0.2</v>
      </c>
      <c r="G8" s="4">
        <f>LPG!C10</f>
        <v>1896.9267857142856</v>
      </c>
      <c r="H8" s="11">
        <v>1.2900068626038923</v>
      </c>
      <c r="I8" s="4">
        <v>304.54499999999643</v>
      </c>
      <c r="J8" s="11">
        <v>7.84</v>
      </c>
      <c r="K8" s="4">
        <f>'Occupied &amp; No. of Guest'!B9</f>
        <v>403</v>
      </c>
      <c r="L8" s="4">
        <f>'Occupied &amp; No. of Guest'!C9</f>
        <v>564</v>
      </c>
    </row>
    <row r="9" spans="1:12" x14ac:dyDescent="0.25">
      <c r="A9" s="9" t="s">
        <v>12</v>
      </c>
      <c r="B9" s="10">
        <f t="shared" si="0"/>
        <v>8</v>
      </c>
      <c r="C9" s="10">
        <v>2</v>
      </c>
      <c r="D9" s="10">
        <v>2019</v>
      </c>
      <c r="E9" s="4">
        <v>30774</v>
      </c>
      <c r="F9" s="11">
        <v>0.2</v>
      </c>
      <c r="G9" s="4">
        <f>LPG!C11</f>
        <v>1896.9267857142856</v>
      </c>
      <c r="H9" s="11">
        <v>1.2900068626038923</v>
      </c>
      <c r="I9" s="4">
        <v>267.7690000000016</v>
      </c>
      <c r="J9" s="11">
        <v>7.84</v>
      </c>
      <c r="K9" s="4">
        <f>'Occupied &amp; No. of Guest'!B10</f>
        <v>457</v>
      </c>
      <c r="L9" s="4">
        <f>'Occupied &amp; No. of Guest'!C10</f>
        <v>635</v>
      </c>
    </row>
    <row r="10" spans="1:12" x14ac:dyDescent="0.25">
      <c r="A10" s="9" t="s">
        <v>12</v>
      </c>
      <c r="B10" s="10">
        <f t="shared" si="0"/>
        <v>9</v>
      </c>
      <c r="C10" s="10">
        <v>2</v>
      </c>
      <c r="D10" s="10">
        <v>2019</v>
      </c>
      <c r="E10" s="4">
        <v>31774</v>
      </c>
      <c r="F10" s="11">
        <v>0.2</v>
      </c>
      <c r="G10" s="4">
        <f>LPG!C12</f>
        <v>1896.9267857142856</v>
      </c>
      <c r="H10" s="11">
        <v>1.2900068626038923</v>
      </c>
      <c r="I10" s="4">
        <v>283.24300000000369</v>
      </c>
      <c r="J10" s="11">
        <v>7.84</v>
      </c>
      <c r="K10" s="4">
        <f>'Occupied &amp; No. of Guest'!B11</f>
        <v>412</v>
      </c>
      <c r="L10" s="4">
        <f>'Occupied &amp; No. of Guest'!C11</f>
        <v>578</v>
      </c>
    </row>
    <row r="11" spans="1:12" x14ac:dyDescent="0.25">
      <c r="A11" s="9" t="s">
        <v>12</v>
      </c>
      <c r="B11" s="10">
        <f t="shared" si="0"/>
        <v>10</v>
      </c>
      <c r="C11" s="10">
        <v>2</v>
      </c>
      <c r="D11" s="10">
        <v>2019</v>
      </c>
      <c r="E11" s="4">
        <v>30158</v>
      </c>
      <c r="F11" s="11">
        <v>0.2</v>
      </c>
      <c r="G11" s="4">
        <f>LPG!C13</f>
        <v>1896.9267857142856</v>
      </c>
      <c r="H11" s="11">
        <v>1.2900068626038923</v>
      </c>
      <c r="I11" s="4">
        <v>278.71499999999503</v>
      </c>
      <c r="J11" s="11">
        <v>7.84</v>
      </c>
      <c r="K11" s="4">
        <f>'Occupied &amp; No. of Guest'!B12</f>
        <v>432</v>
      </c>
      <c r="L11" s="4">
        <f>'Occupied &amp; No. of Guest'!C12</f>
        <v>607</v>
      </c>
    </row>
    <row r="12" spans="1:12" x14ac:dyDescent="0.25">
      <c r="A12" s="9" t="s">
        <v>12</v>
      </c>
      <c r="B12" s="10">
        <f t="shared" si="0"/>
        <v>11</v>
      </c>
      <c r="C12" s="10">
        <v>2</v>
      </c>
      <c r="D12" s="10">
        <v>2019</v>
      </c>
      <c r="E12" s="4">
        <v>31591</v>
      </c>
      <c r="F12" s="11">
        <v>0.2</v>
      </c>
      <c r="G12" s="4">
        <f>LPG!C14</f>
        <v>1896.9267857142856</v>
      </c>
      <c r="H12" s="11">
        <v>1.2900068626038923</v>
      </c>
      <c r="I12" s="4">
        <v>262.04300000000114</v>
      </c>
      <c r="J12" s="11">
        <v>7.84</v>
      </c>
      <c r="K12" s="4">
        <f>'Occupied &amp; No. of Guest'!B13</f>
        <v>426</v>
      </c>
      <c r="L12" s="4">
        <f>'Occupied &amp; No. of Guest'!C13</f>
        <v>590</v>
      </c>
    </row>
    <row r="13" spans="1:12" x14ac:dyDescent="0.25">
      <c r="A13" s="9" t="s">
        <v>12</v>
      </c>
      <c r="B13" s="10">
        <f t="shared" si="0"/>
        <v>12</v>
      </c>
      <c r="C13" s="10">
        <v>2</v>
      </c>
      <c r="D13" s="10">
        <v>2019</v>
      </c>
      <c r="E13" s="4">
        <v>31563</v>
      </c>
      <c r="F13" s="11">
        <v>0.2</v>
      </c>
      <c r="G13" s="4">
        <f>LPG!C15</f>
        <v>1896.9267857142856</v>
      </c>
      <c r="H13" s="11">
        <v>1.2900068626038923</v>
      </c>
      <c r="I13" s="4">
        <v>242.76099999999906</v>
      </c>
      <c r="J13" s="11">
        <v>7.84</v>
      </c>
      <c r="K13" s="4">
        <f>'Occupied &amp; No. of Guest'!B14</f>
        <v>415</v>
      </c>
      <c r="L13" s="4">
        <f>'Occupied &amp; No. of Guest'!C14</f>
        <v>584</v>
      </c>
    </row>
    <row r="14" spans="1:12" x14ac:dyDescent="0.25">
      <c r="A14" s="9" t="s">
        <v>12</v>
      </c>
      <c r="B14" s="10">
        <f t="shared" si="0"/>
        <v>13</v>
      </c>
      <c r="C14" s="10">
        <v>2</v>
      </c>
      <c r="D14" s="10">
        <v>2019</v>
      </c>
      <c r="E14" s="4">
        <v>32597</v>
      </c>
      <c r="F14" s="11">
        <v>0.2</v>
      </c>
      <c r="G14" s="4">
        <f>LPG!C16</f>
        <v>1896.9267857142856</v>
      </c>
      <c r="H14" s="11">
        <v>1.2900068626038923</v>
      </c>
      <c r="I14" s="4">
        <v>874.57299999999998</v>
      </c>
      <c r="J14" s="11">
        <v>7.84</v>
      </c>
      <c r="K14" s="4">
        <f>'Occupied &amp; No. of Guest'!B15</f>
        <v>404</v>
      </c>
      <c r="L14" s="4">
        <f>'Occupied &amp; No. of Guest'!C15</f>
        <v>553</v>
      </c>
    </row>
    <row r="15" spans="1:12" x14ac:dyDescent="0.25">
      <c r="A15" s="9" t="s">
        <v>12</v>
      </c>
      <c r="B15" s="10">
        <f t="shared" si="0"/>
        <v>14</v>
      </c>
      <c r="C15" s="10">
        <v>2</v>
      </c>
      <c r="D15" s="10">
        <v>2019</v>
      </c>
      <c r="E15" s="4">
        <v>32961</v>
      </c>
      <c r="F15" s="11">
        <v>0.2</v>
      </c>
      <c r="G15" s="4">
        <f>LPG!C17</f>
        <v>1896.9267857142856</v>
      </c>
      <c r="H15" s="11">
        <v>1.2900068626038923</v>
      </c>
      <c r="I15" s="4">
        <v>346.71799999999905</v>
      </c>
      <c r="J15" s="11">
        <v>7.84</v>
      </c>
      <c r="K15" s="4">
        <f>'Occupied &amp; No. of Guest'!B16</f>
        <v>384</v>
      </c>
      <c r="L15" s="4">
        <f>'Occupied &amp; No. of Guest'!C16</f>
        <v>554</v>
      </c>
    </row>
    <row r="16" spans="1:12" x14ac:dyDescent="0.25">
      <c r="A16" s="9" t="s">
        <v>12</v>
      </c>
      <c r="B16" s="10">
        <f t="shared" si="0"/>
        <v>15</v>
      </c>
      <c r="C16" s="10">
        <v>2</v>
      </c>
      <c r="D16" s="10">
        <v>2019</v>
      </c>
      <c r="E16" s="4">
        <v>31773</v>
      </c>
      <c r="F16" s="11">
        <v>0.2</v>
      </c>
      <c r="G16" s="4">
        <f>LPG!C18</f>
        <v>1896.9267857142856</v>
      </c>
      <c r="H16" s="11">
        <v>1.2900068626038923</v>
      </c>
      <c r="I16" s="4">
        <v>343.36499999999995</v>
      </c>
      <c r="J16" s="11">
        <v>7.84</v>
      </c>
      <c r="K16" s="4">
        <f>'Occupied &amp; No. of Guest'!B17</f>
        <v>407</v>
      </c>
      <c r="L16" s="4">
        <f>'Occupied &amp; No. of Guest'!C17</f>
        <v>565</v>
      </c>
    </row>
    <row r="17" spans="1:12" x14ac:dyDescent="0.25">
      <c r="A17" s="9" t="s">
        <v>12</v>
      </c>
      <c r="B17" s="10">
        <f t="shared" si="0"/>
        <v>16</v>
      </c>
      <c r="C17" s="10">
        <v>2</v>
      </c>
      <c r="D17" s="10">
        <v>2019</v>
      </c>
      <c r="E17" s="4">
        <v>30976</v>
      </c>
      <c r="F17" s="11">
        <v>0.2</v>
      </c>
      <c r="G17" s="4">
        <f>LPG!C19</f>
        <v>1896.9267857142856</v>
      </c>
      <c r="H17" s="11">
        <v>1.2900068626038923</v>
      </c>
      <c r="I17" s="4">
        <v>403.67400000000191</v>
      </c>
      <c r="J17" s="11">
        <v>7.84</v>
      </c>
      <c r="K17" s="4">
        <f>'Occupied &amp; No. of Guest'!B18</f>
        <v>434</v>
      </c>
      <c r="L17" s="4">
        <f>'Occupied &amp; No. of Guest'!C18</f>
        <v>591</v>
      </c>
    </row>
    <row r="18" spans="1:12" x14ac:dyDescent="0.25">
      <c r="A18" s="9" t="s">
        <v>12</v>
      </c>
      <c r="B18" s="10">
        <f t="shared" si="0"/>
        <v>17</v>
      </c>
      <c r="C18" s="10">
        <v>2</v>
      </c>
      <c r="D18" s="10">
        <v>2019</v>
      </c>
      <c r="E18" s="4">
        <v>31565</v>
      </c>
      <c r="F18" s="11">
        <v>0.2</v>
      </c>
      <c r="G18" s="4">
        <f>LPG!C20</f>
        <v>1896.9267857142856</v>
      </c>
      <c r="H18" s="11">
        <v>1.2900068626038923</v>
      </c>
      <c r="I18" s="4">
        <v>317.3139999999986</v>
      </c>
      <c r="J18" s="11">
        <v>7.84</v>
      </c>
      <c r="K18" s="4">
        <f>'Occupied &amp; No. of Guest'!B19</f>
        <v>450</v>
      </c>
      <c r="L18" s="4">
        <f>'Occupied &amp; No. of Guest'!C19</f>
        <v>596</v>
      </c>
    </row>
    <row r="19" spans="1:12" x14ac:dyDescent="0.25">
      <c r="A19" s="9" t="s">
        <v>12</v>
      </c>
      <c r="B19" s="10">
        <f t="shared" si="0"/>
        <v>18</v>
      </c>
      <c r="C19" s="10">
        <v>2</v>
      </c>
      <c r="D19" s="10">
        <v>2019</v>
      </c>
      <c r="E19" s="4">
        <v>31965</v>
      </c>
      <c r="F19" s="11">
        <v>0.2</v>
      </c>
      <c r="G19" s="4">
        <f>LPG!C21</f>
        <v>1896.9267857142856</v>
      </c>
      <c r="H19" s="11">
        <v>1.2900068626038923</v>
      </c>
      <c r="I19" s="4">
        <v>335.58800000000531</v>
      </c>
      <c r="J19" s="11">
        <v>7.84</v>
      </c>
      <c r="K19" s="4">
        <f>'Occupied &amp; No. of Guest'!B20</f>
        <v>473</v>
      </c>
      <c r="L19" s="4">
        <f>'Occupied &amp; No. of Guest'!C20</f>
        <v>629</v>
      </c>
    </row>
    <row r="20" spans="1:12" x14ac:dyDescent="0.25">
      <c r="A20" s="9" t="s">
        <v>12</v>
      </c>
      <c r="B20" s="10">
        <f t="shared" si="0"/>
        <v>19</v>
      </c>
      <c r="C20" s="10">
        <v>2</v>
      </c>
      <c r="D20" s="10">
        <v>2019</v>
      </c>
      <c r="E20" s="4">
        <v>30170</v>
      </c>
      <c r="F20" s="11">
        <v>0.2</v>
      </c>
      <c r="G20" s="4">
        <f>LPG!C22</f>
        <v>1896.9267857142856</v>
      </c>
      <c r="H20" s="11">
        <v>1.2900068626038923</v>
      </c>
      <c r="I20" s="4">
        <v>352.71599999999415</v>
      </c>
      <c r="J20" s="11">
        <v>7.84</v>
      </c>
      <c r="K20" s="4">
        <f>'Occupied &amp; No. of Guest'!B21</f>
        <v>474</v>
      </c>
      <c r="L20" s="4">
        <f>'Occupied &amp; No. of Guest'!C21</f>
        <v>623</v>
      </c>
    </row>
    <row r="21" spans="1:12" x14ac:dyDescent="0.25">
      <c r="A21" s="9" t="s">
        <v>12</v>
      </c>
      <c r="B21" s="10">
        <f t="shared" si="0"/>
        <v>20</v>
      </c>
      <c r="C21" s="10">
        <v>2</v>
      </c>
      <c r="D21" s="10">
        <v>2019</v>
      </c>
      <c r="E21" s="4">
        <v>30192</v>
      </c>
      <c r="F21" s="11">
        <v>0.2</v>
      </c>
      <c r="G21" s="4">
        <f>LPG!C23</f>
        <v>1896.9267857142856</v>
      </c>
      <c r="H21" s="11">
        <v>1.2900068626038923</v>
      </c>
      <c r="I21" s="4">
        <v>302.44900000000251</v>
      </c>
      <c r="J21" s="11">
        <v>7.84</v>
      </c>
      <c r="K21" s="4">
        <f>'Occupied &amp; No. of Guest'!B22</f>
        <v>451</v>
      </c>
      <c r="L21" s="4">
        <f>'Occupied &amp; No. of Guest'!C22</f>
        <v>607</v>
      </c>
    </row>
    <row r="22" spans="1:12" x14ac:dyDescent="0.25">
      <c r="A22" s="9" t="s">
        <v>12</v>
      </c>
      <c r="B22" s="10">
        <f t="shared" si="0"/>
        <v>21</v>
      </c>
      <c r="C22" s="10">
        <v>2</v>
      </c>
      <c r="D22" s="10">
        <v>2019</v>
      </c>
      <c r="E22" s="4">
        <v>30371</v>
      </c>
      <c r="F22" s="11">
        <v>0.2</v>
      </c>
      <c r="G22" s="4">
        <f>LPG!C24</f>
        <v>1896.9267857142856</v>
      </c>
      <c r="H22" s="11">
        <v>1.2900068626038923</v>
      </c>
      <c r="I22" s="4">
        <v>395.91799999999756</v>
      </c>
      <c r="J22" s="11">
        <v>7.84</v>
      </c>
      <c r="K22" s="4">
        <f>'Occupied &amp; No. of Guest'!B23</f>
        <v>370</v>
      </c>
      <c r="L22" s="4">
        <f>'Occupied &amp; No. of Guest'!C23</f>
        <v>525</v>
      </c>
    </row>
    <row r="23" spans="1:12" x14ac:dyDescent="0.25">
      <c r="A23" s="9" t="s">
        <v>12</v>
      </c>
      <c r="B23" s="10">
        <f t="shared" si="0"/>
        <v>22</v>
      </c>
      <c r="C23" s="10">
        <v>2</v>
      </c>
      <c r="D23" s="10">
        <v>2019</v>
      </c>
      <c r="E23" s="4">
        <v>30552</v>
      </c>
      <c r="F23" s="11">
        <v>0.2</v>
      </c>
      <c r="G23" s="4">
        <f>LPG!C25</f>
        <v>1896.9267857142856</v>
      </c>
      <c r="H23" s="11">
        <v>1.2900068626038923</v>
      </c>
      <c r="I23" s="4">
        <v>259.74400000000026</v>
      </c>
      <c r="J23" s="11">
        <v>7.84</v>
      </c>
      <c r="K23" s="4">
        <f>'Occupied &amp; No. of Guest'!B24</f>
        <v>272</v>
      </c>
      <c r="L23" s="4">
        <f>'Occupied &amp; No. of Guest'!C24</f>
        <v>387</v>
      </c>
    </row>
    <row r="24" spans="1:12" x14ac:dyDescent="0.25">
      <c r="A24" s="9" t="s">
        <v>12</v>
      </c>
      <c r="B24" s="10">
        <f t="shared" si="0"/>
        <v>23</v>
      </c>
      <c r="C24" s="10">
        <v>2</v>
      </c>
      <c r="D24" s="10">
        <v>2019</v>
      </c>
      <c r="E24" s="4">
        <v>31182</v>
      </c>
      <c r="F24" s="11">
        <v>0.2</v>
      </c>
      <c r="G24" s="4">
        <f>LPG!C26</f>
        <v>1896.9267857142856</v>
      </c>
      <c r="H24" s="11">
        <v>1.2900068626038923</v>
      </c>
      <c r="I24" s="4">
        <v>367.43100000000175</v>
      </c>
      <c r="J24" s="11">
        <v>7.84</v>
      </c>
      <c r="K24" s="4">
        <f>'Occupied &amp; No. of Guest'!B25</f>
        <v>325</v>
      </c>
      <c r="L24" s="4">
        <f>'Occupied &amp; No. of Guest'!C25</f>
        <v>325</v>
      </c>
    </row>
    <row r="25" spans="1:12" x14ac:dyDescent="0.25">
      <c r="A25" s="9" t="s">
        <v>12</v>
      </c>
      <c r="B25" s="10">
        <f t="shared" si="0"/>
        <v>24</v>
      </c>
      <c r="C25" s="10">
        <v>2</v>
      </c>
      <c r="D25" s="10">
        <v>2019</v>
      </c>
      <c r="E25" s="4">
        <v>30548</v>
      </c>
      <c r="F25" s="11">
        <v>0.2</v>
      </c>
      <c r="G25" s="4">
        <f>LPG!C27</f>
        <v>1896.9267857142856</v>
      </c>
      <c r="H25" s="11">
        <v>1.2900068626038923</v>
      </c>
      <c r="I25" s="4">
        <v>260.30700000000149</v>
      </c>
      <c r="J25" s="11">
        <v>7.84</v>
      </c>
      <c r="K25" s="4">
        <f>'Occupied &amp; No. of Guest'!B26</f>
        <v>297</v>
      </c>
      <c r="L25" s="4">
        <f>'Occupied &amp; No. of Guest'!C26</f>
        <v>391</v>
      </c>
    </row>
    <row r="26" spans="1:12" x14ac:dyDescent="0.25">
      <c r="A26" s="9" t="s">
        <v>12</v>
      </c>
      <c r="B26" s="10">
        <f>B25+1</f>
        <v>25</v>
      </c>
      <c r="C26" s="10">
        <v>2</v>
      </c>
      <c r="D26" s="10">
        <v>2019</v>
      </c>
      <c r="E26" s="4">
        <v>29971</v>
      </c>
      <c r="F26" s="11">
        <v>0.2</v>
      </c>
      <c r="G26" s="4">
        <f>LPG!C28</f>
        <v>1896.9267857142856</v>
      </c>
      <c r="H26" s="11">
        <v>1.2900068626038923</v>
      </c>
      <c r="I26" s="4">
        <v>350.02199999999402</v>
      </c>
      <c r="J26" s="11">
        <v>7.84</v>
      </c>
      <c r="K26" s="4">
        <f>'Occupied &amp; No. of Guest'!B27</f>
        <v>321</v>
      </c>
      <c r="L26" s="4">
        <f>'Occupied &amp; No. of Guest'!C27</f>
        <v>419</v>
      </c>
    </row>
    <row r="27" spans="1:12" x14ac:dyDescent="0.25">
      <c r="A27" s="9" t="s">
        <v>12</v>
      </c>
      <c r="B27" s="10">
        <f t="shared" si="0"/>
        <v>26</v>
      </c>
      <c r="C27" s="10">
        <v>2</v>
      </c>
      <c r="D27" s="10">
        <v>2019</v>
      </c>
      <c r="E27" s="4">
        <v>29751</v>
      </c>
      <c r="F27" s="11">
        <v>0.2</v>
      </c>
      <c r="G27" s="4">
        <f>LPG!C29</f>
        <v>1896.9267857142856</v>
      </c>
      <c r="H27" s="11">
        <v>1.2900068626038923</v>
      </c>
      <c r="I27" s="4">
        <v>217.12700000000078</v>
      </c>
      <c r="J27" s="11">
        <v>7.84</v>
      </c>
      <c r="K27" s="4">
        <f>'Occupied &amp; No. of Guest'!B28</f>
        <v>311</v>
      </c>
      <c r="L27" s="4">
        <f>'Occupied &amp; No. of Guest'!C28</f>
        <v>547</v>
      </c>
    </row>
    <row r="28" spans="1:12" x14ac:dyDescent="0.25">
      <c r="A28" s="9" t="s">
        <v>12</v>
      </c>
      <c r="B28" s="10">
        <f t="shared" si="0"/>
        <v>27</v>
      </c>
      <c r="C28" s="10">
        <v>2</v>
      </c>
      <c r="D28" s="10">
        <v>2019</v>
      </c>
      <c r="E28" s="4">
        <v>31553</v>
      </c>
      <c r="F28" s="11">
        <v>0.2</v>
      </c>
      <c r="G28" s="4">
        <f>LPG!C30</f>
        <v>1896.9267857142856</v>
      </c>
      <c r="H28" s="11">
        <v>1.2900068626038923</v>
      </c>
      <c r="I28" s="4">
        <v>354.77000000000533</v>
      </c>
      <c r="J28" s="11">
        <v>7.84</v>
      </c>
      <c r="K28" s="4">
        <f>'Occupied &amp; No. of Guest'!B29</f>
        <v>363</v>
      </c>
      <c r="L28" s="4">
        <f>'Occupied &amp; No. of Guest'!C29</f>
        <v>504</v>
      </c>
    </row>
    <row r="29" spans="1:12" x14ac:dyDescent="0.25">
      <c r="A29" s="9" t="s">
        <v>12</v>
      </c>
      <c r="B29" s="10">
        <f t="shared" si="0"/>
        <v>28</v>
      </c>
      <c r="C29" s="10">
        <v>2</v>
      </c>
      <c r="D29" s="10">
        <v>2019</v>
      </c>
      <c r="E29" s="4">
        <v>31969</v>
      </c>
      <c r="F29" s="11">
        <v>0.2</v>
      </c>
      <c r="G29" s="4">
        <f>LPG!C31</f>
        <v>1896.9267857142856</v>
      </c>
      <c r="H29" s="11">
        <v>1.2900068626038923</v>
      </c>
      <c r="I29" s="4">
        <v>369.35600000000096</v>
      </c>
      <c r="J29" s="11">
        <v>7.84</v>
      </c>
      <c r="K29" s="4">
        <f>'Occupied &amp; No. of Guest'!B30</f>
        <v>391</v>
      </c>
      <c r="L29" s="4">
        <f>'Occupied &amp; No. of Guest'!C30</f>
        <v>553</v>
      </c>
    </row>
    <row r="30" spans="1:12" x14ac:dyDescent="0.25">
      <c r="A30" s="9" t="s">
        <v>12</v>
      </c>
      <c r="B30" s="10">
        <f t="shared" si="0"/>
        <v>29</v>
      </c>
      <c r="C30" s="10">
        <v>2</v>
      </c>
      <c r="D30" s="10">
        <v>2019</v>
      </c>
      <c r="E30" s="4">
        <v>0</v>
      </c>
      <c r="F30" s="11">
        <v>0.2</v>
      </c>
      <c r="G30" s="4">
        <f>LPG!C32</f>
        <v>0</v>
      </c>
      <c r="H30" s="11">
        <v>1.2900068626038923</v>
      </c>
      <c r="I30" s="4">
        <v>0</v>
      </c>
      <c r="J30" s="11">
        <v>7.84</v>
      </c>
      <c r="K30" s="4">
        <f>'Occupied &amp; No. of Guest'!B31</f>
        <v>0</v>
      </c>
      <c r="L30" s="4">
        <f>'Occupied &amp; No. of Guest'!C31</f>
        <v>0</v>
      </c>
    </row>
    <row r="31" spans="1:12" x14ac:dyDescent="0.25">
      <c r="A31" s="9" t="s">
        <v>12</v>
      </c>
      <c r="B31" s="10">
        <f t="shared" si="0"/>
        <v>30</v>
      </c>
      <c r="C31" s="10">
        <v>2</v>
      </c>
      <c r="D31" s="10">
        <v>2019</v>
      </c>
      <c r="E31" s="4"/>
      <c r="F31" s="11">
        <v>0.2</v>
      </c>
      <c r="G31" s="4">
        <f>LPG!C33</f>
        <v>0</v>
      </c>
      <c r="H31" s="11">
        <v>1.2900068626038923</v>
      </c>
      <c r="I31" s="4"/>
      <c r="J31" s="11">
        <v>7.84</v>
      </c>
      <c r="K31" s="4">
        <f>'Occupied &amp; No. of Guest'!B32</f>
        <v>0</v>
      </c>
      <c r="L31" s="4">
        <f>'Occupied &amp; No. of Guest'!C32</f>
        <v>0</v>
      </c>
    </row>
    <row r="32" spans="1:12" x14ac:dyDescent="0.25">
      <c r="A32" s="9" t="s">
        <v>12</v>
      </c>
      <c r="B32" s="10">
        <f t="shared" si="0"/>
        <v>31</v>
      </c>
      <c r="C32" s="10">
        <v>2</v>
      </c>
      <c r="D32" s="10">
        <v>2019</v>
      </c>
      <c r="E32" s="4"/>
      <c r="F32" s="11">
        <v>0.2</v>
      </c>
      <c r="G32" s="4">
        <f>LPG!C34</f>
        <v>0</v>
      </c>
      <c r="H32" s="11">
        <v>1.2900068626038923</v>
      </c>
      <c r="I32" s="4"/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 codeName="Sheet2">
    <pageSetUpPr fitToPage="1"/>
  </sheetPr>
  <dimension ref="A1:BM22"/>
  <sheetViews>
    <sheetView zoomScale="115" zoomScaleNormal="11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3" sqref="A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3" width="15" style="13" customWidth="1"/>
    <col min="34" max="16384" width="9.140625" style="13"/>
  </cols>
  <sheetData>
    <row r="1" spans="1:65" ht="29.25" customHeight="1" x14ac:dyDescent="0.2">
      <c r="B1" s="13"/>
      <c r="C1" s="14"/>
      <c r="D1" s="14"/>
      <c r="G1" s="14"/>
    </row>
    <row r="2" spans="1:65" s="14" customFormat="1" ht="29.25" customHeight="1" x14ac:dyDescent="0.25">
      <c r="A2" s="72" t="s">
        <v>83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</row>
    <row r="3" spans="1:65" s="14" customFormat="1" ht="29.25" customHeight="1" thickBot="1" x14ac:dyDescent="0.3"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4" spans="1:65" ht="39" thickBot="1" x14ac:dyDescent="0.2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/>
    </row>
    <row r="5" spans="1:65" ht="26.25" customHeight="1" x14ac:dyDescent="0.2">
      <c r="A5" s="74">
        <v>1</v>
      </c>
      <c r="B5" s="20" t="s">
        <v>17</v>
      </c>
      <c r="C5" s="76" t="s">
        <v>18</v>
      </c>
      <c r="D5" s="21">
        <v>66424</v>
      </c>
      <c r="E5" s="21">
        <v>66424</v>
      </c>
      <c r="F5" s="21">
        <v>66424</v>
      </c>
      <c r="G5" s="21">
        <v>66424</v>
      </c>
      <c r="H5" s="21">
        <v>66424</v>
      </c>
      <c r="I5" s="21">
        <v>66424</v>
      </c>
      <c r="J5" s="21">
        <v>66424</v>
      </c>
      <c r="K5" s="21">
        <v>66424</v>
      </c>
      <c r="L5" s="21">
        <v>66424</v>
      </c>
      <c r="M5" s="21">
        <v>66424</v>
      </c>
      <c r="N5" s="21">
        <v>66424</v>
      </c>
      <c r="O5" s="21">
        <v>66424</v>
      </c>
      <c r="P5" s="21">
        <v>66424</v>
      </c>
      <c r="Q5" s="21">
        <v>66424</v>
      </c>
      <c r="R5" s="21">
        <v>66424</v>
      </c>
      <c r="S5" s="21">
        <v>66424</v>
      </c>
      <c r="T5" s="21">
        <v>66424</v>
      </c>
      <c r="U5" s="21">
        <v>66424</v>
      </c>
      <c r="V5" s="21">
        <v>66424</v>
      </c>
      <c r="W5" s="21">
        <v>66424</v>
      </c>
      <c r="X5" s="21">
        <v>66424</v>
      </c>
      <c r="Y5" s="21">
        <v>66424</v>
      </c>
      <c r="Z5" s="21">
        <v>66424</v>
      </c>
      <c r="AA5" s="21">
        <v>66424</v>
      </c>
      <c r="AB5" s="21">
        <v>66424</v>
      </c>
      <c r="AC5" s="21">
        <v>66424</v>
      </c>
      <c r="AD5" s="21">
        <v>66424</v>
      </c>
      <c r="AE5" s="21">
        <v>66424</v>
      </c>
      <c r="AF5" s="21">
        <v>66424</v>
      </c>
      <c r="AG5" s="21"/>
    </row>
    <row r="6" spans="1:65" s="24" customFormat="1" ht="21.75" customHeight="1" x14ac:dyDescent="0.2">
      <c r="A6" s="75"/>
      <c r="B6" s="22"/>
      <c r="C6" s="77"/>
      <c r="D6" s="23"/>
      <c r="E6" s="23">
        <f>(E5-D5)*1000</f>
        <v>0</v>
      </c>
      <c r="F6" s="23">
        <f t="shared" ref="F6:AF6" si="0">(F5-E5)*1000</f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si="0"/>
        <v>0</v>
      </c>
      <c r="Q6" s="23">
        <f t="shared" si="0"/>
        <v>0</v>
      </c>
      <c r="R6" s="23">
        <f t="shared" si="0"/>
        <v>0</v>
      </c>
      <c r="S6" s="23">
        <f t="shared" si="0"/>
        <v>0</v>
      </c>
      <c r="T6" s="23">
        <f t="shared" si="0"/>
        <v>0</v>
      </c>
      <c r="U6" s="23">
        <f t="shared" si="0"/>
        <v>0</v>
      </c>
      <c r="V6" s="23">
        <f t="shared" si="0"/>
        <v>0</v>
      </c>
      <c r="W6" s="23">
        <f t="shared" si="0"/>
        <v>0</v>
      </c>
      <c r="X6" s="23">
        <f t="shared" si="0"/>
        <v>0</v>
      </c>
      <c r="Y6" s="23">
        <f t="shared" si="0"/>
        <v>0</v>
      </c>
      <c r="Z6" s="23">
        <f t="shared" si="0"/>
        <v>0</v>
      </c>
      <c r="AA6" s="23">
        <f t="shared" si="0"/>
        <v>0</v>
      </c>
      <c r="AB6" s="23">
        <f t="shared" si="0"/>
        <v>0</v>
      </c>
      <c r="AC6" s="23">
        <f t="shared" si="0"/>
        <v>0</v>
      </c>
      <c r="AD6" s="23">
        <f t="shared" si="0"/>
        <v>0</v>
      </c>
      <c r="AE6" s="23">
        <f t="shared" si="0"/>
        <v>0</v>
      </c>
      <c r="AF6" s="23">
        <f t="shared" si="0"/>
        <v>0</v>
      </c>
      <c r="AG6" s="2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65" ht="22.5" customHeight="1" x14ac:dyDescent="0.2">
      <c r="A7" s="78">
        <v>2</v>
      </c>
      <c r="B7" s="25" t="s">
        <v>19</v>
      </c>
      <c r="C7" s="80" t="s">
        <v>20</v>
      </c>
      <c r="D7" s="21">
        <v>24354</v>
      </c>
      <c r="E7" s="21">
        <v>24378</v>
      </c>
      <c r="F7" s="21">
        <v>24401</v>
      </c>
      <c r="G7" s="21">
        <v>24426</v>
      </c>
      <c r="H7" s="21">
        <v>24450</v>
      </c>
      <c r="I7" s="21">
        <v>24474</v>
      </c>
      <c r="J7" s="21">
        <v>24498</v>
      </c>
      <c r="K7" s="21">
        <v>24521</v>
      </c>
      <c r="L7" s="21">
        <v>24545</v>
      </c>
      <c r="M7" s="21">
        <v>24570</v>
      </c>
      <c r="N7" s="21">
        <v>24593</v>
      </c>
      <c r="O7" s="21">
        <v>24617</v>
      </c>
      <c r="P7" s="21">
        <v>24641</v>
      </c>
      <c r="Q7" s="21">
        <v>24666</v>
      </c>
      <c r="R7" s="21">
        <v>24691</v>
      </c>
      <c r="S7" s="21">
        <v>24716</v>
      </c>
      <c r="T7" s="21">
        <v>24739</v>
      </c>
      <c r="U7" s="21">
        <v>24763</v>
      </c>
      <c r="V7" s="21">
        <v>24787</v>
      </c>
      <c r="W7" s="21">
        <v>24810</v>
      </c>
      <c r="X7" s="21">
        <v>24833</v>
      </c>
      <c r="Y7" s="21">
        <v>24857</v>
      </c>
      <c r="Z7" s="21">
        <v>24880</v>
      </c>
      <c r="AA7" s="21">
        <v>24904</v>
      </c>
      <c r="AB7" s="21">
        <v>24927</v>
      </c>
      <c r="AC7" s="21">
        <v>24949</v>
      </c>
      <c r="AD7" s="21">
        <v>24972</v>
      </c>
      <c r="AE7" s="21">
        <v>24996</v>
      </c>
      <c r="AF7" s="21">
        <v>25020</v>
      </c>
      <c r="AG7" s="21"/>
    </row>
    <row r="8" spans="1:65" s="24" customFormat="1" ht="21.75" customHeight="1" x14ac:dyDescent="0.2">
      <c r="A8" s="79"/>
      <c r="B8" s="22"/>
      <c r="C8" s="77"/>
      <c r="D8" s="23"/>
      <c r="E8" s="23">
        <f>(E7-D7)*1000</f>
        <v>24000</v>
      </c>
      <c r="F8" s="23">
        <f t="shared" ref="F8" si="1">(F7-E7)*1000</f>
        <v>23000</v>
      </c>
      <c r="G8" s="23">
        <f t="shared" ref="G8" si="2">(G7-F7)*1000</f>
        <v>25000</v>
      </c>
      <c r="H8" s="23">
        <f t="shared" ref="H8" si="3">(H7-G7)*1000</f>
        <v>24000</v>
      </c>
      <c r="I8" s="23">
        <f t="shared" ref="I8" si="4">(I7-H7)*1000</f>
        <v>24000</v>
      </c>
      <c r="J8" s="23">
        <f t="shared" ref="J8" si="5">(J7-I7)*1000</f>
        <v>24000</v>
      </c>
      <c r="K8" s="23">
        <f t="shared" ref="K8" si="6">(K7-J7)*1000</f>
        <v>23000</v>
      </c>
      <c r="L8" s="23">
        <f t="shared" ref="L8" si="7">(L7-K7)*1000</f>
        <v>24000</v>
      </c>
      <c r="M8" s="23">
        <f t="shared" ref="M8" si="8">(M7-L7)*1000</f>
        <v>25000</v>
      </c>
      <c r="N8" s="23">
        <f t="shared" ref="N8" si="9">(N7-M7)*1000</f>
        <v>23000</v>
      </c>
      <c r="O8" s="23">
        <f t="shared" ref="O8" si="10">(O7-N7)*1000</f>
        <v>24000</v>
      </c>
      <c r="P8" s="23">
        <f t="shared" ref="P8" si="11">(P7-O7)*1000</f>
        <v>24000</v>
      </c>
      <c r="Q8" s="23">
        <f t="shared" ref="Q8" si="12">(Q7-P7)*1000</f>
        <v>25000</v>
      </c>
      <c r="R8" s="23">
        <f t="shared" ref="R8" si="13">(R7-Q7)*1000</f>
        <v>25000</v>
      </c>
      <c r="S8" s="23">
        <f t="shared" ref="S8" si="14">(S7-R7)*1000</f>
        <v>25000</v>
      </c>
      <c r="T8" s="23">
        <f t="shared" ref="T8" si="15">(T7-S7)*1000</f>
        <v>23000</v>
      </c>
      <c r="U8" s="23">
        <f t="shared" ref="U8" si="16">(U7-T7)*1000</f>
        <v>24000</v>
      </c>
      <c r="V8" s="23">
        <f t="shared" ref="V8" si="17">(V7-U7)*1000</f>
        <v>24000</v>
      </c>
      <c r="W8" s="23">
        <f t="shared" ref="W8" si="18">(W7-V7)*1000</f>
        <v>23000</v>
      </c>
      <c r="X8" s="23">
        <f t="shared" ref="X8" si="19">(X7-W7)*1000</f>
        <v>23000</v>
      </c>
      <c r="Y8" s="23">
        <f t="shared" ref="Y8" si="20">(Y7-X7)*1000</f>
        <v>24000</v>
      </c>
      <c r="Z8" s="23">
        <f t="shared" ref="Z8" si="21">(Z7-Y7)*1000</f>
        <v>23000</v>
      </c>
      <c r="AA8" s="23">
        <f t="shared" ref="AA8" si="22">(AA7-Z7)*1000</f>
        <v>24000</v>
      </c>
      <c r="AB8" s="23">
        <f t="shared" ref="AB8" si="23">(AB7-AA7)*1000</f>
        <v>23000</v>
      </c>
      <c r="AC8" s="23">
        <f t="shared" ref="AC8" si="24">(AC7-AB7)*1000</f>
        <v>22000</v>
      </c>
      <c r="AD8" s="23">
        <f t="shared" ref="AD8" si="25">(AD7-AC7)*1000</f>
        <v>23000</v>
      </c>
      <c r="AE8" s="23">
        <f t="shared" ref="AE8" si="26">(AE7-AD7)*1000</f>
        <v>24000</v>
      </c>
      <c r="AF8" s="23">
        <f t="shared" ref="AF8" si="27">(AF7-AE7)*1000</f>
        <v>24000</v>
      </c>
      <c r="AG8" s="2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</row>
    <row r="9" spans="1:65" ht="21.75" customHeight="1" x14ac:dyDescent="0.2">
      <c r="A9" s="85">
        <v>3</v>
      </c>
      <c r="B9" s="36" t="s">
        <v>21</v>
      </c>
      <c r="C9" s="87" t="s">
        <v>22</v>
      </c>
      <c r="D9" s="21">
        <v>77939</v>
      </c>
      <c r="E9" s="21">
        <v>77955</v>
      </c>
      <c r="F9" s="21">
        <v>77971</v>
      </c>
      <c r="G9" s="21">
        <v>77983</v>
      </c>
      <c r="H9" s="21">
        <v>77986</v>
      </c>
      <c r="I9" s="21">
        <v>77989</v>
      </c>
      <c r="J9" s="21">
        <v>77993</v>
      </c>
      <c r="K9" s="21">
        <v>77997</v>
      </c>
      <c r="L9" s="21">
        <v>78001</v>
      </c>
      <c r="M9" s="21">
        <v>78004</v>
      </c>
      <c r="N9" s="21">
        <v>78007</v>
      </c>
      <c r="O9" s="21">
        <v>78010</v>
      </c>
      <c r="P9" s="21">
        <v>78012</v>
      </c>
      <c r="Q9" s="21">
        <v>78015</v>
      </c>
      <c r="R9" s="21">
        <v>78018</v>
      </c>
      <c r="S9" s="21">
        <v>78020</v>
      </c>
      <c r="T9" s="21">
        <v>78023</v>
      </c>
      <c r="U9" s="21">
        <v>78026</v>
      </c>
      <c r="V9" s="21">
        <v>78029</v>
      </c>
      <c r="W9" s="21">
        <v>78031</v>
      </c>
      <c r="X9" s="21">
        <v>78034</v>
      </c>
      <c r="Y9" s="21">
        <v>78036</v>
      </c>
      <c r="Z9" s="21">
        <v>78039</v>
      </c>
      <c r="AA9" s="21">
        <v>78045</v>
      </c>
      <c r="AB9" s="21">
        <v>78061</v>
      </c>
      <c r="AC9" s="21">
        <v>78078</v>
      </c>
      <c r="AD9" s="21">
        <v>78093</v>
      </c>
      <c r="AE9" s="21">
        <v>78109</v>
      </c>
      <c r="AF9" s="21">
        <v>78127</v>
      </c>
      <c r="AG9" s="21"/>
    </row>
    <row r="10" spans="1:65" s="24" customFormat="1" ht="21.75" customHeight="1" x14ac:dyDescent="0.2">
      <c r="A10" s="86"/>
      <c r="B10" s="37"/>
      <c r="C10" s="84"/>
      <c r="D10" s="23"/>
      <c r="E10" s="23">
        <f>(E9-D9)*1000</f>
        <v>16000</v>
      </c>
      <c r="F10" s="23">
        <f t="shared" ref="F10" si="28">(F9-E9)*1000</f>
        <v>16000</v>
      </c>
      <c r="G10" s="23">
        <f t="shared" ref="G10" si="29">(G9-F9)*1000</f>
        <v>12000</v>
      </c>
      <c r="H10" s="23">
        <f t="shared" ref="H10" si="30">(H9-G9)*1000</f>
        <v>3000</v>
      </c>
      <c r="I10" s="23">
        <f t="shared" ref="I10" si="31">(I9-H9)*1000</f>
        <v>3000</v>
      </c>
      <c r="J10" s="23">
        <f t="shared" ref="J10" si="32">(J9-I9)*1000</f>
        <v>4000</v>
      </c>
      <c r="K10" s="23">
        <f t="shared" ref="K10" si="33">(K9-J9)*1000</f>
        <v>4000</v>
      </c>
      <c r="L10" s="23">
        <f t="shared" ref="L10" si="34">(L9-K9)*1000</f>
        <v>4000</v>
      </c>
      <c r="M10" s="23">
        <f t="shared" ref="M10" si="35">(M9-L9)*1000</f>
        <v>3000</v>
      </c>
      <c r="N10" s="23">
        <f t="shared" ref="N10" si="36">(N9-M9)*1000</f>
        <v>3000</v>
      </c>
      <c r="O10" s="23">
        <f t="shared" ref="O10" si="37">(O9-N9)*1000</f>
        <v>3000</v>
      </c>
      <c r="P10" s="23">
        <f t="shared" ref="P10" si="38">(P9-O9)*1000</f>
        <v>2000</v>
      </c>
      <c r="Q10" s="23">
        <f t="shared" ref="Q10" si="39">(Q9-P9)*1000</f>
        <v>3000</v>
      </c>
      <c r="R10" s="23">
        <f t="shared" ref="R10" si="40">(R9-Q9)*1000</f>
        <v>3000</v>
      </c>
      <c r="S10" s="23">
        <f t="shared" ref="S10" si="41">(S9-R9)*1000</f>
        <v>2000</v>
      </c>
      <c r="T10" s="23">
        <f t="shared" ref="T10" si="42">(T9-S9)*1000</f>
        <v>3000</v>
      </c>
      <c r="U10" s="23">
        <f t="shared" ref="U10" si="43">(U9-T9)*1000</f>
        <v>3000</v>
      </c>
      <c r="V10" s="23">
        <f t="shared" ref="V10" si="44">(V9-U9)*1000</f>
        <v>3000</v>
      </c>
      <c r="W10" s="23">
        <f t="shared" ref="W10" si="45">(W9-V9)*1000</f>
        <v>2000</v>
      </c>
      <c r="X10" s="23">
        <f t="shared" ref="X10" si="46">(X9-W9)*1000</f>
        <v>3000</v>
      </c>
      <c r="Y10" s="23">
        <f t="shared" ref="Y10" si="47">(Y9-X9)*1000</f>
        <v>2000</v>
      </c>
      <c r="Z10" s="23">
        <f t="shared" ref="Z10" si="48">(Z9-Y9)*1000</f>
        <v>3000</v>
      </c>
      <c r="AA10" s="23">
        <f t="shared" ref="AA10" si="49">(AA9-Z9)*1000</f>
        <v>6000</v>
      </c>
      <c r="AB10" s="23">
        <f t="shared" ref="AB10" si="50">(AB9-AA9)*1000</f>
        <v>16000</v>
      </c>
      <c r="AC10" s="23">
        <f t="shared" ref="AC10" si="51">(AC9-AB9)*1000</f>
        <v>17000</v>
      </c>
      <c r="AD10" s="23">
        <f t="shared" ref="AD10" si="52">(AD9-AC9)*1000</f>
        <v>15000</v>
      </c>
      <c r="AE10" s="23">
        <f t="shared" ref="AE10" si="53">(AE9-AD9)*1000</f>
        <v>16000</v>
      </c>
      <c r="AF10" s="23">
        <f t="shared" ref="AF10" si="54">(AF9-AE9)*1000</f>
        <v>18000</v>
      </c>
      <c r="AG10" s="2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:65" ht="21.75" customHeight="1" x14ac:dyDescent="0.2">
      <c r="A11" s="81">
        <v>4</v>
      </c>
      <c r="B11" s="36" t="s">
        <v>23</v>
      </c>
      <c r="C11" s="87" t="s">
        <v>24</v>
      </c>
      <c r="D11" s="21">
        <v>65316</v>
      </c>
      <c r="E11" s="21">
        <v>65319</v>
      </c>
      <c r="F11" s="21">
        <v>65322</v>
      </c>
      <c r="G11" s="21">
        <v>65330</v>
      </c>
      <c r="H11" s="21">
        <v>65345</v>
      </c>
      <c r="I11" s="21">
        <v>65358</v>
      </c>
      <c r="J11" s="21">
        <v>65370</v>
      </c>
      <c r="K11" s="21">
        <v>65381</v>
      </c>
      <c r="L11" s="21">
        <v>65393</v>
      </c>
      <c r="M11" s="21">
        <v>65406</v>
      </c>
      <c r="N11" s="21">
        <v>65420</v>
      </c>
      <c r="O11" s="21">
        <v>65435</v>
      </c>
      <c r="P11" s="21">
        <v>65451</v>
      </c>
      <c r="Q11" s="21">
        <v>65466</v>
      </c>
      <c r="R11" s="21">
        <v>65482</v>
      </c>
      <c r="S11" s="21">
        <v>65496</v>
      </c>
      <c r="T11" s="21">
        <v>65512</v>
      </c>
      <c r="U11" s="21">
        <v>65527</v>
      </c>
      <c r="V11" s="21">
        <v>65543</v>
      </c>
      <c r="W11" s="21">
        <v>65558</v>
      </c>
      <c r="X11" s="21">
        <v>65572</v>
      </c>
      <c r="Y11" s="21">
        <v>65585</v>
      </c>
      <c r="Z11" s="21">
        <v>65600</v>
      </c>
      <c r="AA11" s="21">
        <v>65611</v>
      </c>
      <c r="AB11" s="21">
        <v>65613</v>
      </c>
      <c r="AC11" s="21">
        <v>65615</v>
      </c>
      <c r="AD11" s="21">
        <v>65616</v>
      </c>
      <c r="AE11" s="21">
        <v>65618</v>
      </c>
      <c r="AF11" s="21">
        <v>65619</v>
      </c>
      <c r="AG11" s="21"/>
    </row>
    <row r="12" spans="1:65" s="38" customFormat="1" ht="21.75" customHeight="1" x14ac:dyDescent="0.2">
      <c r="A12" s="82"/>
      <c r="B12" s="37"/>
      <c r="C12" s="84"/>
      <c r="D12" s="23"/>
      <c r="E12" s="23">
        <f>(E11-D11)*1000</f>
        <v>3000</v>
      </c>
      <c r="F12" s="23">
        <f t="shared" ref="F12" si="55">(F11-E11)*1000</f>
        <v>3000</v>
      </c>
      <c r="G12" s="23">
        <f t="shared" ref="G12" si="56">(G11-F11)*1000</f>
        <v>8000</v>
      </c>
      <c r="H12" s="23">
        <f t="shared" ref="H12" si="57">(H11-G11)*1000</f>
        <v>15000</v>
      </c>
      <c r="I12" s="23">
        <f t="shared" ref="I12" si="58">(I11-H11)*1000</f>
        <v>13000</v>
      </c>
      <c r="J12" s="23">
        <f t="shared" ref="J12" si="59">(J11-I11)*1000</f>
        <v>12000</v>
      </c>
      <c r="K12" s="23">
        <f t="shared" ref="K12" si="60">(K11-J11)*1000</f>
        <v>11000</v>
      </c>
      <c r="L12" s="23">
        <f t="shared" ref="L12" si="61">(L11-K11)*1000</f>
        <v>12000</v>
      </c>
      <c r="M12" s="23">
        <f t="shared" ref="M12" si="62">(M11-L11)*1000</f>
        <v>13000</v>
      </c>
      <c r="N12" s="23">
        <f t="shared" ref="N12" si="63">(N11-M11)*1000</f>
        <v>14000</v>
      </c>
      <c r="O12" s="23">
        <f t="shared" ref="O12" si="64">(O11-N11)*1000</f>
        <v>15000</v>
      </c>
      <c r="P12" s="23">
        <f t="shared" ref="P12" si="65">(P11-O11)*1000</f>
        <v>16000</v>
      </c>
      <c r="Q12" s="23">
        <f t="shared" ref="Q12" si="66">(Q11-P11)*1000</f>
        <v>15000</v>
      </c>
      <c r="R12" s="23">
        <f t="shared" ref="R12" si="67">(R11-Q11)*1000</f>
        <v>16000</v>
      </c>
      <c r="S12" s="23">
        <f t="shared" ref="S12" si="68">(S11-R11)*1000</f>
        <v>14000</v>
      </c>
      <c r="T12" s="23">
        <f t="shared" ref="T12" si="69">(T11-S11)*1000</f>
        <v>16000</v>
      </c>
      <c r="U12" s="23">
        <f t="shared" ref="U12" si="70">(U11-T11)*1000</f>
        <v>15000</v>
      </c>
      <c r="V12" s="23">
        <f t="shared" ref="V12" si="71">(V11-U11)*1000</f>
        <v>16000</v>
      </c>
      <c r="W12" s="23">
        <f t="shared" ref="W12" si="72">(W11-V11)*1000</f>
        <v>15000</v>
      </c>
      <c r="X12" s="23">
        <f t="shared" ref="X12" si="73">(X11-W11)*1000</f>
        <v>14000</v>
      </c>
      <c r="Y12" s="23">
        <f t="shared" ref="Y12" si="74">(Y11-X11)*1000</f>
        <v>13000</v>
      </c>
      <c r="Z12" s="23">
        <f t="shared" ref="Z12" si="75">(Z11-Y11)*1000</f>
        <v>15000</v>
      </c>
      <c r="AA12" s="23">
        <f t="shared" ref="AA12" si="76">(AA11-Z11)*1000</f>
        <v>11000</v>
      </c>
      <c r="AB12" s="23">
        <f t="shared" ref="AB12" si="77">(AB11-AA11)*1000</f>
        <v>2000</v>
      </c>
      <c r="AC12" s="23">
        <f t="shared" ref="AC12" si="78">(AC11-AB11)*1000</f>
        <v>2000</v>
      </c>
      <c r="AD12" s="23">
        <f t="shared" ref="AD12" si="79">(AD11-AC11)*1000</f>
        <v>1000</v>
      </c>
      <c r="AE12" s="23">
        <f t="shared" ref="AE12" si="80">(AE11-AD11)*1000</f>
        <v>2000</v>
      </c>
      <c r="AF12" s="23">
        <f t="shared" ref="AF12" si="81">(AF11-AE11)*1000</f>
        <v>1000</v>
      </c>
      <c r="AG12" s="2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pans="1:65" ht="21.75" customHeight="1" x14ac:dyDescent="0.2">
      <c r="A13" s="85">
        <v>7</v>
      </c>
      <c r="B13" s="39" t="s">
        <v>25</v>
      </c>
      <c r="C13" s="83" t="s">
        <v>26</v>
      </c>
      <c r="D13" s="40">
        <v>2854</v>
      </c>
      <c r="E13" s="40">
        <v>2854</v>
      </c>
      <c r="F13" s="40">
        <v>2854</v>
      </c>
      <c r="G13" s="40">
        <v>2854</v>
      </c>
      <c r="H13" s="40">
        <v>2854</v>
      </c>
      <c r="I13" s="40">
        <v>2854</v>
      </c>
      <c r="J13" s="40">
        <v>2854</v>
      </c>
      <c r="K13" s="40">
        <v>2854</v>
      </c>
      <c r="L13" s="40">
        <v>2854</v>
      </c>
      <c r="M13" s="40">
        <v>2854</v>
      </c>
      <c r="N13" s="40">
        <v>2854</v>
      </c>
      <c r="O13" s="40">
        <v>2854</v>
      </c>
      <c r="P13" s="40">
        <v>2854</v>
      </c>
      <c r="Q13" s="40">
        <v>2855</v>
      </c>
      <c r="R13" s="40">
        <v>2855</v>
      </c>
      <c r="S13" s="40">
        <v>2855</v>
      </c>
      <c r="T13" s="40">
        <v>2855</v>
      </c>
      <c r="U13" s="40">
        <v>2855</v>
      </c>
      <c r="V13" s="40">
        <v>2855</v>
      </c>
      <c r="W13" s="40">
        <v>2855</v>
      </c>
      <c r="X13" s="40">
        <v>2855</v>
      </c>
      <c r="Y13" s="40">
        <v>2855</v>
      </c>
      <c r="Z13" s="40">
        <v>2855</v>
      </c>
      <c r="AA13" s="40">
        <v>2855</v>
      </c>
      <c r="AB13" s="40">
        <v>2855</v>
      </c>
      <c r="AC13" s="40">
        <v>2855</v>
      </c>
      <c r="AD13" s="40">
        <v>2855</v>
      </c>
      <c r="AE13" s="40">
        <v>2855</v>
      </c>
      <c r="AF13" s="40">
        <v>2855</v>
      </c>
      <c r="AG13" s="40"/>
    </row>
    <row r="14" spans="1:65" s="24" customFormat="1" ht="21.75" customHeight="1" x14ac:dyDescent="0.2">
      <c r="A14" s="86"/>
      <c r="B14" s="41"/>
      <c r="C14" s="84"/>
      <c r="D14" s="42"/>
      <c r="E14" s="42">
        <f t="shared" ref="E14" si="82">E13-D13</f>
        <v>0</v>
      </c>
      <c r="F14" s="42">
        <f t="shared" ref="F14" si="83">F13-E13</f>
        <v>0</v>
      </c>
      <c r="G14" s="42">
        <f t="shared" ref="G14" si="84">G13-F13</f>
        <v>0</v>
      </c>
      <c r="H14" s="42">
        <f t="shared" ref="H14" si="85">H13-G13</f>
        <v>0</v>
      </c>
      <c r="I14" s="42">
        <f t="shared" ref="I14" si="86">I13-H13</f>
        <v>0</v>
      </c>
      <c r="J14" s="42">
        <f t="shared" ref="J14" si="87">J13-I13</f>
        <v>0</v>
      </c>
      <c r="K14" s="42">
        <f t="shared" ref="K14" si="88">K13-J13</f>
        <v>0</v>
      </c>
      <c r="L14" s="42">
        <f t="shared" ref="L14" si="89">L13-K13</f>
        <v>0</v>
      </c>
      <c r="M14" s="42">
        <f t="shared" ref="M14" si="90">M13-L13</f>
        <v>0</v>
      </c>
      <c r="N14" s="42">
        <f t="shared" ref="N14" si="91">N13-M13</f>
        <v>0</v>
      </c>
      <c r="O14" s="42">
        <f t="shared" ref="O14" si="92">O13-N13</f>
        <v>0</v>
      </c>
      <c r="P14" s="42">
        <f t="shared" ref="P14" si="93">P13-O13</f>
        <v>0</v>
      </c>
      <c r="Q14" s="42">
        <f t="shared" ref="Q14" si="94">Q13-P13</f>
        <v>1</v>
      </c>
      <c r="R14" s="42">
        <f t="shared" ref="R14" si="95">R13-Q13</f>
        <v>0</v>
      </c>
      <c r="S14" s="42">
        <f t="shared" ref="S14" si="96">S13-R13</f>
        <v>0</v>
      </c>
      <c r="T14" s="42">
        <f t="shared" ref="T14" si="97">T13-S13</f>
        <v>0</v>
      </c>
      <c r="U14" s="42">
        <f t="shared" ref="U14" si="98">U13-T13</f>
        <v>0</v>
      </c>
      <c r="V14" s="42">
        <f t="shared" ref="V14" si="99">V13-U13</f>
        <v>0</v>
      </c>
      <c r="W14" s="42">
        <f t="shared" ref="W14" si="100">W13-V13</f>
        <v>0</v>
      </c>
      <c r="X14" s="42">
        <f t="shared" ref="X14" si="101">X13-W13</f>
        <v>0</v>
      </c>
      <c r="Y14" s="42">
        <f t="shared" ref="Y14" si="102">Y13-X13</f>
        <v>0</v>
      </c>
      <c r="Z14" s="42">
        <f t="shared" ref="Z14" si="103">Z13-Y13</f>
        <v>0</v>
      </c>
      <c r="AA14" s="42">
        <f t="shared" ref="AA14" si="104">AA13-Z13</f>
        <v>0</v>
      </c>
      <c r="AB14" s="42">
        <f t="shared" ref="AB14" si="105">AB13-AA13</f>
        <v>0</v>
      </c>
      <c r="AC14" s="42">
        <f t="shared" ref="AC14" si="106">AC13-AB13</f>
        <v>0</v>
      </c>
      <c r="AD14" s="42">
        <f t="shared" ref="AD14" si="107">AD13-AC13</f>
        <v>0</v>
      </c>
      <c r="AE14" s="42">
        <f t="shared" ref="AE14" si="108">AE13-AD13</f>
        <v>0</v>
      </c>
      <c r="AF14" s="42">
        <f t="shared" ref="AF14" si="109">AF13-AE13</f>
        <v>0</v>
      </c>
      <c r="AG14" s="42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pans="1:65" ht="21.75" customHeight="1" x14ac:dyDescent="0.2">
      <c r="A15" s="81">
        <v>8</v>
      </c>
      <c r="B15" s="39" t="s">
        <v>27</v>
      </c>
      <c r="C15" s="83" t="s">
        <v>28</v>
      </c>
      <c r="D15" s="40">
        <v>252</v>
      </c>
      <c r="E15" s="40">
        <v>252</v>
      </c>
      <c r="F15" s="40">
        <v>252</v>
      </c>
      <c r="G15" s="40">
        <v>252</v>
      </c>
      <c r="H15" s="40">
        <v>252</v>
      </c>
      <c r="I15" s="40">
        <v>253</v>
      </c>
      <c r="J15" s="40">
        <v>253</v>
      </c>
      <c r="K15" s="40">
        <v>253</v>
      </c>
      <c r="L15" s="40">
        <v>253</v>
      </c>
      <c r="M15" s="40">
        <v>253</v>
      </c>
      <c r="N15" s="40">
        <v>253</v>
      </c>
      <c r="O15" s="40">
        <v>253</v>
      </c>
      <c r="P15" s="40">
        <v>253</v>
      </c>
      <c r="Q15" s="40">
        <v>253</v>
      </c>
      <c r="R15" s="40">
        <v>253</v>
      </c>
      <c r="S15" s="40">
        <v>253</v>
      </c>
      <c r="T15" s="40">
        <v>253</v>
      </c>
      <c r="U15" s="40">
        <v>253</v>
      </c>
      <c r="V15" s="40">
        <v>253</v>
      </c>
      <c r="W15" s="40">
        <v>254</v>
      </c>
      <c r="X15" s="40">
        <v>254</v>
      </c>
      <c r="Y15" s="40">
        <v>254</v>
      </c>
      <c r="Z15" s="40">
        <v>254</v>
      </c>
      <c r="AA15" s="40">
        <v>254</v>
      </c>
      <c r="AB15" s="40">
        <v>254</v>
      </c>
      <c r="AC15" s="40">
        <v>254</v>
      </c>
      <c r="AD15" s="40">
        <v>254</v>
      </c>
      <c r="AE15" s="40">
        <v>254</v>
      </c>
      <c r="AF15" s="40">
        <v>254</v>
      </c>
      <c r="AG15" s="40"/>
    </row>
    <row r="16" spans="1:65" s="24" customFormat="1" ht="21.75" customHeight="1" x14ac:dyDescent="0.2">
      <c r="A16" s="82"/>
      <c r="B16" s="41"/>
      <c r="C16" s="84"/>
      <c r="D16" s="42"/>
      <c r="E16" s="42">
        <f t="shared" ref="E16" si="110">E15-D15</f>
        <v>0</v>
      </c>
      <c r="F16" s="42">
        <f t="shared" ref="F16" si="111">F15-E15</f>
        <v>0</v>
      </c>
      <c r="G16" s="42">
        <f t="shared" ref="G16" si="112">G15-F15</f>
        <v>0</v>
      </c>
      <c r="H16" s="42">
        <f t="shared" ref="H16" si="113">H15-G15</f>
        <v>0</v>
      </c>
      <c r="I16" s="42">
        <f t="shared" ref="I16" si="114">I15-H15</f>
        <v>1</v>
      </c>
      <c r="J16" s="42">
        <f t="shared" ref="J16" si="115">J15-I15</f>
        <v>0</v>
      </c>
      <c r="K16" s="42">
        <f t="shared" ref="K16" si="116">K15-J15</f>
        <v>0</v>
      </c>
      <c r="L16" s="42">
        <f t="shared" ref="L16" si="117">L15-K15</f>
        <v>0</v>
      </c>
      <c r="M16" s="42">
        <f t="shared" ref="M16" si="118">M15-L15</f>
        <v>0</v>
      </c>
      <c r="N16" s="42">
        <f t="shared" ref="N16" si="119">N15-M15</f>
        <v>0</v>
      </c>
      <c r="O16" s="42">
        <f t="shared" ref="O16" si="120">O15-N15</f>
        <v>0</v>
      </c>
      <c r="P16" s="42">
        <f t="shared" ref="P16" si="121">P15-O15</f>
        <v>0</v>
      </c>
      <c r="Q16" s="42">
        <f t="shared" ref="Q16" si="122">Q15-P15</f>
        <v>0</v>
      </c>
      <c r="R16" s="42">
        <f t="shared" ref="R16" si="123">R15-Q15</f>
        <v>0</v>
      </c>
      <c r="S16" s="42">
        <f t="shared" ref="S16" si="124">S15-R15</f>
        <v>0</v>
      </c>
      <c r="T16" s="42">
        <f t="shared" ref="T16" si="125">T15-S15</f>
        <v>0</v>
      </c>
      <c r="U16" s="42">
        <f t="shared" ref="U16" si="126">U15-T15</f>
        <v>0</v>
      </c>
      <c r="V16" s="42">
        <f t="shared" ref="V16" si="127">V15-U15</f>
        <v>0</v>
      </c>
      <c r="W16" s="42">
        <f t="shared" ref="W16" si="128">W15-V15</f>
        <v>1</v>
      </c>
      <c r="X16" s="42">
        <f t="shared" ref="X16" si="129">X15-W15</f>
        <v>0</v>
      </c>
      <c r="Y16" s="42">
        <f t="shared" ref="Y16" si="130">Y15-X15</f>
        <v>0</v>
      </c>
      <c r="Z16" s="42">
        <f t="shared" ref="Z16" si="131">Z15-Y15</f>
        <v>0</v>
      </c>
      <c r="AA16" s="42">
        <f t="shared" ref="AA16" si="132">AA15-Z15</f>
        <v>0</v>
      </c>
      <c r="AB16" s="42">
        <f t="shared" ref="AB16" si="133">AB15-AA15</f>
        <v>0</v>
      </c>
      <c r="AC16" s="42">
        <f t="shared" ref="AC16" si="134">AC15-AB15</f>
        <v>0</v>
      </c>
      <c r="AD16" s="42">
        <f t="shared" ref="AD16" si="135">AD15-AC15</f>
        <v>0</v>
      </c>
      <c r="AE16" s="42">
        <f t="shared" ref="AE16" si="136">AE15-AD15</f>
        <v>0</v>
      </c>
      <c r="AF16" s="42">
        <f t="shared" ref="AF16" si="137">AF15-AE15</f>
        <v>0</v>
      </c>
      <c r="AG16" s="42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</row>
    <row r="17" spans="1:33" ht="21.75" customHeight="1" x14ac:dyDescent="0.2">
      <c r="A17" s="81">
        <v>13</v>
      </c>
      <c r="B17" s="39" t="s">
        <v>29</v>
      </c>
      <c r="C17" s="83" t="s">
        <v>30</v>
      </c>
      <c r="D17" s="40">
        <v>959536</v>
      </c>
      <c r="E17" s="40">
        <v>959865</v>
      </c>
      <c r="F17" s="40">
        <v>960177</v>
      </c>
      <c r="G17" s="40">
        <v>960482</v>
      </c>
      <c r="H17" s="40">
        <v>960802</v>
      </c>
      <c r="I17" s="40">
        <v>961127</v>
      </c>
      <c r="J17" s="40">
        <v>961461</v>
      </c>
      <c r="K17" s="40">
        <v>961800</v>
      </c>
      <c r="L17" s="40">
        <v>962115</v>
      </c>
      <c r="M17" s="40">
        <v>962428</v>
      </c>
      <c r="N17" s="40">
        <v>962725</v>
      </c>
      <c r="O17" s="40">
        <v>963053</v>
      </c>
      <c r="P17" s="40">
        <v>963356</v>
      </c>
      <c r="Q17" s="40">
        <v>963689</v>
      </c>
      <c r="R17" s="40">
        <v>963993</v>
      </c>
      <c r="S17" s="40">
        <v>964301</v>
      </c>
      <c r="T17" s="40">
        <v>964620</v>
      </c>
      <c r="U17" s="40">
        <v>964925</v>
      </c>
      <c r="V17" s="40">
        <v>965228</v>
      </c>
      <c r="W17" s="40">
        <v>965538</v>
      </c>
      <c r="X17" s="40">
        <v>965871</v>
      </c>
      <c r="Y17" s="40">
        <v>966183</v>
      </c>
      <c r="Z17" s="40">
        <v>966479</v>
      </c>
      <c r="AA17" s="40">
        <v>966806</v>
      </c>
      <c r="AB17" s="40">
        <v>967098</v>
      </c>
      <c r="AC17" s="40">
        <v>967411</v>
      </c>
      <c r="AD17" s="40">
        <v>967707</v>
      </c>
      <c r="AE17" s="40">
        <v>967999</v>
      </c>
      <c r="AF17" s="40">
        <v>968312</v>
      </c>
      <c r="AG17" s="40"/>
    </row>
    <row r="18" spans="1:33" ht="21.75" customHeight="1" x14ac:dyDescent="0.2">
      <c r="A18" s="89"/>
      <c r="B18" s="43"/>
      <c r="C18" s="90"/>
      <c r="D18" s="42"/>
      <c r="E18" s="42">
        <f t="shared" ref="E18" si="138">E17-D17</f>
        <v>329</v>
      </c>
      <c r="F18" s="42">
        <f t="shared" ref="F18" si="139">F17-E17</f>
        <v>312</v>
      </c>
      <c r="G18" s="42">
        <f t="shared" ref="G18" si="140">G17-F17</f>
        <v>305</v>
      </c>
      <c r="H18" s="42">
        <f t="shared" ref="H18" si="141">H17-G17</f>
        <v>320</v>
      </c>
      <c r="I18" s="42">
        <f t="shared" ref="I18" si="142">I17-H17</f>
        <v>325</v>
      </c>
      <c r="J18" s="42">
        <f t="shared" ref="J18" si="143">J17-I17</f>
        <v>334</v>
      </c>
      <c r="K18" s="42">
        <f t="shared" ref="K18" si="144">K17-J17</f>
        <v>339</v>
      </c>
      <c r="L18" s="42">
        <f t="shared" ref="L18" si="145">L17-K17</f>
        <v>315</v>
      </c>
      <c r="M18" s="42">
        <f t="shared" ref="M18" si="146">M17-L17</f>
        <v>313</v>
      </c>
      <c r="N18" s="42">
        <f t="shared" ref="N18" si="147">N17-M17</f>
        <v>297</v>
      </c>
      <c r="O18" s="42">
        <f t="shared" ref="O18" si="148">O17-N17</f>
        <v>328</v>
      </c>
      <c r="P18" s="42">
        <f t="shared" ref="P18" si="149">P17-O17</f>
        <v>303</v>
      </c>
      <c r="Q18" s="42">
        <f t="shared" ref="Q18" si="150">Q17-P17</f>
        <v>333</v>
      </c>
      <c r="R18" s="42">
        <f t="shared" ref="R18" si="151">R17-Q17</f>
        <v>304</v>
      </c>
      <c r="S18" s="42">
        <f t="shared" ref="S18" si="152">S17-R17</f>
        <v>308</v>
      </c>
      <c r="T18" s="42">
        <f t="shared" ref="T18" si="153">T17-S17</f>
        <v>319</v>
      </c>
      <c r="U18" s="42">
        <f t="shared" ref="U18" si="154">U17-T17</f>
        <v>305</v>
      </c>
      <c r="V18" s="42">
        <f t="shared" ref="V18" si="155">V17-U17</f>
        <v>303</v>
      </c>
      <c r="W18" s="42">
        <f t="shared" ref="W18" si="156">W17-V17</f>
        <v>310</v>
      </c>
      <c r="X18" s="42">
        <f t="shared" ref="X18" si="157">X17-W17</f>
        <v>333</v>
      </c>
      <c r="Y18" s="42">
        <f t="shared" ref="Y18" si="158">Y17-X17</f>
        <v>312</v>
      </c>
      <c r="Z18" s="42">
        <f t="shared" ref="Z18" si="159">Z17-Y17</f>
        <v>296</v>
      </c>
      <c r="AA18" s="42">
        <f t="shared" ref="AA18" si="160">AA17-Z17</f>
        <v>327</v>
      </c>
      <c r="AB18" s="42">
        <f t="shared" ref="AB18" si="161">AB17-AA17</f>
        <v>292</v>
      </c>
      <c r="AC18" s="42">
        <f t="shared" ref="AC18" si="162">AC17-AB17</f>
        <v>313</v>
      </c>
      <c r="AD18" s="42">
        <f t="shared" ref="AD18" si="163">AD17-AC17</f>
        <v>296</v>
      </c>
      <c r="AE18" s="42">
        <f t="shared" ref="AE18" si="164">AE17-AD17</f>
        <v>292</v>
      </c>
      <c r="AF18" s="42">
        <f t="shared" ref="AF18" si="165">AF17-AE17</f>
        <v>313</v>
      </c>
      <c r="AG18" s="42"/>
    </row>
    <row r="19" spans="1:33" ht="21.75" customHeight="1" x14ac:dyDescent="0.2">
      <c r="A19" s="91">
        <v>14</v>
      </c>
      <c r="B19" s="39" t="s">
        <v>31</v>
      </c>
      <c r="C19" s="83" t="s">
        <v>32</v>
      </c>
      <c r="D19" s="40">
        <v>290980</v>
      </c>
      <c r="E19" s="40">
        <v>291041</v>
      </c>
      <c r="F19" s="40">
        <v>291096</v>
      </c>
      <c r="G19" s="40">
        <v>291149</v>
      </c>
      <c r="H19" s="40">
        <v>291211</v>
      </c>
      <c r="I19" s="40">
        <v>291275</v>
      </c>
      <c r="J19" s="40">
        <v>291334</v>
      </c>
      <c r="K19" s="40">
        <v>291392</v>
      </c>
      <c r="L19" s="40">
        <v>291451</v>
      </c>
      <c r="M19" s="40">
        <v>291512</v>
      </c>
      <c r="N19" s="40">
        <v>291573</v>
      </c>
      <c r="O19" s="40">
        <v>291636</v>
      </c>
      <c r="P19" s="40">
        <v>291696</v>
      </c>
      <c r="Q19" s="40">
        <v>291759</v>
      </c>
      <c r="R19" s="40">
        <v>291816</v>
      </c>
      <c r="S19" s="40">
        <v>291881</v>
      </c>
      <c r="T19" s="40">
        <v>291938</v>
      </c>
      <c r="U19" s="40">
        <v>291998</v>
      </c>
      <c r="V19" s="40">
        <v>292060</v>
      </c>
      <c r="W19" s="40">
        <v>292119</v>
      </c>
      <c r="X19" s="40">
        <v>292178</v>
      </c>
      <c r="Y19" s="40">
        <v>292237</v>
      </c>
      <c r="Z19" s="40">
        <v>292293</v>
      </c>
      <c r="AA19" s="40">
        <v>292348</v>
      </c>
      <c r="AB19" s="40">
        <v>292404</v>
      </c>
      <c r="AC19" s="40">
        <v>292462</v>
      </c>
      <c r="AD19" s="40">
        <v>292517</v>
      </c>
      <c r="AE19" s="40">
        <v>292578</v>
      </c>
      <c r="AF19" s="40">
        <v>292634</v>
      </c>
      <c r="AG19" s="40"/>
    </row>
    <row r="20" spans="1:33" ht="21.75" customHeight="1" x14ac:dyDescent="0.2">
      <c r="A20" s="86"/>
      <c r="B20" s="43"/>
      <c r="C20" s="90"/>
      <c r="D20" s="42"/>
      <c r="E20" s="42">
        <f t="shared" ref="E20" si="166">E19-D19</f>
        <v>61</v>
      </c>
      <c r="F20" s="42">
        <f t="shared" ref="F20" si="167">F19-E19</f>
        <v>55</v>
      </c>
      <c r="G20" s="42">
        <f t="shared" ref="G20" si="168">G19-F19</f>
        <v>53</v>
      </c>
      <c r="H20" s="42">
        <f t="shared" ref="H20" si="169">H19-G19</f>
        <v>62</v>
      </c>
      <c r="I20" s="42">
        <f t="shared" ref="I20" si="170">I19-H19</f>
        <v>64</v>
      </c>
      <c r="J20" s="42">
        <f t="shared" ref="J20" si="171">J19-I19</f>
        <v>59</v>
      </c>
      <c r="K20" s="42">
        <f t="shared" ref="K20" si="172">K19-J19</f>
        <v>58</v>
      </c>
      <c r="L20" s="42">
        <f t="shared" ref="L20" si="173">L19-K19</f>
        <v>59</v>
      </c>
      <c r="M20" s="42">
        <f t="shared" ref="M20" si="174">M19-L19</f>
        <v>61</v>
      </c>
      <c r="N20" s="42">
        <f t="shared" ref="N20" si="175">N19-M19</f>
        <v>61</v>
      </c>
      <c r="O20" s="42">
        <f t="shared" ref="O20" si="176">O19-N19</f>
        <v>63</v>
      </c>
      <c r="P20" s="42">
        <f t="shared" ref="P20" si="177">P19-O19</f>
        <v>60</v>
      </c>
      <c r="Q20" s="42">
        <f t="shared" ref="Q20" si="178">Q19-P19</f>
        <v>63</v>
      </c>
      <c r="R20" s="42">
        <f t="shared" ref="R20" si="179">R19-Q19</f>
        <v>57</v>
      </c>
      <c r="S20" s="42">
        <f t="shared" ref="S20" si="180">S19-R19</f>
        <v>65</v>
      </c>
      <c r="T20" s="42">
        <f t="shared" ref="T20" si="181">T19-S19</f>
        <v>57</v>
      </c>
      <c r="U20" s="42">
        <f t="shared" ref="U20" si="182">U19-T19</f>
        <v>60</v>
      </c>
      <c r="V20" s="42">
        <f t="shared" ref="V20" si="183">V19-U19</f>
        <v>62</v>
      </c>
      <c r="W20" s="42">
        <f t="shared" ref="W20" si="184">W19-V19</f>
        <v>59</v>
      </c>
      <c r="X20" s="42">
        <f t="shared" ref="X20" si="185">X19-W19</f>
        <v>59</v>
      </c>
      <c r="Y20" s="42">
        <f t="shared" ref="Y20" si="186">Y19-X19</f>
        <v>59</v>
      </c>
      <c r="Z20" s="42">
        <f t="shared" ref="Z20" si="187">Z19-Y19</f>
        <v>56</v>
      </c>
      <c r="AA20" s="42">
        <f t="shared" ref="AA20" si="188">AA19-Z19</f>
        <v>55</v>
      </c>
      <c r="AB20" s="42">
        <f t="shared" ref="AB20" si="189">AB19-AA19</f>
        <v>56</v>
      </c>
      <c r="AC20" s="42">
        <f t="shared" ref="AC20" si="190">AC19-AB19</f>
        <v>58</v>
      </c>
      <c r="AD20" s="42">
        <f t="shared" ref="AD20" si="191">AD19-AC19</f>
        <v>55</v>
      </c>
      <c r="AE20" s="42">
        <f t="shared" ref="AE20" si="192">AE19-AD19</f>
        <v>61</v>
      </c>
      <c r="AF20" s="42">
        <f t="shared" ref="AF20" si="193">AF19-AE19</f>
        <v>56</v>
      </c>
      <c r="AG20" s="42"/>
    </row>
    <row r="21" spans="1:33" ht="27" customHeight="1" x14ac:dyDescent="0.3">
      <c r="B21" s="92" t="s">
        <v>33</v>
      </c>
      <c r="C21" s="92"/>
      <c r="D21" s="44"/>
      <c r="E21" s="62">
        <f>((E6+E8)+((E10+E12)*40%)+(E14+E16+E18+E20))</f>
        <v>31990</v>
      </c>
      <c r="F21" s="62">
        <f t="shared" ref="F21:AF21" si="194">((F6+F8)+((F10+F12)*40%)+(F14+F16+F18+F20))</f>
        <v>30967</v>
      </c>
      <c r="G21" s="62">
        <f t="shared" si="194"/>
        <v>33358</v>
      </c>
      <c r="H21" s="62">
        <f t="shared" si="194"/>
        <v>31582</v>
      </c>
      <c r="I21" s="62">
        <f t="shared" si="194"/>
        <v>30790</v>
      </c>
      <c r="J21" s="62">
        <f t="shared" si="194"/>
        <v>30793</v>
      </c>
      <c r="K21" s="62">
        <f t="shared" si="194"/>
        <v>29397</v>
      </c>
      <c r="L21" s="62">
        <f t="shared" si="194"/>
        <v>30774</v>
      </c>
      <c r="M21" s="62">
        <f t="shared" si="194"/>
        <v>31774</v>
      </c>
      <c r="N21" s="62">
        <f t="shared" si="194"/>
        <v>30158</v>
      </c>
      <c r="O21" s="62">
        <f t="shared" si="194"/>
        <v>31591</v>
      </c>
      <c r="P21" s="62">
        <f t="shared" si="194"/>
        <v>31563</v>
      </c>
      <c r="Q21" s="62">
        <f t="shared" si="194"/>
        <v>32597</v>
      </c>
      <c r="R21" s="62">
        <f t="shared" si="194"/>
        <v>32961</v>
      </c>
      <c r="S21" s="62">
        <f t="shared" si="194"/>
        <v>31773</v>
      </c>
      <c r="T21" s="62">
        <f t="shared" si="194"/>
        <v>30976</v>
      </c>
      <c r="U21" s="62">
        <f t="shared" si="194"/>
        <v>31565</v>
      </c>
      <c r="V21" s="62">
        <f t="shared" si="194"/>
        <v>31965</v>
      </c>
      <c r="W21" s="62">
        <f t="shared" si="194"/>
        <v>30170</v>
      </c>
      <c r="X21" s="62">
        <f t="shared" si="194"/>
        <v>30192</v>
      </c>
      <c r="Y21" s="62">
        <f t="shared" si="194"/>
        <v>30371</v>
      </c>
      <c r="Z21" s="62">
        <f t="shared" si="194"/>
        <v>30552</v>
      </c>
      <c r="AA21" s="62">
        <f t="shared" si="194"/>
        <v>31182</v>
      </c>
      <c r="AB21" s="62">
        <f t="shared" si="194"/>
        <v>30548</v>
      </c>
      <c r="AC21" s="62">
        <f t="shared" si="194"/>
        <v>29971</v>
      </c>
      <c r="AD21" s="62">
        <f t="shared" si="194"/>
        <v>29751</v>
      </c>
      <c r="AE21" s="62">
        <f t="shared" si="194"/>
        <v>31553</v>
      </c>
      <c r="AF21" s="62">
        <f t="shared" si="194"/>
        <v>31969</v>
      </c>
      <c r="AG21" s="62"/>
    </row>
    <row r="22" spans="1:33" ht="27" customHeight="1" x14ac:dyDescent="0.3">
      <c r="B22" s="88" t="s">
        <v>34</v>
      </c>
      <c r="C22" s="88"/>
      <c r="D22" s="44"/>
      <c r="E22" s="62">
        <f>SUM(E21:AG21)</f>
        <v>872833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G2"/>
    <mergeCell ref="C3:AG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 codeName="Sheet3">
    <pageSetUpPr fitToPage="1"/>
  </sheetPr>
  <dimension ref="A2:AN29"/>
  <sheetViews>
    <sheetView zoomScaleNormal="100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B2" sqref="B2:AG2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3" width="10.140625" style="2" customWidth="1"/>
    <col min="34" max="16384" width="9.140625" style="2"/>
  </cols>
  <sheetData>
    <row r="2" spans="1:40" s="8" customFormat="1" ht="25.7" customHeight="1" x14ac:dyDescent="0.4">
      <c r="B2" s="95" t="s">
        <v>81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</row>
    <row r="3" spans="1:40" s="8" customFormat="1" ht="30" customHeight="1" thickBot="1" x14ac:dyDescent="0.3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40" s="30" customFormat="1" ht="57.75" customHeight="1" thickBot="1" x14ac:dyDescent="0.3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/>
    </row>
    <row r="5" spans="1:40" s="8" customFormat="1" ht="40.5" customHeight="1" x14ac:dyDescent="0.25">
      <c r="A5" s="98" t="s">
        <v>37</v>
      </c>
      <c r="B5" s="27" t="s">
        <v>65</v>
      </c>
      <c r="C5" s="100" t="s">
        <v>66</v>
      </c>
      <c r="D5" s="66">
        <v>52116.9</v>
      </c>
      <c r="E5" s="66">
        <v>52346</v>
      </c>
      <c r="F5" s="66">
        <v>52561.2</v>
      </c>
      <c r="G5" s="66">
        <v>52777.8</v>
      </c>
      <c r="H5" s="66">
        <v>53038.1</v>
      </c>
      <c r="I5" s="66">
        <v>53280.1</v>
      </c>
      <c r="J5" s="66">
        <v>53523.4</v>
      </c>
      <c r="K5" s="66">
        <v>53794.1</v>
      </c>
      <c r="L5" s="66">
        <v>54055.5</v>
      </c>
      <c r="M5" s="66">
        <v>54298.8</v>
      </c>
      <c r="N5" s="66">
        <v>54561.599999999999</v>
      </c>
      <c r="O5" s="66">
        <v>54801.5</v>
      </c>
      <c r="P5" s="66">
        <v>55039.1</v>
      </c>
      <c r="Q5" s="66">
        <v>55330</v>
      </c>
      <c r="R5" s="66">
        <v>55549.7</v>
      </c>
      <c r="S5" s="66">
        <v>55849.2</v>
      </c>
      <c r="T5" s="66">
        <v>56080.9</v>
      </c>
      <c r="U5" s="66">
        <v>56299.6</v>
      </c>
      <c r="V5" s="66">
        <v>56570.3</v>
      </c>
      <c r="W5" s="66">
        <v>56774.6</v>
      </c>
      <c r="X5" s="66">
        <v>57027</v>
      </c>
      <c r="Y5" s="66">
        <v>57274.1</v>
      </c>
      <c r="Z5" s="66">
        <v>57481.03</v>
      </c>
      <c r="AA5" s="66">
        <v>57694.400000000001</v>
      </c>
      <c r="AB5" s="66">
        <v>57896.9</v>
      </c>
      <c r="AC5" s="66">
        <v>58092.2</v>
      </c>
      <c r="AD5" s="66">
        <v>58280.7</v>
      </c>
      <c r="AE5" s="66">
        <v>58484.800000000003</v>
      </c>
      <c r="AF5" s="66">
        <v>58698.8</v>
      </c>
      <c r="AG5" s="31"/>
    </row>
    <row r="6" spans="1:40" s="34" customFormat="1" ht="25.7" customHeight="1" x14ac:dyDescent="0.25">
      <c r="A6" s="99"/>
      <c r="B6" s="32"/>
      <c r="C6" s="100"/>
      <c r="D6" s="67"/>
      <c r="E6" s="67">
        <f t="shared" ref="E6:Q6" si="0">E5-D5</f>
        <v>229.09999999999854</v>
      </c>
      <c r="F6" s="67">
        <f t="shared" si="0"/>
        <v>215.19999999999709</v>
      </c>
      <c r="G6" s="67">
        <f t="shared" si="0"/>
        <v>216.60000000000582</v>
      </c>
      <c r="H6" s="67">
        <f t="shared" si="0"/>
        <v>260.29999999999563</v>
      </c>
      <c r="I6" s="67">
        <f t="shared" si="0"/>
        <v>242</v>
      </c>
      <c r="J6" s="67">
        <f t="shared" si="0"/>
        <v>243.30000000000291</v>
      </c>
      <c r="K6" s="67">
        <f t="shared" si="0"/>
        <v>270.69999999999709</v>
      </c>
      <c r="L6" s="67">
        <f t="shared" si="0"/>
        <v>261.40000000000146</v>
      </c>
      <c r="M6" s="67">
        <f t="shared" si="0"/>
        <v>243.30000000000291</v>
      </c>
      <c r="N6" s="67">
        <f t="shared" si="0"/>
        <v>262.79999999999563</v>
      </c>
      <c r="O6" s="67">
        <f t="shared" si="0"/>
        <v>239.90000000000146</v>
      </c>
      <c r="P6" s="67">
        <f t="shared" si="0"/>
        <v>237.59999999999854</v>
      </c>
      <c r="Q6" s="67">
        <f t="shared" si="0"/>
        <v>290.90000000000146</v>
      </c>
      <c r="R6" s="67">
        <f>R5-Q5</f>
        <v>219.69999999999709</v>
      </c>
      <c r="S6" s="67">
        <f t="shared" ref="S6:AF6" si="1">S5-R5</f>
        <v>299.5</v>
      </c>
      <c r="T6" s="67">
        <f t="shared" si="1"/>
        <v>231.70000000000437</v>
      </c>
      <c r="U6" s="67">
        <f t="shared" si="1"/>
        <v>218.69999999999709</v>
      </c>
      <c r="V6" s="67">
        <f t="shared" si="1"/>
        <v>270.70000000000437</v>
      </c>
      <c r="W6" s="67">
        <f t="shared" si="1"/>
        <v>204.29999999999563</v>
      </c>
      <c r="X6" s="67">
        <f t="shared" si="1"/>
        <v>252.40000000000146</v>
      </c>
      <c r="Y6" s="67">
        <f t="shared" si="1"/>
        <v>247.09999999999854</v>
      </c>
      <c r="Z6" s="67">
        <f t="shared" si="1"/>
        <v>206.93000000000029</v>
      </c>
      <c r="AA6" s="67">
        <f t="shared" si="1"/>
        <v>213.37000000000262</v>
      </c>
      <c r="AB6" s="67">
        <f t="shared" si="1"/>
        <v>202.5</v>
      </c>
      <c r="AC6" s="67">
        <f t="shared" si="1"/>
        <v>195.29999999999563</v>
      </c>
      <c r="AD6" s="67">
        <f t="shared" si="1"/>
        <v>188.5</v>
      </c>
      <c r="AE6" s="67">
        <f t="shared" si="1"/>
        <v>204.10000000000582</v>
      </c>
      <c r="AF6" s="67">
        <f t="shared" si="1"/>
        <v>214</v>
      </c>
      <c r="AG6" s="33"/>
      <c r="AH6" s="8"/>
      <c r="AI6" s="8"/>
      <c r="AJ6" s="8"/>
      <c r="AK6" s="8"/>
      <c r="AL6" s="8"/>
      <c r="AM6" s="8"/>
      <c r="AN6" s="8"/>
    </row>
    <row r="7" spans="1:40" s="8" customFormat="1" ht="39.75" customHeight="1" x14ac:dyDescent="0.25">
      <c r="A7" s="98" t="s">
        <v>39</v>
      </c>
      <c r="B7" s="49" t="s">
        <v>67</v>
      </c>
      <c r="C7" s="100" t="s">
        <v>68</v>
      </c>
      <c r="D7" s="31">
        <v>57662.2</v>
      </c>
      <c r="E7" s="69">
        <v>58919</v>
      </c>
      <c r="F7" s="69">
        <v>59076.1</v>
      </c>
      <c r="G7" s="66">
        <v>59233.2</v>
      </c>
      <c r="H7" s="68">
        <v>59352.4</v>
      </c>
      <c r="I7" s="68">
        <v>59352.4</v>
      </c>
      <c r="J7" s="68">
        <v>59352.4</v>
      </c>
      <c r="K7" s="68">
        <v>59352.4</v>
      </c>
      <c r="L7" s="68">
        <v>59352.4</v>
      </c>
      <c r="M7" s="68">
        <v>59352.4</v>
      </c>
      <c r="N7" s="68">
        <v>59352.4</v>
      </c>
      <c r="O7" s="68">
        <v>59352.4</v>
      </c>
      <c r="P7" s="68">
        <v>59352.4</v>
      </c>
      <c r="Q7" s="66">
        <v>60540.1</v>
      </c>
      <c r="R7" s="66">
        <v>60719.4</v>
      </c>
      <c r="S7" s="66">
        <v>60806.3</v>
      </c>
      <c r="T7" s="66">
        <v>61042.2</v>
      </c>
      <c r="U7" s="66">
        <v>61201</v>
      </c>
      <c r="V7" s="66">
        <v>61335.8</v>
      </c>
      <c r="W7" s="66">
        <v>61543</v>
      </c>
      <c r="X7" s="66">
        <v>61634.9</v>
      </c>
      <c r="Y7" s="66">
        <v>61831.5</v>
      </c>
      <c r="Z7" s="66">
        <v>61937</v>
      </c>
      <c r="AA7" s="69">
        <v>62152.2</v>
      </c>
      <c r="AB7" s="69">
        <v>62273.5</v>
      </c>
      <c r="AC7" s="69">
        <v>62502.1</v>
      </c>
      <c r="AD7" s="69">
        <v>62556.6</v>
      </c>
      <c r="AE7" s="69">
        <v>62774.1</v>
      </c>
      <c r="AF7" s="69">
        <v>62996.5</v>
      </c>
      <c r="AG7" s="31"/>
    </row>
    <row r="8" spans="1:40" s="34" customFormat="1" ht="25.7" customHeight="1" x14ac:dyDescent="0.25">
      <c r="A8" s="99"/>
      <c r="B8" s="47"/>
      <c r="C8" s="100"/>
      <c r="D8" s="33"/>
      <c r="E8" s="67">
        <f>E7-D7</f>
        <v>1256.8000000000029</v>
      </c>
      <c r="F8" s="67">
        <f>F7-E7</f>
        <v>157.09999999999854</v>
      </c>
      <c r="G8" s="67">
        <f t="shared" ref="G8:AF8" si="2">G7-F7</f>
        <v>157.09999999999854</v>
      </c>
      <c r="H8" s="67">
        <f>H7-G7</f>
        <v>119.20000000000437</v>
      </c>
      <c r="I8" s="67">
        <f>I7-H7</f>
        <v>0</v>
      </c>
      <c r="J8" s="67">
        <f>J7-I7</f>
        <v>0</v>
      </c>
      <c r="K8" s="67">
        <f t="shared" si="2"/>
        <v>0</v>
      </c>
      <c r="L8" s="67">
        <f t="shared" si="2"/>
        <v>0</v>
      </c>
      <c r="M8" s="67">
        <f t="shared" si="2"/>
        <v>0</v>
      </c>
      <c r="N8" s="67">
        <f t="shared" si="2"/>
        <v>0</v>
      </c>
      <c r="O8" s="67">
        <f t="shared" si="2"/>
        <v>0</v>
      </c>
      <c r="P8" s="67">
        <f t="shared" si="2"/>
        <v>0</v>
      </c>
      <c r="Q8" s="67">
        <f>Q7-P7</f>
        <v>1187.6999999999971</v>
      </c>
      <c r="R8" s="67">
        <f t="shared" si="2"/>
        <v>179.30000000000291</v>
      </c>
      <c r="S8" s="67">
        <f t="shared" si="2"/>
        <v>86.900000000001455</v>
      </c>
      <c r="T8" s="67">
        <f t="shared" si="2"/>
        <v>235.89999999999418</v>
      </c>
      <c r="U8" s="67">
        <f t="shared" si="2"/>
        <v>158.80000000000291</v>
      </c>
      <c r="V8" s="67">
        <f t="shared" si="2"/>
        <v>134.80000000000291</v>
      </c>
      <c r="W8" s="67">
        <f t="shared" si="2"/>
        <v>207.19999999999709</v>
      </c>
      <c r="X8" s="67">
        <f t="shared" si="2"/>
        <v>91.900000000001455</v>
      </c>
      <c r="Y8" s="67">
        <f t="shared" si="2"/>
        <v>196.59999999999854</v>
      </c>
      <c r="Z8" s="67">
        <f t="shared" si="2"/>
        <v>105.5</v>
      </c>
      <c r="AA8" s="67">
        <f t="shared" si="2"/>
        <v>215.19999999999709</v>
      </c>
      <c r="AB8" s="67">
        <f t="shared" si="2"/>
        <v>121.30000000000291</v>
      </c>
      <c r="AC8" s="67">
        <f t="shared" si="2"/>
        <v>228.59999999999854</v>
      </c>
      <c r="AD8" s="67">
        <f t="shared" si="2"/>
        <v>54.5</v>
      </c>
      <c r="AE8" s="67">
        <f t="shared" si="2"/>
        <v>217.5</v>
      </c>
      <c r="AF8" s="67">
        <f t="shared" si="2"/>
        <v>222.40000000000146</v>
      </c>
      <c r="AG8" s="33"/>
      <c r="AH8" s="8"/>
      <c r="AI8" s="8"/>
      <c r="AJ8" s="8"/>
      <c r="AK8" s="8"/>
      <c r="AL8" s="8"/>
      <c r="AM8" s="8"/>
      <c r="AN8" s="8"/>
    </row>
    <row r="9" spans="1:40" s="8" customFormat="1" ht="25.7" customHeight="1" x14ac:dyDescent="0.25">
      <c r="A9" s="98">
        <v>4</v>
      </c>
      <c r="B9" s="46" t="s">
        <v>69</v>
      </c>
      <c r="C9" s="100" t="s">
        <v>70</v>
      </c>
      <c r="D9" s="70">
        <v>11734</v>
      </c>
      <c r="E9" s="70">
        <v>11734</v>
      </c>
      <c r="F9" s="70">
        <v>11802</v>
      </c>
      <c r="G9" s="70">
        <v>11824</v>
      </c>
      <c r="H9" s="70">
        <v>11824</v>
      </c>
      <c r="I9" s="70">
        <v>11841</v>
      </c>
      <c r="J9" s="70">
        <v>11841</v>
      </c>
      <c r="K9" s="70">
        <v>11906</v>
      </c>
      <c r="L9" s="70">
        <v>11906</v>
      </c>
      <c r="M9" s="70">
        <v>11984</v>
      </c>
      <c r="N9" s="70">
        <v>12011</v>
      </c>
      <c r="O9" s="70">
        <v>12054</v>
      </c>
      <c r="P9" s="70">
        <v>12054</v>
      </c>
      <c r="Q9" s="70">
        <v>12158</v>
      </c>
      <c r="R9" s="70">
        <v>12251</v>
      </c>
      <c r="S9" s="70">
        <v>12251</v>
      </c>
      <c r="T9" s="70">
        <v>12387</v>
      </c>
      <c r="U9" s="70">
        <v>12438</v>
      </c>
      <c r="V9" s="70">
        <v>12438</v>
      </c>
      <c r="W9" s="70">
        <v>12550</v>
      </c>
      <c r="X9" s="70">
        <v>12550</v>
      </c>
      <c r="Y9" s="70">
        <v>12661</v>
      </c>
      <c r="Z9" s="70">
        <v>12661</v>
      </c>
      <c r="AA9" s="70">
        <v>12781</v>
      </c>
      <c r="AB9" s="70">
        <v>12781</v>
      </c>
      <c r="AC9" s="70">
        <v>12889</v>
      </c>
      <c r="AD9" s="70">
        <v>12889</v>
      </c>
      <c r="AE9" s="70">
        <v>13001</v>
      </c>
      <c r="AF9" s="70">
        <v>13111</v>
      </c>
      <c r="AG9" s="63"/>
    </row>
    <row r="10" spans="1:40" s="34" customFormat="1" ht="25.7" customHeight="1" x14ac:dyDescent="0.25">
      <c r="A10" s="99"/>
      <c r="B10" s="47"/>
      <c r="C10" s="100"/>
      <c r="D10" s="67"/>
      <c r="E10" s="67">
        <f t="shared" ref="E10:AF14" si="3">E9-D9</f>
        <v>0</v>
      </c>
      <c r="F10" s="67">
        <f t="shared" si="3"/>
        <v>68</v>
      </c>
      <c r="G10" s="67">
        <f t="shared" si="3"/>
        <v>22</v>
      </c>
      <c r="H10" s="67">
        <f t="shared" si="3"/>
        <v>0</v>
      </c>
      <c r="I10" s="67">
        <f t="shared" si="3"/>
        <v>17</v>
      </c>
      <c r="J10" s="67">
        <f t="shared" si="3"/>
        <v>0</v>
      </c>
      <c r="K10" s="67">
        <f t="shared" si="3"/>
        <v>65</v>
      </c>
      <c r="L10" s="67">
        <f t="shared" si="3"/>
        <v>0</v>
      </c>
      <c r="M10" s="67">
        <f t="shared" si="3"/>
        <v>78</v>
      </c>
      <c r="N10" s="67">
        <f t="shared" si="3"/>
        <v>27</v>
      </c>
      <c r="O10" s="67">
        <f t="shared" si="3"/>
        <v>43</v>
      </c>
      <c r="P10" s="67">
        <f t="shared" si="3"/>
        <v>0</v>
      </c>
      <c r="Q10" s="67">
        <f t="shared" si="3"/>
        <v>104</v>
      </c>
      <c r="R10" s="67">
        <f t="shared" si="3"/>
        <v>93</v>
      </c>
      <c r="S10" s="67">
        <f t="shared" si="3"/>
        <v>0</v>
      </c>
      <c r="T10" s="67">
        <f t="shared" si="3"/>
        <v>136</v>
      </c>
      <c r="U10" s="67">
        <f t="shared" si="3"/>
        <v>51</v>
      </c>
      <c r="V10" s="67">
        <f t="shared" si="3"/>
        <v>0</v>
      </c>
      <c r="W10" s="67">
        <f t="shared" si="3"/>
        <v>112</v>
      </c>
      <c r="X10" s="67">
        <f t="shared" si="3"/>
        <v>0</v>
      </c>
      <c r="Y10" s="67">
        <f t="shared" si="3"/>
        <v>111</v>
      </c>
      <c r="Z10" s="67">
        <f t="shared" si="3"/>
        <v>0</v>
      </c>
      <c r="AA10" s="67">
        <f t="shared" si="3"/>
        <v>120</v>
      </c>
      <c r="AB10" s="67">
        <f t="shared" si="3"/>
        <v>0</v>
      </c>
      <c r="AC10" s="67">
        <f t="shared" si="3"/>
        <v>108</v>
      </c>
      <c r="AD10" s="67">
        <f t="shared" si="3"/>
        <v>0</v>
      </c>
      <c r="AE10" s="67">
        <f t="shared" si="3"/>
        <v>112</v>
      </c>
      <c r="AF10" s="67">
        <f t="shared" si="3"/>
        <v>110</v>
      </c>
      <c r="AG10" s="33"/>
      <c r="AH10" s="8"/>
      <c r="AI10" s="8"/>
      <c r="AJ10" s="8"/>
      <c r="AK10" s="8"/>
      <c r="AL10" s="8"/>
      <c r="AM10" s="8"/>
      <c r="AN10" s="8"/>
    </row>
    <row r="11" spans="1:40" s="8" customFormat="1" ht="25.7" customHeight="1" x14ac:dyDescent="0.25">
      <c r="A11" s="101">
        <v>5</v>
      </c>
      <c r="B11" s="27">
        <v>68864837</v>
      </c>
      <c r="C11" s="100" t="s">
        <v>71</v>
      </c>
      <c r="D11" s="31">
        <v>3744.0419999999999</v>
      </c>
      <c r="E11" s="31">
        <v>3746.5590000000002</v>
      </c>
      <c r="F11" s="31">
        <v>3749.4810000000002</v>
      </c>
      <c r="G11" s="31">
        <v>3751.4380000000001</v>
      </c>
      <c r="H11" s="31">
        <v>3753.076</v>
      </c>
      <c r="I11" s="31">
        <v>3755.0140000000001</v>
      </c>
      <c r="J11" s="31">
        <v>3757.5830000000001</v>
      </c>
      <c r="K11" s="31">
        <v>3759.7869999999998</v>
      </c>
      <c r="L11" s="31">
        <v>3764.491</v>
      </c>
      <c r="M11" s="31">
        <v>3766.3310000000001</v>
      </c>
      <c r="N11" s="31">
        <v>3768.192</v>
      </c>
      <c r="O11" s="31">
        <v>3769.848</v>
      </c>
      <c r="P11" s="31">
        <v>3772.3939999999998</v>
      </c>
      <c r="Q11" s="31">
        <v>3773.6080000000002</v>
      </c>
      <c r="R11" s="31">
        <v>3775.7220000000002</v>
      </c>
      <c r="S11" s="31">
        <v>3778.3510000000001</v>
      </c>
      <c r="T11" s="31">
        <v>3779.643</v>
      </c>
      <c r="U11" s="31">
        <v>3782.4929999999999</v>
      </c>
      <c r="V11" s="31">
        <v>3784.3890000000001</v>
      </c>
      <c r="W11" s="31">
        <v>3785.6819999999998</v>
      </c>
      <c r="X11" s="31">
        <v>3787.12</v>
      </c>
      <c r="Y11" s="31">
        <v>3789.7379999999998</v>
      </c>
      <c r="Z11" s="31">
        <v>3792.1309999999999</v>
      </c>
      <c r="AA11" s="31">
        <v>3794.1849999999999</v>
      </c>
      <c r="AB11" s="31">
        <v>3795.857</v>
      </c>
      <c r="AC11" s="31">
        <v>3797.68</v>
      </c>
      <c r="AD11" s="31">
        <v>3800.5059999999999</v>
      </c>
      <c r="AE11" s="31">
        <v>3801.837</v>
      </c>
      <c r="AF11" s="31">
        <v>3803.5169999999998</v>
      </c>
      <c r="AG11" s="31"/>
    </row>
    <row r="12" spans="1:40" s="8" customFormat="1" ht="25.7" customHeight="1" x14ac:dyDescent="0.25">
      <c r="A12" s="102"/>
      <c r="B12" s="48"/>
      <c r="C12" s="100"/>
      <c r="D12" s="71"/>
      <c r="E12" s="71">
        <f t="shared" si="3"/>
        <v>2.5170000000002801</v>
      </c>
      <c r="F12" s="71">
        <f t="shared" si="3"/>
        <v>2.9220000000000255</v>
      </c>
      <c r="G12" s="71">
        <f t="shared" si="3"/>
        <v>1.9569999999998799</v>
      </c>
      <c r="H12" s="71">
        <f t="shared" si="3"/>
        <v>1.63799999999992</v>
      </c>
      <c r="I12" s="71">
        <f t="shared" si="3"/>
        <v>1.9380000000001019</v>
      </c>
      <c r="J12" s="71">
        <f t="shared" si="3"/>
        <v>2.56899999999996</v>
      </c>
      <c r="K12" s="71">
        <f t="shared" si="3"/>
        <v>2.2039999999997235</v>
      </c>
      <c r="L12" s="71">
        <f t="shared" si="3"/>
        <v>4.7040000000001783</v>
      </c>
      <c r="M12" s="71">
        <f t="shared" si="3"/>
        <v>1.8400000000001455</v>
      </c>
      <c r="N12" s="71">
        <f t="shared" si="3"/>
        <v>1.8609999999998763</v>
      </c>
      <c r="O12" s="71">
        <f t="shared" si="3"/>
        <v>1.6559999999999491</v>
      </c>
      <c r="P12" s="71">
        <f t="shared" si="3"/>
        <v>2.5459999999998217</v>
      </c>
      <c r="Q12" s="71">
        <f t="shared" si="3"/>
        <v>1.2140000000003965</v>
      </c>
      <c r="R12" s="71">
        <f t="shared" si="3"/>
        <v>2.1140000000000327</v>
      </c>
      <c r="S12" s="71">
        <f t="shared" si="3"/>
        <v>2.6289999999999054</v>
      </c>
      <c r="T12" s="71">
        <f t="shared" si="3"/>
        <v>1.2919999999999163</v>
      </c>
      <c r="U12" s="71">
        <f t="shared" si="3"/>
        <v>2.8499999999999091</v>
      </c>
      <c r="V12" s="71">
        <f t="shared" si="3"/>
        <v>1.8960000000001855</v>
      </c>
      <c r="W12" s="71">
        <f t="shared" si="3"/>
        <v>1.2929999999996653</v>
      </c>
      <c r="X12" s="71">
        <f t="shared" si="3"/>
        <v>1.4380000000001019</v>
      </c>
      <c r="Y12" s="71">
        <f t="shared" si="3"/>
        <v>2.6179999999999382</v>
      </c>
      <c r="Z12" s="71">
        <f t="shared" si="3"/>
        <v>2.3930000000000291</v>
      </c>
      <c r="AA12" s="71">
        <f t="shared" si="3"/>
        <v>2.0540000000000873</v>
      </c>
      <c r="AB12" s="71">
        <f t="shared" si="3"/>
        <v>1.6720000000000255</v>
      </c>
      <c r="AC12" s="71">
        <f t="shared" si="3"/>
        <v>1.8229999999998654</v>
      </c>
      <c r="AD12" s="71">
        <f t="shared" si="3"/>
        <v>2.8260000000000218</v>
      </c>
      <c r="AE12" s="71">
        <f t="shared" si="3"/>
        <v>1.331000000000131</v>
      </c>
      <c r="AF12" s="71">
        <f t="shared" si="3"/>
        <v>1.6799999999998363</v>
      </c>
      <c r="AG12" s="33"/>
    </row>
    <row r="13" spans="1:40" s="8" customFormat="1" ht="25.7" customHeight="1" x14ac:dyDescent="0.25">
      <c r="A13" s="101">
        <v>6</v>
      </c>
      <c r="B13" s="27">
        <v>65296485</v>
      </c>
      <c r="C13" s="100" t="s">
        <v>72</v>
      </c>
      <c r="D13" s="31">
        <v>6574.1260000000002</v>
      </c>
      <c r="E13" s="31">
        <v>6575.8649999999998</v>
      </c>
      <c r="F13" s="31">
        <v>6586.7060000000001</v>
      </c>
      <c r="G13" s="31">
        <v>6589.5439999999999</v>
      </c>
      <c r="H13" s="31">
        <v>6593.38</v>
      </c>
      <c r="I13" s="31">
        <v>6594.9960000000001</v>
      </c>
      <c r="J13" s="31">
        <v>6595.6750000000002</v>
      </c>
      <c r="K13" s="31">
        <v>6598.0659999999998</v>
      </c>
      <c r="L13" s="31">
        <v>6599.7309999999998</v>
      </c>
      <c r="M13" s="31">
        <v>6602.7340000000004</v>
      </c>
      <c r="N13" s="31">
        <v>6604.6379999999999</v>
      </c>
      <c r="O13" s="31">
        <v>6605.7749999999996</v>
      </c>
      <c r="P13" s="31">
        <v>6608.39</v>
      </c>
      <c r="Q13" s="31">
        <v>6609.5839999999998</v>
      </c>
      <c r="R13" s="31">
        <v>6611.9530000000004</v>
      </c>
      <c r="S13" s="31">
        <v>6614.0839999999998</v>
      </c>
      <c r="T13" s="31">
        <v>6617.4110000000001</v>
      </c>
      <c r="U13" s="31">
        <v>6618.7650000000003</v>
      </c>
      <c r="V13" s="31">
        <v>6621.0969999999998</v>
      </c>
      <c r="W13" s="31">
        <v>6624.58</v>
      </c>
      <c r="X13" s="31">
        <v>6631.8360000000002</v>
      </c>
      <c r="Y13" s="31">
        <v>6639.616</v>
      </c>
      <c r="Z13" s="31">
        <v>6642.5619999999999</v>
      </c>
      <c r="AA13" s="31">
        <v>6643.7290000000003</v>
      </c>
      <c r="AB13" s="31">
        <v>6645.2790000000005</v>
      </c>
      <c r="AC13" s="31">
        <v>6646.7079999999996</v>
      </c>
      <c r="AD13" s="31">
        <v>6647.9840000000004</v>
      </c>
      <c r="AE13" s="31">
        <v>6649.0479999999998</v>
      </c>
      <c r="AF13" s="31">
        <v>6653.1440000000002</v>
      </c>
      <c r="AG13" s="31"/>
    </row>
    <row r="14" spans="1:40" s="8" customFormat="1" ht="25.7" customHeight="1" x14ac:dyDescent="0.25">
      <c r="A14" s="102"/>
      <c r="B14" s="48"/>
      <c r="C14" s="100"/>
      <c r="D14" s="71"/>
      <c r="E14" s="71">
        <f t="shared" si="3"/>
        <v>1.738999999999578</v>
      </c>
      <c r="F14" s="71">
        <f t="shared" si="3"/>
        <v>10.841000000000349</v>
      </c>
      <c r="G14" s="71">
        <f t="shared" si="3"/>
        <v>2.8379999999997381</v>
      </c>
      <c r="H14" s="71">
        <f t="shared" si="3"/>
        <v>3.8360000000002401</v>
      </c>
      <c r="I14" s="71">
        <f t="shared" si="3"/>
        <v>1.6159999999999854</v>
      </c>
      <c r="J14" s="71">
        <f t="shared" si="3"/>
        <v>0.67900000000008731</v>
      </c>
      <c r="K14" s="71">
        <f t="shared" si="3"/>
        <v>2.3909999999996217</v>
      </c>
      <c r="L14" s="71">
        <f t="shared" si="3"/>
        <v>1.6649999999999636</v>
      </c>
      <c r="M14" s="71">
        <f t="shared" si="3"/>
        <v>3.0030000000006112</v>
      </c>
      <c r="N14" s="71">
        <f t="shared" si="3"/>
        <v>1.9039999999995416</v>
      </c>
      <c r="O14" s="71">
        <f t="shared" si="3"/>
        <v>1.1369999999997162</v>
      </c>
      <c r="P14" s="71">
        <f t="shared" si="3"/>
        <v>2.6150000000006912</v>
      </c>
      <c r="Q14" s="71">
        <f t="shared" si="3"/>
        <v>1.1939999999995052</v>
      </c>
      <c r="R14" s="71">
        <f t="shared" si="3"/>
        <v>2.3690000000005966</v>
      </c>
      <c r="S14" s="71">
        <f t="shared" si="3"/>
        <v>2.1309999999994034</v>
      </c>
      <c r="T14" s="71">
        <f t="shared" si="3"/>
        <v>3.3270000000002256</v>
      </c>
      <c r="U14" s="71">
        <f t="shared" si="3"/>
        <v>1.3540000000002692</v>
      </c>
      <c r="V14" s="71">
        <f t="shared" si="3"/>
        <v>2.3319999999994252</v>
      </c>
      <c r="W14" s="71">
        <f t="shared" si="3"/>
        <v>3.4830000000001746</v>
      </c>
      <c r="X14" s="71">
        <f t="shared" si="3"/>
        <v>7.2560000000003129</v>
      </c>
      <c r="Y14" s="71">
        <f t="shared" si="3"/>
        <v>7.7799999999997453</v>
      </c>
      <c r="Z14" s="71">
        <f t="shared" si="3"/>
        <v>2.9459999999999127</v>
      </c>
      <c r="AA14" s="71">
        <f t="shared" si="3"/>
        <v>1.1670000000003711</v>
      </c>
      <c r="AB14" s="71">
        <f t="shared" si="3"/>
        <v>1.5500000000001819</v>
      </c>
      <c r="AC14" s="71">
        <f t="shared" si="3"/>
        <v>1.4289999999991778</v>
      </c>
      <c r="AD14" s="71">
        <f t="shared" si="3"/>
        <v>1.2760000000007494</v>
      </c>
      <c r="AE14" s="71">
        <f t="shared" si="3"/>
        <v>1.0639999999993961</v>
      </c>
      <c r="AF14" s="71">
        <f t="shared" si="3"/>
        <v>4.0960000000004584</v>
      </c>
      <c r="AG14" s="33"/>
      <c r="AH14" s="2"/>
      <c r="AI14" s="2"/>
      <c r="AJ14" s="2"/>
      <c r="AK14" s="2"/>
      <c r="AL14" s="2"/>
      <c r="AM14" s="2"/>
      <c r="AN14" s="2"/>
    </row>
    <row r="15" spans="1:40" ht="33" customHeight="1" x14ac:dyDescent="0.25">
      <c r="B15" s="94" t="s">
        <v>73</v>
      </c>
      <c r="C15" s="94"/>
      <c r="D15" s="50"/>
      <c r="E15" s="50">
        <f>E6+((E8*45%)+(E10*45%)+(E12+E14))</f>
        <v>798.91599999999971</v>
      </c>
      <c r="F15" s="50">
        <f t="shared" ref="F15:AF15" si="4">F6+((F8*45%)+(F10*45%)+(F12+F14))</f>
        <v>330.25799999999685</v>
      </c>
      <c r="G15" s="50">
        <f t="shared" si="4"/>
        <v>301.99000000000478</v>
      </c>
      <c r="H15" s="50">
        <f t="shared" si="4"/>
        <v>319.41399999999777</v>
      </c>
      <c r="I15" s="50">
        <f t="shared" si="4"/>
        <v>253.20400000000009</v>
      </c>
      <c r="J15" s="50">
        <f t="shared" si="4"/>
        <v>246.54800000000296</v>
      </c>
      <c r="K15" s="50">
        <f t="shared" si="4"/>
        <v>304.54499999999643</v>
      </c>
      <c r="L15" s="50">
        <f t="shared" si="4"/>
        <v>267.7690000000016</v>
      </c>
      <c r="M15" s="50">
        <f t="shared" si="4"/>
        <v>283.24300000000369</v>
      </c>
      <c r="N15" s="50">
        <f t="shared" si="4"/>
        <v>278.71499999999503</v>
      </c>
      <c r="O15" s="50">
        <f t="shared" si="4"/>
        <v>262.04300000000114</v>
      </c>
      <c r="P15" s="50">
        <f t="shared" si="4"/>
        <v>242.76099999999906</v>
      </c>
      <c r="Q15" s="50">
        <f t="shared" si="4"/>
        <v>874.57299999999998</v>
      </c>
      <c r="R15" s="50">
        <f t="shared" si="4"/>
        <v>346.71799999999905</v>
      </c>
      <c r="S15" s="50">
        <f t="shared" si="4"/>
        <v>343.36499999999995</v>
      </c>
      <c r="T15" s="50">
        <f t="shared" si="4"/>
        <v>403.67400000000191</v>
      </c>
      <c r="U15" s="50">
        <f t="shared" si="4"/>
        <v>317.3139999999986</v>
      </c>
      <c r="V15" s="50">
        <f t="shared" si="4"/>
        <v>335.58800000000531</v>
      </c>
      <c r="W15" s="50">
        <f t="shared" si="4"/>
        <v>352.71599999999415</v>
      </c>
      <c r="X15" s="50">
        <f t="shared" si="4"/>
        <v>302.44900000000251</v>
      </c>
      <c r="Y15" s="50">
        <f t="shared" si="4"/>
        <v>395.91799999999756</v>
      </c>
      <c r="Z15" s="50">
        <f t="shared" si="4"/>
        <v>259.74400000000026</v>
      </c>
      <c r="AA15" s="50">
        <f t="shared" si="4"/>
        <v>367.43100000000175</v>
      </c>
      <c r="AB15" s="50">
        <f t="shared" si="4"/>
        <v>260.30700000000149</v>
      </c>
      <c r="AC15" s="50">
        <f t="shared" si="4"/>
        <v>350.02199999999402</v>
      </c>
      <c r="AD15" s="50">
        <f t="shared" si="4"/>
        <v>217.12700000000078</v>
      </c>
      <c r="AE15" s="50">
        <f t="shared" si="4"/>
        <v>354.77000000000533</v>
      </c>
      <c r="AF15" s="50">
        <f t="shared" si="4"/>
        <v>369.35600000000096</v>
      </c>
      <c r="AG15" s="57"/>
    </row>
    <row r="16" spans="1:40" ht="33" customHeight="1" x14ac:dyDescent="0.25">
      <c r="B16" s="93" t="s">
        <v>74</v>
      </c>
      <c r="C16" s="93"/>
      <c r="D16" s="50"/>
      <c r="E16" s="57">
        <f>SUM(E15:AG15)</f>
        <v>9740.4780000000028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G2"/>
    <mergeCell ref="B3:AG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 codeName="Sheet4">
    <pageSetUpPr fitToPage="1"/>
  </sheetPr>
  <dimension ref="A1:G35"/>
  <sheetViews>
    <sheetView zoomScaleNormal="100" workbookViewId="0">
      <pane ySplit="3" topLeftCell="A27" activePane="bottomLeft" state="frozen"/>
      <selection pane="bottomLeft" activeCell="C5" sqref="C5:C31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2" customHeight="1" x14ac:dyDescent="0.25">
      <c r="A1" s="103" t="s">
        <v>82</v>
      </c>
      <c r="B1" s="103"/>
      <c r="C1" s="103"/>
    </row>
    <row r="3" spans="1:7" ht="48" x14ac:dyDescent="0.25">
      <c r="A3" s="51" t="s">
        <v>36</v>
      </c>
      <c r="B3" s="52">
        <v>53113.95</v>
      </c>
      <c r="C3" s="53"/>
    </row>
    <row r="4" spans="1:7" ht="28.5" customHeight="1" x14ac:dyDescent="0.25">
      <c r="A4" s="54">
        <v>1</v>
      </c>
      <c r="B4" s="52"/>
      <c r="C4" s="53">
        <f>B3/28</f>
        <v>1896.9267857142856</v>
      </c>
    </row>
    <row r="5" spans="1:7" ht="28.5" customHeight="1" x14ac:dyDescent="0.25">
      <c r="A5" s="54">
        <v>2</v>
      </c>
      <c r="B5" s="52"/>
      <c r="C5" s="53">
        <v>1896.9267857142856</v>
      </c>
    </row>
    <row r="6" spans="1:7" ht="28.5" customHeight="1" x14ac:dyDescent="0.25">
      <c r="A6" s="55">
        <v>3</v>
      </c>
      <c r="B6" s="52"/>
      <c r="C6" s="53">
        <v>1896.9267857142856</v>
      </c>
    </row>
    <row r="7" spans="1:7" ht="28.5" customHeight="1" x14ac:dyDescent="0.25">
      <c r="A7" s="54">
        <v>4</v>
      </c>
      <c r="B7" s="52"/>
      <c r="C7" s="53">
        <v>1896.9267857142856</v>
      </c>
    </row>
    <row r="8" spans="1:7" ht="28.5" customHeight="1" x14ac:dyDescent="0.25">
      <c r="A8" s="54">
        <v>5</v>
      </c>
      <c r="B8" s="52"/>
      <c r="C8" s="53">
        <v>1896.9267857142856</v>
      </c>
    </row>
    <row r="9" spans="1:7" ht="28.5" customHeight="1" x14ac:dyDescent="0.25">
      <c r="A9" s="54">
        <v>6</v>
      </c>
      <c r="B9" s="52"/>
      <c r="C9" s="53">
        <v>1896.9267857142856</v>
      </c>
      <c r="G9" t="s">
        <v>75</v>
      </c>
    </row>
    <row r="10" spans="1:7" ht="28.5" customHeight="1" x14ac:dyDescent="0.25">
      <c r="A10" s="54">
        <v>7</v>
      </c>
      <c r="B10" s="52"/>
      <c r="C10" s="53">
        <v>1896.9267857142856</v>
      </c>
    </row>
    <row r="11" spans="1:7" ht="28.5" customHeight="1" x14ac:dyDescent="0.25">
      <c r="A11" s="54">
        <v>8</v>
      </c>
      <c r="B11" s="52"/>
      <c r="C11" s="53">
        <v>1896.9267857142856</v>
      </c>
    </row>
    <row r="12" spans="1:7" ht="28.5" customHeight="1" x14ac:dyDescent="0.25">
      <c r="A12" s="54">
        <v>9</v>
      </c>
      <c r="B12" s="52"/>
      <c r="C12" s="53">
        <v>1896.9267857142856</v>
      </c>
    </row>
    <row r="13" spans="1:7" ht="28.5" customHeight="1" x14ac:dyDescent="0.25">
      <c r="A13" s="54">
        <v>10</v>
      </c>
      <c r="B13" s="52"/>
      <c r="C13" s="53">
        <v>1896.9267857142856</v>
      </c>
    </row>
    <row r="14" spans="1:7" ht="28.5" customHeight="1" x14ac:dyDescent="0.25">
      <c r="A14" s="54">
        <v>11</v>
      </c>
      <c r="B14" s="52"/>
      <c r="C14" s="53">
        <v>1896.9267857142856</v>
      </c>
    </row>
    <row r="15" spans="1:7" ht="28.5" customHeight="1" x14ac:dyDescent="0.25">
      <c r="A15" s="54">
        <v>12</v>
      </c>
      <c r="B15" s="52"/>
      <c r="C15" s="53">
        <v>1896.9267857142856</v>
      </c>
    </row>
    <row r="16" spans="1:7" ht="28.5" customHeight="1" x14ac:dyDescent="0.25">
      <c r="A16" s="54">
        <v>13</v>
      </c>
      <c r="B16" s="52"/>
      <c r="C16" s="53">
        <v>1896.9267857142856</v>
      </c>
    </row>
    <row r="17" spans="1:4" ht="28.5" customHeight="1" x14ac:dyDescent="0.25">
      <c r="A17" s="54">
        <v>14</v>
      </c>
      <c r="B17" s="52"/>
      <c r="C17" s="53">
        <v>1896.9267857142856</v>
      </c>
    </row>
    <row r="18" spans="1:4" ht="28.5" customHeight="1" x14ac:dyDescent="0.25">
      <c r="A18" s="54">
        <v>15</v>
      </c>
      <c r="B18" s="52"/>
      <c r="C18" s="53">
        <v>1896.9267857142856</v>
      </c>
    </row>
    <row r="19" spans="1:4" ht="28.5" customHeight="1" x14ac:dyDescent="0.25">
      <c r="A19" s="54">
        <v>16</v>
      </c>
      <c r="B19" s="52"/>
      <c r="C19" s="53">
        <v>1896.9267857142856</v>
      </c>
    </row>
    <row r="20" spans="1:4" ht="28.5" customHeight="1" x14ac:dyDescent="0.25">
      <c r="A20" s="54">
        <v>17</v>
      </c>
      <c r="B20" s="52"/>
      <c r="C20" s="53">
        <v>1896.9267857142856</v>
      </c>
    </row>
    <row r="21" spans="1:4" ht="28.5" customHeight="1" x14ac:dyDescent="0.25">
      <c r="A21" s="54">
        <v>18</v>
      </c>
      <c r="B21" s="52"/>
      <c r="C21" s="53">
        <v>1896.9267857142856</v>
      </c>
    </row>
    <row r="22" spans="1:4" ht="28.5" customHeight="1" x14ac:dyDescent="0.25">
      <c r="A22" s="54">
        <v>19</v>
      </c>
      <c r="B22" s="52"/>
      <c r="C22" s="53">
        <v>1896.9267857142856</v>
      </c>
    </row>
    <row r="23" spans="1:4" ht="28.5" customHeight="1" x14ac:dyDescent="0.25">
      <c r="A23" s="54">
        <v>20</v>
      </c>
      <c r="B23" s="52"/>
      <c r="C23" s="53">
        <v>1896.9267857142856</v>
      </c>
    </row>
    <row r="24" spans="1:4" ht="28.5" customHeight="1" x14ac:dyDescent="0.25">
      <c r="A24" s="54">
        <v>21</v>
      </c>
      <c r="B24" s="52"/>
      <c r="C24" s="53">
        <v>1896.9267857142856</v>
      </c>
    </row>
    <row r="25" spans="1:4" ht="28.5" customHeight="1" x14ac:dyDescent="0.25">
      <c r="A25" s="54">
        <v>22</v>
      </c>
      <c r="B25" s="52"/>
      <c r="C25" s="53">
        <v>1896.9267857142856</v>
      </c>
    </row>
    <row r="26" spans="1:4" ht="28.5" customHeight="1" x14ac:dyDescent="0.25">
      <c r="A26" s="54">
        <v>23</v>
      </c>
      <c r="B26" s="52"/>
      <c r="C26" s="53">
        <v>1896.9267857142856</v>
      </c>
    </row>
    <row r="27" spans="1:4" ht="28.5" customHeight="1" x14ac:dyDescent="0.25">
      <c r="A27" s="54">
        <v>24</v>
      </c>
      <c r="B27" s="52"/>
      <c r="C27" s="53">
        <v>1896.9267857142856</v>
      </c>
    </row>
    <row r="28" spans="1:4" ht="28.5" customHeight="1" x14ac:dyDescent="0.25">
      <c r="A28" s="54">
        <v>25</v>
      </c>
      <c r="B28" s="52"/>
      <c r="C28" s="53">
        <v>1896.9267857142856</v>
      </c>
      <c r="D28" s="56"/>
    </row>
    <row r="29" spans="1:4" ht="28.5" customHeight="1" x14ac:dyDescent="0.25">
      <c r="A29" s="54">
        <v>26</v>
      </c>
      <c r="B29" s="52"/>
      <c r="C29" s="53">
        <v>1896.9267857142856</v>
      </c>
      <c r="D29" s="56"/>
    </row>
    <row r="30" spans="1:4" ht="28.5" customHeight="1" x14ac:dyDescent="0.25">
      <c r="A30" s="54">
        <v>27</v>
      </c>
      <c r="B30" s="52"/>
      <c r="C30" s="53">
        <v>1896.9267857142856</v>
      </c>
    </row>
    <row r="31" spans="1:4" ht="28.5" customHeight="1" x14ac:dyDescent="0.25">
      <c r="A31" s="54">
        <v>28</v>
      </c>
      <c r="B31" s="52"/>
      <c r="C31" s="53">
        <v>1896.9267857142856</v>
      </c>
    </row>
    <row r="32" spans="1:4" ht="28.5" customHeight="1" x14ac:dyDescent="0.25">
      <c r="A32" s="54"/>
      <c r="B32" s="52"/>
      <c r="C32" s="53"/>
    </row>
    <row r="33" spans="1:3" ht="28.5" customHeight="1" x14ac:dyDescent="0.25">
      <c r="A33" s="54"/>
      <c r="B33" s="52"/>
      <c r="C33" s="53"/>
    </row>
    <row r="34" spans="1:3" ht="28.5" customHeight="1" x14ac:dyDescent="0.25">
      <c r="A34" s="54"/>
      <c r="B34" s="52"/>
      <c r="C34" s="53"/>
    </row>
    <row r="35" spans="1:3" x14ac:dyDescent="0.25">
      <c r="A35" s="104" t="s">
        <v>76</v>
      </c>
      <c r="B35" s="104"/>
      <c r="C35" s="64">
        <f>SUM(C4:C34)</f>
        <v>53113.949999999968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940C-5D8F-4714-BD5B-EDEDEDD1F5B9}">
  <sheetPr codeName="Sheet5"/>
  <dimension ref="A1:C34"/>
  <sheetViews>
    <sheetView tabSelected="1" workbookViewId="0">
      <selection activeCell="D30" sqref="D30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3" t="s">
        <v>84</v>
      </c>
      <c r="B1" s="103"/>
      <c r="C1" s="103"/>
    </row>
    <row r="2" spans="1:3" ht="24.95" customHeight="1" x14ac:dyDescent="0.25">
      <c r="A2" s="58" t="s">
        <v>77</v>
      </c>
      <c r="B2" s="58" t="s">
        <v>78</v>
      </c>
      <c r="C2" s="58" t="s">
        <v>79</v>
      </c>
    </row>
    <row r="3" spans="1:3" ht="24.95" customHeight="1" x14ac:dyDescent="0.25">
      <c r="A3" s="59">
        <v>43497</v>
      </c>
      <c r="B3" s="65">
        <v>400</v>
      </c>
      <c r="C3" s="65">
        <v>576</v>
      </c>
    </row>
    <row r="4" spans="1:3" ht="24.95" customHeight="1" x14ac:dyDescent="0.25">
      <c r="A4" s="59">
        <v>43498</v>
      </c>
      <c r="B4" s="65">
        <v>365</v>
      </c>
      <c r="C4" s="65">
        <v>475</v>
      </c>
    </row>
    <row r="5" spans="1:3" ht="24.95" customHeight="1" x14ac:dyDescent="0.25">
      <c r="A5" s="59">
        <v>43499</v>
      </c>
      <c r="B5" s="65">
        <v>439</v>
      </c>
      <c r="C5" s="65">
        <v>589</v>
      </c>
    </row>
    <row r="6" spans="1:3" ht="24.95" customHeight="1" x14ac:dyDescent="0.25">
      <c r="A6" s="59">
        <v>43500</v>
      </c>
      <c r="B6" s="65">
        <v>481</v>
      </c>
      <c r="C6" s="65">
        <v>662</v>
      </c>
    </row>
    <row r="7" spans="1:3" ht="24.95" customHeight="1" x14ac:dyDescent="0.25">
      <c r="A7" s="59">
        <v>43501</v>
      </c>
      <c r="B7" s="65">
        <v>468</v>
      </c>
      <c r="C7" s="65">
        <v>623</v>
      </c>
    </row>
    <row r="8" spans="1:3" ht="24.95" customHeight="1" x14ac:dyDescent="0.25">
      <c r="A8" s="59">
        <v>43502</v>
      </c>
      <c r="B8" s="65">
        <v>453</v>
      </c>
      <c r="C8" s="65">
        <v>594</v>
      </c>
    </row>
    <row r="9" spans="1:3" ht="24.95" customHeight="1" x14ac:dyDescent="0.25">
      <c r="A9" s="59">
        <v>43503</v>
      </c>
      <c r="B9" s="65">
        <v>403</v>
      </c>
      <c r="C9" s="65">
        <v>564</v>
      </c>
    </row>
    <row r="10" spans="1:3" ht="24.95" customHeight="1" x14ac:dyDescent="0.25">
      <c r="A10" s="59">
        <v>43504</v>
      </c>
      <c r="B10" s="65">
        <v>457</v>
      </c>
      <c r="C10" s="65">
        <v>635</v>
      </c>
    </row>
    <row r="11" spans="1:3" ht="24.95" customHeight="1" x14ac:dyDescent="0.25">
      <c r="A11" s="59">
        <v>43505</v>
      </c>
      <c r="B11" s="65">
        <v>412</v>
      </c>
      <c r="C11" s="65">
        <v>578</v>
      </c>
    </row>
    <row r="12" spans="1:3" ht="24.95" customHeight="1" x14ac:dyDescent="0.25">
      <c r="A12" s="59">
        <v>43506</v>
      </c>
      <c r="B12" s="65">
        <v>432</v>
      </c>
      <c r="C12" s="65">
        <v>607</v>
      </c>
    </row>
    <row r="13" spans="1:3" ht="24.95" customHeight="1" x14ac:dyDescent="0.25">
      <c r="A13" s="59">
        <v>43507</v>
      </c>
      <c r="B13" s="65">
        <v>426</v>
      </c>
      <c r="C13" s="65">
        <v>590</v>
      </c>
    </row>
    <row r="14" spans="1:3" ht="24.95" customHeight="1" x14ac:dyDescent="0.25">
      <c r="A14" s="59">
        <v>43508</v>
      </c>
      <c r="B14" s="65">
        <v>415</v>
      </c>
      <c r="C14" s="65">
        <v>584</v>
      </c>
    </row>
    <row r="15" spans="1:3" ht="24.95" customHeight="1" x14ac:dyDescent="0.25">
      <c r="A15" s="59">
        <v>43509</v>
      </c>
      <c r="B15" s="65">
        <v>404</v>
      </c>
      <c r="C15" s="65">
        <v>553</v>
      </c>
    </row>
    <row r="16" spans="1:3" ht="24.95" customHeight="1" x14ac:dyDescent="0.25">
      <c r="A16" s="59">
        <v>43510</v>
      </c>
      <c r="B16" s="65">
        <v>384</v>
      </c>
      <c r="C16" s="65">
        <v>554</v>
      </c>
    </row>
    <row r="17" spans="1:3" ht="24.95" customHeight="1" x14ac:dyDescent="0.25">
      <c r="A17" s="59">
        <v>43511</v>
      </c>
      <c r="B17" s="65">
        <v>407</v>
      </c>
      <c r="C17" s="65">
        <v>565</v>
      </c>
    </row>
    <row r="18" spans="1:3" ht="24.95" customHeight="1" x14ac:dyDescent="0.25">
      <c r="A18" s="59">
        <v>43512</v>
      </c>
      <c r="B18" s="65">
        <v>434</v>
      </c>
      <c r="C18" s="65">
        <v>591</v>
      </c>
    </row>
    <row r="19" spans="1:3" ht="24.95" customHeight="1" x14ac:dyDescent="0.25">
      <c r="A19" s="59">
        <v>43513</v>
      </c>
      <c r="B19" s="65">
        <v>450</v>
      </c>
      <c r="C19" s="65">
        <v>596</v>
      </c>
    </row>
    <row r="20" spans="1:3" ht="24.95" customHeight="1" x14ac:dyDescent="0.25">
      <c r="A20" s="59">
        <v>43514</v>
      </c>
      <c r="B20" s="65">
        <v>473</v>
      </c>
      <c r="C20" s="65">
        <v>629</v>
      </c>
    </row>
    <row r="21" spans="1:3" ht="24.95" customHeight="1" x14ac:dyDescent="0.25">
      <c r="A21" s="59">
        <v>43515</v>
      </c>
      <c r="B21" s="65">
        <v>474</v>
      </c>
      <c r="C21" s="65">
        <v>623</v>
      </c>
    </row>
    <row r="22" spans="1:3" ht="24.95" customHeight="1" x14ac:dyDescent="0.25">
      <c r="A22" s="59">
        <v>43516</v>
      </c>
      <c r="B22" s="65">
        <v>451</v>
      </c>
      <c r="C22" s="65">
        <v>607</v>
      </c>
    </row>
    <row r="23" spans="1:3" ht="24.95" customHeight="1" x14ac:dyDescent="0.25">
      <c r="A23" s="59">
        <v>43517</v>
      </c>
      <c r="B23" s="65">
        <v>370</v>
      </c>
      <c r="C23" s="65">
        <v>525</v>
      </c>
    </row>
    <row r="24" spans="1:3" ht="24.95" customHeight="1" x14ac:dyDescent="0.25">
      <c r="A24" s="59">
        <v>43518</v>
      </c>
      <c r="B24" s="65">
        <v>272</v>
      </c>
      <c r="C24" s="65">
        <v>387</v>
      </c>
    </row>
    <row r="25" spans="1:3" ht="24.95" customHeight="1" x14ac:dyDescent="0.25">
      <c r="A25" s="59">
        <v>43519</v>
      </c>
      <c r="B25" s="65">
        <v>325</v>
      </c>
      <c r="C25" s="65">
        <v>325</v>
      </c>
    </row>
    <row r="26" spans="1:3" ht="24.95" customHeight="1" x14ac:dyDescent="0.25">
      <c r="A26" s="59">
        <v>43520</v>
      </c>
      <c r="B26" s="65">
        <v>297</v>
      </c>
      <c r="C26" s="65">
        <v>391</v>
      </c>
    </row>
    <row r="27" spans="1:3" ht="24.95" customHeight="1" x14ac:dyDescent="0.25">
      <c r="A27" s="59">
        <v>43521</v>
      </c>
      <c r="B27" s="65">
        <v>321</v>
      </c>
      <c r="C27" s="65">
        <v>419</v>
      </c>
    </row>
    <row r="28" spans="1:3" ht="24.95" customHeight="1" x14ac:dyDescent="0.25">
      <c r="A28" s="59">
        <v>43522</v>
      </c>
      <c r="B28" s="65">
        <v>311</v>
      </c>
      <c r="C28" s="65">
        <v>547</v>
      </c>
    </row>
    <row r="29" spans="1:3" ht="24.95" customHeight="1" x14ac:dyDescent="0.25">
      <c r="A29" s="59">
        <v>43523</v>
      </c>
      <c r="B29" s="65">
        <v>363</v>
      </c>
      <c r="C29" s="65">
        <v>504</v>
      </c>
    </row>
    <row r="30" spans="1:3" ht="24.95" customHeight="1" x14ac:dyDescent="0.25">
      <c r="A30" s="59">
        <v>43524</v>
      </c>
      <c r="B30" s="65">
        <v>391</v>
      </c>
      <c r="C30" s="65">
        <v>553</v>
      </c>
    </row>
    <row r="31" spans="1:3" ht="24.95" customHeight="1" x14ac:dyDescent="0.25">
      <c r="A31" s="59"/>
      <c r="B31" s="60"/>
      <c r="C31" s="60"/>
    </row>
    <row r="32" spans="1:3" ht="24.95" customHeight="1" x14ac:dyDescent="0.25">
      <c r="A32" s="59"/>
      <c r="B32" s="60"/>
      <c r="C32" s="60"/>
    </row>
    <row r="33" spans="1:3" ht="24.95" customHeight="1" x14ac:dyDescent="0.25">
      <c r="A33" s="59"/>
      <c r="B33" s="60"/>
      <c r="C33" s="60"/>
    </row>
    <row r="34" spans="1:3" ht="30.75" customHeight="1" x14ac:dyDescent="0.25">
      <c r="A34" s="58" t="s">
        <v>80</v>
      </c>
      <c r="B34" s="61">
        <f>SUM(B3:B33)</f>
        <v>11278</v>
      </c>
      <c r="C34" s="61">
        <f>SUM(C3:C33)</f>
        <v>15446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2025-03-21T10:31:23Z</dcterms:modified>
  <cp:category/>
  <cp:contentStatus/>
</cp:coreProperties>
</file>