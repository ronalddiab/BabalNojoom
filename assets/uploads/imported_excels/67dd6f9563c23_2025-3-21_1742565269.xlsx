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19/"/>
    </mc:Choice>
  </mc:AlternateContent>
  <xr:revisionPtr revIDLastSave="804" documentId="8_{8847650D-614C-4264-8C87-30D8B5EB4252}" xr6:coauthVersionLast="47" xr6:coauthVersionMax="47" xr10:uidLastSave="{356A2938-6C6B-41C5-90BC-1B177D7BCADD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E20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<sst xmlns="http://schemas.openxmlformats.org/spreadsheetml/2006/main" count="123" uniqueCount="88">
  <si>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</si>
  <si>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</si>
  <si>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</si>
  <si>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</si>
  <si>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</si>
  <si>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</si>
  <si>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</si>
  <si>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</si>
  <si>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</si>
  <si>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</si>
  <si>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</si>
  <si>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</si>
  <si>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</si>
  <si>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</si>
  <si>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</si>
  <si>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</si>
  <si>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</si>
  <si>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</si>
  <si>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</si>
  <si>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</si>
  <si>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</si>
  <si>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</si>
  <si>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</si>
  <si>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</si>
  <si>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</si>
  <si>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</si>
  <si>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</si>
  <si>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</si>
  <si>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</si>
  <si>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</si>
  <si>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</si>
  <si>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</si>
  <si>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</si>
  <si>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</si>
  <si>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</si>
  <si>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</si>
  <si>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</si>
  <si>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</si>
  <si>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</si>
  <si>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</si>
  <si>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</si>
  <si>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</si>
  <si>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</si>
  <si>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</si>
  <si>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</si>
  <si>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</si>
  <si>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</si>
  <si>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</si>
  <si>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</si>
  <si>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</si>
  <si>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</si>
  <si>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</si>
  <si>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</si>
  <si>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</si>
  <si>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</si>
  <si>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</si>
  <si>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</si>
  <si>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</si>
  <si>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</si>
  <si>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</si>
  <si>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</si>
  <si>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</si>
  <si>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</si>
  <si>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</si>
  <si>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</si>
  <si>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</si>
  <si>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</si>
  <si>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</si>
  <si>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</si>
  <si>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</si>
  <si>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</si>
  <si>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</si>
  <si>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</si>
  <si>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</si>
  <si>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</si>
  <si>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</si>
  <si>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</si>
  <si>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</si>
  <si>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</si>
  <si>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</si>
  <si>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</si>
  <si>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</si>
  <si>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</si>
  <si>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</si>
  <si>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MAY 2019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</si>
  <si>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MAY  2019</t>
    </r>
  </si>
  <si>
    <t>DAILY GAS METER READINGS &amp; CONSUMPTION (Liters) MAY 2019</t>
  </si>
  <si>
    <t>Occupied Room &amp; Number of Guest
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</si>
</sst>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166" fontId="15" fillId="0" borderId="2" xfId="0" applyNumberFormat="1" applyFont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5" fontId="16" fillId="1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5</v>
      </c>
      <c r="D2" s="10">
        <v>2019</v>
      </c>
      <c r="E2" s="4" cm="1">
        <f t="array" ref="E2:E32">TRANSPOSE(Electricity!E21:AI21)</f>
        <v>38763</v>
      </c>
      <c r="F2" s="11">
        <v>0.2</v>
      </c>
      <c r="G2" s="4">
        <f>LPG!C4</f>
        <v>2017.96</v>
      </c>
      <c r="H2" s="11">
        <v>1.4800000831245095</v>
      </c>
      <c r="I2" s="4" cm="1">
        <f t="array" ref="I2:I32">TRANSPOSE(Water!E15:AI15)</f>
        <v>457.53400000000261</v>
      </c>
      <c r="J2" s="11">
        <v>7.84</v>
      </c>
      <c r="K2" s="4">
        <f>'Occupied &amp; No. of Guest'!B3</f>
        <v>297</v>
      </c>
      <c r="L2" s="4">
        <f>'Occupied &amp; No. of Guest'!C3</f>
        <v>373</v>
      </c>
    </row>
    <row r="3" spans="1:12" x14ac:dyDescent="0.25">
      <c r="A3" s="9" t="s">
        <v>12</v>
      </c>
      <c r="B3" s="10">
        <f>B2+1</f>
        <v>2</v>
      </c>
      <c r="C3" s="10">
        <v>5</v>
      </c>
      <c r="D3" s="10">
        <v>2019</v>
      </c>
      <c r="E3" s="4">
        <v>36149</v>
      </c>
      <c r="F3" s="11">
        <v>0.2</v>
      </c>
      <c r="G3" s="4">
        <f>LPG!C5</f>
        <v>2017.96</v>
      </c>
      <c r="H3" s="11">
        <v>1.4800000831245095</v>
      </c>
      <c r="I3" s="4">
        <v>390.46100000000467</v>
      </c>
      <c r="J3" s="11">
        <v>7.84</v>
      </c>
      <c r="K3" s="4">
        <f>'Occupied &amp; No. of Guest'!B4</f>
        <v>258</v>
      </c>
      <c r="L3" s="4">
        <f>'Occupied &amp; No. of Guest'!C4</f>
        <v>362</v>
      </c>
    </row>
    <row r="4" spans="1:12" x14ac:dyDescent="0.25">
      <c r="A4" s="9" t="s">
        <v>12</v>
      </c>
      <c r="B4" s="10">
        <f t="shared" ref="B4:B32" si="0">B3+1</f>
        <v>3</v>
      </c>
      <c r="C4" s="10">
        <v>5</v>
      </c>
      <c r="D4" s="10">
        <v>2019</v>
      </c>
      <c r="E4" s="4">
        <v>36544</v>
      </c>
      <c r="F4" s="11">
        <v>0.2</v>
      </c>
      <c r="G4" s="4">
        <f>LPG!C6</f>
        <v>2017.96</v>
      </c>
      <c r="H4" s="11">
        <v>1.4800000831245095</v>
      </c>
      <c r="I4" s="4">
        <v>297.55499999999728</v>
      </c>
      <c r="J4" s="11">
        <v>7.84</v>
      </c>
      <c r="K4" s="4">
        <f>'Occupied &amp; No. of Guest'!B5</f>
        <v>218</v>
      </c>
      <c r="L4" s="4">
        <f>'Occupied &amp; No. of Guest'!C5</f>
        <v>310</v>
      </c>
    </row>
    <row r="5" spans="1:12" x14ac:dyDescent="0.25">
      <c r="A5" s="9" t="s">
        <v>12</v>
      </c>
      <c r="B5" s="10">
        <f t="shared" si="0"/>
        <v>4</v>
      </c>
      <c r="C5" s="10">
        <v>5</v>
      </c>
      <c r="D5" s="10">
        <v>2019</v>
      </c>
      <c r="E5" s="4">
        <v>35560</v>
      </c>
      <c r="F5" s="11">
        <v>0.2</v>
      </c>
      <c r="G5" s="4">
        <f>LPG!C7</f>
        <v>2017.96</v>
      </c>
      <c r="H5" s="11">
        <v>1.4800000831245095</v>
      </c>
      <c r="I5" s="4">
        <v>381.82599999999712</v>
      </c>
      <c r="J5" s="11">
        <v>7.84</v>
      </c>
      <c r="K5" s="4">
        <f>'Occupied &amp; No. of Guest'!B6</f>
        <v>167</v>
      </c>
      <c r="L5" s="4">
        <f>'Occupied &amp; No. of Guest'!C6</f>
        <v>200</v>
      </c>
    </row>
    <row r="6" spans="1:12" x14ac:dyDescent="0.25">
      <c r="A6" s="9" t="s">
        <v>12</v>
      </c>
      <c r="B6" s="10">
        <f t="shared" si="0"/>
        <v>5</v>
      </c>
      <c r="C6" s="10">
        <v>5</v>
      </c>
      <c r="D6" s="10">
        <v>2019</v>
      </c>
      <c r="E6" s="4">
        <v>35995</v>
      </c>
      <c r="F6" s="11">
        <v>0.2</v>
      </c>
      <c r="G6" s="4">
        <f>LPG!C8</f>
        <v>2017.96</v>
      </c>
      <c r="H6" s="11">
        <v>1.4800000831245095</v>
      </c>
      <c r="I6" s="4">
        <v>338.24800000000243</v>
      </c>
      <c r="J6" s="11">
        <v>7.84</v>
      </c>
      <c r="K6" s="4">
        <f>'Occupied &amp; No. of Guest'!B7</f>
        <v>222</v>
      </c>
      <c r="L6" s="4">
        <f>'Occupied &amp; No. of Guest'!C7</f>
        <v>294</v>
      </c>
    </row>
    <row r="7" spans="1:12" x14ac:dyDescent="0.25">
      <c r="A7" s="9" t="s">
        <v>12</v>
      </c>
      <c r="B7" s="10">
        <f t="shared" si="0"/>
        <v>6</v>
      </c>
      <c r="C7" s="10">
        <v>5</v>
      </c>
      <c r="D7" s="10">
        <v>2019</v>
      </c>
      <c r="E7" s="4">
        <v>36752</v>
      </c>
      <c r="F7" s="11">
        <v>0.2</v>
      </c>
      <c r="G7" s="4">
        <f>LPG!C9</f>
        <v>2017.96</v>
      </c>
      <c r="H7" s="11">
        <v>1.4800000831245095</v>
      </c>
      <c r="I7" s="4">
        <v>339.67300000000006</v>
      </c>
      <c r="J7" s="11">
        <v>7.84</v>
      </c>
      <c r="K7" s="4">
        <f>'Occupied &amp; No. of Guest'!B8</f>
        <v>176</v>
      </c>
      <c r="L7" s="4">
        <f>'Occupied &amp; No. of Guest'!C8</f>
        <v>207</v>
      </c>
    </row>
    <row r="8" spans="1:12" x14ac:dyDescent="0.25">
      <c r="A8" s="9" t="s">
        <v>12</v>
      </c>
      <c r="B8" s="10">
        <f t="shared" si="0"/>
        <v>7</v>
      </c>
      <c r="C8" s="10">
        <v>5</v>
      </c>
      <c r="D8" s="10">
        <v>2019</v>
      </c>
      <c r="E8" s="4">
        <v>35740</v>
      </c>
      <c r="F8" s="11">
        <v>0.2</v>
      </c>
      <c r="G8" s="4">
        <f>LPG!C10</f>
        <v>2017.96</v>
      </c>
      <c r="H8" s="11">
        <v>1.4800000831245095</v>
      </c>
      <c r="I8" s="4">
        <v>268.86900000000435</v>
      </c>
      <c r="J8" s="11">
        <v>7.84</v>
      </c>
      <c r="K8" s="4">
        <f>'Occupied &amp; No. of Guest'!B9</f>
        <v>184</v>
      </c>
      <c r="L8" s="4">
        <f>'Occupied &amp; No. of Guest'!C9</f>
        <v>220</v>
      </c>
    </row>
    <row r="9" spans="1:12" x14ac:dyDescent="0.25">
      <c r="A9" s="9" t="s">
        <v>12</v>
      </c>
      <c r="B9" s="10">
        <f t="shared" si="0"/>
        <v>8</v>
      </c>
      <c r="C9" s="10">
        <v>5</v>
      </c>
      <c r="D9" s="10">
        <v>2019</v>
      </c>
      <c r="E9" s="4">
        <v>35322</v>
      </c>
      <c r="F9" s="11">
        <v>0.2</v>
      </c>
      <c r="G9" s="4">
        <f>LPG!C11</f>
        <v>2017.96</v>
      </c>
      <c r="H9" s="11">
        <v>1.4800000831245095</v>
      </c>
      <c r="I9" s="4">
        <v>316.19599999999156</v>
      </c>
      <c r="J9" s="11">
        <v>7.84</v>
      </c>
      <c r="K9" s="4">
        <f>'Occupied &amp; No. of Guest'!B10</f>
        <v>174</v>
      </c>
      <c r="L9" s="4">
        <f>'Occupied &amp; No. of Guest'!C10</f>
        <v>211</v>
      </c>
    </row>
    <row r="10" spans="1:12" x14ac:dyDescent="0.25">
      <c r="A10" s="9" t="s">
        <v>12</v>
      </c>
      <c r="B10" s="10">
        <f t="shared" si="0"/>
        <v>9</v>
      </c>
      <c r="C10" s="10">
        <v>5</v>
      </c>
      <c r="D10" s="10">
        <v>2019</v>
      </c>
      <c r="E10" s="4">
        <v>36930</v>
      </c>
      <c r="F10" s="11">
        <v>0.2</v>
      </c>
      <c r="G10" s="4">
        <f>LPG!C12</f>
        <v>2017.96</v>
      </c>
      <c r="H10" s="11">
        <v>1.4800000831245095</v>
      </c>
      <c r="I10" s="4">
        <v>347.56700000000427</v>
      </c>
      <c r="J10" s="11">
        <v>7.84</v>
      </c>
      <c r="K10" s="4">
        <f>'Occupied &amp; No. of Guest'!B11</f>
        <v>131</v>
      </c>
      <c r="L10" s="4">
        <f>'Occupied &amp; No. of Guest'!C11</f>
        <v>158</v>
      </c>
    </row>
    <row r="11" spans="1:12" x14ac:dyDescent="0.25">
      <c r="A11" s="9" t="s">
        <v>12</v>
      </c>
      <c r="B11" s="10">
        <f t="shared" si="0"/>
        <v>10</v>
      </c>
      <c r="C11" s="10">
        <v>5</v>
      </c>
      <c r="D11" s="10">
        <v>2019</v>
      </c>
      <c r="E11" s="4">
        <v>34330</v>
      </c>
      <c r="F11" s="11">
        <v>0.2</v>
      </c>
      <c r="G11" s="4">
        <f>LPG!C13</f>
        <v>2017.96</v>
      </c>
      <c r="H11" s="11">
        <v>1.4800000831245095</v>
      </c>
      <c r="I11" s="4">
        <v>225.39999999999748</v>
      </c>
      <c r="J11" s="11">
        <v>7.84</v>
      </c>
      <c r="K11" s="4">
        <f>'Occupied &amp; No. of Guest'!B12</f>
        <v>142</v>
      </c>
      <c r="L11" s="4">
        <f>'Occupied &amp; No. of Guest'!C12</f>
        <v>193</v>
      </c>
    </row>
    <row r="12" spans="1:12" x14ac:dyDescent="0.25">
      <c r="A12" s="9" t="s">
        <v>12</v>
      </c>
      <c r="B12" s="10">
        <f t="shared" si="0"/>
        <v>11</v>
      </c>
      <c r="C12" s="10">
        <v>5</v>
      </c>
      <c r="D12" s="10">
        <v>2019</v>
      </c>
      <c r="E12" s="4">
        <v>35729</v>
      </c>
      <c r="F12" s="11">
        <v>0.2</v>
      </c>
      <c r="G12" s="4">
        <f>LPG!C14</f>
        <v>2017.96</v>
      </c>
      <c r="H12" s="11">
        <v>1.4800000831245095</v>
      </c>
      <c r="I12" s="4">
        <v>337.93599999999407</v>
      </c>
      <c r="J12" s="11">
        <v>7.84</v>
      </c>
      <c r="K12" s="4">
        <f>'Occupied &amp; No. of Guest'!B13</f>
        <v>135</v>
      </c>
      <c r="L12" s="4">
        <f>'Occupied &amp; No. of Guest'!C13</f>
        <v>154</v>
      </c>
    </row>
    <row r="13" spans="1:12" x14ac:dyDescent="0.25">
      <c r="A13" s="9" t="s">
        <v>12</v>
      </c>
      <c r="B13" s="10">
        <f t="shared" si="0"/>
        <v>12</v>
      </c>
      <c r="C13" s="10">
        <v>5</v>
      </c>
      <c r="D13" s="10">
        <v>2019</v>
      </c>
      <c r="E13" s="4">
        <v>36730</v>
      </c>
      <c r="F13" s="11">
        <v>0.2</v>
      </c>
      <c r="G13" s="4">
        <f>LPG!C15</f>
        <v>2017.96</v>
      </c>
      <c r="H13" s="11">
        <v>1.4800000831245095</v>
      </c>
      <c r="I13" s="4">
        <v>346.77500000001112</v>
      </c>
      <c r="J13" s="11">
        <v>7.84</v>
      </c>
      <c r="K13" s="4">
        <f>'Occupied &amp; No. of Guest'!B14</f>
        <v>166</v>
      </c>
      <c r="L13" s="4">
        <f>'Occupied &amp; No. of Guest'!C14</f>
        <v>192</v>
      </c>
    </row>
    <row r="14" spans="1:12" x14ac:dyDescent="0.25">
      <c r="A14" s="9" t="s">
        <v>12</v>
      </c>
      <c r="B14" s="10">
        <f t="shared" si="0"/>
        <v>13</v>
      </c>
      <c r="C14" s="10">
        <v>5</v>
      </c>
      <c r="D14" s="10">
        <v>2019</v>
      </c>
      <c r="E14" s="4">
        <v>37511</v>
      </c>
      <c r="F14" s="11">
        <v>0.2</v>
      </c>
      <c r="G14" s="4">
        <f>LPG!C16</f>
        <v>2017.96</v>
      </c>
      <c r="H14" s="11">
        <v>1.4800000831245095</v>
      </c>
      <c r="I14" s="4">
        <v>344.09499999999844</v>
      </c>
      <c r="J14" s="11">
        <v>7.84</v>
      </c>
      <c r="K14" s="4">
        <f>'Occupied &amp; No. of Guest'!B15</f>
        <v>158</v>
      </c>
      <c r="L14" s="4">
        <f>'Occupied &amp; No. of Guest'!C15</f>
        <v>174</v>
      </c>
    </row>
    <row r="15" spans="1:12" x14ac:dyDescent="0.25">
      <c r="A15" s="9" t="s">
        <v>12</v>
      </c>
      <c r="B15" s="10">
        <f t="shared" si="0"/>
        <v>14</v>
      </c>
      <c r="C15" s="10">
        <v>5</v>
      </c>
      <c r="D15" s="10">
        <v>2019</v>
      </c>
      <c r="E15" s="4">
        <v>36752</v>
      </c>
      <c r="F15" s="11">
        <v>0.2</v>
      </c>
      <c r="G15" s="4">
        <f>LPG!C17</f>
        <v>2017.96</v>
      </c>
      <c r="H15" s="11">
        <v>1.4800000831245095</v>
      </c>
      <c r="I15" s="4">
        <v>351.22500000000343</v>
      </c>
      <c r="J15" s="11">
        <v>7.84</v>
      </c>
      <c r="K15" s="4">
        <f>'Occupied &amp; No. of Guest'!B16</f>
        <v>205</v>
      </c>
      <c r="L15" s="4">
        <f>'Occupied &amp; No. of Guest'!C16</f>
        <v>260</v>
      </c>
    </row>
    <row r="16" spans="1:12" x14ac:dyDescent="0.25">
      <c r="A16" s="9" t="s">
        <v>12</v>
      </c>
      <c r="B16" s="10">
        <f t="shared" si="0"/>
        <v>15</v>
      </c>
      <c r="C16" s="10">
        <v>5</v>
      </c>
      <c r="D16" s="10">
        <v>2019</v>
      </c>
      <c r="E16" s="4">
        <v>36149</v>
      </c>
      <c r="F16" s="11">
        <v>0.2</v>
      </c>
      <c r="G16" s="4">
        <f>LPG!C18</f>
        <v>2017.96</v>
      </c>
      <c r="H16" s="11">
        <v>1.4800000831245095</v>
      </c>
      <c r="I16" s="4">
        <v>351.16599999999664</v>
      </c>
      <c r="J16" s="11">
        <v>7.84</v>
      </c>
      <c r="K16" s="4">
        <f>'Occupied &amp; No. of Guest'!B17</f>
        <v>194</v>
      </c>
      <c r="L16" s="4">
        <f>'Occupied &amp; No. of Guest'!C17</f>
        <v>269</v>
      </c>
    </row>
    <row r="17" spans="1:12" x14ac:dyDescent="0.25">
      <c r="A17" s="9" t="s">
        <v>12</v>
      </c>
      <c r="B17" s="10">
        <f t="shared" si="0"/>
        <v>16</v>
      </c>
      <c r="C17" s="10">
        <v>5</v>
      </c>
      <c r="D17" s="10">
        <v>2019</v>
      </c>
      <c r="E17" s="4">
        <v>38157</v>
      </c>
      <c r="F17" s="11">
        <v>0.2</v>
      </c>
      <c r="G17" s="4">
        <f>LPG!C19</f>
        <v>2017.96</v>
      </c>
      <c r="H17" s="11">
        <v>1.4800000831245095</v>
      </c>
      <c r="I17" s="4">
        <v>317.01299999999583</v>
      </c>
      <c r="J17" s="11">
        <v>7.84</v>
      </c>
      <c r="K17" s="4">
        <f>'Occupied &amp; No. of Guest'!B18</f>
        <v>160</v>
      </c>
      <c r="L17" s="4">
        <f>'Occupied &amp; No. of Guest'!C18</f>
        <v>214</v>
      </c>
    </row>
    <row r="18" spans="1:12" x14ac:dyDescent="0.25">
      <c r="A18" s="9" t="s">
        <v>12</v>
      </c>
      <c r="B18" s="10">
        <f t="shared" si="0"/>
        <v>17</v>
      </c>
      <c r="C18" s="10">
        <v>5</v>
      </c>
      <c r="D18" s="10">
        <v>2019</v>
      </c>
      <c r="E18" s="4">
        <v>36164</v>
      </c>
      <c r="F18" s="11">
        <v>0.2</v>
      </c>
      <c r="G18" s="4">
        <f>LPG!C20</f>
        <v>2017.96</v>
      </c>
      <c r="H18" s="11">
        <v>1.4800000831245095</v>
      </c>
      <c r="I18" s="4">
        <v>227.12600000000148</v>
      </c>
      <c r="J18" s="11">
        <v>7.84</v>
      </c>
      <c r="K18" s="4">
        <f>'Occupied &amp; No. of Guest'!B19</f>
        <v>146</v>
      </c>
      <c r="L18" s="4">
        <f>'Occupied &amp; No. of Guest'!C19</f>
        <v>193</v>
      </c>
    </row>
    <row r="19" spans="1:12" x14ac:dyDescent="0.25">
      <c r="A19" s="9" t="s">
        <v>12</v>
      </c>
      <c r="B19" s="10">
        <f t="shared" si="0"/>
        <v>18</v>
      </c>
      <c r="C19" s="10">
        <v>5</v>
      </c>
      <c r="D19" s="10">
        <v>2019</v>
      </c>
      <c r="E19" s="4">
        <v>37338</v>
      </c>
      <c r="F19" s="11">
        <v>0.2</v>
      </c>
      <c r="G19" s="4">
        <f>LPG!C21</f>
        <v>2017.96</v>
      </c>
      <c r="H19" s="11">
        <v>1.4800000831245095</v>
      </c>
      <c r="I19" s="4">
        <v>310.76300000000185</v>
      </c>
      <c r="J19" s="11">
        <v>7.84</v>
      </c>
      <c r="K19" s="4">
        <f>'Occupied &amp; No. of Guest'!B20</f>
        <v>139</v>
      </c>
      <c r="L19" s="4">
        <f>'Occupied &amp; No. of Guest'!C20</f>
        <v>170</v>
      </c>
    </row>
    <row r="20" spans="1:12" x14ac:dyDescent="0.25">
      <c r="A20" s="9" t="s">
        <v>12</v>
      </c>
      <c r="B20" s="10">
        <f t="shared" si="0"/>
        <v>19</v>
      </c>
      <c r="C20" s="10">
        <v>5</v>
      </c>
      <c r="D20" s="10">
        <v>2019</v>
      </c>
      <c r="E20" s="4">
        <v>37554</v>
      </c>
      <c r="F20" s="11">
        <v>0.2</v>
      </c>
      <c r="G20" s="4">
        <f>LPG!C22</f>
        <v>2017.96</v>
      </c>
      <c r="H20" s="11">
        <v>1.4800000831245095</v>
      </c>
      <c r="I20" s="4">
        <v>319.44999999999726</v>
      </c>
      <c r="J20" s="11">
        <v>7.84</v>
      </c>
      <c r="K20" s="4">
        <f>'Occupied &amp; No. of Guest'!B21</f>
        <v>168</v>
      </c>
      <c r="L20" s="4">
        <f>'Occupied &amp; No. of Guest'!C21</f>
        <v>217</v>
      </c>
    </row>
    <row r="21" spans="1:12" x14ac:dyDescent="0.25">
      <c r="A21" s="9" t="s">
        <v>12</v>
      </c>
      <c r="B21" s="10">
        <f t="shared" si="0"/>
        <v>20</v>
      </c>
      <c r="C21" s="10">
        <v>5</v>
      </c>
      <c r="D21" s="10">
        <v>2019</v>
      </c>
      <c r="E21" s="4">
        <v>37954</v>
      </c>
      <c r="F21" s="11">
        <v>0.2</v>
      </c>
      <c r="G21" s="4">
        <f>LPG!C23</f>
        <v>2017.96</v>
      </c>
      <c r="H21" s="11">
        <v>1.4800000831245095</v>
      </c>
      <c r="I21" s="4">
        <v>350.65400000000227</v>
      </c>
      <c r="J21" s="11">
        <v>7.84</v>
      </c>
      <c r="K21" s="4">
        <f>'Occupied &amp; No. of Guest'!B22</f>
        <v>169</v>
      </c>
      <c r="L21" s="4">
        <f>'Occupied &amp; No. of Guest'!C22</f>
        <v>205</v>
      </c>
    </row>
    <row r="22" spans="1:12" x14ac:dyDescent="0.25">
      <c r="A22" s="9" t="s">
        <v>12</v>
      </c>
      <c r="B22" s="10">
        <f t="shared" si="0"/>
        <v>21</v>
      </c>
      <c r="C22" s="10">
        <v>5</v>
      </c>
      <c r="D22" s="10">
        <v>2019</v>
      </c>
      <c r="E22" s="4">
        <v>39348</v>
      </c>
      <c r="F22" s="11">
        <v>0.2</v>
      </c>
      <c r="G22" s="4">
        <f>LPG!C24</f>
        <v>2017.96</v>
      </c>
      <c r="H22" s="11">
        <v>1.4800000831245095</v>
      </c>
      <c r="I22" s="4">
        <v>357.05400000000265</v>
      </c>
      <c r="J22" s="11">
        <v>7.84</v>
      </c>
      <c r="K22" s="4">
        <f>'Occupied &amp; No. of Guest'!B23</f>
        <v>178</v>
      </c>
      <c r="L22" s="4">
        <f>'Occupied &amp; No. of Guest'!C23</f>
        <v>221</v>
      </c>
    </row>
    <row r="23" spans="1:12" x14ac:dyDescent="0.25">
      <c r="A23" s="9" t="s">
        <v>12</v>
      </c>
      <c r="B23" s="10">
        <f t="shared" si="0"/>
        <v>22</v>
      </c>
      <c r="C23" s="10">
        <v>5</v>
      </c>
      <c r="D23" s="10">
        <v>2019</v>
      </c>
      <c r="E23" s="4">
        <v>38570</v>
      </c>
      <c r="F23" s="11">
        <v>0.2</v>
      </c>
      <c r="G23" s="4">
        <f>LPG!C25</f>
        <v>2017.96</v>
      </c>
      <c r="H23" s="11">
        <v>1.4800000831245095</v>
      </c>
      <c r="I23" s="4">
        <v>298.52200000000005</v>
      </c>
      <c r="J23" s="11">
        <v>7.84</v>
      </c>
      <c r="K23" s="4">
        <f>'Occupied &amp; No. of Guest'!B24</f>
        <v>184</v>
      </c>
      <c r="L23" s="4">
        <f>'Occupied &amp; No. of Guest'!C24</f>
        <v>230</v>
      </c>
    </row>
    <row r="24" spans="1:12" x14ac:dyDescent="0.25">
      <c r="A24" s="9" t="s">
        <v>12</v>
      </c>
      <c r="B24" s="10">
        <f t="shared" si="0"/>
        <v>23</v>
      </c>
      <c r="C24" s="10">
        <v>5</v>
      </c>
      <c r="D24" s="10">
        <v>2019</v>
      </c>
      <c r="E24" s="4">
        <v>38935</v>
      </c>
      <c r="F24" s="11">
        <v>0.2</v>
      </c>
      <c r="G24" s="4">
        <f>LPG!C26</f>
        <v>2017.96</v>
      </c>
      <c r="H24" s="11">
        <v>1.4800000831245095</v>
      </c>
      <c r="I24" s="4">
        <v>335.75299999999231</v>
      </c>
      <c r="J24" s="11">
        <v>7.84</v>
      </c>
      <c r="K24" s="4">
        <f>'Occupied &amp; No. of Guest'!B25</f>
        <v>167</v>
      </c>
      <c r="L24" s="4">
        <f>'Occupied &amp; No. of Guest'!C25</f>
        <v>232</v>
      </c>
    </row>
    <row r="25" spans="1:12" x14ac:dyDescent="0.25">
      <c r="A25" s="9" t="s">
        <v>12</v>
      </c>
      <c r="B25" s="10">
        <f t="shared" si="0"/>
        <v>24</v>
      </c>
      <c r="C25" s="10">
        <v>5</v>
      </c>
      <c r="D25" s="10">
        <v>2019</v>
      </c>
      <c r="E25" s="4">
        <v>34740</v>
      </c>
      <c r="F25" s="11">
        <v>0.2</v>
      </c>
      <c r="G25" s="4">
        <f>LPG!C27</f>
        <v>2017.96</v>
      </c>
      <c r="H25" s="11">
        <v>1.4800000831245095</v>
      </c>
      <c r="I25" s="4">
        <v>266.39600000000235</v>
      </c>
      <c r="J25" s="11">
        <v>7.84</v>
      </c>
      <c r="K25" s="4">
        <f>'Occupied &amp; No. of Guest'!B26</f>
        <v>177</v>
      </c>
      <c r="L25" s="4">
        <f>'Occupied &amp; No. of Guest'!C26</f>
        <v>258</v>
      </c>
    </row>
    <row r="26" spans="1:12" x14ac:dyDescent="0.25">
      <c r="A26" s="9" t="s">
        <v>12</v>
      </c>
      <c r="B26" s="10">
        <f>B25+1</f>
        <v>25</v>
      </c>
      <c r="C26" s="10">
        <v>5</v>
      </c>
      <c r="D26" s="10">
        <v>2019</v>
      </c>
      <c r="E26" s="4">
        <v>37956</v>
      </c>
      <c r="F26" s="11">
        <v>0.2</v>
      </c>
      <c r="G26" s="4">
        <f>LPG!C28</f>
        <v>2017.96</v>
      </c>
      <c r="H26" s="11">
        <v>1.4800000831245095</v>
      </c>
      <c r="I26" s="4">
        <v>349.76800000000662</v>
      </c>
      <c r="J26" s="11">
        <v>7.84</v>
      </c>
      <c r="K26" s="4">
        <f>'Occupied &amp; No. of Guest'!B27</f>
        <v>142</v>
      </c>
      <c r="L26" s="4">
        <f>'Occupied &amp; No. of Guest'!C27</f>
        <v>176</v>
      </c>
    </row>
    <row r="27" spans="1:12" x14ac:dyDescent="0.25">
      <c r="A27" s="9" t="s">
        <v>12</v>
      </c>
      <c r="B27" s="10">
        <f t="shared" si="0"/>
        <v>26</v>
      </c>
      <c r="C27" s="10">
        <v>5</v>
      </c>
      <c r="D27" s="10">
        <v>2019</v>
      </c>
      <c r="E27" s="4">
        <v>35545</v>
      </c>
      <c r="F27" s="11">
        <v>0.2</v>
      </c>
      <c r="G27" s="4">
        <f>LPG!C29</f>
        <v>2017.96</v>
      </c>
      <c r="H27" s="11">
        <v>1.4800000831245095</v>
      </c>
      <c r="I27" s="4">
        <v>369.54399999999157</v>
      </c>
      <c r="J27" s="11">
        <v>7.84</v>
      </c>
      <c r="K27" s="4">
        <f>'Occupied &amp; No. of Guest'!B28</f>
        <v>172</v>
      </c>
      <c r="L27" s="4">
        <f>'Occupied &amp; No. of Guest'!C28</f>
        <v>213</v>
      </c>
    </row>
    <row r="28" spans="1:12" x14ac:dyDescent="0.25">
      <c r="A28" s="9" t="s">
        <v>12</v>
      </c>
      <c r="B28" s="10">
        <f t="shared" si="0"/>
        <v>27</v>
      </c>
      <c r="C28" s="10">
        <v>5</v>
      </c>
      <c r="D28" s="10">
        <v>2019</v>
      </c>
      <c r="E28" s="4">
        <v>39166</v>
      </c>
      <c r="F28" s="11">
        <v>0.2</v>
      </c>
      <c r="G28" s="4">
        <f>LPG!C30</f>
        <v>2017.96</v>
      </c>
      <c r="H28" s="11">
        <v>1.4800000831245095</v>
      </c>
      <c r="I28" s="4">
        <v>383.31500000000796</v>
      </c>
      <c r="J28" s="11">
        <v>7.84</v>
      </c>
      <c r="K28" s="4">
        <f>'Occupied &amp; No. of Guest'!B29</f>
        <v>185</v>
      </c>
      <c r="L28" s="4">
        <f>'Occupied &amp; No. of Guest'!C29</f>
        <v>216</v>
      </c>
    </row>
    <row r="29" spans="1:12" x14ac:dyDescent="0.25">
      <c r="A29" s="9" t="s">
        <v>12</v>
      </c>
      <c r="B29" s="10">
        <f t="shared" si="0"/>
        <v>28</v>
      </c>
      <c r="C29" s="10">
        <v>5</v>
      </c>
      <c r="D29" s="10">
        <v>2019</v>
      </c>
      <c r="E29" s="4">
        <v>39335</v>
      </c>
      <c r="F29" s="11">
        <v>0.2</v>
      </c>
      <c r="G29" s="4">
        <f>LPG!C31</f>
        <v>2017.96</v>
      </c>
      <c r="H29" s="11">
        <v>1.4800000831245095</v>
      </c>
      <c r="I29" s="4">
        <v>387.13999999999248</v>
      </c>
      <c r="J29" s="11">
        <v>7.84</v>
      </c>
      <c r="K29" s="4">
        <f>'Occupied &amp; No. of Guest'!B30</f>
        <v>180</v>
      </c>
      <c r="L29" s="4">
        <f>'Occupied &amp; No. of Guest'!C30</f>
        <v>214</v>
      </c>
    </row>
    <row r="30" spans="1:12" x14ac:dyDescent="0.25">
      <c r="A30" s="9" t="s">
        <v>12</v>
      </c>
      <c r="B30" s="10">
        <f t="shared" si="0"/>
        <v>29</v>
      </c>
      <c r="C30" s="10">
        <v>5</v>
      </c>
      <c r="D30" s="10">
        <v>2019</v>
      </c>
      <c r="E30" s="4">
        <v>40102</v>
      </c>
      <c r="F30" s="11">
        <v>0.2</v>
      </c>
      <c r="G30" s="4">
        <f>LPG!C32</f>
        <v>2017.96</v>
      </c>
      <c r="H30" s="11">
        <v>1.4800000831245095</v>
      </c>
      <c r="I30" s="4">
        <v>368.00699999999614</v>
      </c>
      <c r="J30" s="11">
        <v>7.84</v>
      </c>
      <c r="K30" s="4">
        <f>'Occupied &amp; No. of Guest'!B31</f>
        <v>181</v>
      </c>
      <c r="L30" s="4">
        <f>'Occupied &amp; No. of Guest'!C31</f>
        <v>233</v>
      </c>
    </row>
    <row r="31" spans="1:12" x14ac:dyDescent="0.25">
      <c r="A31" s="9" t="s">
        <v>12</v>
      </c>
      <c r="B31" s="10">
        <f t="shared" si="0"/>
        <v>30</v>
      </c>
      <c r="C31" s="10">
        <v>5</v>
      </c>
      <c r="D31" s="10">
        <v>2019</v>
      </c>
      <c r="E31" s="4">
        <v>38771</v>
      </c>
      <c r="F31" s="11">
        <v>0.2</v>
      </c>
      <c r="G31" s="4">
        <f>LPG!C33</f>
        <v>2017.96</v>
      </c>
      <c r="H31" s="11">
        <v>1.4800000831245095</v>
      </c>
      <c r="I31" s="4">
        <v>357.49400000000196</v>
      </c>
      <c r="J31" s="11">
        <v>7.84</v>
      </c>
      <c r="K31" s="4">
        <f>'Occupied &amp; No. of Guest'!B32</f>
        <v>144</v>
      </c>
      <c r="L31" s="4">
        <f>'Occupied &amp; No. of Guest'!C32</f>
        <v>174</v>
      </c>
    </row>
    <row r="32" spans="1:12" x14ac:dyDescent="0.25">
      <c r="A32" s="9" t="s">
        <v>12</v>
      </c>
      <c r="B32" s="10">
        <f t="shared" si="0"/>
        <v>31</v>
      </c>
      <c r="C32" s="10">
        <v>5</v>
      </c>
      <c r="D32" s="10">
        <v>2019</v>
      </c>
      <c r="E32" s="4">
        <v>37340</v>
      </c>
      <c r="F32" s="11">
        <v>0.2</v>
      </c>
      <c r="G32" s="4">
        <f>LPG!C34</f>
        <v>2017.96</v>
      </c>
      <c r="H32" s="11">
        <v>1.4800000831245095</v>
      </c>
      <c r="I32" s="4">
        <v>265.99100000000533</v>
      </c>
      <c r="J32" s="11">
        <v>7.84</v>
      </c>
      <c r="K32" s="4">
        <f>'Occupied &amp; No. of Guest'!B33</f>
        <v>154</v>
      </c>
      <c r="L32" s="4">
        <f>'Occupied &amp; No. of Guest'!C33</f>
        <v>204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8" t="s">
        <v>84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67" s="14" customFormat="1" ht="29.25" customHeight="1" thickBot="1" x14ac:dyDescent="0.3"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</row>
    <row r="4" spans="1:67" ht="39" thickBot="1" x14ac:dyDescent="0.2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70">
        <v>1</v>
      </c>
      <c r="B5" s="20" t="s">
        <v>17</v>
      </c>
      <c r="C5" s="72" t="s">
        <v>18</v>
      </c>
      <c r="D5" s="21">
        <v>66424</v>
      </c>
      <c r="E5" s="21">
        <v>66424</v>
      </c>
      <c r="F5" s="21">
        <v>66424</v>
      </c>
      <c r="G5" s="21">
        <v>66424</v>
      </c>
      <c r="H5" s="21">
        <v>66424</v>
      </c>
      <c r="I5" s="21">
        <v>66424</v>
      </c>
      <c r="J5" s="21">
        <v>66424</v>
      </c>
      <c r="K5" s="21">
        <v>66424</v>
      </c>
      <c r="L5" s="21">
        <v>66424</v>
      </c>
      <c r="M5" s="21">
        <v>66424</v>
      </c>
      <c r="N5" s="21">
        <v>66424</v>
      </c>
      <c r="O5" s="21">
        <v>66424</v>
      </c>
      <c r="P5" s="21">
        <v>66424</v>
      </c>
      <c r="Q5" s="21">
        <v>66424</v>
      </c>
      <c r="R5" s="21">
        <v>66424</v>
      </c>
      <c r="S5" s="21">
        <v>66424</v>
      </c>
      <c r="T5" s="21">
        <v>66424</v>
      </c>
      <c r="U5" s="21">
        <v>66424</v>
      </c>
      <c r="V5" s="21">
        <v>66424</v>
      </c>
      <c r="W5" s="21">
        <v>66424</v>
      </c>
      <c r="X5" s="21">
        <v>66424</v>
      </c>
      <c r="Y5" s="21">
        <v>66424</v>
      </c>
      <c r="Z5" s="21">
        <v>66424</v>
      </c>
      <c r="AA5" s="21">
        <v>66424</v>
      </c>
      <c r="AB5" s="21">
        <v>66424</v>
      </c>
      <c r="AC5" s="21">
        <v>66424</v>
      </c>
      <c r="AD5" s="21">
        <v>66424</v>
      </c>
      <c r="AE5" s="21">
        <v>66424</v>
      </c>
      <c r="AF5" s="21">
        <v>66424</v>
      </c>
      <c r="AG5" s="21">
        <v>66424</v>
      </c>
      <c r="AH5" s="21">
        <v>66424</v>
      </c>
      <c r="AI5" s="21">
        <v>66424</v>
      </c>
    </row>
    <row r="6" spans="1:67" s="24" customFormat="1" ht="21.75" customHeight="1" x14ac:dyDescent="0.2">
      <c r="A6" s="71"/>
      <c r="B6" s="22"/>
      <c r="C6" s="73"/>
      <c r="D6" s="23"/>
      <c r="E6" s="23">
        <f>(E5-D5)*1000</f>
        <v>0</v>
      </c>
      <c r="F6" s="23">
        <f t="shared" ref="F6:AI6" si="0">(F5-E5)*1000</f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si="0"/>
        <v>0</v>
      </c>
      <c r="Q6" s="23">
        <f t="shared" si="0"/>
        <v>0</v>
      </c>
      <c r="R6" s="23">
        <f t="shared" si="0"/>
        <v>0</v>
      </c>
      <c r="S6" s="23">
        <f t="shared" si="0"/>
        <v>0</v>
      </c>
      <c r="T6" s="23">
        <f t="shared" si="0"/>
        <v>0</v>
      </c>
      <c r="U6" s="23">
        <f t="shared" si="0"/>
        <v>0</v>
      </c>
      <c r="V6" s="23">
        <f t="shared" si="0"/>
        <v>0</v>
      </c>
      <c r="W6" s="23">
        <f t="shared" si="0"/>
        <v>0</v>
      </c>
      <c r="X6" s="23">
        <f t="shared" si="0"/>
        <v>0</v>
      </c>
      <c r="Y6" s="23">
        <f t="shared" si="0"/>
        <v>0</v>
      </c>
      <c r="Z6" s="23">
        <f t="shared" si="0"/>
        <v>0</v>
      </c>
      <c r="AA6" s="23">
        <f t="shared" si="0"/>
        <v>0</v>
      </c>
      <c r="AB6" s="23">
        <f t="shared" si="0"/>
        <v>0</v>
      </c>
      <c r="AC6" s="23">
        <f t="shared" si="0"/>
        <v>0</v>
      </c>
      <c r="AD6" s="23">
        <f t="shared" si="0"/>
        <v>0</v>
      </c>
      <c r="AE6" s="23">
        <f t="shared" si="0"/>
        <v>0</v>
      </c>
      <c r="AF6" s="23">
        <f t="shared" si="0"/>
        <v>0</v>
      </c>
      <c r="AG6" s="23">
        <f t="shared" si="0"/>
        <v>0</v>
      </c>
      <c r="AH6" s="23">
        <f t="shared" si="0"/>
        <v>0</v>
      </c>
      <c r="AI6" s="23">
        <f t="shared" si="0"/>
        <v>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4">
        <v>2</v>
      </c>
      <c r="B7" s="25" t="s">
        <v>19</v>
      </c>
      <c r="C7" s="76" t="s">
        <v>20</v>
      </c>
      <c r="D7" s="21">
        <v>26480</v>
      </c>
      <c r="E7" s="21">
        <v>26506</v>
      </c>
      <c r="F7" s="21">
        <v>26529</v>
      </c>
      <c r="G7" s="21">
        <v>26552</v>
      </c>
      <c r="H7" s="21">
        <v>26574</v>
      </c>
      <c r="I7" s="21">
        <v>26596</v>
      </c>
      <c r="J7" s="21">
        <v>26618</v>
      </c>
      <c r="K7" s="21">
        <v>26639</v>
      </c>
      <c r="L7" s="21">
        <v>26660</v>
      </c>
      <c r="M7" s="21">
        <v>26681</v>
      </c>
      <c r="N7" s="21">
        <v>26701</v>
      </c>
      <c r="O7" s="21">
        <v>26722</v>
      </c>
      <c r="P7" s="21">
        <v>26744</v>
      </c>
      <c r="Q7" s="21">
        <v>26766</v>
      </c>
      <c r="R7" s="21">
        <v>26788</v>
      </c>
      <c r="S7" s="21">
        <v>26809</v>
      </c>
      <c r="T7" s="21">
        <v>26832</v>
      </c>
      <c r="U7" s="21">
        <v>26853</v>
      </c>
      <c r="V7" s="21">
        <v>26874</v>
      </c>
      <c r="W7" s="21">
        <v>26896</v>
      </c>
      <c r="X7" s="21">
        <v>26918</v>
      </c>
      <c r="Y7" s="21">
        <v>26941</v>
      </c>
      <c r="Z7" s="21">
        <v>26964</v>
      </c>
      <c r="AA7" s="21">
        <v>26987</v>
      </c>
      <c r="AB7" s="21">
        <v>27007</v>
      </c>
      <c r="AC7" s="21">
        <v>27029</v>
      </c>
      <c r="AD7" s="21">
        <v>27049</v>
      </c>
      <c r="AE7" s="21">
        <v>27071</v>
      </c>
      <c r="AF7" s="21">
        <v>27094</v>
      </c>
      <c r="AG7" s="21">
        <v>27117</v>
      </c>
      <c r="AH7" s="21">
        <v>27139</v>
      </c>
      <c r="AI7" s="21">
        <v>27160</v>
      </c>
    </row>
    <row r="8" spans="1:67" s="24" customFormat="1" ht="21.75" customHeight="1" x14ac:dyDescent="0.2">
      <c r="A8" s="75"/>
      <c r="B8" s="22"/>
      <c r="C8" s="73"/>
      <c r="D8" s="23"/>
      <c r="E8" s="23">
        <f>(E7-D7)*1000</f>
        <v>26000</v>
      </c>
      <c r="F8" s="23">
        <f t="shared" ref="F8" si="1">(F7-E7)*1000</f>
        <v>23000</v>
      </c>
      <c r="G8" s="23">
        <f t="shared" ref="G8" si="2">(G7-F7)*1000</f>
        <v>23000</v>
      </c>
      <c r="H8" s="23">
        <f t="shared" ref="H8" si="3">(H7-G7)*1000</f>
        <v>22000</v>
      </c>
      <c r="I8" s="23">
        <f t="shared" ref="I8" si="4">(I7-H7)*1000</f>
        <v>22000</v>
      </c>
      <c r="J8" s="23">
        <f t="shared" ref="J8" si="5">(J7-I7)*1000</f>
        <v>22000</v>
      </c>
      <c r="K8" s="23">
        <f t="shared" ref="K8" si="6">(K7-J7)*1000</f>
        <v>21000</v>
      </c>
      <c r="L8" s="23">
        <f t="shared" ref="L8" si="7">(L7-K7)*1000</f>
        <v>21000</v>
      </c>
      <c r="M8" s="23">
        <f t="shared" ref="M8" si="8">(M7-L7)*1000</f>
        <v>21000</v>
      </c>
      <c r="N8" s="23">
        <f t="shared" ref="N8" si="9">(N7-M7)*1000</f>
        <v>20000</v>
      </c>
      <c r="O8" s="23">
        <f t="shared" ref="O8" si="10">(O7-N7)*1000</f>
        <v>21000</v>
      </c>
      <c r="P8" s="23">
        <f t="shared" ref="P8" si="11">(P7-O7)*1000</f>
        <v>22000</v>
      </c>
      <c r="Q8" s="23">
        <f t="shared" ref="Q8" si="12">(Q7-P7)*1000</f>
        <v>22000</v>
      </c>
      <c r="R8" s="23">
        <f t="shared" ref="R8" si="13">(R7-Q7)*1000</f>
        <v>22000</v>
      </c>
      <c r="S8" s="23">
        <f t="shared" ref="S8" si="14">(S7-R7)*1000</f>
        <v>21000</v>
      </c>
      <c r="T8" s="23">
        <f t="shared" ref="T8" si="15">(T7-S7)*1000</f>
        <v>23000</v>
      </c>
      <c r="U8" s="23">
        <f t="shared" ref="U8" si="16">(U7-T7)*1000</f>
        <v>21000</v>
      </c>
      <c r="V8" s="23">
        <f t="shared" ref="V8" si="17">(V7-U7)*1000</f>
        <v>21000</v>
      </c>
      <c r="W8" s="23">
        <f t="shared" ref="W8" si="18">(W7-V7)*1000</f>
        <v>22000</v>
      </c>
      <c r="X8" s="23">
        <f t="shared" ref="X8" si="19">(X7-W7)*1000</f>
        <v>22000</v>
      </c>
      <c r="Y8" s="23">
        <f t="shared" ref="Y8" si="20">(Y7-X7)*1000</f>
        <v>23000</v>
      </c>
      <c r="Z8" s="23">
        <f t="shared" ref="Z8" si="21">(Z7-Y7)*1000</f>
        <v>23000</v>
      </c>
      <c r="AA8" s="23">
        <f t="shared" ref="AA8" si="22">(AA7-Z7)*1000</f>
        <v>23000</v>
      </c>
      <c r="AB8" s="23">
        <f t="shared" ref="AB8" si="23">(AB7-AA7)*1000</f>
        <v>20000</v>
      </c>
      <c r="AC8" s="23">
        <f t="shared" ref="AC8" si="24">(AC7-AB7)*1000</f>
        <v>22000</v>
      </c>
      <c r="AD8" s="23">
        <f t="shared" ref="AD8" si="25">(AD7-AC7)*1000</f>
        <v>20000</v>
      </c>
      <c r="AE8" s="23">
        <f t="shared" ref="AE8" si="26">(AE7-AD7)*1000</f>
        <v>22000</v>
      </c>
      <c r="AF8" s="23">
        <f t="shared" ref="AF8" si="27">(AF7-AE7)*1000</f>
        <v>23000</v>
      </c>
      <c r="AG8" s="23">
        <f t="shared" ref="AG8" si="28">(AG7-AF7)*1000</f>
        <v>23000</v>
      </c>
      <c r="AH8" s="23">
        <f t="shared" ref="AH8" si="29">(AH7-AG7)*1000</f>
        <v>22000</v>
      </c>
      <c r="AI8" s="23">
        <f t="shared" ref="AI8" si="30">(AI7-AH7)*1000</f>
        <v>21000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81">
        <v>3</v>
      </c>
      <c r="B9" s="35" t="s">
        <v>21</v>
      </c>
      <c r="C9" s="83" t="s">
        <v>22</v>
      </c>
      <c r="D9" s="21">
        <v>79153</v>
      </c>
      <c r="E9" s="21">
        <v>79160</v>
      </c>
      <c r="F9" s="21">
        <v>79168</v>
      </c>
      <c r="G9" s="21">
        <v>79188</v>
      </c>
      <c r="H9" s="21">
        <v>79196</v>
      </c>
      <c r="I9" s="21">
        <v>79220</v>
      </c>
      <c r="J9" s="21">
        <v>79253</v>
      </c>
      <c r="K9" s="21">
        <v>79285</v>
      </c>
      <c r="L9" s="21">
        <v>79316</v>
      </c>
      <c r="M9" s="21">
        <v>79351</v>
      </c>
      <c r="N9" s="21">
        <v>79382</v>
      </c>
      <c r="O9" s="21">
        <v>79415</v>
      </c>
      <c r="P9" s="21">
        <v>79448</v>
      </c>
      <c r="Q9" s="21">
        <v>79482</v>
      </c>
      <c r="R9" s="21">
        <v>79514</v>
      </c>
      <c r="S9" s="21">
        <v>79546</v>
      </c>
      <c r="T9" s="21">
        <v>79578</v>
      </c>
      <c r="U9" s="21">
        <v>79609</v>
      </c>
      <c r="V9" s="21">
        <v>79643</v>
      </c>
      <c r="W9" s="21">
        <v>79676</v>
      </c>
      <c r="X9" s="21">
        <v>79710</v>
      </c>
      <c r="Y9" s="21">
        <v>79747</v>
      </c>
      <c r="Z9" s="21">
        <v>79782</v>
      </c>
      <c r="AA9" s="21">
        <v>79817</v>
      </c>
      <c r="AB9" s="21">
        <v>79850</v>
      </c>
      <c r="AC9" s="21">
        <v>79884</v>
      </c>
      <c r="AD9" s="21">
        <v>79918</v>
      </c>
      <c r="AE9" s="21">
        <v>79956</v>
      </c>
      <c r="AF9" s="21">
        <v>79994</v>
      </c>
      <c r="AG9" s="21">
        <v>80033</v>
      </c>
      <c r="AH9" s="21">
        <v>80072</v>
      </c>
      <c r="AI9" s="21">
        <v>80109</v>
      </c>
    </row>
    <row r="10" spans="1:67" s="24" customFormat="1" ht="21.75" customHeight="1" x14ac:dyDescent="0.2">
      <c r="A10" s="82"/>
      <c r="B10" s="36"/>
      <c r="C10" s="80"/>
      <c r="D10" s="23"/>
      <c r="E10" s="23">
        <f>(E9-D9)*1000</f>
        <v>7000</v>
      </c>
      <c r="F10" s="23">
        <f t="shared" ref="F10" si="31">(F9-E9)*1000</f>
        <v>8000</v>
      </c>
      <c r="G10" s="23">
        <f t="shared" ref="G10" si="32">(G9-F9)*1000</f>
        <v>20000</v>
      </c>
      <c r="H10" s="23">
        <f t="shared" ref="H10" si="33">(H9-G9)*1000</f>
        <v>8000</v>
      </c>
      <c r="I10" s="23">
        <f t="shared" ref="I10" si="34">(I9-H9)*1000</f>
        <v>24000</v>
      </c>
      <c r="J10" s="23">
        <f t="shared" ref="J10" si="35">(J9-I9)*1000</f>
        <v>33000</v>
      </c>
      <c r="K10" s="23">
        <f t="shared" ref="K10" si="36">(K9-J9)*1000</f>
        <v>32000</v>
      </c>
      <c r="L10" s="23">
        <f t="shared" ref="L10" si="37">(L9-K9)*1000</f>
        <v>31000</v>
      </c>
      <c r="M10" s="23">
        <f t="shared" ref="M10" si="38">(M9-L9)*1000</f>
        <v>35000</v>
      </c>
      <c r="N10" s="23">
        <f t="shared" ref="N10" si="39">(N9-M9)*1000</f>
        <v>31000</v>
      </c>
      <c r="O10" s="23">
        <f t="shared" ref="O10" si="40">(O9-N9)*1000</f>
        <v>33000</v>
      </c>
      <c r="P10" s="23">
        <f t="shared" ref="P10" si="41">(P9-O9)*1000</f>
        <v>33000</v>
      </c>
      <c r="Q10" s="23">
        <f t="shared" ref="Q10" si="42">(Q9-P9)*1000</f>
        <v>34000</v>
      </c>
      <c r="R10" s="23">
        <f t="shared" ref="R10" si="43">(R9-Q9)*1000</f>
        <v>32000</v>
      </c>
      <c r="S10" s="23">
        <f t="shared" ref="S10" si="44">(S9-R9)*1000</f>
        <v>32000</v>
      </c>
      <c r="T10" s="23">
        <f t="shared" ref="T10" si="45">(T9-S9)*1000</f>
        <v>32000</v>
      </c>
      <c r="U10" s="23">
        <f t="shared" ref="U10" si="46">(U9-T9)*1000</f>
        <v>31000</v>
      </c>
      <c r="V10" s="23">
        <f t="shared" ref="V10" si="47">(V9-U9)*1000</f>
        <v>34000</v>
      </c>
      <c r="W10" s="23">
        <f t="shared" ref="W10" si="48">(W9-V9)*1000</f>
        <v>33000</v>
      </c>
      <c r="X10" s="23">
        <f t="shared" ref="X10" si="49">(X9-W9)*1000</f>
        <v>34000</v>
      </c>
      <c r="Y10" s="23">
        <f t="shared" ref="Y10" si="50">(Y9-X9)*1000</f>
        <v>37000</v>
      </c>
      <c r="Z10" s="23">
        <f t="shared" ref="Z10" si="51">(Z9-Y9)*1000</f>
        <v>35000</v>
      </c>
      <c r="AA10" s="23">
        <f t="shared" ref="AA10" si="52">(AA9-Z9)*1000</f>
        <v>35000</v>
      </c>
      <c r="AB10" s="23">
        <f t="shared" ref="AB10" si="53">(AB9-AA9)*1000</f>
        <v>33000</v>
      </c>
      <c r="AC10" s="23">
        <f t="shared" ref="AC10" si="54">(AC9-AB9)*1000</f>
        <v>34000</v>
      </c>
      <c r="AD10" s="23">
        <f t="shared" ref="AD10" si="55">(AD9-AC9)*1000</f>
        <v>34000</v>
      </c>
      <c r="AE10" s="23">
        <f t="shared" ref="AE10" si="56">(AE9-AD9)*1000</f>
        <v>38000</v>
      </c>
      <c r="AF10" s="23">
        <f t="shared" ref="AF10" si="57">(AF9-AE9)*1000</f>
        <v>38000</v>
      </c>
      <c r="AG10" s="23">
        <f t="shared" ref="AG10" si="58">(AG9-AF9)*1000</f>
        <v>39000</v>
      </c>
      <c r="AH10" s="23">
        <f t="shared" ref="AH10" si="59">(AH9-AG9)*1000</f>
        <v>39000</v>
      </c>
      <c r="AI10" s="23">
        <f t="shared" ref="AI10" si="60">(AI9-AH9)*1000</f>
        <v>37000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7">
        <v>4</v>
      </c>
      <c r="B11" s="35" t="s">
        <v>23</v>
      </c>
      <c r="C11" s="83" t="s">
        <v>24</v>
      </c>
      <c r="D11" s="21">
        <v>66063</v>
      </c>
      <c r="E11" s="21">
        <v>66087</v>
      </c>
      <c r="F11" s="21">
        <v>66111</v>
      </c>
      <c r="G11" s="21">
        <v>66124</v>
      </c>
      <c r="H11" s="21">
        <v>66149</v>
      </c>
      <c r="I11" s="21">
        <v>66159</v>
      </c>
      <c r="J11" s="21">
        <v>66162</v>
      </c>
      <c r="K11" s="21">
        <v>66166</v>
      </c>
      <c r="L11" s="21">
        <v>66170</v>
      </c>
      <c r="M11" s="21">
        <v>66174</v>
      </c>
      <c r="N11" s="21">
        <v>66178</v>
      </c>
      <c r="O11" s="21">
        <v>66181</v>
      </c>
      <c r="P11" s="21">
        <v>66184</v>
      </c>
      <c r="Q11" s="21">
        <v>66188</v>
      </c>
      <c r="R11" s="21">
        <v>66192</v>
      </c>
      <c r="S11" s="21">
        <v>66197</v>
      </c>
      <c r="T11" s="21">
        <v>66202</v>
      </c>
      <c r="U11" s="21">
        <v>66208</v>
      </c>
      <c r="V11" s="21">
        <v>66214</v>
      </c>
      <c r="W11" s="21">
        <v>66219</v>
      </c>
      <c r="X11" s="21">
        <v>66224</v>
      </c>
      <c r="Y11" s="21">
        <v>66227</v>
      </c>
      <c r="Z11" s="21">
        <v>66230</v>
      </c>
      <c r="AA11" s="21">
        <v>66234</v>
      </c>
      <c r="AB11" s="21">
        <v>66237</v>
      </c>
      <c r="AC11" s="21">
        <v>66242</v>
      </c>
      <c r="AD11" s="21">
        <v>66246</v>
      </c>
      <c r="AE11" s="21">
        <v>66250</v>
      </c>
      <c r="AF11" s="21">
        <v>66252</v>
      </c>
      <c r="AG11" s="21">
        <v>66255</v>
      </c>
      <c r="AH11" s="21">
        <v>66257</v>
      </c>
      <c r="AI11" s="21">
        <v>66260</v>
      </c>
    </row>
    <row r="12" spans="1:67" s="37" customFormat="1" ht="21.75" customHeight="1" x14ac:dyDescent="0.2">
      <c r="A12" s="78"/>
      <c r="B12" s="36"/>
      <c r="C12" s="80"/>
      <c r="D12" s="23"/>
      <c r="E12" s="23">
        <f>(E11-D11)*1000</f>
        <v>24000</v>
      </c>
      <c r="F12" s="23">
        <f t="shared" ref="F12" si="61">(F11-E11)*1000</f>
        <v>24000</v>
      </c>
      <c r="G12" s="23">
        <f t="shared" ref="G12" si="62">(G11-F11)*1000</f>
        <v>13000</v>
      </c>
      <c r="H12" s="23">
        <f t="shared" ref="H12" si="63">(H11-G11)*1000</f>
        <v>25000</v>
      </c>
      <c r="I12" s="23">
        <f t="shared" ref="I12" si="64">(I11-H11)*1000</f>
        <v>10000</v>
      </c>
      <c r="J12" s="23">
        <f t="shared" ref="J12" si="65">(J11-I11)*1000</f>
        <v>3000</v>
      </c>
      <c r="K12" s="23">
        <f t="shared" ref="K12" si="66">(K11-J11)*1000</f>
        <v>4000</v>
      </c>
      <c r="L12" s="23">
        <f t="shared" ref="L12" si="67">(L11-K11)*1000</f>
        <v>4000</v>
      </c>
      <c r="M12" s="23">
        <f t="shared" ref="M12" si="68">(M11-L11)*1000</f>
        <v>4000</v>
      </c>
      <c r="N12" s="23">
        <f t="shared" ref="N12" si="69">(N11-M11)*1000</f>
        <v>4000</v>
      </c>
      <c r="O12" s="23">
        <f t="shared" ref="O12" si="70">(O11-N11)*1000</f>
        <v>3000</v>
      </c>
      <c r="P12" s="23">
        <f t="shared" ref="P12" si="71">(P11-O11)*1000</f>
        <v>3000</v>
      </c>
      <c r="Q12" s="23">
        <f t="shared" ref="Q12" si="72">(Q11-P11)*1000</f>
        <v>4000</v>
      </c>
      <c r="R12" s="23">
        <f t="shared" ref="R12" si="73">(R11-Q11)*1000</f>
        <v>4000</v>
      </c>
      <c r="S12" s="23">
        <f t="shared" ref="S12" si="74">(S11-R11)*1000</f>
        <v>5000</v>
      </c>
      <c r="T12" s="23">
        <f t="shared" ref="T12" si="75">(T11-S11)*1000</f>
        <v>5000</v>
      </c>
      <c r="U12" s="23">
        <f t="shared" ref="U12" si="76">(U11-T11)*1000</f>
        <v>6000</v>
      </c>
      <c r="V12" s="23">
        <f t="shared" ref="V12" si="77">(V11-U11)*1000</f>
        <v>6000</v>
      </c>
      <c r="W12" s="23">
        <f t="shared" ref="W12" si="78">(W11-V11)*1000</f>
        <v>5000</v>
      </c>
      <c r="X12" s="23">
        <f t="shared" ref="X12" si="79">(X11-W11)*1000</f>
        <v>5000</v>
      </c>
      <c r="Y12" s="23">
        <f t="shared" ref="Y12" si="80">(Y11-X11)*1000</f>
        <v>3000</v>
      </c>
      <c r="Z12" s="23">
        <f t="shared" ref="Z12" si="81">(Z11-Y11)*1000</f>
        <v>3000</v>
      </c>
      <c r="AA12" s="23">
        <f t="shared" ref="AA12" si="82">(AA11-Z11)*1000</f>
        <v>4000</v>
      </c>
      <c r="AB12" s="23">
        <f t="shared" ref="AB12" si="83">(AB11-AA11)*1000</f>
        <v>3000</v>
      </c>
      <c r="AC12" s="23">
        <f t="shared" ref="AC12" si="84">(AC11-AB11)*1000</f>
        <v>5000</v>
      </c>
      <c r="AD12" s="23">
        <f t="shared" ref="AD12" si="85">(AD11-AC11)*1000</f>
        <v>4000</v>
      </c>
      <c r="AE12" s="23">
        <f t="shared" ref="AE12" si="86">(AE11-AD11)*1000</f>
        <v>4000</v>
      </c>
      <c r="AF12" s="23">
        <f t="shared" ref="AF12" si="87">(AF11-AE11)*1000</f>
        <v>2000</v>
      </c>
      <c r="AG12" s="23">
        <f t="shared" ref="AG12" si="88">(AG11-AF11)*1000</f>
        <v>3000</v>
      </c>
      <c r="AH12" s="23">
        <f t="shared" ref="AH12" si="89">(AH11-AG11)*1000</f>
        <v>2000</v>
      </c>
      <c r="AI12" s="23">
        <f t="shared" ref="AI12" si="90">(AI11-AH11)*1000</f>
        <v>3000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81">
        <v>7</v>
      </c>
      <c r="B13" s="38" t="s">
        <v>25</v>
      </c>
      <c r="C13" s="79" t="s">
        <v>26</v>
      </c>
      <c r="D13" s="39">
        <v>2866</v>
      </c>
      <c r="E13" s="39">
        <v>2866</v>
      </c>
      <c r="F13" s="39">
        <v>2866</v>
      </c>
      <c r="G13" s="39">
        <v>2866</v>
      </c>
      <c r="H13" s="39">
        <v>2866</v>
      </c>
      <c r="I13" s="39">
        <v>2866</v>
      </c>
      <c r="J13" s="39">
        <v>2866</v>
      </c>
      <c r="K13" s="39">
        <v>2866</v>
      </c>
      <c r="L13" s="39">
        <v>2866</v>
      </c>
      <c r="M13" s="39">
        <v>2866</v>
      </c>
      <c r="N13" s="39">
        <v>2866</v>
      </c>
      <c r="O13" s="39">
        <v>2866</v>
      </c>
      <c r="P13" s="39">
        <v>2866</v>
      </c>
      <c r="Q13" s="39">
        <v>2866</v>
      </c>
      <c r="R13" s="39">
        <v>2866</v>
      </c>
      <c r="S13" s="39">
        <v>2866</v>
      </c>
      <c r="T13" s="39">
        <v>2866</v>
      </c>
      <c r="U13" s="39">
        <v>2866</v>
      </c>
      <c r="V13" s="39">
        <v>2866</v>
      </c>
      <c r="W13" s="39">
        <v>2866</v>
      </c>
      <c r="X13" s="39">
        <v>2866</v>
      </c>
      <c r="Y13" s="39">
        <v>2866</v>
      </c>
      <c r="Z13" s="39">
        <v>2866</v>
      </c>
      <c r="AA13" s="39">
        <v>2866</v>
      </c>
      <c r="AB13" s="39">
        <v>2866</v>
      </c>
      <c r="AC13" s="39">
        <v>2866</v>
      </c>
      <c r="AD13" s="39">
        <v>2866</v>
      </c>
      <c r="AE13" s="39">
        <v>2866</v>
      </c>
      <c r="AF13" s="39">
        <v>2866</v>
      </c>
      <c r="AG13" s="39">
        <v>2866</v>
      </c>
      <c r="AH13" s="39">
        <v>2866</v>
      </c>
      <c r="AI13" s="39">
        <v>2866</v>
      </c>
    </row>
    <row r="14" spans="1:67" s="24" customFormat="1" ht="21.75" customHeight="1" x14ac:dyDescent="0.2">
      <c r="A14" s="82"/>
      <c r="B14" s="40"/>
      <c r="C14" s="80"/>
      <c r="D14" s="41"/>
      <c r="E14" s="41">
        <f>E13-D13</f>
        <v>0</v>
      </c>
      <c r="F14" s="41">
        <f t="shared" ref="F14" si="91">F13-E13</f>
        <v>0</v>
      </c>
      <c r="G14" s="41">
        <f t="shared" ref="G14" si="92">G13-F13</f>
        <v>0</v>
      </c>
      <c r="H14" s="41">
        <f t="shared" ref="H14" si="93">H13-G13</f>
        <v>0</v>
      </c>
      <c r="I14" s="41">
        <f t="shared" ref="I14" si="94">I13-H13</f>
        <v>0</v>
      </c>
      <c r="J14" s="41">
        <f t="shared" ref="J14" si="95">J13-I13</f>
        <v>0</v>
      </c>
      <c r="K14" s="41">
        <f t="shared" ref="K14" si="96">K13-J13</f>
        <v>0</v>
      </c>
      <c r="L14" s="41">
        <f t="shared" ref="L14" si="97">L13-K13</f>
        <v>0</v>
      </c>
      <c r="M14" s="41">
        <f t="shared" ref="M14" si="98">M13-L13</f>
        <v>0</v>
      </c>
      <c r="N14" s="41">
        <f t="shared" ref="N14" si="99">N13-M13</f>
        <v>0</v>
      </c>
      <c r="O14" s="41">
        <f t="shared" ref="O14" si="100">O13-N13</f>
        <v>0</v>
      </c>
      <c r="P14" s="41">
        <f t="shared" ref="P14" si="101">P13-O13</f>
        <v>0</v>
      </c>
      <c r="Q14" s="41">
        <f t="shared" ref="Q14" si="102">Q13-P13</f>
        <v>0</v>
      </c>
      <c r="R14" s="41">
        <f t="shared" ref="R14" si="103">R13-Q13</f>
        <v>0</v>
      </c>
      <c r="S14" s="41">
        <f t="shared" ref="S14" si="104">S13-R13</f>
        <v>0</v>
      </c>
      <c r="T14" s="41">
        <f t="shared" ref="T14" si="105">T13-S13</f>
        <v>0</v>
      </c>
      <c r="U14" s="41">
        <f t="shared" ref="U14" si="106">U13-T13</f>
        <v>0</v>
      </c>
      <c r="V14" s="41">
        <f t="shared" ref="V14" si="107">V13-U13</f>
        <v>0</v>
      </c>
      <c r="W14" s="41">
        <f t="shared" ref="W14" si="108">W13-V13</f>
        <v>0</v>
      </c>
      <c r="X14" s="41">
        <f t="shared" ref="X14" si="109">X13-W13</f>
        <v>0</v>
      </c>
      <c r="Y14" s="41">
        <f t="shared" ref="Y14" si="110">Y13-X13</f>
        <v>0</v>
      </c>
      <c r="Z14" s="41">
        <f t="shared" ref="Z14" si="111">Z13-Y13</f>
        <v>0</v>
      </c>
      <c r="AA14" s="41">
        <f t="shared" ref="AA14" si="112">AA13-Z13</f>
        <v>0</v>
      </c>
      <c r="AB14" s="41">
        <f t="shared" ref="AB14" si="113">AB13-AA13</f>
        <v>0</v>
      </c>
      <c r="AC14" s="41">
        <f t="shared" ref="AC14" si="114">AC13-AB13</f>
        <v>0</v>
      </c>
      <c r="AD14" s="41">
        <f t="shared" ref="AD14" si="115">AD13-AC13</f>
        <v>0</v>
      </c>
      <c r="AE14" s="41">
        <f t="shared" ref="AE14" si="116">AE13-AD13</f>
        <v>0</v>
      </c>
      <c r="AF14" s="41">
        <f t="shared" ref="AF14" si="117">AF13-AE13</f>
        <v>0</v>
      </c>
      <c r="AG14" s="41">
        <f t="shared" ref="AG14" si="118">AG13-AF13</f>
        <v>0</v>
      </c>
      <c r="AH14" s="41">
        <f t="shared" ref="AH14" si="119">AH13-AG13</f>
        <v>0</v>
      </c>
      <c r="AI14" s="41">
        <f t="shared" ref="AI14" si="120"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7">
        <v>8</v>
      </c>
      <c r="B15" s="38" t="s">
        <v>27</v>
      </c>
      <c r="C15" s="79" t="s">
        <v>28</v>
      </c>
      <c r="D15" s="39">
        <v>259</v>
      </c>
      <c r="E15" s="39">
        <v>259</v>
      </c>
      <c r="F15" s="39">
        <v>259</v>
      </c>
      <c r="G15" s="39">
        <v>259</v>
      </c>
      <c r="H15" s="39">
        <v>259</v>
      </c>
      <c r="I15" s="39">
        <v>259</v>
      </c>
      <c r="J15" s="39">
        <v>259</v>
      </c>
      <c r="K15" s="39">
        <v>259</v>
      </c>
      <c r="L15" s="39">
        <v>259</v>
      </c>
      <c r="M15" s="39">
        <v>260</v>
      </c>
      <c r="N15" s="39">
        <v>260</v>
      </c>
      <c r="O15" s="39">
        <v>260</v>
      </c>
      <c r="P15" s="39">
        <v>260</v>
      </c>
      <c r="Q15" s="39">
        <v>260</v>
      </c>
      <c r="R15" s="39">
        <v>260</v>
      </c>
      <c r="S15" s="39">
        <v>260</v>
      </c>
      <c r="T15" s="39">
        <v>260</v>
      </c>
      <c r="U15" s="39">
        <v>260</v>
      </c>
      <c r="V15" s="39">
        <v>260</v>
      </c>
      <c r="W15" s="39">
        <v>260</v>
      </c>
      <c r="X15" s="39">
        <v>260</v>
      </c>
      <c r="Y15" s="39">
        <v>260</v>
      </c>
      <c r="Z15" s="39">
        <v>260</v>
      </c>
      <c r="AA15" s="39">
        <v>260</v>
      </c>
      <c r="AB15" s="39">
        <v>260</v>
      </c>
      <c r="AC15" s="39">
        <v>260</v>
      </c>
      <c r="AD15" s="39">
        <v>260</v>
      </c>
      <c r="AE15" s="39">
        <v>261</v>
      </c>
      <c r="AF15" s="39">
        <v>261</v>
      </c>
      <c r="AG15" s="39">
        <v>261</v>
      </c>
      <c r="AH15" s="39">
        <v>261</v>
      </c>
      <c r="AI15" s="39">
        <v>261</v>
      </c>
    </row>
    <row r="16" spans="1:67" s="24" customFormat="1" ht="21.75" customHeight="1" x14ac:dyDescent="0.2">
      <c r="A16" s="78"/>
      <c r="B16" s="40"/>
      <c r="C16" s="80"/>
      <c r="D16" s="41"/>
      <c r="E16" s="41">
        <f>E15-D15</f>
        <v>0</v>
      </c>
      <c r="F16" s="41">
        <f t="shared" ref="F16" si="121">F15-E15</f>
        <v>0</v>
      </c>
      <c r="G16" s="41">
        <f t="shared" ref="G16" si="122">G15-F15</f>
        <v>0</v>
      </c>
      <c r="H16" s="41">
        <f t="shared" ref="H16" si="123">H15-G15</f>
        <v>0</v>
      </c>
      <c r="I16" s="41">
        <f t="shared" ref="I16" si="124">I15-H15</f>
        <v>0</v>
      </c>
      <c r="J16" s="41">
        <f t="shared" ref="J16" si="125">J15-I15</f>
        <v>0</v>
      </c>
      <c r="K16" s="41">
        <f t="shared" ref="K16" si="126">K15-J15</f>
        <v>0</v>
      </c>
      <c r="L16" s="41">
        <f t="shared" ref="L16" si="127">L15-K15</f>
        <v>0</v>
      </c>
      <c r="M16" s="41">
        <f t="shared" ref="M16" si="128">M15-L15</f>
        <v>1</v>
      </c>
      <c r="N16" s="41">
        <f t="shared" ref="N16" si="129">N15-M15</f>
        <v>0</v>
      </c>
      <c r="O16" s="41">
        <f t="shared" ref="O16" si="130">O15-N15</f>
        <v>0</v>
      </c>
      <c r="P16" s="41">
        <f t="shared" ref="P16" si="131">P15-O15</f>
        <v>0</v>
      </c>
      <c r="Q16" s="41">
        <f t="shared" ref="Q16" si="132">Q15-P15</f>
        <v>0</v>
      </c>
      <c r="R16" s="41">
        <f t="shared" ref="R16" si="133">R15-Q15</f>
        <v>0</v>
      </c>
      <c r="S16" s="41">
        <f t="shared" ref="S16" si="134">S15-R15</f>
        <v>0</v>
      </c>
      <c r="T16" s="41">
        <f t="shared" ref="T16" si="135">T15-S15</f>
        <v>0</v>
      </c>
      <c r="U16" s="41">
        <f t="shared" ref="U16" si="136">U15-T15</f>
        <v>0</v>
      </c>
      <c r="V16" s="41">
        <f t="shared" ref="V16" si="137">V15-U15</f>
        <v>0</v>
      </c>
      <c r="W16" s="41">
        <f t="shared" ref="W16" si="138">W15-V15</f>
        <v>0</v>
      </c>
      <c r="X16" s="41">
        <f t="shared" ref="X16" si="139">X15-W15</f>
        <v>0</v>
      </c>
      <c r="Y16" s="41">
        <f t="shared" ref="Y16" si="140">Y15-X15</f>
        <v>0</v>
      </c>
      <c r="Z16" s="41">
        <f t="shared" ref="Z16" si="141">Z15-Y15</f>
        <v>0</v>
      </c>
      <c r="AA16" s="41">
        <f t="shared" ref="AA16" si="142">AA15-Z15</f>
        <v>0</v>
      </c>
      <c r="AB16" s="41">
        <f t="shared" ref="AB16" si="143">AB15-AA15</f>
        <v>0</v>
      </c>
      <c r="AC16" s="41">
        <f t="shared" ref="AC16" si="144">AC15-AB15</f>
        <v>0</v>
      </c>
      <c r="AD16" s="41">
        <f t="shared" ref="AD16" si="145">AD15-AC15</f>
        <v>0</v>
      </c>
      <c r="AE16" s="41">
        <f t="shared" ref="AE16" si="146">AE15-AD15</f>
        <v>1</v>
      </c>
      <c r="AF16" s="41">
        <f t="shared" ref="AF16" si="147">AF15-AE15</f>
        <v>0</v>
      </c>
      <c r="AG16" s="41">
        <f t="shared" ref="AG16" si="148">AG15-AF15</f>
        <v>0</v>
      </c>
      <c r="AH16" s="41">
        <f t="shared" ref="AH16" si="149">AH15-AG15</f>
        <v>0</v>
      </c>
      <c r="AI16" s="41">
        <f t="shared" ref="AI16" si="150">AI15-AH15</f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7">
        <v>13</v>
      </c>
      <c r="B17" s="38" t="s">
        <v>29</v>
      </c>
      <c r="C17" s="79" t="s">
        <v>30</v>
      </c>
      <c r="D17" s="39">
        <v>987383</v>
      </c>
      <c r="E17" s="39">
        <v>987687</v>
      </c>
      <c r="F17" s="39">
        <v>987979</v>
      </c>
      <c r="G17" s="39">
        <v>988274</v>
      </c>
      <c r="H17" s="39">
        <v>988571</v>
      </c>
      <c r="I17" s="39">
        <v>988909</v>
      </c>
      <c r="J17" s="39">
        <v>989203</v>
      </c>
      <c r="K17" s="39">
        <v>989485</v>
      </c>
      <c r="L17" s="39">
        <v>989748</v>
      </c>
      <c r="M17" s="39">
        <v>990020</v>
      </c>
      <c r="N17" s="39">
        <v>990292</v>
      </c>
      <c r="O17" s="39">
        <v>990563</v>
      </c>
      <c r="P17" s="39">
        <v>990835</v>
      </c>
      <c r="Q17" s="39">
        <v>991090</v>
      </c>
      <c r="R17" s="39">
        <v>991386</v>
      </c>
      <c r="S17" s="39">
        <v>991678</v>
      </c>
      <c r="T17" s="39">
        <v>991980</v>
      </c>
      <c r="U17" s="39">
        <v>992290</v>
      </c>
      <c r="V17" s="39">
        <v>992576</v>
      </c>
      <c r="W17" s="39">
        <v>992874</v>
      </c>
      <c r="X17" s="39">
        <v>993173</v>
      </c>
      <c r="Y17" s="39">
        <v>993465</v>
      </c>
      <c r="Z17" s="39">
        <v>993782</v>
      </c>
      <c r="AA17" s="39">
        <v>994062</v>
      </c>
      <c r="AB17" s="39">
        <v>994347</v>
      </c>
      <c r="AC17" s="39">
        <v>994645</v>
      </c>
      <c r="AD17" s="39">
        <v>994939</v>
      </c>
      <c r="AE17" s="39">
        <v>995249</v>
      </c>
      <c r="AF17" s="39">
        <v>995530</v>
      </c>
      <c r="AG17" s="39">
        <v>995774</v>
      </c>
      <c r="AH17" s="39">
        <v>996090</v>
      </c>
      <c r="AI17" s="39">
        <v>996375</v>
      </c>
    </row>
    <row r="18" spans="1:35" ht="21.75" customHeight="1" x14ac:dyDescent="0.2">
      <c r="A18" s="85"/>
      <c r="B18" s="42"/>
      <c r="C18" s="86"/>
      <c r="D18" s="41"/>
      <c r="E18" s="41">
        <f>E17-D17</f>
        <v>304</v>
      </c>
      <c r="F18" s="41">
        <f t="shared" ref="F18" si="151">F17-E17</f>
        <v>292</v>
      </c>
      <c r="G18" s="41">
        <f t="shared" ref="G18" si="152">G17-F17</f>
        <v>295</v>
      </c>
      <c r="H18" s="41">
        <f t="shared" ref="H18" si="153">H17-G17</f>
        <v>297</v>
      </c>
      <c r="I18" s="41">
        <f t="shared" ref="I18" si="154">I17-H17</f>
        <v>338</v>
      </c>
      <c r="J18" s="41">
        <f t="shared" ref="J18" si="155">J17-I17</f>
        <v>294</v>
      </c>
      <c r="K18" s="41">
        <f t="shared" ref="K18" si="156">K17-J17</f>
        <v>282</v>
      </c>
      <c r="L18" s="41">
        <f t="shared" ref="L18" si="157">L17-K17</f>
        <v>263</v>
      </c>
      <c r="M18" s="41">
        <f t="shared" ref="M18" si="158">M17-L17</f>
        <v>272</v>
      </c>
      <c r="N18" s="41">
        <f t="shared" ref="N18" si="159">N17-M17</f>
        <v>272</v>
      </c>
      <c r="O18" s="41">
        <f t="shared" ref="O18" si="160">O17-N17</f>
        <v>271</v>
      </c>
      <c r="P18" s="41">
        <f t="shared" ref="P18" si="161">P17-O17</f>
        <v>272</v>
      </c>
      <c r="Q18" s="41">
        <f t="shared" ref="Q18" si="162">Q17-P17</f>
        <v>255</v>
      </c>
      <c r="R18" s="41">
        <f t="shared" ref="R18" si="163">R17-Q17</f>
        <v>296</v>
      </c>
      <c r="S18" s="41">
        <f t="shared" ref="S18" si="164">S17-R17</f>
        <v>292</v>
      </c>
      <c r="T18" s="41">
        <f t="shared" ref="T18" si="165">T17-S17</f>
        <v>302</v>
      </c>
      <c r="U18" s="41">
        <f t="shared" ref="U18" si="166">U17-T17</f>
        <v>310</v>
      </c>
      <c r="V18" s="41">
        <f t="shared" ref="V18" si="167">V17-U17</f>
        <v>286</v>
      </c>
      <c r="W18" s="41">
        <f t="shared" ref="W18" si="168">W17-V17</f>
        <v>298</v>
      </c>
      <c r="X18" s="41">
        <f t="shared" ref="X18" si="169">X17-W17</f>
        <v>299</v>
      </c>
      <c r="Y18" s="41">
        <f t="shared" ref="Y18" si="170">Y17-X17</f>
        <v>292</v>
      </c>
      <c r="Z18" s="41">
        <f t="shared" ref="Z18" si="171">Z17-Y17</f>
        <v>317</v>
      </c>
      <c r="AA18" s="41">
        <f t="shared" ref="AA18" si="172">AA17-Z17</f>
        <v>280</v>
      </c>
      <c r="AB18" s="41">
        <f t="shared" ref="AB18" si="173">AB17-AA17</f>
        <v>285</v>
      </c>
      <c r="AC18" s="41">
        <f t="shared" ref="AC18" si="174">AC17-AB17</f>
        <v>298</v>
      </c>
      <c r="AD18" s="41">
        <f t="shared" ref="AD18" si="175">AD17-AC17</f>
        <v>294</v>
      </c>
      <c r="AE18" s="41">
        <f t="shared" ref="AE18" si="176">AE17-AD17</f>
        <v>310</v>
      </c>
      <c r="AF18" s="41">
        <f t="shared" ref="AF18" si="177">AF17-AE17</f>
        <v>281</v>
      </c>
      <c r="AG18" s="41">
        <f t="shared" ref="AG18" si="178">AG17-AF17</f>
        <v>244</v>
      </c>
      <c r="AH18" s="41">
        <f t="shared" ref="AH18" si="179">AH17-AG17</f>
        <v>316</v>
      </c>
      <c r="AI18" s="41">
        <f t="shared" ref="AI18" si="180">AI17-AH17</f>
        <v>285</v>
      </c>
    </row>
    <row r="19" spans="1:35" ht="21.75" customHeight="1" x14ac:dyDescent="0.2">
      <c r="A19" s="87">
        <v>14</v>
      </c>
      <c r="B19" s="38" t="s">
        <v>31</v>
      </c>
      <c r="C19" s="79" t="s">
        <v>32</v>
      </c>
      <c r="D19" s="39">
        <v>296069</v>
      </c>
      <c r="E19" s="39">
        <v>296128</v>
      </c>
      <c r="F19" s="39">
        <v>296185</v>
      </c>
      <c r="G19" s="39">
        <v>296234</v>
      </c>
      <c r="H19" s="39">
        <v>296297</v>
      </c>
      <c r="I19" s="39">
        <v>296354</v>
      </c>
      <c r="J19" s="39">
        <v>296412</v>
      </c>
      <c r="K19" s="39">
        <v>296470</v>
      </c>
      <c r="L19" s="39">
        <v>296529</v>
      </c>
      <c r="M19" s="39">
        <v>296586</v>
      </c>
      <c r="N19" s="39">
        <v>296644</v>
      </c>
      <c r="O19" s="39">
        <v>296702</v>
      </c>
      <c r="P19" s="39">
        <v>296760</v>
      </c>
      <c r="Q19" s="39">
        <v>296816</v>
      </c>
      <c r="R19" s="39">
        <v>296872</v>
      </c>
      <c r="S19" s="39">
        <v>296929</v>
      </c>
      <c r="T19" s="39">
        <v>296984</v>
      </c>
      <c r="U19" s="39">
        <v>297038</v>
      </c>
      <c r="V19" s="39">
        <v>297090</v>
      </c>
      <c r="W19" s="39">
        <v>297146</v>
      </c>
      <c r="X19" s="39">
        <v>297201</v>
      </c>
      <c r="Y19" s="39">
        <v>297257</v>
      </c>
      <c r="Z19" s="39">
        <v>297310</v>
      </c>
      <c r="AA19" s="39">
        <v>297365</v>
      </c>
      <c r="AB19" s="39">
        <v>297420</v>
      </c>
      <c r="AC19" s="39">
        <v>297478</v>
      </c>
      <c r="AD19" s="39">
        <v>297529</v>
      </c>
      <c r="AE19" s="39">
        <v>297584</v>
      </c>
      <c r="AF19" s="39">
        <v>297638</v>
      </c>
      <c r="AG19" s="39">
        <v>297696</v>
      </c>
      <c r="AH19" s="39">
        <v>297751</v>
      </c>
      <c r="AI19" s="39">
        <v>297806</v>
      </c>
    </row>
    <row r="20" spans="1:35" ht="21.75" customHeight="1" x14ac:dyDescent="0.2">
      <c r="A20" s="82"/>
      <c r="B20" s="42"/>
      <c r="C20" s="86"/>
      <c r="D20" s="41"/>
      <c r="E20" s="41">
        <f>E19-D19</f>
        <v>59</v>
      </c>
      <c r="F20" s="41">
        <f t="shared" ref="F20:AI20" si="181">F19-E19</f>
        <v>57</v>
      </c>
      <c r="G20" s="41">
        <f t="shared" si="181"/>
        <v>49</v>
      </c>
      <c r="H20" s="41">
        <f t="shared" si="181"/>
        <v>63</v>
      </c>
      <c r="I20" s="41">
        <f t="shared" si="181"/>
        <v>57</v>
      </c>
      <c r="J20" s="41">
        <f t="shared" si="181"/>
        <v>58</v>
      </c>
      <c r="K20" s="41">
        <f t="shared" si="181"/>
        <v>58</v>
      </c>
      <c r="L20" s="41">
        <f t="shared" si="181"/>
        <v>59</v>
      </c>
      <c r="M20" s="41">
        <f t="shared" si="181"/>
        <v>57</v>
      </c>
      <c r="N20" s="41">
        <f t="shared" si="181"/>
        <v>58</v>
      </c>
      <c r="O20" s="41">
        <f t="shared" si="181"/>
        <v>58</v>
      </c>
      <c r="P20" s="41">
        <f t="shared" si="181"/>
        <v>58</v>
      </c>
      <c r="Q20" s="41">
        <f t="shared" si="181"/>
        <v>56</v>
      </c>
      <c r="R20" s="41">
        <f t="shared" si="181"/>
        <v>56</v>
      </c>
      <c r="S20" s="41">
        <f t="shared" si="181"/>
        <v>57</v>
      </c>
      <c r="T20" s="41">
        <f t="shared" si="181"/>
        <v>55</v>
      </c>
      <c r="U20" s="41">
        <f t="shared" si="181"/>
        <v>54</v>
      </c>
      <c r="V20" s="41">
        <f t="shared" si="181"/>
        <v>52</v>
      </c>
      <c r="W20" s="41">
        <f t="shared" si="181"/>
        <v>56</v>
      </c>
      <c r="X20" s="41">
        <f t="shared" si="181"/>
        <v>55</v>
      </c>
      <c r="Y20" s="41">
        <f t="shared" si="181"/>
        <v>56</v>
      </c>
      <c r="Z20" s="41">
        <f t="shared" si="181"/>
        <v>53</v>
      </c>
      <c r="AA20" s="41">
        <f t="shared" si="181"/>
        <v>55</v>
      </c>
      <c r="AB20" s="41">
        <f t="shared" si="181"/>
        <v>55</v>
      </c>
      <c r="AC20" s="41">
        <f t="shared" si="181"/>
        <v>58</v>
      </c>
      <c r="AD20" s="41">
        <f t="shared" si="181"/>
        <v>51</v>
      </c>
      <c r="AE20" s="41">
        <f t="shared" si="181"/>
        <v>55</v>
      </c>
      <c r="AF20" s="41">
        <f t="shared" si="181"/>
        <v>54</v>
      </c>
      <c r="AG20" s="41">
        <f t="shared" si="181"/>
        <v>58</v>
      </c>
      <c r="AH20" s="41">
        <f t="shared" si="181"/>
        <v>55</v>
      </c>
      <c r="AI20" s="41">
        <f t="shared" si="181"/>
        <v>55</v>
      </c>
    </row>
    <row r="21" spans="1:35" ht="27" customHeight="1" x14ac:dyDescent="0.3">
      <c r="B21" s="88" t="s">
        <v>33</v>
      </c>
      <c r="C21" s="88"/>
      <c r="D21" s="43"/>
      <c r="E21" s="58">
        <f>((E6+E8)+((E10+E12)*40%)+(E14+E16+E18+E20))</f>
        <v>38763</v>
      </c>
      <c r="F21" s="58">
        <f t="shared" ref="F21:AI21" si="182">((F6+F8)+((F10+F12)*40%)+(F14+F16+F18+F20))</f>
        <v>36149</v>
      </c>
      <c r="G21" s="58">
        <f t="shared" si="182"/>
        <v>36544</v>
      </c>
      <c r="H21" s="58">
        <f t="shared" si="182"/>
        <v>35560</v>
      </c>
      <c r="I21" s="58">
        <f t="shared" si="182"/>
        <v>35995</v>
      </c>
      <c r="J21" s="58">
        <f t="shared" si="182"/>
        <v>36752</v>
      </c>
      <c r="K21" s="58">
        <f t="shared" si="182"/>
        <v>35740</v>
      </c>
      <c r="L21" s="58">
        <f t="shared" si="182"/>
        <v>35322</v>
      </c>
      <c r="M21" s="58">
        <f t="shared" si="182"/>
        <v>36930</v>
      </c>
      <c r="N21" s="58">
        <f t="shared" si="182"/>
        <v>34330</v>
      </c>
      <c r="O21" s="58">
        <f t="shared" si="182"/>
        <v>35729</v>
      </c>
      <c r="P21" s="58">
        <f t="shared" si="182"/>
        <v>36730</v>
      </c>
      <c r="Q21" s="58">
        <f t="shared" si="182"/>
        <v>37511</v>
      </c>
      <c r="R21" s="58">
        <f t="shared" si="182"/>
        <v>36752</v>
      </c>
      <c r="S21" s="58">
        <f t="shared" si="182"/>
        <v>36149</v>
      </c>
      <c r="T21" s="58">
        <f t="shared" si="182"/>
        <v>38157</v>
      </c>
      <c r="U21" s="58">
        <f t="shared" si="182"/>
        <v>36164</v>
      </c>
      <c r="V21" s="58">
        <f t="shared" si="182"/>
        <v>37338</v>
      </c>
      <c r="W21" s="58">
        <f t="shared" si="182"/>
        <v>37554</v>
      </c>
      <c r="X21" s="58">
        <f t="shared" si="182"/>
        <v>37954</v>
      </c>
      <c r="Y21" s="58">
        <f t="shared" si="182"/>
        <v>39348</v>
      </c>
      <c r="Z21" s="58">
        <f t="shared" si="182"/>
        <v>38570</v>
      </c>
      <c r="AA21" s="58">
        <f t="shared" si="182"/>
        <v>38935</v>
      </c>
      <c r="AB21" s="58">
        <f t="shared" si="182"/>
        <v>34740</v>
      </c>
      <c r="AC21" s="58">
        <f t="shared" si="182"/>
        <v>37956</v>
      </c>
      <c r="AD21" s="58">
        <f t="shared" si="182"/>
        <v>35545</v>
      </c>
      <c r="AE21" s="58">
        <f t="shared" si="182"/>
        <v>39166</v>
      </c>
      <c r="AF21" s="58">
        <f t="shared" si="182"/>
        <v>39335</v>
      </c>
      <c r="AG21" s="58">
        <f t="shared" si="182"/>
        <v>40102</v>
      </c>
      <c r="AH21" s="58">
        <f t="shared" si="182"/>
        <v>38771</v>
      </c>
      <c r="AI21" s="58">
        <f t="shared" si="182"/>
        <v>37340</v>
      </c>
    </row>
    <row r="22" spans="1:35" ht="27" customHeight="1" x14ac:dyDescent="0.3">
      <c r="B22" s="84" t="s">
        <v>34</v>
      </c>
      <c r="C22" s="84"/>
      <c r="D22" s="43"/>
      <c r="E22" s="58">
        <f>SUM(E21:AI21)</f>
        <v>1151931</v>
      </c>
      <c r="F22" s="44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4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85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 t="s">
        <v>67</v>
      </c>
    </row>
    <row r="5" spans="1:42" s="8" customFormat="1" ht="40.5" customHeight="1" x14ac:dyDescent="0.25">
      <c r="A5" s="94" t="s">
        <v>37</v>
      </c>
      <c r="B5" s="27" t="s">
        <v>68</v>
      </c>
      <c r="C5" s="96" t="s">
        <v>69</v>
      </c>
      <c r="D5" s="63">
        <v>73336.399999999994</v>
      </c>
      <c r="E5" s="64">
        <v>73588.5</v>
      </c>
      <c r="F5" s="64">
        <v>73803.3</v>
      </c>
      <c r="G5" s="64">
        <v>74015.5</v>
      </c>
      <c r="H5" s="64">
        <v>74196.5</v>
      </c>
      <c r="I5" s="64">
        <v>74364.5</v>
      </c>
      <c r="J5" s="64">
        <v>74506</v>
      </c>
      <c r="K5" s="63">
        <v>74623.8</v>
      </c>
      <c r="L5" s="63">
        <v>74783.199999999997</v>
      </c>
      <c r="M5" s="63">
        <v>74946</v>
      </c>
      <c r="N5" s="63">
        <v>75090</v>
      </c>
      <c r="O5" s="63">
        <v>75244.399999999994</v>
      </c>
      <c r="P5" s="63">
        <v>75399</v>
      </c>
      <c r="Q5" s="63">
        <v>75563.5</v>
      </c>
      <c r="R5" s="63">
        <v>75738.600000000006</v>
      </c>
      <c r="S5" s="63">
        <v>75913.5</v>
      </c>
      <c r="T5" s="63">
        <v>76062.899999999994</v>
      </c>
      <c r="U5" s="63">
        <v>76200.2</v>
      </c>
      <c r="V5" s="63">
        <v>76344</v>
      </c>
      <c r="W5" s="63">
        <v>76509.7</v>
      </c>
      <c r="X5" s="63">
        <v>76631</v>
      </c>
      <c r="Y5" s="63">
        <v>76797</v>
      </c>
      <c r="Z5" s="63">
        <v>76962.8</v>
      </c>
      <c r="AA5" s="63">
        <v>77146.399999999994</v>
      </c>
      <c r="AB5" s="63">
        <v>77294.7</v>
      </c>
      <c r="AC5" s="63">
        <v>77460.3</v>
      </c>
      <c r="AD5" s="63">
        <v>77613.399999999994</v>
      </c>
      <c r="AE5" s="63">
        <v>77773.8</v>
      </c>
      <c r="AF5" s="63">
        <v>77947.7</v>
      </c>
      <c r="AG5" s="63">
        <v>78110.399999999994</v>
      </c>
      <c r="AH5" s="63">
        <v>78259.399999999994</v>
      </c>
      <c r="AI5" s="63">
        <v>78424.7</v>
      </c>
    </row>
    <row r="6" spans="1:42" s="33" customFormat="1" ht="25.7" customHeight="1" x14ac:dyDescent="0.25">
      <c r="A6" s="95"/>
      <c r="B6" s="32"/>
      <c r="C6" s="96"/>
      <c r="D6" s="65"/>
      <c r="E6" s="65">
        <f t="shared" ref="E6:AI6" si="0">E5-D5</f>
        <v>252.10000000000582</v>
      </c>
      <c r="F6" s="65">
        <f t="shared" si="0"/>
        <v>214.80000000000291</v>
      </c>
      <c r="G6" s="65">
        <f t="shared" si="0"/>
        <v>212.19999999999709</v>
      </c>
      <c r="H6" s="65">
        <f t="shared" si="0"/>
        <v>181</v>
      </c>
      <c r="I6" s="65">
        <f t="shared" si="0"/>
        <v>168</v>
      </c>
      <c r="J6" s="65">
        <f t="shared" si="0"/>
        <v>141.5</v>
      </c>
      <c r="K6" s="65">
        <f t="shared" si="0"/>
        <v>117.80000000000291</v>
      </c>
      <c r="L6" s="65">
        <f t="shared" si="0"/>
        <v>159.39999999999418</v>
      </c>
      <c r="M6" s="65">
        <f t="shared" si="0"/>
        <v>162.80000000000291</v>
      </c>
      <c r="N6" s="65">
        <f t="shared" si="0"/>
        <v>144</v>
      </c>
      <c r="O6" s="65">
        <f t="shared" si="0"/>
        <v>154.39999999999418</v>
      </c>
      <c r="P6" s="65">
        <f t="shared" si="0"/>
        <v>154.60000000000582</v>
      </c>
      <c r="Q6" s="65">
        <f t="shared" si="0"/>
        <v>164.5</v>
      </c>
      <c r="R6" s="65">
        <f t="shared" si="0"/>
        <v>175.10000000000582</v>
      </c>
      <c r="S6" s="65">
        <f t="shared" si="0"/>
        <v>174.89999999999418</v>
      </c>
      <c r="T6" s="65">
        <f t="shared" si="0"/>
        <v>149.39999999999418</v>
      </c>
      <c r="U6" s="65">
        <f t="shared" si="0"/>
        <v>137.30000000000291</v>
      </c>
      <c r="V6" s="65">
        <f t="shared" si="0"/>
        <v>143.80000000000291</v>
      </c>
      <c r="W6" s="65">
        <f t="shared" si="0"/>
        <v>165.69999999999709</v>
      </c>
      <c r="X6" s="65">
        <f t="shared" si="0"/>
        <v>121.30000000000291</v>
      </c>
      <c r="Y6" s="65">
        <f t="shared" si="0"/>
        <v>166</v>
      </c>
      <c r="Z6" s="65">
        <f t="shared" si="0"/>
        <v>165.80000000000291</v>
      </c>
      <c r="AA6" s="65">
        <f t="shared" si="0"/>
        <v>183.59999999999127</v>
      </c>
      <c r="AB6" s="65">
        <f t="shared" si="0"/>
        <v>148.30000000000291</v>
      </c>
      <c r="AC6" s="65">
        <f t="shared" si="0"/>
        <v>165.60000000000582</v>
      </c>
      <c r="AD6" s="65">
        <f t="shared" si="0"/>
        <v>153.09999999999127</v>
      </c>
      <c r="AE6" s="65">
        <f t="shared" si="0"/>
        <v>160.40000000000873</v>
      </c>
      <c r="AF6" s="65">
        <f t="shared" si="0"/>
        <v>173.89999999999418</v>
      </c>
      <c r="AG6" s="65">
        <f t="shared" si="0"/>
        <v>162.69999999999709</v>
      </c>
      <c r="AH6" s="65">
        <f t="shared" si="0"/>
        <v>149</v>
      </c>
      <c r="AI6" s="65">
        <f t="shared" si="0"/>
        <v>165.30000000000291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4" t="s">
        <v>39</v>
      </c>
      <c r="B7" s="48" t="s">
        <v>70</v>
      </c>
      <c r="C7" s="96" t="s">
        <v>71</v>
      </c>
      <c r="D7" s="64">
        <v>75699.8</v>
      </c>
      <c r="E7" s="64">
        <v>76015.7</v>
      </c>
      <c r="F7" s="64">
        <v>76262.5</v>
      </c>
      <c r="G7" s="64">
        <v>76427.5</v>
      </c>
      <c r="H7" s="64">
        <v>76676.399999999994</v>
      </c>
      <c r="I7" s="64">
        <v>77012.5</v>
      </c>
      <c r="J7" s="64">
        <v>77348</v>
      </c>
      <c r="K7" s="64">
        <v>77599.8</v>
      </c>
      <c r="L7" s="64">
        <v>77857.7</v>
      </c>
      <c r="M7" s="64">
        <v>78152.5</v>
      </c>
      <c r="N7" s="64">
        <v>78325.899999999994</v>
      </c>
      <c r="O7" s="64">
        <v>78616.899999999994</v>
      </c>
      <c r="P7" s="64">
        <v>78925.100000000006</v>
      </c>
      <c r="Q7" s="64">
        <v>79220.3</v>
      </c>
      <c r="R7" s="64">
        <v>79501.2</v>
      </c>
      <c r="S7" s="64">
        <v>79787.3</v>
      </c>
      <c r="T7" s="64">
        <v>80057.100000000006</v>
      </c>
      <c r="U7" s="64">
        <v>80249.8</v>
      </c>
      <c r="V7" s="64">
        <v>80535</v>
      </c>
      <c r="W7" s="64">
        <v>80843</v>
      </c>
      <c r="X7" s="64">
        <v>81148.5</v>
      </c>
      <c r="Y7" s="64">
        <v>81455.600000000006</v>
      </c>
      <c r="Z7" s="64">
        <v>81699</v>
      </c>
      <c r="AA7" s="64">
        <v>81919</v>
      </c>
      <c r="AB7" s="64">
        <v>82176</v>
      </c>
      <c r="AC7" s="64">
        <v>82474.8</v>
      </c>
      <c r="AD7" s="64">
        <v>82826.8</v>
      </c>
      <c r="AE7" s="64">
        <v>83198</v>
      </c>
      <c r="AF7" s="64">
        <v>83538.7</v>
      </c>
      <c r="AG7" s="64">
        <v>83869.399999999994</v>
      </c>
      <c r="AH7" s="64">
        <v>84211</v>
      </c>
      <c r="AI7" s="64">
        <v>84426.6</v>
      </c>
    </row>
    <row r="8" spans="1:42" s="33" customFormat="1" ht="25.7" customHeight="1" x14ac:dyDescent="0.25">
      <c r="A8" s="95"/>
      <c r="B8" s="46"/>
      <c r="C8" s="96"/>
      <c r="D8" s="65"/>
      <c r="E8" s="65">
        <f>E7-D7</f>
        <v>315.89999999999418</v>
      </c>
      <c r="F8" s="65">
        <f t="shared" ref="F8:AI8" si="1">F7-E7</f>
        <v>246.80000000000291</v>
      </c>
      <c r="G8" s="65">
        <f t="shared" si="1"/>
        <v>165</v>
      </c>
      <c r="H8" s="65">
        <f t="shared" si="1"/>
        <v>248.89999999999418</v>
      </c>
      <c r="I8" s="65">
        <f t="shared" si="1"/>
        <v>336.10000000000582</v>
      </c>
      <c r="J8" s="65">
        <f t="shared" si="1"/>
        <v>335.5</v>
      </c>
      <c r="K8" s="65">
        <f t="shared" si="1"/>
        <v>251.80000000000291</v>
      </c>
      <c r="L8" s="65">
        <f t="shared" si="1"/>
        <v>257.89999999999418</v>
      </c>
      <c r="M8" s="65">
        <f t="shared" si="1"/>
        <v>294.80000000000291</v>
      </c>
      <c r="N8" s="65">
        <f t="shared" si="1"/>
        <v>173.39999999999418</v>
      </c>
      <c r="O8" s="65">
        <f t="shared" si="1"/>
        <v>291</v>
      </c>
      <c r="P8" s="65">
        <f t="shared" si="1"/>
        <v>308.20000000001164</v>
      </c>
      <c r="Q8" s="65">
        <f t="shared" si="1"/>
        <v>295.19999999999709</v>
      </c>
      <c r="R8" s="65">
        <f t="shared" si="1"/>
        <v>280.89999999999418</v>
      </c>
      <c r="S8" s="65">
        <f t="shared" si="1"/>
        <v>286.10000000000582</v>
      </c>
      <c r="T8" s="65">
        <f t="shared" si="1"/>
        <v>269.80000000000291</v>
      </c>
      <c r="U8" s="65">
        <f t="shared" si="1"/>
        <v>192.69999999999709</v>
      </c>
      <c r="V8" s="65">
        <f t="shared" si="1"/>
        <v>285.19999999999709</v>
      </c>
      <c r="W8" s="65">
        <f t="shared" si="1"/>
        <v>308</v>
      </c>
      <c r="X8" s="65">
        <f t="shared" si="1"/>
        <v>305.5</v>
      </c>
      <c r="Y8" s="65">
        <f t="shared" si="1"/>
        <v>307.10000000000582</v>
      </c>
      <c r="Z8" s="65">
        <f t="shared" si="1"/>
        <v>243.39999999999418</v>
      </c>
      <c r="AA8" s="65">
        <f t="shared" si="1"/>
        <v>220</v>
      </c>
      <c r="AB8" s="65">
        <f t="shared" si="1"/>
        <v>257</v>
      </c>
      <c r="AC8" s="65">
        <f t="shared" si="1"/>
        <v>298.80000000000291</v>
      </c>
      <c r="AD8" s="65">
        <f t="shared" si="1"/>
        <v>352</v>
      </c>
      <c r="AE8" s="65">
        <f t="shared" si="1"/>
        <v>371.19999999999709</v>
      </c>
      <c r="AF8" s="65">
        <f t="shared" si="1"/>
        <v>340.69999999999709</v>
      </c>
      <c r="AG8" s="65">
        <f t="shared" si="1"/>
        <v>330.69999999999709</v>
      </c>
      <c r="AH8" s="65">
        <f t="shared" si="1"/>
        <v>341.60000000000582</v>
      </c>
      <c r="AI8" s="65">
        <f t="shared" si="1"/>
        <v>215.60000000000582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4">
        <v>4</v>
      </c>
      <c r="B9" s="45" t="s">
        <v>72</v>
      </c>
      <c r="C9" s="96" t="s">
        <v>73</v>
      </c>
      <c r="D9" s="66">
        <v>17994</v>
      </c>
      <c r="E9" s="66">
        <v>18118</v>
      </c>
      <c r="F9" s="66">
        <v>18235</v>
      </c>
      <c r="G9" s="66">
        <v>18236</v>
      </c>
      <c r="H9" s="66">
        <v>18420</v>
      </c>
      <c r="I9" s="66">
        <v>18448</v>
      </c>
      <c r="J9" s="66">
        <v>18544</v>
      </c>
      <c r="K9" s="66">
        <v>18622</v>
      </c>
      <c r="L9" s="66">
        <v>18707</v>
      </c>
      <c r="M9" s="66">
        <v>18810</v>
      </c>
      <c r="N9" s="66">
        <v>18811</v>
      </c>
      <c r="O9" s="66">
        <v>18919</v>
      </c>
      <c r="P9" s="66">
        <v>19031</v>
      </c>
      <c r="Q9" s="66">
        <v>19129</v>
      </c>
      <c r="R9" s="66">
        <v>19234</v>
      </c>
      <c r="S9" s="66">
        <v>19332</v>
      </c>
      <c r="T9" s="66">
        <v>19424</v>
      </c>
      <c r="U9" s="66">
        <v>19424</v>
      </c>
      <c r="V9" s="66">
        <v>19500</v>
      </c>
      <c r="W9" s="66">
        <v>19528</v>
      </c>
      <c r="X9" s="66">
        <v>19725</v>
      </c>
      <c r="Y9" s="66">
        <v>19833</v>
      </c>
      <c r="Z9" s="66">
        <v>19879</v>
      </c>
      <c r="AA9" s="66">
        <v>19981</v>
      </c>
      <c r="AB9" s="66">
        <v>19981</v>
      </c>
      <c r="AC9" s="66">
        <v>20085</v>
      </c>
      <c r="AD9" s="66">
        <v>20205</v>
      </c>
      <c r="AE9" s="66">
        <v>20318</v>
      </c>
      <c r="AF9" s="66">
        <v>20440</v>
      </c>
      <c r="AG9" s="66">
        <v>20551</v>
      </c>
      <c r="AH9" s="66">
        <v>20663</v>
      </c>
      <c r="AI9" s="66">
        <v>20663</v>
      </c>
    </row>
    <row r="10" spans="1:42" s="33" customFormat="1" ht="25.7" customHeight="1" x14ac:dyDescent="0.25">
      <c r="A10" s="95"/>
      <c r="B10" s="46"/>
      <c r="C10" s="96"/>
      <c r="D10" s="65"/>
      <c r="E10" s="65">
        <f t="shared" ref="E10:AI14" si="2">E9-D9</f>
        <v>124</v>
      </c>
      <c r="F10" s="65">
        <f t="shared" si="2"/>
        <v>117</v>
      </c>
      <c r="G10" s="65">
        <f t="shared" si="2"/>
        <v>1</v>
      </c>
      <c r="H10" s="65">
        <f t="shared" si="2"/>
        <v>184</v>
      </c>
      <c r="I10" s="65">
        <f t="shared" si="2"/>
        <v>28</v>
      </c>
      <c r="J10" s="65">
        <f t="shared" si="2"/>
        <v>96</v>
      </c>
      <c r="K10" s="65">
        <f t="shared" si="2"/>
        <v>78</v>
      </c>
      <c r="L10" s="65">
        <f t="shared" si="2"/>
        <v>85</v>
      </c>
      <c r="M10" s="65">
        <f t="shared" si="2"/>
        <v>103</v>
      </c>
      <c r="N10" s="65">
        <f t="shared" si="2"/>
        <v>1</v>
      </c>
      <c r="O10" s="65">
        <f t="shared" si="2"/>
        <v>108</v>
      </c>
      <c r="P10" s="65">
        <f t="shared" si="2"/>
        <v>112</v>
      </c>
      <c r="Q10" s="65">
        <f t="shared" si="2"/>
        <v>98</v>
      </c>
      <c r="R10" s="65">
        <f t="shared" si="2"/>
        <v>105</v>
      </c>
      <c r="S10" s="65">
        <f t="shared" si="2"/>
        <v>98</v>
      </c>
      <c r="T10" s="65">
        <f t="shared" si="2"/>
        <v>92</v>
      </c>
      <c r="U10" s="65">
        <f t="shared" si="2"/>
        <v>0</v>
      </c>
      <c r="V10" s="65">
        <f t="shared" si="2"/>
        <v>76</v>
      </c>
      <c r="W10" s="65">
        <f t="shared" si="2"/>
        <v>28</v>
      </c>
      <c r="X10" s="65">
        <f t="shared" si="2"/>
        <v>197</v>
      </c>
      <c r="Y10" s="65">
        <f t="shared" si="2"/>
        <v>108</v>
      </c>
      <c r="Z10" s="65">
        <f t="shared" si="2"/>
        <v>46</v>
      </c>
      <c r="AA10" s="65">
        <f t="shared" si="2"/>
        <v>102</v>
      </c>
      <c r="AB10" s="65">
        <f t="shared" si="2"/>
        <v>0</v>
      </c>
      <c r="AC10" s="65">
        <f t="shared" si="2"/>
        <v>104</v>
      </c>
      <c r="AD10" s="65">
        <f t="shared" si="2"/>
        <v>120</v>
      </c>
      <c r="AE10" s="65">
        <f t="shared" si="2"/>
        <v>113</v>
      </c>
      <c r="AF10" s="65">
        <f t="shared" si="2"/>
        <v>122</v>
      </c>
      <c r="AG10" s="65">
        <f t="shared" si="2"/>
        <v>111</v>
      </c>
      <c r="AH10" s="65">
        <f t="shared" si="2"/>
        <v>112</v>
      </c>
      <c r="AI10" s="65">
        <f t="shared" si="2"/>
        <v>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7">
        <v>5</v>
      </c>
      <c r="B11" s="27">
        <v>68864837</v>
      </c>
      <c r="C11" s="96" t="s">
        <v>74</v>
      </c>
      <c r="D11" s="31">
        <v>3927.0360000000001</v>
      </c>
      <c r="E11" s="31">
        <v>3928.808</v>
      </c>
      <c r="F11" s="31">
        <v>3932.1860000000001</v>
      </c>
      <c r="G11" s="31">
        <v>3935.4870000000001</v>
      </c>
      <c r="H11" s="31">
        <v>3937.7579999999998</v>
      </c>
      <c r="I11" s="31">
        <v>3939.5509999999999</v>
      </c>
      <c r="J11" s="31">
        <v>3940.87</v>
      </c>
      <c r="K11" s="31">
        <v>3942.038</v>
      </c>
      <c r="L11" s="31">
        <v>3943.0419999999999</v>
      </c>
      <c r="M11" s="31">
        <v>3943.9250000000002</v>
      </c>
      <c r="N11" s="31">
        <v>3944.8879999999999</v>
      </c>
      <c r="O11" s="31">
        <v>3945.6570000000002</v>
      </c>
      <c r="P11" s="31">
        <v>3946.884</v>
      </c>
      <c r="Q11" s="31">
        <v>3947.848</v>
      </c>
      <c r="R11" s="31">
        <v>3948.8159999999998</v>
      </c>
      <c r="S11" s="31">
        <v>3950.0610000000001</v>
      </c>
      <c r="T11" s="31">
        <v>3951.2049999999999</v>
      </c>
      <c r="U11" s="31">
        <v>3952.9740000000002</v>
      </c>
      <c r="V11" s="31">
        <v>3954.5329999999999</v>
      </c>
      <c r="W11" s="31">
        <v>3955.7170000000001</v>
      </c>
      <c r="X11" s="31">
        <v>3957.02</v>
      </c>
      <c r="Y11" s="31">
        <v>3958.578</v>
      </c>
      <c r="Z11" s="31">
        <v>3959.9989999999998</v>
      </c>
      <c r="AA11" s="31">
        <v>3961.9450000000002</v>
      </c>
      <c r="AB11" s="31">
        <v>3963.26</v>
      </c>
      <c r="AC11" s="31">
        <v>3965.0129999999999</v>
      </c>
      <c r="AD11" s="31">
        <v>3967.7710000000002</v>
      </c>
      <c r="AE11" s="31">
        <v>3970.212</v>
      </c>
      <c r="AF11" s="31">
        <v>3973.203</v>
      </c>
      <c r="AG11" s="31">
        <v>3975.895</v>
      </c>
      <c r="AH11" s="31">
        <v>3978.277</v>
      </c>
      <c r="AI11" s="31">
        <v>3980.8049999999998</v>
      </c>
    </row>
    <row r="12" spans="1:42" s="8" customFormat="1" ht="25.7" customHeight="1" x14ac:dyDescent="0.25">
      <c r="A12" s="98"/>
      <c r="B12" s="47"/>
      <c r="C12" s="96"/>
      <c r="D12" s="67"/>
      <c r="E12" s="67">
        <f t="shared" si="2"/>
        <v>1.7719999999999345</v>
      </c>
      <c r="F12" s="67">
        <f t="shared" si="2"/>
        <v>3.3780000000001564</v>
      </c>
      <c r="G12" s="67">
        <f t="shared" si="2"/>
        <v>3.3009999999999309</v>
      </c>
      <c r="H12" s="67">
        <f t="shared" si="2"/>
        <v>2.2709999999997308</v>
      </c>
      <c r="I12" s="67">
        <f t="shared" si="2"/>
        <v>1.7930000000001201</v>
      </c>
      <c r="J12" s="67">
        <f t="shared" si="2"/>
        <v>1.31899999999996</v>
      </c>
      <c r="K12" s="67">
        <f t="shared" si="2"/>
        <v>1.1680000000001201</v>
      </c>
      <c r="L12" s="67">
        <f t="shared" si="2"/>
        <v>1.0039999999999054</v>
      </c>
      <c r="M12" s="67">
        <f t="shared" si="2"/>
        <v>0.88300000000026557</v>
      </c>
      <c r="N12" s="67">
        <f t="shared" si="2"/>
        <v>0.96299999999973807</v>
      </c>
      <c r="O12" s="67">
        <f t="shared" si="2"/>
        <v>0.76900000000023283</v>
      </c>
      <c r="P12" s="67">
        <f t="shared" si="2"/>
        <v>1.2269999999998618</v>
      </c>
      <c r="Q12" s="67">
        <f t="shared" si="2"/>
        <v>0.96399999999994179</v>
      </c>
      <c r="R12" s="67">
        <f t="shared" si="2"/>
        <v>0.9679999999998472</v>
      </c>
      <c r="S12" s="67">
        <f t="shared" si="2"/>
        <v>1.2450000000003456</v>
      </c>
      <c r="T12" s="67">
        <f t="shared" si="2"/>
        <v>1.1439999999997781</v>
      </c>
      <c r="U12" s="67">
        <f t="shared" si="2"/>
        <v>1.7690000000002328</v>
      </c>
      <c r="V12" s="67">
        <f t="shared" si="2"/>
        <v>1.5589999999997417</v>
      </c>
      <c r="W12" s="67">
        <f t="shared" si="2"/>
        <v>1.1840000000001965</v>
      </c>
      <c r="X12" s="67">
        <f t="shared" si="2"/>
        <v>1.3029999999998836</v>
      </c>
      <c r="Y12" s="67">
        <f t="shared" si="2"/>
        <v>1.5579999999999927</v>
      </c>
      <c r="Z12" s="67">
        <f t="shared" si="2"/>
        <v>1.4209999999998217</v>
      </c>
      <c r="AA12" s="67">
        <f t="shared" si="2"/>
        <v>1.9460000000003674</v>
      </c>
      <c r="AB12" s="67">
        <f t="shared" si="2"/>
        <v>1.3150000000000546</v>
      </c>
      <c r="AC12" s="67">
        <f t="shared" si="2"/>
        <v>1.7529999999997017</v>
      </c>
      <c r="AD12" s="67">
        <f t="shared" si="2"/>
        <v>2.7580000000002656</v>
      </c>
      <c r="AE12" s="67">
        <f t="shared" si="2"/>
        <v>2.4409999999998035</v>
      </c>
      <c r="AF12" s="67">
        <f t="shared" si="2"/>
        <v>2.9909999999999854</v>
      </c>
      <c r="AG12" s="67">
        <f t="shared" si="2"/>
        <v>2.6920000000000073</v>
      </c>
      <c r="AH12" s="67">
        <f t="shared" si="2"/>
        <v>2.3820000000000618</v>
      </c>
      <c r="AI12" s="67">
        <f t="shared" si="2"/>
        <v>2.5279999999997926</v>
      </c>
    </row>
    <row r="13" spans="1:42" s="8" customFormat="1" ht="25.7" customHeight="1" x14ac:dyDescent="0.25">
      <c r="A13" s="97">
        <v>6</v>
      </c>
      <c r="B13" s="27">
        <v>65296485</v>
      </c>
      <c r="C13" s="96" t="s">
        <v>75</v>
      </c>
      <c r="D13" s="31">
        <v>6859.84</v>
      </c>
      <c r="E13" s="31">
        <v>6865.5469999999996</v>
      </c>
      <c r="F13" s="31">
        <v>6874.12</v>
      </c>
      <c r="G13" s="31">
        <v>6881.4740000000002</v>
      </c>
      <c r="H13" s="31">
        <v>6885.2240000000002</v>
      </c>
      <c r="I13" s="31">
        <v>6889.8339999999998</v>
      </c>
      <c r="J13" s="31">
        <v>6892.5129999999999</v>
      </c>
      <c r="K13" s="31">
        <v>6894.0039999999999</v>
      </c>
      <c r="L13" s="31">
        <v>6895.491</v>
      </c>
      <c r="M13" s="31">
        <v>6900.3649999999998</v>
      </c>
      <c r="N13" s="31">
        <v>6902.3220000000001</v>
      </c>
      <c r="O13" s="31">
        <v>6905.5389999999998</v>
      </c>
      <c r="P13" s="31">
        <v>6907.3969999999999</v>
      </c>
      <c r="Q13" s="31">
        <v>6909.0879999999997</v>
      </c>
      <c r="R13" s="31">
        <v>6910.59</v>
      </c>
      <c r="S13" s="31">
        <v>6912.7659999999996</v>
      </c>
      <c r="T13" s="31">
        <v>6916.4250000000002</v>
      </c>
      <c r="U13" s="31">
        <v>6917.7669999999998</v>
      </c>
      <c r="V13" s="31">
        <v>6920.6310000000003</v>
      </c>
      <c r="W13" s="31">
        <v>6921.9970000000003</v>
      </c>
      <c r="X13" s="31">
        <v>6923.9229999999998</v>
      </c>
      <c r="Y13" s="31">
        <v>6926.6239999999998</v>
      </c>
      <c r="Z13" s="31">
        <v>6927.6949999999997</v>
      </c>
      <c r="AA13" s="31">
        <v>6933.0020000000004</v>
      </c>
      <c r="AB13" s="31">
        <v>6934.1329999999998</v>
      </c>
      <c r="AC13" s="31">
        <v>6935.2879999999996</v>
      </c>
      <c r="AD13" s="31">
        <v>6936.5739999999996</v>
      </c>
      <c r="AE13" s="31">
        <v>6939.1580000000004</v>
      </c>
      <c r="AF13" s="31">
        <v>6941.192</v>
      </c>
      <c r="AG13" s="31">
        <v>6945.0420000000004</v>
      </c>
      <c r="AH13" s="31">
        <v>6947.0339999999997</v>
      </c>
      <c r="AI13" s="31">
        <v>6948.1769999999997</v>
      </c>
    </row>
    <row r="14" spans="1:42" s="8" customFormat="1" ht="25.7" customHeight="1" x14ac:dyDescent="0.25">
      <c r="A14" s="98"/>
      <c r="B14" s="47"/>
      <c r="C14" s="96"/>
      <c r="D14" s="67"/>
      <c r="E14" s="67">
        <f t="shared" si="2"/>
        <v>5.7069999999994252</v>
      </c>
      <c r="F14" s="67">
        <f t="shared" si="2"/>
        <v>8.5730000000003201</v>
      </c>
      <c r="G14" s="67">
        <f t="shared" si="2"/>
        <v>7.3540000000002692</v>
      </c>
      <c r="H14" s="67">
        <f t="shared" si="2"/>
        <v>3.75</v>
      </c>
      <c r="I14" s="67">
        <f t="shared" si="2"/>
        <v>4.6099999999996726</v>
      </c>
      <c r="J14" s="67">
        <f t="shared" si="2"/>
        <v>2.6790000000000873</v>
      </c>
      <c r="K14" s="67">
        <f t="shared" si="2"/>
        <v>1.4909999999999854</v>
      </c>
      <c r="L14" s="67">
        <f t="shared" si="2"/>
        <v>1.48700000000008</v>
      </c>
      <c r="M14" s="67">
        <f t="shared" si="2"/>
        <v>4.8739999999997963</v>
      </c>
      <c r="N14" s="67">
        <f t="shared" si="2"/>
        <v>1.9570000000003347</v>
      </c>
      <c r="O14" s="67">
        <f t="shared" si="2"/>
        <v>3.2169999999996435</v>
      </c>
      <c r="P14" s="67">
        <f t="shared" si="2"/>
        <v>1.8580000000001746</v>
      </c>
      <c r="Q14" s="67">
        <f t="shared" si="2"/>
        <v>1.6909999999998035</v>
      </c>
      <c r="R14" s="67">
        <f t="shared" si="2"/>
        <v>1.5020000000004075</v>
      </c>
      <c r="S14" s="67">
        <f t="shared" si="2"/>
        <v>2.1759999999994761</v>
      </c>
      <c r="T14" s="67">
        <f t="shared" si="2"/>
        <v>3.6590000000005602</v>
      </c>
      <c r="U14" s="67">
        <f t="shared" si="2"/>
        <v>1.3419999999996435</v>
      </c>
      <c r="V14" s="67">
        <f t="shared" si="2"/>
        <v>2.8640000000004875</v>
      </c>
      <c r="W14" s="67">
        <f t="shared" si="2"/>
        <v>1.3659999999999854</v>
      </c>
      <c r="X14" s="67">
        <f t="shared" si="2"/>
        <v>1.9259999999994761</v>
      </c>
      <c r="Y14" s="67">
        <f t="shared" si="2"/>
        <v>2.7010000000000218</v>
      </c>
      <c r="Z14" s="67">
        <f t="shared" si="2"/>
        <v>1.0709999999999127</v>
      </c>
      <c r="AA14" s="67">
        <f t="shared" si="2"/>
        <v>5.3070000000006985</v>
      </c>
      <c r="AB14" s="67">
        <f t="shared" si="2"/>
        <v>1.1309999999994034</v>
      </c>
      <c r="AC14" s="67">
        <f t="shared" si="2"/>
        <v>1.1549999999997453</v>
      </c>
      <c r="AD14" s="67">
        <f t="shared" si="2"/>
        <v>1.2860000000000582</v>
      </c>
      <c r="AE14" s="67">
        <f t="shared" si="2"/>
        <v>2.5840000000007421</v>
      </c>
      <c r="AF14" s="67">
        <f t="shared" si="2"/>
        <v>2.0339999999996508</v>
      </c>
      <c r="AG14" s="67">
        <f t="shared" si="2"/>
        <v>3.8500000000003638</v>
      </c>
      <c r="AH14" s="67">
        <f t="shared" si="2"/>
        <v>1.9919999999992797</v>
      </c>
      <c r="AI14" s="67">
        <f t="shared" si="2"/>
        <v>1.1430000000000291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76</v>
      </c>
      <c r="C15" s="90"/>
      <c r="D15" s="49"/>
      <c r="E15" s="57">
        <f>E6+((E8*45%)+(E10*45%)+(E12+E14))</f>
        <v>457.53400000000261</v>
      </c>
      <c r="F15" s="57">
        <f t="shared" ref="F15:AI15" si="3">F6+((F8*45%)+(F10*45%)+(F12+F14))</f>
        <v>390.46100000000467</v>
      </c>
      <c r="G15" s="57">
        <f t="shared" si="3"/>
        <v>297.55499999999728</v>
      </c>
      <c r="H15" s="57">
        <f t="shared" si="3"/>
        <v>381.82599999999712</v>
      </c>
      <c r="I15" s="57">
        <f t="shared" si="3"/>
        <v>338.24800000000243</v>
      </c>
      <c r="J15" s="57">
        <f t="shared" si="3"/>
        <v>339.67300000000006</v>
      </c>
      <c r="K15" s="57">
        <f t="shared" si="3"/>
        <v>268.86900000000435</v>
      </c>
      <c r="L15" s="57">
        <f t="shared" si="3"/>
        <v>316.19599999999156</v>
      </c>
      <c r="M15" s="57">
        <f t="shared" si="3"/>
        <v>347.56700000000427</v>
      </c>
      <c r="N15" s="57">
        <f t="shared" si="3"/>
        <v>225.39999999999748</v>
      </c>
      <c r="O15" s="57">
        <f t="shared" si="3"/>
        <v>337.93599999999407</v>
      </c>
      <c r="P15" s="57">
        <f t="shared" si="3"/>
        <v>346.77500000001112</v>
      </c>
      <c r="Q15" s="57">
        <f t="shared" si="3"/>
        <v>344.09499999999844</v>
      </c>
      <c r="R15" s="57">
        <f t="shared" si="3"/>
        <v>351.22500000000343</v>
      </c>
      <c r="S15" s="57">
        <f t="shared" si="3"/>
        <v>351.16599999999664</v>
      </c>
      <c r="T15" s="57">
        <f t="shared" si="3"/>
        <v>317.01299999999583</v>
      </c>
      <c r="U15" s="57">
        <f t="shared" si="3"/>
        <v>227.12600000000148</v>
      </c>
      <c r="V15" s="57">
        <f t="shared" si="3"/>
        <v>310.76300000000185</v>
      </c>
      <c r="W15" s="57">
        <f t="shared" si="3"/>
        <v>319.44999999999726</v>
      </c>
      <c r="X15" s="57">
        <f t="shared" si="3"/>
        <v>350.65400000000227</v>
      </c>
      <c r="Y15" s="57">
        <f t="shared" si="3"/>
        <v>357.05400000000265</v>
      </c>
      <c r="Z15" s="57">
        <f t="shared" si="3"/>
        <v>298.52200000000005</v>
      </c>
      <c r="AA15" s="57">
        <f t="shared" si="3"/>
        <v>335.75299999999231</v>
      </c>
      <c r="AB15" s="57">
        <f t="shared" si="3"/>
        <v>266.39600000000235</v>
      </c>
      <c r="AC15" s="57">
        <f t="shared" si="3"/>
        <v>349.76800000000662</v>
      </c>
      <c r="AD15" s="57">
        <f t="shared" si="3"/>
        <v>369.54399999999157</v>
      </c>
      <c r="AE15" s="57">
        <f t="shared" si="3"/>
        <v>383.31500000000796</v>
      </c>
      <c r="AF15" s="57">
        <f t="shared" si="3"/>
        <v>387.13999999999248</v>
      </c>
      <c r="AG15" s="57">
        <f t="shared" si="3"/>
        <v>368.00699999999614</v>
      </c>
      <c r="AH15" s="57">
        <f t="shared" si="3"/>
        <v>357.49400000000196</v>
      </c>
      <c r="AI15" s="57">
        <f t="shared" si="3"/>
        <v>265.99100000000533</v>
      </c>
    </row>
    <row r="16" spans="1:42" ht="33" customHeight="1" x14ac:dyDescent="0.25">
      <c r="B16" s="89" t="s">
        <v>77</v>
      </c>
      <c r="C16" s="89"/>
      <c r="D16" s="49"/>
      <c r="E16" s="57">
        <f>SUM(E15:AI15)</f>
        <v>10358.516000000001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7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91.5" customHeight="1" x14ac:dyDescent="0.25">
      <c r="A1" s="100" t="s">
        <v>86</v>
      </c>
      <c r="B1" s="100"/>
      <c r="C1" s="100"/>
    </row>
    <row r="3" spans="1:7" ht="48" x14ac:dyDescent="0.25">
      <c r="A3" s="50" t="s">
        <v>36</v>
      </c>
      <c r="B3" s="51">
        <v>62556.76</v>
      </c>
      <c r="C3" s="52"/>
    </row>
    <row r="4" spans="1:7" ht="28.5" customHeight="1" x14ac:dyDescent="0.25">
      <c r="A4" s="53">
        <v>1</v>
      </c>
      <c r="B4" s="51"/>
      <c r="C4" s="52">
        <f>B3/31</f>
        <v>2017.96</v>
      </c>
    </row>
    <row r="5" spans="1:7" ht="28.5" customHeight="1" x14ac:dyDescent="0.25">
      <c r="A5" s="53">
        <v>2</v>
      </c>
      <c r="B5" s="51"/>
      <c r="C5" s="52">
        <v>2017.96</v>
      </c>
    </row>
    <row r="6" spans="1:7" ht="28.5" customHeight="1" x14ac:dyDescent="0.25">
      <c r="A6" s="54">
        <v>3</v>
      </c>
      <c r="B6" s="51"/>
      <c r="C6" s="52">
        <v>2017.96</v>
      </c>
    </row>
    <row r="7" spans="1:7" ht="28.5" customHeight="1" x14ac:dyDescent="0.25">
      <c r="A7" s="53">
        <v>4</v>
      </c>
      <c r="B7" s="51"/>
      <c r="C7" s="52">
        <v>2017.96</v>
      </c>
    </row>
    <row r="8" spans="1:7" ht="28.5" customHeight="1" x14ac:dyDescent="0.25">
      <c r="A8" s="53">
        <v>5</v>
      </c>
      <c r="B8" s="51"/>
      <c r="C8" s="52">
        <v>2017.96</v>
      </c>
    </row>
    <row r="9" spans="1:7" ht="28.5" customHeight="1" x14ac:dyDescent="0.25">
      <c r="A9" s="53">
        <v>6</v>
      </c>
      <c r="B9" s="51"/>
      <c r="C9" s="52">
        <v>2017.96</v>
      </c>
      <c r="G9" t="s">
        <v>78</v>
      </c>
    </row>
    <row r="10" spans="1:7" ht="28.5" customHeight="1" x14ac:dyDescent="0.25">
      <c r="A10" s="53">
        <v>7</v>
      </c>
      <c r="B10" s="51"/>
      <c r="C10" s="52">
        <v>2017.96</v>
      </c>
    </row>
    <row r="11" spans="1:7" ht="28.5" customHeight="1" x14ac:dyDescent="0.25">
      <c r="A11" s="53">
        <v>8</v>
      </c>
      <c r="B11" s="51"/>
      <c r="C11" s="52">
        <v>2017.96</v>
      </c>
    </row>
    <row r="12" spans="1:7" ht="28.5" customHeight="1" x14ac:dyDescent="0.25">
      <c r="A12" s="53">
        <v>9</v>
      </c>
      <c r="B12" s="51"/>
      <c r="C12" s="52">
        <v>2017.96</v>
      </c>
    </row>
    <row r="13" spans="1:7" ht="28.5" customHeight="1" x14ac:dyDescent="0.25">
      <c r="A13" s="53">
        <v>10</v>
      </c>
      <c r="B13" s="51"/>
      <c r="C13" s="52">
        <v>2017.96</v>
      </c>
    </row>
    <row r="14" spans="1:7" ht="28.5" customHeight="1" x14ac:dyDescent="0.25">
      <c r="A14" s="53">
        <v>11</v>
      </c>
      <c r="B14" s="51"/>
      <c r="C14" s="52">
        <v>2017.96</v>
      </c>
    </row>
    <row r="15" spans="1:7" ht="28.5" customHeight="1" x14ac:dyDescent="0.25">
      <c r="A15" s="53">
        <v>12</v>
      </c>
      <c r="B15" s="51"/>
      <c r="C15" s="52">
        <v>2017.96</v>
      </c>
    </row>
    <row r="16" spans="1:7" ht="28.5" customHeight="1" x14ac:dyDescent="0.25">
      <c r="A16" s="53">
        <v>13</v>
      </c>
      <c r="B16" s="51"/>
      <c r="C16" s="52">
        <v>2017.96</v>
      </c>
    </row>
    <row r="17" spans="1:4" ht="28.5" customHeight="1" x14ac:dyDescent="0.25">
      <c r="A17" s="53">
        <v>14</v>
      </c>
      <c r="B17" s="51"/>
      <c r="C17" s="52">
        <v>2017.96</v>
      </c>
    </row>
    <row r="18" spans="1:4" ht="28.5" customHeight="1" x14ac:dyDescent="0.25">
      <c r="A18" s="53">
        <v>15</v>
      </c>
      <c r="B18" s="51"/>
      <c r="C18" s="52">
        <v>2017.96</v>
      </c>
    </row>
    <row r="19" spans="1:4" ht="28.5" customHeight="1" x14ac:dyDescent="0.25">
      <c r="A19" s="53">
        <v>16</v>
      </c>
      <c r="B19" s="51"/>
      <c r="C19" s="52">
        <v>2017.96</v>
      </c>
    </row>
    <row r="20" spans="1:4" ht="28.5" customHeight="1" x14ac:dyDescent="0.25">
      <c r="A20" s="53">
        <v>17</v>
      </c>
      <c r="B20" s="51"/>
      <c r="C20" s="52">
        <v>2017.96</v>
      </c>
    </row>
    <row r="21" spans="1:4" ht="28.5" customHeight="1" x14ac:dyDescent="0.25">
      <c r="A21" s="53">
        <v>18</v>
      </c>
      <c r="B21" s="51"/>
      <c r="C21" s="52">
        <v>2017.96</v>
      </c>
    </row>
    <row r="22" spans="1:4" ht="28.5" customHeight="1" x14ac:dyDescent="0.25">
      <c r="A22" s="53">
        <v>19</v>
      </c>
      <c r="B22" s="51"/>
      <c r="C22" s="52">
        <v>2017.96</v>
      </c>
    </row>
    <row r="23" spans="1:4" ht="28.5" customHeight="1" x14ac:dyDescent="0.25">
      <c r="A23" s="53">
        <v>20</v>
      </c>
      <c r="B23" s="51"/>
      <c r="C23" s="52">
        <v>2017.96</v>
      </c>
    </row>
    <row r="24" spans="1:4" ht="28.5" customHeight="1" x14ac:dyDescent="0.25">
      <c r="A24" s="53">
        <v>21</v>
      </c>
      <c r="B24" s="51"/>
      <c r="C24" s="52">
        <v>2017.96</v>
      </c>
    </row>
    <row r="25" spans="1:4" ht="28.5" customHeight="1" x14ac:dyDescent="0.25">
      <c r="A25" s="53">
        <v>22</v>
      </c>
      <c r="B25" s="51"/>
      <c r="C25" s="52">
        <v>2017.96</v>
      </c>
    </row>
    <row r="26" spans="1:4" ht="28.5" customHeight="1" x14ac:dyDescent="0.25">
      <c r="A26" s="53">
        <v>23</v>
      </c>
      <c r="B26" s="51"/>
      <c r="C26" s="52">
        <v>2017.96</v>
      </c>
    </row>
    <row r="27" spans="1:4" ht="28.5" customHeight="1" x14ac:dyDescent="0.25">
      <c r="A27" s="53">
        <v>24</v>
      </c>
      <c r="B27" s="51"/>
      <c r="C27" s="52">
        <v>2017.96</v>
      </c>
    </row>
    <row r="28" spans="1:4" ht="28.5" customHeight="1" x14ac:dyDescent="0.25">
      <c r="A28" s="53">
        <v>25</v>
      </c>
      <c r="B28" s="51"/>
      <c r="C28" s="52">
        <v>2017.96</v>
      </c>
      <c r="D28" s="55"/>
    </row>
    <row r="29" spans="1:4" ht="28.5" customHeight="1" x14ac:dyDescent="0.25">
      <c r="A29" s="53">
        <v>26</v>
      </c>
      <c r="B29" s="51"/>
      <c r="C29" s="52">
        <v>2017.96</v>
      </c>
      <c r="D29" s="55"/>
    </row>
    <row r="30" spans="1:4" ht="28.5" customHeight="1" x14ac:dyDescent="0.25">
      <c r="A30" s="53">
        <v>27</v>
      </c>
      <c r="B30" s="51"/>
      <c r="C30" s="52">
        <v>2017.96</v>
      </c>
    </row>
    <row r="31" spans="1:4" ht="28.5" customHeight="1" x14ac:dyDescent="0.25">
      <c r="A31" s="53">
        <v>28</v>
      </c>
      <c r="B31" s="51"/>
      <c r="C31" s="52">
        <v>2017.96</v>
      </c>
    </row>
    <row r="32" spans="1:4" ht="28.5" customHeight="1" x14ac:dyDescent="0.25">
      <c r="A32" s="53">
        <v>29</v>
      </c>
      <c r="B32" s="51"/>
      <c r="C32" s="52">
        <v>2017.96</v>
      </c>
    </row>
    <row r="33" spans="1:3" ht="28.5" customHeight="1" x14ac:dyDescent="0.25">
      <c r="A33" s="53">
        <v>30</v>
      </c>
      <c r="B33" s="51"/>
      <c r="C33" s="52">
        <v>2017.96</v>
      </c>
    </row>
    <row r="34" spans="1:3" ht="28.5" customHeight="1" x14ac:dyDescent="0.25">
      <c r="A34" s="53">
        <v>31</v>
      </c>
      <c r="B34" s="51"/>
      <c r="C34" s="52">
        <v>2017.96</v>
      </c>
    </row>
    <row r="35" spans="1:3" x14ac:dyDescent="0.25">
      <c r="A35" s="99" t="s">
        <v>79</v>
      </c>
      <c r="B35" s="99"/>
      <c r="C35" s="56">
        <f>SUM(C4:C34)</f>
        <v>62556.75999999998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0" t="s">
        <v>87</v>
      </c>
      <c r="B1" s="100"/>
      <c r="C1" s="100"/>
    </row>
    <row r="2" spans="1:3" ht="24.95" customHeight="1" x14ac:dyDescent="0.25">
      <c r="A2" s="59" t="s">
        <v>80</v>
      </c>
      <c r="B2" s="59" t="s">
        <v>81</v>
      </c>
      <c r="C2" s="59" t="s">
        <v>82</v>
      </c>
    </row>
    <row r="3" spans="1:3" ht="24.95" customHeight="1" x14ac:dyDescent="0.25">
      <c r="A3" s="60">
        <v>43586</v>
      </c>
      <c r="B3" s="62">
        <v>297</v>
      </c>
      <c r="C3" s="62">
        <v>373</v>
      </c>
    </row>
    <row r="4" spans="1:3" ht="24.95" customHeight="1" x14ac:dyDescent="0.25">
      <c r="A4" s="60">
        <v>43587</v>
      </c>
      <c r="B4" s="62">
        <v>258</v>
      </c>
      <c r="C4" s="62">
        <v>362</v>
      </c>
    </row>
    <row r="5" spans="1:3" ht="24.95" customHeight="1" x14ac:dyDescent="0.25">
      <c r="A5" s="60">
        <v>43588</v>
      </c>
      <c r="B5" s="62">
        <v>218</v>
      </c>
      <c r="C5" s="62">
        <v>310</v>
      </c>
    </row>
    <row r="6" spans="1:3" ht="24.95" customHeight="1" x14ac:dyDescent="0.25">
      <c r="A6" s="60">
        <v>43589</v>
      </c>
      <c r="B6" s="62">
        <v>167</v>
      </c>
      <c r="C6" s="62">
        <v>200</v>
      </c>
    </row>
    <row r="7" spans="1:3" ht="24.95" customHeight="1" x14ac:dyDescent="0.25">
      <c r="A7" s="60">
        <v>43590</v>
      </c>
      <c r="B7" s="62">
        <v>222</v>
      </c>
      <c r="C7" s="62">
        <v>294</v>
      </c>
    </row>
    <row r="8" spans="1:3" ht="24.95" customHeight="1" x14ac:dyDescent="0.25">
      <c r="A8" s="60">
        <v>43591</v>
      </c>
      <c r="B8" s="62">
        <v>176</v>
      </c>
      <c r="C8" s="62">
        <v>207</v>
      </c>
    </row>
    <row r="9" spans="1:3" ht="24.95" customHeight="1" x14ac:dyDescent="0.25">
      <c r="A9" s="60">
        <v>43592</v>
      </c>
      <c r="B9" s="62">
        <v>184</v>
      </c>
      <c r="C9" s="62">
        <v>220</v>
      </c>
    </row>
    <row r="10" spans="1:3" ht="24.95" customHeight="1" x14ac:dyDescent="0.25">
      <c r="A10" s="60">
        <v>43593</v>
      </c>
      <c r="B10" s="62">
        <v>174</v>
      </c>
      <c r="C10" s="62">
        <v>211</v>
      </c>
    </row>
    <row r="11" spans="1:3" ht="24.95" customHeight="1" x14ac:dyDescent="0.25">
      <c r="A11" s="60">
        <v>43594</v>
      </c>
      <c r="B11" s="62">
        <v>131</v>
      </c>
      <c r="C11" s="62">
        <v>158</v>
      </c>
    </row>
    <row r="12" spans="1:3" ht="24.95" customHeight="1" x14ac:dyDescent="0.25">
      <c r="A12" s="60">
        <v>43595</v>
      </c>
      <c r="B12" s="62">
        <v>142</v>
      </c>
      <c r="C12" s="62">
        <v>193</v>
      </c>
    </row>
    <row r="13" spans="1:3" ht="24.95" customHeight="1" x14ac:dyDescent="0.25">
      <c r="A13" s="60">
        <v>43596</v>
      </c>
      <c r="B13" s="62">
        <v>135</v>
      </c>
      <c r="C13" s="62">
        <v>154</v>
      </c>
    </row>
    <row r="14" spans="1:3" ht="24.95" customHeight="1" x14ac:dyDescent="0.25">
      <c r="A14" s="60">
        <v>43597</v>
      </c>
      <c r="B14" s="62">
        <v>166</v>
      </c>
      <c r="C14" s="62">
        <v>192</v>
      </c>
    </row>
    <row r="15" spans="1:3" ht="24.95" customHeight="1" x14ac:dyDescent="0.25">
      <c r="A15" s="60">
        <v>43598</v>
      </c>
      <c r="B15" s="62">
        <v>158</v>
      </c>
      <c r="C15" s="62">
        <v>174</v>
      </c>
    </row>
    <row r="16" spans="1:3" ht="24.95" customHeight="1" x14ac:dyDescent="0.25">
      <c r="A16" s="60">
        <v>43599</v>
      </c>
      <c r="B16" s="62">
        <v>205</v>
      </c>
      <c r="C16" s="62">
        <v>260</v>
      </c>
    </row>
    <row r="17" spans="1:3" ht="24.95" customHeight="1" x14ac:dyDescent="0.25">
      <c r="A17" s="60">
        <v>43600</v>
      </c>
      <c r="B17" s="62">
        <v>194</v>
      </c>
      <c r="C17" s="62">
        <v>269</v>
      </c>
    </row>
    <row r="18" spans="1:3" ht="24.95" customHeight="1" x14ac:dyDescent="0.25">
      <c r="A18" s="60">
        <v>43601</v>
      </c>
      <c r="B18" s="62">
        <v>160</v>
      </c>
      <c r="C18" s="62">
        <v>214</v>
      </c>
    </row>
    <row r="19" spans="1:3" ht="24.95" customHeight="1" x14ac:dyDescent="0.25">
      <c r="A19" s="60">
        <v>43602</v>
      </c>
      <c r="B19" s="62">
        <v>146</v>
      </c>
      <c r="C19" s="62">
        <v>193</v>
      </c>
    </row>
    <row r="20" spans="1:3" ht="24.95" customHeight="1" x14ac:dyDescent="0.25">
      <c r="A20" s="60">
        <v>43603</v>
      </c>
      <c r="B20" s="62">
        <v>139</v>
      </c>
      <c r="C20" s="62">
        <v>170</v>
      </c>
    </row>
    <row r="21" spans="1:3" ht="24.95" customHeight="1" x14ac:dyDescent="0.25">
      <c r="A21" s="60">
        <v>43604</v>
      </c>
      <c r="B21" s="62">
        <v>168</v>
      </c>
      <c r="C21" s="62">
        <v>217</v>
      </c>
    </row>
    <row r="22" spans="1:3" ht="24.95" customHeight="1" x14ac:dyDescent="0.25">
      <c r="A22" s="60">
        <v>43605</v>
      </c>
      <c r="B22" s="62">
        <v>169</v>
      </c>
      <c r="C22" s="62">
        <v>205</v>
      </c>
    </row>
    <row r="23" spans="1:3" ht="24.95" customHeight="1" x14ac:dyDescent="0.25">
      <c r="A23" s="60">
        <v>43606</v>
      </c>
      <c r="B23" s="62">
        <v>178</v>
      </c>
      <c r="C23" s="62">
        <v>221</v>
      </c>
    </row>
    <row r="24" spans="1:3" ht="24.95" customHeight="1" x14ac:dyDescent="0.25">
      <c r="A24" s="60">
        <v>43607</v>
      </c>
      <c r="B24" s="62">
        <v>184</v>
      </c>
      <c r="C24" s="62">
        <v>230</v>
      </c>
    </row>
    <row r="25" spans="1:3" ht="24.95" customHeight="1" x14ac:dyDescent="0.25">
      <c r="A25" s="60">
        <v>43608</v>
      </c>
      <c r="B25" s="62">
        <v>167</v>
      </c>
      <c r="C25" s="62">
        <v>232</v>
      </c>
    </row>
    <row r="26" spans="1:3" ht="24.95" customHeight="1" x14ac:dyDescent="0.25">
      <c r="A26" s="60">
        <v>43609</v>
      </c>
      <c r="B26" s="62">
        <v>177</v>
      </c>
      <c r="C26" s="62">
        <v>258</v>
      </c>
    </row>
    <row r="27" spans="1:3" ht="24.95" customHeight="1" x14ac:dyDescent="0.25">
      <c r="A27" s="60">
        <v>43610</v>
      </c>
      <c r="B27" s="62">
        <v>142</v>
      </c>
      <c r="C27" s="62">
        <v>176</v>
      </c>
    </row>
    <row r="28" spans="1:3" ht="24.95" customHeight="1" x14ac:dyDescent="0.25">
      <c r="A28" s="60">
        <v>43611</v>
      </c>
      <c r="B28" s="62">
        <v>172</v>
      </c>
      <c r="C28" s="62">
        <v>213</v>
      </c>
    </row>
    <row r="29" spans="1:3" ht="24.95" customHeight="1" x14ac:dyDescent="0.25">
      <c r="A29" s="60">
        <v>43612</v>
      </c>
      <c r="B29" s="62">
        <v>185</v>
      </c>
      <c r="C29" s="62">
        <v>216</v>
      </c>
    </row>
    <row r="30" spans="1:3" ht="24.95" customHeight="1" x14ac:dyDescent="0.25">
      <c r="A30" s="60">
        <v>43613</v>
      </c>
      <c r="B30" s="62">
        <v>180</v>
      </c>
      <c r="C30" s="62">
        <v>214</v>
      </c>
    </row>
    <row r="31" spans="1:3" ht="24.95" customHeight="1" x14ac:dyDescent="0.25">
      <c r="A31" s="60">
        <v>43614</v>
      </c>
      <c r="B31" s="62">
        <v>181</v>
      </c>
      <c r="C31" s="62">
        <v>233</v>
      </c>
    </row>
    <row r="32" spans="1:3" ht="24.95" customHeight="1" x14ac:dyDescent="0.25">
      <c r="A32" s="60">
        <v>43615</v>
      </c>
      <c r="B32" s="62">
        <v>144</v>
      </c>
      <c r="C32" s="62">
        <v>174</v>
      </c>
    </row>
    <row r="33" spans="1:3" ht="24.95" customHeight="1" x14ac:dyDescent="0.25">
      <c r="A33" s="60">
        <v>43616</v>
      </c>
      <c r="B33" s="62">
        <v>154</v>
      </c>
      <c r="C33" s="62">
        <v>204</v>
      </c>
    </row>
    <row r="34" spans="1:3" ht="30.75" customHeight="1" x14ac:dyDescent="0.25">
      <c r="A34" s="59" t="s">
        <v>83</v>
      </c>
      <c r="B34" s="61">
        <f>SUM(B3:B33)</f>
        <v>5473</v>
      </c>
      <c r="C34" s="61">
        <f>SUM(C3:C33)</f>
        <v>6947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2025-03-21T11:01:25Z</dcterms:modified>
  <cp:category/>
  <cp:contentStatus/>
</cp:coreProperties>
</file>