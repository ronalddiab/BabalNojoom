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BR Abu Dhabi/"/>
    </mc:Choice>
  </mc:AlternateContent>
  <xr:revisionPtr revIDLastSave="6" documentId="8_{196A730A-9F55-40D4-9626-9D9E6EBEB7FE}" xr6:coauthVersionLast="47" xr6:coauthVersionMax="47" xr10:uidLastSave="{80CE93D9-3559-4479-8D61-4D91494A1334}"/>
  <bookViews>
    <workbookView xWindow="-96" yWindow="-96" windowWidth="18192" windowHeight="11472" tabRatio="580" activeTab="1" xr2:uid="{00000000-000D-0000-FFFF-FFFF00000000}"/>
  </bookViews>
  <sheets>
    <sheet name="Total" sheetId="9" r:id="rId1"/>
    <sheet name="Submetering" sheetId="8" r:id="rId2"/>
    <sheet name="Elect" sheetId="2" r:id="rId3"/>
    <sheet name="Water" sheetId="3" r:id="rId4"/>
    <sheet name="Gas" sheetId="1" r:id="rId5"/>
    <sheet name="Chilled Water" sheetId="7" r:id="rId6"/>
  </sheets>
  <externalReferences>
    <externalReference r:id="rId7"/>
  </externalReferences>
  <definedNames>
    <definedName name="_xlnm._FilterDatabase" localSheetId="4" hidden="1">Gas!$A$5:$U$36</definedName>
    <definedName name="_xlnm.Print_Area" localSheetId="5">'Chilled Water'!$A$1:$M$36</definedName>
    <definedName name="_xlnm.Print_Area" localSheetId="2">Elect!$A$1:$V$43</definedName>
    <definedName name="_xlnm.Print_Area" localSheetId="4">Gas!$A$1:$U$45</definedName>
    <definedName name="_xlnm.Print_Area" localSheetId="3">Water!$A$1:$S$46</definedName>
    <definedName name="Z_BBA05217_DB7A_4BBE_8392_822CC156171C_.wvu.Cols" localSheetId="2" hidden="1">Elect!$V:$V</definedName>
    <definedName name="Z_BBA05217_DB7A_4BBE_8392_822CC156171C_.wvu.Cols" localSheetId="3" hidden="1">Water!$H:$I,Water!$R:$S</definedName>
    <definedName name="Z_BBA05217_DB7A_4BBE_8392_822CC156171C_.wvu.Rows" localSheetId="3" hidden="1">Water!$44:$44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2" i="8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2" i="9"/>
  <c r="K3" i="9"/>
  <c r="K4" i="9"/>
  <c r="K5" i="9"/>
  <c r="K6" i="9"/>
  <c r="L6" i="9" s="1"/>
  <c r="K7" i="9"/>
  <c r="K8" i="9"/>
  <c r="L8" i="9" s="1"/>
  <c r="K9" i="9"/>
  <c r="K10" i="9"/>
  <c r="K11" i="9"/>
  <c r="K12" i="9"/>
  <c r="L12" i="9" s="1"/>
  <c r="K13" i="9"/>
  <c r="K14" i="9"/>
  <c r="L14" i="9" s="1"/>
  <c r="K15" i="9"/>
  <c r="K16" i="9"/>
  <c r="K17" i="9"/>
  <c r="K18" i="9"/>
  <c r="L18" i="9" s="1"/>
  <c r="K19" i="9"/>
  <c r="K20" i="9"/>
  <c r="L20" i="9" s="1"/>
  <c r="K21" i="9"/>
  <c r="K22" i="9"/>
  <c r="K23" i="9"/>
  <c r="K24" i="9"/>
  <c r="L24" i="9" s="1"/>
  <c r="K25" i="9"/>
  <c r="K26" i="9"/>
  <c r="L26" i="9" s="1"/>
  <c r="K27" i="9"/>
  <c r="K28" i="9"/>
  <c r="K29" i="9"/>
  <c r="K30" i="9"/>
  <c r="L30" i="9" s="1"/>
  <c r="K31" i="9"/>
  <c r="K32" i="9"/>
  <c r="L32" i="9" s="1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2" i="9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H32" i="9"/>
  <c r="L31" i="9"/>
  <c r="H31" i="9"/>
  <c r="H30" i="9"/>
  <c r="L29" i="9"/>
  <c r="H29" i="9"/>
  <c r="L28" i="9"/>
  <c r="H28" i="9"/>
  <c r="L27" i="9"/>
  <c r="H27" i="9"/>
  <c r="H26" i="9"/>
  <c r="L25" i="9"/>
  <c r="H25" i="9"/>
  <c r="H24" i="9"/>
  <c r="L23" i="9"/>
  <c r="H23" i="9"/>
  <c r="L22" i="9"/>
  <c r="H22" i="9"/>
  <c r="L21" i="9"/>
  <c r="H21" i="9"/>
  <c r="H20" i="9"/>
  <c r="L19" i="9"/>
  <c r="H19" i="9"/>
  <c r="H18" i="9"/>
  <c r="L17" i="9"/>
  <c r="H17" i="9"/>
  <c r="L16" i="9"/>
  <c r="H16" i="9"/>
  <c r="L15" i="9"/>
  <c r="H15" i="9"/>
  <c r="H14" i="9"/>
  <c r="L13" i="9"/>
  <c r="H13" i="9"/>
  <c r="H12" i="9"/>
  <c r="L11" i="9"/>
  <c r="H11" i="9"/>
  <c r="L10" i="9"/>
  <c r="H10" i="9"/>
  <c r="L9" i="9"/>
  <c r="H9" i="9"/>
  <c r="H8" i="9"/>
  <c r="L7" i="9"/>
  <c r="H7" i="9"/>
  <c r="H6" i="9"/>
  <c r="L5" i="9"/>
  <c r="H5" i="9"/>
  <c r="L4" i="9"/>
  <c r="H4" i="9"/>
  <c r="L3" i="9"/>
  <c r="H3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L2" i="9"/>
  <c r="H2" i="9"/>
  <c r="K34" i="7" l="1"/>
  <c r="M34" i="7" s="1"/>
  <c r="K33" i="7"/>
  <c r="M33" i="7" s="1"/>
  <c r="H34" i="7"/>
  <c r="J34" i="7" s="1"/>
  <c r="H33" i="7"/>
  <c r="J33" i="7"/>
  <c r="E34" i="7"/>
  <c r="G34" i="7" s="1"/>
  <c r="E33" i="7"/>
  <c r="G33" i="7" s="1"/>
  <c r="B34" i="7"/>
  <c r="D34" i="7" s="1"/>
  <c r="B33" i="7"/>
  <c r="D33" i="7" s="1"/>
  <c r="Q8" i="3"/>
  <c r="O8" i="3"/>
  <c r="M8" i="3"/>
  <c r="G8" i="3"/>
  <c r="E8" i="3"/>
  <c r="C8" i="3"/>
  <c r="Q38" i="3"/>
  <c r="Q37" i="3"/>
  <c r="O38" i="3"/>
  <c r="O37" i="3"/>
  <c r="M38" i="3"/>
  <c r="M37" i="3"/>
  <c r="K38" i="3"/>
  <c r="K37" i="3"/>
  <c r="G38" i="3"/>
  <c r="G37" i="3"/>
  <c r="E38" i="3"/>
  <c r="E37" i="3"/>
  <c r="C38" i="3"/>
  <c r="C37" i="3"/>
  <c r="X8" i="2"/>
  <c r="O2" i="8" s="1"/>
  <c r="T8" i="2"/>
  <c r="M2" i="8" s="1"/>
  <c r="R8" i="2"/>
  <c r="L2" i="8" s="1"/>
  <c r="P8" i="2"/>
  <c r="K2" i="8" s="1"/>
  <c r="N8" i="2"/>
  <c r="J2" i="8" s="1"/>
  <c r="L8" i="2"/>
  <c r="I2" i="8" s="1"/>
  <c r="J8" i="2"/>
  <c r="H2" i="8" s="1"/>
  <c r="H8" i="2"/>
  <c r="G2" i="8" s="1"/>
  <c r="X38" i="2"/>
  <c r="O32" i="8" s="1"/>
  <c r="X37" i="2"/>
  <c r="O31" i="8" s="1"/>
  <c r="V38" i="2"/>
  <c r="N32" i="8" s="1"/>
  <c r="V37" i="2"/>
  <c r="N31" i="8" s="1"/>
  <c r="T38" i="2"/>
  <c r="M32" i="8" s="1"/>
  <c r="T37" i="2"/>
  <c r="M31" i="8" s="1"/>
  <c r="R38" i="2"/>
  <c r="L32" i="8" s="1"/>
  <c r="R37" i="2"/>
  <c r="L31" i="8" s="1"/>
  <c r="P38" i="2"/>
  <c r="K32" i="8" s="1"/>
  <c r="P37" i="2"/>
  <c r="K31" i="8" s="1"/>
  <c r="N38" i="2"/>
  <c r="J32" i="8" s="1"/>
  <c r="N37" i="2"/>
  <c r="J31" i="8" s="1"/>
  <c r="L38" i="2"/>
  <c r="I32" i="8" s="1"/>
  <c r="L37" i="2"/>
  <c r="I31" i="8" s="1"/>
  <c r="J38" i="2"/>
  <c r="H32" i="8" s="1"/>
  <c r="J37" i="2"/>
  <c r="H31" i="8" s="1"/>
  <c r="H38" i="2"/>
  <c r="G32" i="8" s="1"/>
  <c r="H37" i="2"/>
  <c r="G31" i="8" s="1"/>
  <c r="F38" i="2"/>
  <c r="F32" i="8" s="1"/>
  <c r="F37" i="2"/>
  <c r="F31" i="8" s="1"/>
  <c r="F8" i="2"/>
  <c r="F2" i="8" s="1"/>
  <c r="D38" i="2"/>
  <c r="D37" i="2"/>
  <c r="D8" i="2"/>
  <c r="C18" i="1"/>
  <c r="E32" i="8" l="1"/>
  <c r="E32" i="9"/>
  <c r="E31" i="8"/>
  <c r="E31" i="9"/>
  <c r="E2" i="8"/>
  <c r="C8" i="1"/>
  <c r="S38" i="1"/>
  <c r="S37" i="1"/>
  <c r="S8" i="1"/>
  <c r="Q38" i="1"/>
  <c r="Q37" i="1"/>
  <c r="Q8" i="1"/>
  <c r="O38" i="1"/>
  <c r="O37" i="1"/>
  <c r="O8" i="1"/>
  <c r="M8" i="1"/>
  <c r="M38" i="1"/>
  <c r="M37" i="1"/>
  <c r="K38" i="1"/>
  <c r="K37" i="1"/>
  <c r="K8" i="1"/>
  <c r="I38" i="1"/>
  <c r="I37" i="1"/>
  <c r="I8" i="1"/>
  <c r="G38" i="1"/>
  <c r="G37" i="1"/>
  <c r="G8" i="1"/>
  <c r="E38" i="1"/>
  <c r="E37" i="1"/>
  <c r="E8" i="1"/>
  <c r="C38" i="1"/>
  <c r="C37" i="1"/>
  <c r="C27" i="1" l="1"/>
  <c r="P19" i="2" l="1"/>
  <c r="K13" i="8" s="1"/>
  <c r="C17" i="1" l="1"/>
  <c r="C28" i="1" l="1"/>
  <c r="C19" i="1" l="1"/>
  <c r="B39" i="1" l="1"/>
  <c r="D23" i="2" l="1"/>
  <c r="E17" i="8" l="1"/>
  <c r="C29" i="1"/>
  <c r="D24" i="2" l="1"/>
  <c r="D25" i="2"/>
  <c r="D26" i="2"/>
  <c r="D27" i="2"/>
  <c r="D28" i="2"/>
  <c r="D29" i="2"/>
  <c r="D30" i="2"/>
  <c r="D31" i="2"/>
  <c r="D32" i="2"/>
  <c r="D33" i="2"/>
  <c r="D34" i="2"/>
  <c r="D35" i="2"/>
  <c r="D3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5" i="8" l="1"/>
  <c r="E13" i="8"/>
  <c r="E29" i="8"/>
  <c r="E12" i="8"/>
  <c r="E28" i="8"/>
  <c r="E11" i="8"/>
  <c r="E27" i="8"/>
  <c r="E10" i="8"/>
  <c r="E26" i="8"/>
  <c r="E9" i="8"/>
  <c r="E8" i="8"/>
  <c r="E24" i="8"/>
  <c r="E7" i="8"/>
  <c r="E23" i="8"/>
  <c r="E6" i="8"/>
  <c r="E22" i="8"/>
  <c r="E5" i="8"/>
  <c r="E21" i="8"/>
  <c r="E16" i="8"/>
  <c r="E4" i="8"/>
  <c r="E20" i="8"/>
  <c r="E15" i="8"/>
  <c r="E3" i="8"/>
  <c r="E19" i="8"/>
  <c r="E14" i="8"/>
  <c r="E30" i="8"/>
  <c r="E18" i="8"/>
  <c r="C9" i="1"/>
  <c r="C30" i="1" l="1"/>
  <c r="U37" i="1"/>
  <c r="U36" i="1"/>
  <c r="C11" i="1" l="1"/>
  <c r="B5" i="7" l="1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C14" i="1" l="1"/>
  <c r="C23" i="1" l="1"/>
  <c r="C16" i="1" l="1"/>
  <c r="C26" i="1" l="1"/>
  <c r="C20" i="1" l="1"/>
  <c r="K32" i="7" l="1"/>
  <c r="M32" i="7" s="1"/>
  <c r="H32" i="7"/>
  <c r="J32" i="7" s="1"/>
  <c r="E32" i="7"/>
  <c r="G32" i="7" s="1"/>
  <c r="S36" i="1"/>
  <c r="Q36" i="1"/>
  <c r="O36" i="1"/>
  <c r="M36" i="1"/>
  <c r="K36" i="1"/>
  <c r="I36" i="1"/>
  <c r="G36" i="1"/>
  <c r="E36" i="1"/>
  <c r="Q36" i="3"/>
  <c r="O36" i="3"/>
  <c r="M36" i="3"/>
  <c r="K36" i="3"/>
  <c r="G36" i="3"/>
  <c r="E36" i="3"/>
  <c r="C36" i="3"/>
  <c r="X36" i="2"/>
  <c r="O30" i="8" s="1"/>
  <c r="V36" i="2"/>
  <c r="N30" i="8" s="1"/>
  <c r="T36" i="2"/>
  <c r="M30" i="8" s="1"/>
  <c r="R36" i="2"/>
  <c r="L30" i="8" s="1"/>
  <c r="P36" i="2"/>
  <c r="K30" i="8" s="1"/>
  <c r="N36" i="2"/>
  <c r="J30" i="8" s="1"/>
  <c r="L36" i="2"/>
  <c r="I30" i="8" s="1"/>
  <c r="J36" i="2"/>
  <c r="H30" i="8" s="1"/>
  <c r="H36" i="2"/>
  <c r="G30" i="8" s="1"/>
  <c r="F36" i="2"/>
  <c r="F30" i="8" l="1"/>
  <c r="E30" i="9"/>
  <c r="C21" i="1"/>
  <c r="C15" i="1" l="1"/>
  <c r="C36" i="1" l="1"/>
  <c r="C31" i="1" l="1"/>
  <c r="U35" i="1" l="1"/>
  <c r="C35" i="1"/>
  <c r="C12" i="1" l="1"/>
  <c r="F9" i="2" l="1"/>
  <c r="F3" i="8" l="1"/>
  <c r="C10" i="1"/>
  <c r="V8" i="2" l="1"/>
  <c r="N2" i="8" l="1"/>
  <c r="E2" i="9"/>
  <c r="C34" i="1"/>
  <c r="C13" i="1"/>
  <c r="G26" i="3" l="1"/>
  <c r="U9" i="1" l="1"/>
  <c r="U32" i="1" l="1"/>
  <c r="U29" i="1" l="1"/>
  <c r="U25" i="1"/>
  <c r="C25" i="1"/>
  <c r="U20" i="1"/>
  <c r="U18" i="1" l="1"/>
  <c r="U14" i="1"/>
  <c r="U11" i="1"/>
  <c r="U31" i="1" l="1"/>
  <c r="X35" i="2" l="1"/>
  <c r="O29" i="8" s="1"/>
  <c r="X34" i="2"/>
  <c r="O28" i="8" s="1"/>
  <c r="X33" i="2"/>
  <c r="O27" i="8" s="1"/>
  <c r="X32" i="2"/>
  <c r="O26" i="8" s="1"/>
  <c r="X31" i="2"/>
  <c r="O25" i="8" s="1"/>
  <c r="X30" i="2"/>
  <c r="O24" i="8" s="1"/>
  <c r="X29" i="2"/>
  <c r="O23" i="8" s="1"/>
  <c r="X28" i="2"/>
  <c r="O22" i="8" s="1"/>
  <c r="X27" i="2"/>
  <c r="O21" i="8" s="1"/>
  <c r="X26" i="2"/>
  <c r="O20" i="8" s="1"/>
  <c r="X25" i="2"/>
  <c r="O19" i="8" s="1"/>
  <c r="X24" i="2"/>
  <c r="O18" i="8" s="1"/>
  <c r="X23" i="2"/>
  <c r="O17" i="8" s="1"/>
  <c r="X22" i="2"/>
  <c r="O16" i="8" s="1"/>
  <c r="X21" i="2"/>
  <c r="O15" i="8" s="1"/>
  <c r="X20" i="2"/>
  <c r="O14" i="8" s="1"/>
  <c r="X19" i="2"/>
  <c r="O13" i="8" s="1"/>
  <c r="X18" i="2"/>
  <c r="O12" i="8" s="1"/>
  <c r="X17" i="2"/>
  <c r="O11" i="8" s="1"/>
  <c r="X16" i="2"/>
  <c r="O10" i="8" s="1"/>
  <c r="X15" i="2"/>
  <c r="O9" i="8" s="1"/>
  <c r="X14" i="2"/>
  <c r="O8" i="8" s="1"/>
  <c r="X13" i="2"/>
  <c r="O7" i="8" s="1"/>
  <c r="X12" i="2"/>
  <c r="O6" i="8" s="1"/>
  <c r="X11" i="2"/>
  <c r="O5" i="8" s="1"/>
  <c r="X10" i="2"/>
  <c r="O4" i="8" s="1"/>
  <c r="X9" i="2"/>
  <c r="O3" i="8" s="1"/>
  <c r="V29" i="2"/>
  <c r="N23" i="8" s="1"/>
  <c r="V30" i="2"/>
  <c r="N24" i="8" s="1"/>
  <c r="V31" i="2"/>
  <c r="N25" i="8" s="1"/>
  <c r="V32" i="2"/>
  <c r="N26" i="8" s="1"/>
  <c r="V33" i="2"/>
  <c r="N27" i="8" s="1"/>
  <c r="V34" i="2"/>
  <c r="N28" i="8" s="1"/>
  <c r="V35" i="2"/>
  <c r="N29" i="8" s="1"/>
  <c r="V14" i="2"/>
  <c r="N8" i="8" s="1"/>
  <c r="V15" i="2"/>
  <c r="N9" i="8" s="1"/>
  <c r="V16" i="2"/>
  <c r="N10" i="8" s="1"/>
  <c r="V17" i="2"/>
  <c r="N11" i="8" s="1"/>
  <c r="V18" i="2"/>
  <c r="N12" i="8" s="1"/>
  <c r="V19" i="2"/>
  <c r="N13" i="8" s="1"/>
  <c r="V20" i="2"/>
  <c r="N14" i="8" s="1"/>
  <c r="V21" i="2"/>
  <c r="N15" i="8" s="1"/>
  <c r="V22" i="2"/>
  <c r="N16" i="8" s="1"/>
  <c r="V23" i="2"/>
  <c r="N17" i="8" s="1"/>
  <c r="V24" i="2"/>
  <c r="N18" i="8" s="1"/>
  <c r="V25" i="2"/>
  <c r="N19" i="8" s="1"/>
  <c r="V26" i="2"/>
  <c r="N20" i="8" s="1"/>
  <c r="V27" i="2"/>
  <c r="N21" i="8" s="1"/>
  <c r="V28" i="2"/>
  <c r="N22" i="8" s="1"/>
  <c r="V13" i="2"/>
  <c r="N7" i="8" s="1"/>
  <c r="V12" i="2"/>
  <c r="N6" i="8" s="1"/>
  <c r="V11" i="2"/>
  <c r="N5" i="8" s="1"/>
  <c r="V10" i="2"/>
  <c r="N4" i="8" s="1"/>
  <c r="V9" i="2"/>
  <c r="N3" i="8" s="1"/>
  <c r="V39" i="2" l="1"/>
  <c r="X39" i="2"/>
  <c r="U28" i="1"/>
  <c r="U24" i="1"/>
  <c r="U17" i="1"/>
  <c r="U13" i="1"/>
  <c r="U10" i="1"/>
  <c r="S8" i="3" l="1"/>
  <c r="Q25" i="3"/>
  <c r="R25" i="2"/>
  <c r="L19" i="8" s="1"/>
  <c r="U33" i="1" l="1"/>
  <c r="C33" i="1"/>
  <c r="C24" i="1" l="1"/>
  <c r="U27" i="1"/>
  <c r="K10" i="7" l="1"/>
  <c r="H10" i="7"/>
  <c r="E10" i="7"/>
  <c r="U23" i="1" l="1"/>
  <c r="U21" i="1" l="1"/>
  <c r="U15" i="1"/>
  <c r="K8" i="3" l="1"/>
  <c r="U22" i="1" l="1"/>
  <c r="C22" i="1"/>
  <c r="U30" i="1" l="1"/>
  <c r="U34" i="1" l="1"/>
  <c r="U12" i="1" l="1"/>
  <c r="U26" i="1" l="1"/>
  <c r="U8" i="1"/>
  <c r="U19" i="1" l="1"/>
  <c r="C32" i="1" l="1"/>
  <c r="C39" i="1" s="1"/>
  <c r="T39" i="1" l="1"/>
  <c r="H35" i="2" l="1"/>
  <c r="G29" i="8" s="1"/>
  <c r="H34" i="2"/>
  <c r="G28" i="8" s="1"/>
  <c r="H33" i="2"/>
  <c r="G27" i="8" s="1"/>
  <c r="H32" i="2"/>
  <c r="G26" i="8" s="1"/>
  <c r="M20" i="1" l="1"/>
  <c r="U16" i="1" l="1"/>
  <c r="L13" i="2" l="1"/>
  <c r="I7" i="8" s="1"/>
  <c r="J21" i="2" l="1"/>
  <c r="H15" i="8" s="1"/>
  <c r="S15" i="1" l="1"/>
  <c r="Q9" i="1" l="1"/>
  <c r="E9" i="3"/>
  <c r="E10" i="3"/>
  <c r="U39" i="1" l="1"/>
  <c r="Q11" i="3" l="1"/>
  <c r="P10" i="2" l="1"/>
  <c r="K4" i="8" s="1"/>
  <c r="E24" i="1" l="1"/>
  <c r="C9" i="3" l="1"/>
  <c r="G26" i="1" l="1"/>
  <c r="G27" i="1"/>
  <c r="G28" i="1"/>
  <c r="G29" i="1"/>
  <c r="G30" i="1"/>
  <c r="G31" i="1"/>
  <c r="C10" i="3"/>
  <c r="Q22" i="3" l="1"/>
  <c r="S9" i="1" l="1"/>
  <c r="P9" i="2" l="1"/>
  <c r="K3" i="8" s="1"/>
  <c r="K5" i="7" l="1"/>
  <c r="H5" i="7"/>
  <c r="E5" i="7"/>
  <c r="K29" i="1" l="1"/>
  <c r="E15" i="3" l="1"/>
  <c r="E14" i="3"/>
  <c r="K21" i="7" l="1"/>
  <c r="H17" i="7"/>
  <c r="G30" i="3" l="1"/>
  <c r="G31" i="3"/>
  <c r="E26" i="3" l="1"/>
  <c r="M9" i="3" l="1"/>
  <c r="D4" i="7"/>
  <c r="E26" i="7"/>
  <c r="E25" i="7"/>
  <c r="E24" i="7"/>
  <c r="E23" i="7"/>
  <c r="E21" i="7"/>
  <c r="E20" i="7"/>
  <c r="E19" i="7"/>
  <c r="E18" i="7"/>
  <c r="E17" i="7"/>
  <c r="E16" i="7"/>
  <c r="E15" i="7"/>
  <c r="E14" i="7"/>
  <c r="E12" i="7"/>
  <c r="E11" i="7"/>
  <c r="E9" i="7"/>
  <c r="E8" i="7"/>
  <c r="E7" i="7"/>
  <c r="E6" i="7"/>
  <c r="D27" i="7"/>
  <c r="B29" i="7" s="1"/>
  <c r="E12" i="3"/>
  <c r="T35" i="2"/>
  <c r="M29" i="8" s="1"/>
  <c r="T34" i="2"/>
  <c r="M28" i="8" s="1"/>
  <c r="T33" i="2"/>
  <c r="M27" i="8" s="1"/>
  <c r="T32" i="2"/>
  <c r="M26" i="8" s="1"/>
  <c r="T31" i="2"/>
  <c r="M25" i="8" s="1"/>
  <c r="T30" i="2"/>
  <c r="M24" i="8" s="1"/>
  <c r="T29" i="2"/>
  <c r="M23" i="8" s="1"/>
  <c r="T28" i="2"/>
  <c r="M22" i="8" s="1"/>
  <c r="T27" i="2"/>
  <c r="M21" i="8" s="1"/>
  <c r="T26" i="2"/>
  <c r="M20" i="8" s="1"/>
  <c r="T25" i="2"/>
  <c r="M19" i="8" s="1"/>
  <c r="T24" i="2"/>
  <c r="M18" i="8" s="1"/>
  <c r="T23" i="2"/>
  <c r="M17" i="8" s="1"/>
  <c r="T22" i="2"/>
  <c r="M16" i="8" s="1"/>
  <c r="T21" i="2"/>
  <c r="M15" i="8" s="1"/>
  <c r="T20" i="2"/>
  <c r="M14" i="8" s="1"/>
  <c r="T19" i="2"/>
  <c r="M13" i="8" s="1"/>
  <c r="T18" i="2"/>
  <c r="M12" i="8" s="1"/>
  <c r="T17" i="2"/>
  <c r="M11" i="8" s="1"/>
  <c r="T16" i="2"/>
  <c r="M10" i="8" s="1"/>
  <c r="T15" i="2"/>
  <c r="M9" i="8" s="1"/>
  <c r="T14" i="2"/>
  <c r="M8" i="8" s="1"/>
  <c r="T13" i="2"/>
  <c r="M7" i="8" s="1"/>
  <c r="T12" i="2"/>
  <c r="M6" i="8" s="1"/>
  <c r="T11" i="2"/>
  <c r="M5" i="8" s="1"/>
  <c r="T10" i="2"/>
  <c r="M4" i="8" s="1"/>
  <c r="T9" i="2"/>
  <c r="M3" i="8" s="1"/>
  <c r="R35" i="2"/>
  <c r="L29" i="8" s="1"/>
  <c r="R34" i="2"/>
  <c r="L28" i="8" s="1"/>
  <c r="R33" i="2"/>
  <c r="L27" i="8" s="1"/>
  <c r="R32" i="2"/>
  <c r="L26" i="8" s="1"/>
  <c r="R31" i="2"/>
  <c r="L25" i="8" s="1"/>
  <c r="R30" i="2"/>
  <c r="L24" i="8" s="1"/>
  <c r="R29" i="2"/>
  <c r="L23" i="8" s="1"/>
  <c r="R28" i="2"/>
  <c r="L22" i="8" s="1"/>
  <c r="R27" i="2"/>
  <c r="L21" i="8" s="1"/>
  <c r="R26" i="2"/>
  <c r="L20" i="8" s="1"/>
  <c r="R24" i="2"/>
  <c r="L18" i="8" s="1"/>
  <c r="R23" i="2"/>
  <c r="L17" i="8" s="1"/>
  <c r="R22" i="2"/>
  <c r="L16" i="8" s="1"/>
  <c r="R21" i="2"/>
  <c r="L15" i="8" s="1"/>
  <c r="R20" i="2"/>
  <c r="L14" i="8" s="1"/>
  <c r="R19" i="2"/>
  <c r="L13" i="8" s="1"/>
  <c r="R18" i="2"/>
  <c r="L12" i="8" s="1"/>
  <c r="R17" i="2"/>
  <c r="L11" i="8" s="1"/>
  <c r="R16" i="2"/>
  <c r="L10" i="8" s="1"/>
  <c r="R15" i="2"/>
  <c r="L9" i="8" s="1"/>
  <c r="R14" i="2"/>
  <c r="L8" i="8" s="1"/>
  <c r="R13" i="2"/>
  <c r="L7" i="8" s="1"/>
  <c r="R12" i="2"/>
  <c r="L6" i="8" s="1"/>
  <c r="R11" i="2"/>
  <c r="L5" i="8" s="1"/>
  <c r="R10" i="2"/>
  <c r="L4" i="8" s="1"/>
  <c r="R9" i="2"/>
  <c r="L3" i="8" s="1"/>
  <c r="P35" i="2"/>
  <c r="K29" i="8" s="1"/>
  <c r="P34" i="2"/>
  <c r="K28" i="8" s="1"/>
  <c r="P33" i="2"/>
  <c r="K27" i="8" s="1"/>
  <c r="P32" i="2"/>
  <c r="K26" i="8" s="1"/>
  <c r="P31" i="2"/>
  <c r="K25" i="8" s="1"/>
  <c r="P30" i="2"/>
  <c r="K24" i="8" s="1"/>
  <c r="P29" i="2"/>
  <c r="K23" i="8" s="1"/>
  <c r="P28" i="2"/>
  <c r="K22" i="8" s="1"/>
  <c r="P27" i="2"/>
  <c r="K21" i="8" s="1"/>
  <c r="P26" i="2"/>
  <c r="K20" i="8" s="1"/>
  <c r="P25" i="2"/>
  <c r="K19" i="8" s="1"/>
  <c r="P24" i="2"/>
  <c r="K18" i="8" s="1"/>
  <c r="P23" i="2"/>
  <c r="K17" i="8" s="1"/>
  <c r="P22" i="2"/>
  <c r="K16" i="8" s="1"/>
  <c r="P21" i="2"/>
  <c r="K15" i="8" s="1"/>
  <c r="P20" i="2"/>
  <c r="K14" i="8" s="1"/>
  <c r="P18" i="2"/>
  <c r="K12" i="8" s="1"/>
  <c r="P17" i="2"/>
  <c r="K11" i="8" s="1"/>
  <c r="P16" i="2"/>
  <c r="K10" i="8" s="1"/>
  <c r="P15" i="2"/>
  <c r="K9" i="8" s="1"/>
  <c r="P14" i="2"/>
  <c r="K8" i="8" s="1"/>
  <c r="P13" i="2"/>
  <c r="K7" i="8" s="1"/>
  <c r="P12" i="2"/>
  <c r="K6" i="8" s="1"/>
  <c r="P11" i="2"/>
  <c r="K5" i="8" s="1"/>
  <c r="N35" i="2"/>
  <c r="J29" i="8" s="1"/>
  <c r="N34" i="2"/>
  <c r="J28" i="8" s="1"/>
  <c r="N33" i="2"/>
  <c r="J27" i="8" s="1"/>
  <c r="N32" i="2"/>
  <c r="J26" i="8" s="1"/>
  <c r="N31" i="2"/>
  <c r="J25" i="8" s="1"/>
  <c r="N30" i="2"/>
  <c r="J24" i="8" s="1"/>
  <c r="N29" i="2"/>
  <c r="J23" i="8" s="1"/>
  <c r="N28" i="2"/>
  <c r="J22" i="8" s="1"/>
  <c r="N27" i="2"/>
  <c r="J21" i="8" s="1"/>
  <c r="N26" i="2"/>
  <c r="J20" i="8" s="1"/>
  <c r="N25" i="2"/>
  <c r="J19" i="8" s="1"/>
  <c r="N24" i="2"/>
  <c r="J18" i="8" s="1"/>
  <c r="N23" i="2"/>
  <c r="J17" i="8" s="1"/>
  <c r="N22" i="2"/>
  <c r="J16" i="8" s="1"/>
  <c r="N21" i="2"/>
  <c r="J15" i="8" s="1"/>
  <c r="N20" i="2"/>
  <c r="J14" i="8" s="1"/>
  <c r="N19" i="2"/>
  <c r="J13" i="8" s="1"/>
  <c r="N18" i="2"/>
  <c r="J12" i="8" s="1"/>
  <c r="N17" i="2"/>
  <c r="J11" i="8" s="1"/>
  <c r="N16" i="2"/>
  <c r="J10" i="8" s="1"/>
  <c r="N15" i="2"/>
  <c r="J9" i="8" s="1"/>
  <c r="N14" i="2"/>
  <c r="J8" i="8" s="1"/>
  <c r="N13" i="2"/>
  <c r="J7" i="8" s="1"/>
  <c r="N12" i="2"/>
  <c r="J6" i="8" s="1"/>
  <c r="N11" i="2"/>
  <c r="J5" i="8" s="1"/>
  <c r="N10" i="2"/>
  <c r="J4" i="8" s="1"/>
  <c r="N9" i="2"/>
  <c r="J3" i="8" s="1"/>
  <c r="N39" i="2" l="1"/>
  <c r="T39" i="2"/>
  <c r="R39" i="2"/>
  <c r="P39" i="2"/>
  <c r="D28" i="7"/>
  <c r="B30" i="7" s="1"/>
  <c r="L35" i="2"/>
  <c r="I29" i="8" s="1"/>
  <c r="L34" i="2"/>
  <c r="I28" i="8" s="1"/>
  <c r="L33" i="2"/>
  <c r="I27" i="8" s="1"/>
  <c r="L32" i="2"/>
  <c r="I26" i="8" s="1"/>
  <c r="L31" i="2"/>
  <c r="I25" i="8" s="1"/>
  <c r="L30" i="2"/>
  <c r="I24" i="8" s="1"/>
  <c r="L29" i="2"/>
  <c r="I23" i="8" s="1"/>
  <c r="L28" i="2"/>
  <c r="I22" i="8" s="1"/>
  <c r="L27" i="2"/>
  <c r="I21" i="8" s="1"/>
  <c r="L26" i="2"/>
  <c r="I20" i="8" s="1"/>
  <c r="L25" i="2"/>
  <c r="I19" i="8" s="1"/>
  <c r="L24" i="2"/>
  <c r="I18" i="8" s="1"/>
  <c r="L23" i="2"/>
  <c r="I17" i="8" s="1"/>
  <c r="L22" i="2"/>
  <c r="I16" i="8" s="1"/>
  <c r="L21" i="2"/>
  <c r="I15" i="8" s="1"/>
  <c r="L20" i="2"/>
  <c r="I14" i="8" s="1"/>
  <c r="L19" i="2"/>
  <c r="I13" i="8" s="1"/>
  <c r="L18" i="2"/>
  <c r="I12" i="8" s="1"/>
  <c r="L17" i="2"/>
  <c r="I11" i="8" s="1"/>
  <c r="L16" i="2"/>
  <c r="I10" i="8" s="1"/>
  <c r="L15" i="2"/>
  <c r="I9" i="8" s="1"/>
  <c r="L14" i="2"/>
  <c r="I8" i="8" s="1"/>
  <c r="L12" i="2"/>
  <c r="I6" i="8" s="1"/>
  <c r="L11" i="2"/>
  <c r="I5" i="8" s="1"/>
  <c r="L10" i="2"/>
  <c r="I4" i="8" s="1"/>
  <c r="L9" i="2"/>
  <c r="I3" i="8" s="1"/>
  <c r="J35" i="2"/>
  <c r="H29" i="8" s="1"/>
  <c r="J34" i="2"/>
  <c r="H28" i="8" s="1"/>
  <c r="J33" i="2"/>
  <c r="H27" i="8" s="1"/>
  <c r="J32" i="2"/>
  <c r="H26" i="8" s="1"/>
  <c r="J31" i="2"/>
  <c r="H25" i="8" s="1"/>
  <c r="J30" i="2"/>
  <c r="H24" i="8" s="1"/>
  <c r="J29" i="2"/>
  <c r="H23" i="8" s="1"/>
  <c r="J28" i="2"/>
  <c r="H22" i="8" s="1"/>
  <c r="J27" i="2"/>
  <c r="H21" i="8" s="1"/>
  <c r="J26" i="2"/>
  <c r="H20" i="8" s="1"/>
  <c r="J25" i="2"/>
  <c r="H19" i="8" s="1"/>
  <c r="J24" i="2"/>
  <c r="H18" i="8" s="1"/>
  <c r="J23" i="2"/>
  <c r="H17" i="8" s="1"/>
  <c r="J22" i="2"/>
  <c r="H16" i="8" s="1"/>
  <c r="J20" i="2"/>
  <c r="H14" i="8" s="1"/>
  <c r="J19" i="2"/>
  <c r="H13" i="8" s="1"/>
  <c r="J18" i="2"/>
  <c r="H12" i="8" s="1"/>
  <c r="J17" i="2"/>
  <c r="H11" i="8" s="1"/>
  <c r="J16" i="2"/>
  <c r="H10" i="8" s="1"/>
  <c r="J15" i="2"/>
  <c r="H9" i="8" s="1"/>
  <c r="J14" i="2"/>
  <c r="H8" i="8" s="1"/>
  <c r="J13" i="2"/>
  <c r="H7" i="8" s="1"/>
  <c r="J12" i="2"/>
  <c r="H6" i="8" s="1"/>
  <c r="J11" i="2"/>
  <c r="H5" i="8" s="1"/>
  <c r="J10" i="2"/>
  <c r="H4" i="8" s="1"/>
  <c r="J9" i="2"/>
  <c r="H3" i="8" s="1"/>
  <c r="H31" i="2"/>
  <c r="G25" i="8" s="1"/>
  <c r="H30" i="2"/>
  <c r="G24" i="8" s="1"/>
  <c r="H29" i="2"/>
  <c r="G23" i="8" s="1"/>
  <c r="H28" i="2"/>
  <c r="G22" i="8" s="1"/>
  <c r="H27" i="2"/>
  <c r="G21" i="8" s="1"/>
  <c r="H26" i="2"/>
  <c r="G20" i="8" s="1"/>
  <c r="H25" i="2"/>
  <c r="G19" i="8" s="1"/>
  <c r="H24" i="2"/>
  <c r="G18" i="8" s="1"/>
  <c r="H23" i="2"/>
  <c r="G17" i="8" s="1"/>
  <c r="H22" i="2"/>
  <c r="G16" i="8" s="1"/>
  <c r="H21" i="2"/>
  <c r="G15" i="8" s="1"/>
  <c r="H20" i="2"/>
  <c r="G14" i="8" s="1"/>
  <c r="H19" i="2"/>
  <c r="G13" i="8" s="1"/>
  <c r="H18" i="2"/>
  <c r="G12" i="8" s="1"/>
  <c r="H17" i="2"/>
  <c r="G11" i="8" s="1"/>
  <c r="H16" i="2"/>
  <c r="G10" i="8" s="1"/>
  <c r="H15" i="2"/>
  <c r="G9" i="8" s="1"/>
  <c r="H14" i="2"/>
  <c r="G8" i="8" s="1"/>
  <c r="H13" i="2"/>
  <c r="G7" i="8" s="1"/>
  <c r="H12" i="2"/>
  <c r="G6" i="8" s="1"/>
  <c r="H11" i="2"/>
  <c r="G5" i="8" s="1"/>
  <c r="H10" i="2"/>
  <c r="G4" i="8" s="1"/>
  <c r="H9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14" i="8" l="1"/>
  <c r="E14" i="9"/>
  <c r="F15" i="8"/>
  <c r="E15" i="9"/>
  <c r="F27" i="8"/>
  <c r="E27" i="9"/>
  <c r="F4" i="8"/>
  <c r="E4" i="9"/>
  <c r="F28" i="8"/>
  <c r="E28" i="9"/>
  <c r="F5" i="8"/>
  <c r="E5" i="9"/>
  <c r="F17" i="8"/>
  <c r="E17" i="9"/>
  <c r="F6" i="8"/>
  <c r="E6" i="9"/>
  <c r="F19" i="8"/>
  <c r="E19" i="9"/>
  <c r="G3" i="8"/>
  <c r="E3" i="9"/>
  <c r="F20" i="8"/>
  <c r="E20" i="9"/>
  <c r="F9" i="8"/>
  <c r="E9" i="9"/>
  <c r="F21" i="8"/>
  <c r="E21" i="9"/>
  <c r="F10" i="8"/>
  <c r="E10" i="9"/>
  <c r="F12" i="8"/>
  <c r="E12" i="9"/>
  <c r="F24" i="8"/>
  <c r="E24" i="9"/>
  <c r="F26" i="8"/>
  <c r="E26" i="9"/>
  <c r="F16" i="8"/>
  <c r="E16" i="9"/>
  <c r="F29" i="8"/>
  <c r="E29" i="9"/>
  <c r="F18" i="8"/>
  <c r="E18" i="9"/>
  <c r="F7" i="8"/>
  <c r="E7" i="9"/>
  <c r="F8" i="8"/>
  <c r="E8" i="9"/>
  <c r="F22" i="8"/>
  <c r="E22" i="9"/>
  <c r="F11" i="8"/>
  <c r="E11" i="9"/>
  <c r="F23" i="8"/>
  <c r="E23" i="9"/>
  <c r="F13" i="8"/>
  <c r="E13" i="9"/>
  <c r="F25" i="8"/>
  <c r="E25" i="9"/>
  <c r="F39" i="2"/>
  <c r="L39" i="2"/>
  <c r="J39" i="2"/>
  <c r="H39" i="2"/>
  <c r="D29" i="7"/>
  <c r="B31" i="7" s="1"/>
  <c r="E35" i="1"/>
  <c r="E34" i="1"/>
  <c r="E33" i="1"/>
  <c r="E32" i="1"/>
  <c r="E31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G35" i="1"/>
  <c r="G34" i="1"/>
  <c r="G33" i="1"/>
  <c r="G32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M35" i="1"/>
  <c r="M34" i="1"/>
  <c r="M33" i="1"/>
  <c r="M32" i="1"/>
  <c r="M31" i="1"/>
  <c r="M30" i="1"/>
  <c r="M29" i="1"/>
  <c r="M28" i="1"/>
  <c r="M26" i="1"/>
  <c r="M27" i="1"/>
  <c r="M25" i="1"/>
  <c r="M24" i="1"/>
  <c r="M23" i="1"/>
  <c r="M22" i="1"/>
  <c r="M21" i="1"/>
  <c r="M18" i="1"/>
  <c r="M17" i="1"/>
  <c r="M19" i="1"/>
  <c r="M16" i="1"/>
  <c r="M15" i="1"/>
  <c r="M14" i="1"/>
  <c r="M13" i="1"/>
  <c r="M12" i="1"/>
  <c r="M11" i="1"/>
  <c r="M10" i="1"/>
  <c r="M9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1" i="1"/>
  <c r="S10" i="1"/>
  <c r="Q39" i="1" l="1"/>
  <c r="K39" i="1"/>
  <c r="G39" i="1"/>
  <c r="S39" i="1"/>
  <c r="O39" i="1"/>
  <c r="M39" i="1"/>
  <c r="I39" i="1"/>
  <c r="E39" i="1"/>
  <c r="D30" i="7"/>
  <c r="B32" i="7" s="1"/>
  <c r="D32" i="7" s="1"/>
  <c r="O34" i="3"/>
  <c r="O35" i="3"/>
  <c r="O33" i="3"/>
  <c r="O32" i="3"/>
  <c r="O31" i="3"/>
  <c r="O30" i="3"/>
  <c r="O29" i="3"/>
  <c r="O28" i="3"/>
  <c r="O27" i="3"/>
  <c r="O26" i="3"/>
  <c r="G35" i="3"/>
  <c r="G34" i="3"/>
  <c r="G33" i="3"/>
  <c r="G32" i="3"/>
  <c r="G29" i="3"/>
  <c r="G28" i="3"/>
  <c r="G27" i="3"/>
  <c r="C35" i="3"/>
  <c r="C34" i="3"/>
  <c r="C33" i="3"/>
  <c r="C32" i="3"/>
  <c r="C31" i="3"/>
  <c r="C30" i="3"/>
  <c r="C29" i="3"/>
  <c r="C28" i="3"/>
  <c r="C27" i="3"/>
  <c r="C26" i="3"/>
  <c r="D31" i="7" l="1"/>
  <c r="Q9" i="3"/>
  <c r="K9" i="3" l="1"/>
  <c r="G24" i="3" l="1"/>
  <c r="K29" i="7" l="1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M21" i="7"/>
  <c r="K20" i="7"/>
  <c r="M20" i="7" s="1"/>
  <c r="K19" i="7"/>
  <c r="M19" i="7" s="1"/>
  <c r="K18" i="7"/>
  <c r="M18" i="7" s="1"/>
  <c r="K17" i="7"/>
  <c r="M17" i="7" s="1"/>
  <c r="K16" i="7"/>
  <c r="M16" i="7" s="1"/>
  <c r="K15" i="7"/>
  <c r="K14" i="7"/>
  <c r="K13" i="7"/>
  <c r="K12" i="7"/>
  <c r="K11" i="7"/>
  <c r="K9" i="7"/>
  <c r="K8" i="7"/>
  <c r="K7" i="7"/>
  <c r="K6" i="7"/>
  <c r="G25" i="7"/>
  <c r="E27" i="7" s="1"/>
  <c r="G24" i="7"/>
  <c r="G23" i="7"/>
  <c r="G20" i="7"/>
  <c r="E22" i="7" s="1"/>
  <c r="G22" i="7" s="1"/>
  <c r="G19" i="7"/>
  <c r="G18" i="7"/>
  <c r="G17" i="7"/>
  <c r="G16" i="7"/>
  <c r="H16" i="7"/>
  <c r="J16" i="7" s="1"/>
  <c r="J17" i="7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K30" i="7"/>
  <c r="M30" i="7" s="1"/>
  <c r="H31" i="7"/>
  <c r="J31" i="7" s="1"/>
  <c r="K31" i="7"/>
  <c r="M31" i="7" s="1"/>
  <c r="G26" i="7" l="1"/>
  <c r="G21" i="7"/>
  <c r="G9" i="3"/>
  <c r="E28" i="7" l="1"/>
  <c r="G27" i="7"/>
  <c r="O22" i="3"/>
  <c r="E29" i="7" l="1"/>
  <c r="G28" i="7"/>
  <c r="K34" i="3"/>
  <c r="E30" i="7" l="1"/>
  <c r="G29" i="7"/>
  <c r="Q33" i="3"/>
  <c r="Q32" i="3"/>
  <c r="Q31" i="3"/>
  <c r="Q30" i="3"/>
  <c r="Q29" i="3"/>
  <c r="M33" i="3"/>
  <c r="M32" i="3"/>
  <c r="M31" i="3"/>
  <c r="M30" i="3"/>
  <c r="M29" i="3"/>
  <c r="K33" i="3"/>
  <c r="K32" i="3"/>
  <c r="K31" i="3"/>
  <c r="K30" i="3"/>
  <c r="K29" i="3"/>
  <c r="E34" i="3"/>
  <c r="E33" i="3"/>
  <c r="E32" i="3"/>
  <c r="E31" i="3"/>
  <c r="E30" i="3"/>
  <c r="E29" i="3"/>
  <c r="E31" i="7" l="1"/>
  <c r="G30" i="7"/>
  <c r="Q28" i="3"/>
  <c r="Q27" i="3"/>
  <c r="Q26" i="3"/>
  <c r="M28" i="3"/>
  <c r="M27" i="3"/>
  <c r="M26" i="3"/>
  <c r="K28" i="3"/>
  <c r="K27" i="3"/>
  <c r="K26" i="3"/>
  <c r="E28" i="3"/>
  <c r="E27" i="3"/>
  <c r="G31" i="7" l="1"/>
  <c r="M25" i="3"/>
  <c r="M23" i="3"/>
  <c r="M22" i="3"/>
  <c r="M21" i="3"/>
  <c r="M20" i="3"/>
  <c r="M19" i="3"/>
  <c r="M18" i="3"/>
  <c r="M17" i="3"/>
  <c r="M16" i="3"/>
  <c r="M15" i="3"/>
  <c r="M14" i="3"/>
  <c r="M4" i="7" l="1"/>
  <c r="M15" i="7"/>
  <c r="M14" i="7"/>
  <c r="M13" i="7"/>
  <c r="M12" i="7"/>
  <c r="M11" i="7"/>
  <c r="M10" i="7"/>
  <c r="M9" i="7"/>
  <c r="M8" i="7"/>
  <c r="M7" i="7"/>
  <c r="M6" i="7"/>
  <c r="M5" i="7"/>
  <c r="H15" i="7"/>
  <c r="J15" i="7" s="1"/>
  <c r="H14" i="7"/>
  <c r="J14" i="7" s="1"/>
  <c r="H13" i="7"/>
  <c r="J13" i="7" s="1"/>
  <c r="H12" i="7"/>
  <c r="J12" i="7" s="1"/>
  <c r="H11" i="7"/>
  <c r="J11" i="7" s="1"/>
  <c r="J10" i="7"/>
  <c r="H9" i="7"/>
  <c r="J9" i="7" s="1"/>
  <c r="H8" i="7"/>
  <c r="J8" i="7" s="1"/>
  <c r="H7" i="7"/>
  <c r="J7" i="7" s="1"/>
  <c r="H6" i="7"/>
  <c r="J6" i="7" s="1"/>
  <c r="J5" i="7"/>
  <c r="G15" i="7"/>
  <c r="G14" i="7"/>
  <c r="G12" i="7"/>
  <c r="G11" i="7"/>
  <c r="E13" i="7" s="1"/>
  <c r="G13" i="7" s="1"/>
  <c r="G9" i="7"/>
  <c r="G8" i="7"/>
  <c r="G7" i="7"/>
  <c r="G6" i="7"/>
  <c r="G5" i="7"/>
  <c r="J4" i="7"/>
  <c r="G10" i="7"/>
  <c r="G4" i="7"/>
  <c r="Q24" i="3"/>
  <c r="Q23" i="3"/>
  <c r="Q21" i="3"/>
  <c r="Q20" i="3"/>
  <c r="Q19" i="3"/>
  <c r="Q18" i="3"/>
  <c r="Q17" i="3"/>
  <c r="Q16" i="3"/>
  <c r="Q15" i="3"/>
  <c r="Q14" i="3"/>
  <c r="Q13" i="3"/>
  <c r="Q12" i="3"/>
  <c r="Q10" i="3"/>
  <c r="O25" i="3"/>
  <c r="O24" i="3"/>
  <c r="O2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39" i="3" l="1"/>
  <c r="K35" i="7"/>
  <c r="H35" i="7"/>
  <c r="E35" i="7"/>
  <c r="M24" i="3"/>
  <c r="M13" i="3"/>
  <c r="M12" i="3"/>
  <c r="M11" i="3"/>
  <c r="M10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E35" i="3"/>
  <c r="E25" i="3"/>
  <c r="E24" i="3"/>
  <c r="E23" i="3"/>
  <c r="E22" i="3"/>
  <c r="E21" i="3"/>
  <c r="E20" i="3"/>
  <c r="E19" i="3"/>
  <c r="E18" i="3"/>
  <c r="E17" i="3"/>
  <c r="E16" i="3"/>
  <c r="E13" i="3"/>
  <c r="E11" i="3"/>
  <c r="G39" i="3" l="1"/>
  <c r="E39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39" i="3" l="1"/>
  <c r="M35" i="3"/>
  <c r="M34" i="3"/>
  <c r="K35" i="3"/>
  <c r="K39" i="3" s="1"/>
  <c r="Q35" i="3"/>
  <c r="Q34" i="3"/>
  <c r="M39" i="3" l="1"/>
  <c r="Q39" i="3"/>
  <c r="S24" i="3"/>
  <c r="S25" i="3"/>
  <c r="S26" i="3"/>
  <c r="S27" i="3"/>
  <c r="S28" i="3"/>
  <c r="S29" i="3"/>
  <c r="S30" i="3"/>
  <c r="S31" i="3"/>
  <c r="S32" i="3"/>
  <c r="I39" i="3"/>
  <c r="S39" i="3" l="1"/>
  <c r="D5" i="7"/>
  <c r="D6" i="7" l="1"/>
  <c r="D7" i="7" l="1"/>
  <c r="D8" i="7" l="1"/>
  <c r="D9" i="7" l="1"/>
  <c r="D10" i="7" l="1"/>
  <c r="D11" i="7" l="1"/>
  <c r="D12" i="7" l="1"/>
  <c r="D13" i="7" l="1"/>
  <c r="D14" i="7" l="1"/>
  <c r="D15" i="7" l="1"/>
  <c r="D16" i="7" l="1"/>
  <c r="D17" i="7" l="1"/>
  <c r="D18" i="7" l="1"/>
  <c r="D19" i="7" l="1"/>
  <c r="D20" i="7" l="1"/>
  <c r="D21" i="7" l="1"/>
  <c r="D22" i="7" l="1"/>
  <c r="D23" i="7" l="1"/>
  <c r="D24" i="7" l="1"/>
  <c r="D26" i="7" l="1"/>
  <c r="D25" i="7"/>
  <c r="B35" i="7" l="1"/>
  <c r="B36" i="7" s="1"/>
  <c r="D39" i="2" l="1"/>
</calcChain>
</file>

<file path=xl/sharedStrings.xml><?xml version="1.0" encoding="utf-8"?>
<sst xmlns="http://schemas.openxmlformats.org/spreadsheetml/2006/main" count="234" uniqueCount="81">
  <si>
    <t xml:space="preserve">Date </t>
  </si>
  <si>
    <t>Meter 2</t>
  </si>
  <si>
    <t>Meter 1</t>
  </si>
  <si>
    <t>Ballroom</t>
  </si>
  <si>
    <t>Hotel</t>
  </si>
  <si>
    <t>Total</t>
  </si>
  <si>
    <t>Pregos</t>
  </si>
  <si>
    <t>Beach Front</t>
  </si>
  <si>
    <t>Rodeo Grill</t>
  </si>
  <si>
    <t>DAILY GAS METER READING</t>
  </si>
  <si>
    <t>Banquet Kitchen</t>
  </si>
  <si>
    <t>Room Service Kitchen</t>
  </si>
  <si>
    <t>Bay View Restaurant</t>
  </si>
  <si>
    <t>Apartment</t>
  </si>
  <si>
    <t>DAILY WATER METER READING</t>
  </si>
  <si>
    <t>BEACH WING</t>
  </si>
  <si>
    <t>TOWER WING</t>
  </si>
  <si>
    <t>Irrigation</t>
  </si>
  <si>
    <t>Restaurants</t>
  </si>
  <si>
    <t>LAUNDRY</t>
  </si>
  <si>
    <t>DAILY ELECTRICITY METER READING</t>
  </si>
  <si>
    <t>R</t>
  </si>
  <si>
    <t>C</t>
  </si>
  <si>
    <t>C - Consumption</t>
  </si>
  <si>
    <t>R - Reading</t>
  </si>
  <si>
    <t>BAYVIEW</t>
  </si>
  <si>
    <t>Rest. &amp; Kitchen</t>
  </si>
  <si>
    <t>Chilled Water</t>
  </si>
  <si>
    <t>Banquet Kit. &amp; Rest.</t>
  </si>
  <si>
    <t>Grand Lobby</t>
  </si>
  <si>
    <t>Amt.</t>
  </si>
  <si>
    <t>Qty./Ltrs</t>
  </si>
  <si>
    <t>Beach Wing Laundry</t>
  </si>
  <si>
    <t>Beach Wing Kitchen</t>
  </si>
  <si>
    <r>
      <t>APARTMENT  M</t>
    </r>
    <r>
      <rPr>
        <b/>
        <vertAlign val="superscript"/>
        <sz val="10"/>
        <rFont val="Arial"/>
        <family val="2"/>
      </rPr>
      <t>3</t>
    </r>
  </si>
  <si>
    <r>
      <t>Meter 1  (M</t>
    </r>
    <r>
      <rPr>
        <b/>
        <vertAlign val="superscript"/>
        <sz val="10"/>
        <rFont val="Arial"/>
        <family val="2"/>
      </rPr>
      <t>3)</t>
    </r>
  </si>
  <si>
    <r>
      <t>Meter 2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</si>
  <si>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Tennis Court</t>
  </si>
  <si>
    <t>Meter 3</t>
  </si>
  <si>
    <t>Diving Center</t>
  </si>
  <si>
    <t>Indigo Restaurant</t>
  </si>
  <si>
    <t>Finz Restaurant</t>
  </si>
  <si>
    <t xml:space="preserve">   </t>
  </si>
  <si>
    <t>Package 3 &amp; 4</t>
  </si>
  <si>
    <t>Previous</t>
  </si>
  <si>
    <t>Present</t>
  </si>
  <si>
    <t>Consumption</t>
  </si>
  <si>
    <t>Hotel Tower</t>
  </si>
  <si>
    <t>Total BRAD Reading</t>
  </si>
  <si>
    <t>Hotel Apartment</t>
  </si>
  <si>
    <t xml:space="preserve"> </t>
  </si>
  <si>
    <t>BEACH ROTANA ABUDHABI</t>
  </si>
  <si>
    <t>Note: Meter #1 has been closed on 3/9/18</t>
  </si>
  <si>
    <t>HOTEL APARTMENTS</t>
  </si>
  <si>
    <t>Note: Hotel meter reset to 0 on 12th January 2024</t>
  </si>
  <si>
    <t>For Month of March 2024</t>
  </si>
  <si>
    <t>SECONDARY PUMP (CHILLED WATER READING)  - March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</si>
  <si>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</si>
  <si>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</si>
  <si>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</si>
  <si>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</si>
  <si>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</si>
  <si>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</si>
  <si>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</si>
  <si>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</si>
  <si>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</si>
  <si>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</si>
  <si>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</si>
  <si>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</si>
  <si>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</si>
  <si>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>Cooling Degree Day</t>
  </si>
  <si>
    <t>Beach Rotana Abu Dhabi</t>
  </si>
  <si>
    <t>Beach wing Meter 1</t>
  </si>
  <si>
    <t>Beach wing Meter 2</t>
  </si>
  <si>
    <t>Beach wing Meter 3</t>
  </si>
  <si>
    <t xml:space="preserve">Bayview </t>
  </si>
  <si>
    <t>Tower - Grand Lobby</t>
  </si>
  <si>
    <t>Tower - Hotel</t>
  </si>
  <si>
    <t>Tower - Restaurant</t>
  </si>
  <si>
    <t>Hotel Appartments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</si>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</sst>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m/d"/>
    <numFmt numFmtId="167" formatCode="[$-409]d\-mmm\-yy;@"/>
    <numFmt numFmtId="168" formatCode="0.00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i/>
      <u/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Arial"/>
      <family val="2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40" fillId="0" borderId="0"/>
  </cellStyleXfs>
  <cellXfs count="286"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5" fillId="0" borderId="0" xfId="0" applyFont="1"/>
    <xf numFmtId="0" fontId="20" fillId="0" borderId="1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22" fillId="0" borderId="0" xfId="0" applyFont="1"/>
    <xf numFmtId="0" fontId="15" fillId="0" borderId="1" xfId="0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5" fillId="0" borderId="0" xfId="0" applyFont="1"/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6" fontId="0" fillId="0" borderId="0" xfId="0" applyNumberFormat="1"/>
    <xf numFmtId="16" fontId="2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7" fillId="0" borderId="0" xfId="0" applyFont="1"/>
    <xf numFmtId="0" fontId="27" fillId="0" borderId="1" xfId="0" applyFont="1" applyBorder="1"/>
    <xf numFmtId="165" fontId="17" fillId="0" borderId="1" xfId="1" applyNumberFormat="1" applyFont="1" applyBorder="1" applyAlignment="1">
      <alignment horizontal="left"/>
    </xf>
    <xf numFmtId="166" fontId="16" fillId="0" borderId="1" xfId="0" applyNumberFormat="1" applyFont="1" applyBorder="1"/>
    <xf numFmtId="0" fontId="0" fillId="0" borderId="4" xfId="0" applyBorder="1" applyAlignment="1">
      <alignment horizontal="center"/>
    </xf>
    <xf numFmtId="1" fontId="29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165" fontId="23" fillId="0" borderId="0" xfId="1" applyNumberFormat="1" applyFont="1" applyAlignment="1">
      <alignment horizontal="center"/>
    </xf>
    <xf numFmtId="0" fontId="32" fillId="0" borderId="0" xfId="0" applyFont="1"/>
    <xf numFmtId="0" fontId="16" fillId="0" borderId="1" xfId="0" applyFont="1" applyBorder="1" applyAlignment="1">
      <alignment horizontal="center"/>
    </xf>
    <xf numFmtId="0" fontId="9" fillId="0" borderId="0" xfId="0" applyFont="1"/>
    <xf numFmtId="0" fontId="33" fillId="0" borderId="0" xfId="0" applyFont="1"/>
    <xf numFmtId="0" fontId="7" fillId="0" borderId="0" xfId="3"/>
    <xf numFmtId="0" fontId="35" fillId="0" borderId="0" xfId="3" applyFont="1"/>
    <xf numFmtId="0" fontId="35" fillId="0" borderId="0" xfId="3" applyFont="1" applyAlignment="1">
      <alignment horizontal="center"/>
    </xf>
    <xf numFmtId="167" fontId="37" fillId="0" borderId="0" xfId="3" applyNumberFormat="1" applyFont="1" applyAlignment="1">
      <alignment horizontal="center"/>
    </xf>
    <xf numFmtId="0" fontId="37" fillId="0" borderId="0" xfId="3" applyFont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/>
    <xf numFmtId="1" fontId="34" fillId="0" borderId="1" xfId="0" applyNumberFormat="1" applyFont="1" applyBorder="1" applyAlignment="1">
      <alignment horizontal="center"/>
    </xf>
    <xf numFmtId="0" fontId="6" fillId="0" borderId="0" xfId="3" applyFont="1"/>
    <xf numFmtId="165" fontId="7" fillId="0" borderId="0" xfId="3" applyNumberFormat="1"/>
    <xf numFmtId="0" fontId="9" fillId="0" borderId="1" xfId="0" applyFont="1" applyBorder="1" applyAlignment="1">
      <alignment horizontal="center"/>
    </xf>
    <xf numFmtId="1" fontId="9" fillId="0" borderId="1" xfId="0" quotePrefix="1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/>
    </xf>
    <xf numFmtId="165" fontId="35" fillId="0" borderId="0" xfId="3" applyNumberFormat="1" applyFont="1"/>
    <xf numFmtId="1" fontId="34" fillId="0" borderId="1" xfId="0" applyNumberFormat="1" applyFont="1" applyBorder="1" applyAlignment="1">
      <alignment horizontal="center" vertical="center"/>
    </xf>
    <xf numFmtId="1" fontId="34" fillId="0" borderId="1" xfId="0" quotePrefix="1" applyNumberFormat="1" applyFont="1" applyBorder="1" applyAlignment="1">
      <alignment horizontal="center"/>
    </xf>
    <xf numFmtId="165" fontId="34" fillId="0" borderId="1" xfId="1" applyNumberFormat="1" applyFont="1" applyBorder="1" applyAlignment="1">
      <alignment horizontal="center"/>
    </xf>
    <xf numFmtId="165" fontId="38" fillId="0" borderId="1" xfId="1" applyNumberFormat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" fontId="34" fillId="2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5" fontId="30" fillId="0" borderId="0" xfId="0" applyNumberFormat="1" applyFont="1"/>
    <xf numFmtId="16" fontId="39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39" fillId="0" borderId="0" xfId="0" applyFont="1"/>
    <xf numFmtId="1" fontId="34" fillId="2" borderId="1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quotePrefix="1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5" fontId="25" fillId="0" borderId="0" xfId="0" applyNumberFormat="1" applyFont="1"/>
    <xf numFmtId="165" fontId="0" fillId="0" borderId="0" xfId="0" applyNumberFormat="1"/>
    <xf numFmtId="0" fontId="2" fillId="0" borderId="0" xfId="3" applyFont="1"/>
    <xf numFmtId="165" fontId="17" fillId="0" borderId="1" xfId="1" applyNumberFormat="1" applyFont="1" applyBorder="1" applyAlignment="1">
      <alignment horizontal="center"/>
    </xf>
    <xf numFmtId="0" fontId="9" fillId="0" borderId="1" xfId="0" applyFont="1" applyBorder="1"/>
    <xf numFmtId="16" fontId="28" fillId="0" borderId="0" xfId="0" applyNumberFormat="1" applyFont="1"/>
    <xf numFmtId="0" fontId="21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 applyAlignment="1">
      <alignment horizontal="center"/>
    </xf>
    <xf numFmtId="0" fontId="1" fillId="0" borderId="0" xfId="3" applyFont="1"/>
    <xf numFmtId="165" fontId="34" fillId="2" borderId="1" xfId="1" applyNumberFormat="1" applyFont="1" applyFill="1" applyBorder="1" applyAlignment="1">
      <alignment horizontal="center"/>
    </xf>
    <xf numFmtId="165" fontId="9" fillId="2" borderId="1" xfId="1" quotePrefix="1" applyNumberFormat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0" fontId="35" fillId="3" borderId="25" xfId="3" applyFont="1" applyFill="1" applyBorder="1" applyAlignment="1">
      <alignment horizontal="center" vertical="center"/>
    </xf>
    <xf numFmtId="0" fontId="35" fillId="3" borderId="26" xfId="3" applyFont="1" applyFill="1" applyBorder="1" applyAlignment="1">
      <alignment horizontal="center" vertical="center"/>
    </xf>
    <xf numFmtId="0" fontId="35" fillId="3" borderId="27" xfId="3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6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/>
    </xf>
    <xf numFmtId="165" fontId="34" fillId="2" borderId="2" xfId="1" applyNumberFormat="1" applyFont="1" applyFill="1" applyBorder="1" applyAlignment="1">
      <alignment horizontal="center" vertical="center" wrapText="1"/>
    </xf>
    <xf numFmtId="165" fontId="34" fillId="2" borderId="1" xfId="1" quotePrefix="1" applyNumberFormat="1" applyFont="1" applyFill="1" applyBorder="1" applyAlignment="1">
      <alignment horizontal="center"/>
    </xf>
    <xf numFmtId="165" fontId="38" fillId="2" borderId="1" xfId="1" applyNumberFormat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/>
    </xf>
    <xf numFmtId="0" fontId="37" fillId="2" borderId="31" xfId="3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37" fillId="2" borderId="39" xfId="3" applyFont="1" applyFill="1" applyBorder="1" applyAlignment="1">
      <alignment horizontal="center" vertical="center"/>
    </xf>
    <xf numFmtId="0" fontId="41" fillId="2" borderId="40" xfId="3" applyFont="1" applyFill="1" applyBorder="1" applyAlignment="1">
      <alignment horizontal="center" vertical="center"/>
    </xf>
    <xf numFmtId="0" fontId="37" fillId="2" borderId="33" xfId="3" applyFont="1" applyFill="1" applyBorder="1" applyAlignment="1">
      <alignment horizontal="center" vertical="center"/>
    </xf>
    <xf numFmtId="0" fontId="41" fillId="2" borderId="30" xfId="3" applyFont="1" applyFill="1" applyBorder="1" applyAlignment="1">
      <alignment horizontal="center" vertical="center"/>
    </xf>
    <xf numFmtId="0" fontId="41" fillId="2" borderId="28" xfId="3" applyFont="1" applyFill="1" applyBorder="1" applyAlignment="1">
      <alignment horizontal="center" vertical="center"/>
    </xf>
    <xf numFmtId="16" fontId="9" fillId="0" borderId="46" xfId="0" applyNumberFormat="1" applyFont="1" applyBorder="1" applyAlignment="1">
      <alignment horizontal="center" vertical="center" wrapText="1"/>
    </xf>
    <xf numFmtId="0" fontId="37" fillId="2" borderId="41" xfId="3" applyFont="1" applyFill="1" applyBorder="1" applyAlignment="1">
      <alignment horizontal="center" vertical="center"/>
    </xf>
    <xf numFmtId="0" fontId="37" fillId="0" borderId="33" xfId="3" applyFont="1" applyBorder="1" applyAlignment="1">
      <alignment horizontal="center" vertical="center"/>
    </xf>
    <xf numFmtId="0" fontId="41" fillId="2" borderId="32" xfId="3" applyFont="1" applyFill="1" applyBorder="1" applyAlignment="1">
      <alignment horizontal="center" vertical="center"/>
    </xf>
    <xf numFmtId="0" fontId="37" fillId="0" borderId="41" xfId="3" applyFont="1" applyBorder="1" applyAlignment="1">
      <alignment horizontal="center" vertical="center"/>
    </xf>
    <xf numFmtId="0" fontId="41" fillId="0" borderId="32" xfId="3" applyFont="1" applyBorder="1" applyAlignment="1">
      <alignment horizontal="center" vertical="center"/>
    </xf>
    <xf numFmtId="0" fontId="41" fillId="2" borderId="43" xfId="3" applyFont="1" applyFill="1" applyBorder="1" applyAlignment="1">
      <alignment horizontal="center" vertical="center"/>
    </xf>
    <xf numFmtId="0" fontId="37" fillId="2" borderId="42" xfId="3" applyFont="1" applyFill="1" applyBorder="1" applyAlignment="1">
      <alignment horizontal="center" vertical="center"/>
    </xf>
    <xf numFmtId="0" fontId="41" fillId="2" borderId="37" xfId="3" applyFont="1" applyFill="1" applyBorder="1" applyAlignment="1">
      <alignment horizontal="center" vertical="center"/>
    </xf>
    <xf numFmtId="0" fontId="37" fillId="0" borderId="42" xfId="3" applyFont="1" applyBorder="1" applyAlignment="1">
      <alignment horizontal="center" vertical="center"/>
    </xf>
    <xf numFmtId="0" fontId="41" fillId="0" borderId="37" xfId="3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2" fillId="0" borderId="31" xfId="4" applyFont="1" applyBorder="1" applyAlignment="1">
      <alignment horizontal="center" vertical="center"/>
    </xf>
    <xf numFmtId="0" fontId="42" fillId="2" borderId="31" xfId="4" applyFont="1" applyFill="1" applyBorder="1" applyAlignment="1">
      <alignment horizontal="center" vertical="center"/>
    </xf>
    <xf numFmtId="0" fontId="42" fillId="2" borderId="29" xfId="4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37" fillId="0" borderId="31" xfId="4" applyFont="1" applyBorder="1" applyAlignment="1">
      <alignment horizontal="center" vertical="center"/>
    </xf>
    <xf numFmtId="0" fontId="37" fillId="2" borderId="31" xfId="4" applyFont="1" applyFill="1" applyBorder="1" applyAlignment="1">
      <alignment horizontal="center" vertical="center"/>
    </xf>
    <xf numFmtId="0" fontId="37" fillId="0" borderId="48" xfId="4" applyFont="1" applyBorder="1" applyAlignment="1">
      <alignment horizontal="center" vertical="center"/>
    </xf>
    <xf numFmtId="0" fontId="37" fillId="0" borderId="41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1" fontId="46" fillId="0" borderId="9" xfId="0" applyNumberFormat="1" applyFont="1" applyBorder="1" applyAlignment="1">
      <alignment horizontal="center" vertical="center" wrapText="1"/>
    </xf>
    <xf numFmtId="168" fontId="45" fillId="0" borderId="9" xfId="0" applyNumberFormat="1" applyFont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16" fontId="9" fillId="0" borderId="5" xfId="0" applyNumberFormat="1" applyFont="1" applyBorder="1" applyAlignment="1">
      <alignment horizontal="center" vertical="center" wrapText="1"/>
    </xf>
    <xf numFmtId="16" fontId="9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horizontal="center" vertical="center" wrapText="1"/>
    </xf>
    <xf numFmtId="16" fontId="0" fillId="0" borderId="15" xfId="0" applyNumberForma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165" fontId="24" fillId="0" borderId="7" xfId="1" applyNumberFormat="1" applyFont="1" applyBorder="1" applyAlignment="1">
      <alignment horizontal="center" vertical="center" wrapText="1"/>
    </xf>
    <xf numFmtId="165" fontId="24" fillId="0" borderId="18" xfId="1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65" fontId="10" fillId="0" borderId="16" xfId="1" applyNumberFormat="1" applyFont="1" applyBorder="1" applyAlignment="1">
      <alignment horizontal="center" vertical="center" wrapText="1"/>
    </xf>
    <xf numFmtId="165" fontId="10" fillId="0" borderId="19" xfId="1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17" xfId="1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165" fontId="10" fillId="0" borderId="18" xfId="1" applyNumberFormat="1" applyFont="1" applyBorder="1" applyAlignment="1">
      <alignment horizontal="center" vertical="center" wrapText="1"/>
    </xf>
    <xf numFmtId="167" fontId="36" fillId="0" borderId="9" xfId="3" applyNumberFormat="1" applyFont="1" applyBorder="1" applyAlignment="1">
      <alignment horizontal="center" vertical="center"/>
    </xf>
    <xf numFmtId="167" fontId="35" fillId="3" borderId="35" xfId="3" applyNumberFormat="1" applyFont="1" applyFill="1" applyBorder="1" applyAlignment="1">
      <alignment horizontal="center" vertical="center"/>
    </xf>
    <xf numFmtId="167" fontId="35" fillId="3" borderId="47" xfId="3" applyNumberFormat="1" applyFont="1" applyFill="1" applyBorder="1" applyAlignment="1">
      <alignment horizontal="center" vertical="center"/>
    </xf>
    <xf numFmtId="0" fontId="35" fillId="3" borderId="22" xfId="3" applyFont="1" applyFill="1" applyBorder="1" applyAlignment="1">
      <alignment horizontal="center" vertical="center"/>
    </xf>
    <xf numFmtId="0" fontId="35" fillId="3" borderId="23" xfId="3" applyFont="1" applyFill="1" applyBorder="1" applyAlignment="1">
      <alignment horizontal="center" vertical="center"/>
    </xf>
    <xf numFmtId="0" fontId="35" fillId="3" borderId="24" xfId="3" applyFont="1" applyFill="1" applyBorder="1" applyAlignment="1">
      <alignment horizontal="center" vertical="center"/>
    </xf>
    <xf numFmtId="167" fontId="41" fillId="0" borderId="38" xfId="3" applyNumberFormat="1" applyFont="1" applyBorder="1" applyAlignment="1">
      <alignment horizontal="center" vertical="center" wrapText="1"/>
    </xf>
    <xf numFmtId="167" fontId="41" fillId="0" borderId="36" xfId="3" applyNumberFormat="1" applyFont="1" applyBorder="1" applyAlignment="1">
      <alignment horizontal="center" vertical="center" wrapText="1"/>
    </xf>
    <xf numFmtId="165" fontId="41" fillId="0" borderId="34" xfId="3" applyNumberFormat="1" applyFont="1" applyBorder="1" applyAlignment="1">
      <alignment vertical="center"/>
    </xf>
    <xf numFmtId="0" fontId="41" fillId="0" borderId="26" xfId="3" applyFont="1" applyBorder="1" applyAlignment="1">
      <alignment vertical="center"/>
    </xf>
    <xf numFmtId="0" fontId="41" fillId="0" borderId="27" xfId="3" applyFont="1" applyBorder="1" applyAlignment="1">
      <alignment vertical="center"/>
    </xf>
    <xf numFmtId="165" fontId="41" fillId="0" borderId="49" xfId="1" applyNumberFormat="1" applyFont="1" applyBorder="1" applyAlignment="1">
      <alignment horizontal="center" vertical="center"/>
    </xf>
    <xf numFmtId="165" fontId="41" fillId="0" borderId="15" xfId="1" applyNumberFormat="1" applyFont="1" applyBorder="1" applyAlignment="1">
      <alignment horizontal="center" vertical="center"/>
    </xf>
    <xf numFmtId="165" fontId="41" fillId="0" borderId="50" xfId="1" applyNumberFormat="1" applyFont="1" applyBorder="1" applyAlignment="1">
      <alignment horizontal="center" vertical="center"/>
    </xf>
    <xf numFmtId="165" fontId="41" fillId="0" borderId="44" xfId="1" applyNumberFormat="1" applyFont="1" applyBorder="1" applyAlignment="1">
      <alignment horizontal="center" vertical="center"/>
    </xf>
    <xf numFmtId="165" fontId="41" fillId="0" borderId="2" xfId="1" applyNumberFormat="1" applyFont="1" applyBorder="1" applyAlignment="1">
      <alignment horizontal="center" vertical="center"/>
    </xf>
    <xf numFmtId="165" fontId="41" fillId="0" borderId="45" xfId="1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1" fontId="53" fillId="0" borderId="9" xfId="0" applyNumberFormat="1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1" fontId="52" fillId="0" borderId="9" xfId="0" applyNumberFormat="1" applyFont="1" applyBorder="1" applyAlignment="1">
      <alignment horizontal="center" vertical="center" wrapText="1"/>
    </xf>
    <xf numFmtId="1" fontId="54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168" fontId="54" fillId="0" borderId="0" xfId="0" applyNumberFormat="1" applyFont="1" applyAlignment="1">
      <alignment horizont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133350</xdr:rowOff>
    </xdr:to>
    <xdr:pic>
      <xdr:nvPicPr>
        <xdr:cNvPr id="23730" name="Picture 1" descr="New BRHT Logo 2002">
          <a:extLst>
            <a:ext uri="{FF2B5EF4-FFF2-40B4-BE49-F238E27FC236}">
              <a16:creationId xmlns:a16="http://schemas.microsoft.com/office/drawing/2014/main" id="{00000000-0008-0000-0200-0000B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53600" y="0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Rotana/Amwaj%20Rotana/Amwaj-Rotana-Daily-HEP-March-2023.xlsx" TargetMode="External"/><Relationship Id="rId1" Type="http://schemas.openxmlformats.org/officeDocument/2006/relationships/externalLinkPath" Target="/a9752443a9c9f39d/EEG%20Docs/HEP/Rotana/Amwaj%20Rotana/Amwaj-Rotana-Daily-HEP-March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MTD Utility Sheet"/>
      <sheetName val="March-26"/>
      <sheetName val="March-25"/>
      <sheetName val="March-24"/>
      <sheetName val="March-23"/>
      <sheetName val="March-22"/>
      <sheetName val="March-21"/>
      <sheetName val="March-20"/>
      <sheetName val="March-19"/>
      <sheetName val="March-18"/>
      <sheetName val="March-17"/>
      <sheetName val="March-16"/>
      <sheetName val="March-15"/>
      <sheetName val="March-14"/>
      <sheetName val="March-13"/>
      <sheetName val="March-12"/>
      <sheetName val="March-11"/>
      <sheetName val="March-10"/>
      <sheetName val="March-09"/>
      <sheetName val="March-08"/>
      <sheetName val="March-07"/>
      <sheetName val="March-06"/>
      <sheetName val="March-05"/>
      <sheetName val="March-04"/>
      <sheetName val="March-03"/>
      <sheetName val="March-02"/>
      <sheetName val="March-01"/>
    </sheetNames>
    <sheetDataSet>
      <sheetData sheetId="0"/>
      <sheetData sheetId="1">
        <row r="4">
          <cell r="F4">
            <v>6409.38</v>
          </cell>
        </row>
        <row r="5">
          <cell r="F5">
            <v>6219.23</v>
          </cell>
        </row>
        <row r="6">
          <cell r="F6">
            <v>6634.27</v>
          </cell>
        </row>
        <row r="7">
          <cell r="F7">
            <v>6175.35</v>
          </cell>
        </row>
        <row r="8">
          <cell r="F8">
            <v>6213.75</v>
          </cell>
        </row>
        <row r="9">
          <cell r="F9">
            <v>6253.97</v>
          </cell>
        </row>
        <row r="10">
          <cell r="F10">
            <v>5893.78</v>
          </cell>
        </row>
        <row r="11">
          <cell r="F11">
            <v>6202.78</v>
          </cell>
        </row>
        <row r="12">
          <cell r="F12">
            <v>6266.77</v>
          </cell>
        </row>
        <row r="13">
          <cell r="F13">
            <v>6424.01</v>
          </cell>
        </row>
        <row r="14">
          <cell r="F14">
            <v>6286.88</v>
          </cell>
        </row>
        <row r="15">
          <cell r="F15">
            <v>6310.65</v>
          </cell>
        </row>
        <row r="16">
          <cell r="F16">
            <v>6400.24</v>
          </cell>
        </row>
        <row r="17">
          <cell r="F17">
            <v>6232.03</v>
          </cell>
        </row>
        <row r="18">
          <cell r="F18">
            <v>6548.34</v>
          </cell>
        </row>
        <row r="19">
          <cell r="F19">
            <v>6575.76</v>
          </cell>
        </row>
        <row r="20">
          <cell r="F20">
            <v>6524.57</v>
          </cell>
        </row>
        <row r="21">
          <cell r="F21">
            <v>6054.68</v>
          </cell>
        </row>
        <row r="22">
          <cell r="F22">
            <v>5959.6</v>
          </cell>
        </row>
        <row r="23">
          <cell r="F23">
            <v>6023.6</v>
          </cell>
        </row>
        <row r="24">
          <cell r="F24">
            <v>6120.5</v>
          </cell>
        </row>
        <row r="25">
          <cell r="F25">
            <v>5747.51</v>
          </cell>
        </row>
        <row r="26">
          <cell r="F26">
            <v>5542.73</v>
          </cell>
        </row>
        <row r="27">
          <cell r="F27">
            <v>5685.35</v>
          </cell>
        </row>
        <row r="28">
          <cell r="F28">
            <v>5935.83</v>
          </cell>
        </row>
        <row r="29">
          <cell r="F29">
            <v>6367.33</v>
          </cell>
        </row>
        <row r="30">
          <cell r="F30">
            <v>6228.37</v>
          </cell>
        </row>
        <row r="31">
          <cell r="F31">
            <v>6361.84</v>
          </cell>
        </row>
        <row r="32">
          <cell r="F32">
            <v>6100.39</v>
          </cell>
        </row>
        <row r="33">
          <cell r="F33">
            <v>5924.86</v>
          </cell>
        </row>
        <row r="34">
          <cell r="F34">
            <v>6061.99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D96-8489-4E4D-A98E-3C80BC3F6EAD}">
  <sheetPr>
    <tabColor rgb="FFFF0000"/>
  </sheetPr>
  <dimension ref="A1:O36"/>
  <sheetViews>
    <sheetView topLeftCell="C1" workbookViewId="0">
      <selection activeCell="E17" sqref="E17"/>
    </sheetView>
  </sheetViews>
  <sheetFormatPr defaultColWidth="11.59765625" defaultRowHeight="14.25" x14ac:dyDescent="0.45"/>
  <cols>
    <col min="1" max="1" width="26.3984375" style="2" bestFit="1" customWidth="1"/>
    <col min="2" max="2" width="11.59765625" style="2"/>
    <col min="3" max="3" width="11.59765625" style="181"/>
    <col min="4" max="4" width="13.3984375" style="2" customWidth="1"/>
    <col min="5" max="5" width="12.59765625" style="2" customWidth="1"/>
    <col min="6" max="6" width="12.59765625" style="185" customWidth="1"/>
    <col min="7" max="7" width="11.59765625" style="2"/>
    <col min="8" max="8" width="11.59765625" style="185"/>
    <col min="9" max="9" width="11.59765625" style="2"/>
    <col min="10" max="10" width="11.59765625" style="185"/>
    <col min="11" max="11" width="11.59765625" style="184"/>
    <col min="12" max="12" width="11.59765625" style="182"/>
    <col min="13" max="13" width="11.59765625" style="24"/>
    <col min="14" max="16384" width="11.59765625" style="2"/>
  </cols>
  <sheetData>
    <row r="1" spans="1:15" s="179" customFormat="1" ht="57.4" thickBot="1" x14ac:dyDescent="0.5">
      <c r="A1" s="171" t="s">
        <v>57</v>
      </c>
      <c r="B1" s="171" t="s">
        <v>58</v>
      </c>
      <c r="C1" s="172" t="s">
        <v>59</v>
      </c>
      <c r="D1" s="173" t="s">
        <v>60</v>
      </c>
      <c r="E1" s="174" t="s">
        <v>61</v>
      </c>
      <c r="F1" s="175" t="s">
        <v>62</v>
      </c>
      <c r="G1" s="174" t="s">
        <v>65</v>
      </c>
      <c r="H1" s="175" t="s">
        <v>66</v>
      </c>
      <c r="I1" s="174" t="s">
        <v>63</v>
      </c>
      <c r="J1" s="175" t="s">
        <v>64</v>
      </c>
      <c r="K1" s="176" t="s">
        <v>67</v>
      </c>
      <c r="L1" s="177" t="s">
        <v>68</v>
      </c>
      <c r="M1" s="178" t="s">
        <v>69</v>
      </c>
      <c r="N1" s="174" t="s">
        <v>70</v>
      </c>
    </row>
    <row r="2" spans="1:15" x14ac:dyDescent="0.45">
      <c r="A2" s="180" t="s">
        <v>71</v>
      </c>
      <c r="B2" s="2">
        <v>1</v>
      </c>
      <c r="C2" s="181">
        <v>3</v>
      </c>
      <c r="D2" s="2">
        <v>2024</v>
      </c>
      <c r="E2" s="24">
        <f>IF((Elect!D8+Elect!F8+Elect!H8+Elect!J8+Elect!L8+Elect!N8+Elect!R8+Elect!T8+Elect!V8+Elect!X8)&lt;0,"0",Elect!D8+Elect!F8+Elect!H8+Elect!J8+Elect!L8+Elect!N8+Elect!R8+Elect!T8+Elect!V8+Elect!X8)</f>
        <v>35578</v>
      </c>
      <c r="F2" s="182">
        <v>0.439</v>
      </c>
      <c r="G2" s="24">
        <f>IF((Water!C8+Water!E8+Water!G8+Water!K8+Water!M8+Water!O8+Water!Q8)&lt;0,"0",Water!C8+Water!E8+Water!G8+Water!K8+Water!M8+Water!O8+Water!Q8)</f>
        <v>550</v>
      </c>
      <c r="H2" s="183">
        <f>2.1*0.5</f>
        <v>1.05</v>
      </c>
      <c r="I2" s="24">
        <f>IF((Gas!B8+Gas!E8+Gas!G8+Gas!I8+Gas!K8+Gas!M8+Gas!O8+Gas!Q8+Gas!S8+Gas!U8)&lt;0,"0",Gas!B8+Gas!E8+Gas!G8+Gas!I8+Gas!K8+Gas!M8+Gas!O8+Gas!Q8+Gas!S8+Gas!U8)</f>
        <v>1275</v>
      </c>
      <c r="J2" s="183">
        <f>2.1*0.5</f>
        <v>1.05</v>
      </c>
      <c r="K2" s="184">
        <f>'Chilled Water'!D4+'Chilled Water'!G4+'Chilled Water'!J4+'Chilled Water'!M4</f>
        <v>576</v>
      </c>
      <c r="L2" s="182">
        <f>'[1]MTD Utility Sheet'!F4/K2</f>
        <v>11.127395833333333</v>
      </c>
      <c r="M2" s="24">
        <f>Elect!B8</f>
        <v>0</v>
      </c>
      <c r="N2" s="2">
        <v>4.9000000000000004</v>
      </c>
      <c r="O2" s="179"/>
    </row>
    <row r="3" spans="1:15" x14ac:dyDescent="0.45">
      <c r="A3" s="180" t="s">
        <v>71</v>
      </c>
      <c r="B3" s="2">
        <f t="shared" ref="B3:B32" si="0">B2+1</f>
        <v>2</v>
      </c>
      <c r="C3" s="181">
        <v>3</v>
      </c>
      <c r="D3" s="2">
        <v>2024</v>
      </c>
      <c r="E3" s="24">
        <f>IF((Elect!D9+Elect!F9+Elect!H9+Elect!J9+Elect!L9+Elect!N9+Elect!R9+Elect!T9+Elect!V9+Elect!X9)&lt;0,"0",Elect!D9+Elect!F9+Elect!H9+Elect!J9+Elect!L9+Elect!N9+Elect!R9+Elect!T9+Elect!V9+Elect!X9)</f>
        <v>34164</v>
      </c>
      <c r="F3" s="182">
        <v>0.439</v>
      </c>
      <c r="G3" s="24">
        <f>IF((Water!C9+Water!E9+Water!G9+Water!K9+Water!M9+Water!O9+Water!Q9)&lt;0,"0",Water!C9+Water!E9+Water!G9+Water!K9+Water!M9+Water!O9+Water!Q9)</f>
        <v>511</v>
      </c>
      <c r="H3" s="183">
        <f t="shared" ref="H3:J32" si="1">2.1*0.5</f>
        <v>1.05</v>
      </c>
      <c r="I3" s="24">
        <f>IF((Gas!B9+Gas!E9+Gas!G9+Gas!I9+Gas!K9+Gas!M9+Gas!O9+Gas!Q9+Gas!S9+Gas!U9)&lt;0,"0",Gas!B9+Gas!E9+Gas!G9+Gas!I9+Gas!K9+Gas!M9+Gas!O9+Gas!Q9+Gas!S9+Gas!U9)</f>
        <v>76</v>
      </c>
      <c r="J3" s="183">
        <f t="shared" si="1"/>
        <v>1.05</v>
      </c>
      <c r="K3" s="184">
        <f>'Chilled Water'!D5+'Chilled Water'!G5+'Chilled Water'!J5+'Chilled Water'!M5</f>
        <v>3543</v>
      </c>
      <c r="L3" s="182">
        <f>'[1]MTD Utility Sheet'!F5/K3</f>
        <v>1.7553570420547557</v>
      </c>
      <c r="M3" s="24">
        <f>Elect!B9</f>
        <v>0</v>
      </c>
      <c r="N3" s="2">
        <v>5</v>
      </c>
      <c r="O3" s="179"/>
    </row>
    <row r="4" spans="1:15" x14ac:dyDescent="0.45">
      <c r="A4" s="180" t="s">
        <v>71</v>
      </c>
      <c r="B4" s="2">
        <f t="shared" si="0"/>
        <v>3</v>
      </c>
      <c r="C4" s="181">
        <v>3</v>
      </c>
      <c r="D4" s="2">
        <v>2024</v>
      </c>
      <c r="E4" s="24">
        <f>IF((Elect!D10+Elect!F10+Elect!H10+Elect!J10+Elect!L10+Elect!N10+Elect!R10+Elect!T10+Elect!V10+Elect!X10)&lt;0,"0",Elect!D10+Elect!F10+Elect!H10+Elect!J10+Elect!L10+Elect!N10+Elect!R10+Elect!T10+Elect!V10+Elect!X10)</f>
        <v>34097</v>
      </c>
      <c r="F4" s="182">
        <v>0.439</v>
      </c>
      <c r="G4" s="24">
        <f>IF((Water!C10+Water!E10+Water!G10+Water!K10+Water!M10+Water!O10+Water!Q10)&lt;0,"0",Water!C10+Water!E10+Water!G10+Water!K10+Water!M10+Water!O10+Water!Q10)</f>
        <v>464</v>
      </c>
      <c r="H4" s="183">
        <f t="shared" si="1"/>
        <v>1.05</v>
      </c>
      <c r="I4" s="24">
        <f>IF((Gas!B10+Gas!E10+Gas!G10+Gas!I10+Gas!K10+Gas!M10+Gas!O10+Gas!Q10+Gas!S10+Gas!U10)&lt;0,"0",Gas!B10+Gas!E10+Gas!G10+Gas!I10+Gas!K10+Gas!M10+Gas!O10+Gas!Q10+Gas!S10+Gas!U10)</f>
        <v>73</v>
      </c>
      <c r="J4" s="183">
        <f t="shared" si="1"/>
        <v>1.05</v>
      </c>
      <c r="K4" s="184">
        <f>'Chilled Water'!D6+'Chilled Water'!G6+'Chilled Water'!J6+'Chilled Water'!M6</f>
        <v>3671</v>
      </c>
      <c r="L4" s="182">
        <f>'[1]MTD Utility Sheet'!F6/K4</f>
        <v>1.807210569327159</v>
      </c>
      <c r="M4" s="24">
        <f>Elect!B10</f>
        <v>0</v>
      </c>
      <c r="N4" s="2">
        <v>5.0999999999999996</v>
      </c>
      <c r="O4" s="179"/>
    </row>
    <row r="5" spans="1:15" x14ac:dyDescent="0.45">
      <c r="A5" s="180" t="s">
        <v>71</v>
      </c>
      <c r="B5" s="2">
        <f t="shared" si="0"/>
        <v>4</v>
      </c>
      <c r="C5" s="181">
        <v>3</v>
      </c>
      <c r="D5" s="2">
        <v>2024</v>
      </c>
      <c r="E5" s="24">
        <f>IF((Elect!D11+Elect!F11+Elect!H11+Elect!J11+Elect!L11+Elect!N11+Elect!R11+Elect!T11+Elect!V11+Elect!X11)&lt;0,"0",Elect!D11+Elect!F11+Elect!H11+Elect!J11+Elect!L11+Elect!N11+Elect!R11+Elect!T11+Elect!V11+Elect!X11)</f>
        <v>34211</v>
      </c>
      <c r="F5" s="182">
        <v>0.439</v>
      </c>
      <c r="G5" s="24">
        <f>IF((Water!C11+Water!E11+Water!G11+Water!K11+Water!M11+Water!O11+Water!Q11)&lt;0,"0",Water!C11+Water!E11+Water!G11+Water!K11+Water!M11+Water!O11+Water!Q11)</f>
        <v>498</v>
      </c>
      <c r="H5" s="183">
        <f t="shared" si="1"/>
        <v>1.05</v>
      </c>
      <c r="I5" s="24">
        <f>IF((Gas!B11+Gas!E11+Gas!G11+Gas!I11+Gas!K11+Gas!M11+Gas!O11+Gas!Q11+Gas!S11+Gas!U11)&lt;0,"0",Gas!B11+Gas!E11+Gas!G11+Gas!I11+Gas!K11+Gas!M11+Gas!O11+Gas!Q11+Gas!S11+Gas!U11)</f>
        <v>74</v>
      </c>
      <c r="J5" s="183">
        <f t="shared" si="1"/>
        <v>1.05</v>
      </c>
      <c r="K5" s="184">
        <f>'Chilled Water'!D7+'Chilled Water'!G7+'Chilled Water'!J7+'Chilled Water'!M7</f>
        <v>3504</v>
      </c>
      <c r="L5" s="182">
        <f>'[1]MTD Utility Sheet'!F7/K5</f>
        <v>1.7623715753424658</v>
      </c>
      <c r="M5" s="24">
        <f>Elect!B11</f>
        <v>0</v>
      </c>
      <c r="N5" s="2">
        <v>3.8</v>
      </c>
      <c r="O5" s="179"/>
    </row>
    <row r="6" spans="1:15" x14ac:dyDescent="0.45">
      <c r="A6" s="180" t="s">
        <v>71</v>
      </c>
      <c r="B6" s="2">
        <f t="shared" si="0"/>
        <v>5</v>
      </c>
      <c r="C6" s="181">
        <v>3</v>
      </c>
      <c r="D6" s="2">
        <v>2024</v>
      </c>
      <c r="E6" s="24">
        <f>IF((Elect!D12+Elect!F12+Elect!H12+Elect!J12+Elect!L12+Elect!N12+Elect!R12+Elect!T12+Elect!V12+Elect!X12)&lt;0,"0",Elect!D12+Elect!F12+Elect!H12+Elect!J12+Elect!L12+Elect!N12+Elect!R12+Elect!T12+Elect!V12+Elect!X12)</f>
        <v>35774</v>
      </c>
      <c r="F6" s="182">
        <v>0.439</v>
      </c>
      <c r="G6" s="24">
        <f>IF((Water!C12+Water!E12+Water!G12+Water!K12+Water!M12+Water!O12+Water!Q12)&lt;0,"0",Water!C12+Water!E12+Water!G12+Water!K12+Water!M12+Water!O12+Water!Q12)</f>
        <v>546</v>
      </c>
      <c r="H6" s="183">
        <f t="shared" si="1"/>
        <v>1.05</v>
      </c>
      <c r="I6" s="24">
        <f>IF((Gas!B12+Gas!E12+Gas!G12+Gas!I12+Gas!K12+Gas!M12+Gas!O12+Gas!Q12+Gas!S12+Gas!U12)&lt;0,"0",Gas!B12+Gas!E12+Gas!G12+Gas!I12+Gas!K12+Gas!M12+Gas!O12+Gas!Q12+Gas!S12+Gas!U12)</f>
        <v>72</v>
      </c>
      <c r="J6" s="183">
        <f t="shared" si="1"/>
        <v>1.05</v>
      </c>
      <c r="K6" s="184">
        <f>'Chilled Water'!D8+'Chilled Water'!G8+'Chilled Water'!J8+'Chilled Water'!M8</f>
        <v>3420</v>
      </c>
      <c r="L6" s="182">
        <f>'[1]MTD Utility Sheet'!F8/K6</f>
        <v>1.8168859649122806</v>
      </c>
      <c r="M6" s="24">
        <f>Elect!B12</f>
        <v>0</v>
      </c>
      <c r="N6" s="2">
        <v>4.0999999999999996</v>
      </c>
      <c r="O6" s="179"/>
    </row>
    <row r="7" spans="1:15" x14ac:dyDescent="0.45">
      <c r="A7" s="180" t="s">
        <v>71</v>
      </c>
      <c r="B7" s="2">
        <f t="shared" si="0"/>
        <v>6</v>
      </c>
      <c r="C7" s="181">
        <v>3</v>
      </c>
      <c r="D7" s="2">
        <v>2024</v>
      </c>
      <c r="E7" s="24">
        <f>IF((Elect!D13+Elect!F13+Elect!H13+Elect!J13+Elect!L13+Elect!N13+Elect!R13+Elect!T13+Elect!V13+Elect!X13)&lt;0,"0",Elect!D13+Elect!F13+Elect!H13+Elect!J13+Elect!L13+Elect!N13+Elect!R13+Elect!T13+Elect!V13+Elect!X13)</f>
        <v>35146</v>
      </c>
      <c r="F7" s="182">
        <v>0.439</v>
      </c>
      <c r="G7" s="24">
        <f>IF((Water!C13+Water!E13+Water!G13+Water!K13+Water!M13+Water!O13+Water!Q13)&lt;0,"0",Water!C13+Water!E13+Water!G13+Water!K13+Water!M13+Water!O13+Water!Q13)</f>
        <v>460</v>
      </c>
      <c r="H7" s="183">
        <f t="shared" si="1"/>
        <v>1.05</v>
      </c>
      <c r="I7" s="24">
        <f>IF((Gas!B13+Gas!E13+Gas!G13+Gas!I13+Gas!K13+Gas!M13+Gas!O13+Gas!Q13+Gas!S13+Gas!U13)&lt;0,"0",Gas!B13+Gas!E13+Gas!G13+Gas!I13+Gas!K13+Gas!M13+Gas!O13+Gas!Q13+Gas!S13+Gas!U13)</f>
        <v>79</v>
      </c>
      <c r="J7" s="183">
        <f t="shared" si="1"/>
        <v>1.05</v>
      </c>
      <c r="K7" s="184">
        <f>'Chilled Water'!D9+'Chilled Water'!G9+'Chilled Water'!J9+'Chilled Water'!M9</f>
        <v>3604</v>
      </c>
      <c r="L7" s="182">
        <f>'[1]MTD Utility Sheet'!F9/K7</f>
        <v>1.7352857935627082</v>
      </c>
      <c r="M7" s="24">
        <f>Elect!B13</f>
        <v>0</v>
      </c>
      <c r="N7" s="2">
        <v>4.3</v>
      </c>
    </row>
    <row r="8" spans="1:15" x14ac:dyDescent="0.45">
      <c r="A8" s="180" t="s">
        <v>71</v>
      </c>
      <c r="B8" s="2">
        <f t="shared" si="0"/>
        <v>7</v>
      </c>
      <c r="C8" s="181">
        <v>3</v>
      </c>
      <c r="D8" s="2">
        <v>2024</v>
      </c>
      <c r="E8" s="24">
        <f>IF((Elect!D14+Elect!F14+Elect!H14+Elect!J14+Elect!L14+Elect!N14+Elect!R14+Elect!T14+Elect!V14+Elect!X14)&lt;0,"0",Elect!D14+Elect!F14+Elect!H14+Elect!J14+Elect!L14+Elect!N14+Elect!R14+Elect!T14+Elect!V14+Elect!X14)</f>
        <v>35292</v>
      </c>
      <c r="F8" s="182">
        <v>0.439</v>
      </c>
      <c r="G8" s="24">
        <f>IF((Water!C14+Water!E14+Water!G14+Water!K14+Water!M14+Water!O14+Water!Q14)&lt;0,"0",Water!C14+Water!E14+Water!G14+Water!K14+Water!M14+Water!O14+Water!Q14)</f>
        <v>530</v>
      </c>
      <c r="H8" s="183">
        <f t="shared" si="1"/>
        <v>1.05</v>
      </c>
      <c r="I8" s="24">
        <f>IF((Gas!B14+Gas!E14+Gas!G14+Gas!I14+Gas!K14+Gas!M14+Gas!O14+Gas!Q14+Gas!S14+Gas!U14)&lt;0,"0",Gas!B14+Gas!E14+Gas!G14+Gas!I14+Gas!K14+Gas!M14+Gas!O14+Gas!Q14+Gas!S14+Gas!U14)</f>
        <v>88</v>
      </c>
      <c r="J8" s="183">
        <f t="shared" si="1"/>
        <v>1.05</v>
      </c>
      <c r="K8" s="184">
        <f>'Chilled Water'!D10+'Chilled Water'!G10+'Chilled Water'!J10+'Chilled Water'!M10</f>
        <v>3649</v>
      </c>
      <c r="L8" s="182">
        <f>'[1]MTD Utility Sheet'!F10/K8</f>
        <v>1.6151767607563716</v>
      </c>
      <c r="M8" s="24">
        <f>Elect!B14</f>
        <v>0</v>
      </c>
      <c r="N8" s="2">
        <v>4.5999999999999996</v>
      </c>
    </row>
    <row r="9" spans="1:15" x14ac:dyDescent="0.45">
      <c r="A9" s="180" t="s">
        <v>71</v>
      </c>
      <c r="B9" s="2">
        <f t="shared" si="0"/>
        <v>8</v>
      </c>
      <c r="C9" s="181">
        <v>3</v>
      </c>
      <c r="D9" s="2">
        <v>2024</v>
      </c>
      <c r="E9" s="24">
        <f>IF((Elect!D15+Elect!F15+Elect!H15+Elect!J15+Elect!L15+Elect!N15+Elect!R15+Elect!T15+Elect!V15+Elect!X15)&lt;0,"0",Elect!D15+Elect!F15+Elect!H15+Elect!J15+Elect!L15+Elect!N15+Elect!R15+Elect!T15+Elect!V15+Elect!X15)</f>
        <v>34626</v>
      </c>
      <c r="F9" s="182">
        <v>0.439</v>
      </c>
      <c r="G9" s="24">
        <f>IF((Water!C15+Water!E15+Water!G15+Water!K15+Water!M15+Water!O15+Water!Q15)&lt;0,"0",Water!C15+Water!E15+Water!G15+Water!K15+Water!M15+Water!O15+Water!Q15)</f>
        <v>550</v>
      </c>
      <c r="H9" s="183">
        <f t="shared" si="1"/>
        <v>1.05</v>
      </c>
      <c r="I9" s="24">
        <f>IF((Gas!B15+Gas!E15+Gas!G15+Gas!I15+Gas!K15+Gas!M15+Gas!O15+Gas!Q15+Gas!S15+Gas!U15)&lt;0,"0",Gas!B15+Gas!E15+Gas!G15+Gas!I15+Gas!K15+Gas!M15+Gas!O15+Gas!Q15+Gas!S15+Gas!U15)</f>
        <v>89</v>
      </c>
      <c r="J9" s="183">
        <f t="shared" si="1"/>
        <v>1.05</v>
      </c>
      <c r="K9" s="184">
        <f>'Chilled Water'!D11+'Chilled Water'!G11+'Chilled Water'!J11+'Chilled Water'!M11</f>
        <v>3584</v>
      </c>
      <c r="L9" s="182">
        <f>'[1]MTD Utility Sheet'!F11/K9</f>
        <v>1.7306863839285713</v>
      </c>
      <c r="M9" s="24">
        <f>Elect!B15</f>
        <v>0</v>
      </c>
      <c r="N9" s="2">
        <v>6</v>
      </c>
    </row>
    <row r="10" spans="1:15" x14ac:dyDescent="0.45">
      <c r="A10" s="180" t="s">
        <v>71</v>
      </c>
      <c r="B10" s="2">
        <f t="shared" si="0"/>
        <v>9</v>
      </c>
      <c r="C10" s="181">
        <v>3</v>
      </c>
      <c r="D10" s="2">
        <v>2024</v>
      </c>
      <c r="E10" s="24">
        <f>IF((Elect!D16+Elect!F16+Elect!H16+Elect!J16+Elect!L16+Elect!N16+Elect!R16+Elect!T16+Elect!V16+Elect!X16)&lt;0,"0",Elect!D16+Elect!F16+Elect!H16+Elect!J16+Elect!L16+Elect!N16+Elect!R16+Elect!T16+Elect!V16+Elect!X16)</f>
        <v>38992</v>
      </c>
      <c r="F10" s="182">
        <v>0.439</v>
      </c>
      <c r="G10" s="24">
        <f>IF((Water!C16+Water!E16+Water!G16+Water!K16+Water!M16+Water!O16+Water!Q16)&lt;0,"0",Water!C16+Water!E16+Water!G16+Water!K16+Water!M16+Water!O16+Water!Q16)</f>
        <v>477</v>
      </c>
      <c r="H10" s="183">
        <f t="shared" si="1"/>
        <v>1.05</v>
      </c>
      <c r="I10" s="24">
        <f>IF((Gas!B16+Gas!E16+Gas!G16+Gas!I16+Gas!K16+Gas!M16+Gas!O16+Gas!Q16+Gas!S16+Gas!U16)&lt;0,"0",Gas!B16+Gas!E16+Gas!G16+Gas!I16+Gas!K16+Gas!M16+Gas!O16+Gas!Q16+Gas!S16+Gas!U16)</f>
        <v>94</v>
      </c>
      <c r="J10" s="183">
        <f t="shared" si="1"/>
        <v>1.05</v>
      </c>
      <c r="K10" s="184">
        <f>'Chilled Water'!D12+'Chilled Water'!G12+'Chilled Water'!J12+'Chilled Water'!M12</f>
        <v>3861</v>
      </c>
      <c r="L10" s="182">
        <f>'[1]MTD Utility Sheet'!F12/K10</f>
        <v>1.6230950530950532</v>
      </c>
      <c r="M10" s="24">
        <f>Elect!B16</f>
        <v>0</v>
      </c>
      <c r="N10" s="2">
        <v>8</v>
      </c>
    </row>
    <row r="11" spans="1:15" x14ac:dyDescent="0.45">
      <c r="A11" s="180" t="s">
        <v>71</v>
      </c>
      <c r="B11" s="2">
        <f t="shared" si="0"/>
        <v>10</v>
      </c>
      <c r="C11" s="181">
        <v>3</v>
      </c>
      <c r="D11" s="2">
        <v>2024</v>
      </c>
      <c r="E11" s="24">
        <f>IF((Elect!D17+Elect!F17+Elect!H17+Elect!J17+Elect!L17+Elect!N17+Elect!R17+Elect!T17+Elect!V17+Elect!X17)&lt;0,"0",Elect!D17+Elect!F17+Elect!H17+Elect!J17+Elect!L17+Elect!N17+Elect!R17+Elect!T17+Elect!V17+Elect!X17)</f>
        <v>36513</v>
      </c>
      <c r="F11" s="182">
        <v>0.439</v>
      </c>
      <c r="G11" s="24">
        <f>IF((Water!C17+Water!E17+Water!G17+Water!K17+Water!M17+Water!O17+Water!Q17)&lt;0,"0",Water!C17+Water!E17+Water!G17+Water!K17+Water!M17+Water!O17+Water!Q17)</f>
        <v>466</v>
      </c>
      <c r="H11" s="183">
        <f t="shared" si="1"/>
        <v>1.05</v>
      </c>
      <c r="I11" s="24">
        <f>IF((Gas!B17+Gas!E17+Gas!G17+Gas!I17+Gas!K17+Gas!M17+Gas!O17+Gas!Q17+Gas!S17+Gas!U17)&lt;0,"0",Gas!B17+Gas!E17+Gas!G17+Gas!I17+Gas!K17+Gas!M17+Gas!O17+Gas!Q17+Gas!S17+Gas!U17)</f>
        <v>75</v>
      </c>
      <c r="J11" s="183">
        <f t="shared" si="1"/>
        <v>1.05</v>
      </c>
      <c r="K11" s="184">
        <f>'Chilled Water'!D13+'Chilled Water'!G13+'Chilled Water'!J13+'Chilled Water'!M13</f>
        <v>3718</v>
      </c>
      <c r="L11" s="182">
        <f>'[1]MTD Utility Sheet'!F13/K11</f>
        <v>1.7278133405056482</v>
      </c>
      <c r="M11" s="24">
        <f>Elect!B17</f>
        <v>0</v>
      </c>
      <c r="N11" s="2">
        <v>8.1999999999999993</v>
      </c>
    </row>
    <row r="12" spans="1:15" x14ac:dyDescent="0.45">
      <c r="A12" s="180" t="s">
        <v>71</v>
      </c>
      <c r="B12" s="2">
        <f t="shared" si="0"/>
        <v>11</v>
      </c>
      <c r="C12" s="181">
        <v>3</v>
      </c>
      <c r="D12" s="2">
        <v>2024</v>
      </c>
      <c r="E12" s="24">
        <f>IF((Elect!D18+Elect!F18+Elect!H18+Elect!J18+Elect!L18+Elect!N18+Elect!R18+Elect!T18+Elect!V18+Elect!X18)&lt;0,"0",Elect!D18+Elect!F18+Elect!H18+Elect!J18+Elect!L18+Elect!N18+Elect!R18+Elect!T18+Elect!V18+Elect!X18)</f>
        <v>35616</v>
      </c>
      <c r="F12" s="182">
        <v>0.439</v>
      </c>
      <c r="G12" s="24">
        <f>IF((Water!C18+Water!E18+Water!G18+Water!K18+Water!M18+Water!O18+Water!Q18)&lt;0,"0",Water!C18+Water!E18+Water!G18+Water!K18+Water!M18+Water!O18+Water!Q18)</f>
        <v>480</v>
      </c>
      <c r="H12" s="183">
        <f t="shared" si="1"/>
        <v>1.05</v>
      </c>
      <c r="I12" s="24">
        <f>IF((Gas!B18+Gas!E18+Gas!G18+Gas!I18+Gas!K18+Gas!M18+Gas!O18+Gas!Q18+Gas!S18+Gas!U18)&lt;0,"0",Gas!B18+Gas!E18+Gas!G18+Gas!I18+Gas!K18+Gas!M18+Gas!O18+Gas!Q18+Gas!S18+Gas!U18)</f>
        <v>1677</v>
      </c>
      <c r="J12" s="183">
        <f t="shared" si="1"/>
        <v>1.05</v>
      </c>
      <c r="K12" s="184">
        <f>'Chilled Water'!D14+'Chilled Water'!G14+'Chilled Water'!J14+'Chilled Water'!M14</f>
        <v>3503</v>
      </c>
      <c r="L12" s="182">
        <f>'[1]MTD Utility Sheet'!F14/K12</f>
        <v>1.7947131030545247</v>
      </c>
      <c r="M12" s="24">
        <f>Elect!B18</f>
        <v>0</v>
      </c>
      <c r="N12" s="2">
        <v>8.3000000000000007</v>
      </c>
    </row>
    <row r="13" spans="1:15" x14ac:dyDescent="0.45">
      <c r="A13" s="180" t="s">
        <v>71</v>
      </c>
      <c r="B13" s="2">
        <f t="shared" si="0"/>
        <v>12</v>
      </c>
      <c r="C13" s="181">
        <v>3</v>
      </c>
      <c r="D13" s="2">
        <v>2024</v>
      </c>
      <c r="E13" s="24">
        <f>IF((Elect!D19+Elect!F19+Elect!H19+Elect!J19+Elect!L19+Elect!N19+Elect!R19+Elect!T19+Elect!V19+Elect!X19)&lt;0,"0",Elect!D19+Elect!F19+Elect!H19+Elect!J19+Elect!L19+Elect!N19+Elect!R19+Elect!T19+Elect!V19+Elect!X19)</f>
        <v>35814</v>
      </c>
      <c r="F13" s="182">
        <v>0.439</v>
      </c>
      <c r="G13" s="24">
        <f>IF((Water!C19+Water!E19+Water!G19+Water!K19+Water!M19+Water!O19+Water!Q19)&lt;0,"0",Water!C19+Water!E19+Water!G19+Water!K19+Water!M19+Water!O19+Water!Q19)</f>
        <v>476</v>
      </c>
      <c r="H13" s="183">
        <f t="shared" si="1"/>
        <v>1.05</v>
      </c>
      <c r="I13" s="24">
        <f>IF((Gas!B19+Gas!E19+Gas!G19+Gas!I19+Gas!K19+Gas!M19+Gas!O19+Gas!Q19+Gas!S19+Gas!U19)&lt;0,"0",Gas!B19+Gas!E19+Gas!G19+Gas!I19+Gas!K19+Gas!M19+Gas!O19+Gas!Q19+Gas!S19+Gas!U19)</f>
        <v>76</v>
      </c>
      <c r="J13" s="183">
        <f t="shared" si="1"/>
        <v>1.05</v>
      </c>
      <c r="K13" s="184">
        <f>'Chilled Water'!D15+'Chilled Water'!G15+'Chilled Water'!J15+'Chilled Water'!M15</f>
        <v>3892</v>
      </c>
      <c r="L13" s="182">
        <f>'[1]MTD Utility Sheet'!F15/K13</f>
        <v>1.6214414182939363</v>
      </c>
      <c r="M13" s="24">
        <f>Elect!B19</f>
        <v>0</v>
      </c>
      <c r="N13" s="2">
        <v>8.6999999999999993</v>
      </c>
    </row>
    <row r="14" spans="1:15" x14ac:dyDescent="0.45">
      <c r="A14" s="180" t="s">
        <v>71</v>
      </c>
      <c r="B14" s="2">
        <f t="shared" si="0"/>
        <v>13</v>
      </c>
      <c r="C14" s="181">
        <v>3</v>
      </c>
      <c r="D14" s="2">
        <v>2024</v>
      </c>
      <c r="E14" s="24" t="str">
        <f>IF((Elect!D20+Elect!F20+Elect!H20+Elect!J20+Elect!L20+Elect!N20+Elect!R20+Elect!T20+Elect!V20+Elect!X20)&lt;0,"0",Elect!D20+Elect!F20+Elect!H20+Elect!J20+Elect!L20+Elect!N20+Elect!R20+Elect!T20+Elect!V20+Elect!X20)</f>
        <v>0</v>
      </c>
      <c r="F14" s="182">
        <v>0.439</v>
      </c>
      <c r="G14" s="24" t="str">
        <f>IF((Water!C20+Water!E20+Water!G20+Water!K20+Water!M20+Water!O20+Water!Q20)&lt;0,"0",Water!C20+Water!E20+Water!G20+Water!K20+Water!M20+Water!O20+Water!Q20)</f>
        <v>0</v>
      </c>
      <c r="H14" s="183">
        <f t="shared" si="1"/>
        <v>1.05</v>
      </c>
      <c r="I14" s="24" t="str">
        <f>IF((Gas!B20+Gas!E20+Gas!G20+Gas!I20+Gas!K20+Gas!M20+Gas!O20+Gas!Q20+Gas!S20+Gas!U20)&lt;0,"0",Gas!B20+Gas!E20+Gas!G20+Gas!I20+Gas!K20+Gas!M20+Gas!O20+Gas!Q20+Gas!S20+Gas!U20)</f>
        <v>0</v>
      </c>
      <c r="J14" s="183">
        <f t="shared" si="1"/>
        <v>1.05</v>
      </c>
      <c r="K14" s="184">
        <f>'Chilled Water'!D16+'Chilled Water'!G16+'Chilled Water'!J16+'Chilled Water'!M16</f>
        <v>-40525</v>
      </c>
      <c r="L14" s="182">
        <f>'[1]MTD Utility Sheet'!F16/K14</f>
        <v>-0.15793312769895126</v>
      </c>
      <c r="M14" s="24">
        <f>Elect!B20</f>
        <v>0</v>
      </c>
      <c r="N14" s="2">
        <v>7.9</v>
      </c>
    </row>
    <row r="15" spans="1:15" x14ac:dyDescent="0.45">
      <c r="A15" s="180" t="s">
        <v>71</v>
      </c>
      <c r="B15" s="2">
        <f t="shared" si="0"/>
        <v>14</v>
      </c>
      <c r="C15" s="181">
        <v>3</v>
      </c>
      <c r="D15" s="2">
        <v>2024</v>
      </c>
      <c r="E15" s="24">
        <f>IF((Elect!D21+Elect!F21+Elect!H21+Elect!J21+Elect!L21+Elect!N21+Elect!R21+Elect!T21+Elect!V21+Elect!X21)&lt;0,"0",Elect!D21+Elect!F21+Elect!H21+Elect!J21+Elect!L21+Elect!N21+Elect!R21+Elect!T21+Elect!V21+Elect!X21)</f>
        <v>0</v>
      </c>
      <c r="F15" s="182">
        <v>0.439</v>
      </c>
      <c r="G15" s="24">
        <f>IF((Water!C21+Water!E21+Water!G21+Water!K21+Water!M21+Water!O21+Water!Q21)&lt;0,"0",Water!C21+Water!E21+Water!G21+Water!K21+Water!M21+Water!O21+Water!Q21)</f>
        <v>0</v>
      </c>
      <c r="H15" s="183">
        <f t="shared" si="1"/>
        <v>1.05</v>
      </c>
      <c r="I15" s="24">
        <f>IF((Gas!B21+Gas!E21+Gas!G21+Gas!I21+Gas!K21+Gas!M21+Gas!O21+Gas!Q21+Gas!S21+Gas!U21)&lt;0,"0",Gas!B21+Gas!E21+Gas!G21+Gas!I21+Gas!K21+Gas!M21+Gas!O21+Gas!Q21+Gas!S21+Gas!U21)</f>
        <v>0</v>
      </c>
      <c r="J15" s="183">
        <f t="shared" si="1"/>
        <v>1.05</v>
      </c>
      <c r="K15" s="184">
        <f>'Chilled Water'!D17+'Chilled Water'!G17+'Chilled Water'!J17+'Chilled Water'!M17</f>
        <v>0</v>
      </c>
      <c r="L15" s="182" t="e">
        <f>'[1]MTD Utility Sheet'!F17/K15</f>
        <v>#DIV/0!</v>
      </c>
      <c r="M15" s="24">
        <f>Elect!B21</f>
        <v>0</v>
      </c>
      <c r="N15" s="2">
        <v>6.2</v>
      </c>
    </row>
    <row r="16" spans="1:15" x14ac:dyDescent="0.45">
      <c r="A16" s="180" t="s">
        <v>71</v>
      </c>
      <c r="B16" s="2">
        <f t="shared" si="0"/>
        <v>15</v>
      </c>
      <c r="C16" s="181">
        <v>3</v>
      </c>
      <c r="D16" s="2">
        <v>2024</v>
      </c>
      <c r="E16" s="24">
        <f>IF((Elect!D22+Elect!F22+Elect!H22+Elect!J22+Elect!L22+Elect!N22+Elect!R22+Elect!T22+Elect!V22+Elect!X22)&lt;0,"0",Elect!D22+Elect!F22+Elect!H22+Elect!J22+Elect!L22+Elect!N22+Elect!R22+Elect!T22+Elect!V22+Elect!X22)</f>
        <v>0</v>
      </c>
      <c r="F16" s="182">
        <v>0.439</v>
      </c>
      <c r="G16" s="24">
        <f>IF((Water!C22+Water!E22+Water!G22+Water!K22+Water!M22+Water!O22+Water!Q22)&lt;0,"0",Water!C22+Water!E22+Water!G22+Water!K22+Water!M22+Water!O22+Water!Q22)</f>
        <v>0</v>
      </c>
      <c r="H16" s="183">
        <f t="shared" si="1"/>
        <v>1.05</v>
      </c>
      <c r="I16" s="24">
        <f>IF((Gas!B22+Gas!E22+Gas!G22+Gas!I22+Gas!K22+Gas!M22+Gas!O22+Gas!Q22+Gas!S22+Gas!U22)&lt;0,"0",Gas!B22+Gas!E22+Gas!G22+Gas!I22+Gas!K22+Gas!M22+Gas!O22+Gas!Q22+Gas!S22+Gas!U22)</f>
        <v>0</v>
      </c>
      <c r="J16" s="183">
        <f t="shared" si="1"/>
        <v>1.05</v>
      </c>
      <c r="K16" s="184">
        <f>'Chilled Water'!D18+'Chilled Water'!G18+'Chilled Water'!J18+'Chilled Water'!M18</f>
        <v>0</v>
      </c>
      <c r="L16" s="182" t="e">
        <f>'[1]MTD Utility Sheet'!F18/K16</f>
        <v>#DIV/0!</v>
      </c>
      <c r="M16" s="24">
        <f>Elect!B22</f>
        <v>0</v>
      </c>
      <c r="N16" s="2">
        <v>6.5</v>
      </c>
    </row>
    <row r="17" spans="1:14" x14ac:dyDescent="0.45">
      <c r="A17" s="180" t="s">
        <v>71</v>
      </c>
      <c r="B17" s="2">
        <f t="shared" si="0"/>
        <v>16</v>
      </c>
      <c r="C17" s="181">
        <v>3</v>
      </c>
      <c r="D17" s="2">
        <v>2024</v>
      </c>
      <c r="E17" s="24">
        <f>IF((Elect!D23+Elect!F23+Elect!H23+Elect!J23+Elect!L23+Elect!N23+Elect!R23+Elect!T23+Elect!V23+Elect!X23)&lt;0,"0",Elect!D23+Elect!F23+Elect!H23+Elect!J23+Elect!L23+Elect!N23+Elect!R23+Elect!T23+Elect!V23+Elect!X23)</f>
        <v>0</v>
      </c>
      <c r="F17" s="182">
        <v>0.439</v>
      </c>
      <c r="G17" s="24">
        <f>IF((Water!C23+Water!E23+Water!G23+Water!K23+Water!M23+Water!O23+Water!Q23)&lt;0,"0",Water!C23+Water!E23+Water!G23+Water!K23+Water!M23+Water!O23+Water!Q23)</f>
        <v>0</v>
      </c>
      <c r="H17" s="183">
        <f t="shared" si="1"/>
        <v>1.05</v>
      </c>
      <c r="I17" s="24">
        <f>IF((Gas!B23+Gas!E23+Gas!G23+Gas!I23+Gas!K23+Gas!M23+Gas!O23+Gas!Q23+Gas!S23+Gas!U23)&lt;0,"0",Gas!B23+Gas!E23+Gas!G23+Gas!I23+Gas!K23+Gas!M23+Gas!O23+Gas!Q23+Gas!S23+Gas!U23)</f>
        <v>0</v>
      </c>
      <c r="J17" s="183">
        <f t="shared" si="1"/>
        <v>1.05</v>
      </c>
      <c r="K17" s="184">
        <f>'Chilled Water'!D19+'Chilled Water'!G19+'Chilled Water'!J19+'Chilled Water'!M19</f>
        <v>0</v>
      </c>
      <c r="L17" s="182" t="e">
        <f>'[1]MTD Utility Sheet'!F19/K17</f>
        <v>#DIV/0!</v>
      </c>
      <c r="M17" s="24">
        <f>Elect!B23</f>
        <v>0</v>
      </c>
      <c r="N17" s="2">
        <v>6.8</v>
      </c>
    </row>
    <row r="18" spans="1:14" x14ac:dyDescent="0.45">
      <c r="A18" s="180" t="s">
        <v>71</v>
      </c>
      <c r="B18" s="2">
        <f t="shared" si="0"/>
        <v>17</v>
      </c>
      <c r="C18" s="181">
        <v>3</v>
      </c>
      <c r="D18" s="2">
        <v>2024</v>
      </c>
      <c r="E18" s="24">
        <f>IF((Elect!D24+Elect!F24+Elect!H24+Elect!J24+Elect!L24+Elect!N24+Elect!R24+Elect!T24+Elect!V24+Elect!X24)&lt;0,"0",Elect!D24+Elect!F24+Elect!H24+Elect!J24+Elect!L24+Elect!N24+Elect!R24+Elect!T24+Elect!V24+Elect!X24)</f>
        <v>0</v>
      </c>
      <c r="F18" s="182">
        <v>0.439</v>
      </c>
      <c r="G18" s="24">
        <f>IF((Water!C24+Water!E24+Water!G24+Water!K24+Water!M24+Water!O24+Water!Q24)&lt;0,"0",Water!C24+Water!E24+Water!G24+Water!K24+Water!M24+Water!O24+Water!Q24)</f>
        <v>0</v>
      </c>
      <c r="H18" s="183">
        <f t="shared" si="1"/>
        <v>1.05</v>
      </c>
      <c r="I18" s="24">
        <f>IF((Gas!B24+Gas!E24+Gas!G24+Gas!I24+Gas!K24+Gas!M24+Gas!O24+Gas!Q24+Gas!S24+Gas!U24)&lt;0,"0",Gas!B24+Gas!E24+Gas!G24+Gas!I24+Gas!K24+Gas!M24+Gas!O24+Gas!Q24+Gas!S24+Gas!U24)</f>
        <v>0</v>
      </c>
      <c r="J18" s="183">
        <f t="shared" si="1"/>
        <v>1.05</v>
      </c>
      <c r="K18" s="184">
        <f>'Chilled Water'!D20+'Chilled Water'!G20+'Chilled Water'!J20+'Chilled Water'!M20</f>
        <v>0</v>
      </c>
      <c r="L18" s="182" t="e">
        <f>'[1]MTD Utility Sheet'!F20/K18</f>
        <v>#DIV/0!</v>
      </c>
      <c r="M18" s="24">
        <f>Elect!B24</f>
        <v>0</v>
      </c>
      <c r="N18" s="2">
        <v>4.9000000000000004</v>
      </c>
    </row>
    <row r="19" spans="1:14" x14ac:dyDescent="0.45">
      <c r="A19" s="180" t="s">
        <v>71</v>
      </c>
      <c r="B19" s="2">
        <f t="shared" si="0"/>
        <v>18</v>
      </c>
      <c r="C19" s="181">
        <v>3</v>
      </c>
      <c r="D19" s="2">
        <v>2024</v>
      </c>
      <c r="E19" s="24">
        <f>IF((Elect!D25+Elect!F25+Elect!H25+Elect!J25+Elect!L25+Elect!N25+Elect!R25+Elect!T25+Elect!V25+Elect!X25)&lt;0,"0",Elect!D25+Elect!F25+Elect!H25+Elect!J25+Elect!L25+Elect!N25+Elect!R25+Elect!T25+Elect!V25+Elect!X25)</f>
        <v>0</v>
      </c>
      <c r="F19" s="182">
        <v>0.439</v>
      </c>
      <c r="G19" s="24">
        <f>IF((Water!C25+Water!E25+Water!G25+Water!K25+Water!M25+Water!O25+Water!Q25)&lt;0,"0",Water!C25+Water!E25+Water!G25+Water!K25+Water!M25+Water!O25+Water!Q25)</f>
        <v>0</v>
      </c>
      <c r="H19" s="183">
        <f t="shared" si="1"/>
        <v>1.05</v>
      </c>
      <c r="I19" s="24">
        <f>IF((Gas!B25+Gas!E25+Gas!G25+Gas!I25+Gas!K25+Gas!M25+Gas!O25+Gas!Q25+Gas!S25+Gas!U25)&lt;0,"0",Gas!B25+Gas!E25+Gas!G25+Gas!I25+Gas!K25+Gas!M25+Gas!O25+Gas!Q25+Gas!S25+Gas!U25)</f>
        <v>0</v>
      </c>
      <c r="J19" s="183">
        <f t="shared" si="1"/>
        <v>1.05</v>
      </c>
      <c r="K19" s="184">
        <f>'Chilled Water'!D21+'Chilled Water'!G21+'Chilled Water'!J21+'Chilled Water'!M21</f>
        <v>0</v>
      </c>
      <c r="L19" s="182" t="e">
        <f>'[1]MTD Utility Sheet'!F21/K19</f>
        <v>#DIV/0!</v>
      </c>
      <c r="M19" s="24">
        <f>Elect!B25</f>
        <v>0</v>
      </c>
      <c r="N19" s="2">
        <v>2.8</v>
      </c>
    </row>
    <row r="20" spans="1:14" x14ac:dyDescent="0.45">
      <c r="A20" s="180" t="s">
        <v>71</v>
      </c>
      <c r="B20" s="2">
        <f t="shared" si="0"/>
        <v>19</v>
      </c>
      <c r="C20" s="181">
        <v>3</v>
      </c>
      <c r="D20" s="2">
        <v>2024</v>
      </c>
      <c r="E20" s="24">
        <f>IF((Elect!D26+Elect!F26+Elect!H26+Elect!J26+Elect!L26+Elect!N26+Elect!R26+Elect!T26+Elect!V26+Elect!X26)&lt;0,"0",Elect!D26+Elect!F26+Elect!H26+Elect!J26+Elect!L26+Elect!N26+Elect!R26+Elect!T26+Elect!V26+Elect!X26)</f>
        <v>0</v>
      </c>
      <c r="F20" s="182">
        <v>0.439</v>
      </c>
      <c r="G20" s="24">
        <f>IF((Water!C26+Water!E26+Water!G26+Water!K26+Water!M26+Water!O26+Water!Q26)&lt;0,"0",Water!C26+Water!E26+Water!G26+Water!K26+Water!M26+Water!O26+Water!Q26)</f>
        <v>0</v>
      </c>
      <c r="H20" s="183">
        <f t="shared" si="1"/>
        <v>1.05</v>
      </c>
      <c r="I20" s="24">
        <f>IF((Gas!B26+Gas!E26+Gas!G26+Gas!I26+Gas!K26+Gas!M26+Gas!O26+Gas!Q26+Gas!S26+Gas!U26)&lt;0,"0",Gas!B26+Gas!E26+Gas!G26+Gas!I26+Gas!K26+Gas!M26+Gas!O26+Gas!Q26+Gas!S26+Gas!U26)</f>
        <v>0</v>
      </c>
      <c r="J20" s="183">
        <f t="shared" si="1"/>
        <v>1.05</v>
      </c>
      <c r="K20" s="184">
        <f>'Chilled Water'!D22+'Chilled Water'!G22+'Chilled Water'!J22+'Chilled Water'!M22</f>
        <v>0</v>
      </c>
      <c r="L20" s="182" t="e">
        <f>'[1]MTD Utility Sheet'!F22/K20</f>
        <v>#DIV/0!</v>
      </c>
      <c r="M20" s="24">
        <f>Elect!B26</f>
        <v>0</v>
      </c>
      <c r="N20" s="2">
        <v>3.2</v>
      </c>
    </row>
    <row r="21" spans="1:14" x14ac:dyDescent="0.45">
      <c r="A21" s="180" t="s">
        <v>71</v>
      </c>
      <c r="B21" s="2">
        <f t="shared" si="0"/>
        <v>20</v>
      </c>
      <c r="C21" s="181">
        <v>3</v>
      </c>
      <c r="D21" s="2">
        <v>2024</v>
      </c>
      <c r="E21" s="24">
        <f>IF((Elect!D27+Elect!F27+Elect!H27+Elect!J27+Elect!L27+Elect!N27+Elect!R27+Elect!T27+Elect!V27+Elect!X27)&lt;0,"0",Elect!D27+Elect!F27+Elect!H27+Elect!J27+Elect!L27+Elect!N27+Elect!R27+Elect!T27+Elect!V27+Elect!X27)</f>
        <v>0</v>
      </c>
      <c r="F21" s="182">
        <v>0.439</v>
      </c>
      <c r="G21" s="24">
        <f>IF((Water!C27+Water!E27+Water!G27+Water!K27+Water!M27+Water!O27+Water!Q27)&lt;0,"0",Water!C27+Water!E27+Water!G27+Water!K27+Water!M27+Water!O27+Water!Q27)</f>
        <v>0</v>
      </c>
      <c r="H21" s="183">
        <f t="shared" si="1"/>
        <v>1.05</v>
      </c>
      <c r="I21" s="24">
        <f>IF((Gas!B27+Gas!E27+Gas!G27+Gas!I27+Gas!K27+Gas!M27+Gas!O27+Gas!Q27+Gas!S27+Gas!U27)&lt;0,"0",Gas!B27+Gas!E27+Gas!G27+Gas!I27+Gas!K27+Gas!M27+Gas!O27+Gas!Q27+Gas!S27+Gas!U27)</f>
        <v>0</v>
      </c>
      <c r="J21" s="183">
        <f t="shared" si="1"/>
        <v>1.05</v>
      </c>
      <c r="K21" s="184">
        <f>'Chilled Water'!D23+'Chilled Water'!G23+'Chilled Water'!J23+'Chilled Water'!M23</f>
        <v>0</v>
      </c>
      <c r="L21" s="182" t="e">
        <f>'[1]MTD Utility Sheet'!F23/K21</f>
        <v>#DIV/0!</v>
      </c>
      <c r="M21" s="24">
        <f>Elect!B27</f>
        <v>0</v>
      </c>
      <c r="N21" s="2">
        <v>5.4</v>
      </c>
    </row>
    <row r="22" spans="1:14" x14ac:dyDescent="0.45">
      <c r="A22" s="180" t="s">
        <v>71</v>
      </c>
      <c r="B22" s="2">
        <f t="shared" si="0"/>
        <v>21</v>
      </c>
      <c r="C22" s="181">
        <v>3</v>
      </c>
      <c r="D22" s="2">
        <v>2024</v>
      </c>
      <c r="E22" s="24">
        <f>IF((Elect!D28+Elect!F28+Elect!H28+Elect!J28+Elect!L28+Elect!N28+Elect!R28+Elect!T28+Elect!V28+Elect!X28)&lt;0,"0",Elect!D28+Elect!F28+Elect!H28+Elect!J28+Elect!L28+Elect!N28+Elect!R28+Elect!T28+Elect!V28+Elect!X28)</f>
        <v>0</v>
      </c>
      <c r="F22" s="182">
        <v>0.439</v>
      </c>
      <c r="G22" s="24">
        <f>IF((Water!C28+Water!E28+Water!G28+Water!K28+Water!M28+Water!O28+Water!Q28)&lt;0,"0",Water!C28+Water!E28+Water!G28+Water!K28+Water!M28+Water!O28+Water!Q28)</f>
        <v>0</v>
      </c>
      <c r="H22" s="183">
        <f t="shared" si="1"/>
        <v>1.05</v>
      </c>
      <c r="I22" s="24">
        <f>IF((Gas!B28+Gas!E28+Gas!G28+Gas!I28+Gas!K28+Gas!M28+Gas!O28+Gas!Q28+Gas!S28+Gas!U28)&lt;0,"0",Gas!B28+Gas!E28+Gas!G28+Gas!I28+Gas!K28+Gas!M28+Gas!O28+Gas!Q28+Gas!S28+Gas!U28)</f>
        <v>0</v>
      </c>
      <c r="J22" s="183">
        <f t="shared" si="1"/>
        <v>1.05</v>
      </c>
      <c r="K22" s="184">
        <f>'Chilled Water'!D24+'Chilled Water'!G24+'Chilled Water'!J24+'Chilled Water'!M24</f>
        <v>0</v>
      </c>
      <c r="L22" s="182" t="e">
        <f>'[1]MTD Utility Sheet'!F24/K22</f>
        <v>#DIV/0!</v>
      </c>
      <c r="M22" s="24">
        <f>Elect!B28</f>
        <v>0</v>
      </c>
      <c r="N22" s="2">
        <v>5.9</v>
      </c>
    </row>
    <row r="23" spans="1:14" x14ac:dyDescent="0.45">
      <c r="A23" s="180" t="s">
        <v>71</v>
      </c>
      <c r="B23" s="2">
        <f t="shared" si="0"/>
        <v>22</v>
      </c>
      <c r="C23" s="181">
        <v>3</v>
      </c>
      <c r="D23" s="2">
        <v>2024</v>
      </c>
      <c r="E23" s="24">
        <f>IF((Elect!D29+Elect!F29+Elect!H29+Elect!J29+Elect!L29+Elect!N29+Elect!R29+Elect!T29+Elect!V29+Elect!X29)&lt;0,"0",Elect!D29+Elect!F29+Elect!H29+Elect!J29+Elect!L29+Elect!N29+Elect!R29+Elect!T29+Elect!V29+Elect!X29)</f>
        <v>0</v>
      </c>
      <c r="F23" s="182">
        <v>0.439</v>
      </c>
      <c r="G23" s="24">
        <f>IF((Water!C29+Water!E29+Water!G29+Water!K29+Water!M29+Water!O29+Water!Q29)&lt;0,"0",Water!C29+Water!E29+Water!G29+Water!K29+Water!M29+Water!O29+Water!Q29)</f>
        <v>0</v>
      </c>
      <c r="H23" s="183">
        <f t="shared" si="1"/>
        <v>1.05</v>
      </c>
      <c r="I23" s="24">
        <f>IF((Gas!B29+Gas!E29+Gas!G29+Gas!I29+Gas!K29+Gas!M29+Gas!O29+Gas!Q29+Gas!S29+Gas!U29)&lt;0,"0",Gas!B29+Gas!E29+Gas!G29+Gas!I29+Gas!K29+Gas!M29+Gas!O29+Gas!Q29+Gas!S29+Gas!U29)</f>
        <v>0</v>
      </c>
      <c r="J23" s="183">
        <f t="shared" si="1"/>
        <v>1.05</v>
      </c>
      <c r="K23" s="184">
        <f>'Chilled Water'!D25+'Chilled Water'!G25+'Chilled Water'!J25+'Chilled Water'!M25</f>
        <v>0</v>
      </c>
      <c r="L23" s="182" t="e">
        <f>'[1]MTD Utility Sheet'!F25/K23</f>
        <v>#DIV/0!</v>
      </c>
      <c r="M23" s="24">
        <f>Elect!B29</f>
        <v>0</v>
      </c>
      <c r="N23" s="2">
        <v>3.7</v>
      </c>
    </row>
    <row r="24" spans="1:14" x14ac:dyDescent="0.45">
      <c r="A24" s="180" t="s">
        <v>71</v>
      </c>
      <c r="B24" s="2">
        <f t="shared" si="0"/>
        <v>23</v>
      </c>
      <c r="C24" s="181">
        <v>3</v>
      </c>
      <c r="D24" s="2">
        <v>2024</v>
      </c>
      <c r="E24" s="24">
        <f>IF((Elect!D30+Elect!F30+Elect!H30+Elect!J30+Elect!L30+Elect!N30+Elect!R30+Elect!T30+Elect!V30+Elect!X30)&lt;0,"0",Elect!D30+Elect!F30+Elect!H30+Elect!J30+Elect!L30+Elect!N30+Elect!R30+Elect!T30+Elect!V30+Elect!X30)</f>
        <v>0</v>
      </c>
      <c r="F24" s="182">
        <v>0.439</v>
      </c>
      <c r="G24" s="24">
        <f>IF((Water!C30+Water!E30+Water!G30+Water!K30+Water!M30+Water!O30+Water!Q30)&lt;0,"0",Water!C30+Water!E30+Water!G30+Water!K30+Water!M30+Water!O30+Water!Q30)</f>
        <v>0</v>
      </c>
      <c r="H24" s="183">
        <f t="shared" si="1"/>
        <v>1.05</v>
      </c>
      <c r="I24" s="24">
        <f>IF((Gas!B30+Gas!E30+Gas!G30+Gas!I30+Gas!K30+Gas!M30+Gas!O30+Gas!Q30+Gas!S30+Gas!U30)&lt;0,"0",Gas!B30+Gas!E30+Gas!G30+Gas!I30+Gas!K30+Gas!M30+Gas!O30+Gas!Q30+Gas!S30+Gas!U30)</f>
        <v>0</v>
      </c>
      <c r="J24" s="183">
        <f t="shared" si="1"/>
        <v>1.05</v>
      </c>
      <c r="K24" s="184">
        <f>'Chilled Water'!D26+'Chilled Water'!G26+'Chilled Water'!J26+'Chilled Water'!M26</f>
        <v>0</v>
      </c>
      <c r="L24" s="182" t="e">
        <f>'[1]MTD Utility Sheet'!F26/K24</f>
        <v>#DIV/0!</v>
      </c>
      <c r="M24" s="24">
        <f>Elect!B30</f>
        <v>0</v>
      </c>
      <c r="N24" s="2">
        <v>3</v>
      </c>
    </row>
    <row r="25" spans="1:14" x14ac:dyDescent="0.45">
      <c r="A25" s="180" t="s">
        <v>71</v>
      </c>
      <c r="B25" s="2">
        <f t="shared" si="0"/>
        <v>24</v>
      </c>
      <c r="C25" s="181">
        <v>3</v>
      </c>
      <c r="D25" s="2">
        <v>2024</v>
      </c>
      <c r="E25" s="24">
        <f>IF((Elect!D31+Elect!F31+Elect!H31+Elect!J31+Elect!L31+Elect!N31+Elect!R31+Elect!T31+Elect!V31+Elect!X31)&lt;0,"0",Elect!D31+Elect!F31+Elect!H31+Elect!J31+Elect!L31+Elect!N31+Elect!R31+Elect!T31+Elect!V31+Elect!X31)</f>
        <v>0</v>
      </c>
      <c r="F25" s="182">
        <v>0.439</v>
      </c>
      <c r="G25" s="24">
        <f>IF((Water!C31+Water!E31+Water!G31+Water!K31+Water!M31+Water!O31+Water!Q31)&lt;0,"0",Water!C31+Water!E31+Water!G31+Water!K31+Water!M31+Water!O31+Water!Q31)</f>
        <v>0</v>
      </c>
      <c r="H25" s="183">
        <f t="shared" si="1"/>
        <v>1.05</v>
      </c>
      <c r="I25" s="24">
        <f>IF((Gas!B31+Gas!E31+Gas!G31+Gas!I31+Gas!K31+Gas!M31+Gas!O31+Gas!Q31+Gas!S31+Gas!U31)&lt;0,"0",Gas!B31+Gas!E31+Gas!G31+Gas!I31+Gas!K31+Gas!M31+Gas!O31+Gas!Q31+Gas!S31+Gas!U31)</f>
        <v>0</v>
      </c>
      <c r="J25" s="183">
        <f t="shared" si="1"/>
        <v>1.05</v>
      </c>
      <c r="K25" s="184">
        <f>'Chilled Water'!D27+'Chilled Water'!G27+'Chilled Water'!J27+'Chilled Water'!M27</f>
        <v>0</v>
      </c>
      <c r="L25" s="182" t="e">
        <f>'[1]MTD Utility Sheet'!F27/K25</f>
        <v>#DIV/0!</v>
      </c>
      <c r="M25" s="24">
        <f>Elect!B31</f>
        <v>0</v>
      </c>
      <c r="N25" s="2">
        <v>2.6</v>
      </c>
    </row>
    <row r="26" spans="1:14" x14ac:dyDescent="0.45">
      <c r="A26" s="180" t="s">
        <v>71</v>
      </c>
      <c r="B26" s="2">
        <f t="shared" si="0"/>
        <v>25</v>
      </c>
      <c r="C26" s="181">
        <v>3</v>
      </c>
      <c r="D26" s="2">
        <v>2024</v>
      </c>
      <c r="E26" s="24">
        <f>IF((Elect!D32+Elect!F32+Elect!H32+Elect!J32+Elect!L32+Elect!N32+Elect!R32+Elect!T32+Elect!V32+Elect!X32)&lt;0,"0",Elect!D32+Elect!F32+Elect!H32+Elect!J32+Elect!L32+Elect!N32+Elect!R32+Elect!T32+Elect!V32+Elect!X32)</f>
        <v>0</v>
      </c>
      <c r="F26" s="182">
        <v>0.439</v>
      </c>
      <c r="G26" s="24">
        <f>IF((Water!C32+Water!E32+Water!G32+Water!K32+Water!M32+Water!O32+Water!Q32)&lt;0,"0",Water!C32+Water!E32+Water!G32+Water!K32+Water!M32+Water!O32+Water!Q32)</f>
        <v>0</v>
      </c>
      <c r="H26" s="183">
        <f t="shared" si="1"/>
        <v>1.05</v>
      </c>
      <c r="I26" s="24">
        <f>IF((Gas!B32+Gas!E32+Gas!G32+Gas!I32+Gas!K32+Gas!M32+Gas!O32+Gas!Q32+Gas!S32+Gas!U32)&lt;0,"0",Gas!B32+Gas!E32+Gas!G32+Gas!I32+Gas!K32+Gas!M32+Gas!O32+Gas!Q32+Gas!S32+Gas!U32)</f>
        <v>0</v>
      </c>
      <c r="J26" s="183">
        <f t="shared" si="1"/>
        <v>1.05</v>
      </c>
      <c r="K26" s="184">
        <f>'Chilled Water'!D28+'Chilled Water'!G28+'Chilled Water'!J28+'Chilled Water'!M28</f>
        <v>0</v>
      </c>
      <c r="L26" s="182" t="e">
        <f>'[1]MTD Utility Sheet'!F28/K26</f>
        <v>#DIV/0!</v>
      </c>
      <c r="M26" s="24">
        <f>Elect!B32</f>
        <v>0</v>
      </c>
      <c r="N26" s="2">
        <v>2.9</v>
      </c>
    </row>
    <row r="27" spans="1:14" x14ac:dyDescent="0.45">
      <c r="A27" s="180" t="s">
        <v>71</v>
      </c>
      <c r="B27" s="2">
        <f t="shared" si="0"/>
        <v>26</v>
      </c>
      <c r="C27" s="181">
        <v>3</v>
      </c>
      <c r="D27" s="2">
        <v>2024</v>
      </c>
      <c r="E27" s="24">
        <f>IF((Elect!D33+Elect!F33+Elect!H33+Elect!J33+Elect!L33+Elect!N33+Elect!R33+Elect!T33+Elect!V33+Elect!X33)&lt;0,"0",Elect!D33+Elect!F33+Elect!H33+Elect!J33+Elect!L33+Elect!N33+Elect!R33+Elect!T33+Elect!V33+Elect!X33)</f>
        <v>0</v>
      </c>
      <c r="F27" s="182">
        <v>0.439</v>
      </c>
      <c r="G27" s="24">
        <f>IF((Water!C33+Water!E33+Water!G33+Water!K33+Water!M33+Water!O33+Water!Q33)&lt;0,"0",Water!C33+Water!E33+Water!G33+Water!K33+Water!M33+Water!O33+Water!Q33)</f>
        <v>0</v>
      </c>
      <c r="H27" s="183">
        <f t="shared" si="1"/>
        <v>1.05</v>
      </c>
      <c r="I27" s="24">
        <f>IF((Gas!B33+Gas!E33+Gas!G33+Gas!I33+Gas!K33+Gas!M33+Gas!O33+Gas!Q33+Gas!S33+Gas!U33)&lt;0,"0",Gas!B33+Gas!E33+Gas!G33+Gas!I33+Gas!K33+Gas!M33+Gas!O33+Gas!Q33+Gas!S33+Gas!U33)</f>
        <v>0</v>
      </c>
      <c r="J27" s="183">
        <f t="shared" si="1"/>
        <v>1.05</v>
      </c>
      <c r="K27" s="184">
        <f>'Chilled Water'!D29+'Chilled Water'!G29+'Chilled Water'!J29+'Chilled Water'!M29</f>
        <v>0</v>
      </c>
      <c r="L27" s="182" t="e">
        <f>'[1]MTD Utility Sheet'!F29/K27</f>
        <v>#DIV/0!</v>
      </c>
      <c r="M27" s="24">
        <f>Elect!B33</f>
        <v>0</v>
      </c>
      <c r="N27" s="2">
        <v>5.5</v>
      </c>
    </row>
    <row r="28" spans="1:14" x14ac:dyDescent="0.45">
      <c r="A28" s="180" t="s">
        <v>71</v>
      </c>
      <c r="B28" s="2">
        <f t="shared" si="0"/>
        <v>27</v>
      </c>
      <c r="C28" s="181">
        <v>3</v>
      </c>
      <c r="D28" s="2">
        <v>2024</v>
      </c>
      <c r="E28" s="24">
        <f>IF((Elect!D34+Elect!F34+Elect!H34+Elect!J34+Elect!L34+Elect!N34+Elect!R34+Elect!T34+Elect!V34+Elect!X34)&lt;0,"0",Elect!D34+Elect!F34+Elect!H34+Elect!J34+Elect!L34+Elect!N34+Elect!R34+Elect!T34+Elect!V34+Elect!X34)</f>
        <v>0</v>
      </c>
      <c r="F28" s="182">
        <v>0.439</v>
      </c>
      <c r="G28" s="24">
        <f>IF((Water!C34+Water!E34+Water!G34+Water!K34+Water!M34+Water!O34+Water!Q34)&lt;0,"0",Water!C34+Water!E34+Water!G34+Water!K34+Water!M34+Water!O34+Water!Q34)</f>
        <v>0</v>
      </c>
      <c r="H28" s="183">
        <f t="shared" si="1"/>
        <v>1.05</v>
      </c>
      <c r="I28" s="24">
        <f>IF((Gas!B34+Gas!E34+Gas!G34+Gas!I34+Gas!K34+Gas!M34+Gas!O34+Gas!Q34+Gas!S34+Gas!U34)&lt;0,"0",Gas!B34+Gas!E34+Gas!G34+Gas!I34+Gas!K34+Gas!M34+Gas!O34+Gas!Q34+Gas!S34+Gas!U34)</f>
        <v>0</v>
      </c>
      <c r="J28" s="183">
        <f t="shared" si="1"/>
        <v>1.05</v>
      </c>
      <c r="K28" s="184">
        <f>'Chilled Water'!D30+'Chilled Water'!G30+'Chilled Water'!J30+'Chilled Water'!M30</f>
        <v>0</v>
      </c>
      <c r="L28" s="182" t="e">
        <f>'[1]MTD Utility Sheet'!F30/K28</f>
        <v>#DIV/0!</v>
      </c>
      <c r="M28" s="24">
        <f>Elect!B34</f>
        <v>0</v>
      </c>
      <c r="N28" s="2">
        <v>7.8</v>
      </c>
    </row>
    <row r="29" spans="1:14" x14ac:dyDescent="0.45">
      <c r="A29" s="180" t="s">
        <v>71</v>
      </c>
      <c r="B29" s="2">
        <f t="shared" si="0"/>
        <v>28</v>
      </c>
      <c r="C29" s="181">
        <v>3</v>
      </c>
      <c r="D29" s="2">
        <v>2024</v>
      </c>
      <c r="E29" s="24">
        <f>IF((Elect!D35+Elect!F35+Elect!H35+Elect!J35+Elect!L35+Elect!N35+Elect!R35+Elect!T35+Elect!V35+Elect!X35)&lt;0,"0",Elect!D35+Elect!F35+Elect!H35+Elect!J35+Elect!L35+Elect!N35+Elect!R35+Elect!T35+Elect!V35+Elect!X35)</f>
        <v>0</v>
      </c>
      <c r="F29" s="182">
        <v>0.439</v>
      </c>
      <c r="G29" s="24">
        <f>IF((Water!C35+Water!E35+Water!G35+Water!K35+Water!M35+Water!O35+Water!Q35)&lt;0,"0",Water!C35+Water!E35+Water!G35+Water!K35+Water!M35+Water!O35+Water!Q35)</f>
        <v>0</v>
      </c>
      <c r="H29" s="183">
        <f t="shared" si="1"/>
        <v>1.05</v>
      </c>
      <c r="I29" s="24">
        <f>IF((Gas!B35+Gas!E35+Gas!G35+Gas!I35+Gas!K35+Gas!M35+Gas!O35+Gas!Q35+Gas!S35+Gas!U35)&lt;0,"0",Gas!B35+Gas!E35+Gas!G35+Gas!I35+Gas!K35+Gas!M35+Gas!O35+Gas!Q35+Gas!S35+Gas!U35)</f>
        <v>0</v>
      </c>
      <c r="J29" s="183">
        <f t="shared" si="1"/>
        <v>1.05</v>
      </c>
      <c r="K29" s="184">
        <f>'Chilled Water'!D31+'Chilled Water'!G31+'Chilled Water'!J31+'Chilled Water'!M31</f>
        <v>0</v>
      </c>
      <c r="L29" s="182" t="e">
        <f>'[1]MTD Utility Sheet'!F31/K29</f>
        <v>#DIV/0!</v>
      </c>
      <c r="M29" s="24">
        <f>Elect!B35</f>
        <v>0</v>
      </c>
      <c r="N29" s="2">
        <v>5.6</v>
      </c>
    </row>
    <row r="30" spans="1:14" x14ac:dyDescent="0.45">
      <c r="A30" s="180" t="s">
        <v>71</v>
      </c>
      <c r="B30" s="2">
        <f t="shared" si="0"/>
        <v>29</v>
      </c>
      <c r="C30" s="181">
        <v>3</v>
      </c>
      <c r="D30" s="2">
        <v>2024</v>
      </c>
      <c r="E30" s="24">
        <f>IF((Elect!D36+Elect!F36+Elect!H36+Elect!J36+Elect!L36+Elect!N36+Elect!R36+Elect!T36+Elect!V36+Elect!X36)&lt;0,"0",Elect!D36+Elect!F36+Elect!H36+Elect!J36+Elect!L36+Elect!N36+Elect!R36+Elect!T36+Elect!V36+Elect!X36)</f>
        <v>0</v>
      </c>
      <c r="F30" s="182">
        <v>0.439</v>
      </c>
      <c r="G30" s="24">
        <f>IF((Water!C36+Water!E36+Water!G36+Water!K36+Water!M36+Water!O36+Water!Q36)&lt;0,"0",Water!C36+Water!E36+Water!G36+Water!K36+Water!M36+Water!O36+Water!Q36)</f>
        <v>0</v>
      </c>
      <c r="H30" s="183">
        <f t="shared" si="1"/>
        <v>1.05</v>
      </c>
      <c r="I30" s="24">
        <f>IF((Gas!B36+Gas!E36+Gas!G36+Gas!I36+Gas!K36+Gas!M36+Gas!O36+Gas!Q36+Gas!S36+Gas!U36)&lt;0,"0",Gas!B36+Gas!E36+Gas!G36+Gas!I36+Gas!K36+Gas!M36+Gas!O36+Gas!Q36+Gas!S36+Gas!U36)</f>
        <v>0</v>
      </c>
      <c r="J30" s="183">
        <f t="shared" si="1"/>
        <v>1.05</v>
      </c>
      <c r="K30" s="184">
        <f>'Chilled Water'!D32+'Chilled Water'!G32+'Chilled Water'!J32+'Chilled Water'!M32</f>
        <v>0</v>
      </c>
      <c r="L30" s="182" t="e">
        <f>'[1]MTD Utility Sheet'!F32/K30</f>
        <v>#DIV/0!</v>
      </c>
      <c r="M30" s="24">
        <f>Elect!B36</f>
        <v>0</v>
      </c>
      <c r="N30" s="2">
        <v>4.4000000000000004</v>
      </c>
    </row>
    <row r="31" spans="1:14" x14ac:dyDescent="0.45">
      <c r="A31" s="180" t="s">
        <v>71</v>
      </c>
      <c r="B31" s="2">
        <f t="shared" si="0"/>
        <v>30</v>
      </c>
      <c r="C31" s="181">
        <v>3</v>
      </c>
      <c r="D31" s="2">
        <v>2024</v>
      </c>
      <c r="E31" s="24">
        <f>IF((Elect!D37+Elect!F37+Elect!H37+Elect!J37+Elect!L37+Elect!N37+Elect!R37+Elect!T37+Elect!V37+Elect!X37)&lt;0,"0",Elect!D37+Elect!F37+Elect!H37+Elect!J37+Elect!L37+Elect!N37+Elect!R37+Elect!T37+Elect!V37+Elect!X37)</f>
        <v>0</v>
      </c>
      <c r="F31" s="182">
        <v>0.439</v>
      </c>
      <c r="G31" s="24">
        <f>IF((Water!C37+Water!E37+Water!G37+Water!K37+Water!M37+Water!O37+Water!Q37)&lt;0,"0",Water!C37+Water!E37+Water!G37+Water!K37+Water!M37+Water!O37+Water!Q37)</f>
        <v>0</v>
      </c>
      <c r="H31" s="183">
        <f t="shared" si="1"/>
        <v>1.05</v>
      </c>
      <c r="I31" s="24">
        <f>IF((Gas!B37+Gas!E37+Gas!G37+Gas!I37+Gas!K37+Gas!M37+Gas!O37+Gas!Q37+Gas!S37+Gas!U37)&lt;0,"0",Gas!B37+Gas!E37+Gas!G37+Gas!I37+Gas!K37+Gas!M37+Gas!O37+Gas!Q37+Gas!S37+Gas!U37)</f>
        <v>0</v>
      </c>
      <c r="J31" s="183">
        <f t="shared" si="1"/>
        <v>1.05</v>
      </c>
      <c r="K31" s="184">
        <f>'Chilled Water'!D33+'Chilled Water'!G33+'Chilled Water'!J33+'Chilled Water'!M33</f>
        <v>0</v>
      </c>
      <c r="L31" s="182" t="e">
        <f>'[1]MTD Utility Sheet'!F33/K31</f>
        <v>#DIV/0!</v>
      </c>
      <c r="M31" s="24">
        <f>Elect!B37</f>
        <v>0</v>
      </c>
      <c r="N31" s="2">
        <v>3.2</v>
      </c>
    </row>
    <row r="32" spans="1:14" x14ac:dyDescent="0.45">
      <c r="A32" s="180" t="s">
        <v>71</v>
      </c>
      <c r="B32" s="2">
        <f t="shared" si="0"/>
        <v>31</v>
      </c>
      <c r="C32" s="181">
        <v>3</v>
      </c>
      <c r="D32" s="2">
        <v>2024</v>
      </c>
      <c r="E32" s="24">
        <f>IF((Elect!D38+Elect!F38+Elect!H38+Elect!J38+Elect!L38+Elect!N38+Elect!R38+Elect!T38+Elect!V38+Elect!X38)&lt;0,"0",Elect!D38+Elect!F38+Elect!H38+Elect!J38+Elect!L38+Elect!N38+Elect!R38+Elect!T38+Elect!V38+Elect!X38)</f>
        <v>0</v>
      </c>
      <c r="F32" s="182">
        <v>0.439</v>
      </c>
      <c r="G32" s="24">
        <f>IF((Water!C38+Water!E38+Water!G38+Water!K38+Water!M38+Water!O38+Water!Q38)&lt;0,"0",Water!C38+Water!E38+Water!G38+Water!K38+Water!M38+Water!O38+Water!Q38)</f>
        <v>0</v>
      </c>
      <c r="H32" s="183">
        <f t="shared" si="1"/>
        <v>1.05</v>
      </c>
      <c r="I32" s="24">
        <f>IF((Gas!B38+Gas!E38+Gas!G38+Gas!I38+Gas!K38+Gas!M38+Gas!O38+Gas!Q38+Gas!S38+Gas!U38)&lt;0,"0",Gas!B38+Gas!E38+Gas!G38+Gas!I38+Gas!K38+Gas!M38+Gas!O38+Gas!Q38+Gas!S38+Gas!U38)</f>
        <v>0</v>
      </c>
      <c r="J32" s="183">
        <f t="shared" si="1"/>
        <v>1.05</v>
      </c>
      <c r="K32" s="184">
        <f>'Chilled Water'!D34+'Chilled Water'!G34+'Chilled Water'!J34+'Chilled Water'!M34</f>
        <v>0</v>
      </c>
      <c r="L32" s="182" t="e">
        <f>'[1]MTD Utility Sheet'!F34/K32</f>
        <v>#DIV/0!</v>
      </c>
      <c r="M32" s="24">
        <f>Elect!B38</f>
        <v>0</v>
      </c>
      <c r="N32" s="2">
        <v>3.5</v>
      </c>
    </row>
    <row r="36" spans="8:10" x14ac:dyDescent="0.45">
      <c r="H36" s="185" t="s">
        <v>50</v>
      </c>
      <c r="J36" s="18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A00F-7E67-4D31-860D-9D8A35D08C03}">
  <sheetPr>
    <tabColor rgb="FFFFC000"/>
  </sheetPr>
  <dimension ref="A1:Q36"/>
  <sheetViews>
    <sheetView tabSelected="1" topLeftCell="F1" workbookViewId="0">
      <selection activeCell="J18" sqref="J18"/>
    </sheetView>
  </sheetViews>
  <sheetFormatPr defaultColWidth="11.59765625" defaultRowHeight="14.25" x14ac:dyDescent="0.45"/>
  <cols>
    <col min="1" max="1" width="26.3984375" style="2" bestFit="1" customWidth="1"/>
    <col min="2" max="2" width="11.59765625" style="2"/>
    <col min="3" max="3" width="11.59765625" style="181"/>
    <col min="4" max="4" width="13.3984375" style="2" customWidth="1"/>
    <col min="5" max="5" width="12.59765625" style="2" customWidth="1"/>
    <col min="6" max="6" width="12.59765625" style="284" customWidth="1"/>
    <col min="7" max="7" width="11.59765625" style="283"/>
    <col min="8" max="8" width="11.59765625" style="284"/>
    <col min="9" max="9" width="11.59765625" style="283"/>
    <col min="10" max="10" width="11.59765625" style="285"/>
    <col min="11" max="11" width="11.59765625" style="281"/>
    <col min="12" max="12" width="11.59765625" style="285"/>
    <col min="13" max="15" width="11.59765625" style="281"/>
    <col min="16" max="16" width="11.59765625" style="282"/>
    <col min="17" max="16384" width="11.59765625" style="2"/>
  </cols>
  <sheetData>
    <row r="1" spans="1:17" s="179" customFormat="1" ht="28.9" thickBot="1" x14ac:dyDescent="0.5">
      <c r="A1" s="171" t="s">
        <v>57</v>
      </c>
      <c r="B1" s="171" t="s">
        <v>58</v>
      </c>
      <c r="C1" s="172" t="s">
        <v>59</v>
      </c>
      <c r="D1" s="173" t="s">
        <v>60</v>
      </c>
      <c r="E1" s="174" t="s">
        <v>72</v>
      </c>
      <c r="F1" s="277" t="s">
        <v>73</v>
      </c>
      <c r="G1" s="277" t="s">
        <v>74</v>
      </c>
      <c r="H1" s="277" t="s">
        <v>75</v>
      </c>
      <c r="I1" s="278" t="s">
        <v>3</v>
      </c>
      <c r="J1" s="279" t="s">
        <v>76</v>
      </c>
      <c r="K1" s="279" t="s">
        <v>77</v>
      </c>
      <c r="L1" s="279" t="s">
        <v>78</v>
      </c>
      <c r="M1" s="279" t="s">
        <v>37</v>
      </c>
      <c r="N1" s="279" t="s">
        <v>39</v>
      </c>
      <c r="O1" s="279" t="s">
        <v>79</v>
      </c>
      <c r="P1" s="280" t="s">
        <v>69</v>
      </c>
    </row>
    <row r="2" spans="1:17" x14ac:dyDescent="0.45">
      <c r="A2" s="180" t="s">
        <v>71</v>
      </c>
      <c r="B2" s="2">
        <v>1</v>
      </c>
      <c r="C2" s="181">
        <v>3</v>
      </c>
      <c r="D2" s="2">
        <v>2024</v>
      </c>
      <c r="E2" s="24">
        <f>Elect!D8</f>
        <v>3774</v>
      </c>
      <c r="F2" s="281">
        <f>Elect!F8</f>
        <v>4097</v>
      </c>
      <c r="G2" s="282">
        <f>Elect!H8</f>
        <v>9721</v>
      </c>
      <c r="H2" s="281">
        <f>Elect!J8</f>
        <v>2194</v>
      </c>
      <c r="I2" s="282">
        <f>Elect!L8</f>
        <v>3260</v>
      </c>
      <c r="J2" s="281">
        <f>Elect!N8</f>
        <v>1180</v>
      </c>
      <c r="K2" s="281">
        <f>Elect!P8</f>
        <v>6190</v>
      </c>
      <c r="L2" s="281">
        <f>Elect!R8</f>
        <v>6660</v>
      </c>
      <c r="M2" s="281">
        <f>Elect!T8</f>
        <v>45</v>
      </c>
      <c r="N2" s="281">
        <f>Elect!V8</f>
        <v>0</v>
      </c>
      <c r="O2" s="281">
        <f>Elect!X8</f>
        <v>4647</v>
      </c>
      <c r="P2" s="282">
        <f>Elect!B8</f>
        <v>0</v>
      </c>
      <c r="Q2" s="179"/>
    </row>
    <row r="3" spans="1:17" x14ac:dyDescent="0.45">
      <c r="A3" s="180" t="s">
        <v>71</v>
      </c>
      <c r="B3" s="2">
        <f t="shared" ref="B3:B32" si="0">B2+1</f>
        <v>2</v>
      </c>
      <c r="C3" s="181">
        <v>3</v>
      </c>
      <c r="D3" s="2">
        <v>2024</v>
      </c>
      <c r="E3" s="24">
        <f>Elect!D9</f>
        <v>2727</v>
      </c>
      <c r="F3" s="281">
        <f>Elect!F9</f>
        <v>3992</v>
      </c>
      <c r="G3" s="282">
        <f>Elect!H9</f>
        <v>10541</v>
      </c>
      <c r="H3" s="281">
        <f>Elect!J9</f>
        <v>2236</v>
      </c>
      <c r="I3" s="282">
        <f>Elect!L9</f>
        <v>3120</v>
      </c>
      <c r="J3" s="281">
        <f>Elect!N9</f>
        <v>1190</v>
      </c>
      <c r="K3" s="281">
        <f>Elect!P9</f>
        <v>6506</v>
      </c>
      <c r="L3" s="281">
        <f>Elect!R9</f>
        <v>6280</v>
      </c>
      <c r="M3" s="281">
        <f>Elect!T9</f>
        <v>39</v>
      </c>
      <c r="N3" s="281">
        <f>Elect!V9</f>
        <v>0</v>
      </c>
      <c r="O3" s="281">
        <f>Elect!X9</f>
        <v>4039</v>
      </c>
      <c r="P3" s="282">
        <f>Elect!B9</f>
        <v>0</v>
      </c>
      <c r="Q3" s="179"/>
    </row>
    <row r="4" spans="1:17" x14ac:dyDescent="0.45">
      <c r="A4" s="180" t="s">
        <v>71</v>
      </c>
      <c r="B4" s="2">
        <f t="shared" si="0"/>
        <v>3</v>
      </c>
      <c r="C4" s="181">
        <v>3</v>
      </c>
      <c r="D4" s="2">
        <v>2024</v>
      </c>
      <c r="E4" s="24">
        <f>Elect!D10</f>
        <v>5968</v>
      </c>
      <c r="F4" s="281">
        <f>Elect!F10</f>
        <v>3773</v>
      </c>
      <c r="G4" s="282">
        <f>Elect!H10</f>
        <v>7324</v>
      </c>
      <c r="H4" s="281">
        <f>Elect!J10</f>
        <v>2285</v>
      </c>
      <c r="I4" s="282">
        <f>Elect!L10</f>
        <v>3180</v>
      </c>
      <c r="J4" s="281">
        <f>Elect!N10</f>
        <v>1130</v>
      </c>
      <c r="K4" s="281">
        <f>Elect!P10</f>
        <v>6675</v>
      </c>
      <c r="L4" s="281">
        <f>Elect!R10</f>
        <v>6340</v>
      </c>
      <c r="M4" s="281">
        <f>Elect!T10</f>
        <v>33</v>
      </c>
      <c r="N4" s="281">
        <f>Elect!V10</f>
        <v>0</v>
      </c>
      <c r="O4" s="281">
        <f>Elect!X10</f>
        <v>4064</v>
      </c>
      <c r="P4" s="282">
        <f>Elect!B10</f>
        <v>0</v>
      </c>
      <c r="Q4" s="179"/>
    </row>
    <row r="5" spans="1:17" x14ac:dyDescent="0.45">
      <c r="A5" s="180" t="s">
        <v>71</v>
      </c>
      <c r="B5" s="2">
        <f t="shared" si="0"/>
        <v>4</v>
      </c>
      <c r="C5" s="181">
        <v>3</v>
      </c>
      <c r="D5" s="2">
        <v>2024</v>
      </c>
      <c r="E5" s="24">
        <f>Elect!D11</f>
        <v>4066</v>
      </c>
      <c r="F5" s="281">
        <f>Elect!F11</f>
        <v>3716</v>
      </c>
      <c r="G5" s="282">
        <f>Elect!H11</f>
        <v>8642</v>
      </c>
      <c r="H5" s="281">
        <f>Elect!J11</f>
        <v>2329</v>
      </c>
      <c r="I5" s="282">
        <f>Elect!L11</f>
        <v>3030</v>
      </c>
      <c r="J5" s="281">
        <f>Elect!N11</f>
        <v>1060</v>
      </c>
      <c r="K5" s="281">
        <f>Elect!P11</f>
        <v>6542</v>
      </c>
      <c r="L5" s="281">
        <f>Elect!R11</f>
        <v>6010</v>
      </c>
      <c r="M5" s="281">
        <f>Elect!T11</f>
        <v>35</v>
      </c>
      <c r="N5" s="281">
        <f>Elect!V11</f>
        <v>0</v>
      </c>
      <c r="O5" s="281">
        <f>Elect!X11</f>
        <v>5323</v>
      </c>
      <c r="P5" s="282">
        <f>Elect!B11</f>
        <v>0</v>
      </c>
      <c r="Q5" s="179"/>
    </row>
    <row r="6" spans="1:17" x14ac:dyDescent="0.45">
      <c r="A6" s="180" t="s">
        <v>71</v>
      </c>
      <c r="B6" s="2">
        <f t="shared" si="0"/>
        <v>5</v>
      </c>
      <c r="C6" s="181">
        <v>3</v>
      </c>
      <c r="D6" s="2">
        <v>2024</v>
      </c>
      <c r="E6" s="24">
        <f>Elect!D12</f>
        <v>6362</v>
      </c>
      <c r="F6" s="281">
        <f>Elect!F12</f>
        <v>4964</v>
      </c>
      <c r="G6" s="282">
        <f>Elect!H12</f>
        <v>7342</v>
      </c>
      <c r="H6" s="281">
        <f>Elect!J12</f>
        <v>2321</v>
      </c>
      <c r="I6" s="282">
        <f>Elect!L12</f>
        <v>3010</v>
      </c>
      <c r="J6" s="281">
        <f>Elect!N12</f>
        <v>1150</v>
      </c>
      <c r="K6" s="281">
        <f>Elect!P12</f>
        <v>6336</v>
      </c>
      <c r="L6" s="281">
        <f>Elect!R12</f>
        <v>6360</v>
      </c>
      <c r="M6" s="281">
        <f>Elect!T12</f>
        <v>65</v>
      </c>
      <c r="N6" s="281">
        <f>Elect!V12</f>
        <v>0</v>
      </c>
      <c r="O6" s="281">
        <f>Elect!X12</f>
        <v>4200</v>
      </c>
      <c r="P6" s="282">
        <f>Elect!B12</f>
        <v>0</v>
      </c>
      <c r="Q6" s="179"/>
    </row>
    <row r="7" spans="1:17" x14ac:dyDescent="0.45">
      <c r="A7" s="180" t="s">
        <v>71</v>
      </c>
      <c r="B7" s="2">
        <f t="shared" si="0"/>
        <v>6</v>
      </c>
      <c r="C7" s="181">
        <v>3</v>
      </c>
      <c r="D7" s="2">
        <v>2024</v>
      </c>
      <c r="E7" s="24">
        <f>Elect!D13</f>
        <v>3565</v>
      </c>
      <c r="F7" s="281">
        <f>Elect!F13</f>
        <v>3566</v>
      </c>
      <c r="G7" s="282">
        <f>Elect!H13</f>
        <v>10911</v>
      </c>
      <c r="H7" s="281">
        <f>Elect!J13</f>
        <v>2301</v>
      </c>
      <c r="I7" s="282">
        <f>Elect!L13</f>
        <v>3060</v>
      </c>
      <c r="J7" s="281">
        <f>Elect!N13</f>
        <v>1130</v>
      </c>
      <c r="K7" s="281">
        <f>Elect!P13</f>
        <v>6247</v>
      </c>
      <c r="L7" s="281">
        <f>Elect!R13</f>
        <v>6530</v>
      </c>
      <c r="M7" s="281">
        <f>Elect!T13</f>
        <v>31</v>
      </c>
      <c r="N7" s="281">
        <f>Elect!V13</f>
        <v>0</v>
      </c>
      <c r="O7" s="281">
        <f>Elect!X13</f>
        <v>4052</v>
      </c>
      <c r="P7" s="282">
        <f>Elect!B13</f>
        <v>0</v>
      </c>
    </row>
    <row r="8" spans="1:17" x14ac:dyDescent="0.45">
      <c r="A8" s="180" t="s">
        <v>71</v>
      </c>
      <c r="B8" s="2">
        <f t="shared" si="0"/>
        <v>7</v>
      </c>
      <c r="C8" s="181">
        <v>3</v>
      </c>
      <c r="D8" s="2">
        <v>2024</v>
      </c>
      <c r="E8" s="24">
        <f>Elect!D14</f>
        <v>6386</v>
      </c>
      <c r="F8" s="281">
        <f>Elect!F14</f>
        <v>3729</v>
      </c>
      <c r="G8" s="282">
        <f>Elect!H14</f>
        <v>7755</v>
      </c>
      <c r="H8" s="281">
        <f>Elect!J14</f>
        <v>2319</v>
      </c>
      <c r="I8" s="282">
        <f>Elect!L14</f>
        <v>3070</v>
      </c>
      <c r="J8" s="281">
        <f>Elect!N14</f>
        <v>1160</v>
      </c>
      <c r="K8" s="281">
        <f>Elect!P14</f>
        <v>6390</v>
      </c>
      <c r="L8" s="281">
        <f>Elect!R14</f>
        <v>6670</v>
      </c>
      <c r="M8" s="281">
        <f>Elect!T14</f>
        <v>35</v>
      </c>
      <c r="N8" s="281">
        <f>Elect!V14</f>
        <v>0</v>
      </c>
      <c r="O8" s="281">
        <f>Elect!X14</f>
        <v>4168</v>
      </c>
      <c r="P8" s="282">
        <f>Elect!B14</f>
        <v>0</v>
      </c>
    </row>
    <row r="9" spans="1:17" x14ac:dyDescent="0.45">
      <c r="A9" s="180" t="s">
        <v>71</v>
      </c>
      <c r="B9" s="2">
        <f t="shared" si="0"/>
        <v>8</v>
      </c>
      <c r="C9" s="181">
        <v>3</v>
      </c>
      <c r="D9" s="2">
        <v>2024</v>
      </c>
      <c r="E9" s="24">
        <f>Elect!D15</f>
        <v>3793</v>
      </c>
      <c r="F9" s="281">
        <f>Elect!F15</f>
        <v>6945</v>
      </c>
      <c r="G9" s="282">
        <f>Elect!H15</f>
        <v>6128</v>
      </c>
      <c r="H9" s="281">
        <f>Elect!J15</f>
        <v>2285</v>
      </c>
      <c r="I9" s="282">
        <f>Elect!L15</f>
        <v>3100</v>
      </c>
      <c r="J9" s="281">
        <f>Elect!N15</f>
        <v>1170</v>
      </c>
      <c r="K9" s="281">
        <f>Elect!P15</f>
        <v>6384</v>
      </c>
      <c r="L9" s="281">
        <f>Elect!R15</f>
        <v>7070</v>
      </c>
      <c r="M9" s="281">
        <f>Elect!T15</f>
        <v>59</v>
      </c>
      <c r="N9" s="281">
        <f>Elect!V15</f>
        <v>0</v>
      </c>
      <c r="O9" s="281">
        <f>Elect!X15</f>
        <v>4076</v>
      </c>
      <c r="P9" s="282">
        <f>Elect!B15</f>
        <v>0</v>
      </c>
    </row>
    <row r="10" spans="1:17" x14ac:dyDescent="0.45">
      <c r="A10" s="180" t="s">
        <v>71</v>
      </c>
      <c r="B10" s="2">
        <f t="shared" si="0"/>
        <v>9</v>
      </c>
      <c r="C10" s="181">
        <v>3</v>
      </c>
      <c r="D10" s="2">
        <v>2024</v>
      </c>
      <c r="E10" s="24">
        <f>Elect!D16</f>
        <v>7401</v>
      </c>
      <c r="F10" s="281">
        <f>Elect!F16</f>
        <v>4614</v>
      </c>
      <c r="G10" s="282">
        <f>Elect!H16</f>
        <v>8499</v>
      </c>
      <c r="H10" s="281">
        <f>Elect!J16</f>
        <v>2207</v>
      </c>
      <c r="I10" s="282">
        <f>Elect!L16</f>
        <v>3440</v>
      </c>
      <c r="J10" s="281">
        <f>Elect!N16</f>
        <v>1170</v>
      </c>
      <c r="K10" s="281">
        <f>Elect!P16</f>
        <v>5778</v>
      </c>
      <c r="L10" s="281">
        <f>Elect!R16</f>
        <v>7450</v>
      </c>
      <c r="M10" s="281">
        <f>Elect!T16</f>
        <v>46</v>
      </c>
      <c r="N10" s="281">
        <f>Elect!V16</f>
        <v>0</v>
      </c>
      <c r="O10" s="281">
        <f>Elect!X16</f>
        <v>4165</v>
      </c>
      <c r="P10" s="282">
        <f>Elect!B16</f>
        <v>0</v>
      </c>
    </row>
    <row r="11" spans="1:17" x14ac:dyDescent="0.45">
      <c r="A11" s="180" t="s">
        <v>71</v>
      </c>
      <c r="B11" s="2">
        <f t="shared" si="0"/>
        <v>10</v>
      </c>
      <c r="C11" s="181">
        <v>3</v>
      </c>
      <c r="D11" s="2">
        <v>2024</v>
      </c>
      <c r="E11" s="24">
        <f>Elect!D17</f>
        <v>3442</v>
      </c>
      <c r="F11" s="281">
        <f>Elect!F17</f>
        <v>3904</v>
      </c>
      <c r="G11" s="282">
        <f>Elect!H17</f>
        <v>11834</v>
      </c>
      <c r="H11" s="281">
        <f>Elect!J17</f>
        <v>2008</v>
      </c>
      <c r="I11" s="282">
        <f>Elect!L17</f>
        <v>3260</v>
      </c>
      <c r="J11" s="281">
        <f>Elect!N17</f>
        <v>1150</v>
      </c>
      <c r="K11" s="281">
        <f>Elect!P17</f>
        <v>5514</v>
      </c>
      <c r="L11" s="281">
        <f>Elect!R17</f>
        <v>6750</v>
      </c>
      <c r="M11" s="281">
        <f>Elect!T17</f>
        <v>8</v>
      </c>
      <c r="N11" s="281">
        <f>Elect!V17</f>
        <v>0</v>
      </c>
      <c r="O11" s="281">
        <f>Elect!X17</f>
        <v>4157</v>
      </c>
      <c r="P11" s="282">
        <f>Elect!B17</f>
        <v>0</v>
      </c>
    </row>
    <row r="12" spans="1:17" x14ac:dyDescent="0.45">
      <c r="A12" s="180" t="s">
        <v>71</v>
      </c>
      <c r="B12" s="2">
        <f t="shared" si="0"/>
        <v>11</v>
      </c>
      <c r="C12" s="181">
        <v>3</v>
      </c>
      <c r="D12" s="2">
        <v>2024</v>
      </c>
      <c r="E12" s="24">
        <f>Elect!D18</f>
        <v>7906</v>
      </c>
      <c r="F12" s="281">
        <f>Elect!F18</f>
        <v>3731</v>
      </c>
      <c r="G12" s="282">
        <f>Elect!H18</f>
        <v>6516</v>
      </c>
      <c r="H12" s="281">
        <f>Elect!J18</f>
        <v>2168</v>
      </c>
      <c r="I12" s="282">
        <f>Elect!L18</f>
        <v>3220</v>
      </c>
      <c r="J12" s="281">
        <f>Elect!N18</f>
        <v>1140</v>
      </c>
      <c r="K12" s="281">
        <f>Elect!P18</f>
        <v>6029</v>
      </c>
      <c r="L12" s="281">
        <f>Elect!R18</f>
        <v>6750</v>
      </c>
      <c r="M12" s="281">
        <f>Elect!T18</f>
        <v>45</v>
      </c>
      <c r="N12" s="281">
        <f>Elect!V18</f>
        <v>0</v>
      </c>
      <c r="O12" s="281">
        <f>Elect!X18</f>
        <v>4140</v>
      </c>
      <c r="P12" s="282">
        <f>Elect!B18</f>
        <v>0</v>
      </c>
    </row>
    <row r="13" spans="1:17" x14ac:dyDescent="0.45">
      <c r="A13" s="180" t="s">
        <v>71</v>
      </c>
      <c r="B13" s="2">
        <f t="shared" si="0"/>
        <v>12</v>
      </c>
      <c r="C13" s="181">
        <v>3</v>
      </c>
      <c r="D13" s="2">
        <v>2024</v>
      </c>
      <c r="E13" s="24">
        <f>Elect!D19</f>
        <v>8396</v>
      </c>
      <c r="F13" s="281">
        <f>Elect!F19</f>
        <v>3606</v>
      </c>
      <c r="G13" s="282">
        <f>Elect!H19</f>
        <v>6974</v>
      </c>
      <c r="H13" s="281">
        <f>Elect!J19</f>
        <v>2282</v>
      </c>
      <c r="I13" s="282">
        <f>Elect!L19</f>
        <v>3090</v>
      </c>
      <c r="J13" s="281">
        <f>Elect!N19</f>
        <v>1110</v>
      </c>
      <c r="K13" s="281">
        <f>Elect!P19</f>
        <v>5934</v>
      </c>
      <c r="L13" s="281">
        <f>Elect!R19</f>
        <v>6130</v>
      </c>
      <c r="M13" s="281">
        <f>Elect!T19</f>
        <v>51</v>
      </c>
      <c r="N13" s="281">
        <f>Elect!V19</f>
        <v>0</v>
      </c>
      <c r="O13" s="281">
        <f>Elect!X19</f>
        <v>4175</v>
      </c>
      <c r="P13" s="282">
        <f>Elect!B19</f>
        <v>0</v>
      </c>
    </row>
    <row r="14" spans="1:17" x14ac:dyDescent="0.45">
      <c r="A14" s="180" t="s">
        <v>71</v>
      </c>
      <c r="B14" s="2">
        <f t="shared" si="0"/>
        <v>13</v>
      </c>
      <c r="C14" s="181">
        <v>3</v>
      </c>
      <c r="D14" s="2">
        <v>2024</v>
      </c>
      <c r="E14" s="24">
        <f>Elect!D20</f>
        <v>-1452705</v>
      </c>
      <c r="F14" s="281">
        <f>Elect!F20</f>
        <v>-32489058</v>
      </c>
      <c r="G14" s="282">
        <f>Elect!H20</f>
        <v>-48264287</v>
      </c>
      <c r="H14" s="281">
        <f>Elect!J20</f>
        <v>-2295740</v>
      </c>
      <c r="I14" s="282">
        <f>Elect!L20</f>
        <v>-9681200</v>
      </c>
      <c r="J14" s="281">
        <f>Elect!N20</f>
        <v>-5926210</v>
      </c>
      <c r="K14" s="281">
        <f>Elect!P20</f>
        <v>-379773</v>
      </c>
      <c r="L14" s="281">
        <f>Elect!R20</f>
        <v>-4934540</v>
      </c>
      <c r="M14" s="281">
        <f>Elect!T20</f>
        <v>-53344</v>
      </c>
      <c r="N14" s="281">
        <f>Elect!V20</f>
        <v>0</v>
      </c>
      <c r="O14" s="281">
        <f>Elect!X20</f>
        <v>-9364241</v>
      </c>
      <c r="P14" s="282">
        <f>Elect!B20</f>
        <v>0</v>
      </c>
    </row>
    <row r="15" spans="1:17" x14ac:dyDescent="0.45">
      <c r="A15" s="180" t="s">
        <v>71</v>
      </c>
      <c r="B15" s="2">
        <f t="shared" si="0"/>
        <v>14</v>
      </c>
      <c r="C15" s="181">
        <v>3</v>
      </c>
      <c r="D15" s="2">
        <v>2024</v>
      </c>
      <c r="E15" s="24">
        <f>Elect!D21</f>
        <v>0</v>
      </c>
      <c r="F15" s="281">
        <f>Elect!F21</f>
        <v>0</v>
      </c>
      <c r="G15" s="282">
        <f>Elect!H21</f>
        <v>0</v>
      </c>
      <c r="H15" s="281">
        <f>Elect!J21</f>
        <v>0</v>
      </c>
      <c r="I15" s="282">
        <f>Elect!L21</f>
        <v>0</v>
      </c>
      <c r="J15" s="281">
        <f>Elect!N21</f>
        <v>0</v>
      </c>
      <c r="K15" s="281">
        <f>Elect!P21</f>
        <v>0</v>
      </c>
      <c r="L15" s="281">
        <f>Elect!R21</f>
        <v>0</v>
      </c>
      <c r="M15" s="281">
        <f>Elect!T21</f>
        <v>0</v>
      </c>
      <c r="N15" s="281">
        <f>Elect!V21</f>
        <v>0</v>
      </c>
      <c r="O15" s="281">
        <f>Elect!X21</f>
        <v>0</v>
      </c>
      <c r="P15" s="282">
        <f>Elect!B21</f>
        <v>0</v>
      </c>
    </row>
    <row r="16" spans="1:17" x14ac:dyDescent="0.45">
      <c r="A16" s="180" t="s">
        <v>71</v>
      </c>
      <c r="B16" s="2">
        <f t="shared" si="0"/>
        <v>15</v>
      </c>
      <c r="C16" s="181">
        <v>3</v>
      </c>
      <c r="D16" s="2">
        <v>2024</v>
      </c>
      <c r="E16" s="24">
        <f>Elect!D22</f>
        <v>0</v>
      </c>
      <c r="F16" s="281">
        <f>Elect!F22</f>
        <v>0</v>
      </c>
      <c r="G16" s="282">
        <f>Elect!H22</f>
        <v>0</v>
      </c>
      <c r="H16" s="281">
        <f>Elect!J22</f>
        <v>0</v>
      </c>
      <c r="I16" s="282">
        <f>Elect!L22</f>
        <v>0</v>
      </c>
      <c r="J16" s="281">
        <f>Elect!N22</f>
        <v>0</v>
      </c>
      <c r="K16" s="281">
        <f>Elect!P22</f>
        <v>0</v>
      </c>
      <c r="L16" s="281">
        <f>Elect!R22</f>
        <v>0</v>
      </c>
      <c r="M16" s="281">
        <f>Elect!T22</f>
        <v>0</v>
      </c>
      <c r="N16" s="281">
        <f>Elect!V22</f>
        <v>0</v>
      </c>
      <c r="O16" s="281">
        <f>Elect!X22</f>
        <v>0</v>
      </c>
      <c r="P16" s="282">
        <f>Elect!B22</f>
        <v>0</v>
      </c>
    </row>
    <row r="17" spans="1:16" x14ac:dyDescent="0.45">
      <c r="A17" s="180" t="s">
        <v>71</v>
      </c>
      <c r="B17" s="2">
        <f t="shared" si="0"/>
        <v>16</v>
      </c>
      <c r="C17" s="181">
        <v>3</v>
      </c>
      <c r="D17" s="2">
        <v>2024</v>
      </c>
      <c r="E17" s="24">
        <f>Elect!D23</f>
        <v>0</v>
      </c>
      <c r="F17" s="281">
        <f>Elect!F23</f>
        <v>0</v>
      </c>
      <c r="G17" s="282">
        <f>Elect!H23</f>
        <v>0</v>
      </c>
      <c r="H17" s="281">
        <f>Elect!J23</f>
        <v>0</v>
      </c>
      <c r="I17" s="282">
        <f>Elect!L23</f>
        <v>0</v>
      </c>
      <c r="J17" s="281">
        <f>Elect!N23</f>
        <v>0</v>
      </c>
      <c r="K17" s="281">
        <f>Elect!P23</f>
        <v>0</v>
      </c>
      <c r="L17" s="281">
        <f>Elect!R23</f>
        <v>0</v>
      </c>
      <c r="M17" s="281">
        <f>Elect!T23</f>
        <v>0</v>
      </c>
      <c r="N17" s="281">
        <f>Elect!V23</f>
        <v>0</v>
      </c>
      <c r="O17" s="281">
        <f>Elect!X23</f>
        <v>0</v>
      </c>
      <c r="P17" s="282">
        <f>Elect!B23</f>
        <v>0</v>
      </c>
    </row>
    <row r="18" spans="1:16" x14ac:dyDescent="0.45">
      <c r="A18" s="180" t="s">
        <v>71</v>
      </c>
      <c r="B18" s="2">
        <f t="shared" si="0"/>
        <v>17</v>
      </c>
      <c r="C18" s="181">
        <v>3</v>
      </c>
      <c r="D18" s="2">
        <v>2024</v>
      </c>
      <c r="E18" s="24">
        <f>Elect!D24</f>
        <v>0</v>
      </c>
      <c r="F18" s="281">
        <f>Elect!F24</f>
        <v>0</v>
      </c>
      <c r="G18" s="282">
        <f>Elect!H24</f>
        <v>0</v>
      </c>
      <c r="H18" s="281">
        <f>Elect!J24</f>
        <v>0</v>
      </c>
      <c r="I18" s="282">
        <f>Elect!L24</f>
        <v>0</v>
      </c>
      <c r="J18" s="281">
        <f>Elect!N24</f>
        <v>0</v>
      </c>
      <c r="K18" s="281">
        <f>Elect!P24</f>
        <v>0</v>
      </c>
      <c r="L18" s="281">
        <f>Elect!R24</f>
        <v>0</v>
      </c>
      <c r="M18" s="281">
        <f>Elect!T24</f>
        <v>0</v>
      </c>
      <c r="N18" s="281">
        <f>Elect!V24</f>
        <v>0</v>
      </c>
      <c r="O18" s="281">
        <f>Elect!X24</f>
        <v>0</v>
      </c>
      <c r="P18" s="282">
        <f>Elect!B24</f>
        <v>0</v>
      </c>
    </row>
    <row r="19" spans="1:16" x14ac:dyDescent="0.45">
      <c r="A19" s="180" t="s">
        <v>71</v>
      </c>
      <c r="B19" s="2">
        <f t="shared" si="0"/>
        <v>18</v>
      </c>
      <c r="C19" s="181">
        <v>3</v>
      </c>
      <c r="D19" s="2">
        <v>2024</v>
      </c>
      <c r="E19" s="24">
        <f>Elect!D25</f>
        <v>0</v>
      </c>
      <c r="F19" s="281">
        <f>Elect!F25</f>
        <v>0</v>
      </c>
      <c r="G19" s="282">
        <f>Elect!H25</f>
        <v>0</v>
      </c>
      <c r="H19" s="281">
        <f>Elect!J25</f>
        <v>0</v>
      </c>
      <c r="I19" s="282">
        <f>Elect!L25</f>
        <v>0</v>
      </c>
      <c r="J19" s="281">
        <f>Elect!N25</f>
        <v>0</v>
      </c>
      <c r="K19" s="281">
        <f>Elect!P25</f>
        <v>0</v>
      </c>
      <c r="L19" s="281">
        <f>Elect!R25</f>
        <v>0</v>
      </c>
      <c r="M19" s="281">
        <f>Elect!T25</f>
        <v>0</v>
      </c>
      <c r="N19" s="281">
        <f>Elect!V25</f>
        <v>0</v>
      </c>
      <c r="O19" s="281">
        <f>Elect!X25</f>
        <v>0</v>
      </c>
      <c r="P19" s="282">
        <f>Elect!B25</f>
        <v>0</v>
      </c>
    </row>
    <row r="20" spans="1:16" x14ac:dyDescent="0.45">
      <c r="A20" s="180" t="s">
        <v>71</v>
      </c>
      <c r="B20" s="2">
        <f t="shared" si="0"/>
        <v>19</v>
      </c>
      <c r="C20" s="181">
        <v>3</v>
      </c>
      <c r="D20" s="2">
        <v>2024</v>
      </c>
      <c r="E20" s="24">
        <f>Elect!D26</f>
        <v>0</v>
      </c>
      <c r="F20" s="281">
        <f>Elect!F26</f>
        <v>0</v>
      </c>
      <c r="G20" s="282">
        <f>Elect!H26</f>
        <v>0</v>
      </c>
      <c r="H20" s="281">
        <f>Elect!J26</f>
        <v>0</v>
      </c>
      <c r="I20" s="282">
        <f>Elect!L26</f>
        <v>0</v>
      </c>
      <c r="J20" s="281">
        <f>Elect!N26</f>
        <v>0</v>
      </c>
      <c r="K20" s="281">
        <f>Elect!P26</f>
        <v>0</v>
      </c>
      <c r="L20" s="281">
        <f>Elect!R26</f>
        <v>0</v>
      </c>
      <c r="M20" s="281">
        <f>Elect!T26</f>
        <v>0</v>
      </c>
      <c r="N20" s="281">
        <f>Elect!V26</f>
        <v>0</v>
      </c>
      <c r="O20" s="281">
        <f>Elect!X26</f>
        <v>0</v>
      </c>
      <c r="P20" s="282">
        <f>Elect!B26</f>
        <v>0</v>
      </c>
    </row>
    <row r="21" spans="1:16" x14ac:dyDescent="0.45">
      <c r="A21" s="180" t="s">
        <v>71</v>
      </c>
      <c r="B21" s="2">
        <f t="shared" si="0"/>
        <v>20</v>
      </c>
      <c r="C21" s="181">
        <v>3</v>
      </c>
      <c r="D21" s="2">
        <v>2024</v>
      </c>
      <c r="E21" s="24">
        <f>Elect!D27</f>
        <v>0</v>
      </c>
      <c r="F21" s="281">
        <f>Elect!F27</f>
        <v>0</v>
      </c>
      <c r="G21" s="282">
        <f>Elect!H27</f>
        <v>0</v>
      </c>
      <c r="H21" s="281">
        <f>Elect!J27</f>
        <v>0</v>
      </c>
      <c r="I21" s="282">
        <f>Elect!L27</f>
        <v>0</v>
      </c>
      <c r="J21" s="281">
        <f>Elect!N27</f>
        <v>0</v>
      </c>
      <c r="K21" s="281">
        <f>Elect!P27</f>
        <v>0</v>
      </c>
      <c r="L21" s="281">
        <f>Elect!R27</f>
        <v>0</v>
      </c>
      <c r="M21" s="281">
        <f>Elect!T27</f>
        <v>0</v>
      </c>
      <c r="N21" s="281">
        <f>Elect!V27</f>
        <v>0</v>
      </c>
      <c r="O21" s="281">
        <f>Elect!X27</f>
        <v>0</v>
      </c>
      <c r="P21" s="282">
        <f>Elect!B27</f>
        <v>0</v>
      </c>
    </row>
    <row r="22" spans="1:16" x14ac:dyDescent="0.45">
      <c r="A22" s="180" t="s">
        <v>71</v>
      </c>
      <c r="B22" s="2">
        <f t="shared" si="0"/>
        <v>21</v>
      </c>
      <c r="C22" s="181">
        <v>3</v>
      </c>
      <c r="D22" s="2">
        <v>2024</v>
      </c>
      <c r="E22" s="24">
        <f>Elect!D28</f>
        <v>0</v>
      </c>
      <c r="F22" s="281">
        <f>Elect!F28</f>
        <v>0</v>
      </c>
      <c r="G22" s="282">
        <f>Elect!H28</f>
        <v>0</v>
      </c>
      <c r="H22" s="281">
        <f>Elect!J28</f>
        <v>0</v>
      </c>
      <c r="I22" s="282">
        <f>Elect!L28</f>
        <v>0</v>
      </c>
      <c r="J22" s="281">
        <f>Elect!N28</f>
        <v>0</v>
      </c>
      <c r="K22" s="281">
        <f>Elect!P28</f>
        <v>0</v>
      </c>
      <c r="L22" s="281">
        <f>Elect!R28</f>
        <v>0</v>
      </c>
      <c r="M22" s="281">
        <f>Elect!T28</f>
        <v>0</v>
      </c>
      <c r="N22" s="281">
        <f>Elect!V28</f>
        <v>0</v>
      </c>
      <c r="O22" s="281">
        <f>Elect!X28</f>
        <v>0</v>
      </c>
      <c r="P22" s="282">
        <f>Elect!B28</f>
        <v>0</v>
      </c>
    </row>
    <row r="23" spans="1:16" x14ac:dyDescent="0.45">
      <c r="A23" s="180" t="s">
        <v>71</v>
      </c>
      <c r="B23" s="2">
        <f t="shared" si="0"/>
        <v>22</v>
      </c>
      <c r="C23" s="181">
        <v>3</v>
      </c>
      <c r="D23" s="2">
        <v>2024</v>
      </c>
      <c r="E23" s="24">
        <f>Elect!D29</f>
        <v>0</v>
      </c>
      <c r="F23" s="281">
        <f>Elect!F29</f>
        <v>0</v>
      </c>
      <c r="G23" s="282">
        <f>Elect!H29</f>
        <v>0</v>
      </c>
      <c r="H23" s="281">
        <f>Elect!J29</f>
        <v>0</v>
      </c>
      <c r="I23" s="282">
        <f>Elect!L29</f>
        <v>0</v>
      </c>
      <c r="J23" s="281">
        <f>Elect!N29</f>
        <v>0</v>
      </c>
      <c r="K23" s="281">
        <f>Elect!P29</f>
        <v>0</v>
      </c>
      <c r="L23" s="281">
        <f>Elect!R29</f>
        <v>0</v>
      </c>
      <c r="M23" s="281">
        <f>Elect!T29</f>
        <v>0</v>
      </c>
      <c r="N23" s="281">
        <f>Elect!V29</f>
        <v>0</v>
      </c>
      <c r="O23" s="281">
        <f>Elect!X29</f>
        <v>0</v>
      </c>
      <c r="P23" s="282">
        <f>Elect!B29</f>
        <v>0</v>
      </c>
    </row>
    <row r="24" spans="1:16" x14ac:dyDescent="0.45">
      <c r="A24" s="180" t="s">
        <v>71</v>
      </c>
      <c r="B24" s="2">
        <f t="shared" si="0"/>
        <v>23</v>
      </c>
      <c r="C24" s="181">
        <v>3</v>
      </c>
      <c r="D24" s="2">
        <v>2024</v>
      </c>
      <c r="E24" s="24">
        <f>Elect!D30</f>
        <v>0</v>
      </c>
      <c r="F24" s="281">
        <f>Elect!F30</f>
        <v>0</v>
      </c>
      <c r="G24" s="282">
        <f>Elect!H30</f>
        <v>0</v>
      </c>
      <c r="H24" s="281">
        <f>Elect!J30</f>
        <v>0</v>
      </c>
      <c r="I24" s="282">
        <f>Elect!L30</f>
        <v>0</v>
      </c>
      <c r="J24" s="281">
        <f>Elect!N30</f>
        <v>0</v>
      </c>
      <c r="K24" s="281">
        <f>Elect!P30</f>
        <v>0</v>
      </c>
      <c r="L24" s="281">
        <f>Elect!R30</f>
        <v>0</v>
      </c>
      <c r="M24" s="281">
        <f>Elect!T30</f>
        <v>0</v>
      </c>
      <c r="N24" s="281">
        <f>Elect!V30</f>
        <v>0</v>
      </c>
      <c r="O24" s="281">
        <f>Elect!X30</f>
        <v>0</v>
      </c>
      <c r="P24" s="282">
        <f>Elect!B30</f>
        <v>0</v>
      </c>
    </row>
    <row r="25" spans="1:16" x14ac:dyDescent="0.45">
      <c r="A25" s="180" t="s">
        <v>71</v>
      </c>
      <c r="B25" s="2">
        <f t="shared" si="0"/>
        <v>24</v>
      </c>
      <c r="C25" s="181">
        <v>3</v>
      </c>
      <c r="D25" s="2">
        <v>2024</v>
      </c>
      <c r="E25" s="24">
        <f>Elect!D31</f>
        <v>0</v>
      </c>
      <c r="F25" s="281">
        <f>Elect!F31</f>
        <v>0</v>
      </c>
      <c r="G25" s="282">
        <f>Elect!H31</f>
        <v>0</v>
      </c>
      <c r="H25" s="281">
        <f>Elect!J31</f>
        <v>0</v>
      </c>
      <c r="I25" s="282">
        <f>Elect!L31</f>
        <v>0</v>
      </c>
      <c r="J25" s="281">
        <f>Elect!N31</f>
        <v>0</v>
      </c>
      <c r="K25" s="281">
        <f>Elect!P31</f>
        <v>0</v>
      </c>
      <c r="L25" s="281">
        <f>Elect!R31</f>
        <v>0</v>
      </c>
      <c r="M25" s="281">
        <f>Elect!T31</f>
        <v>0</v>
      </c>
      <c r="N25" s="281">
        <f>Elect!V31</f>
        <v>0</v>
      </c>
      <c r="O25" s="281">
        <f>Elect!X31</f>
        <v>0</v>
      </c>
      <c r="P25" s="282">
        <f>Elect!B31</f>
        <v>0</v>
      </c>
    </row>
    <row r="26" spans="1:16" x14ac:dyDescent="0.45">
      <c r="A26" s="180" t="s">
        <v>71</v>
      </c>
      <c r="B26" s="2">
        <f t="shared" si="0"/>
        <v>25</v>
      </c>
      <c r="C26" s="181">
        <v>3</v>
      </c>
      <c r="D26" s="2">
        <v>2024</v>
      </c>
      <c r="E26" s="24">
        <f>Elect!D32</f>
        <v>0</v>
      </c>
      <c r="F26" s="281">
        <f>Elect!F32</f>
        <v>0</v>
      </c>
      <c r="G26" s="282">
        <f>Elect!H32</f>
        <v>0</v>
      </c>
      <c r="H26" s="281">
        <f>Elect!J32</f>
        <v>0</v>
      </c>
      <c r="I26" s="282">
        <f>Elect!L32</f>
        <v>0</v>
      </c>
      <c r="J26" s="281">
        <f>Elect!N32</f>
        <v>0</v>
      </c>
      <c r="K26" s="281">
        <f>Elect!P32</f>
        <v>0</v>
      </c>
      <c r="L26" s="281">
        <f>Elect!R32</f>
        <v>0</v>
      </c>
      <c r="M26" s="281">
        <f>Elect!T32</f>
        <v>0</v>
      </c>
      <c r="N26" s="281">
        <f>Elect!V32</f>
        <v>0</v>
      </c>
      <c r="O26" s="281">
        <f>Elect!X32</f>
        <v>0</v>
      </c>
      <c r="P26" s="282">
        <f>Elect!B32</f>
        <v>0</v>
      </c>
    </row>
    <row r="27" spans="1:16" x14ac:dyDescent="0.45">
      <c r="A27" s="180" t="s">
        <v>71</v>
      </c>
      <c r="B27" s="2">
        <f t="shared" si="0"/>
        <v>26</v>
      </c>
      <c r="C27" s="181">
        <v>3</v>
      </c>
      <c r="D27" s="2">
        <v>2024</v>
      </c>
      <c r="E27" s="24">
        <f>Elect!D33</f>
        <v>0</v>
      </c>
      <c r="F27" s="281">
        <f>Elect!F33</f>
        <v>0</v>
      </c>
      <c r="G27" s="282">
        <f>Elect!H33</f>
        <v>0</v>
      </c>
      <c r="H27" s="281">
        <f>Elect!J33</f>
        <v>0</v>
      </c>
      <c r="I27" s="282">
        <f>Elect!L33</f>
        <v>0</v>
      </c>
      <c r="J27" s="281">
        <f>Elect!N33</f>
        <v>0</v>
      </c>
      <c r="K27" s="281">
        <f>Elect!P33</f>
        <v>0</v>
      </c>
      <c r="L27" s="281">
        <f>Elect!R33</f>
        <v>0</v>
      </c>
      <c r="M27" s="281">
        <f>Elect!T33</f>
        <v>0</v>
      </c>
      <c r="N27" s="281">
        <f>Elect!V33</f>
        <v>0</v>
      </c>
      <c r="O27" s="281">
        <f>Elect!X33</f>
        <v>0</v>
      </c>
      <c r="P27" s="282">
        <f>Elect!B33</f>
        <v>0</v>
      </c>
    </row>
    <row r="28" spans="1:16" x14ac:dyDescent="0.45">
      <c r="A28" s="180" t="s">
        <v>71</v>
      </c>
      <c r="B28" s="2">
        <f t="shared" si="0"/>
        <v>27</v>
      </c>
      <c r="C28" s="181">
        <v>3</v>
      </c>
      <c r="D28" s="2">
        <v>2024</v>
      </c>
      <c r="E28" s="24">
        <f>Elect!D34</f>
        <v>0</v>
      </c>
      <c r="F28" s="281">
        <f>Elect!F34</f>
        <v>0</v>
      </c>
      <c r="G28" s="282">
        <f>Elect!H34</f>
        <v>0</v>
      </c>
      <c r="H28" s="281">
        <f>Elect!J34</f>
        <v>0</v>
      </c>
      <c r="I28" s="282">
        <f>Elect!L34</f>
        <v>0</v>
      </c>
      <c r="J28" s="281">
        <f>Elect!N34</f>
        <v>0</v>
      </c>
      <c r="K28" s="281">
        <f>Elect!P34</f>
        <v>0</v>
      </c>
      <c r="L28" s="281">
        <f>Elect!R34</f>
        <v>0</v>
      </c>
      <c r="M28" s="281">
        <f>Elect!T34</f>
        <v>0</v>
      </c>
      <c r="N28" s="281">
        <f>Elect!V34</f>
        <v>0</v>
      </c>
      <c r="O28" s="281">
        <f>Elect!X34</f>
        <v>0</v>
      </c>
      <c r="P28" s="282">
        <f>Elect!B34</f>
        <v>0</v>
      </c>
    </row>
    <row r="29" spans="1:16" x14ac:dyDescent="0.45">
      <c r="A29" s="180" t="s">
        <v>71</v>
      </c>
      <c r="B29" s="2">
        <f t="shared" si="0"/>
        <v>28</v>
      </c>
      <c r="C29" s="181">
        <v>3</v>
      </c>
      <c r="D29" s="2">
        <v>2024</v>
      </c>
      <c r="E29" s="24">
        <f>Elect!D35</f>
        <v>0</v>
      </c>
      <c r="F29" s="281">
        <f>Elect!F35</f>
        <v>0</v>
      </c>
      <c r="G29" s="282">
        <f>Elect!H35</f>
        <v>0</v>
      </c>
      <c r="H29" s="281">
        <f>Elect!J35</f>
        <v>0</v>
      </c>
      <c r="I29" s="282">
        <f>Elect!L35</f>
        <v>0</v>
      </c>
      <c r="J29" s="281">
        <f>Elect!N35</f>
        <v>0</v>
      </c>
      <c r="K29" s="281">
        <f>Elect!P35</f>
        <v>0</v>
      </c>
      <c r="L29" s="281">
        <f>Elect!R35</f>
        <v>0</v>
      </c>
      <c r="M29" s="281">
        <f>Elect!T35</f>
        <v>0</v>
      </c>
      <c r="N29" s="281">
        <f>Elect!V35</f>
        <v>0</v>
      </c>
      <c r="O29" s="281">
        <f>Elect!X35</f>
        <v>0</v>
      </c>
      <c r="P29" s="282">
        <f>Elect!B35</f>
        <v>0</v>
      </c>
    </row>
    <row r="30" spans="1:16" x14ac:dyDescent="0.45">
      <c r="A30" s="180" t="s">
        <v>71</v>
      </c>
      <c r="B30" s="2">
        <f t="shared" si="0"/>
        <v>29</v>
      </c>
      <c r="C30" s="181">
        <v>3</v>
      </c>
      <c r="D30" s="2">
        <v>2024</v>
      </c>
      <c r="E30" s="24">
        <f>Elect!D36</f>
        <v>0</v>
      </c>
      <c r="F30" s="281">
        <f>Elect!F36</f>
        <v>0</v>
      </c>
      <c r="G30" s="282">
        <f>Elect!H36</f>
        <v>0</v>
      </c>
      <c r="H30" s="281">
        <f>Elect!J36</f>
        <v>0</v>
      </c>
      <c r="I30" s="282">
        <f>Elect!L36</f>
        <v>0</v>
      </c>
      <c r="J30" s="281">
        <f>Elect!N36</f>
        <v>0</v>
      </c>
      <c r="K30" s="281">
        <f>Elect!P36</f>
        <v>0</v>
      </c>
      <c r="L30" s="281">
        <f>Elect!R36</f>
        <v>0</v>
      </c>
      <c r="M30" s="281">
        <f>Elect!T36</f>
        <v>0</v>
      </c>
      <c r="N30" s="281">
        <f>Elect!V36</f>
        <v>0</v>
      </c>
      <c r="O30" s="281">
        <f>Elect!X36</f>
        <v>0</v>
      </c>
      <c r="P30" s="282">
        <f>Elect!B36</f>
        <v>0</v>
      </c>
    </row>
    <row r="31" spans="1:16" x14ac:dyDescent="0.45">
      <c r="A31" s="180" t="s">
        <v>71</v>
      </c>
      <c r="B31" s="2">
        <f t="shared" si="0"/>
        <v>30</v>
      </c>
      <c r="C31" s="181">
        <v>3</v>
      </c>
      <c r="D31" s="2">
        <v>2024</v>
      </c>
      <c r="E31" s="24">
        <f>Elect!D37</f>
        <v>0</v>
      </c>
      <c r="F31" s="281">
        <f>Elect!F37</f>
        <v>0</v>
      </c>
      <c r="G31" s="282">
        <f>Elect!H37</f>
        <v>0</v>
      </c>
      <c r="H31" s="281">
        <f>Elect!J37</f>
        <v>0</v>
      </c>
      <c r="I31" s="282">
        <f>Elect!L37</f>
        <v>0</v>
      </c>
      <c r="J31" s="281">
        <f>Elect!N37</f>
        <v>0</v>
      </c>
      <c r="K31" s="281">
        <f>Elect!P37</f>
        <v>0</v>
      </c>
      <c r="L31" s="281">
        <f>Elect!R37</f>
        <v>0</v>
      </c>
      <c r="M31" s="281">
        <f>Elect!T37</f>
        <v>0</v>
      </c>
      <c r="N31" s="281">
        <f>Elect!V37</f>
        <v>0</v>
      </c>
      <c r="O31" s="281">
        <f>Elect!X37</f>
        <v>0</v>
      </c>
      <c r="P31" s="282">
        <f>Elect!B37</f>
        <v>0</v>
      </c>
    </row>
    <row r="32" spans="1:16" x14ac:dyDescent="0.45">
      <c r="A32" s="180" t="s">
        <v>71</v>
      </c>
      <c r="B32" s="2">
        <f t="shared" si="0"/>
        <v>31</v>
      </c>
      <c r="C32" s="181">
        <v>3</v>
      </c>
      <c r="D32" s="2">
        <v>2024</v>
      </c>
      <c r="E32" s="24">
        <f>Elect!D38</f>
        <v>0</v>
      </c>
      <c r="F32" s="281">
        <f>Elect!F38</f>
        <v>0</v>
      </c>
      <c r="G32" s="282">
        <f>Elect!H38</f>
        <v>0</v>
      </c>
      <c r="H32" s="281">
        <f>Elect!J38</f>
        <v>0</v>
      </c>
      <c r="I32" s="282">
        <f>Elect!L38</f>
        <v>0</v>
      </c>
      <c r="J32" s="281">
        <f>Elect!N38</f>
        <v>0</v>
      </c>
      <c r="K32" s="281">
        <f>Elect!P38</f>
        <v>0</v>
      </c>
      <c r="L32" s="281">
        <f>Elect!R38</f>
        <v>0</v>
      </c>
      <c r="M32" s="281">
        <f>Elect!T38</f>
        <v>0</v>
      </c>
      <c r="N32" s="281">
        <f>Elect!V38</f>
        <v>0</v>
      </c>
      <c r="O32" s="281">
        <f>Elect!X38</f>
        <v>0</v>
      </c>
      <c r="P32" s="282">
        <f>Elect!B38</f>
        <v>0</v>
      </c>
    </row>
    <row r="36" spans="8:8" x14ac:dyDescent="0.45">
      <c r="H36" s="284" t="s">
        <v>50</v>
      </c>
    </row>
  </sheetData>
  <phoneticPr fontId="5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F46"/>
  <sheetViews>
    <sheetView zoomScale="85" zoomScaleNormal="85" workbookViewId="0">
      <pane xSplit="1" ySplit="7" topLeftCell="B8" activePane="bottomRight" state="frozen"/>
      <selection activeCell="W14" sqref="W14"/>
      <selection pane="topRight" activeCell="W14" sqref="W14"/>
      <selection pane="bottomLeft" activeCell="W14" sqref="W14"/>
      <selection pane="bottomRight" activeCell="B8" sqref="B8"/>
    </sheetView>
  </sheetViews>
  <sheetFormatPr defaultRowHeight="12.75" x14ac:dyDescent="0.35"/>
  <cols>
    <col min="1" max="1" width="7.73046875" customWidth="1"/>
    <col min="2" max="2" width="12.19921875" bestFit="1" customWidth="1"/>
    <col min="3" max="3" width="10.265625" customWidth="1"/>
    <col min="4" max="4" width="12.265625" customWidth="1"/>
    <col min="5" max="5" width="11" customWidth="1"/>
    <col min="6" max="6" width="13.1328125" customWidth="1"/>
    <col min="7" max="7" width="10.73046875" customWidth="1"/>
    <col min="8" max="8" width="13.3984375" customWidth="1"/>
    <col min="9" max="9" width="11.3984375" customWidth="1"/>
    <col min="10" max="10" width="13.59765625" customWidth="1"/>
    <col min="11" max="11" width="12.3984375" customWidth="1"/>
    <col min="12" max="12" width="11.59765625" customWidth="1"/>
    <col min="13" max="13" width="11.265625" customWidth="1"/>
    <col min="14" max="14" width="11.73046875" customWidth="1"/>
    <col min="15" max="15" width="12" customWidth="1"/>
    <col min="16" max="16" width="11.86328125" customWidth="1"/>
    <col min="17" max="17" width="11.265625" customWidth="1"/>
    <col min="18" max="18" width="12.59765625" customWidth="1"/>
    <col min="19" max="19" width="11.3984375" customWidth="1"/>
    <col min="20" max="20" width="10.86328125" customWidth="1"/>
    <col min="21" max="21" width="11.265625" customWidth="1"/>
    <col min="22" max="23" width="10.73046875" customWidth="1"/>
    <col min="24" max="24" width="11.265625" customWidth="1"/>
  </cols>
  <sheetData>
    <row r="1" spans="1:58" ht="21" customHeight="1" x14ac:dyDescent="0.6">
      <c r="A1" s="198" t="s">
        <v>51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84"/>
      <c r="W1" s="84"/>
      <c r="X1" s="84"/>
    </row>
    <row r="2" spans="1:58" ht="21" customHeight="1" x14ac:dyDescent="0.4">
      <c r="A2" s="199" t="s">
        <v>20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85"/>
      <c r="W2" s="85"/>
      <c r="X2" s="85"/>
    </row>
    <row r="3" spans="1:58" ht="27" customHeight="1" x14ac:dyDescent="0.4">
      <c r="A3" s="200" t="s">
        <v>55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86"/>
      <c r="W3" s="86"/>
      <c r="X3" s="86"/>
    </row>
    <row r="4" spans="1:58" ht="18" customHeight="1" x14ac:dyDescent="0.35">
      <c r="A4" s="218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58" ht="15" customHeight="1" x14ac:dyDescent="0.4">
      <c r="A5" s="201" t="s">
        <v>0</v>
      </c>
      <c r="B5" s="170"/>
      <c r="C5" s="216" t="s">
        <v>15</v>
      </c>
      <c r="D5" s="206"/>
      <c r="E5" s="206"/>
      <c r="F5" s="206"/>
      <c r="G5" s="206"/>
      <c r="H5" s="217"/>
      <c r="I5" s="190" t="s">
        <v>12</v>
      </c>
      <c r="J5" s="213"/>
      <c r="K5" s="190" t="s">
        <v>3</v>
      </c>
      <c r="L5" s="191"/>
      <c r="M5" s="211" t="s">
        <v>16</v>
      </c>
      <c r="N5" s="212"/>
      <c r="O5" s="212"/>
      <c r="P5" s="212"/>
      <c r="Q5" s="212"/>
      <c r="R5" s="212"/>
      <c r="S5" s="190" t="s">
        <v>37</v>
      </c>
      <c r="T5" s="191"/>
      <c r="U5" s="194" t="s">
        <v>39</v>
      </c>
      <c r="V5" s="194"/>
      <c r="W5" s="196" t="s">
        <v>53</v>
      </c>
      <c r="X5" s="191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15" customHeight="1" x14ac:dyDescent="0.4">
      <c r="A6" s="202"/>
      <c r="B6" s="189" t="s">
        <v>80</v>
      </c>
      <c r="C6" s="206" t="s">
        <v>2</v>
      </c>
      <c r="D6" s="207"/>
      <c r="E6" s="208" t="s">
        <v>1</v>
      </c>
      <c r="F6" s="209"/>
      <c r="G6" s="208" t="s">
        <v>38</v>
      </c>
      <c r="H6" s="209"/>
      <c r="I6" s="214"/>
      <c r="J6" s="215"/>
      <c r="K6" s="204"/>
      <c r="L6" s="205"/>
      <c r="M6" s="208" t="s">
        <v>29</v>
      </c>
      <c r="N6" s="210"/>
      <c r="O6" s="208" t="s">
        <v>4</v>
      </c>
      <c r="P6" s="210"/>
      <c r="Q6" s="194" t="s">
        <v>18</v>
      </c>
      <c r="R6" s="195"/>
      <c r="S6" s="192"/>
      <c r="T6" s="193"/>
      <c r="U6" s="194"/>
      <c r="V6" s="194"/>
      <c r="W6" s="197"/>
      <c r="X6" s="193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5" customHeight="1" x14ac:dyDescent="0.35">
      <c r="A7" s="203"/>
      <c r="B7" s="186"/>
      <c r="C7" s="14" t="s">
        <v>21</v>
      </c>
      <c r="D7" s="15" t="s">
        <v>22</v>
      </c>
      <c r="E7" s="14" t="s">
        <v>21</v>
      </c>
      <c r="F7" s="16" t="s">
        <v>22</v>
      </c>
      <c r="G7" s="15" t="s">
        <v>21</v>
      </c>
      <c r="H7" s="16" t="s">
        <v>22</v>
      </c>
      <c r="I7" s="17" t="s">
        <v>21</v>
      </c>
      <c r="J7" s="17" t="s">
        <v>22</v>
      </c>
      <c r="K7" s="18" t="s">
        <v>21</v>
      </c>
      <c r="L7" s="18" t="s">
        <v>22</v>
      </c>
      <c r="M7" s="19" t="s">
        <v>21</v>
      </c>
      <c r="N7" s="19" t="s">
        <v>22</v>
      </c>
      <c r="O7" s="19" t="s">
        <v>21</v>
      </c>
      <c r="P7" s="19" t="s">
        <v>22</v>
      </c>
      <c r="Q7" s="20" t="s">
        <v>21</v>
      </c>
      <c r="R7" s="20" t="s">
        <v>22</v>
      </c>
      <c r="S7" s="20" t="s">
        <v>21</v>
      </c>
      <c r="T7" s="20" t="s">
        <v>22</v>
      </c>
      <c r="U7" s="20" t="s">
        <v>21</v>
      </c>
      <c r="V7" s="18" t="s">
        <v>22</v>
      </c>
      <c r="W7" s="20" t="s">
        <v>21</v>
      </c>
      <c r="X7" s="20" t="s">
        <v>22</v>
      </c>
    </row>
    <row r="8" spans="1:58" s="7" customFormat="1" ht="15" customHeight="1" x14ac:dyDescent="0.35">
      <c r="A8" s="69">
        <v>45352</v>
      </c>
      <c r="B8" s="187"/>
      <c r="C8" s="137">
        <v>1392693</v>
      </c>
      <c r="D8" s="117">
        <f>C8-1388919</f>
        <v>3774</v>
      </c>
      <c r="E8" s="138">
        <v>32442518</v>
      </c>
      <c r="F8" s="117">
        <f>E8-32438421</f>
        <v>4097</v>
      </c>
      <c r="G8" s="139">
        <v>48171821</v>
      </c>
      <c r="H8" s="117">
        <f>G8-48162100</f>
        <v>9721</v>
      </c>
      <c r="I8" s="140">
        <v>2270999</v>
      </c>
      <c r="J8" s="117">
        <f>I8-2268805</f>
        <v>2194</v>
      </c>
      <c r="K8" s="141">
        <v>9646620</v>
      </c>
      <c r="L8" s="117">
        <f>K8-9643360</f>
        <v>3260</v>
      </c>
      <c r="M8" s="142">
        <v>5913650</v>
      </c>
      <c r="N8" s="117">
        <f>M8-5912470</f>
        <v>1180</v>
      </c>
      <c r="O8" s="143">
        <v>311438</v>
      </c>
      <c r="P8" s="117">
        <f>O8-305248</f>
        <v>6190</v>
      </c>
      <c r="Q8" s="144">
        <v>4862200</v>
      </c>
      <c r="R8" s="117">
        <f>Q8-4855540</f>
        <v>6660</v>
      </c>
      <c r="S8" s="60">
        <v>52897</v>
      </c>
      <c r="T8" s="117">
        <f>S8-52852</f>
        <v>45</v>
      </c>
      <c r="U8" s="59">
        <v>33955</v>
      </c>
      <c r="V8" s="95">
        <f>U8-33955</f>
        <v>0</v>
      </c>
      <c r="W8" s="139">
        <v>9317682</v>
      </c>
      <c r="X8" s="117">
        <f>W8-9313035</f>
        <v>4647</v>
      </c>
    </row>
    <row r="9" spans="1:58" s="7" customFormat="1" ht="15" customHeight="1" x14ac:dyDescent="0.35">
      <c r="A9" s="69">
        <v>45353</v>
      </c>
      <c r="B9" s="187"/>
      <c r="C9" s="137">
        <v>1395420</v>
      </c>
      <c r="D9" s="63">
        <f t="shared" ref="D9:D30" si="0">C9-C8</f>
        <v>2727</v>
      </c>
      <c r="E9" s="138">
        <v>32446510</v>
      </c>
      <c r="F9" s="72">
        <f>E9-E8</f>
        <v>3992</v>
      </c>
      <c r="G9" s="139">
        <v>48182362</v>
      </c>
      <c r="H9" s="51">
        <f t="shared" ref="H9:H31" si="1">G9-G8</f>
        <v>10541</v>
      </c>
      <c r="I9" s="140">
        <v>2273235</v>
      </c>
      <c r="J9" s="51">
        <f t="shared" ref="J9:J38" si="2">I9-I8</f>
        <v>2236</v>
      </c>
      <c r="K9" s="141">
        <v>9649740</v>
      </c>
      <c r="L9" s="51">
        <f t="shared" ref="L9:L38" si="3">K9-K8</f>
        <v>3120</v>
      </c>
      <c r="M9" s="142">
        <v>5914840</v>
      </c>
      <c r="N9" s="51">
        <f t="shared" ref="N9:N38" si="4">M9-M8</f>
        <v>1190</v>
      </c>
      <c r="O9" s="143">
        <v>317944</v>
      </c>
      <c r="P9" s="51">
        <f>O9-O8</f>
        <v>6506</v>
      </c>
      <c r="Q9" s="144">
        <v>4868480</v>
      </c>
      <c r="R9" s="95">
        <f t="shared" ref="R9:R38" si="5">Q9-Q8</f>
        <v>6280</v>
      </c>
      <c r="S9" s="60">
        <v>52936</v>
      </c>
      <c r="T9" s="51">
        <f t="shared" ref="T9:V38" si="6">S9-S8</f>
        <v>39</v>
      </c>
      <c r="U9" s="59">
        <v>33955</v>
      </c>
      <c r="V9" s="51">
        <f t="shared" si="6"/>
        <v>0</v>
      </c>
      <c r="W9" s="139">
        <v>9321721</v>
      </c>
      <c r="X9" s="51">
        <f t="shared" ref="X9:X34" si="7">W9-W8</f>
        <v>4039</v>
      </c>
    </row>
    <row r="10" spans="1:58" ht="15" customHeight="1" x14ac:dyDescent="0.35">
      <c r="A10" s="69">
        <v>45354</v>
      </c>
      <c r="B10" s="187"/>
      <c r="C10" s="137">
        <v>1401388</v>
      </c>
      <c r="D10" s="63">
        <f t="shared" si="0"/>
        <v>5968</v>
      </c>
      <c r="E10" s="138">
        <v>32450283</v>
      </c>
      <c r="F10" s="58">
        <f t="shared" ref="F10:F38" si="8">E10-E9</f>
        <v>3773</v>
      </c>
      <c r="G10" s="139">
        <v>48189686</v>
      </c>
      <c r="H10" s="51">
        <f t="shared" si="1"/>
        <v>7324</v>
      </c>
      <c r="I10" s="140">
        <v>2275520</v>
      </c>
      <c r="J10" s="51">
        <f t="shared" si="2"/>
        <v>2285</v>
      </c>
      <c r="K10" s="141">
        <v>9652920</v>
      </c>
      <c r="L10" s="51">
        <f t="shared" si="3"/>
        <v>3180</v>
      </c>
      <c r="M10" s="142">
        <v>5915970</v>
      </c>
      <c r="N10" s="51">
        <f t="shared" si="4"/>
        <v>1130</v>
      </c>
      <c r="O10" s="143">
        <v>324619</v>
      </c>
      <c r="P10" s="51">
        <f>O10-O9</f>
        <v>6675</v>
      </c>
      <c r="Q10" s="144">
        <v>4874820</v>
      </c>
      <c r="R10" s="95">
        <f t="shared" si="5"/>
        <v>6340</v>
      </c>
      <c r="S10" s="60">
        <v>52969</v>
      </c>
      <c r="T10" s="51">
        <f t="shared" si="6"/>
        <v>33</v>
      </c>
      <c r="U10" s="59">
        <v>33955</v>
      </c>
      <c r="V10" s="51">
        <f t="shared" si="6"/>
        <v>0</v>
      </c>
      <c r="W10" s="139">
        <v>9325785</v>
      </c>
      <c r="X10" s="51">
        <f t="shared" si="7"/>
        <v>4064</v>
      </c>
    </row>
    <row r="11" spans="1:58" ht="15" customHeight="1" x14ac:dyDescent="0.35">
      <c r="A11" s="69">
        <v>45355</v>
      </c>
      <c r="B11" s="187"/>
      <c r="C11" s="137">
        <v>1405454</v>
      </c>
      <c r="D11" s="63">
        <f t="shared" si="0"/>
        <v>4066</v>
      </c>
      <c r="E11" s="138">
        <v>32453999</v>
      </c>
      <c r="F11" s="58">
        <f t="shared" si="8"/>
        <v>3716</v>
      </c>
      <c r="G11" s="139">
        <v>48198328</v>
      </c>
      <c r="H11" s="58">
        <f t="shared" si="1"/>
        <v>8642</v>
      </c>
      <c r="I11" s="140">
        <v>2277849</v>
      </c>
      <c r="J11" s="51">
        <f t="shared" si="2"/>
        <v>2329</v>
      </c>
      <c r="K11" s="141">
        <v>9655950</v>
      </c>
      <c r="L11" s="51">
        <f t="shared" si="3"/>
        <v>3030</v>
      </c>
      <c r="M11" s="142">
        <v>5917030</v>
      </c>
      <c r="N11" s="51">
        <f t="shared" si="4"/>
        <v>1060</v>
      </c>
      <c r="O11" s="143">
        <v>331161</v>
      </c>
      <c r="P11" s="51">
        <f t="shared" ref="P11:P38" si="9">O11-O10</f>
        <v>6542</v>
      </c>
      <c r="Q11" s="144">
        <v>4880830</v>
      </c>
      <c r="R11" s="95">
        <f t="shared" si="5"/>
        <v>6010</v>
      </c>
      <c r="S11" s="60">
        <v>53004</v>
      </c>
      <c r="T11" s="51">
        <f t="shared" si="6"/>
        <v>35</v>
      </c>
      <c r="U11" s="59">
        <v>33955</v>
      </c>
      <c r="V11" s="51">
        <f t="shared" si="6"/>
        <v>0</v>
      </c>
      <c r="W11" s="139">
        <v>9331108</v>
      </c>
      <c r="X11" s="51">
        <f t="shared" si="7"/>
        <v>5323</v>
      </c>
    </row>
    <row r="12" spans="1:58" ht="15" customHeight="1" x14ac:dyDescent="0.35">
      <c r="A12" s="69">
        <v>45356</v>
      </c>
      <c r="B12" s="187"/>
      <c r="C12" s="137">
        <v>1411816</v>
      </c>
      <c r="D12" s="63">
        <f t="shared" si="0"/>
        <v>6362</v>
      </c>
      <c r="E12" s="138">
        <v>32458963</v>
      </c>
      <c r="F12" s="58">
        <f t="shared" si="8"/>
        <v>4964</v>
      </c>
      <c r="G12" s="139">
        <v>48205670</v>
      </c>
      <c r="H12" s="51">
        <f t="shared" si="1"/>
        <v>7342</v>
      </c>
      <c r="I12" s="140">
        <v>2280170</v>
      </c>
      <c r="J12" s="51">
        <f t="shared" si="2"/>
        <v>2321</v>
      </c>
      <c r="K12" s="141">
        <v>9658960</v>
      </c>
      <c r="L12" s="51">
        <f t="shared" si="3"/>
        <v>3010</v>
      </c>
      <c r="M12" s="142">
        <v>5918180</v>
      </c>
      <c r="N12" s="51">
        <f t="shared" si="4"/>
        <v>1150</v>
      </c>
      <c r="O12" s="143">
        <v>337497</v>
      </c>
      <c r="P12" s="51">
        <f t="shared" si="9"/>
        <v>6336</v>
      </c>
      <c r="Q12" s="144">
        <v>4887190</v>
      </c>
      <c r="R12" s="95">
        <f t="shared" si="5"/>
        <v>6360</v>
      </c>
      <c r="S12" s="60">
        <v>53069</v>
      </c>
      <c r="T12" s="51">
        <f t="shared" si="6"/>
        <v>65</v>
      </c>
      <c r="U12" s="59">
        <v>33955</v>
      </c>
      <c r="V12" s="51">
        <f t="shared" si="6"/>
        <v>0</v>
      </c>
      <c r="W12" s="139">
        <v>9335308</v>
      </c>
      <c r="X12" s="51">
        <f t="shared" si="7"/>
        <v>4200</v>
      </c>
    </row>
    <row r="13" spans="1:58" ht="15" customHeight="1" x14ac:dyDescent="0.35">
      <c r="A13" s="69">
        <v>45357</v>
      </c>
      <c r="B13" s="187"/>
      <c r="C13" s="137">
        <v>1415381</v>
      </c>
      <c r="D13" s="63">
        <f t="shared" si="0"/>
        <v>3565</v>
      </c>
      <c r="E13" s="138">
        <v>32462529</v>
      </c>
      <c r="F13" s="58">
        <f t="shared" si="8"/>
        <v>3566</v>
      </c>
      <c r="G13" s="139">
        <v>48216581</v>
      </c>
      <c r="H13" s="51">
        <f t="shared" si="1"/>
        <v>10911</v>
      </c>
      <c r="I13" s="140">
        <v>2282471</v>
      </c>
      <c r="J13" s="55">
        <f t="shared" si="2"/>
        <v>2301</v>
      </c>
      <c r="K13" s="141">
        <v>9662020</v>
      </c>
      <c r="L13" s="51">
        <f t="shared" si="3"/>
        <v>3060</v>
      </c>
      <c r="M13" s="142">
        <v>5919310</v>
      </c>
      <c r="N13" s="51">
        <f t="shared" si="4"/>
        <v>1130</v>
      </c>
      <c r="O13" s="143">
        <v>343744</v>
      </c>
      <c r="P13" s="51">
        <f t="shared" si="9"/>
        <v>6247</v>
      </c>
      <c r="Q13" s="144">
        <v>4893720</v>
      </c>
      <c r="R13" s="95">
        <f t="shared" si="5"/>
        <v>6530</v>
      </c>
      <c r="S13" s="60">
        <v>53100</v>
      </c>
      <c r="T13" s="51">
        <f t="shared" si="6"/>
        <v>31</v>
      </c>
      <c r="U13" s="59">
        <v>33955</v>
      </c>
      <c r="V13" s="51">
        <f t="shared" si="6"/>
        <v>0</v>
      </c>
      <c r="W13" s="139">
        <v>9339360</v>
      </c>
      <c r="X13" s="51">
        <f t="shared" si="7"/>
        <v>4052</v>
      </c>
    </row>
    <row r="14" spans="1:58" ht="15" customHeight="1" x14ac:dyDescent="0.35">
      <c r="A14" s="69">
        <v>45358</v>
      </c>
      <c r="B14" s="187"/>
      <c r="C14" s="137">
        <v>1421767</v>
      </c>
      <c r="D14" s="63">
        <f t="shared" si="0"/>
        <v>6386</v>
      </c>
      <c r="E14" s="138">
        <v>32466258</v>
      </c>
      <c r="F14" s="58">
        <f t="shared" si="8"/>
        <v>3729</v>
      </c>
      <c r="G14" s="139">
        <v>48224336</v>
      </c>
      <c r="H14" s="51">
        <f t="shared" si="1"/>
        <v>7755</v>
      </c>
      <c r="I14" s="140">
        <v>2284790</v>
      </c>
      <c r="J14" s="55">
        <f t="shared" si="2"/>
        <v>2319</v>
      </c>
      <c r="K14" s="141">
        <v>9665090</v>
      </c>
      <c r="L14" s="51">
        <f t="shared" si="3"/>
        <v>3070</v>
      </c>
      <c r="M14" s="142">
        <v>5920470</v>
      </c>
      <c r="N14" s="51">
        <f t="shared" si="4"/>
        <v>1160</v>
      </c>
      <c r="O14" s="143">
        <v>350134</v>
      </c>
      <c r="P14" s="51">
        <f t="shared" si="9"/>
        <v>6390</v>
      </c>
      <c r="Q14" s="144">
        <v>4900390</v>
      </c>
      <c r="R14" s="95">
        <f t="shared" si="5"/>
        <v>6670</v>
      </c>
      <c r="S14" s="60">
        <v>53135</v>
      </c>
      <c r="T14" s="51">
        <f t="shared" si="6"/>
        <v>35</v>
      </c>
      <c r="U14" s="59">
        <v>33955</v>
      </c>
      <c r="V14" s="51">
        <f t="shared" si="6"/>
        <v>0</v>
      </c>
      <c r="W14" s="139">
        <v>9343528</v>
      </c>
      <c r="X14" s="51">
        <f t="shared" si="7"/>
        <v>4168</v>
      </c>
    </row>
    <row r="15" spans="1:58" ht="15" customHeight="1" x14ac:dyDescent="0.35">
      <c r="A15" s="69">
        <v>45359</v>
      </c>
      <c r="B15" s="187"/>
      <c r="C15" s="137">
        <v>1425560</v>
      </c>
      <c r="D15" s="63">
        <f t="shared" si="0"/>
        <v>3793</v>
      </c>
      <c r="E15" s="138">
        <v>32473203</v>
      </c>
      <c r="F15" s="58">
        <f t="shared" si="8"/>
        <v>6945</v>
      </c>
      <c r="G15" s="139">
        <v>48230464</v>
      </c>
      <c r="H15" s="51">
        <f t="shared" si="1"/>
        <v>6128</v>
      </c>
      <c r="I15" s="140">
        <v>2287075</v>
      </c>
      <c r="J15" s="55">
        <f t="shared" si="2"/>
        <v>2285</v>
      </c>
      <c r="K15" s="141">
        <v>9668190</v>
      </c>
      <c r="L15" s="51">
        <f t="shared" si="3"/>
        <v>3100</v>
      </c>
      <c r="M15" s="142">
        <v>5921640</v>
      </c>
      <c r="N15" s="51">
        <f t="shared" si="4"/>
        <v>1170</v>
      </c>
      <c r="O15" s="143">
        <v>356518</v>
      </c>
      <c r="P15" s="51">
        <f t="shared" si="9"/>
        <v>6384</v>
      </c>
      <c r="Q15" s="144">
        <v>4907460</v>
      </c>
      <c r="R15" s="95">
        <f t="shared" si="5"/>
        <v>7070</v>
      </c>
      <c r="S15" s="60">
        <v>53194</v>
      </c>
      <c r="T15" s="51">
        <f t="shared" si="6"/>
        <v>59</v>
      </c>
      <c r="U15" s="59">
        <v>33955</v>
      </c>
      <c r="V15" s="51">
        <f t="shared" si="6"/>
        <v>0</v>
      </c>
      <c r="W15" s="139">
        <v>9347604</v>
      </c>
      <c r="X15" s="51">
        <f t="shared" si="7"/>
        <v>4076</v>
      </c>
    </row>
    <row r="16" spans="1:58" x14ac:dyDescent="0.35">
      <c r="A16" s="69">
        <v>45360</v>
      </c>
      <c r="B16" s="187"/>
      <c r="C16" s="137">
        <v>1432961</v>
      </c>
      <c r="D16" s="63">
        <f t="shared" si="0"/>
        <v>7401</v>
      </c>
      <c r="E16" s="138">
        <v>32477817</v>
      </c>
      <c r="F16" s="58">
        <f t="shared" si="8"/>
        <v>4614</v>
      </c>
      <c r="G16" s="139">
        <v>48238963</v>
      </c>
      <c r="H16" s="58">
        <f t="shared" si="1"/>
        <v>8499</v>
      </c>
      <c r="I16" s="140">
        <v>2289282</v>
      </c>
      <c r="J16" s="55">
        <f t="shared" si="2"/>
        <v>2207</v>
      </c>
      <c r="K16" s="141">
        <v>9671630</v>
      </c>
      <c r="L16" s="51">
        <f t="shared" si="3"/>
        <v>3440</v>
      </c>
      <c r="M16" s="142">
        <v>5922810</v>
      </c>
      <c r="N16" s="51">
        <f t="shared" si="4"/>
        <v>1170</v>
      </c>
      <c r="O16" s="143">
        <v>362296</v>
      </c>
      <c r="P16" s="51">
        <f t="shared" si="9"/>
        <v>5778</v>
      </c>
      <c r="Q16" s="144">
        <v>4914910</v>
      </c>
      <c r="R16" s="95">
        <f t="shared" si="5"/>
        <v>7450</v>
      </c>
      <c r="S16" s="60">
        <v>53240</v>
      </c>
      <c r="T16" s="51">
        <f t="shared" si="6"/>
        <v>46</v>
      </c>
      <c r="U16" s="59">
        <v>33955</v>
      </c>
      <c r="V16" s="51">
        <f t="shared" si="6"/>
        <v>0</v>
      </c>
      <c r="W16" s="139">
        <v>9351769</v>
      </c>
      <c r="X16" s="51">
        <f t="shared" si="7"/>
        <v>4165</v>
      </c>
    </row>
    <row r="17" spans="1:24" ht="15" customHeight="1" x14ac:dyDescent="0.35">
      <c r="A17" s="69">
        <v>45361</v>
      </c>
      <c r="B17" s="187"/>
      <c r="C17" s="137">
        <v>1436403</v>
      </c>
      <c r="D17" s="63">
        <f t="shared" si="0"/>
        <v>3442</v>
      </c>
      <c r="E17" s="138">
        <v>32481721</v>
      </c>
      <c r="F17" s="58">
        <f t="shared" si="8"/>
        <v>3904</v>
      </c>
      <c r="G17" s="139">
        <v>48250797</v>
      </c>
      <c r="H17" s="58">
        <f t="shared" si="1"/>
        <v>11834</v>
      </c>
      <c r="I17" s="140">
        <v>2291290</v>
      </c>
      <c r="J17" s="74">
        <f t="shared" si="2"/>
        <v>2008</v>
      </c>
      <c r="K17" s="141">
        <v>9674890</v>
      </c>
      <c r="L17" s="51">
        <f t="shared" si="3"/>
        <v>3260</v>
      </c>
      <c r="M17" s="142">
        <v>5923960</v>
      </c>
      <c r="N17" s="51">
        <f t="shared" si="4"/>
        <v>1150</v>
      </c>
      <c r="O17" s="143">
        <v>367810</v>
      </c>
      <c r="P17" s="51">
        <f t="shared" si="9"/>
        <v>5514</v>
      </c>
      <c r="Q17" s="144">
        <v>4921660</v>
      </c>
      <c r="R17" s="95">
        <f t="shared" si="5"/>
        <v>6750</v>
      </c>
      <c r="S17" s="60">
        <v>53248</v>
      </c>
      <c r="T17" s="51">
        <f t="shared" si="6"/>
        <v>8</v>
      </c>
      <c r="U17" s="59">
        <v>33955</v>
      </c>
      <c r="V17" s="51">
        <f t="shared" si="6"/>
        <v>0</v>
      </c>
      <c r="W17" s="139">
        <v>9355926</v>
      </c>
      <c r="X17" s="51">
        <f t="shared" si="7"/>
        <v>4157</v>
      </c>
    </row>
    <row r="18" spans="1:24" ht="15" customHeight="1" x14ac:dyDescent="0.35">
      <c r="A18" s="69">
        <v>45362</v>
      </c>
      <c r="B18" s="187"/>
      <c r="C18" s="137">
        <v>1444309</v>
      </c>
      <c r="D18" s="63">
        <f t="shared" si="0"/>
        <v>7906</v>
      </c>
      <c r="E18" s="138">
        <v>32485452</v>
      </c>
      <c r="F18" s="58">
        <f t="shared" si="8"/>
        <v>3731</v>
      </c>
      <c r="G18" s="139">
        <v>48257313</v>
      </c>
      <c r="H18" s="58">
        <f t="shared" si="1"/>
        <v>6516</v>
      </c>
      <c r="I18" s="140">
        <v>2293458</v>
      </c>
      <c r="J18" s="74">
        <f t="shared" si="2"/>
        <v>2168</v>
      </c>
      <c r="K18" s="141">
        <v>9678110</v>
      </c>
      <c r="L18" s="51">
        <f t="shared" si="3"/>
        <v>3220</v>
      </c>
      <c r="M18" s="142">
        <v>5925100</v>
      </c>
      <c r="N18" s="51">
        <f t="shared" si="4"/>
        <v>1140</v>
      </c>
      <c r="O18" s="143">
        <v>373839</v>
      </c>
      <c r="P18" s="51">
        <f t="shared" si="9"/>
        <v>6029</v>
      </c>
      <c r="Q18" s="144">
        <v>4928410</v>
      </c>
      <c r="R18" s="95">
        <f t="shared" si="5"/>
        <v>6750</v>
      </c>
      <c r="S18" s="60">
        <v>53293</v>
      </c>
      <c r="T18" s="51">
        <f t="shared" si="6"/>
        <v>45</v>
      </c>
      <c r="U18" s="59">
        <v>33955</v>
      </c>
      <c r="V18" s="51">
        <f t="shared" si="6"/>
        <v>0</v>
      </c>
      <c r="W18" s="139">
        <v>9360066</v>
      </c>
      <c r="X18" s="51">
        <f t="shared" si="7"/>
        <v>4140</v>
      </c>
    </row>
    <row r="19" spans="1:24" ht="15" customHeight="1" x14ac:dyDescent="0.35">
      <c r="A19" s="69">
        <v>45363</v>
      </c>
      <c r="B19" s="187"/>
      <c r="C19" s="137">
        <v>1452705</v>
      </c>
      <c r="D19" s="63">
        <f t="shared" si="0"/>
        <v>8396</v>
      </c>
      <c r="E19" s="138">
        <v>32489058</v>
      </c>
      <c r="F19" s="58">
        <f t="shared" si="8"/>
        <v>3606</v>
      </c>
      <c r="G19" s="139">
        <v>48264287</v>
      </c>
      <c r="H19" s="58">
        <f t="shared" si="1"/>
        <v>6974</v>
      </c>
      <c r="I19" s="140">
        <v>2295740</v>
      </c>
      <c r="J19" s="74">
        <f t="shared" si="2"/>
        <v>2282</v>
      </c>
      <c r="K19" s="141">
        <v>9681200</v>
      </c>
      <c r="L19" s="51">
        <f t="shared" si="3"/>
        <v>3090</v>
      </c>
      <c r="M19" s="142">
        <v>5926210</v>
      </c>
      <c r="N19" s="51">
        <f t="shared" si="4"/>
        <v>1110</v>
      </c>
      <c r="O19" s="143">
        <v>379773</v>
      </c>
      <c r="P19" s="51">
        <f t="shared" si="9"/>
        <v>5934</v>
      </c>
      <c r="Q19" s="144">
        <v>4934540</v>
      </c>
      <c r="R19" s="95">
        <f t="shared" si="5"/>
        <v>6130</v>
      </c>
      <c r="S19" s="60">
        <v>53344</v>
      </c>
      <c r="T19" s="51">
        <f t="shared" si="6"/>
        <v>51</v>
      </c>
      <c r="U19" s="59">
        <v>33955</v>
      </c>
      <c r="V19" s="51">
        <f t="shared" si="6"/>
        <v>0</v>
      </c>
      <c r="W19" s="139">
        <v>9364241</v>
      </c>
      <c r="X19" s="51">
        <f t="shared" si="7"/>
        <v>4175</v>
      </c>
    </row>
    <row r="20" spans="1:24" ht="15" customHeight="1" x14ac:dyDescent="0.35">
      <c r="A20" s="69">
        <v>45364</v>
      </c>
      <c r="B20" s="187"/>
      <c r="C20" s="137"/>
      <c r="D20" s="63">
        <f t="shared" si="0"/>
        <v>-1452705</v>
      </c>
      <c r="E20" s="138"/>
      <c r="F20" s="58">
        <f t="shared" si="8"/>
        <v>-32489058</v>
      </c>
      <c r="G20" s="139"/>
      <c r="H20" s="58">
        <f t="shared" si="1"/>
        <v>-48264287</v>
      </c>
      <c r="I20" s="140"/>
      <c r="J20" s="74">
        <f t="shared" si="2"/>
        <v>-2295740</v>
      </c>
      <c r="K20" s="141"/>
      <c r="L20" s="51">
        <f t="shared" si="3"/>
        <v>-9681200</v>
      </c>
      <c r="M20" s="142"/>
      <c r="N20" s="51">
        <f t="shared" si="4"/>
        <v>-5926210</v>
      </c>
      <c r="O20" s="143"/>
      <c r="P20" s="51">
        <f t="shared" si="9"/>
        <v>-379773</v>
      </c>
      <c r="Q20" s="144"/>
      <c r="R20" s="95">
        <f t="shared" si="5"/>
        <v>-4934540</v>
      </c>
      <c r="S20" s="60"/>
      <c r="T20" s="51">
        <f t="shared" si="6"/>
        <v>-53344</v>
      </c>
      <c r="U20" s="59">
        <v>33955</v>
      </c>
      <c r="V20" s="51">
        <f t="shared" si="6"/>
        <v>0</v>
      </c>
      <c r="W20" s="139"/>
      <c r="X20" s="51">
        <f t="shared" si="7"/>
        <v>-9364241</v>
      </c>
    </row>
    <row r="21" spans="1:24" ht="15" customHeight="1" x14ac:dyDescent="0.35">
      <c r="A21" s="69">
        <v>45365</v>
      </c>
      <c r="B21" s="187"/>
      <c r="C21" s="137"/>
      <c r="D21" s="63">
        <f t="shared" si="0"/>
        <v>0</v>
      </c>
      <c r="E21" s="138"/>
      <c r="F21" s="58">
        <f t="shared" si="8"/>
        <v>0</v>
      </c>
      <c r="G21" s="139"/>
      <c r="H21" s="58">
        <f t="shared" si="1"/>
        <v>0</v>
      </c>
      <c r="I21" s="140"/>
      <c r="J21" s="61">
        <f>I21-I20</f>
        <v>0</v>
      </c>
      <c r="K21" s="141"/>
      <c r="L21" s="51">
        <f t="shared" si="3"/>
        <v>0</v>
      </c>
      <c r="M21" s="142"/>
      <c r="N21" s="51">
        <f t="shared" si="4"/>
        <v>0</v>
      </c>
      <c r="O21" s="143"/>
      <c r="P21" s="51">
        <f t="shared" si="9"/>
        <v>0</v>
      </c>
      <c r="Q21" s="144"/>
      <c r="R21" s="95">
        <f t="shared" si="5"/>
        <v>0</v>
      </c>
      <c r="S21" s="60"/>
      <c r="T21" s="51">
        <f t="shared" si="6"/>
        <v>0</v>
      </c>
      <c r="U21" s="59">
        <v>33955</v>
      </c>
      <c r="V21" s="51">
        <f t="shared" si="6"/>
        <v>0</v>
      </c>
      <c r="W21" s="139"/>
      <c r="X21" s="51">
        <f t="shared" si="7"/>
        <v>0</v>
      </c>
    </row>
    <row r="22" spans="1:24" ht="15" customHeight="1" x14ac:dyDescent="0.35">
      <c r="A22" s="69">
        <v>45366</v>
      </c>
      <c r="B22" s="187"/>
      <c r="C22" s="137"/>
      <c r="D22" s="63">
        <f t="shared" si="0"/>
        <v>0</v>
      </c>
      <c r="E22" s="138"/>
      <c r="F22" s="58">
        <f t="shared" si="8"/>
        <v>0</v>
      </c>
      <c r="G22" s="139"/>
      <c r="H22" s="51">
        <f t="shared" si="1"/>
        <v>0</v>
      </c>
      <c r="I22" s="140"/>
      <c r="J22" s="61">
        <f t="shared" si="2"/>
        <v>0</v>
      </c>
      <c r="K22" s="141"/>
      <c r="L22" s="51">
        <f t="shared" si="3"/>
        <v>0</v>
      </c>
      <c r="M22" s="142"/>
      <c r="N22" s="51">
        <f t="shared" si="4"/>
        <v>0</v>
      </c>
      <c r="O22" s="143"/>
      <c r="P22" s="51">
        <f t="shared" si="9"/>
        <v>0</v>
      </c>
      <c r="Q22" s="144"/>
      <c r="R22" s="95">
        <f t="shared" si="5"/>
        <v>0</v>
      </c>
      <c r="S22" s="60"/>
      <c r="T22" s="51">
        <f t="shared" si="6"/>
        <v>0</v>
      </c>
      <c r="U22" s="59">
        <v>33955</v>
      </c>
      <c r="V22" s="51">
        <f t="shared" si="6"/>
        <v>0</v>
      </c>
      <c r="W22" s="139"/>
      <c r="X22" s="51">
        <f t="shared" si="7"/>
        <v>0</v>
      </c>
    </row>
    <row r="23" spans="1:24" ht="15" customHeight="1" x14ac:dyDescent="0.35">
      <c r="A23" s="69">
        <v>45367</v>
      </c>
      <c r="B23" s="187"/>
      <c r="C23" s="137"/>
      <c r="D23" s="63">
        <f t="shared" si="0"/>
        <v>0</v>
      </c>
      <c r="E23" s="138"/>
      <c r="F23" s="58">
        <f t="shared" si="8"/>
        <v>0</v>
      </c>
      <c r="G23" s="139"/>
      <c r="H23" s="51">
        <f t="shared" si="1"/>
        <v>0</v>
      </c>
      <c r="I23" s="140"/>
      <c r="J23" s="61">
        <f t="shared" si="2"/>
        <v>0</v>
      </c>
      <c r="K23" s="141"/>
      <c r="L23" s="51">
        <f t="shared" si="3"/>
        <v>0</v>
      </c>
      <c r="M23" s="142"/>
      <c r="N23" s="51">
        <f t="shared" si="4"/>
        <v>0</v>
      </c>
      <c r="O23" s="143"/>
      <c r="P23" s="51">
        <f t="shared" si="9"/>
        <v>0</v>
      </c>
      <c r="Q23" s="144"/>
      <c r="R23" s="95">
        <f t="shared" si="5"/>
        <v>0</v>
      </c>
      <c r="S23" s="60"/>
      <c r="T23" s="51">
        <f t="shared" si="6"/>
        <v>0</v>
      </c>
      <c r="U23" s="59">
        <v>33955</v>
      </c>
      <c r="V23" s="51">
        <f t="shared" si="6"/>
        <v>0</v>
      </c>
      <c r="W23" s="139"/>
      <c r="X23" s="51">
        <f t="shared" si="7"/>
        <v>0</v>
      </c>
    </row>
    <row r="24" spans="1:24" ht="15" customHeight="1" x14ac:dyDescent="0.35">
      <c r="A24" s="69">
        <v>45368</v>
      </c>
      <c r="B24" s="187"/>
      <c r="C24" s="137"/>
      <c r="D24" s="63">
        <f t="shared" si="0"/>
        <v>0</v>
      </c>
      <c r="E24" s="138"/>
      <c r="F24" s="58">
        <f t="shared" si="8"/>
        <v>0</v>
      </c>
      <c r="G24" s="139"/>
      <c r="H24" s="58">
        <f t="shared" si="1"/>
        <v>0</v>
      </c>
      <c r="I24" s="140"/>
      <c r="J24" s="61">
        <f t="shared" si="2"/>
        <v>0</v>
      </c>
      <c r="K24" s="141"/>
      <c r="L24" s="51">
        <f t="shared" si="3"/>
        <v>0</v>
      </c>
      <c r="M24" s="142"/>
      <c r="N24" s="51">
        <f t="shared" si="4"/>
        <v>0</v>
      </c>
      <c r="O24" s="143"/>
      <c r="P24" s="51">
        <f t="shared" si="9"/>
        <v>0</v>
      </c>
      <c r="Q24" s="144"/>
      <c r="R24" s="95">
        <f t="shared" si="5"/>
        <v>0</v>
      </c>
      <c r="S24" s="60"/>
      <c r="T24" s="51">
        <f t="shared" si="6"/>
        <v>0</v>
      </c>
      <c r="U24" s="59">
        <v>33955</v>
      </c>
      <c r="V24" s="51">
        <f t="shared" si="6"/>
        <v>0</v>
      </c>
      <c r="W24" s="139"/>
      <c r="X24" s="51">
        <f t="shared" si="7"/>
        <v>0</v>
      </c>
    </row>
    <row r="25" spans="1:24" ht="15" customHeight="1" x14ac:dyDescent="0.35">
      <c r="A25" s="69">
        <v>45369</v>
      </c>
      <c r="B25" s="187"/>
      <c r="C25" s="137"/>
      <c r="D25" s="63">
        <f t="shared" si="0"/>
        <v>0</v>
      </c>
      <c r="E25" s="138"/>
      <c r="F25" s="58">
        <f t="shared" si="8"/>
        <v>0</v>
      </c>
      <c r="G25" s="139"/>
      <c r="H25" s="58">
        <f t="shared" si="1"/>
        <v>0</v>
      </c>
      <c r="I25" s="140"/>
      <c r="J25" s="51">
        <f t="shared" si="2"/>
        <v>0</v>
      </c>
      <c r="K25" s="141"/>
      <c r="L25" s="51">
        <f t="shared" si="3"/>
        <v>0</v>
      </c>
      <c r="M25" s="142"/>
      <c r="N25" s="51">
        <f t="shared" si="4"/>
        <v>0</v>
      </c>
      <c r="O25" s="143"/>
      <c r="P25" s="51">
        <f t="shared" si="9"/>
        <v>0</v>
      </c>
      <c r="Q25" s="144"/>
      <c r="R25" s="95">
        <f t="shared" si="5"/>
        <v>0</v>
      </c>
      <c r="S25" s="60"/>
      <c r="T25" s="51">
        <f t="shared" si="6"/>
        <v>0</v>
      </c>
      <c r="U25" s="59">
        <v>33955</v>
      </c>
      <c r="V25" s="51">
        <f t="shared" si="6"/>
        <v>0</v>
      </c>
      <c r="W25" s="139"/>
      <c r="X25" s="51">
        <f t="shared" si="7"/>
        <v>0</v>
      </c>
    </row>
    <row r="26" spans="1:24" ht="15" customHeight="1" x14ac:dyDescent="0.35">
      <c r="A26" s="69">
        <v>45370</v>
      </c>
      <c r="B26" s="187"/>
      <c r="C26" s="137"/>
      <c r="D26" s="63">
        <f t="shared" si="0"/>
        <v>0</v>
      </c>
      <c r="E26" s="138"/>
      <c r="F26" s="58">
        <f t="shared" si="8"/>
        <v>0</v>
      </c>
      <c r="G26" s="139"/>
      <c r="H26" s="58">
        <f t="shared" si="1"/>
        <v>0</v>
      </c>
      <c r="I26" s="140"/>
      <c r="J26" s="51">
        <f t="shared" si="2"/>
        <v>0</v>
      </c>
      <c r="K26" s="141"/>
      <c r="L26" s="51">
        <f t="shared" si="3"/>
        <v>0</v>
      </c>
      <c r="M26" s="142"/>
      <c r="N26" s="51">
        <f t="shared" si="4"/>
        <v>0</v>
      </c>
      <c r="O26" s="143"/>
      <c r="P26" s="51">
        <f t="shared" si="9"/>
        <v>0</v>
      </c>
      <c r="Q26" s="144"/>
      <c r="R26" s="95">
        <f t="shared" si="5"/>
        <v>0</v>
      </c>
      <c r="S26" s="60"/>
      <c r="T26" s="51">
        <f t="shared" si="6"/>
        <v>0</v>
      </c>
      <c r="U26" s="59">
        <v>33955</v>
      </c>
      <c r="V26" s="51">
        <f t="shared" si="6"/>
        <v>0</v>
      </c>
      <c r="W26" s="139"/>
      <c r="X26" s="51">
        <f t="shared" si="7"/>
        <v>0</v>
      </c>
    </row>
    <row r="27" spans="1:24" ht="15" customHeight="1" x14ac:dyDescent="0.35">
      <c r="A27" s="69">
        <v>45371</v>
      </c>
      <c r="B27" s="187"/>
      <c r="C27" s="137"/>
      <c r="D27" s="63">
        <f>C27-C26</f>
        <v>0</v>
      </c>
      <c r="E27" s="138"/>
      <c r="F27" s="58">
        <f t="shared" si="8"/>
        <v>0</v>
      </c>
      <c r="G27" s="139"/>
      <c r="H27" s="58">
        <f t="shared" si="1"/>
        <v>0</v>
      </c>
      <c r="I27" s="140"/>
      <c r="J27" s="51">
        <f t="shared" si="2"/>
        <v>0</v>
      </c>
      <c r="K27" s="141"/>
      <c r="L27" s="51">
        <f t="shared" si="3"/>
        <v>0</v>
      </c>
      <c r="M27" s="142"/>
      <c r="N27" s="51">
        <f t="shared" si="4"/>
        <v>0</v>
      </c>
      <c r="O27" s="143"/>
      <c r="P27" s="51">
        <f t="shared" si="9"/>
        <v>0</v>
      </c>
      <c r="Q27" s="144"/>
      <c r="R27" s="95">
        <f t="shared" si="5"/>
        <v>0</v>
      </c>
      <c r="S27" s="60"/>
      <c r="T27" s="51">
        <f t="shared" si="6"/>
        <v>0</v>
      </c>
      <c r="U27" s="59">
        <v>33955</v>
      </c>
      <c r="V27" s="51">
        <f t="shared" si="6"/>
        <v>0</v>
      </c>
      <c r="W27" s="139"/>
      <c r="X27" s="51">
        <f t="shared" si="7"/>
        <v>0</v>
      </c>
    </row>
    <row r="28" spans="1:24" ht="15" customHeight="1" x14ac:dyDescent="0.35">
      <c r="A28" s="69">
        <v>45372</v>
      </c>
      <c r="B28" s="187"/>
      <c r="C28" s="137"/>
      <c r="D28" s="63">
        <f t="shared" si="0"/>
        <v>0</v>
      </c>
      <c r="E28" s="138"/>
      <c r="F28" s="58">
        <f t="shared" si="8"/>
        <v>0</v>
      </c>
      <c r="G28" s="139"/>
      <c r="H28" s="63">
        <f t="shared" si="1"/>
        <v>0</v>
      </c>
      <c r="I28" s="140"/>
      <c r="J28" s="55">
        <f t="shared" si="2"/>
        <v>0</v>
      </c>
      <c r="K28" s="141"/>
      <c r="L28" s="55">
        <f t="shared" si="3"/>
        <v>0</v>
      </c>
      <c r="M28" s="142"/>
      <c r="N28" s="55">
        <f t="shared" si="4"/>
        <v>0</v>
      </c>
      <c r="O28" s="143"/>
      <c r="P28" s="63">
        <f t="shared" si="9"/>
        <v>0</v>
      </c>
      <c r="Q28" s="144"/>
      <c r="R28" s="95">
        <f t="shared" si="5"/>
        <v>0</v>
      </c>
      <c r="S28" s="60"/>
      <c r="T28" s="51">
        <f t="shared" si="6"/>
        <v>0</v>
      </c>
      <c r="U28" s="59">
        <v>33955</v>
      </c>
      <c r="V28" s="51">
        <f t="shared" si="6"/>
        <v>0</v>
      </c>
      <c r="W28" s="139"/>
      <c r="X28" s="51">
        <f t="shared" si="7"/>
        <v>0</v>
      </c>
    </row>
    <row r="29" spans="1:24" ht="15" customHeight="1" x14ac:dyDescent="0.35">
      <c r="A29" s="69">
        <v>45373</v>
      </c>
      <c r="B29" s="187"/>
      <c r="C29" s="137"/>
      <c r="D29" s="63">
        <f t="shared" si="0"/>
        <v>0</v>
      </c>
      <c r="E29" s="138"/>
      <c r="F29" s="63">
        <f t="shared" si="8"/>
        <v>0</v>
      </c>
      <c r="G29" s="139"/>
      <c r="H29" s="63">
        <f t="shared" si="1"/>
        <v>0</v>
      </c>
      <c r="I29" s="140"/>
      <c r="J29" s="63">
        <f t="shared" si="2"/>
        <v>0</v>
      </c>
      <c r="K29" s="141"/>
      <c r="L29" s="63">
        <f t="shared" si="3"/>
        <v>0</v>
      </c>
      <c r="M29" s="142"/>
      <c r="N29" s="63">
        <f t="shared" si="4"/>
        <v>0</v>
      </c>
      <c r="O29" s="143"/>
      <c r="P29" s="55">
        <f t="shared" si="9"/>
        <v>0</v>
      </c>
      <c r="Q29" s="144"/>
      <c r="R29" s="95">
        <f t="shared" si="5"/>
        <v>0</v>
      </c>
      <c r="S29" s="60"/>
      <c r="T29" s="51">
        <f t="shared" si="6"/>
        <v>0</v>
      </c>
      <c r="U29" s="59">
        <v>33955</v>
      </c>
      <c r="V29" s="51">
        <f t="shared" si="6"/>
        <v>0</v>
      </c>
      <c r="W29" s="139"/>
      <c r="X29" s="51">
        <f t="shared" si="7"/>
        <v>0</v>
      </c>
    </row>
    <row r="30" spans="1:24" ht="15" customHeight="1" x14ac:dyDescent="0.35">
      <c r="A30" s="69">
        <v>45374</v>
      </c>
      <c r="B30" s="187"/>
      <c r="C30" s="137"/>
      <c r="D30" s="63">
        <f t="shared" si="0"/>
        <v>0</v>
      </c>
      <c r="E30" s="138"/>
      <c r="F30" s="63">
        <f t="shared" si="8"/>
        <v>0</v>
      </c>
      <c r="G30" s="139"/>
      <c r="H30" s="63">
        <f t="shared" si="1"/>
        <v>0</v>
      </c>
      <c r="I30" s="140"/>
      <c r="J30" s="63">
        <f t="shared" si="2"/>
        <v>0</v>
      </c>
      <c r="K30" s="141"/>
      <c r="L30" s="63">
        <f t="shared" si="3"/>
        <v>0</v>
      </c>
      <c r="M30" s="142"/>
      <c r="N30" s="63">
        <f t="shared" si="4"/>
        <v>0</v>
      </c>
      <c r="O30" s="143"/>
      <c r="P30" s="55">
        <f t="shared" si="9"/>
        <v>0</v>
      </c>
      <c r="Q30" s="144"/>
      <c r="R30" s="95">
        <f t="shared" si="5"/>
        <v>0</v>
      </c>
      <c r="S30" s="60"/>
      <c r="T30" s="51">
        <f t="shared" si="6"/>
        <v>0</v>
      </c>
      <c r="U30" s="59">
        <v>33955</v>
      </c>
      <c r="V30" s="51">
        <f t="shared" si="6"/>
        <v>0</v>
      </c>
      <c r="W30" s="139"/>
      <c r="X30" s="51">
        <f t="shared" si="7"/>
        <v>0</v>
      </c>
    </row>
    <row r="31" spans="1:24" ht="15" customHeight="1" x14ac:dyDescent="0.35">
      <c r="A31" s="69">
        <v>45375</v>
      </c>
      <c r="B31" s="187"/>
      <c r="C31" s="137"/>
      <c r="D31" s="63">
        <f t="shared" ref="D31:D38" si="10">C31-C30</f>
        <v>0</v>
      </c>
      <c r="E31" s="138"/>
      <c r="F31" s="58">
        <f t="shared" si="8"/>
        <v>0</v>
      </c>
      <c r="G31" s="139"/>
      <c r="H31" s="63">
        <f t="shared" si="1"/>
        <v>0</v>
      </c>
      <c r="I31" s="140"/>
      <c r="J31" s="63">
        <f t="shared" si="2"/>
        <v>0</v>
      </c>
      <c r="K31" s="141"/>
      <c r="L31" s="51">
        <f t="shared" si="3"/>
        <v>0</v>
      </c>
      <c r="M31" s="142"/>
      <c r="N31" s="51">
        <f t="shared" si="4"/>
        <v>0</v>
      </c>
      <c r="O31" s="143"/>
      <c r="P31" s="51">
        <f t="shared" si="9"/>
        <v>0</v>
      </c>
      <c r="Q31" s="144"/>
      <c r="R31" s="95">
        <f t="shared" si="5"/>
        <v>0</v>
      </c>
      <c r="S31" s="60"/>
      <c r="T31" s="51">
        <f t="shared" si="6"/>
        <v>0</v>
      </c>
      <c r="U31" s="59">
        <v>33955</v>
      </c>
      <c r="V31" s="51">
        <f t="shared" si="6"/>
        <v>0</v>
      </c>
      <c r="W31" s="139"/>
      <c r="X31" s="51">
        <f t="shared" si="7"/>
        <v>0</v>
      </c>
    </row>
    <row r="32" spans="1:24" ht="15" customHeight="1" x14ac:dyDescent="0.35">
      <c r="A32" s="69">
        <v>45376</v>
      </c>
      <c r="B32" s="187"/>
      <c r="C32" s="137"/>
      <c r="D32" s="63">
        <f t="shared" si="10"/>
        <v>0</v>
      </c>
      <c r="E32" s="138"/>
      <c r="F32" s="58">
        <f t="shared" si="8"/>
        <v>0</v>
      </c>
      <c r="G32" s="139"/>
      <c r="H32" s="58">
        <f t="shared" ref="H32:H38" si="11">G32-G31</f>
        <v>0</v>
      </c>
      <c r="I32" s="140"/>
      <c r="J32" s="51">
        <f t="shared" si="2"/>
        <v>0</v>
      </c>
      <c r="K32" s="141"/>
      <c r="L32" s="51">
        <f t="shared" si="3"/>
        <v>0</v>
      </c>
      <c r="M32" s="142"/>
      <c r="N32" s="51">
        <f t="shared" si="4"/>
        <v>0</v>
      </c>
      <c r="O32" s="143"/>
      <c r="P32" s="51">
        <f t="shared" si="9"/>
        <v>0</v>
      </c>
      <c r="Q32" s="144"/>
      <c r="R32" s="95">
        <f t="shared" si="5"/>
        <v>0</v>
      </c>
      <c r="S32" s="60"/>
      <c r="T32" s="51">
        <f t="shared" si="6"/>
        <v>0</v>
      </c>
      <c r="U32" s="59">
        <v>33955</v>
      </c>
      <c r="V32" s="51">
        <f t="shared" si="6"/>
        <v>0</v>
      </c>
      <c r="W32" s="139"/>
      <c r="X32" s="51">
        <f t="shared" si="7"/>
        <v>0</v>
      </c>
    </row>
    <row r="33" spans="1:24" ht="15" customHeight="1" x14ac:dyDescent="0.35">
      <c r="A33" s="69">
        <v>45377</v>
      </c>
      <c r="B33" s="187"/>
      <c r="C33" s="137"/>
      <c r="D33" s="63">
        <f t="shared" si="10"/>
        <v>0</v>
      </c>
      <c r="E33" s="138"/>
      <c r="F33" s="58">
        <f t="shared" si="8"/>
        <v>0</v>
      </c>
      <c r="G33" s="139"/>
      <c r="H33" s="58">
        <f t="shared" si="11"/>
        <v>0</v>
      </c>
      <c r="I33" s="140"/>
      <c r="J33" s="51">
        <f t="shared" si="2"/>
        <v>0</v>
      </c>
      <c r="K33" s="141"/>
      <c r="L33" s="51">
        <f t="shared" si="3"/>
        <v>0</v>
      </c>
      <c r="M33" s="142"/>
      <c r="N33" s="51">
        <f t="shared" si="4"/>
        <v>0</v>
      </c>
      <c r="O33" s="143"/>
      <c r="P33" s="51">
        <f t="shared" si="9"/>
        <v>0</v>
      </c>
      <c r="Q33" s="144"/>
      <c r="R33" s="95">
        <f t="shared" si="5"/>
        <v>0</v>
      </c>
      <c r="S33" s="60"/>
      <c r="T33" s="51">
        <f t="shared" si="6"/>
        <v>0</v>
      </c>
      <c r="U33" s="59">
        <v>33955</v>
      </c>
      <c r="V33" s="51">
        <f t="shared" si="6"/>
        <v>0</v>
      </c>
      <c r="W33" s="139"/>
      <c r="X33" s="51">
        <f t="shared" si="7"/>
        <v>0</v>
      </c>
    </row>
    <row r="34" spans="1:24" ht="15" customHeight="1" x14ac:dyDescent="0.35">
      <c r="A34" s="69">
        <v>45378</v>
      </c>
      <c r="B34" s="187"/>
      <c r="C34" s="137"/>
      <c r="D34" s="63">
        <f t="shared" si="10"/>
        <v>0</v>
      </c>
      <c r="E34" s="138"/>
      <c r="F34" s="58">
        <f t="shared" si="8"/>
        <v>0</v>
      </c>
      <c r="G34" s="139"/>
      <c r="H34" s="58">
        <f t="shared" si="11"/>
        <v>0</v>
      </c>
      <c r="I34" s="140"/>
      <c r="J34" s="51">
        <f t="shared" si="2"/>
        <v>0</v>
      </c>
      <c r="K34" s="141"/>
      <c r="L34" s="51">
        <f t="shared" si="3"/>
        <v>0</v>
      </c>
      <c r="M34" s="142"/>
      <c r="N34" s="51">
        <f t="shared" si="4"/>
        <v>0</v>
      </c>
      <c r="O34" s="143"/>
      <c r="P34" s="51">
        <f t="shared" si="9"/>
        <v>0</v>
      </c>
      <c r="Q34" s="144"/>
      <c r="R34" s="95">
        <f t="shared" si="5"/>
        <v>0</v>
      </c>
      <c r="S34" s="60"/>
      <c r="T34" s="51">
        <f t="shared" si="6"/>
        <v>0</v>
      </c>
      <c r="U34" s="59">
        <v>33955</v>
      </c>
      <c r="V34" s="51">
        <f t="shared" si="6"/>
        <v>0</v>
      </c>
      <c r="W34" s="139"/>
      <c r="X34" s="51">
        <f t="shared" si="7"/>
        <v>0</v>
      </c>
    </row>
    <row r="35" spans="1:24" s="44" customFormat="1" ht="15" customHeight="1" x14ac:dyDescent="0.35">
      <c r="A35" s="69">
        <v>45379</v>
      </c>
      <c r="B35" s="187"/>
      <c r="C35" s="137"/>
      <c r="D35" s="63">
        <f t="shared" si="10"/>
        <v>0</v>
      </c>
      <c r="E35" s="138"/>
      <c r="F35" s="58">
        <f t="shared" si="8"/>
        <v>0</v>
      </c>
      <c r="G35" s="139"/>
      <c r="H35" s="58">
        <f t="shared" si="11"/>
        <v>0</v>
      </c>
      <c r="I35" s="140"/>
      <c r="J35" s="51">
        <f t="shared" si="2"/>
        <v>0</v>
      </c>
      <c r="K35" s="141"/>
      <c r="L35" s="51">
        <f t="shared" si="3"/>
        <v>0</v>
      </c>
      <c r="M35" s="142"/>
      <c r="N35" s="51">
        <f t="shared" si="4"/>
        <v>0</v>
      </c>
      <c r="O35" s="143"/>
      <c r="P35" s="61">
        <f t="shared" si="9"/>
        <v>0</v>
      </c>
      <c r="Q35" s="144"/>
      <c r="R35" s="95">
        <f t="shared" si="5"/>
        <v>0</v>
      </c>
      <c r="S35" s="60"/>
      <c r="T35" s="51">
        <f t="shared" si="6"/>
        <v>0</v>
      </c>
      <c r="U35" s="59">
        <v>33955</v>
      </c>
      <c r="V35" s="51">
        <f t="shared" si="6"/>
        <v>0</v>
      </c>
      <c r="W35" s="139"/>
      <c r="X35" s="51">
        <f>W35-W34</f>
        <v>0</v>
      </c>
    </row>
    <row r="36" spans="1:24" s="44" customFormat="1" ht="15" customHeight="1" x14ac:dyDescent="0.35">
      <c r="A36" s="69">
        <v>45380</v>
      </c>
      <c r="B36" s="187"/>
      <c r="C36" s="137"/>
      <c r="D36" s="63">
        <f t="shared" si="10"/>
        <v>0</v>
      </c>
      <c r="E36" s="138"/>
      <c r="F36" s="58">
        <f t="shared" si="8"/>
        <v>0</v>
      </c>
      <c r="G36" s="139"/>
      <c r="H36" s="58">
        <f t="shared" si="11"/>
        <v>0</v>
      </c>
      <c r="I36" s="140"/>
      <c r="J36" s="51">
        <f t="shared" si="2"/>
        <v>0</v>
      </c>
      <c r="K36" s="141"/>
      <c r="L36" s="51">
        <f t="shared" si="3"/>
        <v>0</v>
      </c>
      <c r="M36" s="142"/>
      <c r="N36" s="51">
        <f t="shared" si="4"/>
        <v>0</v>
      </c>
      <c r="O36" s="143"/>
      <c r="P36" s="61">
        <f t="shared" si="9"/>
        <v>0</v>
      </c>
      <c r="Q36" s="144"/>
      <c r="R36" s="95">
        <f t="shared" si="5"/>
        <v>0</v>
      </c>
      <c r="S36" s="60"/>
      <c r="T36" s="51">
        <f t="shared" si="6"/>
        <v>0</v>
      </c>
      <c r="U36" s="59">
        <v>33955</v>
      </c>
      <c r="V36" s="51">
        <f t="shared" si="6"/>
        <v>0</v>
      </c>
      <c r="W36" s="139"/>
      <c r="X36" s="51">
        <f>W36-W35</f>
        <v>0</v>
      </c>
    </row>
    <row r="37" spans="1:24" s="44" customFormat="1" ht="15" customHeight="1" x14ac:dyDescent="0.35">
      <c r="A37" s="69">
        <v>45381</v>
      </c>
      <c r="B37" s="188"/>
      <c r="C37" s="157"/>
      <c r="D37" s="63">
        <f t="shared" si="10"/>
        <v>0</v>
      </c>
      <c r="E37" s="158"/>
      <c r="F37" s="58">
        <f t="shared" si="8"/>
        <v>0</v>
      </c>
      <c r="G37" s="148"/>
      <c r="H37" s="58">
        <f t="shared" si="11"/>
        <v>0</v>
      </c>
      <c r="I37" s="149"/>
      <c r="J37" s="51">
        <f t="shared" si="2"/>
        <v>0</v>
      </c>
      <c r="K37" s="150"/>
      <c r="L37" s="51">
        <f t="shared" si="3"/>
        <v>0</v>
      </c>
      <c r="M37" s="151"/>
      <c r="N37" s="51">
        <f t="shared" si="4"/>
        <v>0</v>
      </c>
      <c r="O37" s="148"/>
      <c r="P37" s="61">
        <f t="shared" si="9"/>
        <v>0</v>
      </c>
      <c r="Q37" s="159"/>
      <c r="R37" s="95">
        <f t="shared" si="5"/>
        <v>0</v>
      </c>
      <c r="S37" s="160"/>
      <c r="T37" s="51">
        <f t="shared" si="6"/>
        <v>0</v>
      </c>
      <c r="U37" s="59">
        <v>33955</v>
      </c>
      <c r="V37" s="51">
        <f t="shared" si="6"/>
        <v>0</v>
      </c>
      <c r="W37" s="161"/>
      <c r="X37" s="51">
        <f>W37-W36</f>
        <v>0</v>
      </c>
    </row>
    <row r="38" spans="1:24" s="44" customFormat="1" ht="15" customHeight="1" x14ac:dyDescent="0.35">
      <c r="A38" s="69">
        <v>45382</v>
      </c>
      <c r="B38" s="69"/>
      <c r="C38" s="144"/>
      <c r="D38" s="63">
        <f t="shared" si="10"/>
        <v>0</v>
      </c>
      <c r="E38" s="138"/>
      <c r="F38" s="58">
        <f t="shared" si="8"/>
        <v>0</v>
      </c>
      <c r="G38" s="139"/>
      <c r="H38" s="58">
        <f t="shared" si="11"/>
        <v>0</v>
      </c>
      <c r="I38" s="162"/>
      <c r="J38" s="51">
        <f t="shared" si="2"/>
        <v>0</v>
      </c>
      <c r="K38" s="141"/>
      <c r="L38" s="51">
        <f t="shared" si="3"/>
        <v>0</v>
      </c>
      <c r="M38" s="144"/>
      <c r="N38" s="51">
        <f t="shared" si="4"/>
        <v>0</v>
      </c>
      <c r="O38" s="139"/>
      <c r="P38" s="61">
        <f t="shared" si="9"/>
        <v>0</v>
      </c>
      <c r="Q38" s="144"/>
      <c r="R38" s="95">
        <f t="shared" si="5"/>
        <v>0</v>
      </c>
      <c r="S38" s="117"/>
      <c r="T38" s="51">
        <f t="shared" si="6"/>
        <v>0</v>
      </c>
      <c r="U38" s="59">
        <v>33955</v>
      </c>
      <c r="V38" s="51">
        <f t="shared" si="6"/>
        <v>0</v>
      </c>
      <c r="W38" s="139"/>
      <c r="X38" s="51">
        <f>W38-W37</f>
        <v>0</v>
      </c>
    </row>
    <row r="39" spans="1:24" s="25" customFormat="1" ht="15" customHeight="1" x14ac:dyDescent="0.4">
      <c r="A39" s="28" t="s">
        <v>5</v>
      </c>
      <c r="B39" s="28"/>
      <c r="C39" s="26"/>
      <c r="D39" s="27">
        <f>SUM(D8:D38)</f>
        <v>-1388919</v>
      </c>
      <c r="E39" s="26"/>
      <c r="F39" s="27">
        <f>SUM(F3:F38)</f>
        <v>-32438421</v>
      </c>
      <c r="G39" s="26"/>
      <c r="H39" s="27">
        <f>SUM(H8:H38)</f>
        <v>-48162100</v>
      </c>
      <c r="I39" s="116"/>
      <c r="J39" s="27">
        <f>SUM(J8:J38)</f>
        <v>-2268805</v>
      </c>
      <c r="K39" s="26"/>
      <c r="L39" s="27">
        <f>SUM(L8:L38)</f>
        <v>-9643360</v>
      </c>
      <c r="M39" s="26"/>
      <c r="N39" s="27">
        <f>SUM(N8:N38)</f>
        <v>-5912470</v>
      </c>
      <c r="O39" s="26"/>
      <c r="P39" s="27">
        <f>SUM(P8:P38)</f>
        <v>-305248</v>
      </c>
      <c r="Q39" s="26"/>
      <c r="R39" s="27">
        <f>SUM(R8:R38)</f>
        <v>-4855540</v>
      </c>
      <c r="S39" s="26"/>
      <c r="T39" s="27">
        <f>SUM(T8:T38)</f>
        <v>-52852</v>
      </c>
      <c r="U39" s="26"/>
      <c r="V39" s="27">
        <f>SUM(V8:V38)</f>
        <v>0</v>
      </c>
      <c r="W39" s="26"/>
      <c r="X39" s="27">
        <f>SUM(X8:X38)</f>
        <v>-9313035</v>
      </c>
    </row>
    <row r="40" spans="1:24" ht="15" customHeight="1" x14ac:dyDescent="0.4">
      <c r="D40" s="35"/>
      <c r="F40" s="35"/>
      <c r="G40" s="7"/>
      <c r="H40" s="35"/>
      <c r="J40" s="35"/>
      <c r="L40" s="35"/>
      <c r="N40" s="35"/>
      <c r="P40" s="35"/>
      <c r="Q40" s="23"/>
      <c r="R40" s="35"/>
      <c r="T40" s="35"/>
    </row>
    <row r="41" spans="1:24" ht="15" customHeight="1" x14ac:dyDescent="0.35">
      <c r="G41" s="7"/>
      <c r="Q41" s="23"/>
    </row>
    <row r="42" spans="1:24" ht="15" customHeight="1" x14ac:dyDescent="0.4">
      <c r="A42" s="10" t="s">
        <v>24</v>
      </c>
      <c r="B42" s="10"/>
      <c r="E42" s="39"/>
      <c r="F42" s="39"/>
      <c r="H42" s="3"/>
      <c r="Q42" s="23"/>
    </row>
    <row r="43" spans="1:24" ht="15" customHeight="1" x14ac:dyDescent="0.35">
      <c r="A43" s="10" t="s">
        <v>23</v>
      </c>
      <c r="B43" s="10"/>
      <c r="E43" s="44"/>
      <c r="F43" s="39"/>
    </row>
    <row r="44" spans="1:24" ht="25.15" customHeight="1" x14ac:dyDescent="0.35"/>
    <row r="45" spans="1:24" ht="12" customHeight="1" x14ac:dyDescent="0.4">
      <c r="A45" s="73" t="s">
        <v>54</v>
      </c>
      <c r="B45" s="73"/>
      <c r="C45" s="42"/>
    </row>
    <row r="46" spans="1:24" x14ac:dyDescent="0.35">
      <c r="A46" s="73"/>
      <c r="B46" s="73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8">
    <mergeCell ref="C5:H5"/>
    <mergeCell ref="A4:U4"/>
    <mergeCell ref="S5:T6"/>
    <mergeCell ref="Q6:R6"/>
    <mergeCell ref="U5:V6"/>
    <mergeCell ref="W5:X6"/>
    <mergeCell ref="A1:U1"/>
    <mergeCell ref="A2:U2"/>
    <mergeCell ref="A3:U3"/>
    <mergeCell ref="A5:A7"/>
    <mergeCell ref="K5:L6"/>
    <mergeCell ref="C6:D6"/>
    <mergeCell ref="E6:F6"/>
    <mergeCell ref="O6:P6"/>
    <mergeCell ref="M5:R5"/>
    <mergeCell ref="M6:N6"/>
    <mergeCell ref="G6:H6"/>
    <mergeCell ref="I5:J6"/>
  </mergeCells>
  <phoneticPr fontId="0" type="noConversion"/>
  <printOptions horizontalCentered="1"/>
  <pageMargins left="0.23622047244094491" right="0" top="0.62992125984251968" bottom="0.23622047244094491" header="0.51181102362204722" footer="0.51181102362204722"/>
  <pageSetup paperSize="9" scale="54" orientation="landscape" r:id="rId2"/>
  <headerFooter alignWithMargins="0"/>
  <colBreaks count="1" manualBreakCount="1"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47"/>
  <sheetViews>
    <sheetView zoomScaleNormal="100" zoomScaleSheetLayoutView="85" workbookViewId="0">
      <pane ySplit="7" topLeftCell="A8" activePane="bottomLeft" state="frozen"/>
      <selection activeCell="W38" sqref="W38"/>
      <selection pane="bottomLeft" activeCell="L18" sqref="L18"/>
    </sheetView>
  </sheetViews>
  <sheetFormatPr defaultRowHeight="12.75" x14ac:dyDescent="0.35"/>
  <cols>
    <col min="1" max="1" width="8" style="21" customWidth="1"/>
    <col min="2" max="2" width="9.73046875" customWidth="1"/>
    <col min="3" max="3" width="10.73046875" customWidth="1"/>
    <col min="4" max="4" width="9.73046875" customWidth="1"/>
    <col min="5" max="5" width="10.1328125" customWidth="1"/>
    <col min="6" max="6" width="9.73046875" customWidth="1"/>
    <col min="7" max="7" width="10.59765625" customWidth="1"/>
    <col min="8" max="8" width="9.73046875" hidden="1" customWidth="1"/>
    <col min="9" max="9" width="8.86328125" hidden="1" customWidth="1"/>
    <col min="11" max="11" width="10.86328125" customWidth="1"/>
    <col min="12" max="12" width="9.73046875" customWidth="1"/>
    <col min="13" max="13" width="10.59765625" customWidth="1"/>
    <col min="14" max="14" width="9.73046875" customWidth="1"/>
    <col min="15" max="15" width="10.59765625" style="2" customWidth="1"/>
    <col min="16" max="16" width="10.265625" customWidth="1"/>
    <col min="17" max="17" width="10.59765625" customWidth="1"/>
    <col min="18" max="18" width="8.59765625" hidden="1" customWidth="1"/>
    <col min="19" max="19" width="0.1328125" hidden="1" customWidth="1"/>
    <col min="20" max="20" width="8" style="2" customWidth="1"/>
  </cols>
  <sheetData>
    <row r="1" spans="1:20" ht="17.649999999999999" x14ac:dyDescent="0.5">
      <c r="A1" s="220" t="s">
        <v>51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</row>
    <row r="2" spans="1:20" ht="15" x14ac:dyDescent="0.4">
      <c r="A2" s="221" t="s">
        <v>14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</row>
    <row r="3" spans="1:20" ht="15" x14ac:dyDescent="0.4">
      <c r="A3" s="222" t="s">
        <v>55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</row>
    <row r="4" spans="1:20" x14ac:dyDescent="0.35">
      <c r="A4" s="235"/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1:20" ht="15" customHeight="1" x14ac:dyDescent="0.4">
      <c r="A5" s="232" t="s">
        <v>0</v>
      </c>
      <c r="B5" s="229" t="s">
        <v>15</v>
      </c>
      <c r="C5" s="240"/>
      <c r="D5" s="240"/>
      <c r="E5" s="230"/>
      <c r="F5" s="190" t="s">
        <v>25</v>
      </c>
      <c r="G5" s="196"/>
      <c r="H5" s="196"/>
      <c r="I5" s="191"/>
      <c r="J5" s="211" t="s">
        <v>16</v>
      </c>
      <c r="K5" s="212"/>
      <c r="L5" s="212"/>
      <c r="M5" s="212"/>
      <c r="N5" s="212"/>
      <c r="O5" s="231"/>
      <c r="P5" s="211" t="s">
        <v>34</v>
      </c>
      <c r="Q5" s="231"/>
      <c r="R5" s="190" t="s">
        <v>19</v>
      </c>
      <c r="S5" s="196"/>
      <c r="T5" s="136"/>
    </row>
    <row r="6" spans="1:20" ht="15" customHeight="1" x14ac:dyDescent="0.4">
      <c r="A6" s="233"/>
      <c r="B6" s="236" t="s">
        <v>2</v>
      </c>
      <c r="C6" s="237"/>
      <c r="D6" s="229" t="s">
        <v>17</v>
      </c>
      <c r="E6" s="230"/>
      <c r="F6" s="194" t="s">
        <v>26</v>
      </c>
      <c r="G6" s="194"/>
      <c r="H6" s="194" t="s">
        <v>27</v>
      </c>
      <c r="I6" s="194"/>
      <c r="J6" s="225" t="s">
        <v>35</v>
      </c>
      <c r="K6" s="226"/>
      <c r="L6" s="227" t="s">
        <v>36</v>
      </c>
      <c r="M6" s="228"/>
      <c r="N6" s="223" t="s">
        <v>28</v>
      </c>
      <c r="O6" s="224"/>
      <c r="P6" s="238"/>
      <c r="Q6" s="239"/>
      <c r="R6" s="192"/>
      <c r="S6" s="197"/>
      <c r="T6" s="136"/>
    </row>
    <row r="7" spans="1:20" ht="15" customHeight="1" x14ac:dyDescent="0.4">
      <c r="A7" s="234"/>
      <c r="B7" s="102" t="s">
        <v>21</v>
      </c>
      <c r="C7" s="103" t="s">
        <v>22</v>
      </c>
      <c r="D7" s="103" t="s">
        <v>21</v>
      </c>
      <c r="E7" s="103" t="s">
        <v>22</v>
      </c>
      <c r="F7" s="102" t="s">
        <v>21</v>
      </c>
      <c r="G7" s="104" t="s">
        <v>22</v>
      </c>
      <c r="H7" s="102" t="s">
        <v>21</v>
      </c>
      <c r="I7" s="102" t="s">
        <v>22</v>
      </c>
      <c r="J7" s="105" t="s">
        <v>21</v>
      </c>
      <c r="K7" s="105" t="s">
        <v>22</v>
      </c>
      <c r="L7" s="106" t="s">
        <v>21</v>
      </c>
      <c r="M7" s="106" t="s">
        <v>22</v>
      </c>
      <c r="N7" s="106" t="s">
        <v>21</v>
      </c>
      <c r="O7" s="106" t="s">
        <v>22</v>
      </c>
      <c r="P7" s="107" t="s">
        <v>21</v>
      </c>
      <c r="Q7" s="102" t="s">
        <v>22</v>
      </c>
      <c r="R7" s="8" t="s">
        <v>21</v>
      </c>
      <c r="S7" s="31" t="s">
        <v>22</v>
      </c>
      <c r="T7" s="33"/>
    </row>
    <row r="8" spans="1:20" s="7" customFormat="1" ht="15" customHeight="1" x14ac:dyDescent="0.35">
      <c r="A8" s="69">
        <v>45352</v>
      </c>
      <c r="B8" s="145">
        <v>192798</v>
      </c>
      <c r="C8" s="98">
        <f>B8-192629</f>
        <v>169</v>
      </c>
      <c r="D8" s="145">
        <v>380105</v>
      </c>
      <c r="E8" s="96">
        <f>D8-380039</f>
        <v>66</v>
      </c>
      <c r="F8" s="145">
        <v>91335</v>
      </c>
      <c r="G8" s="55">
        <f>F8-91192</f>
        <v>143</v>
      </c>
      <c r="H8" s="97"/>
      <c r="I8" s="97"/>
      <c r="J8" s="61">
        <v>376834</v>
      </c>
      <c r="K8" s="60">
        <f>J8-376834</f>
        <v>0</v>
      </c>
      <c r="L8" s="145">
        <v>102044</v>
      </c>
      <c r="M8" s="77">
        <f>L8-102002</f>
        <v>42</v>
      </c>
      <c r="N8" s="145">
        <v>81700</v>
      </c>
      <c r="O8" s="51">
        <f>N8-81620</f>
        <v>80</v>
      </c>
      <c r="P8" s="145">
        <v>178564</v>
      </c>
      <c r="Q8" s="51">
        <f>P8-178514</f>
        <v>50</v>
      </c>
      <c r="R8" s="11"/>
      <c r="S8" s="32">
        <f>R8-23357</f>
        <v>-23357</v>
      </c>
      <c r="T8" s="36"/>
    </row>
    <row r="9" spans="1:20" s="7" customFormat="1" ht="15" customHeight="1" x14ac:dyDescent="0.35">
      <c r="A9" s="69">
        <v>45353</v>
      </c>
      <c r="B9" s="145">
        <v>192964</v>
      </c>
      <c r="C9" s="98">
        <f>B9-B8</f>
        <v>166</v>
      </c>
      <c r="D9" s="146">
        <v>380129</v>
      </c>
      <c r="E9" s="96">
        <f>D9-D8</f>
        <v>24</v>
      </c>
      <c r="F9" s="152">
        <v>91455</v>
      </c>
      <c r="G9" s="55">
        <f t="shared" ref="G9:G26" si="0">F9-F8</f>
        <v>120</v>
      </c>
      <c r="H9" s="99"/>
      <c r="I9" s="99"/>
      <c r="J9" s="61">
        <v>376834</v>
      </c>
      <c r="K9" s="51">
        <f>J9-J8</f>
        <v>0</v>
      </c>
      <c r="L9" s="146">
        <v>102092</v>
      </c>
      <c r="M9" s="77">
        <f>L9-L8</f>
        <v>48</v>
      </c>
      <c r="N9" s="146">
        <v>81790</v>
      </c>
      <c r="O9" s="51">
        <f t="shared" ref="O9:O25" si="1">N9-N8</f>
        <v>90</v>
      </c>
      <c r="P9" s="147">
        <v>178627</v>
      </c>
      <c r="Q9" s="51">
        <f t="shared" ref="Q9:Q25" si="2">P9-P8</f>
        <v>63</v>
      </c>
      <c r="R9" s="11"/>
      <c r="S9" s="32"/>
      <c r="T9" s="30"/>
    </row>
    <row r="10" spans="1:20" ht="15" customHeight="1" x14ac:dyDescent="0.35">
      <c r="A10" s="69">
        <v>45354</v>
      </c>
      <c r="B10" s="145">
        <v>193132</v>
      </c>
      <c r="C10" s="98">
        <f>B10-B9</f>
        <v>168</v>
      </c>
      <c r="D10" s="146">
        <v>380129</v>
      </c>
      <c r="E10" s="51">
        <f t="shared" ref="E10:E38" si="3">D10-D9</f>
        <v>0</v>
      </c>
      <c r="F10" s="152">
        <v>91583</v>
      </c>
      <c r="G10" s="55">
        <f t="shared" si="0"/>
        <v>128</v>
      </c>
      <c r="H10" s="99"/>
      <c r="I10" s="99"/>
      <c r="J10" s="61">
        <v>376834</v>
      </c>
      <c r="K10" s="51">
        <f t="shared" ref="K10:K25" si="4">J10-J9</f>
        <v>0</v>
      </c>
      <c r="L10" s="146">
        <v>102135</v>
      </c>
      <c r="M10" s="77">
        <f t="shared" ref="M10:M24" si="5">L10-L9</f>
        <v>43</v>
      </c>
      <c r="N10" s="146">
        <v>81880</v>
      </c>
      <c r="O10" s="51">
        <f t="shared" si="1"/>
        <v>90</v>
      </c>
      <c r="P10" s="147">
        <v>178662</v>
      </c>
      <c r="Q10" s="51">
        <f t="shared" si="2"/>
        <v>35</v>
      </c>
      <c r="R10" s="5"/>
      <c r="S10" s="29"/>
      <c r="T10" s="30"/>
    </row>
    <row r="11" spans="1:20" ht="15" customHeight="1" x14ac:dyDescent="0.35">
      <c r="A11" s="69">
        <v>45355</v>
      </c>
      <c r="B11" s="145">
        <v>193306</v>
      </c>
      <c r="C11" s="98">
        <f t="shared" ref="C11:C25" si="6">B11-B10</f>
        <v>174</v>
      </c>
      <c r="D11" s="146">
        <v>380130</v>
      </c>
      <c r="E11" s="51">
        <f t="shared" si="3"/>
        <v>1</v>
      </c>
      <c r="F11" s="152">
        <v>91721</v>
      </c>
      <c r="G11" s="55">
        <f t="shared" si="0"/>
        <v>138</v>
      </c>
      <c r="H11" s="58"/>
      <c r="I11" s="58"/>
      <c r="J11" s="61">
        <v>376834</v>
      </c>
      <c r="K11" s="51">
        <f t="shared" si="4"/>
        <v>0</v>
      </c>
      <c r="L11" s="146">
        <v>102180</v>
      </c>
      <c r="M11" s="51">
        <f t="shared" si="5"/>
        <v>45</v>
      </c>
      <c r="N11" s="146">
        <v>81970</v>
      </c>
      <c r="O11" s="51">
        <f t="shared" si="1"/>
        <v>90</v>
      </c>
      <c r="P11" s="147">
        <v>178712</v>
      </c>
      <c r="Q11" s="51">
        <f t="shared" si="2"/>
        <v>50</v>
      </c>
      <c r="R11" s="5"/>
      <c r="S11" s="29"/>
      <c r="T11" s="30"/>
    </row>
    <row r="12" spans="1:20" ht="15" customHeight="1" x14ac:dyDescent="0.35">
      <c r="A12" s="69">
        <v>45356</v>
      </c>
      <c r="B12" s="145">
        <v>193483</v>
      </c>
      <c r="C12" s="98">
        <f t="shared" si="6"/>
        <v>177</v>
      </c>
      <c r="D12" s="146">
        <v>380183</v>
      </c>
      <c r="E12" s="51">
        <f t="shared" si="3"/>
        <v>53</v>
      </c>
      <c r="F12" s="152">
        <v>91842</v>
      </c>
      <c r="G12" s="55">
        <f t="shared" si="0"/>
        <v>121</v>
      </c>
      <c r="H12" s="58"/>
      <c r="I12" s="58"/>
      <c r="J12" s="61">
        <v>376834</v>
      </c>
      <c r="K12" s="51">
        <f t="shared" si="4"/>
        <v>0</v>
      </c>
      <c r="L12" s="146">
        <v>102226</v>
      </c>
      <c r="M12" s="51">
        <f t="shared" si="5"/>
        <v>46</v>
      </c>
      <c r="N12" s="146">
        <v>82070</v>
      </c>
      <c r="O12" s="51">
        <f t="shared" si="1"/>
        <v>100</v>
      </c>
      <c r="P12" s="147">
        <v>178761</v>
      </c>
      <c r="Q12" s="51">
        <f t="shared" si="2"/>
        <v>49</v>
      </c>
      <c r="R12" s="5"/>
      <c r="S12" s="29"/>
      <c r="T12" s="30"/>
    </row>
    <row r="13" spans="1:20" ht="15" customHeight="1" x14ac:dyDescent="0.35">
      <c r="A13" s="69">
        <v>45357</v>
      </c>
      <c r="B13" s="169">
        <v>193646</v>
      </c>
      <c r="C13" s="98">
        <f t="shared" si="6"/>
        <v>163</v>
      </c>
      <c r="D13" s="146">
        <v>380183</v>
      </c>
      <c r="E13" s="51">
        <f t="shared" si="3"/>
        <v>0</v>
      </c>
      <c r="F13" s="152">
        <v>91958</v>
      </c>
      <c r="G13" s="55">
        <f t="shared" si="0"/>
        <v>116</v>
      </c>
      <c r="H13" s="58"/>
      <c r="I13" s="58"/>
      <c r="J13" s="61">
        <v>376834</v>
      </c>
      <c r="K13" s="51">
        <f t="shared" si="4"/>
        <v>0</v>
      </c>
      <c r="L13" s="146">
        <v>102279</v>
      </c>
      <c r="M13" s="51">
        <f t="shared" si="5"/>
        <v>53</v>
      </c>
      <c r="N13" s="146">
        <v>82150</v>
      </c>
      <c r="O13" s="51">
        <f t="shared" si="1"/>
        <v>80</v>
      </c>
      <c r="P13" s="147">
        <v>178809</v>
      </c>
      <c r="Q13" s="51">
        <f t="shared" si="2"/>
        <v>48</v>
      </c>
      <c r="R13" s="5"/>
      <c r="S13" s="29"/>
      <c r="T13" s="30"/>
    </row>
    <row r="14" spans="1:20" ht="15" customHeight="1" x14ac:dyDescent="0.35">
      <c r="A14" s="69">
        <v>45358</v>
      </c>
      <c r="B14" s="145">
        <v>193852</v>
      </c>
      <c r="C14" s="98">
        <f t="shared" si="6"/>
        <v>206</v>
      </c>
      <c r="D14" s="146">
        <v>380197</v>
      </c>
      <c r="E14" s="51">
        <f>D14-D13</f>
        <v>14</v>
      </c>
      <c r="F14" s="152">
        <v>92070</v>
      </c>
      <c r="G14" s="55">
        <f t="shared" si="0"/>
        <v>112</v>
      </c>
      <c r="H14" s="58"/>
      <c r="I14" s="58"/>
      <c r="J14" s="61">
        <v>376834</v>
      </c>
      <c r="K14" s="51">
        <f t="shared" si="4"/>
        <v>0</v>
      </c>
      <c r="L14" s="146">
        <v>102328</v>
      </c>
      <c r="M14" s="51">
        <f t="shared" ref="M14:M23" si="7">L14-L13</f>
        <v>49</v>
      </c>
      <c r="N14" s="146">
        <v>82250</v>
      </c>
      <c r="O14" s="51">
        <f t="shared" si="1"/>
        <v>100</v>
      </c>
      <c r="P14" s="147">
        <v>178858</v>
      </c>
      <c r="Q14" s="51">
        <f t="shared" si="2"/>
        <v>49</v>
      </c>
      <c r="R14" s="5"/>
      <c r="S14" s="29"/>
      <c r="T14" s="30"/>
    </row>
    <row r="15" spans="1:20" ht="15" customHeight="1" x14ac:dyDescent="0.35">
      <c r="A15" s="69">
        <v>45359</v>
      </c>
      <c r="B15" s="145">
        <v>194038</v>
      </c>
      <c r="C15" s="98">
        <f t="shared" si="6"/>
        <v>186</v>
      </c>
      <c r="D15" s="146">
        <v>380238</v>
      </c>
      <c r="E15" s="51">
        <f>D15-D14</f>
        <v>41</v>
      </c>
      <c r="F15" s="152">
        <v>92197</v>
      </c>
      <c r="G15" s="55">
        <f t="shared" si="0"/>
        <v>127</v>
      </c>
      <c r="H15" s="58"/>
      <c r="I15" s="58"/>
      <c r="J15" s="61">
        <v>376834</v>
      </c>
      <c r="K15" s="51">
        <f t="shared" si="4"/>
        <v>0</v>
      </c>
      <c r="L15" s="146">
        <v>102376</v>
      </c>
      <c r="M15" s="51">
        <f t="shared" si="7"/>
        <v>48</v>
      </c>
      <c r="N15" s="146">
        <v>82350</v>
      </c>
      <c r="O15" s="51">
        <f t="shared" si="1"/>
        <v>100</v>
      </c>
      <c r="P15" s="147">
        <v>178906</v>
      </c>
      <c r="Q15" s="51">
        <f t="shared" si="2"/>
        <v>48</v>
      </c>
      <c r="R15" s="5"/>
      <c r="S15" s="29"/>
      <c r="T15" s="30"/>
    </row>
    <row r="16" spans="1:20" ht="15" customHeight="1" x14ac:dyDescent="0.35">
      <c r="A16" s="69">
        <v>45360</v>
      </c>
      <c r="B16" s="145">
        <v>194218</v>
      </c>
      <c r="C16" s="98">
        <f t="shared" si="6"/>
        <v>180</v>
      </c>
      <c r="D16" s="146">
        <v>380238</v>
      </c>
      <c r="E16" s="51">
        <f t="shared" si="3"/>
        <v>0</v>
      </c>
      <c r="F16" s="152">
        <v>92318</v>
      </c>
      <c r="G16" s="55">
        <f t="shared" si="0"/>
        <v>121</v>
      </c>
      <c r="H16" s="58"/>
      <c r="I16" s="58"/>
      <c r="J16" s="61">
        <v>376834</v>
      </c>
      <c r="K16" s="51">
        <f t="shared" si="4"/>
        <v>0</v>
      </c>
      <c r="L16" s="146">
        <v>102424</v>
      </c>
      <c r="M16" s="51">
        <f t="shared" si="7"/>
        <v>48</v>
      </c>
      <c r="N16" s="146">
        <v>82430</v>
      </c>
      <c r="O16" s="51">
        <f t="shared" si="1"/>
        <v>80</v>
      </c>
      <c r="P16" s="147">
        <v>178954</v>
      </c>
      <c r="Q16" s="51">
        <f t="shared" si="2"/>
        <v>48</v>
      </c>
      <c r="R16" s="5"/>
      <c r="S16" s="29"/>
      <c r="T16" s="30"/>
    </row>
    <row r="17" spans="1:20" ht="15" customHeight="1" x14ac:dyDescent="0.35">
      <c r="A17" s="69">
        <v>45361</v>
      </c>
      <c r="B17" s="145">
        <v>194387</v>
      </c>
      <c r="C17" s="98">
        <f t="shared" si="6"/>
        <v>169</v>
      </c>
      <c r="D17" s="146">
        <v>380238</v>
      </c>
      <c r="E17" s="51">
        <f t="shared" si="3"/>
        <v>0</v>
      </c>
      <c r="F17" s="152">
        <v>92385</v>
      </c>
      <c r="G17" s="55">
        <f t="shared" si="0"/>
        <v>67</v>
      </c>
      <c r="H17" s="58"/>
      <c r="I17" s="58"/>
      <c r="J17" s="61">
        <v>376834</v>
      </c>
      <c r="K17" s="51">
        <f t="shared" si="4"/>
        <v>0</v>
      </c>
      <c r="L17" s="146">
        <v>102468</v>
      </c>
      <c r="M17" s="51">
        <f t="shared" si="7"/>
        <v>44</v>
      </c>
      <c r="N17" s="146">
        <v>82570</v>
      </c>
      <c r="O17" s="51">
        <f t="shared" si="1"/>
        <v>140</v>
      </c>
      <c r="P17" s="147">
        <v>179000</v>
      </c>
      <c r="Q17" s="51">
        <f t="shared" si="2"/>
        <v>46</v>
      </c>
      <c r="R17" s="5"/>
      <c r="S17" s="29"/>
      <c r="T17" s="30"/>
    </row>
    <row r="18" spans="1:20" ht="15" customHeight="1" x14ac:dyDescent="0.35">
      <c r="A18" s="69">
        <v>45362</v>
      </c>
      <c r="B18" s="145">
        <v>194557</v>
      </c>
      <c r="C18" s="98">
        <f t="shared" si="6"/>
        <v>170</v>
      </c>
      <c r="D18" s="146">
        <v>380238</v>
      </c>
      <c r="E18" s="51">
        <f t="shared" si="3"/>
        <v>0</v>
      </c>
      <c r="F18" s="152">
        <v>92510</v>
      </c>
      <c r="G18" s="55">
        <f t="shared" si="0"/>
        <v>125</v>
      </c>
      <c r="H18" s="58"/>
      <c r="I18" s="58"/>
      <c r="J18" s="61">
        <v>376834</v>
      </c>
      <c r="K18" s="51">
        <f t="shared" si="4"/>
        <v>0</v>
      </c>
      <c r="L18" s="146">
        <v>102514</v>
      </c>
      <c r="M18" s="51">
        <f t="shared" si="7"/>
        <v>46</v>
      </c>
      <c r="N18" s="146">
        <v>82660</v>
      </c>
      <c r="O18" s="51">
        <f t="shared" si="1"/>
        <v>90</v>
      </c>
      <c r="P18" s="147">
        <v>179049</v>
      </c>
      <c r="Q18" s="51">
        <f t="shared" si="2"/>
        <v>49</v>
      </c>
      <c r="R18" s="5"/>
      <c r="S18" s="29"/>
      <c r="T18" s="30"/>
    </row>
    <row r="19" spans="1:20" ht="15" customHeight="1" x14ac:dyDescent="0.35">
      <c r="A19" s="69">
        <v>45363</v>
      </c>
      <c r="B19" s="145">
        <v>194719</v>
      </c>
      <c r="C19" s="98">
        <f t="shared" si="6"/>
        <v>162</v>
      </c>
      <c r="D19" s="146">
        <v>380238</v>
      </c>
      <c r="E19" s="51">
        <f t="shared" si="3"/>
        <v>0</v>
      </c>
      <c r="F19" s="152">
        <v>92635</v>
      </c>
      <c r="G19" s="55">
        <f t="shared" si="0"/>
        <v>125</v>
      </c>
      <c r="H19" s="58"/>
      <c r="I19" s="58"/>
      <c r="J19" s="61">
        <v>376834</v>
      </c>
      <c r="K19" s="51">
        <f t="shared" si="4"/>
        <v>0</v>
      </c>
      <c r="L19" s="146">
        <v>102553</v>
      </c>
      <c r="M19" s="51">
        <f t="shared" si="7"/>
        <v>39</v>
      </c>
      <c r="N19" s="146">
        <v>82750</v>
      </c>
      <c r="O19" s="51">
        <f t="shared" si="1"/>
        <v>90</v>
      </c>
      <c r="P19" s="147">
        <v>179109</v>
      </c>
      <c r="Q19" s="51">
        <f t="shared" si="2"/>
        <v>60</v>
      </c>
      <c r="R19" s="5"/>
      <c r="S19" s="29"/>
      <c r="T19" s="30"/>
    </row>
    <row r="20" spans="1:20" ht="15" customHeight="1" x14ac:dyDescent="0.35">
      <c r="A20" s="69">
        <v>45364</v>
      </c>
      <c r="B20" s="145"/>
      <c r="C20" s="98">
        <f t="shared" si="6"/>
        <v>-194719</v>
      </c>
      <c r="D20" s="146"/>
      <c r="E20" s="51">
        <f t="shared" si="3"/>
        <v>-380238</v>
      </c>
      <c r="F20" s="152"/>
      <c r="G20" s="55">
        <f t="shared" si="0"/>
        <v>-92635</v>
      </c>
      <c r="H20" s="58"/>
      <c r="I20" s="58"/>
      <c r="J20" s="61">
        <v>376834</v>
      </c>
      <c r="K20" s="51">
        <f t="shared" si="4"/>
        <v>0</v>
      </c>
      <c r="L20" s="146"/>
      <c r="M20" s="51">
        <f t="shared" si="7"/>
        <v>-102553</v>
      </c>
      <c r="N20" s="146"/>
      <c r="O20" s="51">
        <f t="shared" si="1"/>
        <v>-82750</v>
      </c>
      <c r="P20" s="147"/>
      <c r="Q20" s="51">
        <f t="shared" si="2"/>
        <v>-179109</v>
      </c>
      <c r="R20" s="5"/>
      <c r="S20" s="29"/>
      <c r="T20" s="30"/>
    </row>
    <row r="21" spans="1:20" ht="15" customHeight="1" x14ac:dyDescent="0.35">
      <c r="A21" s="69">
        <v>45365</v>
      </c>
      <c r="B21" s="145"/>
      <c r="C21" s="98">
        <f t="shared" si="6"/>
        <v>0</v>
      </c>
      <c r="D21" s="146"/>
      <c r="E21" s="51">
        <f t="shared" si="3"/>
        <v>0</v>
      </c>
      <c r="F21" s="152"/>
      <c r="G21" s="55">
        <f t="shared" si="0"/>
        <v>0</v>
      </c>
      <c r="H21" s="58"/>
      <c r="I21" s="58"/>
      <c r="J21" s="61">
        <v>376834</v>
      </c>
      <c r="K21" s="55">
        <f t="shared" si="4"/>
        <v>0</v>
      </c>
      <c r="L21" s="146"/>
      <c r="M21" s="51">
        <f t="shared" si="7"/>
        <v>0</v>
      </c>
      <c r="N21" s="146"/>
      <c r="O21" s="51">
        <f t="shared" si="1"/>
        <v>0</v>
      </c>
      <c r="P21" s="147"/>
      <c r="Q21" s="51">
        <f t="shared" si="2"/>
        <v>0</v>
      </c>
      <c r="R21" s="5"/>
      <c r="S21" s="29"/>
      <c r="T21" s="30"/>
    </row>
    <row r="22" spans="1:20" ht="15" customHeight="1" x14ac:dyDescent="0.35">
      <c r="A22" s="69">
        <v>45366</v>
      </c>
      <c r="B22" s="145"/>
      <c r="C22" s="98">
        <f t="shared" si="6"/>
        <v>0</v>
      </c>
      <c r="D22" s="146"/>
      <c r="E22" s="51">
        <f t="shared" si="3"/>
        <v>0</v>
      </c>
      <c r="F22" s="152"/>
      <c r="G22" s="55">
        <f t="shared" si="0"/>
        <v>0</v>
      </c>
      <c r="H22" s="58"/>
      <c r="I22" s="58"/>
      <c r="J22" s="61">
        <v>376834</v>
      </c>
      <c r="K22" s="51">
        <f t="shared" si="4"/>
        <v>0</v>
      </c>
      <c r="L22" s="146"/>
      <c r="M22" s="51">
        <f t="shared" si="7"/>
        <v>0</v>
      </c>
      <c r="N22" s="146"/>
      <c r="O22" s="51">
        <f t="shared" si="1"/>
        <v>0</v>
      </c>
      <c r="P22" s="147"/>
      <c r="Q22" s="51">
        <f t="shared" si="2"/>
        <v>0</v>
      </c>
      <c r="R22" s="5"/>
      <c r="S22" s="29"/>
      <c r="T22" s="30"/>
    </row>
    <row r="23" spans="1:20" ht="15" customHeight="1" x14ac:dyDescent="0.35">
      <c r="A23" s="69">
        <v>45367</v>
      </c>
      <c r="B23" s="145"/>
      <c r="C23" s="98">
        <f t="shared" si="6"/>
        <v>0</v>
      </c>
      <c r="D23" s="146"/>
      <c r="E23" s="51">
        <f t="shared" si="3"/>
        <v>0</v>
      </c>
      <c r="F23" s="152"/>
      <c r="G23" s="55">
        <f t="shared" si="0"/>
        <v>0</v>
      </c>
      <c r="H23" s="58"/>
      <c r="I23" s="58"/>
      <c r="J23" s="61">
        <v>376834</v>
      </c>
      <c r="K23" s="51">
        <f t="shared" si="4"/>
        <v>0</v>
      </c>
      <c r="L23" s="146"/>
      <c r="M23" s="51">
        <f t="shared" si="7"/>
        <v>0</v>
      </c>
      <c r="N23" s="146"/>
      <c r="O23" s="51">
        <f t="shared" si="1"/>
        <v>0</v>
      </c>
      <c r="P23" s="147"/>
      <c r="Q23" s="51">
        <f t="shared" si="2"/>
        <v>0</v>
      </c>
      <c r="R23" s="5"/>
      <c r="S23" s="29">
        <v>0</v>
      </c>
      <c r="T23" s="30"/>
    </row>
    <row r="24" spans="1:20" ht="15" customHeight="1" x14ac:dyDescent="0.35">
      <c r="A24" s="69">
        <v>45368</v>
      </c>
      <c r="B24" s="145"/>
      <c r="C24" s="98">
        <f t="shared" si="6"/>
        <v>0</v>
      </c>
      <c r="D24" s="146"/>
      <c r="E24" s="51">
        <f t="shared" si="3"/>
        <v>0</v>
      </c>
      <c r="F24" s="152"/>
      <c r="G24" s="55">
        <f t="shared" si="0"/>
        <v>0</v>
      </c>
      <c r="H24" s="58"/>
      <c r="I24" s="58"/>
      <c r="J24" s="61">
        <v>376834</v>
      </c>
      <c r="K24" s="51">
        <f t="shared" si="4"/>
        <v>0</v>
      </c>
      <c r="L24" s="146"/>
      <c r="M24" s="51">
        <f t="shared" si="5"/>
        <v>0</v>
      </c>
      <c r="N24" s="146"/>
      <c r="O24" s="51">
        <f t="shared" si="1"/>
        <v>0</v>
      </c>
      <c r="P24" s="147"/>
      <c r="Q24" s="51">
        <f t="shared" si="2"/>
        <v>0</v>
      </c>
      <c r="R24" s="5"/>
      <c r="S24" s="29">
        <f t="shared" ref="S24:S32" si="8">R24-R23</f>
        <v>0</v>
      </c>
      <c r="T24" s="30"/>
    </row>
    <row r="25" spans="1:20" ht="14.25" customHeight="1" x14ac:dyDescent="0.35">
      <c r="A25" s="69">
        <v>45369</v>
      </c>
      <c r="B25" s="145"/>
      <c r="C25" s="98">
        <f t="shared" si="6"/>
        <v>0</v>
      </c>
      <c r="D25" s="146"/>
      <c r="E25" s="51">
        <f t="shared" si="3"/>
        <v>0</v>
      </c>
      <c r="F25" s="152"/>
      <c r="G25" s="51">
        <f t="shared" si="0"/>
        <v>0</v>
      </c>
      <c r="H25" s="58"/>
      <c r="I25" s="58"/>
      <c r="J25" s="61">
        <v>376834</v>
      </c>
      <c r="K25" s="51">
        <f t="shared" si="4"/>
        <v>0</v>
      </c>
      <c r="L25" s="146"/>
      <c r="M25" s="51">
        <f t="shared" ref="M25:M28" si="9">L25-L24</f>
        <v>0</v>
      </c>
      <c r="N25" s="146"/>
      <c r="O25" s="51">
        <f t="shared" si="1"/>
        <v>0</v>
      </c>
      <c r="P25" s="147"/>
      <c r="Q25" s="51">
        <f t="shared" si="2"/>
        <v>0</v>
      </c>
      <c r="R25" s="5"/>
      <c r="S25" s="29">
        <f t="shared" si="8"/>
        <v>0</v>
      </c>
      <c r="T25" s="30"/>
    </row>
    <row r="26" spans="1:20" ht="15" customHeight="1" x14ac:dyDescent="0.35">
      <c r="A26" s="69">
        <v>45370</v>
      </c>
      <c r="B26" s="145"/>
      <c r="C26" s="98">
        <f t="shared" ref="C26:C38" si="10">B26-B25</f>
        <v>0</v>
      </c>
      <c r="D26" s="146"/>
      <c r="E26" s="51">
        <f t="shared" ref="E26:E34" si="11">D26-D25</f>
        <v>0</v>
      </c>
      <c r="F26" s="152"/>
      <c r="G26" s="51">
        <f t="shared" si="0"/>
        <v>0</v>
      </c>
      <c r="H26" s="58"/>
      <c r="I26" s="58"/>
      <c r="J26" s="61">
        <v>376834</v>
      </c>
      <c r="K26" s="51">
        <f t="shared" ref="K26:K33" si="12">J26-J25</f>
        <v>0</v>
      </c>
      <c r="L26" s="146"/>
      <c r="M26" s="51">
        <f t="shared" si="9"/>
        <v>0</v>
      </c>
      <c r="N26" s="146"/>
      <c r="O26" s="51">
        <f t="shared" ref="O26:O38" si="13">N26-N25</f>
        <v>0</v>
      </c>
      <c r="P26" s="147"/>
      <c r="Q26" s="51">
        <f t="shared" ref="Q26:Q33" si="14">P26-P25</f>
        <v>0</v>
      </c>
      <c r="R26" s="5"/>
      <c r="S26" s="29">
        <f t="shared" si="8"/>
        <v>0</v>
      </c>
      <c r="T26" s="30"/>
    </row>
    <row r="27" spans="1:20" ht="15" customHeight="1" x14ac:dyDescent="0.35">
      <c r="A27" s="69">
        <v>45371</v>
      </c>
      <c r="B27" s="145"/>
      <c r="C27" s="100">
        <f t="shared" si="10"/>
        <v>0</v>
      </c>
      <c r="D27" s="146"/>
      <c r="E27" s="51">
        <f t="shared" si="11"/>
        <v>0</v>
      </c>
      <c r="F27" s="152"/>
      <c r="G27" s="51">
        <f t="shared" ref="G27:G38" si="15">F27-F26</f>
        <v>0</v>
      </c>
      <c r="H27" s="51"/>
      <c r="I27" s="51"/>
      <c r="J27" s="61">
        <v>376834</v>
      </c>
      <c r="K27" s="51">
        <f t="shared" si="12"/>
        <v>0</v>
      </c>
      <c r="L27" s="146"/>
      <c r="M27" s="51">
        <f t="shared" si="9"/>
        <v>0</v>
      </c>
      <c r="N27" s="146"/>
      <c r="O27" s="51">
        <f t="shared" si="13"/>
        <v>0</v>
      </c>
      <c r="P27" s="147"/>
      <c r="Q27" s="51">
        <f t="shared" si="14"/>
        <v>0</v>
      </c>
      <c r="R27" s="5"/>
      <c r="S27" s="29">
        <f t="shared" si="8"/>
        <v>0</v>
      </c>
      <c r="T27" s="30"/>
    </row>
    <row r="28" spans="1:20" ht="15" customHeight="1" x14ac:dyDescent="0.35">
      <c r="A28" s="69">
        <v>45372</v>
      </c>
      <c r="B28" s="145"/>
      <c r="C28" s="100">
        <f t="shared" si="10"/>
        <v>0</v>
      </c>
      <c r="D28" s="146"/>
      <c r="E28" s="51">
        <f t="shared" si="11"/>
        <v>0</v>
      </c>
      <c r="F28" s="152"/>
      <c r="G28" s="51">
        <f t="shared" si="15"/>
        <v>0</v>
      </c>
      <c r="H28" s="51"/>
      <c r="I28" s="51"/>
      <c r="J28" s="61">
        <v>376834</v>
      </c>
      <c r="K28" s="51">
        <f t="shared" si="12"/>
        <v>0</v>
      </c>
      <c r="L28" s="146"/>
      <c r="M28" s="51">
        <f t="shared" si="9"/>
        <v>0</v>
      </c>
      <c r="N28" s="146"/>
      <c r="O28" s="51">
        <f t="shared" si="13"/>
        <v>0</v>
      </c>
      <c r="P28" s="147"/>
      <c r="Q28" s="51">
        <f t="shared" si="14"/>
        <v>0</v>
      </c>
      <c r="R28" s="5"/>
      <c r="S28" s="29">
        <f t="shared" si="8"/>
        <v>0</v>
      </c>
      <c r="T28" s="30"/>
    </row>
    <row r="29" spans="1:20" ht="15" customHeight="1" x14ac:dyDescent="0.35">
      <c r="A29" s="69">
        <v>45373</v>
      </c>
      <c r="B29" s="145"/>
      <c r="C29" s="68">
        <f t="shared" si="10"/>
        <v>0</v>
      </c>
      <c r="D29" s="146"/>
      <c r="E29" s="51">
        <f t="shared" si="11"/>
        <v>0</v>
      </c>
      <c r="F29" s="152"/>
      <c r="G29" s="51">
        <f t="shared" si="15"/>
        <v>0</v>
      </c>
      <c r="H29" s="51"/>
      <c r="I29" s="51"/>
      <c r="J29" s="61">
        <v>376834</v>
      </c>
      <c r="K29" s="51">
        <f t="shared" si="12"/>
        <v>0</v>
      </c>
      <c r="L29" s="146"/>
      <c r="M29" s="51">
        <f>L29-L28</f>
        <v>0</v>
      </c>
      <c r="N29" s="146"/>
      <c r="O29" s="51">
        <f t="shared" si="13"/>
        <v>0</v>
      </c>
      <c r="P29" s="147"/>
      <c r="Q29" s="51">
        <f t="shared" si="14"/>
        <v>0</v>
      </c>
      <c r="R29" s="5"/>
      <c r="S29" s="29">
        <f t="shared" si="8"/>
        <v>0</v>
      </c>
      <c r="T29" s="30"/>
    </row>
    <row r="30" spans="1:20" ht="15" customHeight="1" x14ac:dyDescent="0.35">
      <c r="A30" s="69">
        <v>45374</v>
      </c>
      <c r="B30" s="145"/>
      <c r="C30" s="68">
        <f t="shared" si="10"/>
        <v>0</v>
      </c>
      <c r="D30" s="146"/>
      <c r="E30" s="51">
        <f t="shared" si="11"/>
        <v>0</v>
      </c>
      <c r="F30" s="152"/>
      <c r="G30" s="51">
        <f t="shared" si="15"/>
        <v>0</v>
      </c>
      <c r="H30" s="51"/>
      <c r="I30" s="51"/>
      <c r="J30" s="61">
        <v>376834</v>
      </c>
      <c r="K30" s="51">
        <f t="shared" si="12"/>
        <v>0</v>
      </c>
      <c r="L30" s="146"/>
      <c r="M30" s="51">
        <f>L30-L29</f>
        <v>0</v>
      </c>
      <c r="N30" s="146"/>
      <c r="O30" s="51">
        <f t="shared" si="13"/>
        <v>0</v>
      </c>
      <c r="P30" s="147"/>
      <c r="Q30" s="51">
        <f t="shared" si="14"/>
        <v>0</v>
      </c>
      <c r="R30" s="5"/>
      <c r="S30" s="29">
        <f t="shared" si="8"/>
        <v>0</v>
      </c>
      <c r="T30" s="30"/>
    </row>
    <row r="31" spans="1:20" ht="15" customHeight="1" x14ac:dyDescent="0.35">
      <c r="A31" s="69">
        <v>45375</v>
      </c>
      <c r="B31" s="145"/>
      <c r="C31" s="100">
        <f t="shared" si="10"/>
        <v>0</v>
      </c>
      <c r="D31" s="146"/>
      <c r="E31" s="51">
        <f t="shared" si="11"/>
        <v>0</v>
      </c>
      <c r="F31" s="152"/>
      <c r="G31" s="51">
        <f t="shared" si="15"/>
        <v>0</v>
      </c>
      <c r="H31" s="51"/>
      <c r="I31" s="51"/>
      <c r="J31" s="61">
        <v>376834</v>
      </c>
      <c r="K31" s="51">
        <f t="shared" si="12"/>
        <v>0</v>
      </c>
      <c r="L31" s="146"/>
      <c r="M31" s="51">
        <f>L31-L30</f>
        <v>0</v>
      </c>
      <c r="N31" s="146"/>
      <c r="O31" s="51">
        <f t="shared" si="13"/>
        <v>0</v>
      </c>
      <c r="P31" s="147"/>
      <c r="Q31" s="51">
        <f t="shared" si="14"/>
        <v>0</v>
      </c>
      <c r="R31" s="5"/>
      <c r="S31" s="29">
        <f t="shared" si="8"/>
        <v>0</v>
      </c>
      <c r="T31" s="30"/>
    </row>
    <row r="32" spans="1:20" ht="15" customHeight="1" x14ac:dyDescent="0.35">
      <c r="A32" s="69">
        <v>45376</v>
      </c>
      <c r="B32" s="145"/>
      <c r="C32" s="100">
        <f t="shared" si="10"/>
        <v>0</v>
      </c>
      <c r="D32" s="146"/>
      <c r="E32" s="51">
        <f t="shared" si="11"/>
        <v>0</v>
      </c>
      <c r="F32" s="152"/>
      <c r="G32" s="51">
        <f t="shared" si="15"/>
        <v>0</v>
      </c>
      <c r="H32" s="51"/>
      <c r="I32" s="51"/>
      <c r="J32" s="61">
        <v>376834</v>
      </c>
      <c r="K32" s="51">
        <f t="shared" si="12"/>
        <v>0</v>
      </c>
      <c r="L32" s="146"/>
      <c r="M32" s="51">
        <f>L32-L31</f>
        <v>0</v>
      </c>
      <c r="N32" s="146"/>
      <c r="O32" s="51">
        <f t="shared" si="13"/>
        <v>0</v>
      </c>
      <c r="P32" s="147"/>
      <c r="Q32" s="51">
        <f t="shared" si="14"/>
        <v>0</v>
      </c>
      <c r="R32" s="5"/>
      <c r="S32" s="29">
        <f t="shared" si="8"/>
        <v>0</v>
      </c>
      <c r="T32" s="30"/>
    </row>
    <row r="33" spans="1:20" ht="15" customHeight="1" x14ac:dyDescent="0.35">
      <c r="A33" s="69">
        <v>45377</v>
      </c>
      <c r="B33" s="145"/>
      <c r="C33" s="100">
        <f t="shared" si="10"/>
        <v>0</v>
      </c>
      <c r="D33" s="146"/>
      <c r="E33" s="51">
        <f t="shared" si="11"/>
        <v>0</v>
      </c>
      <c r="F33" s="152"/>
      <c r="G33" s="51">
        <f t="shared" si="15"/>
        <v>0</v>
      </c>
      <c r="H33" s="51"/>
      <c r="I33" s="51"/>
      <c r="J33" s="61">
        <v>376834</v>
      </c>
      <c r="K33" s="51">
        <f t="shared" si="12"/>
        <v>0</v>
      </c>
      <c r="L33" s="146"/>
      <c r="M33" s="51">
        <f>L33-L32</f>
        <v>0</v>
      </c>
      <c r="N33" s="146"/>
      <c r="O33" s="51">
        <f t="shared" si="13"/>
        <v>0</v>
      </c>
      <c r="P33" s="147"/>
      <c r="Q33" s="51">
        <f t="shared" si="14"/>
        <v>0</v>
      </c>
      <c r="R33" s="5"/>
      <c r="S33" s="29"/>
      <c r="T33" s="30"/>
    </row>
    <row r="34" spans="1:20" ht="15" customHeight="1" x14ac:dyDescent="0.35">
      <c r="A34" s="69">
        <v>45378</v>
      </c>
      <c r="B34" s="145"/>
      <c r="C34" s="100">
        <f t="shared" si="10"/>
        <v>0</v>
      </c>
      <c r="D34" s="146"/>
      <c r="E34" s="51">
        <f t="shared" si="11"/>
        <v>0</v>
      </c>
      <c r="F34" s="152"/>
      <c r="G34" s="51">
        <f t="shared" si="15"/>
        <v>0</v>
      </c>
      <c r="H34" s="51"/>
      <c r="I34" s="51"/>
      <c r="J34" s="61">
        <v>376834</v>
      </c>
      <c r="K34" s="51">
        <f t="shared" ref="K34:K35" si="16">J34-J33</f>
        <v>0</v>
      </c>
      <c r="L34" s="146"/>
      <c r="M34" s="51">
        <f t="shared" ref="M34:M38" si="17">L34-L33</f>
        <v>0</v>
      </c>
      <c r="N34" s="146"/>
      <c r="O34" s="51">
        <f t="shared" si="13"/>
        <v>0</v>
      </c>
      <c r="P34" s="147"/>
      <c r="Q34" s="51">
        <f t="shared" ref="Q34:Q38" si="18">P34-P33</f>
        <v>0</v>
      </c>
      <c r="R34" s="5"/>
      <c r="S34" s="29"/>
      <c r="T34" s="30"/>
    </row>
    <row r="35" spans="1:20" ht="15" customHeight="1" x14ac:dyDescent="0.35">
      <c r="A35" s="69">
        <v>45379</v>
      </c>
      <c r="B35" s="145"/>
      <c r="C35" s="100">
        <f t="shared" si="10"/>
        <v>0</v>
      </c>
      <c r="D35" s="146"/>
      <c r="E35" s="51">
        <f t="shared" si="3"/>
        <v>0</v>
      </c>
      <c r="F35" s="152"/>
      <c r="G35" s="51">
        <f t="shared" si="15"/>
        <v>0</v>
      </c>
      <c r="H35" s="51"/>
      <c r="I35" s="51"/>
      <c r="J35" s="61">
        <v>376834</v>
      </c>
      <c r="K35" s="51">
        <f t="shared" si="16"/>
        <v>0</v>
      </c>
      <c r="L35" s="146"/>
      <c r="M35" s="51">
        <f t="shared" si="17"/>
        <v>0</v>
      </c>
      <c r="N35" s="146"/>
      <c r="O35" s="51">
        <f t="shared" si="13"/>
        <v>0</v>
      </c>
      <c r="P35" s="147"/>
      <c r="Q35" s="51">
        <f t="shared" si="18"/>
        <v>0</v>
      </c>
      <c r="R35" s="5"/>
      <c r="S35" s="29"/>
      <c r="T35" s="30"/>
    </row>
    <row r="36" spans="1:20" ht="15" customHeight="1" x14ac:dyDescent="0.35">
      <c r="A36" s="69">
        <v>45380</v>
      </c>
      <c r="B36" s="145"/>
      <c r="C36" s="100">
        <f t="shared" si="10"/>
        <v>0</v>
      </c>
      <c r="D36" s="146"/>
      <c r="E36" s="51">
        <f t="shared" si="3"/>
        <v>0</v>
      </c>
      <c r="F36" s="152"/>
      <c r="G36" s="51">
        <f t="shared" si="15"/>
        <v>0</v>
      </c>
      <c r="H36" s="51"/>
      <c r="I36" s="51"/>
      <c r="J36" s="61">
        <v>376834</v>
      </c>
      <c r="K36" s="51">
        <f t="shared" ref="K36:K38" si="19">J36-J35</f>
        <v>0</v>
      </c>
      <c r="L36" s="146"/>
      <c r="M36" s="51">
        <f t="shared" si="17"/>
        <v>0</v>
      </c>
      <c r="N36" s="146"/>
      <c r="O36" s="51">
        <f t="shared" si="13"/>
        <v>0</v>
      </c>
      <c r="P36" s="147"/>
      <c r="Q36" s="51">
        <f t="shared" si="18"/>
        <v>0</v>
      </c>
      <c r="R36" s="5"/>
      <c r="S36" s="29"/>
      <c r="T36" s="30"/>
    </row>
    <row r="37" spans="1:20" ht="15" customHeight="1" x14ac:dyDescent="0.35">
      <c r="A37" s="69">
        <v>45381</v>
      </c>
      <c r="B37" s="145"/>
      <c r="C37" s="100">
        <f t="shared" si="10"/>
        <v>0</v>
      </c>
      <c r="D37" s="146"/>
      <c r="E37" s="51">
        <f t="shared" si="3"/>
        <v>0</v>
      </c>
      <c r="F37" s="152"/>
      <c r="G37" s="51">
        <f t="shared" si="15"/>
        <v>0</v>
      </c>
      <c r="H37" s="51"/>
      <c r="I37" s="51"/>
      <c r="J37" s="61">
        <v>376834</v>
      </c>
      <c r="K37" s="51">
        <f t="shared" si="19"/>
        <v>0</v>
      </c>
      <c r="L37" s="146"/>
      <c r="M37" s="51">
        <f t="shared" si="17"/>
        <v>0</v>
      </c>
      <c r="N37" s="146"/>
      <c r="O37" s="51">
        <f t="shared" si="13"/>
        <v>0</v>
      </c>
      <c r="P37" s="147"/>
      <c r="Q37" s="51">
        <f t="shared" si="18"/>
        <v>0</v>
      </c>
      <c r="R37" s="5"/>
      <c r="S37" s="29"/>
      <c r="T37" s="30"/>
    </row>
    <row r="38" spans="1:20" ht="15" customHeight="1" x14ac:dyDescent="0.35">
      <c r="A38" s="69">
        <v>45382</v>
      </c>
      <c r="B38" s="145"/>
      <c r="C38" s="100">
        <f t="shared" si="10"/>
        <v>0</v>
      </c>
      <c r="D38" s="68"/>
      <c r="E38" s="51">
        <f t="shared" si="3"/>
        <v>0</v>
      </c>
      <c r="F38" s="163"/>
      <c r="G38" s="51">
        <f t="shared" si="15"/>
        <v>0</v>
      </c>
      <c r="H38" s="51"/>
      <c r="I38" s="51"/>
      <c r="J38" s="61">
        <v>376834</v>
      </c>
      <c r="K38" s="51">
        <f t="shared" si="19"/>
        <v>0</v>
      </c>
      <c r="L38" s="163"/>
      <c r="M38" s="51">
        <f t="shared" si="17"/>
        <v>0</v>
      </c>
      <c r="N38" s="163"/>
      <c r="O38" s="51">
        <f t="shared" si="13"/>
        <v>0</v>
      </c>
      <c r="P38" s="163"/>
      <c r="Q38" s="51">
        <f t="shared" si="18"/>
        <v>0</v>
      </c>
      <c r="R38" s="5"/>
      <c r="S38" s="29"/>
      <c r="T38" s="30"/>
    </row>
    <row r="39" spans="1:20" ht="15" customHeight="1" x14ac:dyDescent="0.4">
      <c r="A39" s="101" t="s">
        <v>5</v>
      </c>
      <c r="B39" s="82"/>
      <c r="C39" s="27">
        <f>SUM(C8:C38)</f>
        <v>-192629</v>
      </c>
      <c r="D39" s="54"/>
      <c r="E39" s="27">
        <f>SUM(E8:E38)</f>
        <v>-380039</v>
      </c>
      <c r="F39" s="67"/>
      <c r="G39" s="27">
        <f>SUM(G8:G38)</f>
        <v>-91192</v>
      </c>
      <c r="H39" s="82"/>
      <c r="I39" s="6">
        <f>SUM(I8:I36)</f>
        <v>0</v>
      </c>
      <c r="J39" s="82"/>
      <c r="K39" s="27">
        <f>SUM(K8:K35)</f>
        <v>0</v>
      </c>
      <c r="L39" s="82"/>
      <c r="M39" s="27">
        <f>SUM(M8:M38)</f>
        <v>-102002</v>
      </c>
      <c r="N39" s="82"/>
      <c r="O39" s="27">
        <f>SUM(O8:O38)</f>
        <v>-81620</v>
      </c>
      <c r="P39" s="82"/>
      <c r="Q39" s="27">
        <f>SUM(Q8:Q38)</f>
        <v>-178514</v>
      </c>
      <c r="R39" s="5"/>
      <c r="S39" s="34">
        <f>SUM(S10:S36)</f>
        <v>0</v>
      </c>
    </row>
    <row r="40" spans="1:20" ht="15" customHeight="1" x14ac:dyDescent="0.4">
      <c r="A40" s="37"/>
      <c r="C40" s="35"/>
      <c r="D40" s="7"/>
      <c r="E40" s="35"/>
      <c r="F40" s="35"/>
      <c r="G40" s="35"/>
      <c r="H40" s="38"/>
      <c r="I40" s="38"/>
      <c r="K40" s="35"/>
      <c r="M40" s="35"/>
      <c r="N40" s="35"/>
      <c r="O40" s="35"/>
      <c r="Q40" s="35"/>
      <c r="R40" s="2"/>
      <c r="S40" s="38"/>
    </row>
    <row r="41" spans="1:20" ht="13.15" x14ac:dyDescent="0.4">
      <c r="A41" s="22" t="s">
        <v>24</v>
      </c>
      <c r="C41" s="40"/>
      <c r="D41" s="70"/>
      <c r="E41" s="39"/>
      <c r="G41" s="3"/>
    </row>
    <row r="42" spans="1:20" x14ac:dyDescent="0.35">
      <c r="A42" s="22" t="s">
        <v>23</v>
      </c>
      <c r="D42" s="7"/>
      <c r="E42" s="7"/>
    </row>
    <row r="43" spans="1:20" ht="13.15" x14ac:dyDescent="0.4">
      <c r="A43" s="22"/>
      <c r="C43" s="40"/>
      <c r="D43" s="70"/>
      <c r="E43" s="39"/>
      <c r="G43" s="3"/>
      <c r="M43" s="79"/>
    </row>
    <row r="44" spans="1:20" ht="12.75" hidden="1" customHeight="1" x14ac:dyDescent="0.35">
      <c r="D44" s="7"/>
      <c r="E44" s="7"/>
    </row>
    <row r="45" spans="1:20" x14ac:dyDescent="0.35">
      <c r="A45" s="83" t="s">
        <v>52</v>
      </c>
      <c r="D45" s="7"/>
      <c r="E45" s="7"/>
    </row>
    <row r="46" spans="1:20" ht="13.9" x14ac:dyDescent="0.4">
      <c r="A46" s="83"/>
      <c r="B46" s="45"/>
      <c r="D46" s="7"/>
      <c r="E46" s="7"/>
    </row>
    <row r="47" spans="1:20" x14ac:dyDescent="0.35">
      <c r="A47" s="22"/>
      <c r="D47" s="7"/>
      <c r="E47" s="7"/>
    </row>
  </sheetData>
  <sheetProtection selectLockedCells="1" selectUnlockedCells="1"/>
  <customSheetViews>
    <customSheetView guid="{BBA05217-DB7A-4BBE-8392-822CC156171C}" scale="75" showPageBreaks="1" hiddenRows="1" hiddenColumns="1" view="pageBreakPreview" showRuler="0">
      <pane xSplit="1" ySplit="7" topLeftCell="B8" activePane="bottomRight" state="frozen"/>
      <selection pane="bottomRight" activeCell="G17" sqref="G17"/>
      <pageMargins left="0.25" right="0.25" top="0.5" bottom="0" header="0.5" footer="0.5"/>
      <printOptions horizontalCentered="1"/>
      <pageSetup paperSize="9" scale="85" orientation="landscape" horizontalDpi="300" verticalDpi="300" r:id="rId1"/>
      <headerFooter alignWithMargins="0"/>
    </customSheetView>
  </customSheetViews>
  <mergeCells count="17">
    <mergeCell ref="H6:I6"/>
    <mergeCell ref="A1:T1"/>
    <mergeCell ref="A2:T2"/>
    <mergeCell ref="A3:T3"/>
    <mergeCell ref="N6:O6"/>
    <mergeCell ref="J6:K6"/>
    <mergeCell ref="L6:M6"/>
    <mergeCell ref="F5:I5"/>
    <mergeCell ref="F6:G6"/>
    <mergeCell ref="R5:S6"/>
    <mergeCell ref="D6:E6"/>
    <mergeCell ref="J5:O5"/>
    <mergeCell ref="A5:A7"/>
    <mergeCell ref="A4:Q4"/>
    <mergeCell ref="B6:C6"/>
    <mergeCell ref="P5:Q6"/>
    <mergeCell ref="B5:E5"/>
  </mergeCells>
  <phoneticPr fontId="0" type="noConversion"/>
  <printOptions horizontalCentered="1" verticalCentered="1"/>
  <pageMargins left="0.55118110236220474" right="0.51181102362204722" top="0.51181102362204722" bottom="0" header="0.51181102362204722" footer="0.51181102362204722"/>
  <pageSetup paperSize="9" scale="83" orientation="landscape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46"/>
  <sheetViews>
    <sheetView zoomScaleNormal="100" zoomScaleSheetLayoutView="85" workbookViewId="0">
      <pane ySplit="7" topLeftCell="A8" activePane="bottomLeft" state="frozen"/>
      <selection pane="bottomLeft" activeCell="G9" sqref="G9"/>
    </sheetView>
  </sheetViews>
  <sheetFormatPr defaultRowHeight="13.15" x14ac:dyDescent="0.4"/>
  <cols>
    <col min="1" max="1" width="7.59765625" customWidth="1"/>
    <col min="2" max="2" width="9.265625" style="12" bestFit="1" customWidth="1"/>
    <col min="3" max="3" width="10.73046875" style="2" customWidth="1"/>
    <col min="4" max="4" width="7.73046875" style="2" customWidth="1"/>
    <col min="5" max="5" width="8.59765625" style="2" customWidth="1"/>
    <col min="6" max="6" width="7.73046875" customWidth="1"/>
    <col min="7" max="7" width="8.3984375" customWidth="1"/>
    <col min="8" max="8" width="7.73046875" style="2" customWidth="1"/>
    <col min="9" max="9" width="8.59765625" style="2" customWidth="1"/>
    <col min="10" max="10" width="7.73046875" style="1" customWidth="1"/>
    <col min="11" max="11" width="8.73046875" style="1" customWidth="1"/>
    <col min="12" max="12" width="7.73046875" style="1" customWidth="1"/>
    <col min="13" max="13" width="8.59765625" style="1" customWidth="1"/>
    <col min="14" max="14" width="7.73046875" style="1" customWidth="1"/>
    <col min="15" max="15" width="8.3984375" style="1" customWidth="1"/>
    <col min="16" max="16" width="7.73046875" style="1" customWidth="1"/>
    <col min="17" max="17" width="9" style="1" customWidth="1"/>
    <col min="18" max="18" width="7.73046875" style="1" customWidth="1"/>
    <col min="19" max="19" width="9.59765625" customWidth="1"/>
    <col min="20" max="20" width="9.59765625" style="41" customWidth="1"/>
    <col min="21" max="21" width="10.86328125" style="12" customWidth="1"/>
  </cols>
  <sheetData>
    <row r="1" spans="1:23" ht="17.649999999999999" x14ac:dyDescent="0.5">
      <c r="A1" s="220" t="s">
        <v>51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</row>
    <row r="2" spans="1:23" ht="15" x14ac:dyDescent="0.4">
      <c r="A2" s="241" t="s">
        <v>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</row>
    <row r="3" spans="1:23" ht="15" x14ac:dyDescent="0.4">
      <c r="A3" s="222" t="s">
        <v>55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</row>
    <row r="4" spans="1:23" ht="9" customHeight="1" thickBot="1" x14ac:dyDescent="0.4">
      <c r="A4" s="243"/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</row>
    <row r="5" spans="1:23" ht="25.5" customHeight="1" x14ac:dyDescent="0.35">
      <c r="A5" s="256" t="s">
        <v>0</v>
      </c>
      <c r="B5" s="250" t="s">
        <v>33</v>
      </c>
      <c r="C5" s="251"/>
      <c r="D5" s="192" t="s">
        <v>10</v>
      </c>
      <c r="E5" s="193"/>
      <c r="F5" s="192" t="s">
        <v>11</v>
      </c>
      <c r="G5" s="193"/>
      <c r="H5" s="238" t="s">
        <v>6</v>
      </c>
      <c r="I5" s="239"/>
      <c r="J5" s="192" t="s">
        <v>8</v>
      </c>
      <c r="K5" s="193"/>
      <c r="L5" s="192" t="s">
        <v>12</v>
      </c>
      <c r="M5" s="193"/>
      <c r="N5" s="192" t="s">
        <v>40</v>
      </c>
      <c r="O5" s="193"/>
      <c r="P5" s="192" t="s">
        <v>41</v>
      </c>
      <c r="Q5" s="193"/>
      <c r="R5" s="192" t="s">
        <v>13</v>
      </c>
      <c r="S5" s="242"/>
      <c r="T5" s="192" t="s">
        <v>32</v>
      </c>
      <c r="U5" s="242"/>
    </row>
    <row r="6" spans="1:23" ht="10.5" customHeight="1" x14ac:dyDescent="0.35">
      <c r="A6" s="256"/>
      <c r="B6" s="245" t="s">
        <v>31</v>
      </c>
      <c r="C6" s="248" t="s">
        <v>30</v>
      </c>
      <c r="D6" s="190" t="s">
        <v>21</v>
      </c>
      <c r="E6" s="201" t="s">
        <v>22</v>
      </c>
      <c r="F6" s="201" t="s">
        <v>21</v>
      </c>
      <c r="G6" s="201" t="s">
        <v>22</v>
      </c>
      <c r="H6" s="201" t="s">
        <v>21</v>
      </c>
      <c r="I6" s="201" t="s">
        <v>22</v>
      </c>
      <c r="J6" s="201" t="s">
        <v>21</v>
      </c>
      <c r="K6" s="201" t="s">
        <v>22</v>
      </c>
      <c r="L6" s="201" t="s">
        <v>21</v>
      </c>
      <c r="M6" s="201" t="s">
        <v>22</v>
      </c>
      <c r="N6" s="201" t="s">
        <v>21</v>
      </c>
      <c r="O6" s="201" t="s">
        <v>22</v>
      </c>
      <c r="P6" s="201" t="s">
        <v>21</v>
      </c>
      <c r="Q6" s="201" t="s">
        <v>22</v>
      </c>
      <c r="R6" s="201" t="s">
        <v>21</v>
      </c>
      <c r="S6" s="252" t="s">
        <v>22</v>
      </c>
      <c r="T6" s="254" t="s">
        <v>31</v>
      </c>
      <c r="U6" s="258" t="s">
        <v>30</v>
      </c>
    </row>
    <row r="7" spans="1:23" ht="9.75" customHeight="1" thickBot="1" x14ac:dyDescent="0.4">
      <c r="A7" s="257"/>
      <c r="B7" s="246"/>
      <c r="C7" s="249"/>
      <c r="D7" s="244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53"/>
      <c r="T7" s="255"/>
      <c r="U7" s="259"/>
    </row>
    <row r="8" spans="1:23" s="13" customFormat="1" ht="15.75" customHeight="1" x14ac:dyDescent="0.35">
      <c r="A8" s="69">
        <v>45352</v>
      </c>
      <c r="B8" s="112">
        <v>1200</v>
      </c>
      <c r="C8" s="89">
        <f>B8*0</f>
        <v>0</v>
      </c>
      <c r="D8" s="137">
        <v>38916</v>
      </c>
      <c r="E8" s="75">
        <f>D8-38896</f>
        <v>20</v>
      </c>
      <c r="F8" s="141">
        <v>49452</v>
      </c>
      <c r="G8" s="75">
        <f>F8-49440</f>
        <v>12</v>
      </c>
      <c r="H8" s="139">
        <v>72681</v>
      </c>
      <c r="I8" s="51">
        <f>H8-72664</f>
        <v>17</v>
      </c>
      <c r="J8" s="140">
        <v>17278</v>
      </c>
      <c r="K8" s="51">
        <f>J8-17276</f>
        <v>2</v>
      </c>
      <c r="L8" s="142">
        <v>29625</v>
      </c>
      <c r="M8" s="108">
        <f>L8-29622</f>
        <v>3</v>
      </c>
      <c r="N8" s="139">
        <v>9449</v>
      </c>
      <c r="O8" s="76">
        <f>N8-9442</f>
        <v>7</v>
      </c>
      <c r="P8" s="143">
        <v>42956</v>
      </c>
      <c r="Q8" s="76">
        <f>P8-42942</f>
        <v>14</v>
      </c>
      <c r="R8" s="144">
        <v>15964</v>
      </c>
      <c r="S8" s="64">
        <f>R8-15964</f>
        <v>0</v>
      </c>
      <c r="T8" s="109"/>
      <c r="U8" s="89">
        <f>T8*1.66</f>
        <v>0</v>
      </c>
    </row>
    <row r="9" spans="1:23" s="13" customFormat="1" ht="15" customHeight="1" x14ac:dyDescent="0.35">
      <c r="A9" s="69">
        <v>45353</v>
      </c>
      <c r="B9" s="90"/>
      <c r="C9" s="89">
        <f>B9*1.55</f>
        <v>0</v>
      </c>
      <c r="D9" s="137">
        <v>38929</v>
      </c>
      <c r="E9" s="75">
        <f t="shared" ref="E9:E33" si="0">D9-D8</f>
        <v>13</v>
      </c>
      <c r="F9" s="141">
        <v>49465</v>
      </c>
      <c r="G9" s="75">
        <f t="shared" ref="G9:G38" si="1">F9-F8</f>
        <v>13</v>
      </c>
      <c r="H9" s="139">
        <v>72699</v>
      </c>
      <c r="I9" s="51">
        <f t="shared" ref="I9:I38" si="2">H9-H8</f>
        <v>18</v>
      </c>
      <c r="J9" s="140">
        <v>17281</v>
      </c>
      <c r="K9" s="51">
        <f t="shared" ref="K9:K38" si="3">J9-J8</f>
        <v>3</v>
      </c>
      <c r="L9" s="142">
        <v>29628</v>
      </c>
      <c r="M9" s="108">
        <f t="shared" ref="M9:M38" si="4">L9-L8</f>
        <v>3</v>
      </c>
      <c r="N9" s="139">
        <v>9457</v>
      </c>
      <c r="O9" s="76">
        <f t="shared" ref="O9:O38" si="5">N9-N8</f>
        <v>8</v>
      </c>
      <c r="P9" s="143">
        <v>42973</v>
      </c>
      <c r="Q9" s="76">
        <f>P9-P8</f>
        <v>17</v>
      </c>
      <c r="R9" s="144">
        <v>15965</v>
      </c>
      <c r="S9" s="64">
        <f>R9-R8</f>
        <v>1</v>
      </c>
      <c r="T9" s="110"/>
      <c r="U9" s="115">
        <f>T9*2.17</f>
        <v>0</v>
      </c>
      <c r="W9" s="78"/>
    </row>
    <row r="10" spans="1:23" ht="15" customHeight="1" x14ac:dyDescent="0.35">
      <c r="A10" s="69">
        <v>45354</v>
      </c>
      <c r="B10" s="90"/>
      <c r="C10" s="89">
        <f>B10*1.76</f>
        <v>0</v>
      </c>
      <c r="D10" s="137">
        <v>38940</v>
      </c>
      <c r="E10" s="75">
        <f t="shared" si="0"/>
        <v>11</v>
      </c>
      <c r="F10" s="141">
        <v>49477</v>
      </c>
      <c r="G10" s="75">
        <f t="shared" si="1"/>
        <v>12</v>
      </c>
      <c r="H10" s="139">
        <v>72717</v>
      </c>
      <c r="I10" s="51">
        <f t="shared" si="2"/>
        <v>18</v>
      </c>
      <c r="J10" s="140">
        <v>17284</v>
      </c>
      <c r="K10" s="51">
        <f t="shared" si="3"/>
        <v>3</v>
      </c>
      <c r="L10" s="142">
        <v>29633</v>
      </c>
      <c r="M10" s="108">
        <f t="shared" si="4"/>
        <v>5</v>
      </c>
      <c r="N10" s="139">
        <v>9466</v>
      </c>
      <c r="O10" s="76">
        <f t="shared" si="5"/>
        <v>9</v>
      </c>
      <c r="P10" s="143">
        <v>42988</v>
      </c>
      <c r="Q10" s="76">
        <f t="shared" ref="Q10:Q38" si="6">P10-P9</f>
        <v>15</v>
      </c>
      <c r="R10" s="144">
        <v>15965</v>
      </c>
      <c r="S10" s="64">
        <f t="shared" ref="S10:S38" si="7">R10-R9</f>
        <v>0</v>
      </c>
      <c r="T10" s="89"/>
      <c r="U10" s="115">
        <f>T10*2.29</f>
        <v>0</v>
      </c>
    </row>
    <row r="11" spans="1:23" ht="15" customHeight="1" x14ac:dyDescent="0.35">
      <c r="A11" s="69">
        <v>45355</v>
      </c>
      <c r="B11" s="90"/>
      <c r="C11" s="89">
        <f>B11*1.35</f>
        <v>0</v>
      </c>
      <c r="D11" s="137">
        <v>38952</v>
      </c>
      <c r="E11" s="75">
        <f t="shared" si="0"/>
        <v>12</v>
      </c>
      <c r="F11" s="141">
        <v>49490</v>
      </c>
      <c r="G11" s="75">
        <f t="shared" si="1"/>
        <v>13</v>
      </c>
      <c r="H11" s="139">
        <v>72735</v>
      </c>
      <c r="I11" s="51">
        <f t="shared" si="2"/>
        <v>18</v>
      </c>
      <c r="J11" s="140">
        <v>17287</v>
      </c>
      <c r="K11" s="51">
        <f t="shared" si="3"/>
        <v>3</v>
      </c>
      <c r="L11" s="142">
        <v>29638</v>
      </c>
      <c r="M11" s="108">
        <f t="shared" si="4"/>
        <v>5</v>
      </c>
      <c r="N11" s="139">
        <v>9474</v>
      </c>
      <c r="O11" s="76">
        <f t="shared" si="5"/>
        <v>8</v>
      </c>
      <c r="P11" s="143">
        <v>43003</v>
      </c>
      <c r="Q11" s="76">
        <f t="shared" si="6"/>
        <v>15</v>
      </c>
      <c r="R11" s="144">
        <v>15965</v>
      </c>
      <c r="S11" s="64">
        <f t="shared" si="7"/>
        <v>0</v>
      </c>
      <c r="T11" s="89"/>
      <c r="U11" s="89">
        <f>T11*2.37</f>
        <v>0</v>
      </c>
      <c r="W11" s="79"/>
    </row>
    <row r="12" spans="1:23" ht="15" customHeight="1" x14ac:dyDescent="0.35">
      <c r="A12" s="69">
        <v>45356</v>
      </c>
      <c r="B12" s="90"/>
      <c r="C12" s="89">
        <f>B12*1.71</f>
        <v>0</v>
      </c>
      <c r="D12" s="137">
        <v>38963</v>
      </c>
      <c r="E12" s="75">
        <f t="shared" si="0"/>
        <v>11</v>
      </c>
      <c r="F12" s="141">
        <v>49501</v>
      </c>
      <c r="G12" s="75">
        <f t="shared" si="1"/>
        <v>11</v>
      </c>
      <c r="H12" s="139">
        <v>72753</v>
      </c>
      <c r="I12" s="51">
        <f t="shared" si="2"/>
        <v>18</v>
      </c>
      <c r="J12" s="140">
        <v>17292</v>
      </c>
      <c r="K12" s="51">
        <f t="shared" si="3"/>
        <v>5</v>
      </c>
      <c r="L12" s="142">
        <v>29641</v>
      </c>
      <c r="M12" s="108">
        <f t="shared" si="4"/>
        <v>3</v>
      </c>
      <c r="N12" s="139">
        <v>9480</v>
      </c>
      <c r="O12" s="76">
        <f t="shared" si="5"/>
        <v>6</v>
      </c>
      <c r="P12" s="143">
        <v>43020</v>
      </c>
      <c r="Q12" s="76">
        <f t="shared" si="6"/>
        <v>17</v>
      </c>
      <c r="R12" s="144">
        <v>15966</v>
      </c>
      <c r="S12" s="64">
        <f t="shared" si="7"/>
        <v>1</v>
      </c>
      <c r="T12" s="89"/>
      <c r="U12" s="89">
        <f>T12*1.73</f>
        <v>0</v>
      </c>
    </row>
    <row r="13" spans="1:23" ht="15" customHeight="1" x14ac:dyDescent="0.35">
      <c r="A13" s="69">
        <v>45357</v>
      </c>
      <c r="B13" s="90"/>
      <c r="C13" s="89">
        <f>B13*1.95</f>
        <v>0</v>
      </c>
      <c r="D13" s="137">
        <v>38980</v>
      </c>
      <c r="E13" s="75">
        <f t="shared" si="0"/>
        <v>17</v>
      </c>
      <c r="F13" s="141">
        <v>49512</v>
      </c>
      <c r="G13" s="51">
        <f t="shared" si="1"/>
        <v>11</v>
      </c>
      <c r="H13" s="139">
        <v>72772</v>
      </c>
      <c r="I13" s="51">
        <f t="shared" si="2"/>
        <v>19</v>
      </c>
      <c r="J13" s="140">
        <v>17297</v>
      </c>
      <c r="K13" s="51">
        <f t="shared" si="3"/>
        <v>5</v>
      </c>
      <c r="L13" s="142">
        <v>29645</v>
      </c>
      <c r="M13" s="108">
        <f t="shared" si="4"/>
        <v>4</v>
      </c>
      <c r="N13" s="139">
        <v>9487</v>
      </c>
      <c r="O13" s="76">
        <f t="shared" si="5"/>
        <v>7</v>
      </c>
      <c r="P13" s="143">
        <v>43036</v>
      </c>
      <c r="Q13" s="76">
        <f t="shared" si="6"/>
        <v>16</v>
      </c>
      <c r="R13" s="144">
        <v>15966</v>
      </c>
      <c r="S13" s="64">
        <f t="shared" si="7"/>
        <v>0</v>
      </c>
      <c r="T13" s="89"/>
      <c r="U13" s="89">
        <f>T13*2.29</f>
        <v>0</v>
      </c>
    </row>
    <row r="14" spans="1:23" ht="15" customHeight="1" x14ac:dyDescent="0.35">
      <c r="A14" s="69">
        <v>45358</v>
      </c>
      <c r="B14" s="90"/>
      <c r="C14" s="89">
        <f>B14*1.18</f>
        <v>0</v>
      </c>
      <c r="D14" s="137">
        <v>39007</v>
      </c>
      <c r="E14" s="75">
        <f t="shared" si="0"/>
        <v>27</v>
      </c>
      <c r="F14" s="141">
        <v>49524</v>
      </c>
      <c r="G14" s="51">
        <f t="shared" si="1"/>
        <v>12</v>
      </c>
      <c r="H14" s="139">
        <v>72791</v>
      </c>
      <c r="I14" s="51">
        <f t="shared" si="2"/>
        <v>19</v>
      </c>
      <c r="J14" s="140">
        <v>17299</v>
      </c>
      <c r="K14" s="51">
        <f t="shared" si="3"/>
        <v>2</v>
      </c>
      <c r="L14" s="142">
        <v>29650</v>
      </c>
      <c r="M14" s="108">
        <f t="shared" si="4"/>
        <v>5</v>
      </c>
      <c r="N14" s="139">
        <v>9494</v>
      </c>
      <c r="O14" s="76">
        <f t="shared" si="5"/>
        <v>7</v>
      </c>
      <c r="P14" s="143">
        <v>43052</v>
      </c>
      <c r="Q14" s="76">
        <f t="shared" si="6"/>
        <v>16</v>
      </c>
      <c r="R14" s="144">
        <v>15966</v>
      </c>
      <c r="S14" s="64">
        <f t="shared" si="7"/>
        <v>0</v>
      </c>
      <c r="T14" s="89"/>
      <c r="U14" s="89">
        <f>T14*2.37</f>
        <v>0</v>
      </c>
    </row>
    <row r="15" spans="1:23" ht="15.75" customHeight="1" x14ac:dyDescent="0.35">
      <c r="A15" s="69">
        <v>45359</v>
      </c>
      <c r="B15" s="90"/>
      <c r="C15" s="89">
        <f>B15*0</f>
        <v>0</v>
      </c>
      <c r="D15" s="137">
        <v>39034</v>
      </c>
      <c r="E15" s="75">
        <f t="shared" si="0"/>
        <v>27</v>
      </c>
      <c r="F15" s="141">
        <v>49537</v>
      </c>
      <c r="G15" s="51">
        <f t="shared" si="1"/>
        <v>13</v>
      </c>
      <c r="H15" s="139">
        <v>72810</v>
      </c>
      <c r="I15" s="51">
        <f t="shared" si="2"/>
        <v>19</v>
      </c>
      <c r="J15" s="140">
        <v>17302</v>
      </c>
      <c r="K15" s="51">
        <f t="shared" si="3"/>
        <v>3</v>
      </c>
      <c r="L15" s="142">
        <v>29654</v>
      </c>
      <c r="M15" s="108">
        <f t="shared" si="4"/>
        <v>4</v>
      </c>
      <c r="N15" s="139">
        <v>9501</v>
      </c>
      <c r="O15" s="76">
        <f t="shared" si="5"/>
        <v>7</v>
      </c>
      <c r="P15" s="143">
        <v>43068</v>
      </c>
      <c r="Q15" s="76">
        <f t="shared" si="6"/>
        <v>16</v>
      </c>
      <c r="R15" s="144">
        <v>15966</v>
      </c>
      <c r="S15" s="64">
        <f t="shared" si="7"/>
        <v>0</v>
      </c>
      <c r="T15" s="89"/>
      <c r="U15" s="89">
        <f>T15*1.97</f>
        <v>0</v>
      </c>
    </row>
    <row r="16" spans="1:23" ht="15" customHeight="1" x14ac:dyDescent="0.35">
      <c r="A16" s="69">
        <v>45360</v>
      </c>
      <c r="B16" s="91"/>
      <c r="C16" s="89">
        <f>B16*1.31</f>
        <v>0</v>
      </c>
      <c r="D16" s="137">
        <v>39064</v>
      </c>
      <c r="E16" s="75">
        <f t="shared" si="0"/>
        <v>30</v>
      </c>
      <c r="F16" s="141">
        <v>49552</v>
      </c>
      <c r="G16" s="51">
        <f t="shared" si="1"/>
        <v>15</v>
      </c>
      <c r="H16" s="139">
        <v>72829</v>
      </c>
      <c r="I16" s="51">
        <f t="shared" si="2"/>
        <v>19</v>
      </c>
      <c r="J16" s="140">
        <v>17306</v>
      </c>
      <c r="K16" s="51">
        <f t="shared" si="3"/>
        <v>4</v>
      </c>
      <c r="L16" s="142">
        <v>29658</v>
      </c>
      <c r="M16" s="108">
        <f t="shared" si="4"/>
        <v>4</v>
      </c>
      <c r="N16" s="139">
        <v>9507</v>
      </c>
      <c r="O16" s="76">
        <f t="shared" si="5"/>
        <v>6</v>
      </c>
      <c r="P16" s="143">
        <v>43084</v>
      </c>
      <c r="Q16" s="76">
        <f t="shared" si="6"/>
        <v>16</v>
      </c>
      <c r="R16" s="144">
        <v>15966</v>
      </c>
      <c r="S16" s="64">
        <f t="shared" si="7"/>
        <v>0</v>
      </c>
      <c r="T16" s="89"/>
      <c r="U16" s="89">
        <f>T16*1.25</f>
        <v>0</v>
      </c>
    </row>
    <row r="17" spans="1:21" ht="15" customHeight="1" x14ac:dyDescent="0.35">
      <c r="A17" s="69">
        <v>45361</v>
      </c>
      <c r="B17" s="89"/>
      <c r="C17" s="89">
        <f>B17*1.72</f>
        <v>0</v>
      </c>
      <c r="D17" s="137">
        <v>39080</v>
      </c>
      <c r="E17" s="75">
        <f t="shared" si="0"/>
        <v>16</v>
      </c>
      <c r="F17" s="141">
        <v>49565</v>
      </c>
      <c r="G17" s="51">
        <f t="shared" si="1"/>
        <v>13</v>
      </c>
      <c r="H17" s="139">
        <v>72847</v>
      </c>
      <c r="I17" s="51">
        <f t="shared" si="2"/>
        <v>18</v>
      </c>
      <c r="J17" s="140">
        <v>17310</v>
      </c>
      <c r="K17" s="51">
        <f t="shared" si="3"/>
        <v>4</v>
      </c>
      <c r="L17" s="142">
        <v>29660</v>
      </c>
      <c r="M17" s="108">
        <f t="shared" si="4"/>
        <v>2</v>
      </c>
      <c r="N17" s="139">
        <v>9515</v>
      </c>
      <c r="O17" s="76">
        <f t="shared" si="5"/>
        <v>8</v>
      </c>
      <c r="P17" s="143">
        <v>43097</v>
      </c>
      <c r="Q17" s="76">
        <f t="shared" si="6"/>
        <v>13</v>
      </c>
      <c r="R17" s="144">
        <v>15967</v>
      </c>
      <c r="S17" s="64">
        <f t="shared" si="7"/>
        <v>1</v>
      </c>
      <c r="T17" s="91"/>
      <c r="U17" s="89">
        <f>T17*2.29</f>
        <v>0</v>
      </c>
    </row>
    <row r="18" spans="1:21" ht="15" customHeight="1" x14ac:dyDescent="0.35">
      <c r="A18" s="69">
        <v>45362</v>
      </c>
      <c r="B18" s="89">
        <v>1600</v>
      </c>
      <c r="C18" s="89">
        <f>B18*0</f>
        <v>0</v>
      </c>
      <c r="D18" s="137">
        <v>39095</v>
      </c>
      <c r="E18" s="75">
        <f t="shared" si="0"/>
        <v>15</v>
      </c>
      <c r="F18" s="141">
        <v>49577</v>
      </c>
      <c r="G18" s="51">
        <f t="shared" si="1"/>
        <v>12</v>
      </c>
      <c r="H18" s="139">
        <v>72865</v>
      </c>
      <c r="I18" s="51">
        <f t="shared" si="2"/>
        <v>18</v>
      </c>
      <c r="J18" s="140">
        <v>17313</v>
      </c>
      <c r="K18" s="51">
        <f t="shared" si="3"/>
        <v>3</v>
      </c>
      <c r="L18" s="142">
        <v>29665</v>
      </c>
      <c r="M18" s="108">
        <f t="shared" si="4"/>
        <v>5</v>
      </c>
      <c r="N18" s="139">
        <v>9523</v>
      </c>
      <c r="O18" s="76">
        <f t="shared" si="5"/>
        <v>8</v>
      </c>
      <c r="P18" s="143">
        <v>43113</v>
      </c>
      <c r="Q18" s="76">
        <f t="shared" si="6"/>
        <v>16</v>
      </c>
      <c r="R18" s="144">
        <v>15967</v>
      </c>
      <c r="S18" s="64">
        <f t="shared" si="7"/>
        <v>0</v>
      </c>
      <c r="T18" s="89"/>
      <c r="U18" s="89">
        <f>T18*2.37</f>
        <v>0</v>
      </c>
    </row>
    <row r="19" spans="1:21" ht="15" customHeight="1" x14ac:dyDescent="0.35">
      <c r="A19" s="69">
        <v>45363</v>
      </c>
      <c r="B19" s="89"/>
      <c r="C19" s="89">
        <f>B19*1.67</f>
        <v>0</v>
      </c>
      <c r="D19" s="137">
        <v>39117</v>
      </c>
      <c r="E19" s="75">
        <f t="shared" si="0"/>
        <v>22</v>
      </c>
      <c r="F19" s="141">
        <v>49589</v>
      </c>
      <c r="G19" s="51">
        <f t="shared" si="1"/>
        <v>12</v>
      </c>
      <c r="H19" s="139">
        <v>72883</v>
      </c>
      <c r="I19" s="51">
        <f t="shared" si="2"/>
        <v>18</v>
      </c>
      <c r="J19" s="140">
        <v>17316</v>
      </c>
      <c r="K19" s="51">
        <f t="shared" si="3"/>
        <v>3</v>
      </c>
      <c r="L19" s="142">
        <v>29668</v>
      </c>
      <c r="M19" s="108">
        <f t="shared" si="4"/>
        <v>3</v>
      </c>
      <c r="N19" s="139">
        <v>9529</v>
      </c>
      <c r="O19" s="76">
        <f t="shared" si="5"/>
        <v>6</v>
      </c>
      <c r="P19" s="143">
        <v>43125</v>
      </c>
      <c r="Q19" s="76">
        <f t="shared" si="6"/>
        <v>12</v>
      </c>
      <c r="R19" s="144">
        <v>15967</v>
      </c>
      <c r="S19" s="64">
        <f t="shared" si="7"/>
        <v>0</v>
      </c>
      <c r="T19" s="89"/>
      <c r="U19" s="89">
        <f>T19*1.46</f>
        <v>0</v>
      </c>
    </row>
    <row r="20" spans="1:21" ht="15" customHeight="1" x14ac:dyDescent="0.35">
      <c r="A20" s="69">
        <v>45364</v>
      </c>
      <c r="B20" s="89"/>
      <c r="C20" s="89">
        <f>B20*1.54</f>
        <v>0</v>
      </c>
      <c r="D20" s="137"/>
      <c r="E20" s="75">
        <f t="shared" si="0"/>
        <v>-39117</v>
      </c>
      <c r="F20" s="141"/>
      <c r="G20" s="51">
        <f t="shared" si="1"/>
        <v>-49589</v>
      </c>
      <c r="H20" s="139"/>
      <c r="I20" s="51">
        <f t="shared" si="2"/>
        <v>-72883</v>
      </c>
      <c r="J20" s="140"/>
      <c r="K20" s="51">
        <f t="shared" si="3"/>
        <v>-17316</v>
      </c>
      <c r="L20" s="142"/>
      <c r="M20" s="108">
        <f t="shared" si="4"/>
        <v>-29668</v>
      </c>
      <c r="N20" s="138"/>
      <c r="O20" s="76">
        <f t="shared" si="5"/>
        <v>-9529</v>
      </c>
      <c r="P20" s="143"/>
      <c r="Q20" s="76">
        <f t="shared" si="6"/>
        <v>-43125</v>
      </c>
      <c r="R20" s="144"/>
      <c r="S20" s="64">
        <f t="shared" si="7"/>
        <v>-15967</v>
      </c>
      <c r="T20" s="91"/>
      <c r="U20" s="89">
        <f>T20*2.37</f>
        <v>0</v>
      </c>
    </row>
    <row r="21" spans="1:21" ht="15" customHeight="1" x14ac:dyDescent="0.35">
      <c r="A21" s="69">
        <v>45365</v>
      </c>
      <c r="B21" s="89"/>
      <c r="C21" s="89">
        <f>B21*1.92</f>
        <v>0</v>
      </c>
      <c r="D21" s="137"/>
      <c r="E21" s="75">
        <f t="shared" si="0"/>
        <v>0</v>
      </c>
      <c r="F21" s="141"/>
      <c r="G21" s="51">
        <f t="shared" si="1"/>
        <v>0</v>
      </c>
      <c r="H21" s="153"/>
      <c r="I21" s="51">
        <f t="shared" si="2"/>
        <v>0</v>
      </c>
      <c r="J21" s="140"/>
      <c r="K21" s="51">
        <f t="shared" si="3"/>
        <v>0</v>
      </c>
      <c r="L21" s="142"/>
      <c r="M21" s="108">
        <f t="shared" si="4"/>
        <v>0</v>
      </c>
      <c r="N21" s="138"/>
      <c r="O21" s="76">
        <f t="shared" si="5"/>
        <v>0</v>
      </c>
      <c r="P21" s="143"/>
      <c r="Q21" s="76">
        <f t="shared" si="6"/>
        <v>0</v>
      </c>
      <c r="R21" s="144"/>
      <c r="S21" s="64">
        <f t="shared" si="7"/>
        <v>0</v>
      </c>
      <c r="T21" s="91"/>
      <c r="U21" s="89">
        <f>T21*1.97</f>
        <v>0</v>
      </c>
    </row>
    <row r="22" spans="1:21" ht="15" customHeight="1" x14ac:dyDescent="0.35">
      <c r="A22" s="69">
        <v>45366</v>
      </c>
      <c r="B22" s="89"/>
      <c r="C22" s="89">
        <f>B22*2.1</f>
        <v>0</v>
      </c>
      <c r="D22" s="137"/>
      <c r="E22" s="75">
        <f t="shared" si="0"/>
        <v>0</v>
      </c>
      <c r="F22" s="141"/>
      <c r="G22" s="51">
        <f t="shared" si="1"/>
        <v>0</v>
      </c>
      <c r="H22" s="139"/>
      <c r="I22" s="51">
        <f t="shared" si="2"/>
        <v>0</v>
      </c>
      <c r="J22" s="140"/>
      <c r="K22" s="51">
        <f t="shared" si="3"/>
        <v>0</v>
      </c>
      <c r="L22" s="142"/>
      <c r="M22" s="108">
        <f t="shared" si="4"/>
        <v>0</v>
      </c>
      <c r="N22" s="138"/>
      <c r="O22" s="76">
        <f t="shared" si="5"/>
        <v>0</v>
      </c>
      <c r="P22" s="143"/>
      <c r="Q22" s="76">
        <f t="shared" si="6"/>
        <v>0</v>
      </c>
      <c r="R22" s="144"/>
      <c r="S22" s="64">
        <f t="shared" si="7"/>
        <v>0</v>
      </c>
      <c r="T22" s="89"/>
      <c r="U22" s="89">
        <f>T22*2.1</f>
        <v>0</v>
      </c>
    </row>
    <row r="23" spans="1:21" ht="15" customHeight="1" x14ac:dyDescent="0.35">
      <c r="A23" s="69">
        <v>45367</v>
      </c>
      <c r="B23" s="89"/>
      <c r="C23" s="89">
        <f>B23*1.31</f>
        <v>0</v>
      </c>
      <c r="D23" s="137"/>
      <c r="E23" s="75">
        <f t="shared" si="0"/>
        <v>0</v>
      </c>
      <c r="F23" s="141"/>
      <c r="G23" s="51">
        <f t="shared" si="1"/>
        <v>0</v>
      </c>
      <c r="H23" s="139"/>
      <c r="I23" s="51">
        <f t="shared" si="2"/>
        <v>0</v>
      </c>
      <c r="J23" s="140"/>
      <c r="K23" s="51">
        <f t="shared" si="3"/>
        <v>0</v>
      </c>
      <c r="L23" s="142"/>
      <c r="M23" s="108">
        <f t="shared" si="4"/>
        <v>0</v>
      </c>
      <c r="N23" s="138"/>
      <c r="O23" s="76">
        <f t="shared" si="5"/>
        <v>0</v>
      </c>
      <c r="P23" s="143"/>
      <c r="Q23" s="76">
        <f t="shared" si="6"/>
        <v>0</v>
      </c>
      <c r="R23" s="144"/>
      <c r="S23" s="64">
        <f t="shared" si="7"/>
        <v>0</v>
      </c>
      <c r="T23" s="89"/>
      <c r="U23" s="89">
        <f>T23*1.82</f>
        <v>0</v>
      </c>
    </row>
    <row r="24" spans="1:21" ht="16.5" customHeight="1" x14ac:dyDescent="0.35">
      <c r="A24" s="69">
        <v>45368</v>
      </c>
      <c r="B24" s="89"/>
      <c r="C24" s="89">
        <f>B24*1.94</f>
        <v>0</v>
      </c>
      <c r="D24" s="137"/>
      <c r="E24" s="75">
        <f t="shared" si="0"/>
        <v>0</v>
      </c>
      <c r="F24" s="141"/>
      <c r="G24" s="51">
        <f t="shared" si="1"/>
        <v>0</v>
      </c>
      <c r="H24" s="139"/>
      <c r="I24" s="51">
        <f t="shared" si="2"/>
        <v>0</v>
      </c>
      <c r="J24" s="140"/>
      <c r="K24" s="51">
        <f t="shared" si="3"/>
        <v>0</v>
      </c>
      <c r="L24" s="142"/>
      <c r="M24" s="108">
        <f t="shared" si="4"/>
        <v>0</v>
      </c>
      <c r="N24" s="138"/>
      <c r="O24" s="76">
        <f t="shared" si="5"/>
        <v>0</v>
      </c>
      <c r="P24" s="143"/>
      <c r="Q24" s="76">
        <f t="shared" si="6"/>
        <v>0</v>
      </c>
      <c r="R24" s="144"/>
      <c r="S24" s="64">
        <f t="shared" si="7"/>
        <v>0</v>
      </c>
      <c r="T24" s="89"/>
      <c r="U24" s="89">
        <f>T24*2.29</f>
        <v>0</v>
      </c>
    </row>
    <row r="25" spans="1:21" ht="15" customHeight="1" x14ac:dyDescent="0.35">
      <c r="A25" s="69">
        <v>45369</v>
      </c>
      <c r="B25" s="89"/>
      <c r="C25" s="89">
        <f>B25*2.37</f>
        <v>0</v>
      </c>
      <c r="D25" s="137"/>
      <c r="E25" s="75">
        <f t="shared" si="0"/>
        <v>0</v>
      </c>
      <c r="F25" s="141"/>
      <c r="G25" s="51">
        <f t="shared" si="1"/>
        <v>0</v>
      </c>
      <c r="H25" s="139"/>
      <c r="I25" s="51">
        <f t="shared" si="2"/>
        <v>0</v>
      </c>
      <c r="J25" s="140"/>
      <c r="K25" s="51">
        <f t="shared" si="3"/>
        <v>0</v>
      </c>
      <c r="L25" s="142"/>
      <c r="M25" s="108">
        <f t="shared" si="4"/>
        <v>0</v>
      </c>
      <c r="N25" s="138"/>
      <c r="O25" s="76">
        <f t="shared" si="5"/>
        <v>0</v>
      </c>
      <c r="P25" s="143"/>
      <c r="Q25" s="76">
        <f t="shared" si="6"/>
        <v>0</v>
      </c>
      <c r="R25" s="144"/>
      <c r="S25" s="64">
        <f t="shared" si="7"/>
        <v>0</v>
      </c>
      <c r="T25" s="89"/>
      <c r="U25" s="89">
        <f>T25*2.37</f>
        <v>0</v>
      </c>
    </row>
    <row r="26" spans="1:21" ht="15" customHeight="1" x14ac:dyDescent="0.35">
      <c r="A26" s="69">
        <v>45370</v>
      </c>
      <c r="B26" s="89"/>
      <c r="C26" s="89">
        <f>B26*1.54</f>
        <v>0</v>
      </c>
      <c r="D26" s="137"/>
      <c r="E26" s="75">
        <f t="shared" si="0"/>
        <v>0</v>
      </c>
      <c r="F26" s="141"/>
      <c r="G26" s="51">
        <f t="shared" si="1"/>
        <v>0</v>
      </c>
      <c r="H26" s="139"/>
      <c r="I26" s="51">
        <f t="shared" si="2"/>
        <v>0</v>
      </c>
      <c r="J26" s="140"/>
      <c r="K26" s="51">
        <f t="shared" si="3"/>
        <v>0</v>
      </c>
      <c r="L26" s="142"/>
      <c r="M26" s="108">
        <f t="shared" si="4"/>
        <v>0</v>
      </c>
      <c r="N26" s="138"/>
      <c r="O26" s="76">
        <f t="shared" si="5"/>
        <v>0</v>
      </c>
      <c r="P26" s="143"/>
      <c r="Q26" s="76">
        <f t="shared" si="6"/>
        <v>0</v>
      </c>
      <c r="R26" s="144"/>
      <c r="S26" s="64">
        <f t="shared" si="7"/>
        <v>0</v>
      </c>
      <c r="T26" s="89"/>
      <c r="U26" s="89">
        <f>T26*1.66</f>
        <v>0</v>
      </c>
    </row>
    <row r="27" spans="1:21" ht="15" customHeight="1" x14ac:dyDescent="0.35">
      <c r="A27" s="69">
        <v>45371</v>
      </c>
      <c r="B27" s="89"/>
      <c r="C27" s="89">
        <f>B27*1.72</f>
        <v>0</v>
      </c>
      <c r="D27" s="137"/>
      <c r="E27" s="75">
        <f t="shared" si="0"/>
        <v>0</v>
      </c>
      <c r="F27" s="141"/>
      <c r="G27" s="51">
        <f t="shared" si="1"/>
        <v>0</v>
      </c>
      <c r="H27" s="139"/>
      <c r="I27" s="51">
        <f t="shared" si="2"/>
        <v>0</v>
      </c>
      <c r="J27" s="140"/>
      <c r="K27" s="51">
        <f t="shared" si="3"/>
        <v>0</v>
      </c>
      <c r="L27" s="142"/>
      <c r="M27" s="108">
        <f t="shared" si="4"/>
        <v>0</v>
      </c>
      <c r="N27" s="138"/>
      <c r="O27" s="76">
        <f t="shared" si="5"/>
        <v>0</v>
      </c>
      <c r="P27" s="143"/>
      <c r="Q27" s="76">
        <f t="shared" si="6"/>
        <v>0</v>
      </c>
      <c r="R27" s="144"/>
      <c r="S27" s="64">
        <f t="shared" si="7"/>
        <v>0</v>
      </c>
      <c r="T27" s="89"/>
      <c r="U27" s="89">
        <f>T27*1.94</f>
        <v>0</v>
      </c>
    </row>
    <row r="28" spans="1:21" ht="14.25" customHeight="1" x14ac:dyDescent="0.35">
      <c r="A28" s="69">
        <v>45372</v>
      </c>
      <c r="B28" s="89"/>
      <c r="C28" s="89">
        <f>B28*1.69</f>
        <v>0</v>
      </c>
      <c r="D28" s="137"/>
      <c r="E28" s="75">
        <f t="shared" si="0"/>
        <v>0</v>
      </c>
      <c r="F28" s="141"/>
      <c r="G28" s="51">
        <f t="shared" si="1"/>
        <v>0</v>
      </c>
      <c r="H28" s="139"/>
      <c r="I28" s="51">
        <f t="shared" si="2"/>
        <v>0</v>
      </c>
      <c r="J28" s="140"/>
      <c r="K28" s="51">
        <f t="shared" si="3"/>
        <v>0</v>
      </c>
      <c r="L28" s="142"/>
      <c r="M28" s="108">
        <f t="shared" si="4"/>
        <v>0</v>
      </c>
      <c r="N28" s="138"/>
      <c r="O28" s="76">
        <f t="shared" si="5"/>
        <v>0</v>
      </c>
      <c r="P28" s="143"/>
      <c r="Q28" s="76">
        <f t="shared" si="6"/>
        <v>0</v>
      </c>
      <c r="R28" s="144"/>
      <c r="S28" s="64">
        <f t="shared" si="7"/>
        <v>0</v>
      </c>
      <c r="T28" s="89"/>
      <c r="U28" s="89">
        <f>T28*2.29</f>
        <v>0</v>
      </c>
    </row>
    <row r="29" spans="1:21" ht="15" customHeight="1" x14ac:dyDescent="0.35">
      <c r="A29" s="69">
        <v>45373</v>
      </c>
      <c r="B29" s="89"/>
      <c r="C29" s="89">
        <f>B29*1.55</f>
        <v>0</v>
      </c>
      <c r="D29" s="137"/>
      <c r="E29" s="75">
        <f t="shared" si="0"/>
        <v>0</v>
      </c>
      <c r="F29" s="141"/>
      <c r="G29" s="51">
        <f t="shared" si="1"/>
        <v>0</v>
      </c>
      <c r="H29" s="139"/>
      <c r="I29" s="51">
        <f t="shared" si="2"/>
        <v>0</v>
      </c>
      <c r="J29" s="140"/>
      <c r="K29" s="51">
        <f t="shared" si="3"/>
        <v>0</v>
      </c>
      <c r="L29" s="142"/>
      <c r="M29" s="108">
        <f t="shared" si="4"/>
        <v>0</v>
      </c>
      <c r="N29" s="138"/>
      <c r="O29" s="76">
        <f t="shared" si="5"/>
        <v>0</v>
      </c>
      <c r="P29" s="143"/>
      <c r="Q29" s="76">
        <f t="shared" si="6"/>
        <v>0</v>
      </c>
      <c r="R29" s="144"/>
      <c r="S29" s="64">
        <f t="shared" si="7"/>
        <v>0</v>
      </c>
      <c r="T29" s="89"/>
      <c r="U29" s="89">
        <f>T29*2.37</f>
        <v>0</v>
      </c>
    </row>
    <row r="30" spans="1:21" ht="15" customHeight="1" x14ac:dyDescent="0.35">
      <c r="A30" s="69">
        <v>45374</v>
      </c>
      <c r="B30" s="89"/>
      <c r="C30" s="89">
        <f>B30*1.35</f>
        <v>0</v>
      </c>
      <c r="D30" s="137"/>
      <c r="E30" s="75">
        <f t="shared" si="0"/>
        <v>0</v>
      </c>
      <c r="F30" s="141"/>
      <c r="G30" s="51">
        <f t="shared" si="1"/>
        <v>0</v>
      </c>
      <c r="H30" s="139"/>
      <c r="I30" s="51">
        <f t="shared" si="2"/>
        <v>0</v>
      </c>
      <c r="J30" s="140"/>
      <c r="K30" s="51">
        <f t="shared" si="3"/>
        <v>0</v>
      </c>
      <c r="L30" s="142"/>
      <c r="M30" s="108">
        <f t="shared" si="4"/>
        <v>0</v>
      </c>
      <c r="N30" s="138"/>
      <c r="O30" s="76">
        <f t="shared" si="5"/>
        <v>0</v>
      </c>
      <c r="P30" s="143"/>
      <c r="Q30" s="76">
        <f t="shared" si="6"/>
        <v>0</v>
      </c>
      <c r="R30" s="144"/>
      <c r="S30" s="64">
        <f t="shared" si="7"/>
        <v>0</v>
      </c>
      <c r="T30" s="89"/>
      <c r="U30" s="89">
        <f>T30*2</f>
        <v>0</v>
      </c>
    </row>
    <row r="31" spans="1:21" ht="15" customHeight="1" x14ac:dyDescent="0.35">
      <c r="A31" s="69">
        <v>45375</v>
      </c>
      <c r="B31" s="89"/>
      <c r="C31" s="65">
        <f>B31*1.66</f>
        <v>0</v>
      </c>
      <c r="D31" s="137"/>
      <c r="E31" s="75">
        <f t="shared" si="0"/>
        <v>0</v>
      </c>
      <c r="F31" s="141"/>
      <c r="G31" s="51">
        <f t="shared" si="1"/>
        <v>0</v>
      </c>
      <c r="H31" s="139"/>
      <c r="I31" s="51">
        <f t="shared" si="2"/>
        <v>0</v>
      </c>
      <c r="J31" s="140"/>
      <c r="K31" s="51">
        <f t="shared" si="3"/>
        <v>0</v>
      </c>
      <c r="L31" s="142"/>
      <c r="M31" s="108">
        <f t="shared" si="4"/>
        <v>0</v>
      </c>
      <c r="N31" s="138"/>
      <c r="O31" s="76">
        <f t="shared" si="5"/>
        <v>0</v>
      </c>
      <c r="P31" s="143"/>
      <c r="Q31" s="76">
        <f t="shared" si="6"/>
        <v>0</v>
      </c>
      <c r="R31" s="144"/>
      <c r="S31" s="64">
        <f t="shared" si="7"/>
        <v>0</v>
      </c>
      <c r="T31" s="89"/>
      <c r="U31" s="89">
        <f>T31*2.29</f>
        <v>0</v>
      </c>
    </row>
    <row r="32" spans="1:21" ht="15" customHeight="1" x14ac:dyDescent="0.35">
      <c r="A32" s="69">
        <v>45376</v>
      </c>
      <c r="B32" s="89"/>
      <c r="C32" s="89">
        <f>B32*0</f>
        <v>0</v>
      </c>
      <c r="D32" s="137"/>
      <c r="E32" s="75">
        <f t="shared" si="0"/>
        <v>0</v>
      </c>
      <c r="F32" s="141"/>
      <c r="G32" s="51">
        <f t="shared" si="1"/>
        <v>0</v>
      </c>
      <c r="H32" s="139"/>
      <c r="I32" s="51">
        <f t="shared" si="2"/>
        <v>0</v>
      </c>
      <c r="J32" s="140"/>
      <c r="K32" s="51">
        <f t="shared" si="3"/>
        <v>0</v>
      </c>
      <c r="L32" s="142"/>
      <c r="M32" s="108">
        <f t="shared" si="4"/>
        <v>0</v>
      </c>
      <c r="N32" s="138"/>
      <c r="O32" s="76">
        <f t="shared" si="5"/>
        <v>0</v>
      </c>
      <c r="P32" s="143"/>
      <c r="Q32" s="76">
        <f t="shared" si="6"/>
        <v>0</v>
      </c>
      <c r="R32" s="144"/>
      <c r="S32" s="64">
        <f t="shared" si="7"/>
        <v>0</v>
      </c>
      <c r="T32" s="89"/>
      <c r="U32" s="89">
        <f>T32*2.37</f>
        <v>0</v>
      </c>
    </row>
    <row r="33" spans="1:21" ht="15" customHeight="1" x14ac:dyDescent="0.35">
      <c r="A33" s="69">
        <v>45377</v>
      </c>
      <c r="B33" s="89"/>
      <c r="C33" s="65">
        <f>B33*1.94</f>
        <v>0</v>
      </c>
      <c r="D33" s="137"/>
      <c r="E33" s="75">
        <f t="shared" si="0"/>
        <v>0</v>
      </c>
      <c r="F33" s="141"/>
      <c r="G33" s="51">
        <f t="shared" si="1"/>
        <v>0</v>
      </c>
      <c r="H33" s="139"/>
      <c r="I33" s="51">
        <f t="shared" si="2"/>
        <v>0</v>
      </c>
      <c r="J33" s="140"/>
      <c r="K33" s="51">
        <f t="shared" si="3"/>
        <v>0</v>
      </c>
      <c r="L33" s="142"/>
      <c r="M33" s="108">
        <f t="shared" si="4"/>
        <v>0</v>
      </c>
      <c r="N33" s="138"/>
      <c r="O33" s="76">
        <f t="shared" si="5"/>
        <v>0</v>
      </c>
      <c r="P33" s="143"/>
      <c r="Q33" s="76">
        <f t="shared" si="6"/>
        <v>0</v>
      </c>
      <c r="R33" s="144"/>
      <c r="S33" s="64">
        <f t="shared" si="7"/>
        <v>0</v>
      </c>
      <c r="T33" s="89"/>
      <c r="U33" s="89">
        <f>T33*1.94</f>
        <v>0</v>
      </c>
    </row>
    <row r="34" spans="1:21" ht="15" customHeight="1" x14ac:dyDescent="0.35">
      <c r="A34" s="69">
        <v>45378</v>
      </c>
      <c r="B34" s="89"/>
      <c r="C34" s="65">
        <f>B34*1.95</f>
        <v>0</v>
      </c>
      <c r="D34" s="137"/>
      <c r="E34" s="75">
        <f>D34-D33</f>
        <v>0</v>
      </c>
      <c r="F34" s="141"/>
      <c r="G34" s="51">
        <f t="shared" si="1"/>
        <v>0</v>
      </c>
      <c r="H34" s="139"/>
      <c r="I34" s="51">
        <f t="shared" si="2"/>
        <v>0</v>
      </c>
      <c r="J34" s="140"/>
      <c r="K34" s="51">
        <f t="shared" si="3"/>
        <v>0</v>
      </c>
      <c r="L34" s="142"/>
      <c r="M34" s="108">
        <f t="shared" si="4"/>
        <v>0</v>
      </c>
      <c r="N34" s="138"/>
      <c r="O34" s="76">
        <f t="shared" si="5"/>
        <v>0</v>
      </c>
      <c r="P34" s="143"/>
      <c r="Q34" s="76">
        <f t="shared" si="6"/>
        <v>0</v>
      </c>
      <c r="R34" s="144"/>
      <c r="S34" s="64">
        <f t="shared" si="7"/>
        <v>0</v>
      </c>
      <c r="T34" s="89"/>
      <c r="U34" s="89">
        <f>T34*0</f>
        <v>0</v>
      </c>
    </row>
    <row r="35" spans="1:21" ht="15" customHeight="1" x14ac:dyDescent="0.35">
      <c r="A35" s="69">
        <v>45379</v>
      </c>
      <c r="B35" s="65"/>
      <c r="C35" s="65">
        <f>B35*1.57</f>
        <v>0</v>
      </c>
      <c r="D35" s="137"/>
      <c r="E35" s="75">
        <f>D35-D34</f>
        <v>0</v>
      </c>
      <c r="F35" s="141"/>
      <c r="G35" s="51">
        <f t="shared" si="1"/>
        <v>0</v>
      </c>
      <c r="H35" s="139"/>
      <c r="I35" s="61">
        <f t="shared" si="2"/>
        <v>0</v>
      </c>
      <c r="J35" s="140"/>
      <c r="K35" s="51">
        <f t="shared" si="3"/>
        <v>0</v>
      </c>
      <c r="L35" s="142"/>
      <c r="M35" s="108">
        <f t="shared" si="4"/>
        <v>0</v>
      </c>
      <c r="N35" s="138"/>
      <c r="O35" s="76">
        <f t="shared" si="5"/>
        <v>0</v>
      </c>
      <c r="P35" s="143"/>
      <c r="Q35" s="76">
        <f t="shared" si="6"/>
        <v>0</v>
      </c>
      <c r="R35" s="144"/>
      <c r="S35" s="64">
        <f t="shared" si="7"/>
        <v>0</v>
      </c>
      <c r="T35" s="89"/>
      <c r="U35" s="89">
        <f>T35*1.57</f>
        <v>0</v>
      </c>
    </row>
    <row r="36" spans="1:21" ht="15" customHeight="1" x14ac:dyDescent="0.35">
      <c r="A36" s="69">
        <v>45380</v>
      </c>
      <c r="B36" s="65"/>
      <c r="C36" s="65">
        <f>B36*1.66</f>
        <v>0</v>
      </c>
      <c r="D36" s="137"/>
      <c r="E36" s="75">
        <f>D36-D35</f>
        <v>0</v>
      </c>
      <c r="F36" s="141"/>
      <c r="G36" s="51">
        <f t="shared" si="1"/>
        <v>0</v>
      </c>
      <c r="H36" s="139"/>
      <c r="I36" s="61">
        <f t="shared" si="2"/>
        <v>0</v>
      </c>
      <c r="J36" s="140"/>
      <c r="K36" s="51">
        <f t="shared" si="3"/>
        <v>0</v>
      </c>
      <c r="L36" s="142"/>
      <c r="M36" s="108">
        <f t="shared" si="4"/>
        <v>0</v>
      </c>
      <c r="N36" s="138"/>
      <c r="O36" s="76">
        <f t="shared" si="5"/>
        <v>0</v>
      </c>
      <c r="P36" s="143"/>
      <c r="Q36" s="76">
        <f t="shared" si="6"/>
        <v>0</v>
      </c>
      <c r="R36" s="144"/>
      <c r="S36" s="64">
        <f t="shared" si="7"/>
        <v>0</v>
      </c>
      <c r="T36" s="89"/>
      <c r="U36" s="89">
        <f>T36*1.57</f>
        <v>0</v>
      </c>
    </row>
    <row r="37" spans="1:21" ht="15" customHeight="1" x14ac:dyDescent="0.35">
      <c r="A37" s="69">
        <v>45381</v>
      </c>
      <c r="B37" s="65"/>
      <c r="C37" s="65">
        <f>B37*1.66</f>
        <v>0</v>
      </c>
      <c r="D37" s="137"/>
      <c r="E37" s="75">
        <f>D37-D36</f>
        <v>0</v>
      </c>
      <c r="F37" s="141"/>
      <c r="G37" s="51">
        <f t="shared" si="1"/>
        <v>0</v>
      </c>
      <c r="H37" s="139"/>
      <c r="I37" s="61">
        <f t="shared" si="2"/>
        <v>0</v>
      </c>
      <c r="J37" s="140"/>
      <c r="K37" s="51">
        <f t="shared" si="3"/>
        <v>0</v>
      </c>
      <c r="L37" s="142"/>
      <c r="M37" s="108">
        <f t="shared" si="4"/>
        <v>0</v>
      </c>
      <c r="N37" s="138"/>
      <c r="O37" s="76">
        <f t="shared" si="5"/>
        <v>0</v>
      </c>
      <c r="P37" s="143"/>
      <c r="Q37" s="76">
        <f t="shared" si="6"/>
        <v>0</v>
      </c>
      <c r="R37" s="144"/>
      <c r="S37" s="64">
        <f t="shared" si="7"/>
        <v>0</v>
      </c>
      <c r="T37" s="89"/>
      <c r="U37" s="89">
        <f>T37*1.57</f>
        <v>0</v>
      </c>
    </row>
    <row r="38" spans="1:21" ht="15" customHeight="1" x14ac:dyDescent="0.35">
      <c r="A38" s="69">
        <v>45382</v>
      </c>
      <c r="B38" s="65"/>
      <c r="C38" s="65">
        <f>B38*1.66</f>
        <v>0</v>
      </c>
      <c r="D38" s="137"/>
      <c r="E38" s="75">
        <f>D38-D37</f>
        <v>0</v>
      </c>
      <c r="F38" s="141"/>
      <c r="G38" s="51">
        <f t="shared" si="1"/>
        <v>0</v>
      </c>
      <c r="H38" s="139"/>
      <c r="I38" s="61">
        <f t="shared" si="2"/>
        <v>0</v>
      </c>
      <c r="J38" s="140"/>
      <c r="K38" s="51">
        <f t="shared" si="3"/>
        <v>0</v>
      </c>
      <c r="L38" s="142"/>
      <c r="M38" s="108">
        <f t="shared" si="4"/>
        <v>0</v>
      </c>
      <c r="N38" s="138"/>
      <c r="O38" s="76">
        <f t="shared" si="5"/>
        <v>0</v>
      </c>
      <c r="P38" s="143"/>
      <c r="Q38" s="76">
        <f t="shared" si="6"/>
        <v>0</v>
      </c>
      <c r="R38" s="144"/>
      <c r="S38" s="64">
        <f t="shared" si="7"/>
        <v>0</v>
      </c>
      <c r="T38" s="89"/>
      <c r="U38" s="89"/>
    </row>
    <row r="39" spans="1:21" s="25" customFormat="1" ht="15" customHeight="1" x14ac:dyDescent="0.4">
      <c r="A39" s="101" t="s">
        <v>5</v>
      </c>
      <c r="B39" s="66">
        <f>SUM(B8:B38)</f>
        <v>2800</v>
      </c>
      <c r="C39" s="66">
        <f>SUM(C8:C38)</f>
        <v>0</v>
      </c>
      <c r="D39" s="4"/>
      <c r="E39" s="66">
        <f>SUM(E8:E38)</f>
        <v>-38896</v>
      </c>
      <c r="F39" s="4"/>
      <c r="G39" s="66">
        <f>SUM(G8:G38)</f>
        <v>-49440</v>
      </c>
      <c r="H39" s="51"/>
      <c r="I39" s="66">
        <f>SUM(I8:I38)</f>
        <v>-72664</v>
      </c>
      <c r="J39" s="43"/>
      <c r="K39" s="66">
        <f>SUM(K8:K38)</f>
        <v>-17276</v>
      </c>
      <c r="L39" s="43"/>
      <c r="M39" s="66">
        <f>SUM(M8:M38)</f>
        <v>-29622</v>
      </c>
      <c r="N39" s="43"/>
      <c r="O39" s="66">
        <f>SUM(O8:O38)</f>
        <v>-9442</v>
      </c>
      <c r="P39" s="4"/>
      <c r="Q39" s="66">
        <f>SUM(Q8:Q38)</f>
        <v>-42942</v>
      </c>
      <c r="R39" s="4"/>
      <c r="S39" s="66">
        <f>SUM(S8:S38)</f>
        <v>-15964</v>
      </c>
      <c r="T39" s="111">
        <f>SUM(T8:T37)</f>
        <v>0</v>
      </c>
      <c r="U39" s="81">
        <f>SUM(U8:U37)</f>
        <v>0</v>
      </c>
    </row>
    <row r="40" spans="1:21" ht="12.75" customHeight="1" x14ac:dyDescent="0.4">
      <c r="B40" s="35"/>
      <c r="C40" s="35"/>
      <c r="D40" s="24"/>
      <c r="E40" s="35"/>
      <c r="G40" s="35"/>
      <c r="I40" s="35"/>
      <c r="J40" s="9"/>
      <c r="K40" s="35"/>
      <c r="L40" s="9"/>
      <c r="M40" s="35"/>
      <c r="N40" s="9"/>
      <c r="O40" s="35"/>
      <c r="P40" s="9"/>
      <c r="Q40" s="35"/>
      <c r="S40" s="35"/>
      <c r="T40" s="35"/>
      <c r="U40" s="35"/>
    </row>
    <row r="41" spans="1:21" x14ac:dyDescent="0.4">
      <c r="A41" s="10" t="s">
        <v>24</v>
      </c>
      <c r="E41" s="52"/>
      <c r="F41" s="42"/>
      <c r="G41" s="39"/>
      <c r="H41" s="53"/>
      <c r="I41" s="53"/>
      <c r="L41" s="9"/>
      <c r="N41" s="9"/>
      <c r="P41" s="9"/>
    </row>
    <row r="42" spans="1:21" x14ac:dyDescent="0.4">
      <c r="A42" s="10" t="s">
        <v>23</v>
      </c>
      <c r="L42" s="9"/>
      <c r="N42" s="9"/>
      <c r="P42" s="9"/>
    </row>
    <row r="43" spans="1:21" x14ac:dyDescent="0.4">
      <c r="A43" s="10"/>
      <c r="L43" s="9"/>
      <c r="N43" s="9"/>
      <c r="P43" s="9"/>
    </row>
    <row r="44" spans="1:21" x14ac:dyDescent="0.4">
      <c r="A44" s="71"/>
      <c r="B44" s="73"/>
    </row>
    <row r="45" spans="1:21" x14ac:dyDescent="0.4">
      <c r="A45" s="71"/>
      <c r="B45" s="73"/>
      <c r="E45" s="87"/>
      <c r="L45" s="9"/>
      <c r="N45" s="9"/>
      <c r="P45" s="9"/>
    </row>
    <row r="46" spans="1:21" x14ac:dyDescent="0.4">
      <c r="C46" s="42"/>
      <c r="D46" s="42"/>
    </row>
  </sheetData>
  <sheetProtection selectLockedCells="1" selectUnlockedCells="1"/>
  <customSheetViews>
    <customSheetView guid="{BBA05217-DB7A-4BBE-8392-822CC156171C}" scale="75" showPageBreaks="1" showRuler="0">
      <pane xSplit="2" ySplit="6" topLeftCell="E7" activePane="bottomRight" state="frozen"/>
      <selection pane="bottomRight" activeCell="R9" sqref="R9"/>
      <pageMargins left="0.25" right="0" top="0.5" bottom="0" header="0.51" footer="0.5"/>
      <printOptions horizontalCentered="1"/>
      <pageSetup paperSize="9" scale="85" orientation="landscape" horizontalDpi="4294967293" verticalDpi="0" r:id="rId1"/>
      <headerFooter alignWithMargins="0"/>
    </customSheetView>
  </customSheetViews>
  <mergeCells count="35">
    <mergeCell ref="S6:S7"/>
    <mergeCell ref="T6:T7"/>
    <mergeCell ref="A5:A7"/>
    <mergeCell ref="U6:U7"/>
    <mergeCell ref="L6:L7"/>
    <mergeCell ref="M6:M7"/>
    <mergeCell ref="N6:N7"/>
    <mergeCell ref="O6:O7"/>
    <mergeCell ref="E6:E7"/>
    <mergeCell ref="F6:F7"/>
    <mergeCell ref="Q6:Q7"/>
    <mergeCell ref="R6:R7"/>
    <mergeCell ref="J6:J7"/>
    <mergeCell ref="K6:K7"/>
    <mergeCell ref="P5:Q5"/>
    <mergeCell ref="P6:P7"/>
    <mergeCell ref="D6:D7"/>
    <mergeCell ref="B6:B7"/>
    <mergeCell ref="H6:H7"/>
    <mergeCell ref="I6:I7"/>
    <mergeCell ref="J5:K5"/>
    <mergeCell ref="C6:C7"/>
    <mergeCell ref="B5:C5"/>
    <mergeCell ref="G6:G7"/>
    <mergeCell ref="F5:G5"/>
    <mergeCell ref="A1:U1"/>
    <mergeCell ref="A2:U2"/>
    <mergeCell ref="A3:U3"/>
    <mergeCell ref="R5:S5"/>
    <mergeCell ref="D5:E5"/>
    <mergeCell ref="H5:I5"/>
    <mergeCell ref="L5:M5"/>
    <mergeCell ref="T5:U5"/>
    <mergeCell ref="N5:O5"/>
    <mergeCell ref="A4:U4"/>
  </mergeCells>
  <phoneticPr fontId="0" type="noConversion"/>
  <printOptions horizontalCentered="1"/>
  <pageMargins left="0" right="0" top="0.5" bottom="0" header="0.51" footer="0.5"/>
  <pageSetup paperSize="9" scale="80" orientation="landscape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36"/>
  <sheetViews>
    <sheetView zoomScale="85" zoomScaleNormal="85" workbookViewId="0">
      <pane ySplit="3" topLeftCell="A4" activePane="bottomLeft" state="frozen"/>
      <selection pane="bottomLeft" activeCell="H14" sqref="H14"/>
    </sheetView>
  </sheetViews>
  <sheetFormatPr defaultColWidth="9.1328125" defaultRowHeight="14.25" x14ac:dyDescent="0.45"/>
  <cols>
    <col min="1" max="1" width="8.73046875" style="49" customWidth="1"/>
    <col min="2" max="3" width="8.73046875" style="50" customWidth="1"/>
    <col min="4" max="4" width="13.73046875" style="50" bestFit="1" customWidth="1"/>
    <col min="5" max="6" width="8.73046875" style="50" customWidth="1"/>
    <col min="7" max="7" width="13.73046875" style="50" bestFit="1" customWidth="1"/>
    <col min="8" max="9" width="8.73046875" style="50" customWidth="1"/>
    <col min="10" max="10" width="13.73046875" style="50" bestFit="1" customWidth="1"/>
    <col min="11" max="12" width="8.73046875" style="50" customWidth="1"/>
    <col min="13" max="13" width="13.73046875" style="50" bestFit="1" customWidth="1"/>
    <col min="14" max="14" width="8.86328125" style="46" customWidth="1"/>
    <col min="15" max="15" width="11.3984375" style="46" customWidth="1"/>
    <col min="16" max="16" width="9" style="46" customWidth="1"/>
    <col min="17" max="17" width="12" style="46" customWidth="1"/>
    <col min="18" max="16384" width="9.1328125" style="46"/>
  </cols>
  <sheetData>
    <row r="1" spans="1:13" ht="39" customHeight="1" thickBot="1" x14ac:dyDescent="0.5">
      <c r="A1" s="260" t="s">
        <v>56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</row>
    <row r="2" spans="1:13" s="47" customFormat="1" x14ac:dyDescent="0.45">
      <c r="A2" s="261"/>
      <c r="B2" s="263" t="s">
        <v>49</v>
      </c>
      <c r="C2" s="264"/>
      <c r="D2" s="265"/>
      <c r="E2" s="263" t="s">
        <v>47</v>
      </c>
      <c r="F2" s="264"/>
      <c r="G2" s="265"/>
      <c r="H2" s="263" t="s">
        <v>43</v>
      </c>
      <c r="I2" s="264"/>
      <c r="J2" s="265"/>
      <c r="K2" s="263" t="s">
        <v>7</v>
      </c>
      <c r="L2" s="264"/>
      <c r="M2" s="265"/>
    </row>
    <row r="3" spans="1:13" s="48" customFormat="1" ht="14.65" thickBot="1" x14ac:dyDescent="0.5">
      <c r="A3" s="262"/>
      <c r="B3" s="92" t="s">
        <v>44</v>
      </c>
      <c r="C3" s="93" t="s">
        <v>45</v>
      </c>
      <c r="D3" s="94" t="s">
        <v>46</v>
      </c>
      <c r="E3" s="92" t="s">
        <v>44</v>
      </c>
      <c r="F3" s="93" t="s">
        <v>45</v>
      </c>
      <c r="G3" s="94" t="s">
        <v>46</v>
      </c>
      <c r="H3" s="92" t="s">
        <v>44</v>
      </c>
      <c r="I3" s="93" t="s">
        <v>45</v>
      </c>
      <c r="J3" s="94" t="s">
        <v>46</v>
      </c>
      <c r="K3" s="92" t="s">
        <v>44</v>
      </c>
      <c r="L3" s="93" t="s">
        <v>45</v>
      </c>
      <c r="M3" s="94" t="s">
        <v>46</v>
      </c>
    </row>
    <row r="4" spans="1:13" ht="24.95" customHeight="1" x14ac:dyDescent="0.45">
      <c r="A4" s="123">
        <v>45352</v>
      </c>
      <c r="B4" s="118">
        <v>0</v>
      </c>
      <c r="C4" s="164">
        <v>55</v>
      </c>
      <c r="D4" s="119">
        <f t="shared" ref="D4:D34" si="0">C4-B4</f>
        <v>55</v>
      </c>
      <c r="E4" s="120">
        <v>0</v>
      </c>
      <c r="F4" s="156">
        <v>204</v>
      </c>
      <c r="G4" s="121">
        <f t="shared" ref="G4:G21" si="1">F4-E4</f>
        <v>204</v>
      </c>
      <c r="H4" s="122">
        <v>0</v>
      </c>
      <c r="I4" s="156">
        <v>269</v>
      </c>
      <c r="J4" s="121">
        <f t="shared" ref="J4:J21" si="2">I4-H4</f>
        <v>269</v>
      </c>
      <c r="K4" s="113">
        <v>0</v>
      </c>
      <c r="L4" s="156">
        <v>48</v>
      </c>
      <c r="M4" s="121">
        <f t="shared" ref="M4:M21" si="3">L4-K4</f>
        <v>48</v>
      </c>
    </row>
    <row r="5" spans="1:13" ht="24.95" customHeight="1" x14ac:dyDescent="0.45">
      <c r="A5" s="123">
        <v>45353</v>
      </c>
      <c r="B5" s="124">
        <f>C4</f>
        <v>55</v>
      </c>
      <c r="C5" s="165">
        <v>444</v>
      </c>
      <c r="D5" s="121">
        <f t="shared" si="0"/>
        <v>389</v>
      </c>
      <c r="E5" s="125">
        <f>F4</f>
        <v>204</v>
      </c>
      <c r="F5" s="156">
        <v>1473</v>
      </c>
      <c r="G5" s="126">
        <f t="shared" si="1"/>
        <v>1269</v>
      </c>
      <c r="H5" s="113">
        <f>I4</f>
        <v>269</v>
      </c>
      <c r="I5" s="156">
        <v>1868</v>
      </c>
      <c r="J5" s="126">
        <f t="shared" si="2"/>
        <v>1599</v>
      </c>
      <c r="K5" s="120">
        <f>L4</f>
        <v>48</v>
      </c>
      <c r="L5" s="156">
        <v>334</v>
      </c>
      <c r="M5" s="126">
        <f t="shared" si="3"/>
        <v>286</v>
      </c>
    </row>
    <row r="6" spans="1:13" ht="24.95" customHeight="1" x14ac:dyDescent="0.45">
      <c r="A6" s="123">
        <v>45354</v>
      </c>
      <c r="B6" s="127">
        <f t="shared" ref="B6:B26" si="4">C5</f>
        <v>444</v>
      </c>
      <c r="C6" s="164">
        <v>844</v>
      </c>
      <c r="D6" s="121">
        <f t="shared" si="0"/>
        <v>400</v>
      </c>
      <c r="E6" s="125">
        <f t="shared" ref="E6:E34" si="5">F5</f>
        <v>1473</v>
      </c>
      <c r="F6" s="156">
        <v>2700</v>
      </c>
      <c r="G6" s="128">
        <f t="shared" si="1"/>
        <v>1227</v>
      </c>
      <c r="H6" s="113">
        <f t="shared" ref="H6:H22" si="6">I5</f>
        <v>1868</v>
      </c>
      <c r="I6" s="156">
        <v>3605</v>
      </c>
      <c r="J6" s="128">
        <f t="shared" si="2"/>
        <v>1737</v>
      </c>
      <c r="K6" s="125">
        <f>L5</f>
        <v>334</v>
      </c>
      <c r="L6" s="156">
        <v>641</v>
      </c>
      <c r="M6" s="128">
        <f t="shared" si="3"/>
        <v>307</v>
      </c>
    </row>
    <row r="7" spans="1:13" ht="24.95" customHeight="1" x14ac:dyDescent="0.45">
      <c r="A7" s="123">
        <v>45355</v>
      </c>
      <c r="B7" s="127">
        <f t="shared" si="4"/>
        <v>844</v>
      </c>
      <c r="C7" s="164">
        <v>1243</v>
      </c>
      <c r="D7" s="121">
        <f t="shared" si="0"/>
        <v>399</v>
      </c>
      <c r="E7" s="125">
        <f t="shared" si="5"/>
        <v>2700</v>
      </c>
      <c r="F7" s="156">
        <v>3890</v>
      </c>
      <c r="G7" s="128">
        <f t="shared" si="1"/>
        <v>1190</v>
      </c>
      <c r="H7" s="113">
        <f t="shared" si="6"/>
        <v>3605</v>
      </c>
      <c r="I7" s="156">
        <v>5212</v>
      </c>
      <c r="J7" s="128">
        <f t="shared" si="2"/>
        <v>1607</v>
      </c>
      <c r="K7" s="125">
        <f>L6</f>
        <v>641</v>
      </c>
      <c r="L7" s="156">
        <v>949</v>
      </c>
      <c r="M7" s="128">
        <f t="shared" si="3"/>
        <v>308</v>
      </c>
    </row>
    <row r="8" spans="1:13" ht="24.95" customHeight="1" x14ac:dyDescent="0.45">
      <c r="A8" s="123">
        <v>45356</v>
      </c>
      <c r="B8" s="127">
        <f t="shared" si="4"/>
        <v>1243</v>
      </c>
      <c r="C8" s="164">
        <v>1638</v>
      </c>
      <c r="D8" s="121">
        <f t="shared" si="0"/>
        <v>395</v>
      </c>
      <c r="E8" s="125">
        <f t="shared" si="5"/>
        <v>3890</v>
      </c>
      <c r="F8" s="156">
        <v>5026</v>
      </c>
      <c r="G8" s="128">
        <f t="shared" si="1"/>
        <v>1136</v>
      </c>
      <c r="H8" s="113">
        <f t="shared" si="6"/>
        <v>5212</v>
      </c>
      <c r="I8" s="156">
        <v>6837</v>
      </c>
      <c r="J8" s="128">
        <f t="shared" si="2"/>
        <v>1625</v>
      </c>
      <c r="K8" s="125">
        <f>L7</f>
        <v>949</v>
      </c>
      <c r="L8" s="156">
        <v>1213</v>
      </c>
      <c r="M8" s="128">
        <f t="shared" si="3"/>
        <v>264</v>
      </c>
    </row>
    <row r="9" spans="1:13" ht="24.95" customHeight="1" x14ac:dyDescent="0.45">
      <c r="A9" s="123">
        <v>45357</v>
      </c>
      <c r="B9" s="127">
        <f t="shared" si="4"/>
        <v>1638</v>
      </c>
      <c r="C9" s="164">
        <v>2055</v>
      </c>
      <c r="D9" s="121">
        <f t="shared" si="0"/>
        <v>417</v>
      </c>
      <c r="E9" s="125">
        <f t="shared" si="5"/>
        <v>5026</v>
      </c>
      <c r="F9" s="156">
        <v>6216</v>
      </c>
      <c r="G9" s="128">
        <f t="shared" si="1"/>
        <v>1190</v>
      </c>
      <c r="H9" s="113">
        <f t="shared" si="6"/>
        <v>6837</v>
      </c>
      <c r="I9" s="156">
        <v>8529</v>
      </c>
      <c r="J9" s="128">
        <f t="shared" si="2"/>
        <v>1692</v>
      </c>
      <c r="K9" s="125">
        <f t="shared" ref="K9:K29" si="7">L8</f>
        <v>1213</v>
      </c>
      <c r="L9" s="156">
        <v>1518</v>
      </c>
      <c r="M9" s="128">
        <f t="shared" si="3"/>
        <v>305</v>
      </c>
    </row>
    <row r="10" spans="1:13" ht="24.95" customHeight="1" x14ac:dyDescent="0.45">
      <c r="A10" s="123">
        <v>45358</v>
      </c>
      <c r="B10" s="124">
        <f t="shared" si="4"/>
        <v>2055</v>
      </c>
      <c r="C10" s="164">
        <v>2437</v>
      </c>
      <c r="D10" s="121">
        <f t="shared" si="0"/>
        <v>382</v>
      </c>
      <c r="E10" s="120">
        <f t="shared" si="5"/>
        <v>6216</v>
      </c>
      <c r="F10" s="156">
        <v>7400</v>
      </c>
      <c r="G10" s="126">
        <f t="shared" si="1"/>
        <v>1184</v>
      </c>
      <c r="H10" s="114">
        <f t="shared" si="6"/>
        <v>8529</v>
      </c>
      <c r="I10" s="156">
        <v>10288</v>
      </c>
      <c r="J10" s="126">
        <f t="shared" si="2"/>
        <v>1759</v>
      </c>
      <c r="K10" s="120">
        <f t="shared" si="7"/>
        <v>1518</v>
      </c>
      <c r="L10" s="156">
        <v>1842</v>
      </c>
      <c r="M10" s="126">
        <f t="shared" si="3"/>
        <v>324</v>
      </c>
    </row>
    <row r="11" spans="1:13" ht="24.95" customHeight="1" x14ac:dyDescent="0.45">
      <c r="A11" s="123">
        <v>45359</v>
      </c>
      <c r="B11" s="127">
        <f t="shared" si="4"/>
        <v>2437</v>
      </c>
      <c r="C11" s="164">
        <v>2843</v>
      </c>
      <c r="D11" s="121">
        <f t="shared" si="0"/>
        <v>406</v>
      </c>
      <c r="E11" s="125">
        <f t="shared" si="5"/>
        <v>7400</v>
      </c>
      <c r="F11" s="156">
        <v>8607</v>
      </c>
      <c r="G11" s="128">
        <f t="shared" si="1"/>
        <v>1207</v>
      </c>
      <c r="H11" s="113">
        <f t="shared" si="6"/>
        <v>10288</v>
      </c>
      <c r="I11" s="156">
        <v>11990</v>
      </c>
      <c r="J11" s="128">
        <f t="shared" si="2"/>
        <v>1702</v>
      </c>
      <c r="K11" s="125">
        <f t="shared" si="7"/>
        <v>1842</v>
      </c>
      <c r="L11" s="156">
        <v>2111</v>
      </c>
      <c r="M11" s="128">
        <f t="shared" si="3"/>
        <v>269</v>
      </c>
    </row>
    <row r="12" spans="1:13" ht="24.95" customHeight="1" x14ac:dyDescent="0.45">
      <c r="A12" s="123">
        <v>45360</v>
      </c>
      <c r="B12" s="127">
        <f t="shared" si="4"/>
        <v>2843</v>
      </c>
      <c r="C12" s="164">
        <v>3291</v>
      </c>
      <c r="D12" s="121">
        <f t="shared" si="0"/>
        <v>448</v>
      </c>
      <c r="E12" s="125">
        <f t="shared" si="5"/>
        <v>8607</v>
      </c>
      <c r="F12" s="156">
        <v>9665</v>
      </c>
      <c r="G12" s="128">
        <f t="shared" si="1"/>
        <v>1058</v>
      </c>
      <c r="H12" s="113">
        <f t="shared" si="6"/>
        <v>11990</v>
      </c>
      <c r="I12" s="156">
        <v>14101</v>
      </c>
      <c r="J12" s="128">
        <f t="shared" si="2"/>
        <v>2111</v>
      </c>
      <c r="K12" s="125">
        <f t="shared" si="7"/>
        <v>2111</v>
      </c>
      <c r="L12" s="156">
        <v>2355</v>
      </c>
      <c r="M12" s="128">
        <f t="shared" si="3"/>
        <v>244</v>
      </c>
    </row>
    <row r="13" spans="1:13" ht="24.95" customHeight="1" x14ac:dyDescent="0.45">
      <c r="A13" s="123">
        <v>45361</v>
      </c>
      <c r="B13" s="127">
        <f t="shared" si="4"/>
        <v>3291</v>
      </c>
      <c r="C13" s="164">
        <v>3747</v>
      </c>
      <c r="D13" s="121">
        <f t="shared" si="0"/>
        <v>456</v>
      </c>
      <c r="E13" s="125">
        <f t="shared" si="5"/>
        <v>9665</v>
      </c>
      <c r="F13" s="156">
        <v>10762</v>
      </c>
      <c r="G13" s="128">
        <f t="shared" si="1"/>
        <v>1097</v>
      </c>
      <c r="H13" s="113">
        <f t="shared" si="6"/>
        <v>14101</v>
      </c>
      <c r="I13" s="156">
        <v>15953</v>
      </c>
      <c r="J13" s="128">
        <f t="shared" si="2"/>
        <v>1852</v>
      </c>
      <c r="K13" s="125">
        <f t="shared" si="7"/>
        <v>2355</v>
      </c>
      <c r="L13" s="156">
        <v>2668</v>
      </c>
      <c r="M13" s="128">
        <f t="shared" si="3"/>
        <v>313</v>
      </c>
    </row>
    <row r="14" spans="1:13" ht="24.95" customHeight="1" x14ac:dyDescent="0.45">
      <c r="A14" s="123">
        <v>45362</v>
      </c>
      <c r="B14" s="127">
        <f t="shared" si="4"/>
        <v>3747</v>
      </c>
      <c r="C14" s="166">
        <v>4170</v>
      </c>
      <c r="D14" s="121">
        <f t="shared" si="0"/>
        <v>423</v>
      </c>
      <c r="E14" s="125">
        <f t="shared" si="5"/>
        <v>10762</v>
      </c>
      <c r="F14" s="156">
        <v>11926</v>
      </c>
      <c r="G14" s="128">
        <f t="shared" si="1"/>
        <v>1164</v>
      </c>
      <c r="H14" s="113">
        <f t="shared" si="6"/>
        <v>15953</v>
      </c>
      <c r="I14" s="156">
        <v>17636</v>
      </c>
      <c r="J14" s="128">
        <f t="shared" si="2"/>
        <v>1683</v>
      </c>
      <c r="K14" s="125">
        <f t="shared" si="7"/>
        <v>2668</v>
      </c>
      <c r="L14" s="156">
        <v>2901</v>
      </c>
      <c r="M14" s="128">
        <f t="shared" si="3"/>
        <v>233</v>
      </c>
    </row>
    <row r="15" spans="1:13" ht="24.95" customHeight="1" x14ac:dyDescent="0.45">
      <c r="A15" s="123">
        <v>45363</v>
      </c>
      <c r="B15" s="127">
        <f t="shared" si="4"/>
        <v>4170</v>
      </c>
      <c r="C15" s="164">
        <v>4649</v>
      </c>
      <c r="D15" s="121">
        <f t="shared" si="0"/>
        <v>479</v>
      </c>
      <c r="E15" s="125">
        <f t="shared" si="5"/>
        <v>11926</v>
      </c>
      <c r="F15" s="156">
        <v>13302</v>
      </c>
      <c r="G15" s="128">
        <f t="shared" si="1"/>
        <v>1376</v>
      </c>
      <c r="H15" s="113">
        <f t="shared" si="6"/>
        <v>17636</v>
      </c>
      <c r="I15" s="156">
        <v>19314</v>
      </c>
      <c r="J15" s="128">
        <f t="shared" si="2"/>
        <v>1678</v>
      </c>
      <c r="K15" s="125">
        <f t="shared" si="7"/>
        <v>2901</v>
      </c>
      <c r="L15" s="156">
        <v>3260</v>
      </c>
      <c r="M15" s="128">
        <f t="shared" si="3"/>
        <v>359</v>
      </c>
    </row>
    <row r="16" spans="1:13" ht="24.95" customHeight="1" x14ac:dyDescent="0.45">
      <c r="A16" s="123">
        <v>45364</v>
      </c>
      <c r="B16" s="127">
        <f t="shared" si="4"/>
        <v>4649</v>
      </c>
      <c r="C16" s="164"/>
      <c r="D16" s="121">
        <f t="shared" si="0"/>
        <v>-4649</v>
      </c>
      <c r="E16" s="125">
        <f t="shared" si="5"/>
        <v>13302</v>
      </c>
      <c r="F16" s="156"/>
      <c r="G16" s="128">
        <f t="shared" si="1"/>
        <v>-13302</v>
      </c>
      <c r="H16" s="113">
        <f t="shared" si="6"/>
        <v>19314</v>
      </c>
      <c r="I16" s="156"/>
      <c r="J16" s="128">
        <f>I16-H16</f>
        <v>-19314</v>
      </c>
      <c r="K16" s="125">
        <f t="shared" si="7"/>
        <v>3260</v>
      </c>
      <c r="L16" s="156"/>
      <c r="M16" s="128">
        <f t="shared" si="3"/>
        <v>-3260</v>
      </c>
    </row>
    <row r="17" spans="1:18" ht="24.95" customHeight="1" x14ac:dyDescent="0.45">
      <c r="A17" s="123">
        <v>45365</v>
      </c>
      <c r="B17" s="127">
        <f t="shared" si="4"/>
        <v>0</v>
      </c>
      <c r="C17" s="164"/>
      <c r="D17" s="121">
        <f t="shared" si="0"/>
        <v>0</v>
      </c>
      <c r="E17" s="125">
        <f t="shared" si="5"/>
        <v>0</v>
      </c>
      <c r="F17" s="156"/>
      <c r="G17" s="128">
        <f t="shared" si="1"/>
        <v>0</v>
      </c>
      <c r="H17" s="113">
        <f>I16</f>
        <v>0</v>
      </c>
      <c r="I17" s="156"/>
      <c r="J17" s="128">
        <f t="shared" si="2"/>
        <v>0</v>
      </c>
      <c r="K17" s="125">
        <f t="shared" si="7"/>
        <v>0</v>
      </c>
      <c r="L17" s="156"/>
      <c r="M17" s="128">
        <f t="shared" si="3"/>
        <v>0</v>
      </c>
      <c r="N17" s="56"/>
      <c r="R17" s="56"/>
    </row>
    <row r="18" spans="1:18" ht="24.95" customHeight="1" x14ac:dyDescent="0.45">
      <c r="A18" s="123">
        <v>45366</v>
      </c>
      <c r="B18" s="127">
        <f t="shared" si="4"/>
        <v>0</v>
      </c>
      <c r="C18" s="164"/>
      <c r="D18" s="121">
        <f t="shared" si="0"/>
        <v>0</v>
      </c>
      <c r="E18" s="125">
        <f t="shared" si="5"/>
        <v>0</v>
      </c>
      <c r="F18" s="156"/>
      <c r="G18" s="128">
        <f t="shared" si="1"/>
        <v>0</v>
      </c>
      <c r="H18" s="113">
        <f t="shared" si="6"/>
        <v>0</v>
      </c>
      <c r="I18" s="156"/>
      <c r="J18" s="128">
        <f t="shared" si="2"/>
        <v>0</v>
      </c>
      <c r="K18" s="125">
        <f t="shared" si="7"/>
        <v>0</v>
      </c>
      <c r="L18" s="156"/>
      <c r="M18" s="128">
        <f t="shared" si="3"/>
        <v>0</v>
      </c>
    </row>
    <row r="19" spans="1:18" ht="24.95" customHeight="1" x14ac:dyDescent="0.45">
      <c r="A19" s="123">
        <v>45367</v>
      </c>
      <c r="B19" s="127">
        <f t="shared" si="4"/>
        <v>0</v>
      </c>
      <c r="C19" s="164"/>
      <c r="D19" s="121">
        <f t="shared" si="0"/>
        <v>0</v>
      </c>
      <c r="E19" s="125">
        <f t="shared" si="5"/>
        <v>0</v>
      </c>
      <c r="F19" s="156"/>
      <c r="G19" s="128">
        <f t="shared" si="1"/>
        <v>0</v>
      </c>
      <c r="H19" s="113">
        <f t="shared" si="6"/>
        <v>0</v>
      </c>
      <c r="I19" s="156"/>
      <c r="J19" s="128">
        <f t="shared" si="2"/>
        <v>0</v>
      </c>
      <c r="K19" s="125">
        <f t="shared" si="7"/>
        <v>0</v>
      </c>
      <c r="L19" s="156"/>
      <c r="M19" s="128">
        <f t="shared" si="3"/>
        <v>0</v>
      </c>
      <c r="Q19" s="57"/>
    </row>
    <row r="20" spans="1:18" ht="24.95" customHeight="1" x14ac:dyDescent="0.45">
      <c r="A20" s="123">
        <v>45368</v>
      </c>
      <c r="B20" s="127">
        <f t="shared" si="4"/>
        <v>0</v>
      </c>
      <c r="C20" s="164"/>
      <c r="D20" s="121">
        <f t="shared" si="0"/>
        <v>0</v>
      </c>
      <c r="E20" s="125">
        <f t="shared" si="5"/>
        <v>0</v>
      </c>
      <c r="F20" s="156"/>
      <c r="G20" s="128">
        <f t="shared" si="1"/>
        <v>0</v>
      </c>
      <c r="H20" s="113">
        <f t="shared" si="6"/>
        <v>0</v>
      </c>
      <c r="I20" s="156"/>
      <c r="J20" s="128">
        <f t="shared" si="2"/>
        <v>0</v>
      </c>
      <c r="K20" s="125">
        <f t="shared" si="7"/>
        <v>0</v>
      </c>
      <c r="L20" s="156"/>
      <c r="M20" s="128">
        <f t="shared" si="3"/>
        <v>0</v>
      </c>
    </row>
    <row r="21" spans="1:18" ht="24.95" customHeight="1" x14ac:dyDescent="0.45">
      <c r="A21" s="123">
        <v>45369</v>
      </c>
      <c r="B21" s="127">
        <f t="shared" si="4"/>
        <v>0</v>
      </c>
      <c r="C21" s="164"/>
      <c r="D21" s="121">
        <f t="shared" si="0"/>
        <v>0</v>
      </c>
      <c r="E21" s="125">
        <f t="shared" si="5"/>
        <v>0</v>
      </c>
      <c r="F21" s="156"/>
      <c r="G21" s="128">
        <f t="shared" si="1"/>
        <v>0</v>
      </c>
      <c r="H21" s="113">
        <f t="shared" si="6"/>
        <v>0</v>
      </c>
      <c r="I21" s="156"/>
      <c r="J21" s="128">
        <f t="shared" si="2"/>
        <v>0</v>
      </c>
      <c r="K21" s="125">
        <f t="shared" si="7"/>
        <v>0</v>
      </c>
      <c r="L21" s="156"/>
      <c r="M21" s="128">
        <f t="shared" si="3"/>
        <v>0</v>
      </c>
    </row>
    <row r="22" spans="1:18" ht="24.95" customHeight="1" x14ac:dyDescent="0.45">
      <c r="A22" s="123">
        <v>45370</v>
      </c>
      <c r="B22" s="127">
        <f t="shared" si="4"/>
        <v>0</v>
      </c>
      <c r="C22" s="164"/>
      <c r="D22" s="121">
        <f t="shared" si="0"/>
        <v>0</v>
      </c>
      <c r="E22" s="125">
        <f t="shared" si="5"/>
        <v>0</v>
      </c>
      <c r="F22" s="156"/>
      <c r="G22" s="128">
        <f t="shared" ref="G22:G30" si="8">F22-E22</f>
        <v>0</v>
      </c>
      <c r="H22" s="113">
        <f t="shared" si="6"/>
        <v>0</v>
      </c>
      <c r="I22" s="156"/>
      <c r="J22" s="128">
        <f t="shared" ref="J22:J30" si="9">I22-H22</f>
        <v>0</v>
      </c>
      <c r="K22" s="125">
        <f t="shared" si="7"/>
        <v>0</v>
      </c>
      <c r="L22" s="156"/>
      <c r="M22" s="128">
        <f t="shared" ref="M22:M29" si="10">L22-K22</f>
        <v>0</v>
      </c>
    </row>
    <row r="23" spans="1:18" ht="24.95" customHeight="1" x14ac:dyDescent="0.45">
      <c r="A23" s="123">
        <v>45371</v>
      </c>
      <c r="B23" s="127">
        <f t="shared" si="4"/>
        <v>0</v>
      </c>
      <c r="C23" s="154"/>
      <c r="D23" s="121">
        <f t="shared" si="0"/>
        <v>0</v>
      </c>
      <c r="E23" s="125">
        <f t="shared" si="5"/>
        <v>0</v>
      </c>
      <c r="F23" s="156"/>
      <c r="G23" s="128">
        <f t="shared" si="8"/>
        <v>0</v>
      </c>
      <c r="H23" s="113">
        <f>I22</f>
        <v>0</v>
      </c>
      <c r="I23" s="156"/>
      <c r="J23" s="128">
        <f t="shared" si="9"/>
        <v>0</v>
      </c>
      <c r="K23" s="125">
        <f>L22</f>
        <v>0</v>
      </c>
      <c r="L23" s="156"/>
      <c r="M23" s="128">
        <f t="shared" si="10"/>
        <v>0</v>
      </c>
    </row>
    <row r="24" spans="1:18" ht="24.95" customHeight="1" x14ac:dyDescent="0.45">
      <c r="A24" s="123">
        <v>45372</v>
      </c>
      <c r="B24" s="127">
        <f t="shared" si="4"/>
        <v>0</v>
      </c>
      <c r="C24" s="155"/>
      <c r="D24" s="121">
        <f t="shared" si="0"/>
        <v>0</v>
      </c>
      <c r="E24" s="125">
        <f t="shared" si="5"/>
        <v>0</v>
      </c>
      <c r="F24" s="156"/>
      <c r="G24" s="128">
        <f t="shared" si="8"/>
        <v>0</v>
      </c>
      <c r="H24" s="113">
        <f>I23</f>
        <v>0</v>
      </c>
      <c r="I24" s="156"/>
      <c r="J24" s="128">
        <f t="shared" si="9"/>
        <v>0</v>
      </c>
      <c r="K24" s="125">
        <f>L23</f>
        <v>0</v>
      </c>
      <c r="L24" s="156"/>
      <c r="M24" s="128">
        <f t="shared" si="10"/>
        <v>0</v>
      </c>
    </row>
    <row r="25" spans="1:18" ht="24.95" customHeight="1" x14ac:dyDescent="0.45">
      <c r="A25" s="123">
        <v>45373</v>
      </c>
      <c r="B25" s="127">
        <f t="shared" si="4"/>
        <v>0</v>
      </c>
      <c r="C25" s="155"/>
      <c r="D25" s="121">
        <f t="shared" si="0"/>
        <v>0</v>
      </c>
      <c r="E25" s="125">
        <f t="shared" si="5"/>
        <v>0</v>
      </c>
      <c r="F25" s="156"/>
      <c r="G25" s="128">
        <f t="shared" si="8"/>
        <v>0</v>
      </c>
      <c r="H25" s="113">
        <f>I24</f>
        <v>0</v>
      </c>
      <c r="I25" s="156"/>
      <c r="J25" s="128">
        <f t="shared" si="9"/>
        <v>0</v>
      </c>
      <c r="K25" s="125">
        <f>L24</f>
        <v>0</v>
      </c>
      <c r="L25" s="156"/>
      <c r="M25" s="128">
        <f t="shared" si="10"/>
        <v>0</v>
      </c>
    </row>
    <row r="26" spans="1:18" ht="24.95" customHeight="1" x14ac:dyDescent="0.45">
      <c r="A26" s="123">
        <v>45374</v>
      </c>
      <c r="B26" s="127">
        <f t="shared" si="4"/>
        <v>0</v>
      </c>
      <c r="C26" s="155"/>
      <c r="D26" s="121">
        <f t="shared" si="0"/>
        <v>0</v>
      </c>
      <c r="E26" s="125">
        <f t="shared" si="5"/>
        <v>0</v>
      </c>
      <c r="F26" s="156"/>
      <c r="G26" s="128">
        <f t="shared" si="8"/>
        <v>0</v>
      </c>
      <c r="H26" s="113">
        <f>I25</f>
        <v>0</v>
      </c>
      <c r="I26" s="156"/>
      <c r="J26" s="128">
        <f t="shared" si="9"/>
        <v>0</v>
      </c>
      <c r="K26" s="125">
        <f>L25</f>
        <v>0</v>
      </c>
      <c r="L26" s="156"/>
      <c r="M26" s="128">
        <f t="shared" si="10"/>
        <v>0</v>
      </c>
    </row>
    <row r="27" spans="1:18" ht="24.95" customHeight="1" x14ac:dyDescent="0.45">
      <c r="A27" s="123">
        <v>45375</v>
      </c>
      <c r="B27" s="125">
        <f>C26</f>
        <v>0</v>
      </c>
      <c r="C27" s="165"/>
      <c r="D27" s="121">
        <f t="shared" si="0"/>
        <v>0</v>
      </c>
      <c r="E27" s="125">
        <f t="shared" si="5"/>
        <v>0</v>
      </c>
      <c r="F27" s="156"/>
      <c r="G27" s="128">
        <f t="shared" si="8"/>
        <v>0</v>
      </c>
      <c r="H27" s="113">
        <f t="shared" ref="H27:H28" si="11">I26</f>
        <v>0</v>
      </c>
      <c r="I27" s="156"/>
      <c r="J27" s="128">
        <f t="shared" si="9"/>
        <v>0</v>
      </c>
      <c r="K27" s="125">
        <f t="shared" si="7"/>
        <v>0</v>
      </c>
      <c r="L27" s="156"/>
      <c r="M27" s="128">
        <f t="shared" si="10"/>
        <v>0</v>
      </c>
    </row>
    <row r="28" spans="1:18" ht="24.95" customHeight="1" x14ac:dyDescent="0.45">
      <c r="A28" s="123">
        <v>45376</v>
      </c>
      <c r="B28" s="125">
        <f>C27</f>
        <v>0</v>
      </c>
      <c r="C28" s="165"/>
      <c r="D28" s="121">
        <f t="shared" si="0"/>
        <v>0</v>
      </c>
      <c r="E28" s="125">
        <f t="shared" si="5"/>
        <v>0</v>
      </c>
      <c r="F28" s="156"/>
      <c r="G28" s="128">
        <f t="shared" si="8"/>
        <v>0</v>
      </c>
      <c r="H28" s="113">
        <f t="shared" si="11"/>
        <v>0</v>
      </c>
      <c r="I28" s="156"/>
      <c r="J28" s="128">
        <f t="shared" si="9"/>
        <v>0</v>
      </c>
      <c r="K28" s="125">
        <f t="shared" si="7"/>
        <v>0</v>
      </c>
      <c r="L28" s="156"/>
      <c r="M28" s="128">
        <f t="shared" si="10"/>
        <v>0</v>
      </c>
    </row>
    <row r="29" spans="1:18" ht="24.95" customHeight="1" x14ac:dyDescent="0.45">
      <c r="A29" s="123">
        <v>45377</v>
      </c>
      <c r="B29" s="125">
        <f>C28</f>
        <v>0</v>
      </c>
      <c r="C29" s="165"/>
      <c r="D29" s="129">
        <f t="shared" si="0"/>
        <v>0</v>
      </c>
      <c r="E29" s="127">
        <f t="shared" si="5"/>
        <v>0</v>
      </c>
      <c r="F29" s="156"/>
      <c r="G29" s="128">
        <f t="shared" si="8"/>
        <v>0</v>
      </c>
      <c r="H29" s="127">
        <f>I28</f>
        <v>0</v>
      </c>
      <c r="I29" s="156"/>
      <c r="J29" s="128">
        <f t="shared" si="9"/>
        <v>0</v>
      </c>
      <c r="K29" s="127">
        <f t="shared" si="7"/>
        <v>0</v>
      </c>
      <c r="L29" s="156"/>
      <c r="M29" s="128">
        <f t="shared" si="10"/>
        <v>0</v>
      </c>
    </row>
    <row r="30" spans="1:18" ht="24.95" customHeight="1" x14ac:dyDescent="0.45">
      <c r="A30" s="123">
        <v>45378</v>
      </c>
      <c r="B30" s="125">
        <f t="shared" ref="B30:B34" si="12">C29</f>
        <v>0</v>
      </c>
      <c r="C30" s="165"/>
      <c r="D30" s="129">
        <f t="shared" si="0"/>
        <v>0</v>
      </c>
      <c r="E30" s="127">
        <f t="shared" si="5"/>
        <v>0</v>
      </c>
      <c r="F30" s="156"/>
      <c r="G30" s="128">
        <f t="shared" si="8"/>
        <v>0</v>
      </c>
      <c r="H30" s="127">
        <f>I29</f>
        <v>0</v>
      </c>
      <c r="I30" s="156"/>
      <c r="J30" s="128">
        <f t="shared" si="9"/>
        <v>0</v>
      </c>
      <c r="K30" s="127">
        <f>L29</f>
        <v>0</v>
      </c>
      <c r="L30" s="156"/>
      <c r="M30" s="128">
        <f t="shared" ref="M30" si="13">L30-K30</f>
        <v>0</v>
      </c>
      <c r="P30" s="80" t="s">
        <v>50</v>
      </c>
    </row>
    <row r="31" spans="1:18" ht="24.95" customHeight="1" x14ac:dyDescent="0.45">
      <c r="A31" s="123">
        <v>45379</v>
      </c>
      <c r="B31" s="125">
        <f t="shared" si="12"/>
        <v>0</v>
      </c>
      <c r="C31" s="164"/>
      <c r="D31" s="126">
        <f t="shared" si="0"/>
        <v>0</v>
      </c>
      <c r="E31" s="130">
        <f t="shared" si="5"/>
        <v>0</v>
      </c>
      <c r="F31" s="156"/>
      <c r="G31" s="131">
        <f t="shared" ref="G31:G34" si="14">F31-E31</f>
        <v>0</v>
      </c>
      <c r="H31" s="132">
        <f t="shared" ref="H31:H34" si="15">I30</f>
        <v>0</v>
      </c>
      <c r="I31" s="156"/>
      <c r="J31" s="133">
        <f>I31-H31</f>
        <v>0</v>
      </c>
      <c r="K31" s="134">
        <f t="shared" ref="K31:K34" si="16">L30</f>
        <v>0</v>
      </c>
      <c r="L31" s="156"/>
      <c r="M31" s="135">
        <f>L31-K31</f>
        <v>0</v>
      </c>
    </row>
    <row r="32" spans="1:18" ht="24.95" customHeight="1" x14ac:dyDescent="0.45">
      <c r="A32" s="123">
        <v>45380</v>
      </c>
      <c r="B32" s="125">
        <f t="shared" si="12"/>
        <v>0</v>
      </c>
      <c r="C32" s="165"/>
      <c r="D32" s="126">
        <f t="shared" si="0"/>
        <v>0</v>
      </c>
      <c r="E32" s="130">
        <f t="shared" si="5"/>
        <v>0</v>
      </c>
      <c r="F32" s="156"/>
      <c r="G32" s="131">
        <f t="shared" si="14"/>
        <v>0</v>
      </c>
      <c r="H32" s="132">
        <f t="shared" si="15"/>
        <v>0</v>
      </c>
      <c r="I32" s="156"/>
      <c r="J32" s="133">
        <f>I32-H32</f>
        <v>0</v>
      </c>
      <c r="K32" s="134">
        <f t="shared" si="16"/>
        <v>0</v>
      </c>
      <c r="L32" s="156"/>
      <c r="M32" s="135">
        <f>L32-K32</f>
        <v>0</v>
      </c>
    </row>
    <row r="33" spans="1:18" ht="24.95" customHeight="1" x14ac:dyDescent="0.45">
      <c r="A33" s="123">
        <v>45381</v>
      </c>
      <c r="B33" s="125">
        <f t="shared" si="12"/>
        <v>0</v>
      </c>
      <c r="C33" s="165"/>
      <c r="D33" s="126">
        <f t="shared" si="0"/>
        <v>0</v>
      </c>
      <c r="E33" s="130">
        <f t="shared" si="5"/>
        <v>0</v>
      </c>
      <c r="F33" s="156"/>
      <c r="G33" s="131">
        <f t="shared" si="14"/>
        <v>0</v>
      </c>
      <c r="H33" s="132">
        <f t="shared" si="15"/>
        <v>0</v>
      </c>
      <c r="I33" s="156"/>
      <c r="J33" s="133">
        <f>I33-H33</f>
        <v>0</v>
      </c>
      <c r="K33" s="134">
        <f t="shared" si="16"/>
        <v>0</v>
      </c>
      <c r="L33" s="156"/>
      <c r="M33" s="135">
        <f>L33-K33</f>
        <v>0</v>
      </c>
    </row>
    <row r="34" spans="1:18" ht="24.95" customHeight="1" x14ac:dyDescent="0.45">
      <c r="A34" s="123">
        <v>45382</v>
      </c>
      <c r="B34" s="127">
        <f t="shared" si="12"/>
        <v>0</v>
      </c>
      <c r="C34" s="165"/>
      <c r="D34" s="126">
        <f t="shared" si="0"/>
        <v>0</v>
      </c>
      <c r="E34" s="124">
        <f t="shared" si="5"/>
        <v>0</v>
      </c>
      <c r="F34" s="155"/>
      <c r="G34" s="126">
        <f t="shared" si="14"/>
        <v>0</v>
      </c>
      <c r="H34" s="127">
        <f t="shared" si="15"/>
        <v>0</v>
      </c>
      <c r="I34" s="155"/>
      <c r="J34" s="128">
        <f>I34-H34</f>
        <v>0</v>
      </c>
      <c r="K34" s="167">
        <f t="shared" si="16"/>
        <v>0</v>
      </c>
      <c r="L34" s="155"/>
      <c r="M34" s="168">
        <f>L34-K34</f>
        <v>0</v>
      </c>
    </row>
    <row r="35" spans="1:18" s="47" customFormat="1" ht="24.95" customHeight="1" x14ac:dyDescent="0.45">
      <c r="A35" s="266" t="s">
        <v>48</v>
      </c>
      <c r="B35" s="271">
        <f>SUM(D4:D34)</f>
        <v>0</v>
      </c>
      <c r="C35" s="272"/>
      <c r="D35" s="273"/>
      <c r="E35" s="274">
        <f>SUM(G4:G34)</f>
        <v>0</v>
      </c>
      <c r="F35" s="275"/>
      <c r="G35" s="276"/>
      <c r="H35" s="274">
        <f>SUM(J4:J34)</f>
        <v>0</v>
      </c>
      <c r="I35" s="275"/>
      <c r="J35" s="276"/>
      <c r="K35" s="274">
        <f>SUM(M4:M34)</f>
        <v>0</v>
      </c>
      <c r="L35" s="275"/>
      <c r="M35" s="276"/>
      <c r="O35" s="62"/>
    </row>
    <row r="36" spans="1:18" ht="36" customHeight="1" thickBot="1" x14ac:dyDescent="0.5">
      <c r="A36" s="267"/>
      <c r="B36" s="268">
        <f>SUM(B35:M35)</f>
        <v>0</v>
      </c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70"/>
      <c r="R36" s="88" t="s">
        <v>42</v>
      </c>
    </row>
  </sheetData>
  <mergeCells count="12">
    <mergeCell ref="A35:A36"/>
    <mergeCell ref="B36:M36"/>
    <mergeCell ref="B35:D35"/>
    <mergeCell ref="E35:G35"/>
    <mergeCell ref="H35:J35"/>
    <mergeCell ref="K35:M35"/>
    <mergeCell ref="A1:M1"/>
    <mergeCell ref="A2:A3"/>
    <mergeCell ref="B2:D2"/>
    <mergeCell ref="E2:G2"/>
    <mergeCell ref="H2:J2"/>
    <mergeCell ref="K2:M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Total</vt:lpstr>
      <vt:lpstr>Submetering</vt:lpstr>
      <vt:lpstr>Elect</vt:lpstr>
      <vt:lpstr>Water</vt:lpstr>
      <vt:lpstr>Gas</vt:lpstr>
      <vt:lpstr>Chilled Water</vt:lpstr>
      <vt:lpstr>'Chilled Water'!Print_Area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Ronald Diab</cp:lastModifiedBy>
  <cp:lastPrinted>2021-02-01T05:58:49Z</cp:lastPrinted>
  <dcterms:created xsi:type="dcterms:W3CDTF">2002-11-13T05:06:58Z</dcterms:created>
  <dcterms:modified xsi:type="dcterms:W3CDTF">2024-03-29T14:21:55Z</dcterms:modified>
</cp:coreProperties>
</file>