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810000A-5A4B-4569-886D-59C8AD952873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-M Electrical &amp; Water July25" sheetId="14" r:id="rId2"/>
  </sheets>
  <externalReferences>
    <externalReference r:id="rId3"/>
  </externalReferences>
  <definedNames>
    <definedName name="_xlnm.Print_Area" localSheetId="1">'BAN-M Electrical &amp; Water July25'!$C$1:$K$35</definedName>
    <definedName name="شت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H34" i="14"/>
  <c r="D13" i="14" l="1"/>
  <c r="J37" i="14" l="1"/>
  <c r="J38" i="14" s="1"/>
  <c r="H37" i="14"/>
  <c r="H38" i="14" s="1"/>
  <c r="F37" i="14"/>
  <c r="F38" i="14" s="1"/>
  <c r="D37" i="14"/>
  <c r="D38" i="14" s="1"/>
  <c r="J36" i="14"/>
  <c r="H36" i="14"/>
  <c r="F36" i="14"/>
  <c r="D36" i="14"/>
  <c r="J35" i="14"/>
  <c r="H35" i="14"/>
  <c r="F35" i="14"/>
  <c r="D35" i="14"/>
  <c r="J34" i="14"/>
  <c r="F34" i="14"/>
  <c r="D34" i="14"/>
  <c r="J33" i="14"/>
  <c r="H33" i="14"/>
  <c r="F33" i="14"/>
  <c r="D33" i="14"/>
  <c r="J32" i="14"/>
  <c r="H32" i="14"/>
  <c r="F32" i="14"/>
  <c r="D32" i="14"/>
  <c r="J31" i="14"/>
  <c r="H31" i="14"/>
  <c r="F31" i="14"/>
  <c r="D31" i="14"/>
  <c r="J30" i="14"/>
  <c r="H30" i="14"/>
  <c r="F30" i="14"/>
  <c r="D30" i="14"/>
  <c r="J29" i="14"/>
  <c r="H29" i="14"/>
  <c r="F29" i="14"/>
  <c r="D29" i="14"/>
  <c r="J28" i="14"/>
  <c r="H28" i="14"/>
  <c r="F28" i="14"/>
  <c r="D28" i="14"/>
  <c r="J27" i="14"/>
  <c r="H27" i="14"/>
  <c r="F27" i="14"/>
  <c r="D27" i="14"/>
  <c r="J26" i="14"/>
  <c r="H26" i="14"/>
  <c r="F26" i="14"/>
  <c r="D26" i="14"/>
  <c r="J25" i="14"/>
  <c r="H25" i="14"/>
  <c r="F25" i="14"/>
  <c r="D25" i="14"/>
  <c r="J24" i="14"/>
  <c r="H24" i="14"/>
  <c r="F24" i="14"/>
  <c r="D24" i="14"/>
  <c r="J23" i="14"/>
  <c r="H23" i="14"/>
  <c r="F23" i="14"/>
  <c r="D23" i="14"/>
  <c r="J22" i="14"/>
  <c r="H22" i="14"/>
  <c r="F22" i="14"/>
  <c r="D22" i="14"/>
  <c r="J21" i="14"/>
  <c r="H21" i="14"/>
  <c r="F21" i="14"/>
  <c r="D21" i="14"/>
  <c r="J20" i="14"/>
  <c r="H20" i="14"/>
  <c r="F20" i="14"/>
  <c r="D20" i="14"/>
  <c r="J19" i="14"/>
  <c r="H19" i="14"/>
  <c r="F19" i="14"/>
  <c r="D19" i="14"/>
  <c r="J18" i="14"/>
  <c r="H18" i="14"/>
  <c r="F18" i="14"/>
  <c r="D18" i="14"/>
  <c r="J17" i="14"/>
  <c r="H17" i="14"/>
  <c r="F17" i="14"/>
  <c r="D17" i="14"/>
  <c r="J16" i="14"/>
  <c r="H16" i="14"/>
  <c r="F16" i="14"/>
  <c r="D16" i="14"/>
  <c r="J15" i="14"/>
  <c r="H15" i="14"/>
  <c r="F15" i="14"/>
  <c r="D15" i="14"/>
  <c r="J14" i="14"/>
  <c r="H14" i="14"/>
  <c r="F14" i="14"/>
  <c r="D14" i="14"/>
  <c r="J13" i="14"/>
  <c r="H13" i="14"/>
  <c r="F13" i="14"/>
  <c r="J12" i="14"/>
  <c r="H12" i="14"/>
  <c r="F12" i="14"/>
  <c r="D12" i="14"/>
  <c r="J11" i="14"/>
  <c r="H11" i="14"/>
  <c r="F11" i="14"/>
  <c r="D11" i="14"/>
  <c r="J10" i="14"/>
  <c r="H10" i="14"/>
  <c r="F10" i="14"/>
  <c r="D10" i="14"/>
  <c r="J9" i="14"/>
  <c r="H9" i="14"/>
  <c r="F9" i="14"/>
  <c r="D9" i="14"/>
  <c r="J8" i="14"/>
  <c r="H8" i="14"/>
  <c r="F8" i="14"/>
  <c r="D8" i="14"/>
  <c r="J7" i="14"/>
  <c r="H7" i="14"/>
  <c r="F7" i="14"/>
  <c r="D7" i="14"/>
</calcChain>
</file>

<file path=xl/sharedStrings.xml><?xml version="1.0" encoding="utf-8"?>
<sst xmlns="http://schemas.openxmlformats.org/spreadsheetml/2006/main" count="65" uniqueCount="26">
  <si>
    <t>DATE</t>
  </si>
  <si>
    <t>TYPE</t>
  </si>
  <si>
    <t>KWH</t>
  </si>
  <si>
    <t>Electricity (kWH)</t>
  </si>
  <si>
    <t>Meter</t>
  </si>
  <si>
    <t>Time</t>
  </si>
  <si>
    <t xml:space="preserve">Remarks </t>
  </si>
  <si>
    <t xml:space="preserve">BAN- Mugheirah Utility Readings -ADDC Electrical </t>
  </si>
  <si>
    <t xml:space="preserve">Daily Consumptions </t>
  </si>
  <si>
    <t>CuM</t>
  </si>
  <si>
    <t>BAN- Mugheirah Utility Readings - ADDC Water (Irrigations)</t>
  </si>
  <si>
    <t>BAN- Mugheirah Utility Readings - ADDC Water.                   ( Villas)</t>
  </si>
  <si>
    <t>AC No 0405438373</t>
  </si>
  <si>
    <t>AC N0 33777729225</t>
  </si>
  <si>
    <t xml:space="preserve">BAN- Mugheirah Utility Readings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</si>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</sst>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1907</c:v>
                </c:pt>
                <c:pt idx="2">
                  <c:v>2271</c:v>
                </c:pt>
                <c:pt idx="3">
                  <c:v>2228</c:v>
                </c:pt>
                <c:pt idx="4">
                  <c:v>1988</c:v>
                </c:pt>
                <c:pt idx="5">
                  <c:v>1949</c:v>
                </c:pt>
                <c:pt idx="6">
                  <c:v>2005</c:v>
                </c:pt>
                <c:pt idx="7">
                  <c:v>1991</c:v>
                </c:pt>
                <c:pt idx="8">
                  <c:v>1978</c:v>
                </c:pt>
                <c:pt idx="9">
                  <c:v>2042</c:v>
                </c:pt>
                <c:pt idx="10">
                  <c:v>1879</c:v>
                </c:pt>
                <c:pt idx="11">
                  <c:v>2131</c:v>
                </c:pt>
                <c:pt idx="12">
                  <c:v>1957</c:v>
                </c:pt>
                <c:pt idx="13">
                  <c:v>1623</c:v>
                </c:pt>
                <c:pt idx="14">
                  <c:v>2180</c:v>
                </c:pt>
                <c:pt idx="15">
                  <c:v>2245</c:v>
                </c:pt>
                <c:pt idx="16">
                  <c:v>2715</c:v>
                </c:pt>
                <c:pt idx="17">
                  <c:v>2739</c:v>
                </c:pt>
                <c:pt idx="18">
                  <c:v>2517</c:v>
                </c:pt>
                <c:pt idx="19">
                  <c:v>2373</c:v>
                </c:pt>
                <c:pt idx="20">
                  <c:v>2472</c:v>
                </c:pt>
                <c:pt idx="21">
                  <c:v>2384</c:v>
                </c:pt>
                <c:pt idx="22">
                  <c:v>2313</c:v>
                </c:pt>
                <c:pt idx="23">
                  <c:v>2378</c:v>
                </c:pt>
                <c:pt idx="24">
                  <c:v>2298</c:v>
                </c:pt>
                <c:pt idx="25">
                  <c:v>2401</c:v>
                </c:pt>
                <c:pt idx="26">
                  <c:v>1928</c:v>
                </c:pt>
                <c:pt idx="27">
                  <c:v>2232</c:v>
                </c:pt>
                <c:pt idx="28">
                  <c:v>2206</c:v>
                </c:pt>
                <c:pt idx="29">
                  <c:v>2424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July25'!$H$6:$H$35</c:f>
              <c:numCache>
                <c:formatCode>General</c:formatCode>
                <c:ptCount val="30"/>
                <c:pt idx="0">
                  <c:v>0</c:v>
                </c:pt>
                <c:pt idx="1">
                  <c:v>15</c:v>
                </c:pt>
                <c:pt idx="2">
                  <c:v>24</c:v>
                </c:pt>
                <c:pt idx="3">
                  <c:v>31</c:v>
                </c:pt>
                <c:pt idx="4">
                  <c:v>27</c:v>
                </c:pt>
                <c:pt idx="5">
                  <c:v>36</c:v>
                </c:pt>
                <c:pt idx="6">
                  <c:v>23</c:v>
                </c:pt>
                <c:pt idx="7">
                  <c:v>27</c:v>
                </c:pt>
                <c:pt idx="8">
                  <c:v>26</c:v>
                </c:pt>
                <c:pt idx="9">
                  <c:v>35</c:v>
                </c:pt>
                <c:pt idx="10">
                  <c:v>54</c:v>
                </c:pt>
                <c:pt idx="11">
                  <c:v>40</c:v>
                </c:pt>
                <c:pt idx="12">
                  <c:v>61</c:v>
                </c:pt>
                <c:pt idx="13">
                  <c:v>45</c:v>
                </c:pt>
                <c:pt idx="14">
                  <c:v>35</c:v>
                </c:pt>
                <c:pt idx="15">
                  <c:v>21</c:v>
                </c:pt>
                <c:pt idx="16">
                  <c:v>71</c:v>
                </c:pt>
                <c:pt idx="17">
                  <c:v>53</c:v>
                </c:pt>
                <c:pt idx="18">
                  <c:v>28</c:v>
                </c:pt>
                <c:pt idx="19">
                  <c:v>27</c:v>
                </c:pt>
                <c:pt idx="20">
                  <c:v>29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28</c:v>
                </c:pt>
                <c:pt idx="25">
                  <c:v>30</c:v>
                </c:pt>
                <c:pt idx="26">
                  <c:v>18</c:v>
                </c:pt>
                <c:pt idx="27">
                  <c:v>28</c:v>
                </c:pt>
                <c:pt idx="28">
                  <c:v>34</c:v>
                </c:pt>
                <c:pt idx="29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F11" sqref="F11"/>
    </sheetView>
  </sheetViews>
  <sheetFormatPr defaultColWidth="11.5546875" defaultRowHeight="14.4" x14ac:dyDescent="0.3"/>
  <cols>
    <col min="1" max="1" width="29.109375" style="39" bestFit="1" customWidth="1"/>
    <col min="2" max="3" width="11.5546875" style="34"/>
    <col min="4" max="4" width="13.44140625" style="34" customWidth="1"/>
    <col min="5" max="5" width="12.5546875" style="37" customWidth="1"/>
    <col min="6" max="6" width="12.5546875" style="36" customWidth="1"/>
    <col min="7" max="7" width="11.5546875" style="37"/>
    <col min="8" max="8" width="11.5546875" style="38"/>
    <col min="9" max="22" width="11.5546875" style="37"/>
    <col min="23" max="16384" width="11.5546875" style="40"/>
  </cols>
  <sheetData>
    <row r="1" spans="1:10" s="32" customFormat="1" ht="43.2" x14ac:dyDescent="0.3">
      <c r="A1" s="28" t="s">
        <v>15</v>
      </c>
      <c r="B1" s="28" t="s">
        <v>16</v>
      </c>
      <c r="C1" s="28" t="s">
        <v>17</v>
      </c>
      <c r="D1" s="28" t="s">
        <v>18</v>
      </c>
      <c r="E1" s="29" t="s">
        <v>19</v>
      </c>
      <c r="F1" s="30" t="s">
        <v>20</v>
      </c>
      <c r="G1" s="29" t="s">
        <v>21</v>
      </c>
      <c r="H1" s="31" t="s">
        <v>22</v>
      </c>
      <c r="I1" s="29" t="s">
        <v>23</v>
      </c>
      <c r="J1" s="29" t="s">
        <v>24</v>
      </c>
    </row>
    <row r="2" spans="1:10" x14ac:dyDescent="0.3">
      <c r="A2" s="33" t="s">
        <v>25</v>
      </c>
      <c r="B2" s="34">
        <v>1</v>
      </c>
      <c r="C2" s="34">
        <v>8</v>
      </c>
      <c r="D2" s="34">
        <v>2025</v>
      </c>
      <c r="E2" s="35">
        <f>IF('BAN-M Electrical &amp; Water July25'!F7&gt;0,'BAN-M Electrical &amp; Water July25'!F7,0)</f>
        <v>4901</v>
      </c>
      <c r="F2" s="36">
        <v>0.2</v>
      </c>
      <c r="G2" s="35">
        <f>IF('BAN-M Electrical &amp; Water July25'!H7+'BAN-M Electrical &amp; Water July25'!J7&gt;0,'BAN-M Electrical &amp; Water July25'!H7+'BAN-M Electrical &amp; Water July25'!J7,0)</f>
        <v>15</v>
      </c>
      <c r="H2" s="36">
        <v>7.84</v>
      </c>
      <c r="I2" s="35"/>
      <c r="J2" s="35"/>
    </row>
    <row r="3" spans="1:10" x14ac:dyDescent="0.3">
      <c r="A3" s="33" t="s">
        <v>25</v>
      </c>
      <c r="B3" s="34">
        <f>B2+1</f>
        <v>2</v>
      </c>
      <c r="C3" s="34">
        <v>8</v>
      </c>
      <c r="D3" s="34">
        <v>2025</v>
      </c>
      <c r="E3" s="35">
        <f>IF('BAN-M Electrical &amp; Water July25'!F8&gt;0,'BAN-M Electrical &amp; Water July25'!F8,0)</f>
        <v>6485</v>
      </c>
      <c r="F3" s="36">
        <v>0.2</v>
      </c>
      <c r="G3" s="35">
        <f>IF('BAN-M Electrical &amp; Water July25'!H8+'BAN-M Electrical &amp; Water July25'!J8&gt;0,'BAN-M Electrical &amp; Water July25'!H8+'BAN-M Electrical &amp; Water July25'!J8,0)</f>
        <v>41</v>
      </c>
      <c r="H3" s="36">
        <v>7.84</v>
      </c>
      <c r="I3" s="35"/>
      <c r="J3" s="35"/>
    </row>
    <row r="4" spans="1:10" x14ac:dyDescent="0.3">
      <c r="A4" s="33" t="s">
        <v>25</v>
      </c>
      <c r="B4" s="34">
        <f t="shared" ref="B4:B32" si="0">B3+1</f>
        <v>3</v>
      </c>
      <c r="C4" s="34">
        <v>8</v>
      </c>
      <c r="D4" s="34">
        <v>2025</v>
      </c>
      <c r="E4" s="35">
        <f>IF('BAN-M Electrical &amp; Water July25'!F9&gt;0,'BAN-M Electrical &amp; Water July25'!F9,0)</f>
        <v>6512</v>
      </c>
      <c r="F4" s="36">
        <v>0.2</v>
      </c>
      <c r="G4" s="35">
        <f>IF('BAN-M Electrical &amp; Water July25'!H9+'BAN-M Electrical &amp; Water July25'!J9&gt;0,'BAN-M Electrical &amp; Water July25'!H9+'BAN-M Electrical &amp; Water July25'!J9,0)</f>
        <v>31</v>
      </c>
      <c r="H4" s="36">
        <v>7.84</v>
      </c>
      <c r="I4" s="35"/>
      <c r="J4" s="35"/>
    </row>
    <row r="5" spans="1:10" x14ac:dyDescent="0.3">
      <c r="A5" s="33" t="s">
        <v>25</v>
      </c>
      <c r="B5" s="34">
        <f t="shared" si="0"/>
        <v>4</v>
      </c>
      <c r="C5" s="34">
        <v>8</v>
      </c>
      <c r="D5" s="34">
        <v>2025</v>
      </c>
      <c r="E5" s="35">
        <f>IF('BAN-M Electrical &amp; Water July25'!F10&gt;0,'BAN-M Electrical &amp; Water July25'!F10,0)</f>
        <v>6373</v>
      </c>
      <c r="F5" s="36">
        <v>0.2</v>
      </c>
      <c r="G5" s="35">
        <f>IF('BAN-M Electrical &amp; Water July25'!H10+'BAN-M Electrical &amp; Water July25'!J10&gt;0,'BAN-M Electrical &amp; Water July25'!H10+'BAN-M Electrical &amp; Water July25'!J10,0)</f>
        <v>76</v>
      </c>
      <c r="H5" s="36">
        <v>7.84</v>
      </c>
      <c r="I5" s="35"/>
      <c r="J5" s="35"/>
    </row>
    <row r="6" spans="1:10" x14ac:dyDescent="0.3">
      <c r="A6" s="33" t="s">
        <v>25</v>
      </c>
      <c r="B6" s="34">
        <f t="shared" si="0"/>
        <v>5</v>
      </c>
      <c r="C6" s="34">
        <v>8</v>
      </c>
      <c r="D6" s="34">
        <v>2025</v>
      </c>
      <c r="E6" s="35">
        <f>IF('BAN-M Electrical &amp; Water July25'!F11&gt;0,'BAN-M Electrical &amp; Water July25'!F11,0)</f>
        <v>6855</v>
      </c>
      <c r="F6" s="36">
        <v>0.2</v>
      </c>
      <c r="G6" s="35">
        <f>IF('BAN-M Electrical &amp; Water July25'!H11+'BAN-M Electrical &amp; Water July25'!J11&gt;0,'BAN-M Electrical &amp; Water July25'!H11+'BAN-M Electrical &amp; Water July25'!J11,0)</f>
        <v>36</v>
      </c>
      <c r="H6" s="36">
        <v>7.84</v>
      </c>
      <c r="I6" s="35"/>
      <c r="J6" s="35"/>
    </row>
    <row r="7" spans="1:10" x14ac:dyDescent="0.3">
      <c r="A7" s="33" t="s">
        <v>25</v>
      </c>
      <c r="B7" s="34">
        <f t="shared" si="0"/>
        <v>6</v>
      </c>
      <c r="C7" s="34">
        <v>8</v>
      </c>
      <c r="D7" s="34">
        <v>2025</v>
      </c>
      <c r="E7" s="35">
        <f>IF('BAN-M Electrical &amp; Water July25'!F12&gt;0,'BAN-M Electrical &amp; Water July25'!F12,0)</f>
        <v>6729</v>
      </c>
      <c r="F7" s="36">
        <v>0.2</v>
      </c>
      <c r="G7" s="35">
        <f>IF('BAN-M Electrical &amp; Water July25'!H12+'BAN-M Electrical &amp; Water July25'!J12&gt;0,'BAN-M Electrical &amp; Water July25'!H12+'BAN-M Electrical &amp; Water July25'!J12,0)</f>
        <v>83</v>
      </c>
      <c r="H7" s="36">
        <v>7.84</v>
      </c>
      <c r="I7" s="35"/>
      <c r="J7" s="35"/>
    </row>
    <row r="8" spans="1:10" x14ac:dyDescent="0.3">
      <c r="A8" s="33" t="s">
        <v>25</v>
      </c>
      <c r="B8" s="34">
        <f t="shared" si="0"/>
        <v>7</v>
      </c>
      <c r="C8" s="34">
        <v>8</v>
      </c>
      <c r="D8" s="34">
        <v>2025</v>
      </c>
      <c r="E8" s="35">
        <f>IF('BAN-M Electrical &amp; Water July25'!F13&gt;0,'BAN-M Electrical &amp; Water July25'!F13,0)</f>
        <v>6266</v>
      </c>
      <c r="F8" s="36">
        <v>0.2</v>
      </c>
      <c r="G8" s="35">
        <f>IF('BAN-M Electrical &amp; Water July25'!H13+'BAN-M Electrical &amp; Water July25'!J13&gt;0,'BAN-M Electrical &amp; Water July25'!H13+'BAN-M Electrical &amp; Water July25'!J13,0)</f>
        <v>82</v>
      </c>
      <c r="H8" s="36">
        <v>7.84</v>
      </c>
      <c r="I8" s="35"/>
      <c r="J8" s="35"/>
    </row>
    <row r="9" spans="1:10" x14ac:dyDescent="0.3">
      <c r="A9" s="33" t="s">
        <v>25</v>
      </c>
      <c r="B9" s="34">
        <f t="shared" si="0"/>
        <v>8</v>
      </c>
      <c r="C9" s="34">
        <v>8</v>
      </c>
      <c r="D9" s="34">
        <v>2025</v>
      </c>
      <c r="E9" s="35">
        <f>IF('BAN-M Electrical &amp; Water July25'!F14&gt;0,'BAN-M Electrical &amp; Water July25'!F14,0)</f>
        <v>6614</v>
      </c>
      <c r="F9" s="36">
        <v>0.2</v>
      </c>
      <c r="G9" s="35">
        <f>IF('BAN-M Electrical &amp; Water July25'!H14+'BAN-M Electrical &amp; Water July25'!J14&gt;0,'BAN-M Electrical &amp; Water July25'!H14+'BAN-M Electrical &amp; Water July25'!J14,0)</f>
        <v>65</v>
      </c>
      <c r="H9" s="36">
        <v>7.84</v>
      </c>
      <c r="I9" s="35"/>
      <c r="J9" s="35"/>
    </row>
    <row r="10" spans="1:10" x14ac:dyDescent="0.3">
      <c r="A10" s="33" t="s">
        <v>25</v>
      </c>
      <c r="B10" s="34">
        <f t="shared" si="0"/>
        <v>9</v>
      </c>
      <c r="C10" s="34">
        <v>8</v>
      </c>
      <c r="D10" s="34">
        <v>2025</v>
      </c>
      <c r="E10" s="35">
        <f>IF('BAN-M Electrical &amp; Water July25'!F15&gt;0,'BAN-M Electrical &amp; Water July25'!F15,0)</f>
        <v>6233</v>
      </c>
      <c r="F10" s="36">
        <v>0.2</v>
      </c>
      <c r="G10" s="35">
        <f>IF('BAN-M Electrical &amp; Water July25'!H15+'BAN-M Electrical &amp; Water July25'!J15&gt;0,'BAN-M Electrical &amp; Water July25'!H15+'BAN-M Electrical &amp; Water July25'!J15,0)</f>
        <v>95</v>
      </c>
      <c r="H10" s="36">
        <v>7.84</v>
      </c>
      <c r="I10" s="35"/>
      <c r="J10" s="35"/>
    </row>
    <row r="11" spans="1:10" x14ac:dyDescent="0.3">
      <c r="A11" s="33" t="s">
        <v>25</v>
      </c>
      <c r="B11" s="34">
        <f t="shared" si="0"/>
        <v>10</v>
      </c>
      <c r="C11" s="34">
        <v>8</v>
      </c>
      <c r="D11" s="34">
        <v>2025</v>
      </c>
      <c r="E11" s="35">
        <f>IF('BAN-M Electrical &amp; Water July25'!F16&gt;0,'BAN-M Electrical &amp; Water July25'!F16,0)</f>
        <v>6324</v>
      </c>
      <c r="F11" s="36">
        <v>0.2</v>
      </c>
      <c r="G11" s="35">
        <f>IF('BAN-M Electrical &amp; Water July25'!H16+'BAN-M Electrical &amp; Water July25'!J16&gt;0,'BAN-M Electrical &amp; Water July25'!H16+'BAN-M Electrical &amp; Water July25'!J16,0)</f>
        <v>54</v>
      </c>
      <c r="H11" s="36">
        <v>7.84</v>
      </c>
      <c r="I11" s="35"/>
      <c r="J11" s="35"/>
    </row>
    <row r="12" spans="1:10" x14ac:dyDescent="0.3">
      <c r="A12" s="33" t="s">
        <v>25</v>
      </c>
      <c r="B12" s="34">
        <f t="shared" si="0"/>
        <v>11</v>
      </c>
      <c r="C12" s="34">
        <v>8</v>
      </c>
      <c r="D12" s="34">
        <v>2025</v>
      </c>
      <c r="E12" s="35">
        <f>IF('BAN-M Electrical &amp; Water July25'!F17&gt;0,'BAN-M Electrical &amp; Water July25'!F17,0)</f>
        <v>6575</v>
      </c>
      <c r="F12" s="36">
        <v>0.2</v>
      </c>
      <c r="G12" s="35">
        <f>IF('BAN-M Electrical &amp; Water July25'!H17+'BAN-M Electrical &amp; Water July25'!J17&gt;0,'BAN-M Electrical &amp; Water July25'!H17+'BAN-M Electrical &amp; Water July25'!J17,0)</f>
        <v>41</v>
      </c>
      <c r="H12" s="36">
        <v>7.84</v>
      </c>
      <c r="I12" s="35"/>
      <c r="J12" s="35"/>
    </row>
    <row r="13" spans="1:10" x14ac:dyDescent="0.3">
      <c r="A13" s="33" t="s">
        <v>25</v>
      </c>
      <c r="B13" s="34">
        <f t="shared" si="0"/>
        <v>12</v>
      </c>
      <c r="C13" s="34">
        <v>8</v>
      </c>
      <c r="D13" s="34">
        <v>2025</v>
      </c>
      <c r="E13" s="35">
        <f>IF('BAN-M Electrical &amp; Water July25'!F18&gt;0,'BAN-M Electrical &amp; Water July25'!F18,0)</f>
        <v>5978</v>
      </c>
      <c r="F13" s="36">
        <v>0.2</v>
      </c>
      <c r="G13" s="35">
        <f>IF('BAN-M Electrical &amp; Water July25'!H18+'BAN-M Electrical &amp; Water July25'!J18&gt;0,'BAN-M Electrical &amp; Water July25'!H18+'BAN-M Electrical &amp; Water July25'!J18,0)</f>
        <v>120</v>
      </c>
      <c r="H13" s="36">
        <v>7.84</v>
      </c>
      <c r="I13" s="35"/>
      <c r="J13" s="35"/>
    </row>
    <row r="14" spans="1:10" x14ac:dyDescent="0.3">
      <c r="A14" s="33" t="s">
        <v>25</v>
      </c>
      <c r="B14" s="34">
        <f t="shared" si="0"/>
        <v>13</v>
      </c>
      <c r="C14" s="34">
        <v>8</v>
      </c>
      <c r="D14" s="34">
        <v>2025</v>
      </c>
      <c r="E14" s="35">
        <f>IF('BAN-M Electrical &amp; Water July25'!F19&gt;0,'BAN-M Electrical &amp; Water July25'!F19,0)</f>
        <v>5097</v>
      </c>
      <c r="F14" s="36">
        <v>0.2</v>
      </c>
      <c r="G14" s="35">
        <f>IF('BAN-M Electrical &amp; Water July25'!H19+'BAN-M Electrical &amp; Water July25'!J19&gt;0,'BAN-M Electrical &amp; Water July25'!H19+'BAN-M Electrical &amp; Water July25'!J19,0)</f>
        <v>89</v>
      </c>
      <c r="H14" s="36">
        <v>7.84</v>
      </c>
      <c r="I14" s="35"/>
      <c r="J14" s="35"/>
    </row>
    <row r="15" spans="1:10" x14ac:dyDescent="0.3">
      <c r="A15" s="33" t="s">
        <v>25</v>
      </c>
      <c r="B15" s="34">
        <f t="shared" si="0"/>
        <v>14</v>
      </c>
      <c r="C15" s="34">
        <v>8</v>
      </c>
      <c r="D15" s="34">
        <v>2025</v>
      </c>
      <c r="E15" s="35">
        <f>IF('BAN-M Electrical &amp; Water July25'!F20&gt;0,'BAN-M Electrical &amp; Water July25'!F20,0)</f>
        <v>6198</v>
      </c>
      <c r="F15" s="36">
        <v>0.2</v>
      </c>
      <c r="G15" s="35">
        <f>IF('BAN-M Electrical &amp; Water July25'!H20+'BAN-M Electrical &amp; Water July25'!J20&gt;0,'BAN-M Electrical &amp; Water July25'!H20+'BAN-M Electrical &amp; Water July25'!J20,0)</f>
        <v>66</v>
      </c>
      <c r="H15" s="36">
        <v>7.84</v>
      </c>
      <c r="I15" s="35"/>
      <c r="J15" s="35"/>
    </row>
    <row r="16" spans="1:10" x14ac:dyDescent="0.3">
      <c r="A16" s="33" t="s">
        <v>25</v>
      </c>
      <c r="B16" s="34">
        <f t="shared" si="0"/>
        <v>15</v>
      </c>
      <c r="C16" s="34">
        <v>8</v>
      </c>
      <c r="D16" s="34">
        <v>2025</v>
      </c>
      <c r="E16" s="35">
        <f>IF('BAN-M Electrical &amp; Water July25'!F21&gt;0,'BAN-M Electrical &amp; Water July25'!F21,0)</f>
        <v>6330</v>
      </c>
      <c r="F16" s="36">
        <v>0.2</v>
      </c>
      <c r="G16" s="35">
        <f>IF('BAN-M Electrical &amp; Water July25'!H21+'BAN-M Electrical &amp; Water July25'!J21&gt;0,'BAN-M Electrical &amp; Water July25'!H21+'BAN-M Electrical &amp; Water July25'!J21,0)</f>
        <v>94</v>
      </c>
      <c r="H16" s="36">
        <v>7.84</v>
      </c>
      <c r="I16" s="35"/>
      <c r="J16" s="35"/>
    </row>
    <row r="17" spans="1:10" x14ac:dyDescent="0.3">
      <c r="A17" s="33" t="s">
        <v>25</v>
      </c>
      <c r="B17" s="34">
        <f t="shared" si="0"/>
        <v>16</v>
      </c>
      <c r="C17" s="34">
        <v>8</v>
      </c>
      <c r="D17" s="34">
        <v>2025</v>
      </c>
      <c r="E17" s="35">
        <f>IF('BAN-M Electrical &amp; Water July25'!F22&gt;0,'BAN-M Electrical &amp; Water July25'!F22,0)</f>
        <v>6305</v>
      </c>
      <c r="F17" s="36">
        <v>0.2</v>
      </c>
      <c r="G17" s="35">
        <f>IF('BAN-M Electrical &amp; Water July25'!H22+'BAN-M Electrical &amp; Water July25'!J22&gt;0,'BAN-M Electrical &amp; Water July25'!H22+'BAN-M Electrical &amp; Water July25'!J22,0)</f>
        <v>131</v>
      </c>
      <c r="H17" s="36">
        <v>7.84</v>
      </c>
      <c r="I17" s="35"/>
      <c r="J17" s="35"/>
    </row>
    <row r="18" spans="1:10" x14ac:dyDescent="0.3">
      <c r="A18" s="33" t="s">
        <v>25</v>
      </c>
      <c r="B18" s="34">
        <f t="shared" si="0"/>
        <v>17</v>
      </c>
      <c r="C18" s="34">
        <v>8</v>
      </c>
      <c r="D18" s="34">
        <v>2025</v>
      </c>
      <c r="E18" s="35">
        <f>IF('BAN-M Electrical &amp; Water July25'!F23&gt;0,'BAN-M Electrical &amp; Water July25'!F23,0)</f>
        <v>6232</v>
      </c>
      <c r="F18" s="36">
        <v>0.2</v>
      </c>
      <c r="G18" s="35">
        <f>IF('BAN-M Electrical &amp; Water July25'!H23+'BAN-M Electrical &amp; Water July25'!J23&gt;0,'BAN-M Electrical &amp; Water July25'!H23+'BAN-M Electrical &amp; Water July25'!J23,0)</f>
        <v>69</v>
      </c>
      <c r="H18" s="36">
        <v>7.84</v>
      </c>
      <c r="I18" s="35"/>
      <c r="J18" s="35"/>
    </row>
    <row r="19" spans="1:10" x14ac:dyDescent="0.3">
      <c r="A19" s="33" t="s">
        <v>25</v>
      </c>
      <c r="B19" s="34">
        <f t="shared" si="0"/>
        <v>18</v>
      </c>
      <c r="C19" s="34">
        <v>8</v>
      </c>
      <c r="D19" s="34">
        <v>2025</v>
      </c>
      <c r="E19" s="35">
        <f>IF('BAN-M Electrical &amp; Water July25'!F24&gt;0,'BAN-M Electrical &amp; Water July25'!F24,0)</f>
        <v>6851</v>
      </c>
      <c r="F19" s="36">
        <v>0.2</v>
      </c>
      <c r="G19" s="35">
        <f>IF('BAN-M Electrical &amp; Water July25'!H24+'BAN-M Electrical &amp; Water July25'!J24&gt;0,'BAN-M Electrical &amp; Water July25'!H24+'BAN-M Electrical &amp; Water July25'!J24,0)</f>
        <v>71</v>
      </c>
      <c r="H19" s="36">
        <v>7.84</v>
      </c>
      <c r="I19" s="35"/>
      <c r="J19" s="35"/>
    </row>
    <row r="20" spans="1:10" x14ac:dyDescent="0.3">
      <c r="A20" s="33" t="s">
        <v>25</v>
      </c>
      <c r="B20" s="34">
        <f t="shared" si="0"/>
        <v>19</v>
      </c>
      <c r="C20" s="34">
        <v>8</v>
      </c>
      <c r="D20" s="34">
        <v>2025</v>
      </c>
      <c r="E20" s="35">
        <f>IF('BAN-M Electrical &amp; Water July25'!F25&gt;0,'BAN-M Electrical &amp; Water July25'!F25,0)</f>
        <v>5295</v>
      </c>
      <c r="F20" s="36">
        <v>0.2</v>
      </c>
      <c r="G20" s="35">
        <f>IF('BAN-M Electrical &amp; Water July25'!H25+'BAN-M Electrical &amp; Water July25'!J25&gt;0,'BAN-M Electrical &amp; Water July25'!H25+'BAN-M Electrical &amp; Water July25'!J25,0)</f>
        <v>80</v>
      </c>
      <c r="H20" s="36">
        <v>7.84</v>
      </c>
      <c r="I20" s="35"/>
      <c r="J20" s="35"/>
    </row>
    <row r="21" spans="1:10" x14ac:dyDescent="0.3">
      <c r="A21" s="33" t="s">
        <v>25</v>
      </c>
      <c r="B21" s="34">
        <f t="shared" si="0"/>
        <v>20</v>
      </c>
      <c r="C21" s="34">
        <v>8</v>
      </c>
      <c r="D21" s="34">
        <v>2025</v>
      </c>
      <c r="E21" s="35">
        <f>IF('BAN-M Electrical &amp; Water July25'!F26&gt;0,'BAN-M Electrical &amp; Water July25'!F26,0)</f>
        <v>6930</v>
      </c>
      <c r="F21" s="36">
        <v>0.2</v>
      </c>
      <c r="G21" s="35">
        <f>IF('BAN-M Electrical &amp; Water July25'!H26+'BAN-M Electrical &amp; Water July25'!J26&gt;0,'BAN-M Electrical &amp; Water July25'!H26+'BAN-M Electrical &amp; Water July25'!J26,0)</f>
        <v>98</v>
      </c>
      <c r="H21" s="36">
        <v>7.84</v>
      </c>
      <c r="I21" s="35"/>
      <c r="J21" s="35"/>
    </row>
    <row r="22" spans="1:10" x14ac:dyDescent="0.3">
      <c r="A22" s="33" t="s">
        <v>25</v>
      </c>
      <c r="B22" s="34">
        <f t="shared" si="0"/>
        <v>21</v>
      </c>
      <c r="C22" s="34">
        <v>8</v>
      </c>
      <c r="D22" s="34">
        <v>2025</v>
      </c>
      <c r="E22" s="35">
        <f>IF('BAN-M Electrical &amp; Water July25'!F27&gt;0,'BAN-M Electrical &amp; Water July25'!F27,0)</f>
        <v>5362</v>
      </c>
      <c r="F22" s="36">
        <v>0.2</v>
      </c>
      <c r="G22" s="35">
        <f>IF('BAN-M Electrical &amp; Water July25'!H27+'BAN-M Electrical &amp; Water July25'!J27&gt;0,'BAN-M Electrical &amp; Water July25'!H27+'BAN-M Electrical &amp; Water July25'!J27,0)</f>
        <v>95</v>
      </c>
      <c r="H22" s="36">
        <v>7.84</v>
      </c>
      <c r="I22" s="35"/>
      <c r="J22" s="35"/>
    </row>
    <row r="23" spans="1:10" x14ac:dyDescent="0.3">
      <c r="A23" s="33" t="s">
        <v>25</v>
      </c>
      <c r="B23" s="34">
        <f t="shared" si="0"/>
        <v>22</v>
      </c>
      <c r="C23" s="34">
        <v>8</v>
      </c>
      <c r="D23" s="34">
        <v>2025</v>
      </c>
      <c r="E23" s="35">
        <f>IF('BAN-M Electrical &amp; Water July25'!F28&gt;0,'BAN-M Electrical &amp; Water July25'!F28,0)</f>
        <v>6383</v>
      </c>
      <c r="F23" s="36">
        <v>0.2</v>
      </c>
      <c r="G23" s="35">
        <f>IF('BAN-M Electrical &amp; Water July25'!H28+'BAN-M Electrical &amp; Water July25'!J28&gt;0,'BAN-M Electrical &amp; Water July25'!H28+'BAN-M Electrical &amp; Water July25'!J28,0)</f>
        <v>99</v>
      </c>
      <c r="H23" s="36">
        <v>7.84</v>
      </c>
      <c r="I23" s="35"/>
      <c r="J23" s="35"/>
    </row>
    <row r="24" spans="1:10" x14ac:dyDescent="0.3">
      <c r="A24" s="33" t="s">
        <v>25</v>
      </c>
      <c r="B24" s="34">
        <f t="shared" si="0"/>
        <v>23</v>
      </c>
      <c r="C24" s="34">
        <v>8</v>
      </c>
      <c r="D24" s="34">
        <v>2025</v>
      </c>
      <c r="E24" s="35">
        <f>IF('BAN-M Electrical &amp; Water July25'!F29&gt;0,'BAN-M Electrical &amp; Water July25'!F29,0)</f>
        <v>6252</v>
      </c>
      <c r="F24" s="36">
        <v>0.2</v>
      </c>
      <c r="G24" s="35">
        <f>IF('BAN-M Electrical &amp; Water July25'!H29+'BAN-M Electrical &amp; Water July25'!J29&gt;0,'BAN-M Electrical &amp; Water July25'!H29+'BAN-M Electrical &amp; Water July25'!J29,0)</f>
        <v>80</v>
      </c>
      <c r="H24" s="36">
        <v>7.84</v>
      </c>
      <c r="I24" s="35"/>
      <c r="J24" s="35"/>
    </row>
    <row r="25" spans="1:10" x14ac:dyDescent="0.3">
      <c r="A25" s="33" t="s">
        <v>25</v>
      </c>
      <c r="B25" s="34">
        <f t="shared" si="0"/>
        <v>24</v>
      </c>
      <c r="C25" s="34">
        <v>8</v>
      </c>
      <c r="D25" s="34">
        <v>2025</v>
      </c>
      <c r="E25" s="35">
        <f>IF('BAN-M Electrical &amp; Water July25'!F30&gt;0,'BAN-M Electrical &amp; Water July25'!F30,0)</f>
        <v>6114</v>
      </c>
      <c r="F25" s="36">
        <v>0.2</v>
      </c>
      <c r="G25" s="35">
        <f>IF('BAN-M Electrical &amp; Water July25'!H30+'BAN-M Electrical &amp; Water July25'!J30&gt;0,'BAN-M Electrical &amp; Water July25'!H30+'BAN-M Electrical &amp; Water July25'!J30,0)</f>
        <v>28</v>
      </c>
      <c r="H25" s="36">
        <v>7.84</v>
      </c>
      <c r="I25" s="35"/>
      <c r="J25" s="35"/>
    </row>
    <row r="26" spans="1:10" x14ac:dyDescent="0.3">
      <c r="A26" s="33" t="s">
        <v>25</v>
      </c>
      <c r="B26" s="34">
        <f>B25+1</f>
        <v>25</v>
      </c>
      <c r="C26" s="34">
        <v>8</v>
      </c>
      <c r="D26" s="34">
        <v>2025</v>
      </c>
      <c r="E26" s="35">
        <f>IF('BAN-M Electrical &amp; Water July25'!F31&gt;0,'BAN-M Electrical &amp; Water July25'!F31,0)</f>
        <v>6991</v>
      </c>
      <c r="F26" s="36">
        <v>0.2</v>
      </c>
      <c r="G26" s="35">
        <f>IF('BAN-M Electrical &amp; Water July25'!H31+'BAN-M Electrical &amp; Water July25'!J31&gt;0,'BAN-M Electrical &amp; Water July25'!H31+'BAN-M Electrical &amp; Water July25'!J31,0)</f>
        <v>123</v>
      </c>
      <c r="H26" s="36">
        <v>7.84</v>
      </c>
      <c r="I26" s="35"/>
      <c r="J26" s="35"/>
    </row>
    <row r="27" spans="1:10" x14ac:dyDescent="0.3">
      <c r="A27" s="33" t="s">
        <v>25</v>
      </c>
      <c r="B27" s="34">
        <f t="shared" si="0"/>
        <v>26</v>
      </c>
      <c r="C27" s="34">
        <v>8</v>
      </c>
      <c r="D27" s="34">
        <v>2025</v>
      </c>
      <c r="E27" s="35">
        <f>IF('BAN-M Electrical &amp; Water July25'!F32&gt;0,'BAN-M Electrical &amp; Water July25'!F32,0)</f>
        <v>5351</v>
      </c>
      <c r="F27" s="36">
        <v>0.2</v>
      </c>
      <c r="G27" s="35">
        <f>IF('BAN-M Electrical &amp; Water July25'!H32+'BAN-M Electrical &amp; Water July25'!J32&gt;0,'BAN-M Electrical &amp; Water July25'!H32+'BAN-M Electrical &amp; Water July25'!J32,0)</f>
        <v>72</v>
      </c>
      <c r="H27" s="36">
        <v>7.84</v>
      </c>
      <c r="I27" s="35"/>
      <c r="J27" s="35"/>
    </row>
    <row r="28" spans="1:10" x14ac:dyDescent="0.3">
      <c r="A28" s="33" t="s">
        <v>25</v>
      </c>
      <c r="B28" s="34">
        <f t="shared" si="0"/>
        <v>27</v>
      </c>
      <c r="C28" s="34">
        <v>8</v>
      </c>
      <c r="D28" s="34">
        <v>2025</v>
      </c>
      <c r="E28" s="35">
        <f>IF('BAN-M Electrical &amp; Water July25'!F33&gt;0,'BAN-M Electrical &amp; Water July25'!F33,0)</f>
        <v>5561</v>
      </c>
      <c r="F28" s="36">
        <v>0.2</v>
      </c>
      <c r="G28" s="35">
        <f>IF('BAN-M Electrical &amp; Water July25'!H33+'BAN-M Electrical &amp; Water July25'!J33&gt;0,'BAN-M Electrical &amp; Water July25'!H33+'BAN-M Electrical &amp; Water July25'!J33,0)</f>
        <v>95</v>
      </c>
      <c r="H28" s="36">
        <v>7.84</v>
      </c>
      <c r="I28" s="35"/>
      <c r="J28" s="35"/>
    </row>
    <row r="29" spans="1:10" x14ac:dyDescent="0.3">
      <c r="A29" s="33" t="s">
        <v>25</v>
      </c>
      <c r="B29" s="34">
        <f t="shared" si="0"/>
        <v>28</v>
      </c>
      <c r="C29" s="34">
        <v>8</v>
      </c>
      <c r="D29" s="34">
        <v>2025</v>
      </c>
      <c r="E29" s="35">
        <f>IF('BAN-M Electrical &amp; Water July25'!F34&gt;0,'BAN-M Electrical &amp; Water July25'!F34,0)</f>
        <v>5977</v>
      </c>
      <c r="F29" s="36">
        <v>0.2</v>
      </c>
      <c r="G29" s="35">
        <f>IF('BAN-M Electrical &amp; Water July25'!H34+'BAN-M Electrical &amp; Water July25'!J34&gt;0,'BAN-M Electrical &amp; Water July25'!H34+'BAN-M Electrical &amp; Water July25'!J34,0)</f>
        <v>155</v>
      </c>
      <c r="H29" s="36">
        <v>7.84</v>
      </c>
      <c r="I29" s="35"/>
      <c r="J29" s="35"/>
    </row>
    <row r="30" spans="1:10" x14ac:dyDescent="0.3">
      <c r="A30" s="33" t="s">
        <v>25</v>
      </c>
      <c r="B30" s="34">
        <f t="shared" si="0"/>
        <v>29</v>
      </c>
      <c r="C30" s="34">
        <v>8</v>
      </c>
      <c r="D30" s="34">
        <v>2025</v>
      </c>
      <c r="E30" s="35">
        <f>IF('BAN-M Electrical &amp; Water July25'!F35&gt;0,'BAN-M Electrical &amp; Water July25'!F35,0)</f>
        <v>6497</v>
      </c>
      <c r="F30" s="36">
        <v>0.2</v>
      </c>
      <c r="G30" s="35">
        <f>IF('BAN-M Electrical &amp; Water July25'!H35+'BAN-M Electrical &amp; Water July25'!J35&gt;0,'BAN-M Electrical &amp; Water July25'!H35+'BAN-M Electrical &amp; Water July25'!J35,0)</f>
        <v>93</v>
      </c>
      <c r="H30" s="36">
        <v>7.84</v>
      </c>
      <c r="I30" s="35"/>
      <c r="J30" s="35"/>
    </row>
    <row r="31" spans="1:10" x14ac:dyDescent="0.3">
      <c r="A31" s="33" t="s">
        <v>25</v>
      </c>
      <c r="B31" s="34">
        <f t="shared" si="0"/>
        <v>30</v>
      </c>
      <c r="C31" s="34">
        <v>8</v>
      </c>
      <c r="D31" s="34">
        <v>2025</v>
      </c>
      <c r="E31" s="35">
        <f>IF('BAN-M Electrical &amp; Water July25'!F36&gt;0,'BAN-M Electrical &amp; Water July25'!F36,0)</f>
        <v>6380</v>
      </c>
      <c r="F31" s="36">
        <v>0.2</v>
      </c>
      <c r="G31" s="35">
        <f>IF('BAN-M Electrical &amp; Water July25'!H36+'BAN-M Electrical &amp; Water July25'!J36&gt;0,'BAN-M Electrical &amp; Water July25'!H36+'BAN-M Electrical &amp; Water July25'!J36,0)</f>
        <v>93</v>
      </c>
      <c r="H31" s="36">
        <v>7.84</v>
      </c>
      <c r="I31" s="35"/>
      <c r="J31" s="35"/>
    </row>
    <row r="32" spans="1:10" x14ac:dyDescent="0.3">
      <c r="A32" s="33" t="s">
        <v>25</v>
      </c>
      <c r="B32" s="34">
        <f t="shared" si="0"/>
        <v>31</v>
      </c>
      <c r="C32" s="34">
        <v>8</v>
      </c>
      <c r="D32" s="34">
        <v>2025</v>
      </c>
      <c r="E32" s="35">
        <f>IF('BAN-M Electrical &amp; Water July25'!F37&gt;0,'BAN-M Electrical &amp; Water July25'!F37,0)</f>
        <v>0</v>
      </c>
      <c r="F32" s="36">
        <v>0.2</v>
      </c>
      <c r="G32" s="35">
        <f>IF('BAN-M Electrical &amp; Water July25'!H37+'BAN-M Electrical &amp; Water July25'!J37&gt;0,'BAN-M Electrical &amp; Water July25'!H37+'BAN-M Electrical &amp; Water July25'!J37,0)</f>
        <v>0</v>
      </c>
      <c r="H32" s="36">
        <v>7.84</v>
      </c>
      <c r="I32" s="35"/>
      <c r="J32" s="35"/>
    </row>
    <row r="33" spans="7:7" x14ac:dyDescent="0.3">
      <c r="G33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C2" sqref="C2"/>
    </sheetView>
  </sheetViews>
  <sheetFormatPr defaultRowHeight="14.4" x14ac:dyDescent="0.3"/>
  <cols>
    <col min="1" max="2" width="21.33203125" customWidth="1"/>
    <col min="3" max="3" width="30.33203125" style="1" bestFit="1" customWidth="1"/>
    <col min="4" max="4" width="31.21875" style="1" customWidth="1"/>
    <col min="5" max="5" width="33.21875" style="1" customWidth="1"/>
    <col min="6" max="6" width="31.21875" style="1" customWidth="1"/>
    <col min="7" max="7" width="30.88671875" style="6" customWidth="1"/>
    <col min="8" max="8" width="30.33203125" style="6" customWidth="1"/>
    <col min="9" max="9" width="32.109375" style="6" customWidth="1"/>
    <col min="10" max="10" width="29.44140625" style="6" customWidth="1"/>
    <col min="11" max="11" width="55.77734375" style="1" bestFit="1" customWidth="1"/>
  </cols>
  <sheetData>
    <row r="1" spans="1:14" ht="94.95" customHeight="1" thickBot="1" x14ac:dyDescent="0.35">
      <c r="C1" s="23" t="s">
        <v>14</v>
      </c>
      <c r="D1" s="24"/>
      <c r="E1" s="24"/>
      <c r="F1" s="24"/>
      <c r="G1" s="24"/>
      <c r="H1" s="24"/>
      <c r="I1" s="24"/>
      <c r="J1" s="24"/>
      <c r="K1" s="24"/>
      <c r="N1" s="2"/>
    </row>
    <row r="2" spans="1:14" s="1" customFormat="1" ht="54.75" customHeight="1" thickBot="1" x14ac:dyDescent="0.35">
      <c r="A2" s="10" t="s">
        <v>1</v>
      </c>
      <c r="B2" s="22" t="s">
        <v>5</v>
      </c>
      <c r="C2" s="15" t="s">
        <v>7</v>
      </c>
      <c r="D2" s="25" t="s">
        <v>8</v>
      </c>
      <c r="E2" s="15" t="s">
        <v>7</v>
      </c>
      <c r="F2" s="25" t="s">
        <v>8</v>
      </c>
      <c r="G2" s="26" t="s">
        <v>11</v>
      </c>
      <c r="H2" s="26" t="s">
        <v>8</v>
      </c>
      <c r="I2" s="26" t="s">
        <v>10</v>
      </c>
      <c r="J2" s="26" t="s">
        <v>8</v>
      </c>
      <c r="K2" s="27" t="s">
        <v>6</v>
      </c>
    </row>
    <row r="3" spans="1:14" ht="60" customHeight="1" thickBot="1" x14ac:dyDescent="0.35">
      <c r="A3" s="10" t="s">
        <v>4</v>
      </c>
      <c r="B3" s="22"/>
      <c r="C3" s="18" t="s">
        <v>12</v>
      </c>
      <c r="D3" s="25"/>
      <c r="E3" s="18" t="s">
        <v>13</v>
      </c>
      <c r="F3" s="25"/>
      <c r="G3" s="26"/>
      <c r="H3" s="26"/>
      <c r="I3" s="26"/>
      <c r="J3" s="26"/>
      <c r="K3" s="27"/>
    </row>
    <row r="4" spans="1:14" ht="46.5" customHeight="1" thickBot="1" x14ac:dyDescent="0.35">
      <c r="A4" s="22" t="s">
        <v>0</v>
      </c>
      <c r="B4" s="22"/>
      <c r="C4" s="25" t="s">
        <v>3</v>
      </c>
      <c r="D4" s="25"/>
      <c r="E4" s="25" t="s">
        <v>3</v>
      </c>
      <c r="F4" s="25"/>
      <c r="G4" s="26"/>
      <c r="H4" s="26"/>
      <c r="I4" s="26"/>
      <c r="J4" s="26"/>
      <c r="K4" s="27"/>
    </row>
    <row r="5" spans="1:14" ht="24.9" customHeight="1" thickBot="1" x14ac:dyDescent="0.35">
      <c r="A5" s="22"/>
      <c r="B5" s="22"/>
      <c r="C5" s="25"/>
      <c r="D5" s="16" t="s">
        <v>2</v>
      </c>
      <c r="E5" s="25"/>
      <c r="F5" s="16" t="s">
        <v>2</v>
      </c>
      <c r="G5" s="17" t="s">
        <v>9</v>
      </c>
      <c r="H5" s="17" t="s">
        <v>9</v>
      </c>
      <c r="I5" s="17" t="s">
        <v>9</v>
      </c>
      <c r="J5" s="17" t="s">
        <v>9</v>
      </c>
      <c r="K5" s="27"/>
    </row>
    <row r="6" spans="1:14" ht="39" customHeight="1" x14ac:dyDescent="0.3">
      <c r="A6" s="7">
        <v>45869</v>
      </c>
      <c r="B6" s="20">
        <v>0.375</v>
      </c>
      <c r="C6" s="8">
        <v>2768677</v>
      </c>
      <c r="D6" s="4">
        <v>0</v>
      </c>
      <c r="E6" s="8">
        <v>7411551</v>
      </c>
      <c r="F6" s="4">
        <v>0</v>
      </c>
      <c r="G6" s="11">
        <v>21</v>
      </c>
      <c r="H6" s="11">
        <v>0</v>
      </c>
      <c r="I6" s="11">
        <v>209</v>
      </c>
      <c r="J6" s="11">
        <v>0</v>
      </c>
      <c r="K6" s="9"/>
    </row>
    <row r="7" spans="1:14" ht="39" customHeight="1" x14ac:dyDescent="0.3">
      <c r="A7" s="7">
        <v>45870</v>
      </c>
      <c r="B7" s="21">
        <v>0.22916666666666666</v>
      </c>
      <c r="C7" s="4">
        <v>2770584</v>
      </c>
      <c r="D7" s="4">
        <f>C7-C6</f>
        <v>1907</v>
      </c>
      <c r="E7" s="4">
        <v>7416452</v>
      </c>
      <c r="F7" s="4">
        <f>E7-E6</f>
        <v>4901</v>
      </c>
      <c r="G7" s="12">
        <v>36</v>
      </c>
      <c r="H7" s="12">
        <f>G7-G6</f>
        <v>15</v>
      </c>
      <c r="I7" s="12">
        <v>209</v>
      </c>
      <c r="J7" s="12">
        <f>I7-I6</f>
        <v>0</v>
      </c>
      <c r="K7" s="3"/>
    </row>
    <row r="8" spans="1:14" ht="39" customHeight="1" x14ac:dyDescent="0.3">
      <c r="A8" s="7">
        <v>45871</v>
      </c>
      <c r="B8" s="21">
        <v>0.2638888888888889</v>
      </c>
      <c r="C8" s="4">
        <v>2772855</v>
      </c>
      <c r="D8" s="4">
        <f t="shared" ref="D8:D35" si="0">C8-C7</f>
        <v>2271</v>
      </c>
      <c r="E8" s="4">
        <v>7422937</v>
      </c>
      <c r="F8" s="4">
        <f t="shared" ref="F8:F35" si="1">E8-E7</f>
        <v>6485</v>
      </c>
      <c r="G8" s="12">
        <v>60</v>
      </c>
      <c r="H8" s="12">
        <f t="shared" ref="H8:H35" si="2">G8-G7</f>
        <v>24</v>
      </c>
      <c r="I8" s="12">
        <v>226</v>
      </c>
      <c r="J8" s="12">
        <f t="shared" ref="J8:J35" si="3">I8-I7</f>
        <v>17</v>
      </c>
      <c r="K8" s="3"/>
    </row>
    <row r="9" spans="1:14" ht="39" customHeight="1" x14ac:dyDescent="0.3">
      <c r="A9" s="7">
        <v>45872</v>
      </c>
      <c r="B9" s="21">
        <v>0.21527777777777779</v>
      </c>
      <c r="C9" s="4">
        <v>2775083</v>
      </c>
      <c r="D9" s="4">
        <f t="shared" si="0"/>
        <v>2228</v>
      </c>
      <c r="E9" s="4">
        <v>7429449</v>
      </c>
      <c r="F9" s="4">
        <f t="shared" si="1"/>
        <v>6512</v>
      </c>
      <c r="G9" s="12">
        <v>91</v>
      </c>
      <c r="H9" s="12">
        <f t="shared" si="2"/>
        <v>31</v>
      </c>
      <c r="I9" s="12">
        <v>226</v>
      </c>
      <c r="J9" s="12">
        <f t="shared" si="3"/>
        <v>0</v>
      </c>
      <c r="K9" s="3"/>
    </row>
    <row r="10" spans="1:14" ht="39" customHeight="1" x14ac:dyDescent="0.3">
      <c r="A10" s="7">
        <v>45873</v>
      </c>
      <c r="B10" s="21">
        <v>0.22222222222222221</v>
      </c>
      <c r="C10" s="4">
        <v>2777071</v>
      </c>
      <c r="D10" s="4">
        <f t="shared" si="0"/>
        <v>1988</v>
      </c>
      <c r="E10" s="4">
        <v>7435822</v>
      </c>
      <c r="F10" s="4">
        <f t="shared" si="1"/>
        <v>6373</v>
      </c>
      <c r="G10" s="12">
        <v>118</v>
      </c>
      <c r="H10" s="12">
        <f t="shared" si="2"/>
        <v>27</v>
      </c>
      <c r="I10" s="12">
        <v>275</v>
      </c>
      <c r="J10" s="12">
        <f t="shared" si="3"/>
        <v>49</v>
      </c>
      <c r="K10" s="3"/>
    </row>
    <row r="11" spans="1:14" ht="39" customHeight="1" x14ac:dyDescent="0.3">
      <c r="A11" s="7">
        <v>45874</v>
      </c>
      <c r="B11" s="21">
        <v>0.23611111111111113</v>
      </c>
      <c r="C11" s="4">
        <v>2779020</v>
      </c>
      <c r="D11" s="4">
        <f t="shared" si="0"/>
        <v>1949</v>
      </c>
      <c r="E11" s="4">
        <v>7442677</v>
      </c>
      <c r="F11" s="4">
        <f t="shared" si="1"/>
        <v>6855</v>
      </c>
      <c r="G11" s="12">
        <v>154</v>
      </c>
      <c r="H11" s="12">
        <f t="shared" si="2"/>
        <v>36</v>
      </c>
      <c r="I11" s="12">
        <v>275</v>
      </c>
      <c r="J11" s="12">
        <f t="shared" si="3"/>
        <v>0</v>
      </c>
      <c r="K11" s="3"/>
    </row>
    <row r="12" spans="1:14" ht="39" customHeight="1" x14ac:dyDescent="0.3">
      <c r="A12" s="7">
        <v>45875</v>
      </c>
      <c r="B12" s="21">
        <v>0.22916666666666666</v>
      </c>
      <c r="C12" s="4">
        <v>2781025</v>
      </c>
      <c r="D12" s="4">
        <f t="shared" si="0"/>
        <v>2005</v>
      </c>
      <c r="E12" s="4">
        <v>7449406</v>
      </c>
      <c r="F12" s="4">
        <f t="shared" si="1"/>
        <v>6729</v>
      </c>
      <c r="G12" s="12">
        <v>177</v>
      </c>
      <c r="H12" s="12">
        <f t="shared" si="2"/>
        <v>23</v>
      </c>
      <c r="I12" s="12">
        <v>335</v>
      </c>
      <c r="J12" s="12">
        <f t="shared" si="3"/>
        <v>60</v>
      </c>
      <c r="K12" s="3"/>
    </row>
    <row r="13" spans="1:14" ht="39" customHeight="1" x14ac:dyDescent="0.3">
      <c r="A13" s="7">
        <v>45876</v>
      </c>
      <c r="B13" s="21">
        <v>0.24305555555555555</v>
      </c>
      <c r="C13" s="4">
        <v>2783016</v>
      </c>
      <c r="D13" s="4">
        <f t="shared" si="0"/>
        <v>1991</v>
      </c>
      <c r="E13" s="4">
        <v>7455672</v>
      </c>
      <c r="F13" s="4">
        <f t="shared" si="1"/>
        <v>6266</v>
      </c>
      <c r="G13" s="12">
        <v>204</v>
      </c>
      <c r="H13" s="12">
        <f t="shared" si="2"/>
        <v>27</v>
      </c>
      <c r="I13" s="12">
        <v>390</v>
      </c>
      <c r="J13" s="12">
        <f t="shared" si="3"/>
        <v>55</v>
      </c>
      <c r="K13" s="3"/>
    </row>
    <row r="14" spans="1:14" ht="39" customHeight="1" x14ac:dyDescent="0.3">
      <c r="A14" s="7">
        <v>45877</v>
      </c>
      <c r="B14" s="21">
        <v>0.22222222222222221</v>
      </c>
      <c r="C14" s="4">
        <v>2784994</v>
      </c>
      <c r="D14" s="4">
        <f t="shared" si="0"/>
        <v>1978</v>
      </c>
      <c r="E14" s="4">
        <v>7462286</v>
      </c>
      <c r="F14" s="4">
        <f t="shared" si="1"/>
        <v>6614</v>
      </c>
      <c r="G14" s="12">
        <v>230</v>
      </c>
      <c r="H14" s="12">
        <f t="shared" si="2"/>
        <v>26</v>
      </c>
      <c r="I14" s="12">
        <v>429</v>
      </c>
      <c r="J14" s="12">
        <f t="shared" si="3"/>
        <v>39</v>
      </c>
      <c r="K14" s="3"/>
    </row>
    <row r="15" spans="1:14" ht="39" customHeight="1" x14ac:dyDescent="0.3">
      <c r="A15" s="7">
        <v>45878</v>
      </c>
      <c r="B15" s="21">
        <v>0.21875</v>
      </c>
      <c r="C15" s="4">
        <v>2787036</v>
      </c>
      <c r="D15" s="4">
        <f t="shared" si="0"/>
        <v>2042</v>
      </c>
      <c r="E15" s="4">
        <v>7468519</v>
      </c>
      <c r="F15" s="4">
        <f t="shared" si="1"/>
        <v>6233</v>
      </c>
      <c r="G15" s="12">
        <v>265</v>
      </c>
      <c r="H15" s="12">
        <f t="shared" si="2"/>
        <v>35</v>
      </c>
      <c r="I15" s="12">
        <v>489</v>
      </c>
      <c r="J15" s="12">
        <f t="shared" si="3"/>
        <v>60</v>
      </c>
      <c r="K15" s="3"/>
    </row>
    <row r="16" spans="1:14" ht="39" customHeight="1" x14ac:dyDescent="0.3">
      <c r="A16" s="7">
        <v>45879</v>
      </c>
      <c r="B16" s="21">
        <v>0.22916666666666666</v>
      </c>
      <c r="C16" s="4">
        <v>2788915</v>
      </c>
      <c r="D16" s="4">
        <f t="shared" si="0"/>
        <v>1879</v>
      </c>
      <c r="E16" s="4">
        <v>7474843</v>
      </c>
      <c r="F16" s="4">
        <f t="shared" si="1"/>
        <v>6324</v>
      </c>
      <c r="G16" s="12">
        <v>319</v>
      </c>
      <c r="H16" s="12">
        <f t="shared" si="2"/>
        <v>54</v>
      </c>
      <c r="I16" s="12">
        <v>489</v>
      </c>
      <c r="J16" s="12">
        <f t="shared" si="3"/>
        <v>0</v>
      </c>
      <c r="K16" s="3"/>
    </row>
    <row r="17" spans="1:11" ht="39" customHeight="1" x14ac:dyDescent="0.3">
      <c r="A17" s="7">
        <v>45880</v>
      </c>
      <c r="B17" s="21">
        <v>0.23611111111111113</v>
      </c>
      <c r="C17" s="4">
        <v>2791046</v>
      </c>
      <c r="D17" s="4">
        <f t="shared" si="0"/>
        <v>2131</v>
      </c>
      <c r="E17" s="4">
        <v>7481418</v>
      </c>
      <c r="F17" s="4">
        <f t="shared" si="1"/>
        <v>6575</v>
      </c>
      <c r="G17" s="12">
        <v>359</v>
      </c>
      <c r="H17" s="12">
        <f t="shared" si="2"/>
        <v>40</v>
      </c>
      <c r="I17" s="12">
        <v>490</v>
      </c>
      <c r="J17" s="12">
        <f t="shared" si="3"/>
        <v>1</v>
      </c>
      <c r="K17" s="3"/>
    </row>
    <row r="18" spans="1:11" ht="39" customHeight="1" x14ac:dyDescent="0.3">
      <c r="A18" s="7">
        <v>45881</v>
      </c>
      <c r="B18" s="21">
        <v>0.27083333333333331</v>
      </c>
      <c r="C18" s="4">
        <v>2793003</v>
      </c>
      <c r="D18" s="4">
        <f t="shared" si="0"/>
        <v>1957</v>
      </c>
      <c r="E18" s="4">
        <v>7487396</v>
      </c>
      <c r="F18" s="4">
        <f t="shared" si="1"/>
        <v>5978</v>
      </c>
      <c r="G18" s="12">
        <v>420</v>
      </c>
      <c r="H18" s="12">
        <f t="shared" si="2"/>
        <v>61</v>
      </c>
      <c r="I18" s="12">
        <v>549</v>
      </c>
      <c r="J18" s="12">
        <f t="shared" si="3"/>
        <v>59</v>
      </c>
      <c r="K18" s="3"/>
    </row>
    <row r="19" spans="1:11" ht="39" customHeight="1" x14ac:dyDescent="0.3">
      <c r="A19" s="7">
        <v>45882</v>
      </c>
      <c r="B19" s="21">
        <v>0.22916666666666666</v>
      </c>
      <c r="C19" s="4">
        <v>2794626</v>
      </c>
      <c r="D19" s="4">
        <f t="shared" si="0"/>
        <v>1623</v>
      </c>
      <c r="E19" s="4">
        <v>7492493</v>
      </c>
      <c r="F19" s="4">
        <f t="shared" si="1"/>
        <v>5097</v>
      </c>
      <c r="G19" s="12">
        <v>465</v>
      </c>
      <c r="H19" s="12">
        <f t="shared" si="2"/>
        <v>45</v>
      </c>
      <c r="I19" s="12">
        <v>593</v>
      </c>
      <c r="J19" s="12">
        <f t="shared" si="3"/>
        <v>44</v>
      </c>
      <c r="K19" s="3"/>
    </row>
    <row r="20" spans="1:11" ht="39" customHeight="1" x14ac:dyDescent="0.3">
      <c r="A20" s="7">
        <v>45883</v>
      </c>
      <c r="B20" s="21">
        <v>0.21875</v>
      </c>
      <c r="C20" s="4">
        <v>2796806</v>
      </c>
      <c r="D20" s="4">
        <f t="shared" si="0"/>
        <v>2180</v>
      </c>
      <c r="E20" s="4">
        <v>7498691</v>
      </c>
      <c r="F20" s="4">
        <f t="shared" si="1"/>
        <v>6198</v>
      </c>
      <c r="G20" s="12">
        <v>500</v>
      </c>
      <c r="H20" s="12">
        <f t="shared" si="2"/>
        <v>35</v>
      </c>
      <c r="I20" s="12">
        <v>624</v>
      </c>
      <c r="J20" s="12">
        <f t="shared" si="3"/>
        <v>31</v>
      </c>
      <c r="K20" s="3"/>
    </row>
    <row r="21" spans="1:11" ht="39" customHeight="1" x14ac:dyDescent="0.3">
      <c r="A21" s="7">
        <v>45884</v>
      </c>
      <c r="B21" s="21">
        <v>0.20833333333333334</v>
      </c>
      <c r="C21" s="4">
        <v>2799051</v>
      </c>
      <c r="D21" s="4">
        <f t="shared" si="0"/>
        <v>2245</v>
      </c>
      <c r="E21" s="4">
        <v>7505021</v>
      </c>
      <c r="F21" s="4">
        <f t="shared" si="1"/>
        <v>6330</v>
      </c>
      <c r="G21" s="12">
        <v>521</v>
      </c>
      <c r="H21" s="12">
        <f t="shared" si="2"/>
        <v>21</v>
      </c>
      <c r="I21" s="12">
        <v>697</v>
      </c>
      <c r="J21" s="12">
        <f t="shared" si="3"/>
        <v>73</v>
      </c>
      <c r="K21" s="3"/>
    </row>
    <row r="22" spans="1:11" ht="39" customHeight="1" x14ac:dyDescent="0.3">
      <c r="A22" s="7">
        <v>45885</v>
      </c>
      <c r="B22" s="21">
        <v>0.20138888888888887</v>
      </c>
      <c r="C22" s="4">
        <v>2801766</v>
      </c>
      <c r="D22" s="4">
        <f t="shared" si="0"/>
        <v>2715</v>
      </c>
      <c r="E22" s="4">
        <v>7511326</v>
      </c>
      <c r="F22" s="4">
        <f t="shared" si="1"/>
        <v>6305</v>
      </c>
      <c r="G22" s="12">
        <v>592</v>
      </c>
      <c r="H22" s="12">
        <f t="shared" si="2"/>
        <v>71</v>
      </c>
      <c r="I22" s="12">
        <v>757</v>
      </c>
      <c r="J22" s="12">
        <f t="shared" si="3"/>
        <v>60</v>
      </c>
      <c r="K22" s="3"/>
    </row>
    <row r="23" spans="1:11" ht="39" customHeight="1" x14ac:dyDescent="0.3">
      <c r="A23" s="7">
        <v>45886</v>
      </c>
      <c r="B23" s="21">
        <v>0.21527777777777779</v>
      </c>
      <c r="C23" s="4">
        <v>2804505</v>
      </c>
      <c r="D23" s="4">
        <f t="shared" si="0"/>
        <v>2739</v>
      </c>
      <c r="E23" s="4">
        <v>7517558</v>
      </c>
      <c r="F23" s="4">
        <f t="shared" si="1"/>
        <v>6232</v>
      </c>
      <c r="G23" s="12">
        <v>645</v>
      </c>
      <c r="H23" s="12">
        <f t="shared" si="2"/>
        <v>53</v>
      </c>
      <c r="I23" s="12">
        <v>773</v>
      </c>
      <c r="J23" s="12">
        <f t="shared" si="3"/>
        <v>16</v>
      </c>
      <c r="K23" s="3"/>
    </row>
    <row r="24" spans="1:11" ht="39" customHeight="1" x14ac:dyDescent="0.3">
      <c r="A24" s="7">
        <v>45887</v>
      </c>
      <c r="B24" s="21">
        <v>0.22916666666666666</v>
      </c>
      <c r="C24" s="4">
        <v>2807022</v>
      </c>
      <c r="D24" s="4">
        <f t="shared" si="0"/>
        <v>2517</v>
      </c>
      <c r="E24" s="4">
        <v>7524409</v>
      </c>
      <c r="F24" s="4">
        <f t="shared" si="1"/>
        <v>6851</v>
      </c>
      <c r="G24" s="12">
        <v>673</v>
      </c>
      <c r="H24" s="12">
        <f t="shared" si="2"/>
        <v>28</v>
      </c>
      <c r="I24" s="12">
        <v>816</v>
      </c>
      <c r="J24" s="12">
        <f t="shared" si="3"/>
        <v>43</v>
      </c>
      <c r="K24" s="3"/>
    </row>
    <row r="25" spans="1:11" ht="39" customHeight="1" x14ac:dyDescent="0.3">
      <c r="A25" s="7">
        <v>45888</v>
      </c>
      <c r="B25" s="21">
        <v>0.23958333333333334</v>
      </c>
      <c r="C25" s="4">
        <v>2809395</v>
      </c>
      <c r="D25" s="4">
        <f t="shared" si="0"/>
        <v>2373</v>
      </c>
      <c r="E25" s="4">
        <v>7529704</v>
      </c>
      <c r="F25" s="4">
        <f t="shared" si="1"/>
        <v>5295</v>
      </c>
      <c r="G25" s="12">
        <v>700</v>
      </c>
      <c r="H25" s="12">
        <f t="shared" si="2"/>
        <v>27</v>
      </c>
      <c r="I25" s="12">
        <v>869</v>
      </c>
      <c r="J25" s="12">
        <f t="shared" si="3"/>
        <v>53</v>
      </c>
      <c r="K25" s="3"/>
    </row>
    <row r="26" spans="1:11" ht="39" customHeight="1" x14ac:dyDescent="0.3">
      <c r="A26" s="7">
        <v>45889</v>
      </c>
      <c r="B26" s="21">
        <v>0.24652777777777779</v>
      </c>
      <c r="C26" s="4">
        <v>2811867</v>
      </c>
      <c r="D26" s="4">
        <f t="shared" si="0"/>
        <v>2472</v>
      </c>
      <c r="E26" s="4">
        <v>7536634</v>
      </c>
      <c r="F26" s="4">
        <f t="shared" si="1"/>
        <v>6930</v>
      </c>
      <c r="G26" s="12">
        <v>729</v>
      </c>
      <c r="H26" s="12">
        <f t="shared" si="2"/>
        <v>29</v>
      </c>
      <c r="I26" s="12">
        <v>938</v>
      </c>
      <c r="J26" s="12">
        <f t="shared" si="3"/>
        <v>69</v>
      </c>
      <c r="K26" s="3"/>
    </row>
    <row r="27" spans="1:11" ht="39" customHeight="1" x14ac:dyDescent="0.4">
      <c r="A27" s="7">
        <v>45890</v>
      </c>
      <c r="B27" s="21">
        <v>0.20833333333333334</v>
      </c>
      <c r="C27" s="4">
        <v>2814251</v>
      </c>
      <c r="D27" s="4">
        <f t="shared" si="0"/>
        <v>2384</v>
      </c>
      <c r="E27" s="4">
        <v>7541996</v>
      </c>
      <c r="F27" s="4">
        <f t="shared" si="1"/>
        <v>5362</v>
      </c>
      <c r="G27" s="13">
        <v>763</v>
      </c>
      <c r="H27" s="12">
        <f t="shared" si="2"/>
        <v>34</v>
      </c>
      <c r="I27" s="12">
        <v>999</v>
      </c>
      <c r="J27" s="12">
        <f t="shared" si="3"/>
        <v>61</v>
      </c>
      <c r="K27" s="3"/>
    </row>
    <row r="28" spans="1:11" ht="39" customHeight="1" x14ac:dyDescent="0.35">
      <c r="A28" s="7">
        <v>45891</v>
      </c>
      <c r="B28" s="21">
        <v>0.27083333333333331</v>
      </c>
      <c r="C28" s="5">
        <v>2816564</v>
      </c>
      <c r="D28" s="4">
        <f t="shared" si="0"/>
        <v>2313</v>
      </c>
      <c r="E28" s="4">
        <v>7548379</v>
      </c>
      <c r="F28" s="4">
        <f t="shared" si="1"/>
        <v>6383</v>
      </c>
      <c r="G28" s="14">
        <v>794</v>
      </c>
      <c r="H28" s="12">
        <f t="shared" si="2"/>
        <v>31</v>
      </c>
      <c r="I28" s="12">
        <v>1067</v>
      </c>
      <c r="J28" s="12">
        <f t="shared" si="3"/>
        <v>68</v>
      </c>
      <c r="K28" s="3"/>
    </row>
    <row r="29" spans="1:11" ht="39" customHeight="1" x14ac:dyDescent="0.35">
      <c r="A29" s="7">
        <v>45892</v>
      </c>
      <c r="B29" s="21">
        <v>0.20833333333333334</v>
      </c>
      <c r="C29" s="5">
        <v>2818942</v>
      </c>
      <c r="D29" s="4">
        <f t="shared" si="0"/>
        <v>2378</v>
      </c>
      <c r="E29" s="4">
        <v>7554631</v>
      </c>
      <c r="F29" s="4">
        <f t="shared" si="1"/>
        <v>6252</v>
      </c>
      <c r="G29" s="14">
        <v>824</v>
      </c>
      <c r="H29" s="12">
        <f t="shared" si="2"/>
        <v>30</v>
      </c>
      <c r="I29" s="12">
        <v>1117</v>
      </c>
      <c r="J29" s="12">
        <f t="shared" si="3"/>
        <v>50</v>
      </c>
      <c r="K29" s="3"/>
    </row>
    <row r="30" spans="1:11" ht="39" customHeight="1" x14ac:dyDescent="0.35">
      <c r="A30" s="7">
        <v>45893</v>
      </c>
      <c r="B30" s="21">
        <v>0.1875</v>
      </c>
      <c r="C30" s="5">
        <v>2821240</v>
      </c>
      <c r="D30" s="4">
        <f t="shared" si="0"/>
        <v>2298</v>
      </c>
      <c r="E30" s="4">
        <v>7560745</v>
      </c>
      <c r="F30" s="4">
        <f t="shared" si="1"/>
        <v>6114</v>
      </c>
      <c r="G30" s="14">
        <v>852</v>
      </c>
      <c r="H30" s="12">
        <f t="shared" si="2"/>
        <v>28</v>
      </c>
      <c r="I30" s="12">
        <v>1117</v>
      </c>
      <c r="J30" s="12">
        <f t="shared" si="3"/>
        <v>0</v>
      </c>
      <c r="K30" s="3"/>
    </row>
    <row r="31" spans="1:11" ht="39" customHeight="1" x14ac:dyDescent="0.3">
      <c r="A31" s="7">
        <v>45894</v>
      </c>
      <c r="B31" s="21">
        <v>0.27083333333333331</v>
      </c>
      <c r="C31" s="5">
        <v>2823641</v>
      </c>
      <c r="D31" s="4">
        <f t="shared" si="0"/>
        <v>2401</v>
      </c>
      <c r="E31" s="4">
        <v>7567736</v>
      </c>
      <c r="F31" s="4">
        <f t="shared" si="1"/>
        <v>6991</v>
      </c>
      <c r="G31" s="12">
        <v>882</v>
      </c>
      <c r="H31" s="12">
        <f t="shared" si="2"/>
        <v>30</v>
      </c>
      <c r="I31" s="12">
        <v>1210</v>
      </c>
      <c r="J31" s="12">
        <f t="shared" si="3"/>
        <v>93</v>
      </c>
      <c r="K31" s="3"/>
    </row>
    <row r="32" spans="1:11" ht="39" customHeight="1" x14ac:dyDescent="0.3">
      <c r="A32" s="7">
        <v>45895</v>
      </c>
      <c r="B32" s="21">
        <v>0.26041666666666669</v>
      </c>
      <c r="C32" s="4">
        <v>2825569</v>
      </c>
      <c r="D32" s="4">
        <f t="shared" si="0"/>
        <v>1928</v>
      </c>
      <c r="E32" s="4">
        <v>7573087</v>
      </c>
      <c r="F32" s="4">
        <f t="shared" si="1"/>
        <v>5351</v>
      </c>
      <c r="G32" s="12">
        <v>900</v>
      </c>
      <c r="H32" s="12">
        <f t="shared" si="2"/>
        <v>18</v>
      </c>
      <c r="I32" s="12">
        <v>1264</v>
      </c>
      <c r="J32" s="12">
        <f t="shared" si="3"/>
        <v>54</v>
      </c>
      <c r="K32" s="3"/>
    </row>
    <row r="33" spans="1:11" ht="39" customHeight="1" x14ac:dyDescent="0.3">
      <c r="A33" s="7">
        <v>45896</v>
      </c>
      <c r="B33" s="21">
        <v>0.23958333333333334</v>
      </c>
      <c r="C33" s="4">
        <v>2827801</v>
      </c>
      <c r="D33" s="4">
        <f t="shared" si="0"/>
        <v>2232</v>
      </c>
      <c r="E33" s="4">
        <v>7578648</v>
      </c>
      <c r="F33" s="4">
        <f t="shared" si="1"/>
        <v>5561</v>
      </c>
      <c r="G33" s="12">
        <v>928</v>
      </c>
      <c r="H33" s="12">
        <f t="shared" si="2"/>
        <v>28</v>
      </c>
      <c r="I33" s="12">
        <v>1331</v>
      </c>
      <c r="J33" s="12">
        <f t="shared" si="3"/>
        <v>67</v>
      </c>
      <c r="K33" s="3"/>
    </row>
    <row r="34" spans="1:11" ht="39" customHeight="1" x14ac:dyDescent="0.3">
      <c r="A34" s="7">
        <v>45897</v>
      </c>
      <c r="B34" s="21">
        <v>0.21527777777777779</v>
      </c>
      <c r="C34" s="4">
        <v>2830007</v>
      </c>
      <c r="D34" s="4">
        <f t="shared" si="0"/>
        <v>2206</v>
      </c>
      <c r="E34" s="4">
        <v>7584625</v>
      </c>
      <c r="F34" s="4">
        <f t="shared" si="1"/>
        <v>5977</v>
      </c>
      <c r="G34" s="12">
        <v>962</v>
      </c>
      <c r="H34" s="12">
        <f t="shared" si="2"/>
        <v>34</v>
      </c>
      <c r="I34" s="12">
        <v>1452</v>
      </c>
      <c r="J34" s="12">
        <f t="shared" si="3"/>
        <v>121</v>
      </c>
      <c r="K34" s="3"/>
    </row>
    <row r="35" spans="1:11" ht="39" customHeight="1" x14ac:dyDescent="0.3">
      <c r="A35" s="7">
        <v>45898</v>
      </c>
      <c r="B35" s="21">
        <v>0.20833333333333334</v>
      </c>
      <c r="C35" s="4">
        <v>2832431</v>
      </c>
      <c r="D35" s="4">
        <f t="shared" si="0"/>
        <v>2424</v>
      </c>
      <c r="E35" s="4">
        <v>7591122</v>
      </c>
      <c r="F35" s="4">
        <f t="shared" si="1"/>
        <v>6497</v>
      </c>
      <c r="G35" s="12">
        <v>986</v>
      </c>
      <c r="H35" s="12">
        <f t="shared" si="2"/>
        <v>24</v>
      </c>
      <c r="I35" s="12">
        <v>1521</v>
      </c>
      <c r="J35" s="12">
        <f t="shared" si="3"/>
        <v>69</v>
      </c>
      <c r="K35" s="3"/>
    </row>
    <row r="36" spans="1:11" ht="39" customHeight="1" x14ac:dyDescent="0.3">
      <c r="A36" s="7">
        <v>45899</v>
      </c>
      <c r="B36" s="21">
        <v>0.2638888888888889</v>
      </c>
      <c r="C36" s="4">
        <v>2835161</v>
      </c>
      <c r="D36" s="4">
        <f>C36-C35</f>
        <v>2730</v>
      </c>
      <c r="E36" s="4">
        <v>7597502</v>
      </c>
      <c r="F36" s="4">
        <f>E36-E35</f>
        <v>6380</v>
      </c>
      <c r="G36" s="12">
        <v>1020</v>
      </c>
      <c r="H36" s="12">
        <f>G36-G35</f>
        <v>34</v>
      </c>
      <c r="I36" s="12">
        <v>1580</v>
      </c>
      <c r="J36" s="12">
        <f>I36-I35</f>
        <v>59</v>
      </c>
      <c r="K36" s="3"/>
    </row>
    <row r="37" spans="1:11" ht="39" customHeight="1" x14ac:dyDescent="0.3">
      <c r="A37" s="7">
        <v>45900</v>
      </c>
      <c r="B37" s="19"/>
      <c r="C37" s="4"/>
      <c r="D37" s="4">
        <f>C37-C36</f>
        <v>-2835161</v>
      </c>
      <c r="E37" s="4"/>
      <c r="F37" s="4">
        <f>E37-E36</f>
        <v>-7597502</v>
      </c>
      <c r="G37" s="12"/>
      <c r="H37" s="12">
        <f>G37-G36</f>
        <v>-1020</v>
      </c>
      <c r="I37" s="12"/>
      <c r="J37" s="12">
        <f>I37-I36</f>
        <v>-1580</v>
      </c>
      <c r="K37" s="3"/>
    </row>
    <row r="38" spans="1:11" x14ac:dyDescent="0.3">
      <c r="D38" s="1">
        <f>D37-D6</f>
        <v>-2835161</v>
      </c>
      <c r="F38" s="1">
        <f>F37-F6</f>
        <v>-7597502</v>
      </c>
      <c r="H38" s="1">
        <f>H37-H6</f>
        <v>-1020</v>
      </c>
      <c r="J38" s="1">
        <f>J37-J6</f>
        <v>-1580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July25</vt:lpstr>
      <vt:lpstr>'BAN-M Electrical &amp; Water July25'!Print_Area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2025-06-12T01:59:54Z</cp:lastPrinted>
  <dcterms:created xsi:type="dcterms:W3CDTF">2018-12-27T05:07:34Z</dcterms:created>
  <dcterms:modified xsi:type="dcterms:W3CDTF">2025-10-20T16:25:41Z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