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0/"/>
    </mc:Choice>
  </mc:AlternateContent>
  <xr:revisionPtr revIDLastSave="783" documentId="8_{8847650D-614C-4264-8C87-30D8B5EB4252}" xr6:coauthVersionLast="47" xr6:coauthVersionMax="47" xr10:uidLastSave="{9EDF2369-EB03-4551-A478-C55916E81F74}"/>
  <bookViews>
    <workbookView xWindow="-108" yWindow="-108" windowWidth="23256" windowHeight="12456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3" l="1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E15" i="5" l="1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<sst xmlns="http://schemas.openxmlformats.org/spreadsheetml/2006/main" count="122" uniqueCount="87">
  <si>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</si>
  <si>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</si>
  <si>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</si>
  <si>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</si>
  <si>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</si>
  <si>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</si>
  <si>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</si>
  <si>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</si>
  <si>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</si>
  <si>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</si>
  <si>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</si>
  <si>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</si>
  <si>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</si>
  <si>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</si>
  <si>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</si>
  <si>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</si>
  <si>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</si>
  <si>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</si>
  <si>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</si>
  <si>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</si>
  <si>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</si>
  <si>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</si>
  <si>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</si>
  <si>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</si>
  <si>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</si>
  <si>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</si>
  <si>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</si>
  <si>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</si>
  <si>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</si>
  <si>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</si>
  <si>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</si>
  <si>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</si>
  <si>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</si>
  <si>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</si>
  <si>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</si>
  <si>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</si>
  <si>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</si>
  <si>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</si>
  <si>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</si>
  <si>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</si>
  <si>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</si>
  <si>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</si>
  <si>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</si>
  <si>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</si>
  <si>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</si>
  <si>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</si>
  <si>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</si>
  <si>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</si>
  <si>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</si>
  <si>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</si>
  <si>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</si>
  <si>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</si>
  <si>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</si>
  <si>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</si>
  <si>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</si>
  <si>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</si>
  <si>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</si>
  <si>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</si>
  <si>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</si>
  <si>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</si>
  <si>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</si>
  <si>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</si>
  <si>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</si>
  <si>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</si>
  <si>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</si>
  <si>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</si>
  <si>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</si>
  <si>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</si>
  <si>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</si>
  <si>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</si>
  <si>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</si>
  <si>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</si>
  <si>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</si>
  <si>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</si>
  <si>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</si>
  <si>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</si>
  <si>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</si>
  <si>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</si>
  <si>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</si>
  <si>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</si>
  <si>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</si>
  <si>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</si>
  <si>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</si>
  <si>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Occupied Room &amp; Number of Guest
April 2020</t>
  </si>
  <si>
    <t>DAILY GAS METER READINGS &amp; CONSUMPTION (Liters) APRIL 2020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</si>
  <si>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APRIL  2020</t>
    </r>
  </si>
  <si>
    <t>DAILY ELECTRICITY METER READINGS &amp; CONSUMPTION APRIL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</si>
</sst>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8" fontId="26" fillId="0" borderId="21" xfId="1" applyNumberFormat="1" applyFont="1" applyFill="1" applyBorder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H2" sqref="H2:H32"/>
    </sheetView>
  </sheetViews>
  <sheetFormatPr defaultColWidth="11.5546875" defaultRowHeight="14.4" x14ac:dyDescent="0.3"/>
  <cols>
    <col min="1" max="1" width="29.109375" style="2" bestFit="1" customWidth="1"/>
    <col min="2" max="3" width="11.5546875" style="10"/>
    <col min="4" max="4" width="13.44140625" style="10" customWidth="1"/>
    <col min="5" max="5" width="12.5546875" style="3" customWidth="1"/>
    <col min="6" max="6" width="12.5546875" style="11" customWidth="1"/>
    <col min="7" max="7" width="11.5546875" style="3"/>
    <col min="8" max="8" width="11.5546875" style="11"/>
    <col min="9" max="9" width="11.5546875" style="3"/>
    <col min="10" max="10" width="11.5546875" style="12"/>
    <col min="11" max="24" width="11.5546875" style="3"/>
  </cols>
  <sheetData>
    <row r="1" spans="1:12" s="8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3">
      <c r="A2" s="9" t="s">
        <v>12</v>
      </c>
      <c r="B2" s="10">
        <v>1</v>
      </c>
      <c r="C2" s="10">
        <v>4</v>
      </c>
      <c r="D2" s="10">
        <v>2020</v>
      </c>
      <c r="E2" s="4" cm="1">
        <f t="array" ref="E2:E32">TRANSPOSE(Electricity!E21:AI21)</f>
        <v>24668</v>
      </c>
      <c r="F2" s="11">
        <v>0.2</v>
      </c>
      <c r="G2" s="4">
        <f>LPG!C4</f>
        <v>1454.6473333333333</v>
      </c>
      <c r="H2" s="11">
        <v>1.1400000274980742</v>
      </c>
      <c r="I2" s="4" cm="1">
        <f t="array" ref="I2:I32">TRANSPOSE(Water!E15:AI15)</f>
        <v>267.54900000000566</v>
      </c>
      <c r="J2" s="11">
        <v>7.84</v>
      </c>
      <c r="K2" s="4">
        <f>'Occupied &amp; No. of Guest'!B3</f>
        <v>223</v>
      </c>
      <c r="L2" s="4">
        <f>'Occupied &amp; No. of Guest'!C3</f>
        <v>251</v>
      </c>
    </row>
    <row r="3" spans="1:12" x14ac:dyDescent="0.3">
      <c r="A3" s="9" t="s">
        <v>12</v>
      </c>
      <c r="B3" s="10">
        <f>B2+1</f>
        <v>2</v>
      </c>
      <c r="C3" s="10">
        <v>4</v>
      </c>
      <c r="D3" s="10">
        <v>2020</v>
      </c>
      <c r="E3" s="4">
        <v>25873</v>
      </c>
      <c r="F3" s="11">
        <v>0.2</v>
      </c>
      <c r="G3" s="4">
        <f>LPG!C5</f>
        <v>1454.6473333333333</v>
      </c>
      <c r="H3" s="11">
        <v>1.1400000274980742</v>
      </c>
      <c r="I3" s="4">
        <v>319.89400000000353</v>
      </c>
      <c r="J3" s="11">
        <v>7.84</v>
      </c>
      <c r="K3" s="4">
        <f>'Occupied &amp; No. of Guest'!B4</f>
        <v>221</v>
      </c>
      <c r="L3" s="4">
        <f>'Occupied &amp; No. of Guest'!C4</f>
        <v>266</v>
      </c>
    </row>
    <row r="4" spans="1:12" x14ac:dyDescent="0.3">
      <c r="A4" s="9" t="s">
        <v>12</v>
      </c>
      <c r="B4" s="10">
        <f t="shared" ref="B4:B32" si="0">B3+1</f>
        <v>3</v>
      </c>
      <c r="C4" s="10">
        <v>4</v>
      </c>
      <c r="D4" s="10">
        <v>2020</v>
      </c>
      <c r="E4" s="4">
        <v>25874</v>
      </c>
      <c r="F4" s="11">
        <v>0.2</v>
      </c>
      <c r="G4" s="4">
        <f>LPG!C6</f>
        <v>1454.6473333333333</v>
      </c>
      <c r="H4" s="11">
        <v>1.1400000274980742</v>
      </c>
      <c r="I4" s="4">
        <v>140.39000000001707</v>
      </c>
      <c r="J4" s="11">
        <v>7.84</v>
      </c>
      <c r="K4" s="4">
        <f>'Occupied &amp; No. of Guest'!B5</f>
        <v>226</v>
      </c>
      <c r="L4" s="4">
        <f>'Occupied &amp; No. of Guest'!C5</f>
        <v>312</v>
      </c>
    </row>
    <row r="5" spans="1:12" x14ac:dyDescent="0.3">
      <c r="A5" s="9" t="s">
        <v>12</v>
      </c>
      <c r="B5" s="10">
        <f t="shared" si="0"/>
        <v>4</v>
      </c>
      <c r="C5" s="10">
        <v>4</v>
      </c>
      <c r="D5" s="10">
        <v>2020</v>
      </c>
      <c r="E5" s="4">
        <v>25480</v>
      </c>
      <c r="F5" s="11">
        <v>0.2</v>
      </c>
      <c r="G5" s="4">
        <f>LPG!C7</f>
        <v>1454.6473333333333</v>
      </c>
      <c r="H5" s="11">
        <v>1.1400000274980742</v>
      </c>
      <c r="I5" s="4">
        <v>354.81799999997401</v>
      </c>
      <c r="J5" s="11">
        <v>7.84</v>
      </c>
      <c r="K5" s="4">
        <f>'Occupied &amp; No. of Guest'!B6</f>
        <v>221</v>
      </c>
      <c r="L5" s="4">
        <f>'Occupied &amp; No. of Guest'!C6</f>
        <v>327</v>
      </c>
    </row>
    <row r="6" spans="1:12" x14ac:dyDescent="0.3">
      <c r="A6" s="9" t="s">
        <v>12</v>
      </c>
      <c r="B6" s="10">
        <f t="shared" si="0"/>
        <v>5</v>
      </c>
      <c r="C6" s="10">
        <v>4</v>
      </c>
      <c r="D6" s="10">
        <v>2020</v>
      </c>
      <c r="E6" s="4">
        <v>24878</v>
      </c>
      <c r="F6" s="11">
        <v>0.2</v>
      </c>
      <c r="G6" s="4">
        <f>LPG!C8</f>
        <v>1454.6473333333333</v>
      </c>
      <c r="H6" s="11">
        <v>1.1400000274980742</v>
      </c>
      <c r="I6" s="4">
        <v>252.00599999999702</v>
      </c>
      <c r="J6" s="11">
        <v>7.84</v>
      </c>
      <c r="K6" s="4">
        <f>'Occupied &amp; No. of Guest'!B7</f>
        <v>224</v>
      </c>
      <c r="L6" s="4">
        <f>'Occupied &amp; No. of Guest'!C7</f>
        <v>364</v>
      </c>
    </row>
    <row r="7" spans="1:12" x14ac:dyDescent="0.3">
      <c r="A7" s="9" t="s">
        <v>12</v>
      </c>
      <c r="B7" s="10">
        <f t="shared" si="0"/>
        <v>6</v>
      </c>
      <c r="C7" s="10">
        <v>4</v>
      </c>
      <c r="D7" s="10">
        <v>2020</v>
      </c>
      <c r="E7" s="4">
        <v>25083</v>
      </c>
      <c r="F7" s="11">
        <v>0.2</v>
      </c>
      <c r="G7" s="4">
        <f>LPG!C9</f>
        <v>1454.6473333333333</v>
      </c>
      <c r="H7" s="11">
        <v>1.1400000274980742</v>
      </c>
      <c r="I7" s="4">
        <v>271.36800000001097</v>
      </c>
      <c r="J7" s="11">
        <v>7.84</v>
      </c>
      <c r="K7" s="4">
        <f>'Occupied &amp; No. of Guest'!B8</f>
        <v>227</v>
      </c>
      <c r="L7" s="4">
        <f>'Occupied &amp; No. of Guest'!C8</f>
        <v>417</v>
      </c>
    </row>
    <row r="8" spans="1:12" x14ac:dyDescent="0.3">
      <c r="A8" s="9" t="s">
        <v>12</v>
      </c>
      <c r="B8" s="10">
        <f t="shared" si="0"/>
        <v>7</v>
      </c>
      <c r="C8" s="10">
        <v>4</v>
      </c>
      <c r="D8" s="10">
        <v>2020</v>
      </c>
      <c r="E8" s="4">
        <v>24080</v>
      </c>
      <c r="F8" s="11">
        <v>0.2</v>
      </c>
      <c r="G8" s="4">
        <f>LPG!C10</f>
        <v>1454.6473333333333</v>
      </c>
      <c r="H8" s="11">
        <v>1.1400000274980742</v>
      </c>
      <c r="I8" s="4">
        <v>252.76100000000116</v>
      </c>
      <c r="J8" s="11">
        <v>7.84</v>
      </c>
      <c r="K8" s="4">
        <f>'Occupied &amp; No. of Guest'!B9</f>
        <v>228</v>
      </c>
      <c r="L8" s="4">
        <f>'Occupied &amp; No. of Guest'!C9</f>
        <v>453</v>
      </c>
    </row>
    <row r="9" spans="1:12" x14ac:dyDescent="0.3">
      <c r="A9" s="9" t="s">
        <v>12</v>
      </c>
      <c r="B9" s="10">
        <f t="shared" si="0"/>
        <v>8</v>
      </c>
      <c r="C9" s="10">
        <v>4</v>
      </c>
      <c r="D9" s="10">
        <v>2020</v>
      </c>
      <c r="E9" s="4">
        <v>25079</v>
      </c>
      <c r="F9" s="11">
        <v>0.2</v>
      </c>
      <c r="G9" s="4">
        <f>LPG!C11</f>
        <v>1454.6473333333333</v>
      </c>
      <c r="H9" s="11">
        <v>1.1400000274980742</v>
      </c>
      <c r="I9" s="4">
        <v>366.44299999999657</v>
      </c>
      <c r="J9" s="11">
        <v>7.84</v>
      </c>
      <c r="K9" s="4">
        <f>'Occupied &amp; No. of Guest'!B10</f>
        <v>210</v>
      </c>
      <c r="L9" s="4">
        <f>'Occupied &amp; No. of Guest'!C10</f>
        <v>442</v>
      </c>
    </row>
    <row r="10" spans="1:12" x14ac:dyDescent="0.3">
      <c r="A10" s="9" t="s">
        <v>12</v>
      </c>
      <c r="B10" s="10">
        <f t="shared" si="0"/>
        <v>9</v>
      </c>
      <c r="C10" s="10">
        <v>4</v>
      </c>
      <c r="D10" s="10">
        <v>2020</v>
      </c>
      <c r="E10" s="4">
        <v>24880</v>
      </c>
      <c r="F10" s="11">
        <v>0.2</v>
      </c>
      <c r="G10" s="4">
        <f>LPG!C12</f>
        <v>1454.6473333333333</v>
      </c>
      <c r="H10" s="11">
        <v>1.1400000274980742</v>
      </c>
      <c r="I10" s="4">
        <v>409.52999999999719</v>
      </c>
      <c r="J10" s="11">
        <v>7.84</v>
      </c>
      <c r="K10" s="4">
        <f>'Occupied &amp; No. of Guest'!B11</f>
        <v>220</v>
      </c>
      <c r="L10" s="4">
        <f>'Occupied &amp; No. of Guest'!C11</f>
        <v>452</v>
      </c>
    </row>
    <row r="11" spans="1:12" x14ac:dyDescent="0.3">
      <c r="A11" s="9" t="s">
        <v>12</v>
      </c>
      <c r="B11" s="10">
        <f t="shared" si="0"/>
        <v>10</v>
      </c>
      <c r="C11" s="10">
        <v>4</v>
      </c>
      <c r="D11" s="10">
        <v>2020</v>
      </c>
      <c r="E11" s="4">
        <v>25881</v>
      </c>
      <c r="F11" s="11">
        <v>0.2</v>
      </c>
      <c r="G11" s="4">
        <f>LPG!C13</f>
        <v>1454.6473333333333</v>
      </c>
      <c r="H11" s="11">
        <v>1.1400000274980742</v>
      </c>
      <c r="I11" s="4">
        <v>186.61699999999729</v>
      </c>
      <c r="J11" s="11">
        <v>7.84</v>
      </c>
      <c r="K11" s="4">
        <f>'Occupied &amp; No. of Guest'!B12</f>
        <v>222</v>
      </c>
      <c r="L11" s="4">
        <f>'Occupied &amp; No. of Guest'!C12</f>
        <v>453</v>
      </c>
    </row>
    <row r="12" spans="1:12" x14ac:dyDescent="0.3">
      <c r="A12" s="9" t="s">
        <v>12</v>
      </c>
      <c r="B12" s="10">
        <f t="shared" si="0"/>
        <v>11</v>
      </c>
      <c r="C12" s="10">
        <v>4</v>
      </c>
      <c r="D12" s="10">
        <v>2020</v>
      </c>
      <c r="E12" s="4">
        <v>24485</v>
      </c>
      <c r="F12" s="11">
        <v>0.2</v>
      </c>
      <c r="G12" s="4">
        <f>LPG!C14</f>
        <v>1454.6473333333333</v>
      </c>
      <c r="H12" s="11">
        <v>1.1400000274980742</v>
      </c>
      <c r="I12" s="4">
        <v>355.30500000001484</v>
      </c>
      <c r="J12" s="11">
        <v>7.84</v>
      </c>
      <c r="K12" s="4">
        <f>'Occupied &amp; No. of Guest'!B13</f>
        <v>216</v>
      </c>
      <c r="L12" s="4">
        <f>'Occupied &amp; No. of Guest'!C13</f>
        <v>449</v>
      </c>
    </row>
    <row r="13" spans="1:12" x14ac:dyDescent="0.3">
      <c r="A13" s="9" t="s">
        <v>12</v>
      </c>
      <c r="B13" s="10">
        <f t="shared" si="0"/>
        <v>12</v>
      </c>
      <c r="C13" s="10">
        <v>4</v>
      </c>
      <c r="D13" s="10">
        <v>2020</v>
      </c>
      <c r="E13" s="4">
        <v>23890</v>
      </c>
      <c r="F13" s="11">
        <v>0.2</v>
      </c>
      <c r="G13" s="4">
        <f>LPG!C15</f>
        <v>1454.6473333333333</v>
      </c>
      <c r="H13" s="11">
        <v>1.1400000274980742</v>
      </c>
      <c r="I13" s="4">
        <v>277.25899999999581</v>
      </c>
      <c r="J13" s="11">
        <v>7.84</v>
      </c>
      <c r="K13" s="4">
        <f>'Occupied &amp; No. of Guest'!B14</f>
        <v>222</v>
      </c>
      <c r="L13" s="4">
        <f>'Occupied &amp; No. of Guest'!C14</f>
        <v>466</v>
      </c>
    </row>
    <row r="14" spans="1:12" x14ac:dyDescent="0.3">
      <c r="A14" s="9" t="s">
        <v>12</v>
      </c>
      <c r="B14" s="10">
        <f t="shared" si="0"/>
        <v>13</v>
      </c>
      <c r="C14" s="10">
        <v>4</v>
      </c>
      <c r="D14" s="10">
        <v>2020</v>
      </c>
      <c r="E14" s="4">
        <v>24086</v>
      </c>
      <c r="F14" s="11">
        <v>0.2</v>
      </c>
      <c r="G14" s="4">
        <f>LPG!C16</f>
        <v>1454.6473333333333</v>
      </c>
      <c r="H14" s="11">
        <v>1.1400000274980742</v>
      </c>
      <c r="I14" s="4">
        <v>340.51300000000356</v>
      </c>
      <c r="J14" s="11">
        <v>7.84</v>
      </c>
      <c r="K14" s="4">
        <f>'Occupied &amp; No. of Guest'!B15</f>
        <v>230</v>
      </c>
      <c r="L14" s="4">
        <f>'Occupied &amp; No. of Guest'!C15</f>
        <v>491</v>
      </c>
    </row>
    <row r="15" spans="1:12" x14ac:dyDescent="0.3">
      <c r="A15" s="9" t="s">
        <v>12</v>
      </c>
      <c r="B15" s="10">
        <f t="shared" si="0"/>
        <v>14</v>
      </c>
      <c r="C15" s="10">
        <v>4</v>
      </c>
      <c r="D15" s="10">
        <v>2020</v>
      </c>
      <c r="E15" s="4">
        <v>26326</v>
      </c>
      <c r="F15" s="11">
        <v>0.2</v>
      </c>
      <c r="G15" s="4">
        <f>LPG!C17</f>
        <v>1454.6473333333333</v>
      </c>
      <c r="H15" s="11">
        <v>1.1400000274980742</v>
      </c>
      <c r="I15" s="4">
        <v>339.15000000000492</v>
      </c>
      <c r="J15" s="11">
        <v>7.84</v>
      </c>
      <c r="K15" s="4">
        <f>'Occupied &amp; No. of Guest'!B16</f>
        <v>229</v>
      </c>
      <c r="L15" s="4">
        <f>'Occupied &amp; No. of Guest'!C16</f>
        <v>493</v>
      </c>
    </row>
    <row r="16" spans="1:12" x14ac:dyDescent="0.3">
      <c r="A16" s="9" t="s">
        <v>12</v>
      </c>
      <c r="B16" s="10">
        <f t="shared" si="0"/>
        <v>15</v>
      </c>
      <c r="C16" s="10">
        <v>4</v>
      </c>
      <c r="D16" s="10">
        <v>2020</v>
      </c>
      <c r="E16" s="4">
        <v>24884</v>
      </c>
      <c r="F16" s="11">
        <v>0.2</v>
      </c>
      <c r="G16" s="4">
        <f>LPG!C18</f>
        <v>1454.6473333333333</v>
      </c>
      <c r="H16" s="11">
        <v>1.1400000274980742</v>
      </c>
      <c r="I16" s="4">
        <v>297.20099999997967</v>
      </c>
      <c r="J16" s="11">
        <v>7.84</v>
      </c>
      <c r="K16" s="4">
        <f>'Occupied &amp; No. of Guest'!B17</f>
        <v>227</v>
      </c>
      <c r="L16" s="4">
        <f>'Occupied &amp; No. of Guest'!C17</f>
        <v>477</v>
      </c>
    </row>
    <row r="17" spans="1:12" x14ac:dyDescent="0.3">
      <c r="A17" s="9" t="s">
        <v>12</v>
      </c>
      <c r="B17" s="10">
        <f t="shared" si="0"/>
        <v>16</v>
      </c>
      <c r="C17" s="10">
        <v>4</v>
      </c>
      <c r="D17" s="10">
        <v>2020</v>
      </c>
      <c r="E17" s="4">
        <v>25286</v>
      </c>
      <c r="F17" s="11">
        <v>0.2</v>
      </c>
      <c r="G17" s="4">
        <f>LPG!C19</f>
        <v>1454.6473333333333</v>
      </c>
      <c r="H17" s="11">
        <v>1.1400000274980742</v>
      </c>
      <c r="I17" s="4">
        <v>198.46699999999274</v>
      </c>
      <c r="J17" s="11">
        <v>7.84</v>
      </c>
      <c r="K17" s="4">
        <f>'Occupied &amp; No. of Guest'!B18</f>
        <v>224</v>
      </c>
      <c r="L17" s="4">
        <f>'Occupied &amp; No. of Guest'!C18</f>
        <v>469</v>
      </c>
    </row>
    <row r="18" spans="1:12" x14ac:dyDescent="0.3">
      <c r="A18" s="9" t="s">
        <v>12</v>
      </c>
      <c r="B18" s="10">
        <f t="shared" si="0"/>
        <v>17</v>
      </c>
      <c r="C18" s="10">
        <v>4</v>
      </c>
      <c r="D18" s="10">
        <v>2020</v>
      </c>
      <c r="E18" s="4">
        <v>24483</v>
      </c>
      <c r="F18" s="11">
        <v>0.2</v>
      </c>
      <c r="G18" s="4">
        <f>LPG!C20</f>
        <v>1454.6473333333333</v>
      </c>
      <c r="H18" s="11">
        <v>1.1400000274980742</v>
      </c>
      <c r="I18" s="4">
        <v>262.57500000002199</v>
      </c>
      <c r="J18" s="11">
        <v>7.84</v>
      </c>
      <c r="K18" s="4">
        <f>'Occupied &amp; No. of Guest'!B19</f>
        <v>233</v>
      </c>
      <c r="L18" s="4">
        <f>'Occupied &amp; No. of Guest'!C19</f>
        <v>503</v>
      </c>
    </row>
    <row r="19" spans="1:12" x14ac:dyDescent="0.3">
      <c r="A19" s="9" t="s">
        <v>12</v>
      </c>
      <c r="B19" s="10">
        <f t="shared" si="0"/>
        <v>18</v>
      </c>
      <c r="C19" s="10">
        <v>4</v>
      </c>
      <c r="D19" s="10">
        <v>2020</v>
      </c>
      <c r="E19" s="4">
        <v>24483</v>
      </c>
      <c r="F19" s="11">
        <v>0.2</v>
      </c>
      <c r="G19" s="4">
        <f>LPG!C21</f>
        <v>1454.6473333333333</v>
      </c>
      <c r="H19" s="11">
        <v>1.1400000274980742</v>
      </c>
      <c r="I19" s="4">
        <v>339.47099999999557</v>
      </c>
      <c r="J19" s="11">
        <v>7.84</v>
      </c>
      <c r="K19" s="4">
        <f>'Occupied &amp; No. of Guest'!B20</f>
        <v>222</v>
      </c>
      <c r="L19" s="4">
        <f>'Occupied &amp; No. of Guest'!C20</f>
        <v>472</v>
      </c>
    </row>
    <row r="20" spans="1:12" x14ac:dyDescent="0.3">
      <c r="A20" s="9" t="s">
        <v>12</v>
      </c>
      <c r="B20" s="10">
        <f t="shared" si="0"/>
        <v>19</v>
      </c>
      <c r="C20" s="10">
        <v>4</v>
      </c>
      <c r="D20" s="10">
        <v>2020</v>
      </c>
      <c r="E20" s="4">
        <v>26282</v>
      </c>
      <c r="F20" s="11">
        <v>0.2</v>
      </c>
      <c r="G20" s="4">
        <f>LPG!C22</f>
        <v>1454.6473333333333</v>
      </c>
      <c r="H20" s="11">
        <v>1.1400000274980742</v>
      </c>
      <c r="I20" s="4">
        <v>364.36799999998493</v>
      </c>
      <c r="J20" s="11">
        <v>7.84</v>
      </c>
      <c r="K20" s="4">
        <f>'Occupied &amp; No. of Guest'!B21</f>
        <v>214</v>
      </c>
      <c r="L20" s="4">
        <f>'Occupied &amp; No. of Guest'!C21</f>
        <v>465</v>
      </c>
    </row>
    <row r="21" spans="1:12" x14ac:dyDescent="0.3">
      <c r="A21" s="9" t="s">
        <v>12</v>
      </c>
      <c r="B21" s="10">
        <f t="shared" si="0"/>
        <v>20</v>
      </c>
      <c r="C21" s="10">
        <v>4</v>
      </c>
      <c r="D21" s="10">
        <v>2020</v>
      </c>
      <c r="E21" s="4">
        <v>25482</v>
      </c>
      <c r="F21" s="11">
        <v>0.2</v>
      </c>
      <c r="G21" s="4">
        <f>LPG!C23</f>
        <v>1454.6473333333333</v>
      </c>
      <c r="H21" s="11">
        <v>1.1400000274980742</v>
      </c>
      <c r="I21" s="4">
        <v>372.70900000001734</v>
      </c>
      <c r="J21" s="11">
        <v>7.84</v>
      </c>
      <c r="K21" s="4">
        <f>'Occupied &amp; No. of Guest'!B22</f>
        <v>208</v>
      </c>
      <c r="L21" s="4">
        <f>'Occupied &amp; No. of Guest'!C22</f>
        <v>452</v>
      </c>
    </row>
    <row r="22" spans="1:12" x14ac:dyDescent="0.3">
      <c r="A22" s="9" t="s">
        <v>12</v>
      </c>
      <c r="B22" s="10">
        <f t="shared" si="0"/>
        <v>21</v>
      </c>
      <c r="C22" s="10">
        <v>4</v>
      </c>
      <c r="D22" s="10">
        <v>2020</v>
      </c>
      <c r="E22" s="4">
        <v>26683</v>
      </c>
      <c r="F22" s="11">
        <v>0.2</v>
      </c>
      <c r="G22" s="4">
        <f>LPG!C24</f>
        <v>1454.6473333333333</v>
      </c>
      <c r="H22" s="11">
        <v>1.1400000274980742</v>
      </c>
      <c r="I22" s="4">
        <v>302.41000000000315</v>
      </c>
      <c r="J22" s="11">
        <v>7.84</v>
      </c>
      <c r="K22" s="4">
        <f>'Occupied &amp; No. of Guest'!B23</f>
        <v>212</v>
      </c>
      <c r="L22" s="4">
        <f>'Occupied &amp; No. of Guest'!C23</f>
        <v>461</v>
      </c>
    </row>
    <row r="23" spans="1:12" x14ac:dyDescent="0.3">
      <c r="A23" s="9" t="s">
        <v>12</v>
      </c>
      <c r="B23" s="10">
        <f t="shared" si="0"/>
        <v>22</v>
      </c>
      <c r="C23" s="10">
        <v>4</v>
      </c>
      <c r="D23" s="10">
        <v>2020</v>
      </c>
      <c r="E23" s="4">
        <v>26680</v>
      </c>
      <c r="F23" s="11">
        <v>0.2</v>
      </c>
      <c r="G23" s="4">
        <f>LPG!C25</f>
        <v>1454.6473333333333</v>
      </c>
      <c r="H23" s="11">
        <v>1.1400000274980742</v>
      </c>
      <c r="I23" s="4">
        <v>377.38599999999917</v>
      </c>
      <c r="J23" s="11">
        <v>7.84</v>
      </c>
      <c r="K23" s="4">
        <f>'Occupied &amp; No. of Guest'!B24</f>
        <v>210</v>
      </c>
      <c r="L23" s="4">
        <f>'Occupied &amp; No. of Guest'!C24</f>
        <v>471</v>
      </c>
    </row>
    <row r="24" spans="1:12" x14ac:dyDescent="0.3">
      <c r="A24" s="9" t="s">
        <v>12</v>
      </c>
      <c r="B24" s="10">
        <f t="shared" si="0"/>
        <v>23</v>
      </c>
      <c r="C24" s="10">
        <v>4</v>
      </c>
      <c r="D24" s="10">
        <v>2020</v>
      </c>
      <c r="E24" s="4">
        <v>26690</v>
      </c>
      <c r="F24" s="11">
        <v>0.2</v>
      </c>
      <c r="G24" s="4">
        <f>LPG!C26</f>
        <v>1454.6473333333333</v>
      </c>
      <c r="H24" s="11">
        <v>1.1400000274980742</v>
      </c>
      <c r="I24" s="4">
        <v>352.26100000000042</v>
      </c>
      <c r="J24" s="11">
        <v>7.84</v>
      </c>
      <c r="K24" s="4">
        <f>'Occupied &amp; No. of Guest'!B25</f>
        <v>201</v>
      </c>
      <c r="L24" s="4">
        <f>'Occupied &amp; No. of Guest'!C25</f>
        <v>461</v>
      </c>
    </row>
    <row r="25" spans="1:12" x14ac:dyDescent="0.3">
      <c r="A25" s="9" t="s">
        <v>12</v>
      </c>
      <c r="B25" s="10">
        <f t="shared" si="0"/>
        <v>24</v>
      </c>
      <c r="C25" s="10">
        <v>4</v>
      </c>
      <c r="D25" s="10">
        <v>2020</v>
      </c>
      <c r="E25" s="4">
        <v>25094</v>
      </c>
      <c r="F25" s="11">
        <v>0.2</v>
      </c>
      <c r="G25" s="4">
        <f>LPG!C27</f>
        <v>1454.6473333333333</v>
      </c>
      <c r="H25" s="11">
        <v>1.1400000274980742</v>
      </c>
      <c r="I25" s="4">
        <v>199.50099999999074</v>
      </c>
      <c r="J25" s="11">
        <v>7.84</v>
      </c>
      <c r="K25" s="4">
        <f>'Occupied &amp; No. of Guest'!B26</f>
        <v>199</v>
      </c>
      <c r="L25" s="4">
        <f>'Occupied &amp; No. of Guest'!C26</f>
        <v>465</v>
      </c>
    </row>
    <row r="26" spans="1:12" x14ac:dyDescent="0.3">
      <c r="A26" s="9" t="s">
        <v>12</v>
      </c>
      <c r="B26" s="10">
        <f>B25+1</f>
        <v>25</v>
      </c>
      <c r="C26" s="10">
        <v>4</v>
      </c>
      <c r="D26" s="10">
        <v>2020</v>
      </c>
      <c r="E26" s="4">
        <v>28281</v>
      </c>
      <c r="F26" s="11">
        <v>0.2</v>
      </c>
      <c r="G26" s="4">
        <f>LPG!C28</f>
        <v>1454.6473333333333</v>
      </c>
      <c r="H26" s="11">
        <v>1.1400000274980742</v>
      </c>
      <c r="I26" s="4">
        <v>323.6460000000036</v>
      </c>
      <c r="J26" s="11">
        <v>7.84</v>
      </c>
      <c r="K26" s="4">
        <f>'Occupied &amp; No. of Guest'!B27</f>
        <v>202</v>
      </c>
      <c r="L26" s="4">
        <f>'Occupied &amp; No. of Guest'!C27</f>
        <v>483</v>
      </c>
    </row>
    <row r="27" spans="1:12" x14ac:dyDescent="0.3">
      <c r="A27" s="9" t="s">
        <v>12</v>
      </c>
      <c r="B27" s="10">
        <f t="shared" si="0"/>
        <v>26</v>
      </c>
      <c r="C27" s="10">
        <v>4</v>
      </c>
      <c r="D27" s="10">
        <v>2020</v>
      </c>
      <c r="E27" s="4">
        <v>28282</v>
      </c>
      <c r="F27" s="11">
        <v>0.2</v>
      </c>
      <c r="G27" s="4">
        <f>LPG!C29</f>
        <v>1454.6473333333333</v>
      </c>
      <c r="H27" s="11">
        <v>1.1400000274980742</v>
      </c>
      <c r="I27" s="4">
        <v>350.56799999999987</v>
      </c>
      <c r="J27" s="11">
        <v>7.84</v>
      </c>
      <c r="K27" s="4">
        <f>'Occupied &amp; No. of Guest'!B28</f>
        <v>198</v>
      </c>
      <c r="L27" s="4">
        <f>'Occupied &amp; No. of Guest'!C28</f>
        <v>482</v>
      </c>
    </row>
    <row r="28" spans="1:12" x14ac:dyDescent="0.3">
      <c r="A28" s="9" t="s">
        <v>12</v>
      </c>
      <c r="B28" s="10">
        <f t="shared" si="0"/>
        <v>27</v>
      </c>
      <c r="C28" s="10">
        <v>4</v>
      </c>
      <c r="D28" s="10">
        <v>2020</v>
      </c>
      <c r="E28" s="4">
        <v>28493</v>
      </c>
      <c r="F28" s="11">
        <v>0.2</v>
      </c>
      <c r="G28" s="4">
        <f>LPG!C30</f>
        <v>1454.6473333333333</v>
      </c>
      <c r="H28" s="11">
        <v>1.1400000274980742</v>
      </c>
      <c r="I28" s="4">
        <v>281.98199999999196</v>
      </c>
      <c r="J28" s="11">
        <v>7.84</v>
      </c>
      <c r="K28" s="4">
        <f>'Occupied &amp; No. of Guest'!B29</f>
        <v>200</v>
      </c>
      <c r="L28" s="4">
        <f>'Occupied &amp; No. of Guest'!C29</f>
        <v>486</v>
      </c>
    </row>
    <row r="29" spans="1:12" x14ac:dyDescent="0.3">
      <c r="A29" s="9" t="s">
        <v>12</v>
      </c>
      <c r="B29" s="10">
        <f t="shared" si="0"/>
        <v>28</v>
      </c>
      <c r="C29" s="10">
        <v>4</v>
      </c>
      <c r="D29" s="10">
        <v>2020</v>
      </c>
      <c r="E29" s="4">
        <v>30098</v>
      </c>
      <c r="F29" s="11">
        <v>0.2</v>
      </c>
      <c r="G29" s="4">
        <f>LPG!C31</f>
        <v>1454.6473333333333</v>
      </c>
      <c r="H29" s="11">
        <v>1.1400000274980742</v>
      </c>
      <c r="I29" s="4">
        <v>339.61300000000011</v>
      </c>
      <c r="J29" s="11">
        <v>7.84</v>
      </c>
      <c r="K29" s="4">
        <f>'Occupied &amp; No. of Guest'!B30</f>
        <v>203</v>
      </c>
      <c r="L29" s="4">
        <f>'Occupied &amp; No. of Guest'!C30</f>
        <v>493</v>
      </c>
    </row>
    <row r="30" spans="1:12" x14ac:dyDescent="0.3">
      <c r="A30" s="9" t="s">
        <v>12</v>
      </c>
      <c r="B30" s="10">
        <f t="shared" si="0"/>
        <v>29</v>
      </c>
      <c r="C30" s="10">
        <v>4</v>
      </c>
      <c r="D30" s="10">
        <v>2020</v>
      </c>
      <c r="E30" s="4">
        <v>29506</v>
      </c>
      <c r="F30" s="11">
        <v>0.2</v>
      </c>
      <c r="G30" s="4">
        <f>LPG!C32</f>
        <v>1454.6473333333333</v>
      </c>
      <c r="H30" s="11">
        <v>1.1400000274980742</v>
      </c>
      <c r="I30" s="4">
        <v>374.54200000001094</v>
      </c>
      <c r="J30" s="11">
        <v>7.84</v>
      </c>
      <c r="K30" s="4">
        <f>'Occupied &amp; No. of Guest'!B31</f>
        <v>200</v>
      </c>
      <c r="L30" s="4">
        <f>'Occupied &amp; No. of Guest'!C31</f>
        <v>489</v>
      </c>
    </row>
    <row r="31" spans="1:12" x14ac:dyDescent="0.3">
      <c r="A31" s="9" t="s">
        <v>12</v>
      </c>
      <c r="B31" s="10">
        <f t="shared" si="0"/>
        <v>30</v>
      </c>
      <c r="C31" s="10">
        <v>4</v>
      </c>
      <c r="D31" s="10">
        <v>2020</v>
      </c>
      <c r="E31" s="4">
        <v>29895</v>
      </c>
      <c r="F31" s="11">
        <v>0.2</v>
      </c>
      <c r="G31" s="4">
        <f>LPG!C33</f>
        <v>1454.6473333333333</v>
      </c>
      <c r="H31" s="11">
        <v>1.1400000274980742</v>
      </c>
      <c r="I31" s="4">
        <v>357.27099999999137</v>
      </c>
      <c r="J31" s="11">
        <v>7.84</v>
      </c>
      <c r="K31" s="4">
        <f>'Occupied &amp; No. of Guest'!B32</f>
        <v>198</v>
      </c>
      <c r="L31" s="4">
        <f>'Occupied &amp; No. of Guest'!C32</f>
        <v>488</v>
      </c>
    </row>
    <row r="32" spans="1:12" x14ac:dyDescent="0.3">
      <c r="A32" s="9" t="s">
        <v>12</v>
      </c>
      <c r="B32" s="10">
        <f t="shared" si="0"/>
        <v>31</v>
      </c>
      <c r="C32" s="10">
        <v>4</v>
      </c>
      <c r="D32" s="10">
        <v>2020</v>
      </c>
      <c r="E32" s="4">
        <v>0</v>
      </c>
      <c r="F32" s="11">
        <v>0.2</v>
      </c>
      <c r="G32" s="4">
        <f>LPG!C34</f>
        <v>0</v>
      </c>
      <c r="H32" s="11">
        <v>1.1400000274980742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3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6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09375" defaultRowHeight="27" customHeight="1" x14ac:dyDescent="0.3"/>
  <cols>
    <col min="1" max="1" width="5.6640625" style="13" customWidth="1"/>
    <col min="2" max="2" width="17.33203125" style="26" customWidth="1"/>
    <col min="3" max="3" width="21.44140625" style="26" customWidth="1"/>
    <col min="4" max="4" width="10.5546875" style="13" customWidth="1"/>
    <col min="5" max="6" width="15" style="14" customWidth="1"/>
    <col min="7" max="35" width="15" style="13" customWidth="1"/>
    <col min="36" max="16384" width="9.109375" style="13"/>
  </cols>
  <sheetData>
    <row r="1" spans="1:67" ht="29.25" customHeight="1" x14ac:dyDescent="0.3">
      <c r="B1" s="13"/>
      <c r="C1" s="14"/>
      <c r="D1" s="14"/>
      <c r="G1" s="14"/>
    </row>
    <row r="2" spans="1:67" s="14" customFormat="1" ht="29.25" customHeight="1" x14ac:dyDescent="0.3">
      <c r="A2" s="65" t="s">
        <v>86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</row>
    <row r="3" spans="1:67" s="14" customFormat="1" ht="29.25" customHeight="1" thickBot="1" x14ac:dyDescent="0.35"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</row>
    <row r="4" spans="1:67" ht="42" thickBot="1" x14ac:dyDescent="0.35">
      <c r="A4" s="15" t="s">
        <v>13</v>
      </c>
      <c r="B4" s="16" t="s">
        <v>14</v>
      </c>
      <c r="C4" s="17" t="s">
        <v>15</v>
      </c>
      <c r="D4" s="18" t="s">
        <v>16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3">
      <c r="A5" s="67">
        <v>1</v>
      </c>
      <c r="B5" s="20" t="s">
        <v>17</v>
      </c>
      <c r="C5" s="69" t="s">
        <v>18</v>
      </c>
      <c r="D5" s="21">
        <v>71189</v>
      </c>
      <c r="E5" s="21">
        <v>71206</v>
      </c>
      <c r="F5" s="21">
        <v>71223</v>
      </c>
      <c r="G5" s="21">
        <v>71240</v>
      </c>
      <c r="H5" s="21">
        <v>71257</v>
      </c>
      <c r="I5" s="21">
        <v>71273</v>
      </c>
      <c r="J5" s="21">
        <v>71290</v>
      </c>
      <c r="K5" s="21">
        <v>71306</v>
      </c>
      <c r="L5" s="21">
        <v>71323</v>
      </c>
      <c r="M5" s="21">
        <v>71339</v>
      </c>
      <c r="N5" s="21">
        <v>71356</v>
      </c>
      <c r="O5" s="21">
        <v>71372</v>
      </c>
      <c r="P5" s="21">
        <v>71387</v>
      </c>
      <c r="Q5" s="21">
        <v>71403</v>
      </c>
      <c r="R5" s="21">
        <v>71420</v>
      </c>
      <c r="S5" s="21">
        <v>71436</v>
      </c>
      <c r="T5" s="21">
        <v>71452</v>
      </c>
      <c r="U5" s="21">
        <v>71468</v>
      </c>
      <c r="V5" s="21">
        <v>71484</v>
      </c>
      <c r="W5" s="21">
        <v>71501</v>
      </c>
      <c r="X5" s="21">
        <v>71518</v>
      </c>
      <c r="Y5" s="21">
        <v>71535</v>
      </c>
      <c r="Z5" s="21">
        <v>71552</v>
      </c>
      <c r="AA5" s="21">
        <v>71569</v>
      </c>
      <c r="AB5" s="21">
        <v>71584</v>
      </c>
      <c r="AC5" s="21">
        <v>71601</v>
      </c>
      <c r="AD5" s="21">
        <v>71618</v>
      </c>
      <c r="AE5" s="21">
        <v>71634</v>
      </c>
      <c r="AF5" s="21">
        <v>71652</v>
      </c>
      <c r="AG5" s="21">
        <v>71669</v>
      </c>
      <c r="AH5" s="21">
        <v>71686</v>
      </c>
      <c r="AI5" s="21"/>
    </row>
    <row r="6" spans="1:67" s="24" customFormat="1" ht="21.75" customHeight="1" x14ac:dyDescent="0.3">
      <c r="A6" s="68"/>
      <c r="B6" s="22"/>
      <c r="C6" s="70"/>
      <c r="D6" s="23"/>
      <c r="E6" s="23">
        <f>(E5-D5)*1000</f>
        <v>17000</v>
      </c>
      <c r="F6" s="23">
        <f t="shared" ref="F6:AH6" si="0">(F5-E5)*1000</f>
        <v>17000</v>
      </c>
      <c r="G6" s="23">
        <f t="shared" si="0"/>
        <v>17000</v>
      </c>
      <c r="H6" s="23">
        <f t="shared" si="0"/>
        <v>17000</v>
      </c>
      <c r="I6" s="23">
        <f t="shared" si="0"/>
        <v>16000</v>
      </c>
      <c r="J6" s="23">
        <f t="shared" si="0"/>
        <v>17000</v>
      </c>
      <c r="K6" s="23">
        <f t="shared" si="0"/>
        <v>16000</v>
      </c>
      <c r="L6" s="23">
        <f t="shared" si="0"/>
        <v>17000</v>
      </c>
      <c r="M6" s="23">
        <f t="shared" si="0"/>
        <v>16000</v>
      </c>
      <c r="N6" s="23">
        <f t="shared" si="0"/>
        <v>17000</v>
      </c>
      <c r="O6" s="23">
        <f t="shared" si="0"/>
        <v>16000</v>
      </c>
      <c r="P6" s="23">
        <f t="shared" si="0"/>
        <v>15000</v>
      </c>
      <c r="Q6" s="23">
        <f t="shared" si="0"/>
        <v>16000</v>
      </c>
      <c r="R6" s="23">
        <f t="shared" si="0"/>
        <v>17000</v>
      </c>
      <c r="S6" s="23">
        <f t="shared" si="0"/>
        <v>16000</v>
      </c>
      <c r="T6" s="23">
        <f t="shared" si="0"/>
        <v>16000</v>
      </c>
      <c r="U6" s="23">
        <f t="shared" si="0"/>
        <v>16000</v>
      </c>
      <c r="V6" s="23">
        <f t="shared" si="0"/>
        <v>16000</v>
      </c>
      <c r="W6" s="23">
        <f t="shared" si="0"/>
        <v>17000</v>
      </c>
      <c r="X6" s="23">
        <f t="shared" si="0"/>
        <v>17000</v>
      </c>
      <c r="Y6" s="23">
        <f t="shared" si="0"/>
        <v>17000</v>
      </c>
      <c r="Z6" s="23">
        <f t="shared" si="0"/>
        <v>17000</v>
      </c>
      <c r="AA6" s="23">
        <f t="shared" si="0"/>
        <v>17000</v>
      </c>
      <c r="AB6" s="23">
        <f t="shared" si="0"/>
        <v>15000</v>
      </c>
      <c r="AC6" s="23">
        <f t="shared" si="0"/>
        <v>17000</v>
      </c>
      <c r="AD6" s="23">
        <f t="shared" si="0"/>
        <v>17000</v>
      </c>
      <c r="AE6" s="23">
        <f t="shared" si="0"/>
        <v>16000</v>
      </c>
      <c r="AF6" s="23">
        <f t="shared" si="0"/>
        <v>18000</v>
      </c>
      <c r="AG6" s="23">
        <f t="shared" si="0"/>
        <v>17000</v>
      </c>
      <c r="AH6" s="23">
        <f t="shared" si="0"/>
        <v>17000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3">
      <c r="A7" s="71">
        <v>2</v>
      </c>
      <c r="B7" s="25" t="s">
        <v>19</v>
      </c>
      <c r="C7" s="73" t="s">
        <v>20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/>
    </row>
    <row r="8" spans="1:67" s="24" customFormat="1" ht="21.75" customHeight="1" x14ac:dyDescent="0.3">
      <c r="A8" s="72"/>
      <c r="B8" s="22"/>
      <c r="C8" s="70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3">
      <c r="A9" s="78">
        <v>3</v>
      </c>
      <c r="B9" s="36" t="s">
        <v>21</v>
      </c>
      <c r="C9" s="80" t="s">
        <v>22</v>
      </c>
      <c r="D9" s="21">
        <v>86133</v>
      </c>
      <c r="E9" s="21">
        <v>86136</v>
      </c>
      <c r="F9" s="21">
        <v>86139</v>
      </c>
      <c r="G9" s="21">
        <v>86143</v>
      </c>
      <c r="H9" s="21">
        <v>86146</v>
      </c>
      <c r="I9" s="21">
        <v>86150</v>
      </c>
      <c r="J9" s="21">
        <v>86152</v>
      </c>
      <c r="K9" s="21">
        <v>86164</v>
      </c>
      <c r="L9" s="21">
        <v>86181</v>
      </c>
      <c r="M9" s="21">
        <v>86199</v>
      </c>
      <c r="N9" s="21">
        <v>86218</v>
      </c>
      <c r="O9" s="21">
        <v>86237</v>
      </c>
      <c r="P9" s="21">
        <v>86256</v>
      </c>
      <c r="Q9" s="21">
        <v>86274</v>
      </c>
      <c r="R9" s="21">
        <v>86293</v>
      </c>
      <c r="S9" s="21">
        <v>86310</v>
      </c>
      <c r="T9" s="21">
        <v>86313</v>
      </c>
      <c r="U9" s="21">
        <v>86318</v>
      </c>
      <c r="V9" s="21">
        <v>86321</v>
      </c>
      <c r="W9" s="21">
        <v>86325</v>
      </c>
      <c r="X9" s="21">
        <v>86327</v>
      </c>
      <c r="Y9" s="21">
        <v>86329</v>
      </c>
      <c r="Z9" s="21">
        <v>86331</v>
      </c>
      <c r="AA9" s="21">
        <v>86332</v>
      </c>
      <c r="AB9" s="21">
        <v>86336</v>
      </c>
      <c r="AC9" s="21">
        <v>86342</v>
      </c>
      <c r="AD9" s="21">
        <v>86346</v>
      </c>
      <c r="AE9" s="21">
        <v>86350</v>
      </c>
      <c r="AF9" s="21">
        <v>86352</v>
      </c>
      <c r="AG9" s="21">
        <v>86354</v>
      </c>
      <c r="AH9" s="21">
        <v>86362</v>
      </c>
      <c r="AI9" s="21"/>
    </row>
    <row r="10" spans="1:67" s="24" customFormat="1" ht="21.75" customHeight="1" x14ac:dyDescent="0.3">
      <c r="A10" s="79"/>
      <c r="B10" s="37"/>
      <c r="C10" s="77"/>
      <c r="D10" s="23"/>
      <c r="E10" s="23">
        <f>(E9-D9)*1000</f>
        <v>3000</v>
      </c>
      <c r="F10" s="23">
        <f t="shared" ref="F10" si="30">(F9-E9)*1000</f>
        <v>3000</v>
      </c>
      <c r="G10" s="23">
        <f t="shared" ref="G10" si="31">(G9-F9)*1000</f>
        <v>4000</v>
      </c>
      <c r="H10" s="23">
        <f t="shared" ref="H10" si="32">(H9-G9)*1000</f>
        <v>3000</v>
      </c>
      <c r="I10" s="23">
        <f t="shared" ref="I10" si="33">(I9-H9)*1000</f>
        <v>4000</v>
      </c>
      <c r="J10" s="23">
        <f t="shared" ref="J10" si="34">(J9-I9)*1000</f>
        <v>2000</v>
      </c>
      <c r="K10" s="23">
        <f t="shared" ref="K10" si="35">(K9-J9)*1000</f>
        <v>12000</v>
      </c>
      <c r="L10" s="23">
        <f t="shared" ref="L10" si="36">(L9-K9)*1000</f>
        <v>17000</v>
      </c>
      <c r="M10" s="23">
        <f t="shared" ref="M10" si="37">(M9-L9)*1000</f>
        <v>18000</v>
      </c>
      <c r="N10" s="23">
        <f t="shared" ref="N10" si="38">(N9-M9)*1000</f>
        <v>19000</v>
      </c>
      <c r="O10" s="23">
        <f t="shared" ref="O10" si="39">(O9-N9)*1000</f>
        <v>19000</v>
      </c>
      <c r="P10" s="23">
        <f t="shared" ref="P10" si="40">(P9-O9)*1000</f>
        <v>19000</v>
      </c>
      <c r="Q10" s="23">
        <f t="shared" ref="Q10" si="41">(Q9-P9)*1000</f>
        <v>18000</v>
      </c>
      <c r="R10" s="23">
        <f t="shared" ref="R10" si="42">(R9-Q9)*1000</f>
        <v>19000</v>
      </c>
      <c r="S10" s="23">
        <f t="shared" ref="S10" si="43">(S9-R9)*1000</f>
        <v>17000</v>
      </c>
      <c r="T10" s="23">
        <f t="shared" ref="T10" si="44">(T9-S9)*1000</f>
        <v>3000</v>
      </c>
      <c r="U10" s="23">
        <f t="shared" ref="U10" si="45">(U9-T9)*1000</f>
        <v>5000</v>
      </c>
      <c r="V10" s="23">
        <f t="shared" ref="V10" si="46">(V9-U9)*1000</f>
        <v>3000</v>
      </c>
      <c r="W10" s="23">
        <f t="shared" ref="W10" si="47">(W9-V9)*1000</f>
        <v>4000</v>
      </c>
      <c r="X10" s="23">
        <f t="shared" ref="X10" si="48">(X9-W9)*1000</f>
        <v>2000</v>
      </c>
      <c r="Y10" s="23">
        <f t="shared" ref="Y10" si="49">(Y9-X9)*1000</f>
        <v>2000</v>
      </c>
      <c r="Z10" s="23">
        <f t="shared" ref="Z10" si="50">(Z9-Y9)*1000</f>
        <v>2000</v>
      </c>
      <c r="AA10" s="23">
        <f t="shared" ref="AA10" si="51">(AA9-Z9)*1000</f>
        <v>1000</v>
      </c>
      <c r="AB10" s="23">
        <f t="shared" ref="AB10" si="52">(AB9-AA9)*1000</f>
        <v>4000</v>
      </c>
      <c r="AC10" s="23">
        <f t="shared" ref="AC10" si="53">(AC9-AB9)*1000</f>
        <v>6000</v>
      </c>
      <c r="AD10" s="23">
        <f t="shared" ref="AD10" si="54">(AD9-AC9)*1000</f>
        <v>4000</v>
      </c>
      <c r="AE10" s="23">
        <f t="shared" ref="AE10" si="55">(AE9-AD9)*1000</f>
        <v>4000</v>
      </c>
      <c r="AF10" s="23">
        <f t="shared" ref="AF10" si="56">(AF9-AE9)*1000</f>
        <v>2000</v>
      </c>
      <c r="AG10" s="23">
        <f t="shared" ref="AG10" si="57">(AG9-AF9)*1000</f>
        <v>2000</v>
      </c>
      <c r="AH10" s="23">
        <f t="shared" ref="AH10" si="58">(AH9-AG9)*1000</f>
        <v>8000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3">
      <c r="A11" s="74">
        <v>4</v>
      </c>
      <c r="B11" s="36" t="s">
        <v>23</v>
      </c>
      <c r="C11" s="80" t="s">
        <v>24</v>
      </c>
      <c r="D11" s="21">
        <v>71041</v>
      </c>
      <c r="E11" s="21">
        <v>71057</v>
      </c>
      <c r="F11" s="21">
        <v>71076</v>
      </c>
      <c r="G11" s="21">
        <v>71094</v>
      </c>
      <c r="H11" s="21">
        <v>71112</v>
      </c>
      <c r="I11" s="21">
        <v>71130</v>
      </c>
      <c r="J11" s="21">
        <v>71148</v>
      </c>
      <c r="K11" s="21">
        <v>71156</v>
      </c>
      <c r="L11" s="21">
        <v>71159</v>
      </c>
      <c r="M11" s="21">
        <v>71163</v>
      </c>
      <c r="N11" s="21">
        <v>71166</v>
      </c>
      <c r="O11" s="21">
        <v>71168</v>
      </c>
      <c r="P11" s="21">
        <v>71171</v>
      </c>
      <c r="Q11" s="21">
        <v>71173</v>
      </c>
      <c r="R11" s="21">
        <v>71177</v>
      </c>
      <c r="S11" s="21">
        <v>71182</v>
      </c>
      <c r="T11" s="21">
        <v>71202</v>
      </c>
      <c r="U11" s="21">
        <v>71218</v>
      </c>
      <c r="V11" s="21">
        <v>71236</v>
      </c>
      <c r="W11" s="21">
        <v>71255</v>
      </c>
      <c r="X11" s="21">
        <v>71274</v>
      </c>
      <c r="Y11" s="21">
        <v>71296</v>
      </c>
      <c r="Z11" s="21">
        <v>71318</v>
      </c>
      <c r="AA11" s="21">
        <v>71341</v>
      </c>
      <c r="AB11" s="21">
        <v>71362</v>
      </c>
      <c r="AC11" s="21">
        <v>71384</v>
      </c>
      <c r="AD11" s="21">
        <v>71408</v>
      </c>
      <c r="AE11" s="21">
        <v>71435</v>
      </c>
      <c r="AF11" s="21">
        <v>71463</v>
      </c>
      <c r="AG11" s="21">
        <v>71492</v>
      </c>
      <c r="AH11" s="21">
        <v>71516</v>
      </c>
      <c r="AI11" s="21"/>
    </row>
    <row r="12" spans="1:67" s="38" customFormat="1" ht="21.75" customHeight="1" x14ac:dyDescent="0.3">
      <c r="A12" s="75"/>
      <c r="B12" s="37"/>
      <c r="C12" s="77"/>
      <c r="D12" s="23"/>
      <c r="E12" s="23">
        <f>(E11-D11)*1000</f>
        <v>16000</v>
      </c>
      <c r="F12" s="23">
        <f t="shared" ref="F12" si="59">(F11-E11)*1000</f>
        <v>19000</v>
      </c>
      <c r="G12" s="23">
        <f t="shared" ref="G12" si="60">(G11-F11)*1000</f>
        <v>18000</v>
      </c>
      <c r="H12" s="23">
        <f t="shared" ref="H12" si="61">(H11-G11)*1000</f>
        <v>18000</v>
      </c>
      <c r="I12" s="23">
        <f t="shared" ref="I12" si="62">(I11-H11)*1000</f>
        <v>18000</v>
      </c>
      <c r="J12" s="23">
        <f t="shared" ref="J12" si="63">(J11-I11)*1000</f>
        <v>18000</v>
      </c>
      <c r="K12" s="23">
        <f t="shared" ref="K12" si="64">(K11-J11)*1000</f>
        <v>8000</v>
      </c>
      <c r="L12" s="23">
        <f t="shared" ref="L12" si="65">(L11-K11)*1000</f>
        <v>3000</v>
      </c>
      <c r="M12" s="23">
        <f t="shared" ref="M12" si="66">(M11-L11)*1000</f>
        <v>4000</v>
      </c>
      <c r="N12" s="23">
        <f t="shared" ref="N12" si="67">(N11-M11)*1000</f>
        <v>3000</v>
      </c>
      <c r="O12" s="23">
        <f t="shared" ref="O12" si="68">(O11-N11)*1000</f>
        <v>2000</v>
      </c>
      <c r="P12" s="23">
        <f t="shared" ref="P12" si="69">(P11-O11)*1000</f>
        <v>3000</v>
      </c>
      <c r="Q12" s="23">
        <f t="shared" ref="Q12" si="70">(Q11-P11)*1000</f>
        <v>2000</v>
      </c>
      <c r="R12" s="23">
        <f t="shared" ref="R12" si="71">(R11-Q11)*1000</f>
        <v>4000</v>
      </c>
      <c r="S12" s="23">
        <f t="shared" ref="S12" si="72">(S11-R11)*1000</f>
        <v>5000</v>
      </c>
      <c r="T12" s="23">
        <f t="shared" ref="T12" si="73">(T11-S11)*1000</f>
        <v>20000</v>
      </c>
      <c r="U12" s="23">
        <f t="shared" ref="U12" si="74">(U11-T11)*1000</f>
        <v>16000</v>
      </c>
      <c r="V12" s="23">
        <f t="shared" ref="V12" si="75">(V11-U11)*1000</f>
        <v>18000</v>
      </c>
      <c r="W12" s="23">
        <f t="shared" ref="W12" si="76">(W11-V11)*1000</f>
        <v>19000</v>
      </c>
      <c r="X12" s="23">
        <f t="shared" ref="X12" si="77">(X11-W11)*1000</f>
        <v>19000</v>
      </c>
      <c r="Y12" s="23">
        <f t="shared" ref="Y12" si="78">(Y11-X11)*1000</f>
        <v>22000</v>
      </c>
      <c r="Z12" s="23">
        <f t="shared" ref="Z12" si="79">(Z11-Y11)*1000</f>
        <v>22000</v>
      </c>
      <c r="AA12" s="23">
        <f t="shared" ref="AA12" si="80">(AA11-Z11)*1000</f>
        <v>23000</v>
      </c>
      <c r="AB12" s="23">
        <f t="shared" ref="AB12" si="81">(AB11-AA11)*1000</f>
        <v>21000</v>
      </c>
      <c r="AC12" s="23">
        <f t="shared" ref="AC12" si="82">(AC11-AB11)*1000</f>
        <v>22000</v>
      </c>
      <c r="AD12" s="23">
        <f t="shared" ref="AD12" si="83">(AD11-AC11)*1000</f>
        <v>24000</v>
      </c>
      <c r="AE12" s="23">
        <f t="shared" ref="AE12" si="84">(AE11-AD11)*1000</f>
        <v>27000</v>
      </c>
      <c r="AF12" s="23">
        <f t="shared" ref="AF12" si="85">(AF11-AE11)*1000</f>
        <v>28000</v>
      </c>
      <c r="AG12" s="23">
        <f t="shared" ref="AG12" si="86">(AG11-AF11)*1000</f>
        <v>29000</v>
      </c>
      <c r="AH12" s="23">
        <f t="shared" ref="AH12" si="87">(AH11-AG11)*1000</f>
        <v>24000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3">
      <c r="A13" s="78">
        <v>7</v>
      </c>
      <c r="B13" s="39" t="s">
        <v>25</v>
      </c>
      <c r="C13" s="76" t="s">
        <v>26</v>
      </c>
      <c r="D13" s="40">
        <v>2946</v>
      </c>
      <c r="E13" s="40">
        <v>2946</v>
      </c>
      <c r="F13" s="40">
        <v>2950</v>
      </c>
      <c r="G13" s="40">
        <v>2950</v>
      </c>
      <c r="H13" s="40">
        <v>2950</v>
      </c>
      <c r="I13" s="40">
        <v>2950</v>
      </c>
      <c r="J13" s="40">
        <v>2950</v>
      </c>
      <c r="K13" s="40">
        <v>2950</v>
      </c>
      <c r="L13" s="40">
        <v>2950</v>
      </c>
      <c r="M13" s="40">
        <v>2950</v>
      </c>
      <c r="N13" s="40">
        <v>2951</v>
      </c>
      <c r="O13" s="40">
        <v>2951</v>
      </c>
      <c r="P13" s="40">
        <v>2951</v>
      </c>
      <c r="Q13" s="40">
        <v>2951</v>
      </c>
      <c r="R13" s="40">
        <v>2951</v>
      </c>
      <c r="S13" s="40">
        <v>2951</v>
      </c>
      <c r="T13" s="40">
        <v>2951</v>
      </c>
      <c r="U13" s="40">
        <v>2951</v>
      </c>
      <c r="V13" s="40">
        <v>2951</v>
      </c>
      <c r="W13" s="40">
        <v>2951</v>
      </c>
      <c r="X13" s="40">
        <v>2951</v>
      </c>
      <c r="Y13" s="40">
        <v>2951</v>
      </c>
      <c r="Z13" s="40">
        <v>2951</v>
      </c>
      <c r="AA13" s="40">
        <v>2951</v>
      </c>
      <c r="AB13" s="40">
        <v>2953</v>
      </c>
      <c r="AC13" s="40">
        <v>2953</v>
      </c>
      <c r="AD13" s="40">
        <v>2953</v>
      </c>
      <c r="AE13" s="40">
        <v>2953</v>
      </c>
      <c r="AF13" s="40">
        <v>2953</v>
      </c>
      <c r="AG13" s="40">
        <v>2953</v>
      </c>
      <c r="AH13" s="40">
        <v>2953</v>
      </c>
    </row>
    <row r="14" spans="1:67" s="24" customFormat="1" ht="21.75" customHeight="1" x14ac:dyDescent="0.3">
      <c r="A14" s="79"/>
      <c r="B14" s="41"/>
      <c r="C14" s="77"/>
      <c r="D14" s="42"/>
      <c r="E14" s="42">
        <f t="shared" ref="E14:AG14" si="88">E13-D13</f>
        <v>0</v>
      </c>
      <c r="F14" s="42">
        <f t="shared" si="88"/>
        <v>4</v>
      </c>
      <c r="G14" s="42">
        <f t="shared" si="88"/>
        <v>0</v>
      </c>
      <c r="H14" s="42">
        <f t="shared" si="88"/>
        <v>0</v>
      </c>
      <c r="I14" s="42">
        <f t="shared" si="88"/>
        <v>0</v>
      </c>
      <c r="J14" s="42">
        <f t="shared" si="88"/>
        <v>0</v>
      </c>
      <c r="K14" s="42">
        <f t="shared" si="88"/>
        <v>0</v>
      </c>
      <c r="L14" s="42">
        <f t="shared" si="88"/>
        <v>0</v>
      </c>
      <c r="M14" s="42">
        <f t="shared" si="88"/>
        <v>0</v>
      </c>
      <c r="N14" s="42">
        <f t="shared" si="88"/>
        <v>1</v>
      </c>
      <c r="O14" s="42">
        <f t="shared" si="88"/>
        <v>0</v>
      </c>
      <c r="P14" s="42">
        <f t="shared" si="88"/>
        <v>0</v>
      </c>
      <c r="Q14" s="42">
        <f t="shared" si="88"/>
        <v>0</v>
      </c>
      <c r="R14" s="42">
        <f t="shared" si="88"/>
        <v>0</v>
      </c>
      <c r="S14" s="42">
        <f t="shared" si="88"/>
        <v>0</v>
      </c>
      <c r="T14" s="42">
        <f t="shared" si="88"/>
        <v>0</v>
      </c>
      <c r="U14" s="42">
        <f t="shared" si="88"/>
        <v>0</v>
      </c>
      <c r="V14" s="42">
        <f t="shared" si="88"/>
        <v>0</v>
      </c>
      <c r="W14" s="42">
        <f t="shared" si="88"/>
        <v>0</v>
      </c>
      <c r="X14" s="42">
        <f t="shared" si="88"/>
        <v>0</v>
      </c>
      <c r="Y14" s="42">
        <f t="shared" si="88"/>
        <v>0</v>
      </c>
      <c r="Z14" s="42">
        <f t="shared" si="88"/>
        <v>0</v>
      </c>
      <c r="AA14" s="42">
        <f t="shared" si="88"/>
        <v>0</v>
      </c>
      <c r="AB14" s="42">
        <f t="shared" si="88"/>
        <v>2</v>
      </c>
      <c r="AC14" s="42">
        <f t="shared" si="88"/>
        <v>0</v>
      </c>
      <c r="AD14" s="42">
        <f t="shared" si="88"/>
        <v>0</v>
      </c>
      <c r="AE14" s="42">
        <f t="shared" si="88"/>
        <v>0</v>
      </c>
      <c r="AF14" s="42">
        <f t="shared" si="88"/>
        <v>0</v>
      </c>
      <c r="AG14" s="42">
        <f t="shared" si="88"/>
        <v>0</v>
      </c>
      <c r="AH14" s="42">
        <f>AH13-AG13</f>
        <v>0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3">
      <c r="A15" s="74">
        <v>8</v>
      </c>
      <c r="B15" s="39" t="s">
        <v>27</v>
      </c>
      <c r="C15" s="76" t="s">
        <v>28</v>
      </c>
      <c r="D15" s="40">
        <v>299</v>
      </c>
      <c r="E15" s="40">
        <v>300</v>
      </c>
      <c r="F15" s="40">
        <v>302</v>
      </c>
      <c r="G15" s="40">
        <v>302</v>
      </c>
      <c r="H15" s="40">
        <v>302</v>
      </c>
      <c r="I15" s="40">
        <v>302</v>
      </c>
      <c r="J15" s="40">
        <v>302</v>
      </c>
      <c r="K15" s="40">
        <v>302</v>
      </c>
      <c r="L15" s="40">
        <v>302</v>
      </c>
      <c r="M15" s="40">
        <v>302</v>
      </c>
      <c r="N15" s="40">
        <v>302</v>
      </c>
      <c r="O15" s="40">
        <v>302</v>
      </c>
      <c r="P15" s="40">
        <v>302</v>
      </c>
      <c r="Q15" s="40">
        <v>302</v>
      </c>
      <c r="R15" s="40">
        <v>302</v>
      </c>
      <c r="S15" s="40">
        <v>302</v>
      </c>
      <c r="T15" s="40">
        <v>303</v>
      </c>
      <c r="U15" s="40">
        <v>303</v>
      </c>
      <c r="V15" s="40">
        <v>303</v>
      </c>
      <c r="W15" s="40">
        <v>303</v>
      </c>
      <c r="X15" s="40">
        <v>303</v>
      </c>
      <c r="Y15" s="40">
        <v>303</v>
      </c>
      <c r="Z15" s="40">
        <v>303</v>
      </c>
      <c r="AA15" s="40">
        <v>303</v>
      </c>
      <c r="AB15" s="40">
        <v>303</v>
      </c>
      <c r="AC15" s="40">
        <v>303</v>
      </c>
      <c r="AD15" s="40">
        <v>303</v>
      </c>
      <c r="AE15" s="40">
        <v>303</v>
      </c>
      <c r="AF15" s="40">
        <v>303</v>
      </c>
      <c r="AG15" s="40">
        <v>304</v>
      </c>
      <c r="AH15" s="40">
        <v>304</v>
      </c>
    </row>
    <row r="16" spans="1:67" s="24" customFormat="1" ht="21.75" customHeight="1" x14ac:dyDescent="0.3">
      <c r="A16" s="75"/>
      <c r="B16" s="41"/>
      <c r="C16" s="77"/>
      <c r="D16" s="42"/>
      <c r="E16" s="42">
        <f t="shared" ref="E16:AH16" si="89">E15-D15</f>
        <v>1</v>
      </c>
      <c r="F16" s="42">
        <f t="shared" si="89"/>
        <v>2</v>
      </c>
      <c r="G16" s="42">
        <f t="shared" si="89"/>
        <v>0</v>
      </c>
      <c r="H16" s="42">
        <f t="shared" si="89"/>
        <v>0</v>
      </c>
      <c r="I16" s="42">
        <f t="shared" si="89"/>
        <v>0</v>
      </c>
      <c r="J16" s="42">
        <f t="shared" si="89"/>
        <v>0</v>
      </c>
      <c r="K16" s="42">
        <f t="shared" si="89"/>
        <v>0</v>
      </c>
      <c r="L16" s="42">
        <f t="shared" si="89"/>
        <v>0</v>
      </c>
      <c r="M16" s="42">
        <f t="shared" si="89"/>
        <v>0</v>
      </c>
      <c r="N16" s="42">
        <f t="shared" si="89"/>
        <v>0</v>
      </c>
      <c r="O16" s="42">
        <f t="shared" si="89"/>
        <v>0</v>
      </c>
      <c r="P16" s="42">
        <f t="shared" si="89"/>
        <v>0</v>
      </c>
      <c r="Q16" s="42">
        <f t="shared" si="89"/>
        <v>0</v>
      </c>
      <c r="R16" s="42">
        <f t="shared" si="89"/>
        <v>0</v>
      </c>
      <c r="S16" s="42">
        <f t="shared" si="89"/>
        <v>0</v>
      </c>
      <c r="T16" s="42">
        <f t="shared" si="89"/>
        <v>1</v>
      </c>
      <c r="U16" s="42">
        <f t="shared" si="89"/>
        <v>0</v>
      </c>
      <c r="V16" s="42">
        <f t="shared" si="89"/>
        <v>0</v>
      </c>
      <c r="W16" s="42">
        <f>W15-V15</f>
        <v>0</v>
      </c>
      <c r="X16" s="42">
        <f t="shared" si="89"/>
        <v>0</v>
      </c>
      <c r="Y16" s="42">
        <f t="shared" si="89"/>
        <v>0</v>
      </c>
      <c r="Z16" s="42">
        <f t="shared" si="89"/>
        <v>0</v>
      </c>
      <c r="AA16" s="42">
        <f t="shared" si="89"/>
        <v>0</v>
      </c>
      <c r="AB16" s="42">
        <f t="shared" si="89"/>
        <v>0</v>
      </c>
      <c r="AC16" s="42">
        <f t="shared" si="89"/>
        <v>0</v>
      </c>
      <c r="AD16" s="42">
        <f t="shared" si="89"/>
        <v>0</v>
      </c>
      <c r="AE16" s="42">
        <f t="shared" si="89"/>
        <v>0</v>
      </c>
      <c r="AF16" s="42">
        <f t="shared" si="89"/>
        <v>0</v>
      </c>
      <c r="AG16" s="42">
        <f t="shared" si="89"/>
        <v>1</v>
      </c>
      <c r="AH16" s="42">
        <f t="shared" si="89"/>
        <v>0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3">
      <c r="A17" s="74">
        <v>13</v>
      </c>
      <c r="B17" s="39" t="s">
        <v>29</v>
      </c>
      <c r="C17" s="76" t="s">
        <v>30</v>
      </c>
      <c r="D17" s="40">
        <v>1078639</v>
      </c>
      <c r="E17" s="40">
        <v>1078670</v>
      </c>
      <c r="F17" s="40">
        <v>1078701</v>
      </c>
      <c r="G17" s="40">
        <v>1078740</v>
      </c>
      <c r="H17" s="40">
        <v>1078784</v>
      </c>
      <c r="I17" s="40">
        <v>1078827</v>
      </c>
      <c r="J17" s="40">
        <v>1078874</v>
      </c>
      <c r="K17" s="40">
        <v>1078917</v>
      </c>
      <c r="L17" s="40">
        <v>1078960</v>
      </c>
      <c r="M17" s="40">
        <v>1079004</v>
      </c>
      <c r="N17" s="40">
        <v>1079047</v>
      </c>
      <c r="O17" s="40">
        <v>1079093</v>
      </c>
      <c r="P17" s="40">
        <v>1079139</v>
      </c>
      <c r="Q17" s="40">
        <v>1079185</v>
      </c>
      <c r="R17" s="40">
        <v>1079271</v>
      </c>
      <c r="S17" s="40">
        <v>1079317</v>
      </c>
      <c r="T17" s="40">
        <v>1079363</v>
      </c>
      <c r="U17" s="40">
        <v>1079409</v>
      </c>
      <c r="V17" s="40">
        <v>1079455</v>
      </c>
      <c r="W17" s="40">
        <v>1079501</v>
      </c>
      <c r="X17" s="40">
        <v>1079547</v>
      </c>
      <c r="Y17" s="40">
        <v>1079593</v>
      </c>
      <c r="Z17" s="40">
        <v>1079639</v>
      </c>
      <c r="AA17" s="40">
        <v>1079693</v>
      </c>
      <c r="AB17" s="40">
        <v>1079751</v>
      </c>
      <c r="AC17" s="40">
        <v>1079796</v>
      </c>
      <c r="AD17" s="40">
        <v>1079842</v>
      </c>
      <c r="AE17" s="40">
        <v>1079899</v>
      </c>
      <c r="AF17" s="40">
        <v>1079958</v>
      </c>
      <c r="AG17" s="40">
        <v>1080024</v>
      </c>
      <c r="AH17" s="40">
        <v>1080078</v>
      </c>
      <c r="AI17" s="40"/>
    </row>
    <row r="18" spans="1:35" ht="21.75" customHeight="1" x14ac:dyDescent="0.3">
      <c r="A18" s="82"/>
      <c r="B18" s="43"/>
      <c r="C18" s="83"/>
      <c r="D18" s="42"/>
      <c r="E18" s="42">
        <f t="shared" ref="E18:AH18" si="90">E17-D17</f>
        <v>31</v>
      </c>
      <c r="F18" s="42">
        <f t="shared" si="90"/>
        <v>31</v>
      </c>
      <c r="G18" s="42">
        <f t="shared" si="90"/>
        <v>39</v>
      </c>
      <c r="H18" s="42">
        <f t="shared" si="90"/>
        <v>44</v>
      </c>
      <c r="I18" s="42">
        <f t="shared" si="90"/>
        <v>43</v>
      </c>
      <c r="J18" s="42">
        <f t="shared" si="90"/>
        <v>47</v>
      </c>
      <c r="K18" s="42">
        <f t="shared" si="90"/>
        <v>43</v>
      </c>
      <c r="L18" s="42">
        <f t="shared" si="90"/>
        <v>43</v>
      </c>
      <c r="M18" s="42">
        <f t="shared" si="90"/>
        <v>44</v>
      </c>
      <c r="N18" s="42">
        <f t="shared" si="90"/>
        <v>43</v>
      </c>
      <c r="O18" s="42">
        <f t="shared" si="90"/>
        <v>46</v>
      </c>
      <c r="P18" s="42">
        <f t="shared" si="90"/>
        <v>46</v>
      </c>
      <c r="Q18" s="42">
        <f t="shared" si="90"/>
        <v>46</v>
      </c>
      <c r="R18" s="42">
        <f t="shared" si="90"/>
        <v>86</v>
      </c>
      <c r="S18" s="42">
        <f t="shared" si="90"/>
        <v>46</v>
      </c>
      <c r="T18" s="42">
        <f t="shared" si="90"/>
        <v>46</v>
      </c>
      <c r="U18" s="42">
        <f t="shared" si="90"/>
        <v>46</v>
      </c>
      <c r="V18" s="42">
        <f t="shared" si="90"/>
        <v>46</v>
      </c>
      <c r="W18" s="42">
        <f t="shared" si="90"/>
        <v>46</v>
      </c>
      <c r="X18" s="42">
        <f t="shared" si="90"/>
        <v>46</v>
      </c>
      <c r="Y18" s="42">
        <f t="shared" si="90"/>
        <v>46</v>
      </c>
      <c r="Z18" s="42">
        <f t="shared" si="90"/>
        <v>46</v>
      </c>
      <c r="AA18" s="42">
        <f t="shared" si="90"/>
        <v>54</v>
      </c>
      <c r="AB18" s="42">
        <f t="shared" si="90"/>
        <v>58</v>
      </c>
      <c r="AC18" s="42">
        <f t="shared" si="90"/>
        <v>45</v>
      </c>
      <c r="AD18" s="42">
        <f t="shared" si="90"/>
        <v>46</v>
      </c>
      <c r="AE18" s="42">
        <f t="shared" si="90"/>
        <v>57</v>
      </c>
      <c r="AF18" s="42">
        <f t="shared" si="90"/>
        <v>59</v>
      </c>
      <c r="AG18" s="42">
        <f t="shared" si="90"/>
        <v>66</v>
      </c>
      <c r="AH18" s="42">
        <f t="shared" si="90"/>
        <v>54</v>
      </c>
      <c r="AI18" s="42"/>
    </row>
    <row r="19" spans="1:35" ht="21.75" customHeight="1" x14ac:dyDescent="0.3">
      <c r="A19" s="84">
        <v>14</v>
      </c>
      <c r="B19" s="39" t="s">
        <v>31</v>
      </c>
      <c r="C19" s="76" t="s">
        <v>32</v>
      </c>
      <c r="D19" s="40">
        <v>313854</v>
      </c>
      <c r="E19" s="40">
        <v>313890</v>
      </c>
      <c r="F19" s="40">
        <v>313926</v>
      </c>
      <c r="G19" s="40">
        <v>313961</v>
      </c>
      <c r="H19" s="40">
        <v>313997</v>
      </c>
      <c r="I19" s="40">
        <v>314032</v>
      </c>
      <c r="J19" s="40">
        <v>314068</v>
      </c>
      <c r="K19" s="40">
        <v>314105</v>
      </c>
      <c r="L19" s="40">
        <v>314141</v>
      </c>
      <c r="M19" s="40">
        <v>314177</v>
      </c>
      <c r="N19" s="40">
        <v>314214</v>
      </c>
      <c r="O19" s="40">
        <v>314253</v>
      </c>
      <c r="P19" s="40">
        <v>314297</v>
      </c>
      <c r="Q19" s="40">
        <v>314337</v>
      </c>
      <c r="R19" s="40">
        <v>314377</v>
      </c>
      <c r="S19" s="40">
        <v>314415</v>
      </c>
      <c r="T19" s="40">
        <v>314454</v>
      </c>
      <c r="U19" s="40">
        <v>314491</v>
      </c>
      <c r="V19" s="40">
        <v>314528</v>
      </c>
      <c r="W19" s="40">
        <v>314564</v>
      </c>
      <c r="X19" s="40">
        <v>314600</v>
      </c>
      <c r="Y19" s="40">
        <v>314637</v>
      </c>
      <c r="Z19" s="40">
        <v>314671</v>
      </c>
      <c r="AA19" s="40">
        <v>314707</v>
      </c>
      <c r="AB19" s="40">
        <v>314741</v>
      </c>
      <c r="AC19" s="40">
        <v>314777</v>
      </c>
      <c r="AD19" s="40">
        <v>314813</v>
      </c>
      <c r="AE19" s="40">
        <v>314849</v>
      </c>
      <c r="AF19" s="40">
        <v>314888</v>
      </c>
      <c r="AG19" s="40">
        <v>314927</v>
      </c>
      <c r="AH19" s="40">
        <v>314968</v>
      </c>
      <c r="AI19" s="40"/>
    </row>
    <row r="20" spans="1:35" ht="21.75" customHeight="1" x14ac:dyDescent="0.3">
      <c r="A20" s="79"/>
      <c r="B20" s="43"/>
      <c r="C20" s="83"/>
      <c r="D20" s="42"/>
      <c r="E20" s="42">
        <f t="shared" ref="E20:AH20" si="91">E19-D19</f>
        <v>36</v>
      </c>
      <c r="F20" s="42">
        <f t="shared" si="91"/>
        <v>36</v>
      </c>
      <c r="G20" s="42">
        <f t="shared" si="91"/>
        <v>35</v>
      </c>
      <c r="H20" s="42">
        <f t="shared" si="91"/>
        <v>36</v>
      </c>
      <c r="I20" s="42">
        <f t="shared" si="91"/>
        <v>35</v>
      </c>
      <c r="J20" s="42">
        <f t="shared" si="91"/>
        <v>36</v>
      </c>
      <c r="K20" s="42">
        <f t="shared" si="91"/>
        <v>37</v>
      </c>
      <c r="L20" s="42">
        <f t="shared" si="91"/>
        <v>36</v>
      </c>
      <c r="M20" s="42">
        <f t="shared" si="91"/>
        <v>36</v>
      </c>
      <c r="N20" s="42">
        <f t="shared" si="91"/>
        <v>37</v>
      </c>
      <c r="O20" s="42">
        <f t="shared" si="91"/>
        <v>39</v>
      </c>
      <c r="P20" s="42">
        <f t="shared" si="91"/>
        <v>44</v>
      </c>
      <c r="Q20" s="42">
        <f t="shared" si="91"/>
        <v>40</v>
      </c>
      <c r="R20" s="42">
        <f t="shared" si="91"/>
        <v>40</v>
      </c>
      <c r="S20" s="42">
        <f t="shared" si="91"/>
        <v>38</v>
      </c>
      <c r="T20" s="42">
        <f t="shared" si="91"/>
        <v>39</v>
      </c>
      <c r="U20" s="42">
        <f t="shared" si="91"/>
        <v>37</v>
      </c>
      <c r="V20" s="42">
        <f t="shared" si="91"/>
        <v>37</v>
      </c>
      <c r="W20" s="42">
        <f t="shared" si="91"/>
        <v>36</v>
      </c>
      <c r="X20" s="42">
        <f t="shared" si="91"/>
        <v>36</v>
      </c>
      <c r="Y20" s="42">
        <f t="shared" si="91"/>
        <v>37</v>
      </c>
      <c r="Z20" s="42">
        <f t="shared" si="91"/>
        <v>34</v>
      </c>
      <c r="AA20" s="42">
        <f t="shared" si="91"/>
        <v>36</v>
      </c>
      <c r="AB20" s="42">
        <f t="shared" si="91"/>
        <v>34</v>
      </c>
      <c r="AC20" s="42">
        <f t="shared" si="91"/>
        <v>36</v>
      </c>
      <c r="AD20" s="42">
        <f t="shared" si="91"/>
        <v>36</v>
      </c>
      <c r="AE20" s="42">
        <f t="shared" si="91"/>
        <v>36</v>
      </c>
      <c r="AF20" s="42">
        <f t="shared" si="91"/>
        <v>39</v>
      </c>
      <c r="AG20" s="42">
        <f t="shared" si="91"/>
        <v>39</v>
      </c>
      <c r="AH20" s="42">
        <f t="shared" si="91"/>
        <v>41</v>
      </c>
      <c r="AI20" s="42"/>
    </row>
    <row r="21" spans="1:35" ht="27" customHeight="1" x14ac:dyDescent="0.3">
      <c r="B21" s="85" t="s">
        <v>33</v>
      </c>
      <c r="C21" s="85"/>
      <c r="D21" s="44"/>
      <c r="E21" s="59">
        <f>((E6+E8)+((E10+E12)*40%)+(E14+E16+E18+E20))</f>
        <v>24668</v>
      </c>
      <c r="F21" s="59">
        <f t="shared" ref="F21:AH21" si="92">((F6+F8)+((F10+F12)*40%)+(F14+F16+F18+F20))</f>
        <v>25873</v>
      </c>
      <c r="G21" s="59">
        <f t="shared" si="92"/>
        <v>25874</v>
      </c>
      <c r="H21" s="59">
        <f t="shared" si="92"/>
        <v>25480</v>
      </c>
      <c r="I21" s="59">
        <f t="shared" si="92"/>
        <v>24878</v>
      </c>
      <c r="J21" s="59">
        <f t="shared" si="92"/>
        <v>25083</v>
      </c>
      <c r="K21" s="59">
        <f t="shared" si="92"/>
        <v>24080</v>
      </c>
      <c r="L21" s="59">
        <f t="shared" si="92"/>
        <v>25079</v>
      </c>
      <c r="M21" s="59">
        <f t="shared" si="92"/>
        <v>24880</v>
      </c>
      <c r="N21" s="59">
        <f t="shared" si="92"/>
        <v>25881</v>
      </c>
      <c r="O21" s="59">
        <f t="shared" si="92"/>
        <v>24485</v>
      </c>
      <c r="P21" s="59">
        <f t="shared" si="92"/>
        <v>23890</v>
      </c>
      <c r="Q21" s="59">
        <f t="shared" si="92"/>
        <v>24086</v>
      </c>
      <c r="R21" s="59">
        <f t="shared" si="92"/>
        <v>26326</v>
      </c>
      <c r="S21" s="59">
        <f t="shared" si="92"/>
        <v>24884</v>
      </c>
      <c r="T21" s="59">
        <f t="shared" si="92"/>
        <v>25286</v>
      </c>
      <c r="U21" s="59">
        <f t="shared" si="92"/>
        <v>24483</v>
      </c>
      <c r="V21" s="59">
        <f t="shared" si="92"/>
        <v>24483</v>
      </c>
      <c r="W21" s="59">
        <f t="shared" si="92"/>
        <v>26282</v>
      </c>
      <c r="X21" s="59">
        <f t="shared" si="92"/>
        <v>25482</v>
      </c>
      <c r="Y21" s="59">
        <f t="shared" si="92"/>
        <v>26683</v>
      </c>
      <c r="Z21" s="59">
        <f t="shared" si="92"/>
        <v>26680</v>
      </c>
      <c r="AA21" s="59">
        <f t="shared" si="92"/>
        <v>26690</v>
      </c>
      <c r="AB21" s="59">
        <f t="shared" si="92"/>
        <v>25094</v>
      </c>
      <c r="AC21" s="59">
        <f t="shared" si="92"/>
        <v>28281</v>
      </c>
      <c r="AD21" s="59">
        <f t="shared" si="92"/>
        <v>28282</v>
      </c>
      <c r="AE21" s="59">
        <f t="shared" si="92"/>
        <v>28493</v>
      </c>
      <c r="AF21" s="59">
        <f t="shared" si="92"/>
        <v>30098</v>
      </c>
      <c r="AG21" s="59">
        <f t="shared" si="92"/>
        <v>29506</v>
      </c>
      <c r="AH21" s="59">
        <f t="shared" si="92"/>
        <v>29895</v>
      </c>
      <c r="AI21" s="59"/>
    </row>
    <row r="22" spans="1:35" ht="27" customHeight="1" x14ac:dyDescent="0.3">
      <c r="B22" s="81" t="s">
        <v>34</v>
      </c>
      <c r="C22" s="81"/>
      <c r="D22" s="44"/>
      <c r="E22" s="59">
        <f>SUM(E21:AI21)</f>
        <v>781165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Normal="100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E16" sqref="E16"/>
    </sheetView>
  </sheetViews>
  <sheetFormatPr defaultColWidth="9.109375" defaultRowHeight="70.5" customHeight="1" x14ac:dyDescent="0.3"/>
  <cols>
    <col min="1" max="1" width="5.6640625" style="2" customWidth="1"/>
    <col min="2" max="2" width="21.88671875" style="8" customWidth="1"/>
    <col min="3" max="3" width="23" style="35" customWidth="1"/>
    <col min="4" max="6" width="10.109375" style="8" customWidth="1"/>
    <col min="7" max="35" width="10.109375" style="2" customWidth="1"/>
    <col min="36" max="16384" width="9.109375" style="2"/>
  </cols>
  <sheetData>
    <row r="2" spans="1:42" s="8" customFormat="1" ht="25.65" customHeight="1" x14ac:dyDescent="0.5">
      <c r="B2" s="88" t="s">
        <v>85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</row>
    <row r="3" spans="1:42" s="8" customFormat="1" ht="30" customHeight="1" thickBot="1" x14ac:dyDescent="0.35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</row>
    <row r="4" spans="1:42" s="30" customFormat="1" ht="57.75" customHeight="1" thickBot="1" x14ac:dyDescent="0.35">
      <c r="A4" s="15" t="s">
        <v>13</v>
      </c>
      <c r="B4" s="27" t="s">
        <v>35</v>
      </c>
      <c r="C4" s="27" t="s">
        <v>15</v>
      </c>
      <c r="D4" s="28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  <c r="K4" s="29" t="s">
        <v>43</v>
      </c>
      <c r="L4" s="29" t="s">
        <v>44</v>
      </c>
      <c r="M4" s="29" t="s">
        <v>45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54</v>
      </c>
      <c r="W4" s="29" t="s">
        <v>55</v>
      </c>
      <c r="X4" s="29" t="s">
        <v>56</v>
      </c>
      <c r="Y4" s="29" t="s">
        <v>57</v>
      </c>
      <c r="Z4" s="29" t="s">
        <v>58</v>
      </c>
      <c r="AA4" s="29" t="s">
        <v>59</v>
      </c>
      <c r="AB4" s="29" t="s">
        <v>60</v>
      </c>
      <c r="AC4" s="29" t="s">
        <v>61</v>
      </c>
      <c r="AD4" s="29" t="s">
        <v>62</v>
      </c>
      <c r="AE4" s="29" t="s">
        <v>63</v>
      </c>
      <c r="AF4" s="29" t="s">
        <v>64</v>
      </c>
      <c r="AG4" s="29" t="s">
        <v>65</v>
      </c>
      <c r="AH4" s="29" t="s">
        <v>66</v>
      </c>
      <c r="AI4" s="29"/>
    </row>
    <row r="5" spans="1:42" s="8" customFormat="1" ht="40.5" customHeight="1" x14ac:dyDescent="0.3">
      <c r="A5" s="91" t="s">
        <v>37</v>
      </c>
      <c r="B5" s="27" t="s">
        <v>67</v>
      </c>
      <c r="C5" s="93" t="s">
        <v>68</v>
      </c>
      <c r="D5" s="31">
        <v>145422.9</v>
      </c>
      <c r="E5" s="31">
        <v>145514.4</v>
      </c>
      <c r="F5" s="31">
        <v>145665.60000000001</v>
      </c>
      <c r="G5" s="31">
        <v>145750.20000000001</v>
      </c>
      <c r="H5" s="31">
        <v>145894.39999999999</v>
      </c>
      <c r="I5" s="31">
        <v>146055.9</v>
      </c>
      <c r="J5" s="31">
        <v>146151.4</v>
      </c>
      <c r="K5" s="31">
        <v>146301.6</v>
      </c>
      <c r="L5" s="31">
        <v>146488</v>
      </c>
      <c r="M5" s="31">
        <v>146722</v>
      </c>
      <c r="N5" s="31">
        <v>146844.4</v>
      </c>
      <c r="O5" s="31">
        <v>147006.70000000001</v>
      </c>
      <c r="P5" s="31">
        <v>147160</v>
      </c>
      <c r="Q5" s="31">
        <v>147301.20000000001</v>
      </c>
      <c r="R5" s="31">
        <v>147459.6</v>
      </c>
      <c r="S5" s="31">
        <v>147609.29999999999</v>
      </c>
      <c r="T5" s="31">
        <v>147758.79999999999</v>
      </c>
      <c r="U5" s="31">
        <v>147970.5</v>
      </c>
      <c r="V5" s="31">
        <v>148153.1</v>
      </c>
      <c r="W5" s="31">
        <v>148335.79999999999</v>
      </c>
      <c r="X5" s="31">
        <v>148506.6</v>
      </c>
      <c r="Y5" s="31">
        <v>148692.20000000001</v>
      </c>
      <c r="Z5" s="31">
        <v>148863.6</v>
      </c>
      <c r="AA5" s="31">
        <v>149020.1</v>
      </c>
      <c r="AB5" s="31">
        <v>149157.9</v>
      </c>
      <c r="AC5" s="31">
        <v>149320.5</v>
      </c>
      <c r="AD5" s="31">
        <v>149477</v>
      </c>
      <c r="AE5" s="31">
        <v>149636.4</v>
      </c>
      <c r="AF5" s="31">
        <v>149796.4</v>
      </c>
      <c r="AG5" s="31">
        <v>149939</v>
      </c>
      <c r="AH5" s="31">
        <v>150078.9</v>
      </c>
      <c r="AI5" s="31"/>
    </row>
    <row r="6" spans="1:42" s="34" customFormat="1" ht="25.65" customHeight="1" x14ac:dyDescent="0.3">
      <c r="A6" s="92"/>
      <c r="B6" s="32"/>
      <c r="C6" s="93"/>
      <c r="D6" s="33"/>
      <c r="E6" s="33">
        <f t="shared" ref="E6:AH6" si="0">E5-D5</f>
        <v>91.5</v>
      </c>
      <c r="F6" s="33">
        <f t="shared" si="0"/>
        <v>151.20000000001164</v>
      </c>
      <c r="G6" s="33">
        <f t="shared" si="0"/>
        <v>84.600000000005821</v>
      </c>
      <c r="H6" s="33">
        <f t="shared" si="0"/>
        <v>144.19999999998254</v>
      </c>
      <c r="I6" s="33">
        <f t="shared" si="0"/>
        <v>161.5</v>
      </c>
      <c r="J6" s="33">
        <f t="shared" si="0"/>
        <v>95.5</v>
      </c>
      <c r="K6" s="33">
        <f t="shared" si="0"/>
        <v>150.20000000001164</v>
      </c>
      <c r="L6" s="33">
        <f t="shared" si="0"/>
        <v>186.39999999999418</v>
      </c>
      <c r="M6" s="33">
        <f t="shared" si="0"/>
        <v>234</v>
      </c>
      <c r="N6" s="33">
        <f t="shared" si="0"/>
        <v>122.39999999999418</v>
      </c>
      <c r="O6" s="33">
        <f t="shared" si="0"/>
        <v>162.30000000001746</v>
      </c>
      <c r="P6" s="33">
        <f t="shared" si="0"/>
        <v>153.29999999998836</v>
      </c>
      <c r="Q6" s="33">
        <f t="shared" si="0"/>
        <v>141.20000000001164</v>
      </c>
      <c r="R6" s="33">
        <f t="shared" si="0"/>
        <v>158.39999999999418</v>
      </c>
      <c r="S6" s="33">
        <f t="shared" si="0"/>
        <v>149.69999999998254</v>
      </c>
      <c r="T6" s="33">
        <f t="shared" si="0"/>
        <v>149.5</v>
      </c>
      <c r="U6" s="33">
        <f t="shared" si="0"/>
        <v>211.70000000001164</v>
      </c>
      <c r="V6" s="33">
        <f t="shared" si="0"/>
        <v>182.60000000000582</v>
      </c>
      <c r="W6" s="33">
        <f t="shared" si="0"/>
        <v>182.69999999998254</v>
      </c>
      <c r="X6" s="33">
        <f t="shared" si="0"/>
        <v>170.80000000001746</v>
      </c>
      <c r="Y6" s="33">
        <f t="shared" si="0"/>
        <v>185.60000000000582</v>
      </c>
      <c r="Z6" s="33">
        <f t="shared" si="0"/>
        <v>171.39999999999418</v>
      </c>
      <c r="AA6" s="33">
        <f t="shared" si="0"/>
        <v>156.5</v>
      </c>
      <c r="AB6" s="33">
        <f t="shared" si="0"/>
        <v>137.79999999998836</v>
      </c>
      <c r="AC6" s="33">
        <f t="shared" si="0"/>
        <v>162.60000000000582</v>
      </c>
      <c r="AD6" s="33">
        <f t="shared" si="0"/>
        <v>156.5</v>
      </c>
      <c r="AE6" s="33">
        <f t="shared" si="0"/>
        <v>159.39999999999418</v>
      </c>
      <c r="AF6" s="33">
        <f t="shared" si="0"/>
        <v>160</v>
      </c>
      <c r="AG6" s="33">
        <f t="shared" si="0"/>
        <v>142.60000000000582</v>
      </c>
      <c r="AH6" s="33">
        <f t="shared" si="0"/>
        <v>139.89999999999418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3">
      <c r="A7" s="91" t="s">
        <v>39</v>
      </c>
      <c r="B7" s="49" t="s">
        <v>69</v>
      </c>
      <c r="C7" s="93" t="s">
        <v>70</v>
      </c>
      <c r="D7" s="31">
        <v>170700.4</v>
      </c>
      <c r="E7" s="31">
        <v>170938.1</v>
      </c>
      <c r="F7" s="31">
        <v>171153.8</v>
      </c>
      <c r="G7" s="31">
        <v>171277.7</v>
      </c>
      <c r="H7" s="31">
        <v>171545.4</v>
      </c>
      <c r="I7" s="31">
        <v>171733.3</v>
      </c>
      <c r="J7" s="31">
        <v>171982.2</v>
      </c>
      <c r="K7" s="31">
        <v>172134.3</v>
      </c>
      <c r="L7" s="31">
        <v>172383.4</v>
      </c>
      <c r="M7" s="31">
        <v>172643.3</v>
      </c>
      <c r="N7" s="31">
        <v>172785.9</v>
      </c>
      <c r="O7" s="31">
        <v>173071.8</v>
      </c>
      <c r="P7" s="31">
        <v>173281.1</v>
      </c>
      <c r="Q7" s="31">
        <v>173562.8</v>
      </c>
      <c r="R7" s="31">
        <v>173853.7</v>
      </c>
      <c r="S7" s="31">
        <v>174047.6</v>
      </c>
      <c r="T7" s="31">
        <v>174156.3</v>
      </c>
      <c r="U7" s="31">
        <v>174267.7</v>
      </c>
      <c r="V7" s="31">
        <v>174495.3</v>
      </c>
      <c r="W7" s="31">
        <v>174754.9</v>
      </c>
      <c r="X7" s="31">
        <v>175041.4</v>
      </c>
      <c r="Y7" s="31">
        <v>175254.8</v>
      </c>
      <c r="Z7" s="31">
        <v>175527.5</v>
      </c>
      <c r="AA7" s="31">
        <v>175807.5</v>
      </c>
      <c r="AB7" s="31">
        <v>175942.1</v>
      </c>
      <c r="AC7" s="31">
        <v>176201.5</v>
      </c>
      <c r="AD7" s="31">
        <v>176506</v>
      </c>
      <c r="AE7" s="31">
        <v>176739.4</v>
      </c>
      <c r="AF7" s="31">
        <v>177047.4</v>
      </c>
      <c r="AG7" s="31">
        <v>177362.6</v>
      </c>
      <c r="AH7" s="31">
        <v>177701.5</v>
      </c>
      <c r="AI7" s="31"/>
    </row>
    <row r="8" spans="1:42" s="34" customFormat="1" ht="25.65" customHeight="1" x14ac:dyDescent="0.3">
      <c r="A8" s="92"/>
      <c r="B8" s="47"/>
      <c r="C8" s="93"/>
      <c r="D8" s="33"/>
      <c r="E8" s="33">
        <f t="shared" ref="E8:AH10" si="1">E7-D7</f>
        <v>237.70000000001164</v>
      </c>
      <c r="F8" s="33">
        <f t="shared" si="1"/>
        <v>215.69999999998254</v>
      </c>
      <c r="G8" s="33">
        <f t="shared" si="1"/>
        <v>123.90000000002328</v>
      </c>
      <c r="H8" s="33">
        <f t="shared" si="1"/>
        <v>267.69999999998254</v>
      </c>
      <c r="I8" s="33">
        <f t="shared" si="1"/>
        <v>187.89999999999418</v>
      </c>
      <c r="J8" s="33">
        <f t="shared" si="1"/>
        <v>248.90000000002328</v>
      </c>
      <c r="K8" s="33">
        <f t="shared" si="1"/>
        <v>152.09999999997672</v>
      </c>
      <c r="L8" s="33">
        <f t="shared" si="1"/>
        <v>249.10000000000582</v>
      </c>
      <c r="M8" s="33">
        <f t="shared" si="1"/>
        <v>259.89999999999418</v>
      </c>
      <c r="N8" s="33">
        <f t="shared" si="1"/>
        <v>142.60000000000582</v>
      </c>
      <c r="O8" s="33">
        <f t="shared" si="1"/>
        <v>285.89999999999418</v>
      </c>
      <c r="P8" s="33">
        <f t="shared" si="1"/>
        <v>209.30000000001746</v>
      </c>
      <c r="Q8" s="33">
        <f t="shared" si="1"/>
        <v>281.69999999998254</v>
      </c>
      <c r="R8" s="33">
        <f t="shared" si="1"/>
        <v>290.90000000002328</v>
      </c>
      <c r="S8" s="33">
        <f t="shared" si="1"/>
        <v>193.89999999999418</v>
      </c>
      <c r="T8" s="33">
        <f t="shared" si="1"/>
        <v>108.69999999998254</v>
      </c>
      <c r="U8" s="33">
        <f t="shared" si="1"/>
        <v>111.40000000002328</v>
      </c>
      <c r="V8" s="33">
        <f t="shared" si="1"/>
        <v>227.59999999997672</v>
      </c>
      <c r="W8" s="33">
        <f t="shared" si="1"/>
        <v>259.60000000000582</v>
      </c>
      <c r="X8" s="33">
        <f t="shared" si="1"/>
        <v>286.5</v>
      </c>
      <c r="Y8" s="33">
        <f t="shared" si="1"/>
        <v>213.39999999999418</v>
      </c>
      <c r="Z8" s="33">
        <f t="shared" si="1"/>
        <v>272.70000000001164</v>
      </c>
      <c r="AA8" s="33">
        <f t="shared" si="1"/>
        <v>280</v>
      </c>
      <c r="AB8" s="33">
        <f t="shared" si="1"/>
        <v>134.60000000000582</v>
      </c>
      <c r="AC8" s="33">
        <f t="shared" si="1"/>
        <v>259.39999999999418</v>
      </c>
      <c r="AD8" s="33">
        <f t="shared" si="1"/>
        <v>304.5</v>
      </c>
      <c r="AE8" s="33">
        <f t="shared" si="1"/>
        <v>233.39999999999418</v>
      </c>
      <c r="AF8" s="33">
        <f t="shared" si="1"/>
        <v>308</v>
      </c>
      <c r="AG8" s="33">
        <f t="shared" si="1"/>
        <v>315.20000000001164</v>
      </c>
      <c r="AH8" s="33">
        <f t="shared" si="1"/>
        <v>338.89999999999418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65" customHeight="1" x14ac:dyDescent="0.3">
      <c r="A9" s="91">
        <v>4</v>
      </c>
      <c r="B9" s="46" t="s">
        <v>71</v>
      </c>
      <c r="C9" s="93" t="s">
        <v>72</v>
      </c>
      <c r="D9" s="31">
        <v>46169</v>
      </c>
      <c r="E9" s="31">
        <v>46322</v>
      </c>
      <c r="F9" s="31">
        <v>46481</v>
      </c>
      <c r="G9" s="31">
        <v>46481</v>
      </c>
      <c r="H9" s="31">
        <v>46681</v>
      </c>
      <c r="I9" s="31">
        <v>46694</v>
      </c>
      <c r="J9" s="31">
        <v>46835</v>
      </c>
      <c r="K9" s="31">
        <v>46880</v>
      </c>
      <c r="L9" s="31">
        <v>47022</v>
      </c>
      <c r="M9" s="31">
        <v>47152</v>
      </c>
      <c r="N9" s="31">
        <v>47152</v>
      </c>
      <c r="O9" s="31">
        <v>47295</v>
      </c>
      <c r="P9" s="31">
        <v>47361</v>
      </c>
      <c r="Q9" s="31">
        <v>47521</v>
      </c>
      <c r="R9" s="31">
        <v>47631</v>
      </c>
      <c r="S9" s="31">
        <v>47764</v>
      </c>
      <c r="T9" s="31">
        <v>47764</v>
      </c>
      <c r="U9" s="31">
        <v>47764</v>
      </c>
      <c r="V9" s="31">
        <v>47885</v>
      </c>
      <c r="W9" s="31">
        <v>48029</v>
      </c>
      <c r="X9" s="31">
        <v>48191</v>
      </c>
      <c r="Y9" s="31">
        <v>48237</v>
      </c>
      <c r="Z9" s="31">
        <v>48422</v>
      </c>
      <c r="AA9" s="31">
        <v>48577</v>
      </c>
      <c r="AB9" s="31">
        <v>48579</v>
      </c>
      <c r="AC9" s="31">
        <v>48677</v>
      </c>
      <c r="AD9" s="31">
        <v>48803</v>
      </c>
      <c r="AE9" s="31">
        <v>48842</v>
      </c>
      <c r="AF9" s="31">
        <v>48933</v>
      </c>
      <c r="AG9" s="31">
        <v>49133</v>
      </c>
      <c r="AH9" s="31">
        <v>49277</v>
      </c>
      <c r="AI9" s="31"/>
    </row>
    <row r="10" spans="1:42" s="34" customFormat="1" ht="25.65" customHeight="1" x14ac:dyDescent="0.3">
      <c r="A10" s="92"/>
      <c r="B10" s="47"/>
      <c r="C10" s="93"/>
      <c r="D10" s="33"/>
      <c r="E10" s="33">
        <f t="shared" ref="E10:H10" si="2">E9-D9</f>
        <v>153</v>
      </c>
      <c r="F10" s="33">
        <f t="shared" si="2"/>
        <v>159</v>
      </c>
      <c r="G10" s="33">
        <f t="shared" si="2"/>
        <v>0</v>
      </c>
      <c r="H10" s="33">
        <f t="shared" si="2"/>
        <v>200</v>
      </c>
      <c r="I10" s="33">
        <f t="shared" si="1"/>
        <v>13</v>
      </c>
      <c r="J10" s="33">
        <f t="shared" si="1"/>
        <v>141</v>
      </c>
      <c r="K10" s="33">
        <f t="shared" si="1"/>
        <v>45</v>
      </c>
      <c r="L10" s="33">
        <f t="shared" si="1"/>
        <v>142</v>
      </c>
      <c r="M10" s="33">
        <f t="shared" si="1"/>
        <v>130</v>
      </c>
      <c r="N10" s="33">
        <f t="shared" si="1"/>
        <v>0</v>
      </c>
      <c r="O10" s="33">
        <f t="shared" si="1"/>
        <v>143</v>
      </c>
      <c r="P10" s="33">
        <f t="shared" si="1"/>
        <v>66</v>
      </c>
      <c r="Q10" s="33">
        <f t="shared" si="1"/>
        <v>160</v>
      </c>
      <c r="R10" s="33">
        <f t="shared" si="1"/>
        <v>110</v>
      </c>
      <c r="S10" s="33">
        <f t="shared" si="1"/>
        <v>133</v>
      </c>
      <c r="T10" s="33">
        <f t="shared" si="1"/>
        <v>0</v>
      </c>
      <c r="U10" s="33">
        <f t="shared" si="1"/>
        <v>0</v>
      </c>
      <c r="V10" s="33">
        <f t="shared" si="1"/>
        <v>121</v>
      </c>
      <c r="W10" s="33">
        <f t="shared" si="1"/>
        <v>144</v>
      </c>
      <c r="X10" s="33">
        <f t="shared" si="1"/>
        <v>162</v>
      </c>
      <c r="Y10" s="33">
        <f t="shared" si="1"/>
        <v>46</v>
      </c>
      <c r="Z10" s="33">
        <f t="shared" si="1"/>
        <v>185</v>
      </c>
      <c r="AA10" s="33">
        <f t="shared" si="1"/>
        <v>155</v>
      </c>
      <c r="AB10" s="33">
        <f t="shared" si="1"/>
        <v>2</v>
      </c>
      <c r="AC10" s="33">
        <f t="shared" si="1"/>
        <v>98</v>
      </c>
      <c r="AD10" s="33">
        <f t="shared" si="1"/>
        <v>126</v>
      </c>
      <c r="AE10" s="33">
        <f t="shared" si="1"/>
        <v>39</v>
      </c>
      <c r="AF10" s="33">
        <f t="shared" si="1"/>
        <v>91</v>
      </c>
      <c r="AG10" s="33">
        <f t="shared" si="1"/>
        <v>200</v>
      </c>
      <c r="AH10" s="33">
        <f t="shared" si="1"/>
        <v>144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65" customHeight="1" x14ac:dyDescent="0.3">
      <c r="A11" s="94">
        <v>5</v>
      </c>
      <c r="B11" s="27">
        <v>68864837</v>
      </c>
      <c r="C11" s="93" t="s">
        <v>73</v>
      </c>
      <c r="D11" s="31">
        <v>4488.7550000000001</v>
      </c>
      <c r="E11" s="31">
        <v>4488.7629999999999</v>
      </c>
      <c r="F11" s="31">
        <v>4488.7669999999998</v>
      </c>
      <c r="G11" s="31">
        <v>4488.7610000000004</v>
      </c>
      <c r="H11" s="31">
        <v>4488.7669999999998</v>
      </c>
      <c r="I11" s="31">
        <v>4488.7669999999998</v>
      </c>
      <c r="J11" s="31">
        <v>4488.7669999999998</v>
      </c>
      <c r="K11" s="31">
        <v>4502.491</v>
      </c>
      <c r="L11" s="31">
        <v>4506.4679999999998</v>
      </c>
      <c r="M11" s="31">
        <v>4506.4719999999998</v>
      </c>
      <c r="N11" s="31">
        <v>4506.4719999999998</v>
      </c>
      <c r="O11" s="31">
        <v>4506.4719999999998</v>
      </c>
      <c r="P11" s="31">
        <v>4506.4719999999998</v>
      </c>
      <c r="Q11" s="31">
        <v>4506.4719999999998</v>
      </c>
      <c r="R11" s="31">
        <v>4506.4719999999998</v>
      </c>
      <c r="S11" s="31">
        <v>4506.8069999999998</v>
      </c>
      <c r="T11" s="31">
        <v>4506.8069999999998</v>
      </c>
      <c r="U11" s="31">
        <v>4506.8069999999998</v>
      </c>
      <c r="V11" s="31">
        <v>4506.8069999999998</v>
      </c>
      <c r="W11" s="31">
        <v>4506.8069999999998</v>
      </c>
      <c r="X11" s="31">
        <v>4506.8069999999998</v>
      </c>
      <c r="Y11" s="31">
        <v>4506.8069999999998</v>
      </c>
      <c r="Z11" s="31">
        <v>4506.8069999999998</v>
      </c>
      <c r="AA11" s="31">
        <v>4506.8069999999998</v>
      </c>
      <c r="AB11" s="31">
        <v>4506.9359999999997</v>
      </c>
      <c r="AC11" s="31">
        <v>4507.0439999999999</v>
      </c>
      <c r="AD11" s="31">
        <v>4507.0439999999999</v>
      </c>
      <c r="AE11" s="31">
        <v>4507.0439999999999</v>
      </c>
      <c r="AF11" s="31">
        <v>4507.107</v>
      </c>
      <c r="AG11" s="31">
        <v>4507.1509999999998</v>
      </c>
      <c r="AH11" s="31">
        <v>4507.1880000000001</v>
      </c>
      <c r="AI11" s="31"/>
    </row>
    <row r="12" spans="1:42" s="8" customFormat="1" ht="25.65" customHeight="1" x14ac:dyDescent="0.3">
      <c r="A12" s="95"/>
      <c r="B12" s="48"/>
      <c r="C12" s="93"/>
      <c r="D12" s="33"/>
      <c r="E12" s="33">
        <f t="shared" ref="E12:AH12" si="3">E11-D11</f>
        <v>7.9999999998108251E-3</v>
      </c>
      <c r="F12" s="33">
        <f t="shared" si="3"/>
        <v>3.9999999999054126E-3</v>
      </c>
      <c r="G12" s="33">
        <f t="shared" si="3"/>
        <v>-5.9999999994033715E-3</v>
      </c>
      <c r="H12" s="33">
        <f t="shared" si="3"/>
        <v>5.9999999994033715E-3</v>
      </c>
      <c r="I12" s="33">
        <f t="shared" si="3"/>
        <v>0</v>
      </c>
      <c r="J12" s="33">
        <f t="shared" si="3"/>
        <v>0</v>
      </c>
      <c r="K12" s="33">
        <f t="shared" si="3"/>
        <v>13.72400000000016</v>
      </c>
      <c r="L12" s="33">
        <f t="shared" si="3"/>
        <v>3.9769999999998618</v>
      </c>
      <c r="M12" s="33">
        <f t="shared" si="3"/>
        <v>3.9999999999054126E-3</v>
      </c>
      <c r="N12" s="33">
        <f t="shared" si="3"/>
        <v>0</v>
      </c>
      <c r="O12" s="33">
        <f t="shared" si="3"/>
        <v>0</v>
      </c>
      <c r="P12" s="33">
        <f t="shared" si="3"/>
        <v>0</v>
      </c>
      <c r="Q12" s="33">
        <f t="shared" si="3"/>
        <v>0</v>
      </c>
      <c r="R12" s="33">
        <f t="shared" si="3"/>
        <v>0</v>
      </c>
      <c r="S12" s="33">
        <f t="shared" si="3"/>
        <v>0.33500000000003638</v>
      </c>
      <c r="T12" s="33">
        <f t="shared" si="3"/>
        <v>0</v>
      </c>
      <c r="U12" s="33">
        <f t="shared" si="3"/>
        <v>0</v>
      </c>
      <c r="V12" s="33">
        <f t="shared" si="3"/>
        <v>0</v>
      </c>
      <c r="W12" s="33">
        <f t="shared" si="3"/>
        <v>0</v>
      </c>
      <c r="X12" s="33">
        <f t="shared" si="3"/>
        <v>0</v>
      </c>
      <c r="Y12" s="33">
        <f t="shared" si="3"/>
        <v>0</v>
      </c>
      <c r="Z12" s="33">
        <f t="shared" si="3"/>
        <v>0</v>
      </c>
      <c r="AA12" s="33">
        <f t="shared" si="3"/>
        <v>0</v>
      </c>
      <c r="AB12" s="33">
        <f t="shared" si="3"/>
        <v>0.12899999999990541</v>
      </c>
      <c r="AC12" s="33">
        <f t="shared" si="3"/>
        <v>0.10800000000017462</v>
      </c>
      <c r="AD12" s="33">
        <f t="shared" si="3"/>
        <v>0</v>
      </c>
      <c r="AE12" s="33">
        <f t="shared" si="3"/>
        <v>0</v>
      </c>
      <c r="AF12" s="33">
        <f t="shared" si="3"/>
        <v>6.3000000000101863E-2</v>
      </c>
      <c r="AG12" s="33">
        <f t="shared" si="3"/>
        <v>4.3999999999869033E-2</v>
      </c>
      <c r="AH12" s="33">
        <f t="shared" si="3"/>
        <v>3.7000000000261934E-2</v>
      </c>
      <c r="AI12" s="33"/>
    </row>
    <row r="13" spans="1:42" s="8" customFormat="1" ht="25.65" customHeight="1" x14ac:dyDescent="0.3">
      <c r="A13" s="94">
        <v>6</v>
      </c>
      <c r="B13" s="27">
        <v>65296485</v>
      </c>
      <c r="C13" s="93" t="s">
        <v>74</v>
      </c>
      <c r="D13" s="31">
        <v>7752.2259999999997</v>
      </c>
      <c r="E13" s="31">
        <v>7752.4520000000002</v>
      </c>
      <c r="F13" s="31">
        <v>7752.527</v>
      </c>
      <c r="G13" s="31">
        <v>7752.5680000000002</v>
      </c>
      <c r="H13" s="31">
        <v>7752.7150000000001</v>
      </c>
      <c r="I13" s="31">
        <v>7752.8159999999998</v>
      </c>
      <c r="J13" s="31">
        <v>7753.2290000000003</v>
      </c>
      <c r="K13" s="31">
        <v>7753.3710000000001</v>
      </c>
      <c r="L13" s="31">
        <v>7753.442</v>
      </c>
      <c r="M13" s="31">
        <v>7753.5129999999999</v>
      </c>
      <c r="N13" s="31">
        <v>7753.56</v>
      </c>
      <c r="O13" s="31">
        <v>7753.56</v>
      </c>
      <c r="P13" s="31">
        <v>7753.634</v>
      </c>
      <c r="Q13" s="31">
        <v>7754.1819999999998</v>
      </c>
      <c r="R13" s="31">
        <v>7754.527</v>
      </c>
      <c r="S13" s="31">
        <v>7754.5879999999997</v>
      </c>
      <c r="T13" s="31">
        <v>7754.64</v>
      </c>
      <c r="U13" s="31">
        <v>7755.3850000000002</v>
      </c>
      <c r="V13" s="31">
        <v>7755.3860000000004</v>
      </c>
      <c r="W13" s="31">
        <v>7755.4340000000002</v>
      </c>
      <c r="X13" s="31">
        <v>7755.518</v>
      </c>
      <c r="Y13" s="31">
        <v>7755.598</v>
      </c>
      <c r="Z13" s="31">
        <v>7755.6189999999997</v>
      </c>
      <c r="AA13" s="31">
        <v>7755.63</v>
      </c>
      <c r="AB13" s="31">
        <v>7755.732</v>
      </c>
      <c r="AC13" s="31">
        <v>7755.84</v>
      </c>
      <c r="AD13" s="31">
        <v>7756.183</v>
      </c>
      <c r="AE13" s="31">
        <v>7756.1850000000004</v>
      </c>
      <c r="AF13" s="31">
        <v>7756.1850000000004</v>
      </c>
      <c r="AG13" s="31">
        <v>7756.2430000000004</v>
      </c>
      <c r="AH13" s="31">
        <v>7756.2719999999999</v>
      </c>
      <c r="AI13" s="31"/>
    </row>
    <row r="14" spans="1:42" s="8" customFormat="1" ht="25.65" customHeight="1" x14ac:dyDescent="0.3">
      <c r="A14" s="95"/>
      <c r="B14" s="48"/>
      <c r="C14" s="93"/>
      <c r="D14" s="33"/>
      <c r="E14" s="33">
        <f t="shared" ref="E14:AH14" si="4">E13-D13</f>
        <v>0.22600000000056752</v>
      </c>
      <c r="F14" s="33">
        <f t="shared" si="4"/>
        <v>7.4999999999818101E-2</v>
      </c>
      <c r="G14" s="33">
        <f t="shared" si="4"/>
        <v>4.1000000000167347E-2</v>
      </c>
      <c r="H14" s="33">
        <f t="shared" si="4"/>
        <v>0.14699999999993452</v>
      </c>
      <c r="I14" s="33">
        <f t="shared" si="4"/>
        <v>0.10099999999965803</v>
      </c>
      <c r="J14" s="33">
        <f t="shared" si="4"/>
        <v>0.41300000000046566</v>
      </c>
      <c r="K14" s="33">
        <f t="shared" si="4"/>
        <v>0.14199999999982538</v>
      </c>
      <c r="L14" s="33">
        <f t="shared" si="4"/>
        <v>7.0999999999912689E-2</v>
      </c>
      <c r="M14" s="33">
        <f t="shared" si="4"/>
        <v>7.0999999999912689E-2</v>
      </c>
      <c r="N14" s="33">
        <f t="shared" si="4"/>
        <v>4.7000000000480213E-2</v>
      </c>
      <c r="O14" s="33">
        <f t="shared" si="4"/>
        <v>0</v>
      </c>
      <c r="P14" s="33">
        <f t="shared" si="4"/>
        <v>7.3999999999614374E-2</v>
      </c>
      <c r="Q14" s="33">
        <f t="shared" si="4"/>
        <v>0.54799999999977445</v>
      </c>
      <c r="R14" s="33">
        <f t="shared" si="4"/>
        <v>0.34500000000025466</v>
      </c>
      <c r="S14" s="33">
        <f t="shared" si="4"/>
        <v>6.099999999969441E-2</v>
      </c>
      <c r="T14" s="33">
        <f t="shared" si="4"/>
        <v>5.2000000000589353E-2</v>
      </c>
      <c r="U14" s="33">
        <f t="shared" si="4"/>
        <v>0.74499999999989086</v>
      </c>
      <c r="V14" s="33">
        <f t="shared" si="4"/>
        <v>1.0000000002037268E-3</v>
      </c>
      <c r="W14" s="33">
        <f t="shared" si="4"/>
        <v>4.7999999999774445E-2</v>
      </c>
      <c r="X14" s="33">
        <f t="shared" si="4"/>
        <v>8.3999999999832653E-2</v>
      </c>
      <c r="Y14" s="33">
        <f t="shared" si="4"/>
        <v>7.999999999992724E-2</v>
      </c>
      <c r="Z14" s="33">
        <f t="shared" si="4"/>
        <v>2.099999999973079E-2</v>
      </c>
      <c r="AA14" s="33">
        <f t="shared" si="4"/>
        <v>1.1000000000422006E-2</v>
      </c>
      <c r="AB14" s="33">
        <f t="shared" si="4"/>
        <v>0.10199999999986176</v>
      </c>
      <c r="AC14" s="33">
        <f t="shared" si="4"/>
        <v>0.10800000000017462</v>
      </c>
      <c r="AD14" s="33">
        <f t="shared" si="4"/>
        <v>0.3429999999998472</v>
      </c>
      <c r="AE14" s="33">
        <f t="shared" si="4"/>
        <v>2.0000000004074536E-3</v>
      </c>
      <c r="AF14" s="33">
        <f t="shared" si="4"/>
        <v>0</v>
      </c>
      <c r="AG14" s="33">
        <f t="shared" si="4"/>
        <v>5.7999999999992724E-2</v>
      </c>
      <c r="AH14" s="33">
        <f t="shared" si="4"/>
        <v>2.8999999999541615E-2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3">
      <c r="B15" s="87" t="s">
        <v>75</v>
      </c>
      <c r="C15" s="87"/>
      <c r="D15" s="50"/>
      <c r="E15" s="58">
        <f>E6+((E8*45%)+(E10*45%)+(E12+E14))</f>
        <v>267.54900000000566</v>
      </c>
      <c r="F15" s="58">
        <f t="shared" ref="F15:AH15" si="5">F6+((F8*45%)+(F10*45%)+(F12+F14))</f>
        <v>319.89400000000353</v>
      </c>
      <c r="G15" s="58">
        <f t="shared" si="5"/>
        <v>140.39000000001707</v>
      </c>
      <c r="H15" s="58">
        <f t="shared" si="5"/>
        <v>354.81799999997401</v>
      </c>
      <c r="I15" s="58">
        <f t="shared" si="5"/>
        <v>252.00599999999702</v>
      </c>
      <c r="J15" s="58">
        <f t="shared" si="5"/>
        <v>271.36800000001097</v>
      </c>
      <c r="K15" s="58">
        <f t="shared" si="5"/>
        <v>252.76100000000116</v>
      </c>
      <c r="L15" s="58">
        <f t="shared" si="5"/>
        <v>366.44299999999657</v>
      </c>
      <c r="M15" s="58">
        <f t="shared" si="5"/>
        <v>409.52999999999719</v>
      </c>
      <c r="N15" s="58">
        <f t="shared" si="5"/>
        <v>186.61699999999729</v>
      </c>
      <c r="O15" s="58">
        <f t="shared" si="5"/>
        <v>355.30500000001484</v>
      </c>
      <c r="P15" s="58">
        <f t="shared" si="5"/>
        <v>277.25899999999581</v>
      </c>
      <c r="Q15" s="58">
        <f t="shared" si="5"/>
        <v>340.51300000000356</v>
      </c>
      <c r="R15" s="58">
        <f t="shared" si="5"/>
        <v>339.15000000000492</v>
      </c>
      <c r="S15" s="58">
        <f t="shared" si="5"/>
        <v>297.20099999997967</v>
      </c>
      <c r="T15" s="58">
        <f t="shared" si="5"/>
        <v>198.46699999999274</v>
      </c>
      <c r="U15" s="58">
        <f t="shared" si="5"/>
        <v>262.57500000002199</v>
      </c>
      <c r="V15" s="58">
        <f t="shared" si="5"/>
        <v>339.47099999999557</v>
      </c>
      <c r="W15" s="58">
        <f t="shared" si="5"/>
        <v>364.36799999998493</v>
      </c>
      <c r="X15" s="58">
        <f t="shared" si="5"/>
        <v>372.70900000001734</v>
      </c>
      <c r="Y15" s="58">
        <f t="shared" si="5"/>
        <v>302.41000000000315</v>
      </c>
      <c r="Z15" s="58">
        <f t="shared" si="5"/>
        <v>377.38599999999917</v>
      </c>
      <c r="AA15" s="58">
        <f t="shared" si="5"/>
        <v>352.26100000000042</v>
      </c>
      <c r="AB15" s="58">
        <f t="shared" si="5"/>
        <v>199.50099999999074</v>
      </c>
      <c r="AC15" s="58">
        <f t="shared" si="5"/>
        <v>323.6460000000036</v>
      </c>
      <c r="AD15" s="58">
        <f t="shared" si="5"/>
        <v>350.56799999999987</v>
      </c>
      <c r="AE15" s="58">
        <f t="shared" si="5"/>
        <v>281.98199999999196</v>
      </c>
      <c r="AF15" s="58">
        <f t="shared" si="5"/>
        <v>339.61300000000011</v>
      </c>
      <c r="AG15" s="58">
        <f t="shared" si="5"/>
        <v>374.54200000001094</v>
      </c>
      <c r="AH15" s="58">
        <f t="shared" si="5"/>
        <v>357.27099999999137</v>
      </c>
      <c r="AI15" s="58"/>
    </row>
    <row r="16" spans="1:42" ht="33" customHeight="1" x14ac:dyDescent="0.3">
      <c r="B16" s="86" t="s">
        <v>76</v>
      </c>
      <c r="C16" s="86"/>
      <c r="D16" s="50"/>
      <c r="E16" s="58">
        <f>SUM(E15:AI15)</f>
        <v>9227.5740000000023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3"/>
    <row r="22" s="2" customFormat="1" ht="70.5" customHeight="1" x14ac:dyDescent="0.3"/>
    <row r="23" s="2" customFormat="1" ht="70.5" customHeight="1" x14ac:dyDescent="0.3"/>
    <row r="24" s="2" customFormat="1" ht="70.5" customHeight="1" x14ac:dyDescent="0.3"/>
    <row r="25" s="2" customFormat="1" ht="70.5" customHeight="1" x14ac:dyDescent="0.3"/>
    <row r="26" s="2" customFormat="1" ht="70.5" customHeight="1" x14ac:dyDescent="0.3"/>
    <row r="27" s="2" customFormat="1" ht="70.5" customHeight="1" x14ac:dyDescent="0.3"/>
    <row r="28" s="2" customFormat="1" ht="70.5" customHeight="1" x14ac:dyDescent="0.3"/>
    <row r="29" s="2" customFormat="1" ht="70.5" customHeight="1" x14ac:dyDescent="0.3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7" activePane="bottomLeft" state="frozen"/>
      <selection pane="bottomLeft" activeCell="C5" sqref="C5:C33"/>
    </sheetView>
  </sheetViews>
  <sheetFormatPr defaultRowHeight="14.4" x14ac:dyDescent="0.3"/>
  <cols>
    <col min="1" max="1" width="9.6640625" customWidth="1"/>
    <col min="2" max="2" width="10.6640625" customWidth="1"/>
    <col min="3" max="3" width="12.33203125" bestFit="1" customWidth="1"/>
  </cols>
  <sheetData>
    <row r="1" spans="1:7" ht="68.25" customHeight="1" x14ac:dyDescent="0.3">
      <c r="A1" s="96" t="s">
        <v>84</v>
      </c>
      <c r="B1" s="96"/>
      <c r="C1" s="96"/>
    </row>
    <row r="3" spans="1:7" ht="48" x14ac:dyDescent="0.3">
      <c r="A3" s="51" t="s">
        <v>36</v>
      </c>
      <c r="B3" s="52">
        <v>43639.42</v>
      </c>
      <c r="C3" s="53"/>
    </row>
    <row r="4" spans="1:7" ht="28.5" customHeight="1" x14ac:dyDescent="0.3">
      <c r="A4" s="54">
        <v>1</v>
      </c>
      <c r="B4" s="52"/>
      <c r="C4" s="53">
        <f>B3/30</f>
        <v>1454.6473333333333</v>
      </c>
    </row>
    <row r="5" spans="1:7" ht="28.5" customHeight="1" x14ac:dyDescent="0.3">
      <c r="A5" s="54">
        <v>2</v>
      </c>
      <c r="B5" s="52"/>
      <c r="C5" s="53">
        <v>1454.6473333333333</v>
      </c>
    </row>
    <row r="6" spans="1:7" ht="28.5" customHeight="1" x14ac:dyDescent="0.3">
      <c r="A6" s="55">
        <v>3</v>
      </c>
      <c r="B6" s="52"/>
      <c r="C6" s="53">
        <v>1454.6473333333333</v>
      </c>
    </row>
    <row r="7" spans="1:7" ht="28.5" customHeight="1" x14ac:dyDescent="0.3">
      <c r="A7" s="54">
        <v>4</v>
      </c>
      <c r="B7" s="52"/>
      <c r="C7" s="53">
        <v>1454.6473333333333</v>
      </c>
    </row>
    <row r="8" spans="1:7" ht="28.5" customHeight="1" x14ac:dyDescent="0.3">
      <c r="A8" s="54">
        <v>5</v>
      </c>
      <c r="B8" s="52"/>
      <c r="C8" s="53">
        <v>1454.6473333333333</v>
      </c>
    </row>
    <row r="9" spans="1:7" ht="28.5" customHeight="1" x14ac:dyDescent="0.3">
      <c r="A9" s="54">
        <v>6</v>
      </c>
      <c r="B9" s="52"/>
      <c r="C9" s="53">
        <v>1454.6473333333333</v>
      </c>
      <c r="G9" t="s">
        <v>77</v>
      </c>
    </row>
    <row r="10" spans="1:7" ht="28.5" customHeight="1" x14ac:dyDescent="0.3">
      <c r="A10" s="54">
        <v>7</v>
      </c>
      <c r="B10" s="52"/>
      <c r="C10" s="53">
        <v>1454.6473333333333</v>
      </c>
    </row>
    <row r="11" spans="1:7" ht="28.5" customHeight="1" x14ac:dyDescent="0.3">
      <c r="A11" s="54">
        <v>8</v>
      </c>
      <c r="B11" s="52"/>
      <c r="C11" s="53">
        <v>1454.6473333333333</v>
      </c>
    </row>
    <row r="12" spans="1:7" ht="28.5" customHeight="1" x14ac:dyDescent="0.3">
      <c r="A12" s="54">
        <v>9</v>
      </c>
      <c r="B12" s="52"/>
      <c r="C12" s="53">
        <v>1454.6473333333333</v>
      </c>
    </row>
    <row r="13" spans="1:7" ht="28.5" customHeight="1" x14ac:dyDescent="0.3">
      <c r="A13" s="54">
        <v>10</v>
      </c>
      <c r="B13" s="52"/>
      <c r="C13" s="53">
        <v>1454.6473333333333</v>
      </c>
    </row>
    <row r="14" spans="1:7" ht="28.5" customHeight="1" x14ac:dyDescent="0.3">
      <c r="A14" s="54">
        <v>11</v>
      </c>
      <c r="B14" s="52"/>
      <c r="C14" s="53">
        <v>1454.6473333333333</v>
      </c>
    </row>
    <row r="15" spans="1:7" ht="28.5" customHeight="1" x14ac:dyDescent="0.3">
      <c r="A15" s="54">
        <v>12</v>
      </c>
      <c r="B15" s="52"/>
      <c r="C15" s="53">
        <v>1454.6473333333333</v>
      </c>
    </row>
    <row r="16" spans="1:7" ht="28.5" customHeight="1" x14ac:dyDescent="0.3">
      <c r="A16" s="54">
        <v>13</v>
      </c>
      <c r="B16" s="52"/>
      <c r="C16" s="53">
        <v>1454.6473333333333</v>
      </c>
    </row>
    <row r="17" spans="1:4" ht="28.5" customHeight="1" x14ac:dyDescent="0.3">
      <c r="A17" s="54">
        <v>14</v>
      </c>
      <c r="B17" s="52"/>
      <c r="C17" s="53">
        <v>1454.6473333333333</v>
      </c>
    </row>
    <row r="18" spans="1:4" ht="28.5" customHeight="1" x14ac:dyDescent="0.3">
      <c r="A18" s="54">
        <v>15</v>
      </c>
      <c r="B18" s="52"/>
      <c r="C18" s="53">
        <v>1454.6473333333333</v>
      </c>
    </row>
    <row r="19" spans="1:4" ht="28.5" customHeight="1" x14ac:dyDescent="0.3">
      <c r="A19" s="54">
        <v>16</v>
      </c>
      <c r="B19" s="52"/>
      <c r="C19" s="53">
        <v>1454.6473333333333</v>
      </c>
    </row>
    <row r="20" spans="1:4" ht="28.5" customHeight="1" x14ac:dyDescent="0.3">
      <c r="A20" s="54">
        <v>17</v>
      </c>
      <c r="B20" s="52"/>
      <c r="C20" s="53">
        <v>1454.6473333333333</v>
      </c>
    </row>
    <row r="21" spans="1:4" ht="28.5" customHeight="1" x14ac:dyDescent="0.3">
      <c r="A21" s="54">
        <v>18</v>
      </c>
      <c r="B21" s="52"/>
      <c r="C21" s="53">
        <v>1454.6473333333333</v>
      </c>
    </row>
    <row r="22" spans="1:4" ht="28.5" customHeight="1" x14ac:dyDescent="0.3">
      <c r="A22" s="54">
        <v>19</v>
      </c>
      <c r="B22" s="52"/>
      <c r="C22" s="53">
        <v>1454.6473333333333</v>
      </c>
    </row>
    <row r="23" spans="1:4" ht="28.5" customHeight="1" x14ac:dyDescent="0.3">
      <c r="A23" s="54">
        <v>20</v>
      </c>
      <c r="B23" s="52"/>
      <c r="C23" s="53">
        <v>1454.6473333333333</v>
      </c>
    </row>
    <row r="24" spans="1:4" ht="28.5" customHeight="1" x14ac:dyDescent="0.3">
      <c r="A24" s="54">
        <v>21</v>
      </c>
      <c r="B24" s="52"/>
      <c r="C24" s="53">
        <v>1454.6473333333333</v>
      </c>
    </row>
    <row r="25" spans="1:4" ht="28.5" customHeight="1" x14ac:dyDescent="0.3">
      <c r="A25" s="54">
        <v>22</v>
      </c>
      <c r="B25" s="52"/>
      <c r="C25" s="53">
        <v>1454.6473333333333</v>
      </c>
    </row>
    <row r="26" spans="1:4" ht="28.5" customHeight="1" x14ac:dyDescent="0.3">
      <c r="A26" s="54">
        <v>23</v>
      </c>
      <c r="B26" s="52"/>
      <c r="C26" s="53">
        <v>1454.6473333333333</v>
      </c>
    </row>
    <row r="27" spans="1:4" ht="28.5" customHeight="1" x14ac:dyDescent="0.3">
      <c r="A27" s="54">
        <v>24</v>
      </c>
      <c r="B27" s="52"/>
      <c r="C27" s="53">
        <v>1454.6473333333333</v>
      </c>
    </row>
    <row r="28" spans="1:4" ht="28.5" customHeight="1" x14ac:dyDescent="0.3">
      <c r="A28" s="54">
        <v>25</v>
      </c>
      <c r="B28" s="52"/>
      <c r="C28" s="53">
        <v>1454.6473333333333</v>
      </c>
      <c r="D28" s="56"/>
    </row>
    <row r="29" spans="1:4" ht="28.5" customHeight="1" x14ac:dyDescent="0.3">
      <c r="A29" s="54">
        <v>26</v>
      </c>
      <c r="B29" s="52"/>
      <c r="C29" s="53">
        <v>1454.6473333333333</v>
      </c>
      <c r="D29" s="56"/>
    </row>
    <row r="30" spans="1:4" ht="28.5" customHeight="1" x14ac:dyDescent="0.3">
      <c r="A30" s="54">
        <v>27</v>
      </c>
      <c r="B30" s="52"/>
      <c r="C30" s="53">
        <v>1454.6473333333333</v>
      </c>
    </row>
    <row r="31" spans="1:4" ht="28.5" customHeight="1" x14ac:dyDescent="0.3">
      <c r="A31" s="54">
        <v>28</v>
      </c>
      <c r="B31" s="52"/>
      <c r="C31" s="53">
        <v>1454.6473333333333</v>
      </c>
    </row>
    <row r="32" spans="1:4" ht="28.5" customHeight="1" x14ac:dyDescent="0.3">
      <c r="A32" s="54">
        <v>29</v>
      </c>
      <c r="B32" s="52"/>
      <c r="C32" s="53">
        <v>1454.6473333333333</v>
      </c>
    </row>
    <row r="33" spans="1:3" ht="28.5" customHeight="1" x14ac:dyDescent="0.3">
      <c r="A33" s="54">
        <v>30</v>
      </c>
      <c r="B33" s="52"/>
      <c r="C33" s="53">
        <v>1454.6473333333333</v>
      </c>
    </row>
    <row r="34" spans="1:3" ht="28.5" customHeight="1" x14ac:dyDescent="0.3">
      <c r="A34" s="54">
        <v>31</v>
      </c>
      <c r="B34" s="52"/>
      <c r="C34" s="53"/>
    </row>
    <row r="35" spans="1:3" x14ac:dyDescent="0.3">
      <c r="A35" s="97" t="s">
        <v>78</v>
      </c>
      <c r="B35" s="97"/>
      <c r="C35" s="57">
        <f>SUM(C4:C34)</f>
        <v>43639.42000000002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5" zoomScaleNormal="100" workbookViewId="0">
      <selection activeCell="D32" sqref="D32"/>
    </sheetView>
  </sheetViews>
  <sheetFormatPr defaultRowHeight="14.4" x14ac:dyDescent="0.3"/>
  <cols>
    <col min="1" max="1" width="12.6640625" customWidth="1"/>
    <col min="2" max="2" width="17.44140625" customWidth="1"/>
    <col min="3" max="3" width="18" customWidth="1"/>
  </cols>
  <sheetData>
    <row r="1" spans="1:3" ht="35.25" customHeight="1" x14ac:dyDescent="0.3">
      <c r="A1" s="96" t="s">
        <v>83</v>
      </c>
      <c r="B1" s="96"/>
      <c r="C1" s="96"/>
    </row>
    <row r="2" spans="1:3" ht="24.9" customHeight="1" x14ac:dyDescent="0.3">
      <c r="A2" s="60" t="s">
        <v>79</v>
      </c>
      <c r="B2" s="60" t="s">
        <v>80</v>
      </c>
      <c r="C2" s="60" t="s">
        <v>81</v>
      </c>
    </row>
    <row r="3" spans="1:3" ht="24.9" customHeight="1" x14ac:dyDescent="0.3">
      <c r="A3" s="61">
        <v>43922</v>
      </c>
      <c r="B3" s="64">
        <v>223</v>
      </c>
      <c r="C3" s="64">
        <v>251</v>
      </c>
    </row>
    <row r="4" spans="1:3" ht="24.9" customHeight="1" x14ac:dyDescent="0.3">
      <c r="A4" s="61">
        <v>43923</v>
      </c>
      <c r="B4" s="64">
        <v>221</v>
      </c>
      <c r="C4" s="64">
        <v>266</v>
      </c>
    </row>
    <row r="5" spans="1:3" ht="24.9" customHeight="1" x14ac:dyDescent="0.3">
      <c r="A5" s="61">
        <v>43924</v>
      </c>
      <c r="B5" s="64">
        <v>226</v>
      </c>
      <c r="C5" s="64">
        <v>312</v>
      </c>
    </row>
    <row r="6" spans="1:3" ht="24.9" customHeight="1" x14ac:dyDescent="0.3">
      <c r="A6" s="61">
        <v>43925</v>
      </c>
      <c r="B6" s="64">
        <v>221</v>
      </c>
      <c r="C6" s="64">
        <v>327</v>
      </c>
    </row>
    <row r="7" spans="1:3" ht="24.9" customHeight="1" x14ac:dyDescent="0.3">
      <c r="A7" s="61">
        <v>43926</v>
      </c>
      <c r="B7" s="64">
        <v>224</v>
      </c>
      <c r="C7" s="64">
        <v>364</v>
      </c>
    </row>
    <row r="8" spans="1:3" ht="24.9" customHeight="1" x14ac:dyDescent="0.3">
      <c r="A8" s="61">
        <v>43927</v>
      </c>
      <c r="B8" s="64">
        <v>227</v>
      </c>
      <c r="C8" s="64">
        <v>417</v>
      </c>
    </row>
    <row r="9" spans="1:3" ht="24.9" customHeight="1" x14ac:dyDescent="0.3">
      <c r="A9" s="61">
        <v>43928</v>
      </c>
      <c r="B9" s="64">
        <v>228</v>
      </c>
      <c r="C9" s="64">
        <v>453</v>
      </c>
    </row>
    <row r="10" spans="1:3" ht="24.9" customHeight="1" x14ac:dyDescent="0.3">
      <c r="A10" s="61">
        <v>43929</v>
      </c>
      <c r="B10" s="64">
        <v>210</v>
      </c>
      <c r="C10" s="64">
        <v>442</v>
      </c>
    </row>
    <row r="11" spans="1:3" ht="24.9" customHeight="1" x14ac:dyDescent="0.3">
      <c r="A11" s="61">
        <v>43930</v>
      </c>
      <c r="B11" s="64">
        <v>220</v>
      </c>
      <c r="C11" s="64">
        <v>452</v>
      </c>
    </row>
    <row r="12" spans="1:3" ht="24.9" customHeight="1" x14ac:dyDescent="0.3">
      <c r="A12" s="61">
        <v>43931</v>
      </c>
      <c r="B12" s="64">
        <v>222</v>
      </c>
      <c r="C12" s="64">
        <v>453</v>
      </c>
    </row>
    <row r="13" spans="1:3" ht="24.9" customHeight="1" x14ac:dyDescent="0.3">
      <c r="A13" s="61">
        <v>43932</v>
      </c>
      <c r="B13" s="64">
        <v>216</v>
      </c>
      <c r="C13" s="64">
        <v>449</v>
      </c>
    </row>
    <row r="14" spans="1:3" ht="24.9" customHeight="1" x14ac:dyDescent="0.3">
      <c r="A14" s="61">
        <v>43933</v>
      </c>
      <c r="B14" s="64">
        <v>222</v>
      </c>
      <c r="C14" s="64">
        <v>466</v>
      </c>
    </row>
    <row r="15" spans="1:3" ht="24.9" customHeight="1" x14ac:dyDescent="0.3">
      <c r="A15" s="61">
        <v>43934</v>
      </c>
      <c r="B15" s="64">
        <v>230</v>
      </c>
      <c r="C15" s="64">
        <v>491</v>
      </c>
    </row>
    <row r="16" spans="1:3" ht="24.9" customHeight="1" x14ac:dyDescent="0.3">
      <c r="A16" s="61">
        <v>43935</v>
      </c>
      <c r="B16" s="64">
        <v>229</v>
      </c>
      <c r="C16" s="64">
        <v>493</v>
      </c>
    </row>
    <row r="17" spans="1:3" ht="24.9" customHeight="1" x14ac:dyDescent="0.3">
      <c r="A17" s="61">
        <v>43936</v>
      </c>
      <c r="B17" s="64">
        <v>227</v>
      </c>
      <c r="C17" s="64">
        <v>477</v>
      </c>
    </row>
    <row r="18" spans="1:3" ht="24.9" customHeight="1" x14ac:dyDescent="0.3">
      <c r="A18" s="61">
        <v>43937</v>
      </c>
      <c r="B18" s="64">
        <v>224</v>
      </c>
      <c r="C18" s="64">
        <v>469</v>
      </c>
    </row>
    <row r="19" spans="1:3" ht="24.9" customHeight="1" x14ac:dyDescent="0.3">
      <c r="A19" s="61">
        <v>43938</v>
      </c>
      <c r="B19" s="64">
        <v>233</v>
      </c>
      <c r="C19" s="64">
        <v>503</v>
      </c>
    </row>
    <row r="20" spans="1:3" ht="24.9" customHeight="1" x14ac:dyDescent="0.3">
      <c r="A20" s="61">
        <v>43939</v>
      </c>
      <c r="B20" s="64">
        <v>222</v>
      </c>
      <c r="C20" s="64">
        <v>472</v>
      </c>
    </row>
    <row r="21" spans="1:3" ht="24.9" customHeight="1" x14ac:dyDescent="0.3">
      <c r="A21" s="61">
        <v>43940</v>
      </c>
      <c r="B21" s="64">
        <v>214</v>
      </c>
      <c r="C21" s="64">
        <v>465</v>
      </c>
    </row>
    <row r="22" spans="1:3" ht="24.9" customHeight="1" x14ac:dyDescent="0.3">
      <c r="A22" s="61">
        <v>43941</v>
      </c>
      <c r="B22" s="64">
        <v>208</v>
      </c>
      <c r="C22" s="64">
        <v>452</v>
      </c>
    </row>
    <row r="23" spans="1:3" ht="24.9" customHeight="1" x14ac:dyDescent="0.3">
      <c r="A23" s="61">
        <v>43942</v>
      </c>
      <c r="B23" s="64">
        <v>212</v>
      </c>
      <c r="C23" s="64">
        <v>461</v>
      </c>
    </row>
    <row r="24" spans="1:3" ht="24.9" customHeight="1" x14ac:dyDescent="0.3">
      <c r="A24" s="61">
        <v>43943</v>
      </c>
      <c r="B24" s="64">
        <v>210</v>
      </c>
      <c r="C24" s="64">
        <v>471</v>
      </c>
    </row>
    <row r="25" spans="1:3" ht="24.9" customHeight="1" x14ac:dyDescent="0.3">
      <c r="A25" s="61">
        <v>43944</v>
      </c>
      <c r="B25" s="64">
        <v>201</v>
      </c>
      <c r="C25" s="64">
        <v>461</v>
      </c>
    </row>
    <row r="26" spans="1:3" ht="24.9" customHeight="1" x14ac:dyDescent="0.3">
      <c r="A26" s="61">
        <v>43945</v>
      </c>
      <c r="B26" s="64">
        <v>199</v>
      </c>
      <c r="C26" s="64">
        <v>465</v>
      </c>
    </row>
    <row r="27" spans="1:3" ht="24.9" customHeight="1" x14ac:dyDescent="0.3">
      <c r="A27" s="61">
        <v>43946</v>
      </c>
      <c r="B27" s="64">
        <v>202</v>
      </c>
      <c r="C27" s="64">
        <v>483</v>
      </c>
    </row>
    <row r="28" spans="1:3" ht="24.9" customHeight="1" x14ac:dyDescent="0.3">
      <c r="A28" s="61">
        <v>43947</v>
      </c>
      <c r="B28" s="64">
        <v>198</v>
      </c>
      <c r="C28" s="64">
        <v>482</v>
      </c>
    </row>
    <row r="29" spans="1:3" ht="24.9" customHeight="1" x14ac:dyDescent="0.3">
      <c r="A29" s="61">
        <v>43948</v>
      </c>
      <c r="B29" s="64">
        <v>200</v>
      </c>
      <c r="C29" s="64">
        <v>486</v>
      </c>
    </row>
    <row r="30" spans="1:3" ht="24.9" customHeight="1" x14ac:dyDescent="0.3">
      <c r="A30" s="61">
        <v>43949</v>
      </c>
      <c r="B30" s="64">
        <v>203</v>
      </c>
      <c r="C30" s="64">
        <v>493</v>
      </c>
    </row>
    <row r="31" spans="1:3" ht="24.9" customHeight="1" x14ac:dyDescent="0.3">
      <c r="A31" s="61">
        <v>43950</v>
      </c>
      <c r="B31" s="64">
        <v>200</v>
      </c>
      <c r="C31" s="64">
        <v>489</v>
      </c>
    </row>
    <row r="32" spans="1:3" ht="24.9" customHeight="1" x14ac:dyDescent="0.3">
      <c r="A32" s="61">
        <v>43951</v>
      </c>
      <c r="B32" s="64">
        <v>198</v>
      </c>
      <c r="C32" s="64">
        <v>488</v>
      </c>
    </row>
    <row r="33" spans="1:3" ht="24.9" customHeight="1" x14ac:dyDescent="0.3">
      <c r="A33" s="61"/>
      <c r="B33" s="62"/>
      <c r="C33" s="62"/>
    </row>
    <row r="34" spans="1:3" ht="30.75" customHeight="1" x14ac:dyDescent="0.3">
      <c r="A34" s="60" t="s">
        <v>82</v>
      </c>
      <c r="B34" s="63">
        <f>SUM(B3:B33)</f>
        <v>6470</v>
      </c>
      <c r="C34" s="63">
        <f>SUM(C3:C33)</f>
        <v>13253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2025-03-20T18:30:59Z</dcterms:modified>
  <cp:category/>
  <cp:contentStatus/>
</cp:coreProperties>
</file>