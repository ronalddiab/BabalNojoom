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DB892821-57C9-4476-A7F6-96F758AFC8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<sst xmlns="http://schemas.openxmlformats.org/spreadsheetml/2006/main" count="64" uniqueCount="31">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</sst>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abSelected="1" topLeftCell="A13" workbookViewId="0">
      <selection activeCell="L32" sqref="L3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-6088274</v>
      </c>
      <c r="F2" s="14">
        <v>0.2</v>
      </c>
      <c r="G2" s="13"/>
      <c r="I2" s="13">
        <f>'Consum.'!K8</f>
        <v>67</v>
      </c>
      <c r="J2" s="15">
        <v>7.84</v>
      </c>
      <c r="K2" s="13">
        <v>192</v>
      </c>
      <c r="L2" s="13">
        <v>247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-22595713</v>
      </c>
      <c r="F3" s="14">
        <v>0.2</v>
      </c>
      <c r="G3" s="13"/>
      <c r="I3" s="13">
        <f>'Consum.'!K9</f>
        <v>-75291</v>
      </c>
      <c r="J3" s="15">
        <v>7.84</v>
      </c>
      <c r="K3" s="13">
        <v>194</v>
      </c>
      <c r="L3" s="13">
        <v>237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0</v>
      </c>
      <c r="F4" s="14">
        <v>0.2</v>
      </c>
      <c r="G4" s="13"/>
      <c r="I4" s="13">
        <f>'Consum.'!K10</f>
        <v>0</v>
      </c>
      <c r="J4" s="15">
        <v>7.84</v>
      </c>
      <c r="K4" s="13">
        <v>207</v>
      </c>
      <c r="L4" s="13">
        <v>247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0</v>
      </c>
      <c r="F5" s="14">
        <v>0.2</v>
      </c>
      <c r="G5" s="13"/>
      <c r="I5" s="13">
        <f>'Consum.'!K11</f>
        <v>0</v>
      </c>
      <c r="J5" s="15">
        <v>7.84</v>
      </c>
      <c r="K5" s="13">
        <v>200</v>
      </c>
      <c r="L5" s="13">
        <v>238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0</v>
      </c>
      <c r="F6" s="14">
        <v>0.2</v>
      </c>
      <c r="G6" s="13"/>
      <c r="I6" s="13">
        <f>'Consum.'!K12</f>
        <v>0</v>
      </c>
      <c r="J6" s="15">
        <v>7.84</v>
      </c>
      <c r="K6" s="13">
        <v>209</v>
      </c>
      <c r="L6" s="13">
        <v>256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>
        <v>200</v>
      </c>
      <c r="L7" s="13">
        <v>247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>
        <v>198</v>
      </c>
      <c r="L8" s="13">
        <v>256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>
        <v>191</v>
      </c>
      <c r="L9" s="13">
        <v>245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>
        <v>171</v>
      </c>
      <c r="L10" s="13">
        <v>204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>
        <v>205</v>
      </c>
      <c r="L11" s="13">
        <v>271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>
        <v>202</v>
      </c>
      <c r="L12" s="13">
        <v>260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>
        <v>198</v>
      </c>
      <c r="L13" s="13">
        <v>249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>
        <v>184</v>
      </c>
      <c r="L14" s="13">
        <v>233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>
        <v>174</v>
      </c>
      <c r="L15" s="13">
        <v>226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>
        <v>170</v>
      </c>
      <c r="L16" s="13">
        <v>218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>
        <v>189</v>
      </c>
      <c r="L17" s="13">
        <v>237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>
        <v>201</v>
      </c>
      <c r="L18" s="13">
        <v>250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>
        <v>206</v>
      </c>
      <c r="L19" s="13">
        <v>267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>
        <v>224</v>
      </c>
      <c r="L20" s="13">
        <v>287</v>
      </c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>
        <v>187</v>
      </c>
      <c r="L21" s="13">
        <v>228</v>
      </c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>
        <v>170</v>
      </c>
      <c r="L22" s="13">
        <v>223</v>
      </c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>
        <v>173</v>
      </c>
      <c r="L23" s="13">
        <v>232</v>
      </c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>
        <v>169</v>
      </c>
      <c r="L24" s="13">
        <v>207</v>
      </c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>
        <v>176</v>
      </c>
      <c r="L25" s="13">
        <v>218</v>
      </c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>
        <v>180</v>
      </c>
      <c r="L26" s="13">
        <v>221</v>
      </c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>
        <v>162</v>
      </c>
      <c r="L27" s="13">
        <v>204</v>
      </c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>
        <v>159</v>
      </c>
      <c r="L28" s="13">
        <v>201</v>
      </c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>
        <v>180</v>
      </c>
      <c r="L29" s="13">
        <v>248</v>
      </c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>
        <v>197</v>
      </c>
      <c r="L30" s="13">
        <v>291</v>
      </c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>
        <v>226</v>
      </c>
      <c r="L31" s="13">
        <v>355</v>
      </c>
    </row>
    <row r="32" spans="1:12">
      <c r="G32" s="13"/>
      <c r="K32" s="16">
        <v>205</v>
      </c>
      <c r="L32" s="16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zoomScale="70" zoomScaleNormal="70" zoomScaleSheetLayoutView="100" workbookViewId="0">
      <selection activeCell="I8" sqref="I8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/>
      <c r="F8" s="30">
        <f t="shared" ref="F8:F37" si="4">(D8+E8)</f>
        <v>22595713</v>
      </c>
      <c r="G8" s="30">
        <f t="shared" ref="G8:G37" si="5">(F8-F7)</f>
        <v>-6088274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/>
      <c r="E9" s="34"/>
      <c r="F9" s="30">
        <f t="shared" si="4"/>
        <v>0</v>
      </c>
      <c r="G9" s="30">
        <f t="shared" si="5"/>
        <v>-22595713</v>
      </c>
      <c r="H9" s="31"/>
      <c r="I9" s="31"/>
      <c r="J9" s="30">
        <f t="shared" ref="J9:J36" si="6">H9+I9</f>
        <v>0</v>
      </c>
      <c r="K9" s="30">
        <f t="shared" ref="K9:K37" si="7">(J9-J8)</f>
        <v>-75291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/>
      <c r="E10" s="31"/>
      <c r="F10" s="30">
        <f t="shared" si="4"/>
        <v>0</v>
      </c>
      <c r="G10" s="30">
        <f t="shared" si="5"/>
        <v>0</v>
      </c>
      <c r="H10" s="31"/>
      <c r="I10" s="31"/>
      <c r="J10" s="30">
        <f t="shared" si="6"/>
        <v>0</v>
      </c>
      <c r="K10" s="30">
        <f t="shared" si="7"/>
        <v>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/>
      <c r="E11" s="31"/>
      <c r="F11" s="30">
        <f t="shared" si="4"/>
        <v>0</v>
      </c>
      <c r="G11" s="30">
        <f t="shared" si="5"/>
        <v>0</v>
      </c>
      <c r="H11" s="31"/>
      <c r="I11" s="31"/>
      <c r="J11" s="30">
        <f t="shared" si="6"/>
        <v>0</v>
      </c>
      <c r="K11" s="30">
        <f t="shared" si="7"/>
        <v>0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0</v>
      </c>
      <c r="H12" s="31"/>
      <c r="I12" s="31"/>
      <c r="J12" s="30">
        <f t="shared" si="6"/>
        <v>0</v>
      </c>
      <c r="K12" s="30">
        <f t="shared" si="7"/>
        <v>0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2025-06-02T04:47:17Z</dcterms:modified>
</cp:coreProperties>
</file>