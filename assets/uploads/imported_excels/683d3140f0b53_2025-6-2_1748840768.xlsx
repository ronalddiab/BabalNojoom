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9B1FEA96-BC8E-45C1-80EA-883607C0873F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F11" i="2"/>
  <c r="G11" i="2" s="1"/>
  <c r="C11" i="2"/>
  <c r="J10" i="2"/>
  <c r="F10" i="2"/>
  <c r="C10" i="2"/>
  <c r="F9" i="2"/>
  <c r="C9" i="2"/>
  <c r="J8" i="2"/>
  <c r="K8" i="2" s="1"/>
  <c r="F8" i="2"/>
  <c r="C8" i="2"/>
  <c r="G9" i="2" l="1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<sst xmlns="http://schemas.openxmlformats.org/spreadsheetml/2006/main" count="75" uniqueCount="39">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</sst>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M24" sqref="M24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/>
      <c r="L2" s="44"/>
    </row>
    <row r="3" spans="1:12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-34585504</v>
      </c>
      <c r="F3" s="45">
        <v>0.2</v>
      </c>
      <c r="G3" s="44"/>
      <c r="I3" s="44">
        <f>Sheet2!K9</f>
        <v>-2107</v>
      </c>
      <c r="J3" s="46">
        <v>7.84</v>
      </c>
      <c r="K3" s="44"/>
      <c r="L3" s="44"/>
    </row>
    <row r="4" spans="1:12">
      <c r="A4" s="42" t="s">
        <v>24</v>
      </c>
      <c r="B4" s="43">
        <f t="shared" ref="B4:B31" si="0">B3+1</f>
        <v>3</v>
      </c>
      <c r="C4" s="43">
        <v>4</v>
      </c>
      <c r="D4" s="43">
        <v>2025</v>
      </c>
      <c r="E4" s="44">
        <f>Sheet2!G10</f>
        <v>0</v>
      </c>
      <c r="F4" s="45">
        <v>0.2</v>
      </c>
      <c r="G4" s="44"/>
      <c r="I4" s="44">
        <f>Sheet2!K10</f>
        <v>0</v>
      </c>
      <c r="J4" s="46">
        <v>7.84</v>
      </c>
      <c r="K4" s="44"/>
      <c r="L4" s="44"/>
    </row>
    <row r="5" spans="1:12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0</v>
      </c>
      <c r="F5" s="45">
        <v>0.2</v>
      </c>
      <c r="G5" s="44"/>
      <c r="I5" s="44">
        <f>Sheet2!K11</f>
        <v>0</v>
      </c>
      <c r="J5" s="46">
        <v>7.84</v>
      </c>
      <c r="K5" s="44"/>
      <c r="L5" s="44"/>
    </row>
    <row r="6" spans="1:12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0</v>
      </c>
      <c r="F6" s="45">
        <v>0.2</v>
      </c>
      <c r="G6" s="44"/>
      <c r="I6" s="44">
        <f>Sheet2!K12</f>
        <v>0</v>
      </c>
      <c r="J6" s="46">
        <v>7.84</v>
      </c>
      <c r="K6" s="44"/>
      <c r="L6" s="44"/>
    </row>
    <row r="7" spans="1:12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0</v>
      </c>
      <c r="F7" s="45">
        <v>0.2</v>
      </c>
      <c r="G7" s="44"/>
      <c r="I7" s="44">
        <f>Sheet2!K13</f>
        <v>0</v>
      </c>
      <c r="J7" s="46">
        <v>7.84</v>
      </c>
      <c r="K7" s="44"/>
      <c r="L7" s="44"/>
    </row>
    <row r="8" spans="1:12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0</v>
      </c>
      <c r="F8" s="45">
        <v>0.2</v>
      </c>
      <c r="G8" s="44"/>
      <c r="I8" s="44">
        <f>Sheet2!K14</f>
        <v>0</v>
      </c>
      <c r="J8" s="46">
        <v>7.84</v>
      </c>
      <c r="K8" s="44"/>
      <c r="L8" s="44"/>
    </row>
    <row r="9" spans="1:12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0</v>
      </c>
      <c r="F9" s="45">
        <v>0.2</v>
      </c>
      <c r="G9" s="44"/>
      <c r="I9" s="44">
        <f>Sheet2!K15</f>
        <v>0</v>
      </c>
      <c r="J9" s="46">
        <v>7.84</v>
      </c>
      <c r="K9" s="44"/>
      <c r="L9" s="44"/>
    </row>
    <row r="10" spans="1:12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</row>
    <row r="11" spans="1:12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2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4" zoomScaleNormal="100" workbookViewId="0">
      <selection activeCell="I8" sqref="I8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9" t="s">
        <v>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9.25" customHeight="1" thickBot="1">
      <c r="A2" s="101" t="s">
        <v>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>
      <c r="A3" s="1" t="s">
        <v>0</v>
      </c>
      <c r="B3" s="117" t="s">
        <v>1</v>
      </c>
      <c r="C3" s="118"/>
      <c r="D3" s="121" t="s">
        <v>2</v>
      </c>
      <c r="E3" s="122"/>
      <c r="F3" s="122"/>
      <c r="G3" s="123"/>
      <c r="H3" s="127" t="s">
        <v>3</v>
      </c>
      <c r="I3" s="128"/>
      <c r="J3" s="128"/>
      <c r="K3" s="129"/>
      <c r="L3" s="103" t="s">
        <v>26</v>
      </c>
      <c r="M3" s="104"/>
      <c r="N3" s="104"/>
    </row>
    <row r="4" spans="1:14">
      <c r="A4" s="1"/>
      <c r="B4" s="119"/>
      <c r="C4" s="120"/>
      <c r="D4" s="124"/>
      <c r="E4" s="125"/>
      <c r="F4" s="125"/>
      <c r="G4" s="126"/>
      <c r="H4" s="130"/>
      <c r="I4" s="131"/>
      <c r="J4" s="131"/>
      <c r="K4" s="132"/>
      <c r="L4" s="51" t="s">
        <v>27</v>
      </c>
      <c r="M4" s="105" t="s">
        <v>28</v>
      </c>
      <c r="N4" s="107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6"/>
      <c r="N5" s="10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/>
      <c r="E9" s="24">
        <v>0</v>
      </c>
      <c r="F9" s="25">
        <f t="shared" si="5"/>
        <v>0</v>
      </c>
      <c r="G9" s="26">
        <f t="shared" si="6"/>
        <v>-34585504</v>
      </c>
      <c r="H9" s="30"/>
      <c r="I9" s="24"/>
      <c r="J9" s="25">
        <f>H9+I9</f>
        <v>0</v>
      </c>
      <c r="K9" s="22">
        <f t="shared" si="7"/>
        <v>-2107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/>
      <c r="E10" s="24">
        <v>0</v>
      </c>
      <c r="F10" s="25">
        <f t="shared" si="5"/>
        <v>0</v>
      </c>
      <c r="G10" s="26">
        <f t="shared" si="6"/>
        <v>0</v>
      </c>
      <c r="H10" s="30"/>
      <c r="I10" s="24"/>
      <c r="J10" s="25">
        <f t="shared" ref="J10:J37" si="8">H10+I10</f>
        <v>0</v>
      </c>
      <c r="K10" s="22">
        <f t="shared" si="7"/>
        <v>0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/>
      <c r="E11" s="24">
        <v>0</v>
      </c>
      <c r="F11" s="25">
        <f t="shared" si="5"/>
        <v>0</v>
      </c>
      <c r="G11" s="26">
        <f t="shared" si="6"/>
        <v>0</v>
      </c>
      <c r="H11" s="30"/>
      <c r="I11" s="24"/>
      <c r="J11" s="25">
        <f t="shared" si="8"/>
        <v>0</v>
      </c>
      <c r="K11" s="22">
        <f t="shared" si="7"/>
        <v>0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/>
      <c r="E12" s="24">
        <v>0</v>
      </c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/>
      <c r="E13" s="24">
        <v>0</v>
      </c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/>
      <c r="E14" s="24">
        <v>0</v>
      </c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/>
      <c r="E15" s="24">
        <v>0</v>
      </c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/>
      <c r="E16" s="24">
        <v>0</v>
      </c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/>
      <c r="E17" s="24">
        <v>0</v>
      </c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109" t="s">
        <v>31</v>
      </c>
      <c r="E40" s="110"/>
      <c r="F40" s="84" t="s">
        <v>32</v>
      </c>
      <c r="G40" s="85" t="s">
        <v>33</v>
      </c>
      <c r="H40" s="111" t="s">
        <v>34</v>
      </c>
      <c r="I40" s="11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13" t="s">
        <v>37</v>
      </c>
      <c r="E41" s="114"/>
      <c r="F41" s="90">
        <f>(G38*0.2)</f>
        <v>-6915772</v>
      </c>
      <c r="G41" s="91">
        <f>G38</f>
        <v>-34578860</v>
      </c>
      <c r="H41" s="115" t="s">
        <v>37</v>
      </c>
      <c r="I41" s="11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2025-06-02T04:51:30Z</dcterms:modified>
</cp:coreProperties>
</file>