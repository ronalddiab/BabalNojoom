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Utility Check\Daily Utility Cost Sheet 2024\"/>
    </mc:Choice>
  </mc:AlternateContent>
  <xr:revisionPtr revIDLastSave="0" documentId="13_ncr:1_{1F35CA9A-BE30-413A-8E9E-C7BABAAFA98E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December-31" sheetId="1381" r:id="rId3"/>
    <sheet name="December-30" sheetId="1380" r:id="rId4"/>
    <sheet name="December-29" sheetId="1379" r:id="rId5"/>
    <sheet name="December-28" sheetId="1378" r:id="rId6"/>
    <sheet name="December-27" sheetId="1377" r:id="rId7"/>
    <sheet name="December-26" sheetId="1376" r:id="rId8"/>
    <sheet name="December-25" sheetId="1375" r:id="rId9"/>
    <sheet name="December-24" sheetId="1374" r:id="rId10"/>
    <sheet name="December-23 " sheetId="1373" r:id="rId11"/>
    <sheet name="December-22" sheetId="1372" r:id="rId12"/>
    <sheet name="December-21" sheetId="1371" r:id="rId13"/>
    <sheet name="December-20" sheetId="1370" r:id="rId14"/>
    <sheet name="December-19" sheetId="1369" r:id="rId15"/>
    <sheet name="December-18" sheetId="1368" r:id="rId16"/>
    <sheet name="December-17" sheetId="1367" r:id="rId17"/>
    <sheet name="December-16" sheetId="1366" r:id="rId18"/>
    <sheet name="December-15" sheetId="1365" r:id="rId19"/>
    <sheet name="December-14" sheetId="1364" r:id="rId20"/>
    <sheet name="December-13" sheetId="1363" r:id="rId21"/>
    <sheet name="December-12" sheetId="1362" r:id="rId22"/>
    <sheet name="December-11" sheetId="1361" r:id="rId23"/>
    <sheet name="December-10" sheetId="1360" r:id="rId24"/>
    <sheet name="December-9" sheetId="1359" r:id="rId25"/>
    <sheet name="December-8" sheetId="1358" r:id="rId26"/>
    <sheet name="December-7" sheetId="1357" r:id="rId27"/>
    <sheet name="December-6" sheetId="1355" r:id="rId28"/>
    <sheet name="December-5" sheetId="1354" r:id="rId29"/>
    <sheet name="December-4" sheetId="1353" r:id="rId30"/>
    <sheet name="December-3" sheetId="1352" r:id="rId31"/>
    <sheet name="December-2" sheetId="1351" r:id="rId32"/>
    <sheet name="December-1" sheetId="1350" r:id="rId33"/>
  </sheets>
  <definedNames>
    <definedName name="_xlnm._FilterDatabase" localSheetId="1" hidden="1">'MTD Utility Sheet'!$A$1:$J$35</definedName>
    <definedName name="_xlnm.Print_Area" localSheetId="32">'December-1'!$A$1:$H$36</definedName>
    <definedName name="_xlnm.Print_Area" localSheetId="23">'December-10'!$A$1:$H$36</definedName>
    <definedName name="_xlnm.Print_Area" localSheetId="22">'December-11'!$A$1:$H$36</definedName>
    <definedName name="_xlnm.Print_Area" localSheetId="21">'December-12'!$A$1:$H$36</definedName>
    <definedName name="_xlnm.Print_Area" localSheetId="20">'December-13'!$A$1:$H$36</definedName>
    <definedName name="_xlnm.Print_Area" localSheetId="19">'December-14'!$A$1:$H$36</definedName>
    <definedName name="_xlnm.Print_Area" localSheetId="18">'December-15'!$A$1:$H$36</definedName>
    <definedName name="_xlnm.Print_Area" localSheetId="17">'December-16'!$A$1:$H$36</definedName>
    <definedName name="_xlnm.Print_Area" localSheetId="16">'December-17'!$A$1:$H$36</definedName>
    <definedName name="_xlnm.Print_Area" localSheetId="15">'December-18'!$A$1:$H$36</definedName>
    <definedName name="_xlnm.Print_Area" localSheetId="14">'December-19'!$A$1:$H$36</definedName>
    <definedName name="_xlnm.Print_Area" localSheetId="31">'December-2'!$A$1:$H$36</definedName>
    <definedName name="_xlnm.Print_Area" localSheetId="13">'December-20'!$A$1:$H$36</definedName>
    <definedName name="_xlnm.Print_Area" localSheetId="12">'December-21'!$A$1:$H$36</definedName>
    <definedName name="_xlnm.Print_Area" localSheetId="11">'December-22'!$A$1:$H$36</definedName>
    <definedName name="_xlnm.Print_Area" localSheetId="10">'December-23 '!$A$1:$H$36</definedName>
    <definedName name="_xlnm.Print_Area" localSheetId="9">'December-24'!$A$1:$H$36</definedName>
    <definedName name="_xlnm.Print_Area" localSheetId="8">'December-25'!$A$1:$H$36</definedName>
    <definedName name="_xlnm.Print_Area" localSheetId="7">'December-26'!$A$1:$H$36</definedName>
    <definedName name="_xlnm.Print_Area" localSheetId="6">'December-27'!$A$1:$H$36</definedName>
    <definedName name="_xlnm.Print_Area" localSheetId="5">'December-28'!$A$1:$H$36</definedName>
    <definedName name="_xlnm.Print_Area" localSheetId="4">'December-29'!$A$1:$H$36</definedName>
    <definedName name="_xlnm.Print_Area" localSheetId="30">'December-3'!$A$1:$H$36</definedName>
    <definedName name="_xlnm.Print_Area" localSheetId="3">'December-30'!$A$1:$H$36</definedName>
    <definedName name="_xlnm.Print_Area" localSheetId="2">'December-31'!$A$1:$H$36</definedName>
    <definedName name="_xlnm.Print_Area" localSheetId="29">'December-4'!$A$1:$H$36</definedName>
    <definedName name="_xlnm.Print_Area" localSheetId="28">'December-5'!$A$1:$H$36</definedName>
    <definedName name="_xlnm.Print_Area" localSheetId="27">'December-6'!$A$1:$H$36</definedName>
    <definedName name="_xlnm.Print_Area" localSheetId="26">'December-7'!$A$1:$H$36</definedName>
    <definedName name="_xlnm.Print_Area" localSheetId="25">'December-8'!$A$1:$H$36</definedName>
    <definedName name="_xlnm.Print_Area" localSheetId="24">'December-9'!$A$1:$H$36</definedName>
    <definedName name="_xlnm.Print_Area" localSheetId="1">'MTD Utility Sheet'!$A$1:$J$60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381" l="1"/>
  <c r="H33" i="1381"/>
  <c r="F24" i="1381"/>
  <c r="H24" i="1381" s="1"/>
  <c r="H13" i="1381"/>
  <c r="H12" i="1381"/>
  <c r="H11" i="1381"/>
  <c r="F4" i="1381"/>
  <c r="H4" i="1381" s="1"/>
  <c r="H35" i="1381" l="1"/>
  <c r="H14" i="1381"/>
  <c r="H15" i="1381" s="1"/>
  <c r="D21" i="1381" s="1"/>
  <c r="D7" i="1381"/>
  <c r="D6" i="1381"/>
  <c r="D9" i="1381"/>
  <c r="D29" i="1381"/>
  <c r="D28" i="1381"/>
  <c r="D30" i="1381"/>
  <c r="H34" i="1380"/>
  <c r="H35" i="1380" s="1"/>
  <c r="H33" i="1380"/>
  <c r="F24" i="1380"/>
  <c r="H24" i="1380" s="1"/>
  <c r="H13" i="1380"/>
  <c r="H12" i="1380"/>
  <c r="H11" i="1380"/>
  <c r="F4" i="1380"/>
  <c r="H4" i="1380" s="1"/>
  <c r="H14" i="1380" l="1"/>
  <c r="H15" i="1380" s="1"/>
  <c r="D20" i="1381"/>
  <c r="D22" i="1381" s="1"/>
  <c r="D31" i="1381"/>
  <c r="D7" i="1380"/>
  <c r="D9" i="1380" s="1"/>
  <c r="D6" i="1380"/>
  <c r="D21" i="1380"/>
  <c r="D20" i="1380"/>
  <c r="D29" i="1380"/>
  <c r="D28" i="1380"/>
  <c r="D30" i="1380"/>
  <c r="H34" i="1379"/>
  <c r="H33" i="1379"/>
  <c r="F24" i="1379"/>
  <c r="H24" i="1379" s="1"/>
  <c r="H13" i="1379"/>
  <c r="H12" i="1379"/>
  <c r="H11" i="1379"/>
  <c r="F4" i="1379"/>
  <c r="H4" i="1379" s="1"/>
  <c r="D7" i="1379" s="1"/>
  <c r="H35" i="1379" l="1"/>
  <c r="H36" i="1381"/>
  <c r="D22" i="1380"/>
  <c r="D31" i="1380"/>
  <c r="H36" i="1380" s="1"/>
  <c r="D29" i="1379"/>
  <c r="D30" i="1379"/>
  <c r="H14" i="1379"/>
  <c r="H15" i="1379" s="1"/>
  <c r="D21" i="1379" s="1"/>
  <c r="D6" i="1379"/>
  <c r="D9" i="1379" s="1"/>
  <c r="D28" i="1379"/>
  <c r="H34" i="1378"/>
  <c r="H33" i="1378"/>
  <c r="F24" i="1378"/>
  <c r="H24" i="1378" s="1"/>
  <c r="H13" i="1378"/>
  <c r="H12" i="1378"/>
  <c r="H11" i="1378"/>
  <c r="F4" i="1378"/>
  <c r="H4" i="1378" s="1"/>
  <c r="D7" i="1378" s="1"/>
  <c r="D31" i="1379" l="1"/>
  <c r="D20" i="1379"/>
  <c r="D22" i="1379" s="1"/>
  <c r="H35" i="1378"/>
  <c r="H14" i="1378"/>
  <c r="H15" i="1378" s="1"/>
  <c r="D20" i="1378" s="1"/>
  <c r="D29" i="1378"/>
  <c r="D28" i="1378"/>
  <c r="D30" i="1378"/>
  <c r="D6" i="1378"/>
  <c r="D9" i="1378" s="1"/>
  <c r="H34" i="1377"/>
  <c r="H33" i="1377"/>
  <c r="F24" i="1377"/>
  <c r="H24" i="1377" s="1"/>
  <c r="D30" i="1377" s="1"/>
  <c r="H13" i="1377"/>
  <c r="H12" i="1377"/>
  <c r="H11" i="1377"/>
  <c r="F4" i="1377"/>
  <c r="H4" i="1377" s="1"/>
  <c r="H36" i="1379" l="1"/>
  <c r="D21" i="1378"/>
  <c r="D22" i="1378" s="1"/>
  <c r="D31" i="1378"/>
  <c r="H35" i="1377"/>
  <c r="H14" i="1377"/>
  <c r="H15" i="1377" s="1"/>
  <c r="D21" i="1377" s="1"/>
  <c r="D7" i="1377"/>
  <c r="D6" i="1377"/>
  <c r="D9" i="1377" s="1"/>
  <c r="D28" i="1377"/>
  <c r="D29" i="1377"/>
  <c r="H34" i="1376"/>
  <c r="H33" i="1376"/>
  <c r="F24" i="1376"/>
  <c r="H24" i="1376" s="1"/>
  <c r="D30" i="1376" s="1"/>
  <c r="H13" i="1376"/>
  <c r="H12" i="1376"/>
  <c r="H11" i="1376"/>
  <c r="F4" i="1376"/>
  <c r="H4" i="1376" s="1"/>
  <c r="H36" i="1378" l="1"/>
  <c r="D20" i="1377"/>
  <c r="D22" i="1377" s="1"/>
  <c r="D31" i="1377"/>
  <c r="H35" i="1376"/>
  <c r="H14" i="1376"/>
  <c r="H15" i="1376" s="1"/>
  <c r="D20" i="1376" s="1"/>
  <c r="D6" i="1376"/>
  <c r="D7" i="1376"/>
  <c r="D28" i="1376"/>
  <c r="D29" i="1376"/>
  <c r="H34" i="1375"/>
  <c r="H35" i="1375" s="1"/>
  <c r="H33" i="1375"/>
  <c r="F24" i="1375"/>
  <c r="H24" i="1375" s="1"/>
  <c r="H13" i="1375"/>
  <c r="H12" i="1375"/>
  <c r="H11" i="1375"/>
  <c r="F4" i="1375"/>
  <c r="H4" i="1375" s="1"/>
  <c r="D6" i="1375" s="1"/>
  <c r="H36" i="1377" l="1"/>
  <c r="D21" i="1376"/>
  <c r="D22" i="1376" s="1"/>
  <c r="D31" i="1376"/>
  <c r="D9" i="1376"/>
  <c r="H14" i="1375"/>
  <c r="H15" i="1375" s="1"/>
  <c r="D20" i="1375" s="1"/>
  <c r="D29" i="1375"/>
  <c r="D28" i="1375"/>
  <c r="D30" i="1375"/>
  <c r="D7" i="1375"/>
  <c r="D9" i="1375" s="1"/>
  <c r="H34" i="1374"/>
  <c r="H33" i="1374"/>
  <c r="F24" i="1374"/>
  <c r="H24" i="1374" s="1"/>
  <c r="H13" i="1374"/>
  <c r="H12" i="1374"/>
  <c r="H11" i="1374"/>
  <c r="F4" i="1374"/>
  <c r="H4" i="1374" s="1"/>
  <c r="D30" i="1374" l="1"/>
  <c r="D28" i="1374"/>
  <c r="D31" i="1374" s="1"/>
  <c r="D29" i="1374"/>
  <c r="H14" i="1374"/>
  <c r="H15" i="1374" s="1"/>
  <c r="H35" i="1374"/>
  <c r="H36" i="1376"/>
  <c r="D31" i="1375"/>
  <c r="D21" i="1375"/>
  <c r="D22" i="1375" s="1"/>
  <c r="D6" i="1374"/>
  <c r="D7" i="1374"/>
  <c r="D20" i="1374"/>
  <c r="D21" i="1374"/>
  <c r="H34" i="1373"/>
  <c r="H33" i="1373"/>
  <c r="F24" i="1373"/>
  <c r="H24" i="1373" s="1"/>
  <c r="D30" i="1373" s="1"/>
  <c r="H13" i="1373"/>
  <c r="H12" i="1373"/>
  <c r="H11" i="1373"/>
  <c r="F4" i="1373"/>
  <c r="H4" i="1373" s="1"/>
  <c r="H36" i="1375" l="1"/>
  <c r="D22" i="1374"/>
  <c r="D9" i="1374"/>
  <c r="H35" i="1373"/>
  <c r="H14" i="1373"/>
  <c r="H15" i="1373" s="1"/>
  <c r="D21" i="1373" s="1"/>
  <c r="D7" i="1373"/>
  <c r="D6" i="1373"/>
  <c r="D28" i="1373"/>
  <c r="D29" i="1373"/>
  <c r="H34" i="1372"/>
  <c r="H35" i="1372" s="1"/>
  <c r="H33" i="1372"/>
  <c r="F24" i="1372"/>
  <c r="H24" i="1372" s="1"/>
  <c r="H13" i="1372"/>
  <c r="H12" i="1372"/>
  <c r="H11" i="1372"/>
  <c r="F4" i="1372"/>
  <c r="H4" i="1372" s="1"/>
  <c r="H34" i="1371"/>
  <c r="H33" i="1371"/>
  <c r="H35" i="1371" s="1"/>
  <c r="F24" i="1371"/>
  <c r="H24" i="1371" s="1"/>
  <c r="H13" i="1371"/>
  <c r="H12" i="1371"/>
  <c r="H11" i="1371"/>
  <c r="F4" i="1371"/>
  <c r="H4" i="1371" s="1"/>
  <c r="D7" i="1371" s="1"/>
  <c r="D20" i="1373" l="1"/>
  <c r="H36" i="1374"/>
  <c r="D22" i="1373"/>
  <c r="D9" i="1373"/>
  <c r="D31" i="1373"/>
  <c r="H14" i="1372"/>
  <c r="H15" i="1372" s="1"/>
  <c r="D20" i="1372" s="1"/>
  <c r="D7" i="1372"/>
  <c r="D6" i="1372"/>
  <c r="D30" i="1372"/>
  <c r="D29" i="1372"/>
  <c r="D28" i="1372"/>
  <c r="D31" i="1372" s="1"/>
  <c r="H14" i="1371"/>
  <c r="H15" i="1371" s="1"/>
  <c r="D20" i="1371" s="1"/>
  <c r="D29" i="1371"/>
  <c r="D28" i="1371"/>
  <c r="D30" i="1371"/>
  <c r="D6" i="1371"/>
  <c r="D9" i="1371" s="1"/>
  <c r="H34" i="1370"/>
  <c r="H33" i="1370"/>
  <c r="F24" i="1370"/>
  <c r="H24" i="1370" s="1"/>
  <c r="D30" i="1370" s="1"/>
  <c r="H13" i="1370"/>
  <c r="H12" i="1370"/>
  <c r="H11" i="1370"/>
  <c r="F4" i="1370"/>
  <c r="H4" i="1370" s="1"/>
  <c r="D9" i="1372" l="1"/>
  <c r="H36" i="1373"/>
  <c r="D21" i="1372"/>
  <c r="D22" i="1372" s="1"/>
  <c r="H36" i="1372" s="1"/>
  <c r="D21" i="1371"/>
  <c r="D22" i="1371" s="1"/>
  <c r="D31" i="1371"/>
  <c r="H35" i="1370"/>
  <c r="H14" i="1370"/>
  <c r="H15" i="1370" s="1"/>
  <c r="D21" i="1370" s="1"/>
  <c r="D7" i="1370"/>
  <c r="D6" i="1370"/>
  <c r="D29" i="1370"/>
  <c r="D28" i="1370"/>
  <c r="H34" i="1369"/>
  <c r="H33" i="1369"/>
  <c r="F24" i="1369"/>
  <c r="H24" i="1369" s="1"/>
  <c r="D30" i="1369" s="1"/>
  <c r="H13" i="1369"/>
  <c r="H12" i="1369"/>
  <c r="H11" i="1369"/>
  <c r="F4" i="1369"/>
  <c r="H4" i="1369" s="1"/>
  <c r="H36" i="1371" l="1"/>
  <c r="D31" i="1370"/>
  <c r="D20" i="1370"/>
  <c r="D22" i="1370" s="1"/>
  <c r="D9" i="1370"/>
  <c r="H35" i="1369"/>
  <c r="H14" i="1369"/>
  <c r="H15" i="1369" s="1"/>
  <c r="D20" i="1369" s="1"/>
  <c r="D6" i="1369"/>
  <c r="D7" i="1369"/>
  <c r="D28" i="1369"/>
  <c r="D29" i="1369"/>
  <c r="H34" i="1368"/>
  <c r="H33" i="1368"/>
  <c r="F24" i="1368"/>
  <c r="H24" i="1368" s="1"/>
  <c r="H13" i="1368"/>
  <c r="H12" i="1368"/>
  <c r="H11" i="1368"/>
  <c r="F4" i="1368"/>
  <c r="H4" i="1368" s="1"/>
  <c r="H36" i="1370" l="1"/>
  <c r="D21" i="1369"/>
  <c r="D22" i="1369" s="1"/>
  <c r="D31" i="1369"/>
  <c r="D9" i="1369"/>
  <c r="H35" i="1368"/>
  <c r="H14" i="1368"/>
  <c r="H15" i="1368" s="1"/>
  <c r="D21" i="1368" s="1"/>
  <c r="D30" i="1368"/>
  <c r="D29" i="1368"/>
  <c r="D28" i="1368"/>
  <c r="D31" i="1368" s="1"/>
  <c r="D6" i="1368"/>
  <c r="D7" i="1368"/>
  <c r="H34" i="1367"/>
  <c r="H33" i="1367"/>
  <c r="F24" i="1367"/>
  <c r="H24" i="1367" s="1"/>
  <c r="D30" i="1367" s="1"/>
  <c r="H13" i="1367"/>
  <c r="H12" i="1367"/>
  <c r="H11" i="1367"/>
  <c r="F4" i="1367"/>
  <c r="H4" i="1367" s="1"/>
  <c r="H35" i="1367" l="1"/>
  <c r="H36" i="1369"/>
  <c r="D20" i="1368"/>
  <c r="D22" i="1368" s="1"/>
  <c r="D9" i="1368"/>
  <c r="H14" i="1367"/>
  <c r="H15" i="1367" s="1"/>
  <c r="D21" i="1367" s="1"/>
  <c r="D6" i="1367"/>
  <c r="D7" i="1367"/>
  <c r="D28" i="1367"/>
  <c r="D29" i="1367"/>
  <c r="H34" i="1366"/>
  <c r="H33" i="1366"/>
  <c r="F24" i="1366"/>
  <c r="H24" i="1366" s="1"/>
  <c r="H13" i="1366"/>
  <c r="H12" i="1366"/>
  <c r="H11" i="1366"/>
  <c r="F4" i="1366"/>
  <c r="H4" i="1366" s="1"/>
  <c r="D31" i="1367" l="1"/>
  <c r="H36" i="1368"/>
  <c r="D20" i="1367"/>
  <c r="D22" i="1367" s="1"/>
  <c r="D9" i="1367"/>
  <c r="H35" i="1366"/>
  <c r="D30" i="1366"/>
  <c r="D28" i="1366"/>
  <c r="H14" i="1366"/>
  <c r="H15" i="1366" s="1"/>
  <c r="D21" i="1366" s="1"/>
  <c r="D6" i="1366"/>
  <c r="D7" i="1366"/>
  <c r="D29" i="1366"/>
  <c r="H34" i="1365"/>
  <c r="H33" i="1365"/>
  <c r="F24" i="1365"/>
  <c r="H24" i="1365" s="1"/>
  <c r="H13" i="1365"/>
  <c r="H12" i="1365"/>
  <c r="H11" i="1365"/>
  <c r="F4" i="1365"/>
  <c r="H4" i="1365" s="1"/>
  <c r="H36" i="1367" l="1"/>
  <c r="D31" i="1366"/>
  <c r="D20" i="1366"/>
  <c r="D22" i="1366" s="1"/>
  <c r="D9" i="1366"/>
  <c r="H35" i="1365"/>
  <c r="H14" i="1365"/>
  <c r="H15" i="1365" s="1"/>
  <c r="D21" i="1365" s="1"/>
  <c r="D6" i="1365"/>
  <c r="D7" i="1365"/>
  <c r="D30" i="1365"/>
  <c r="D29" i="1365"/>
  <c r="D28" i="1365"/>
  <c r="H34" i="1364"/>
  <c r="H33" i="1364"/>
  <c r="F24" i="1364"/>
  <c r="H24" i="1364" s="1"/>
  <c r="H13" i="1364"/>
  <c r="H12" i="1364"/>
  <c r="H11" i="1364"/>
  <c r="F4" i="1364"/>
  <c r="H4" i="1364" s="1"/>
  <c r="H35" i="1364" l="1"/>
  <c r="H36" i="1366"/>
  <c r="D20" i="1365"/>
  <c r="D22" i="1365" s="1"/>
  <c r="D9" i="1365"/>
  <c r="D31" i="1365"/>
  <c r="H14" i="1364"/>
  <c r="H15" i="1364" s="1"/>
  <c r="D21" i="1364" s="1"/>
  <c r="D6" i="1364"/>
  <c r="D7" i="1364"/>
  <c r="D30" i="1364"/>
  <c r="D28" i="1364"/>
  <c r="D29" i="1364"/>
  <c r="H34" i="1363"/>
  <c r="H33" i="1363"/>
  <c r="F24" i="1363"/>
  <c r="H24" i="1363" s="1"/>
  <c r="D30" i="1363" s="1"/>
  <c r="H13" i="1363"/>
  <c r="H12" i="1363"/>
  <c r="H11" i="1363"/>
  <c r="F4" i="1363"/>
  <c r="H4" i="1363" s="1"/>
  <c r="H36" i="1365" l="1"/>
  <c r="D20" i="1364"/>
  <c r="D22" i="1364" s="1"/>
  <c r="D9" i="1364"/>
  <c r="D31" i="1364"/>
  <c r="H35" i="1363"/>
  <c r="D28" i="1363"/>
  <c r="H14" i="1363"/>
  <c r="H15" i="1363" s="1"/>
  <c r="D20" i="1363" s="1"/>
  <c r="D6" i="1363"/>
  <c r="D7" i="1363"/>
  <c r="D29" i="1363"/>
  <c r="H34" i="1362"/>
  <c r="H33" i="1362"/>
  <c r="F24" i="1362"/>
  <c r="H24" i="1362" s="1"/>
  <c r="H13" i="1362"/>
  <c r="H12" i="1362"/>
  <c r="H11" i="1362"/>
  <c r="F4" i="1362"/>
  <c r="H4" i="1362" s="1"/>
  <c r="D7" i="1362" s="1"/>
  <c r="D31" i="1363" l="1"/>
  <c r="H36" i="1364"/>
  <c r="H35" i="1362"/>
  <c r="D21" i="1363"/>
  <c r="D22" i="1363" s="1"/>
  <c r="D9" i="1363"/>
  <c r="H14" i="1362"/>
  <c r="H15" i="1362" s="1"/>
  <c r="D20" i="1362" s="1"/>
  <c r="D29" i="1362"/>
  <c r="D28" i="1362"/>
  <c r="D30" i="1362"/>
  <c r="D6" i="1362"/>
  <c r="D9" i="1362" s="1"/>
  <c r="H34" i="1361"/>
  <c r="H33" i="1361"/>
  <c r="F24" i="1361"/>
  <c r="H24" i="1361" s="1"/>
  <c r="D30" i="1361" s="1"/>
  <c r="H13" i="1361"/>
  <c r="H12" i="1361"/>
  <c r="H11" i="1361"/>
  <c r="F4" i="1361"/>
  <c r="H4" i="1361" s="1"/>
  <c r="D21" i="1362" l="1"/>
  <c r="D22" i="1362" s="1"/>
  <c r="H36" i="1363"/>
  <c r="D31" i="1362"/>
  <c r="H35" i="1361"/>
  <c r="H14" i="1361"/>
  <c r="H15" i="1361" s="1"/>
  <c r="D21" i="1361" s="1"/>
  <c r="D7" i="1361"/>
  <c r="D6" i="1361"/>
  <c r="D9" i="1361" s="1"/>
  <c r="D28" i="1361"/>
  <c r="D29" i="1361"/>
  <c r="H34" i="1360"/>
  <c r="H33" i="1360"/>
  <c r="F24" i="1360"/>
  <c r="H24" i="1360" s="1"/>
  <c r="D30" i="1360" s="1"/>
  <c r="H13" i="1360"/>
  <c r="H12" i="1360"/>
  <c r="H11" i="1360"/>
  <c r="F4" i="1360"/>
  <c r="H4" i="1360" s="1"/>
  <c r="H36" i="1362" l="1"/>
  <c r="D20" i="1361"/>
  <c r="D22" i="1361" s="1"/>
  <c r="D31" i="1361"/>
  <c r="H14" i="1360"/>
  <c r="H15" i="1360" s="1"/>
  <c r="H35" i="1360"/>
  <c r="D7" i="1360"/>
  <c r="D6" i="1360"/>
  <c r="D21" i="1360"/>
  <c r="D20" i="1360"/>
  <c r="D29" i="1360"/>
  <c r="D28" i="1360"/>
  <c r="D31" i="1360" s="1"/>
  <c r="H34" i="1359"/>
  <c r="H33" i="1359"/>
  <c r="F24" i="1359"/>
  <c r="H24" i="1359" s="1"/>
  <c r="D30" i="1359" s="1"/>
  <c r="H13" i="1359"/>
  <c r="H12" i="1359"/>
  <c r="H11" i="1359"/>
  <c r="F4" i="1359"/>
  <c r="H4" i="1359" s="1"/>
  <c r="H36" i="1361" l="1"/>
  <c r="D22" i="1360"/>
  <c r="D9" i="1360"/>
  <c r="H35" i="1359"/>
  <c r="H14" i="1359"/>
  <c r="H15" i="1359" s="1"/>
  <c r="D21" i="1359" s="1"/>
  <c r="D7" i="1359"/>
  <c r="D6" i="1359"/>
  <c r="D29" i="1359"/>
  <c r="D28" i="1359"/>
  <c r="H34" i="1358"/>
  <c r="H33" i="1358"/>
  <c r="F24" i="1358"/>
  <c r="H24" i="1358" s="1"/>
  <c r="H13" i="1358"/>
  <c r="H12" i="1358"/>
  <c r="H11" i="1358"/>
  <c r="F4" i="1358"/>
  <c r="H4" i="1358" s="1"/>
  <c r="H36" i="1360" l="1"/>
  <c r="D20" i="1359"/>
  <c r="D22" i="1359" s="1"/>
  <c r="D9" i="1359"/>
  <c r="D31" i="1359"/>
  <c r="H35" i="1358"/>
  <c r="D30" i="1358"/>
  <c r="D29" i="1358"/>
  <c r="D28" i="1358"/>
  <c r="H14" i="1358"/>
  <c r="H15" i="1358" s="1"/>
  <c r="D20" i="1358" s="1"/>
  <c r="D6" i="1358"/>
  <c r="D7" i="1358"/>
  <c r="H34" i="1357"/>
  <c r="H33" i="1357"/>
  <c r="F24" i="1357"/>
  <c r="H24" i="1357" s="1"/>
  <c r="D30" i="1357" s="1"/>
  <c r="H13" i="1357"/>
  <c r="H12" i="1357"/>
  <c r="H11" i="1357"/>
  <c r="F4" i="1357"/>
  <c r="H4" i="1357" s="1"/>
  <c r="H36" i="1359" l="1"/>
  <c r="D21" i="1358"/>
  <c r="D22" i="1358" s="1"/>
  <c r="D31" i="1358"/>
  <c r="D9" i="1358"/>
  <c r="H14" i="1357"/>
  <c r="H15" i="1357" s="1"/>
  <c r="D21" i="1357" s="1"/>
  <c r="H35" i="1357"/>
  <c r="D7" i="1357"/>
  <c r="D6" i="1357"/>
  <c r="D28" i="1357"/>
  <c r="D29" i="1357"/>
  <c r="H34" i="1355"/>
  <c r="H33" i="1355"/>
  <c r="F24" i="1355"/>
  <c r="H24" i="1355" s="1"/>
  <c r="H13" i="1355"/>
  <c r="H12" i="1355"/>
  <c r="H11" i="1355"/>
  <c r="F4" i="1355"/>
  <c r="H4" i="1355" s="1"/>
  <c r="D20" i="1357" l="1"/>
  <c r="D22" i="1357" s="1"/>
  <c r="H36" i="1358"/>
  <c r="D31" i="1357"/>
  <c r="D9" i="1357"/>
  <c r="H35" i="1355"/>
  <c r="H14" i="1355"/>
  <c r="H15" i="1355" s="1"/>
  <c r="D21" i="1355" s="1"/>
  <c r="D7" i="1355"/>
  <c r="D6" i="1355"/>
  <c r="D28" i="1355"/>
  <c r="D30" i="1355"/>
  <c r="D29" i="1355"/>
  <c r="H34" i="1354"/>
  <c r="H33" i="1354"/>
  <c r="F24" i="1354"/>
  <c r="H24" i="1354" s="1"/>
  <c r="D30" i="1354" s="1"/>
  <c r="H13" i="1354"/>
  <c r="H12" i="1354"/>
  <c r="H11" i="1354"/>
  <c r="F4" i="1354"/>
  <c r="H4" i="1354" s="1"/>
  <c r="H36" i="1357" l="1"/>
  <c r="D20" i="1355"/>
  <c r="D22" i="1355" s="1"/>
  <c r="D31" i="1355"/>
  <c r="D9" i="1355"/>
  <c r="H35" i="1354"/>
  <c r="D28" i="1354"/>
  <c r="H14" i="1354"/>
  <c r="H15" i="1354" s="1"/>
  <c r="D20" i="1354" s="1"/>
  <c r="D6" i="1354"/>
  <c r="D7" i="1354"/>
  <c r="D29" i="1354"/>
  <c r="D31" i="1354" s="1"/>
  <c r="H34" i="1353"/>
  <c r="H33" i="1353"/>
  <c r="F24" i="1353"/>
  <c r="H24" i="1353" s="1"/>
  <c r="H13" i="1353"/>
  <c r="H12" i="1353"/>
  <c r="H11" i="1353"/>
  <c r="F4" i="1353"/>
  <c r="H4" i="1353" s="1"/>
  <c r="D7" i="1353" s="1"/>
  <c r="H36" i="1355" l="1"/>
  <c r="D21" i="1354"/>
  <c r="D22" i="1354" s="1"/>
  <c r="D9" i="1354"/>
  <c r="H14" i="1353"/>
  <c r="H15" i="1353" s="1"/>
  <c r="D20" i="1353" s="1"/>
  <c r="H35" i="1353"/>
  <c r="D29" i="1353"/>
  <c r="D28" i="1353"/>
  <c r="D30" i="1353"/>
  <c r="D6" i="1353"/>
  <c r="D9" i="1353" s="1"/>
  <c r="H34" i="1352"/>
  <c r="H33" i="1352"/>
  <c r="F24" i="1352"/>
  <c r="H24" i="1352" s="1"/>
  <c r="D30" i="1352" s="1"/>
  <c r="H13" i="1352"/>
  <c r="H12" i="1352"/>
  <c r="H11" i="1352"/>
  <c r="F4" i="1352"/>
  <c r="H4" i="1352" s="1"/>
  <c r="H35" i="1352" l="1"/>
  <c r="H36" i="1354"/>
  <c r="D21" i="1353"/>
  <c r="D22" i="1353" s="1"/>
  <c r="D31" i="1353"/>
  <c r="H14" i="1352"/>
  <c r="H15" i="1352" s="1"/>
  <c r="D21" i="1352" s="1"/>
  <c r="D7" i="1352"/>
  <c r="D6" i="1352"/>
  <c r="D29" i="1352"/>
  <c r="D28" i="1352"/>
  <c r="H34" i="1351"/>
  <c r="H33" i="1351"/>
  <c r="F24" i="1351"/>
  <c r="H24" i="1351" s="1"/>
  <c r="H13" i="1351"/>
  <c r="H12" i="1351"/>
  <c r="H11" i="1351"/>
  <c r="F4" i="1351"/>
  <c r="H4" i="1351" s="1"/>
  <c r="D7" i="1351" s="1"/>
  <c r="D9" i="1352" l="1"/>
  <c r="D31" i="1352"/>
  <c r="H35" i="1351"/>
  <c r="H36" i="1353"/>
  <c r="D20" i="1352"/>
  <c r="D22" i="1352" s="1"/>
  <c r="H36" i="1352" s="1"/>
  <c r="H14" i="1351"/>
  <c r="H15" i="1351" s="1"/>
  <c r="D20" i="1351" s="1"/>
  <c r="D29" i="1351"/>
  <c r="D28" i="1351"/>
  <c r="D30" i="1351"/>
  <c r="D6" i="1351"/>
  <c r="D9" i="1351" s="1"/>
  <c r="H34" i="1350"/>
  <c r="H33" i="1350"/>
  <c r="F24" i="1350"/>
  <c r="H24" i="1350" s="1"/>
  <c r="H13" i="1350"/>
  <c r="H12" i="1350"/>
  <c r="H11" i="1350"/>
  <c r="H14" i="1350" s="1"/>
  <c r="H15" i="1350" s="1"/>
  <c r="F4" i="1350"/>
  <c r="H4" i="1350" s="1"/>
  <c r="D7" i="1350" s="1"/>
  <c r="D21" i="1351" l="1"/>
  <c r="H35" i="1350"/>
  <c r="D22" i="1351"/>
  <c r="D31" i="1351"/>
  <c r="D29" i="1350"/>
  <c r="D28" i="1350"/>
  <c r="D30" i="1350"/>
  <c r="D21" i="1350"/>
  <c r="D20" i="1350"/>
  <c r="D6" i="1350"/>
  <c r="D9" i="1350" s="1"/>
  <c r="H36" i="1351" l="1"/>
  <c r="D22" i="1350"/>
  <c r="D31" i="1350"/>
  <c r="H36" i="1350" l="1"/>
  <c r="J31" i="133" l="1"/>
  <c r="C36" i="133" l="1"/>
  <c r="E32" i="1094" l="1"/>
  <c r="G32" i="1094"/>
  <c r="H32" i="1094"/>
  <c r="I32" i="1094"/>
  <c r="K32" i="1094"/>
  <c r="L32" i="1094" s="1"/>
  <c r="M32" i="1094"/>
  <c r="F35" i="133" l="1"/>
  <c r="F36" i="133" s="1"/>
  <c r="G35" i="133"/>
  <c r="G36" i="133" s="1"/>
  <c r="H35" i="133"/>
  <c r="H36" i="133" s="1"/>
  <c r="I35" i="133"/>
  <c r="I36" i="133" s="1"/>
  <c r="B36" i="133"/>
  <c r="D36" i="133"/>
  <c r="E36" i="133"/>
  <c r="J34" i="133" l="1"/>
  <c r="J33" i="133"/>
  <c r="J32" i="133"/>
  <c r="J30" i="133"/>
  <c r="H3" i="1094" l="1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J5" i="133" l="1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J4" i="133" l="1"/>
  <c r="J35" i="133" l="1"/>
  <c r="L1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Muhammad Haris</author>
  </authors>
  <commentList>
    <comment ref="H17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Pool Refilling</t>
        </r>
      </text>
    </comment>
  </commentList>
</comments>
</file>

<file path=xl/sharedStrings.xml><?xml version="1.0" encoding="utf-8"?>
<sst xmlns="http://schemas.openxmlformats.org/spreadsheetml/2006/main" count="1884" uniqueCount="118">
  <si>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</si>
  <si>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</si>
  <si>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</si>
  <si>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</si>
  <si>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</si>
  <si>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</si>
  <si>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</si>
  <si>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</si>
  <si>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</si>
  <si>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</si>
  <si>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</si>
  <si>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</si>
  <si>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</si>
  <si>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</si>
  <si>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</si>
  <si>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</si>
  <si>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</si>
  <si>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</si>
  <si>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</si>
  <si>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</si>
  <si>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</si>
  <si>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</si>
  <si>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</si>
  <si>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</si>
  <si>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</si>
  <si>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</si>
  <si>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</si>
  <si>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</si>
  <si>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</si>
  <si>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</si>
  <si>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</si>
  <si>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</si>
  <si>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</si>
  <si>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</si>
  <si>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</si>
  <si>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</si>
  <si>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</si>
  <si>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</si>
  <si>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</si>
  <si>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</si>
  <si>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</si>
  <si>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</si>
  <si>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</si>
  <si>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</si>
  <si>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</si>
  <si>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</si>
  <si>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</si>
  <si>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</si>
  <si>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</si>
  <si>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</si>
  <si>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</si>
  <si>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</si>
  <si>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</si>
  <si>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</si>
  <si>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</si>
  <si>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</si>
  <si>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</si>
  <si>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</si>
  <si>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</si>
  <si>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</si>
  <si>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</si>
  <si>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</si>
  <si>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</si>
  <si>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</si>
  <si>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</si>
  <si>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</si>
  <si>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</si>
  <si>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</si>
  <si>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</si>
  <si>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</si>
  <si>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</si>
  <si>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01.12.2024</t>
  </si>
  <si>
    <t>Daily Utilities December-2024</t>
  </si>
  <si>
    <t>27c</t>
  </si>
  <si>
    <t>02.12.2024</t>
  </si>
  <si>
    <t>03.12.2024</t>
  </si>
  <si>
    <t>04.12.2024</t>
  </si>
  <si>
    <t>05.12.2024</t>
  </si>
  <si>
    <t>06.12.2024</t>
  </si>
  <si>
    <t>28.0c.</t>
  </si>
  <si>
    <t>07.12.2024</t>
  </si>
  <si>
    <t>30c</t>
  </si>
  <si>
    <t>08.12.2024</t>
  </si>
  <si>
    <t>09.12.2024</t>
  </si>
  <si>
    <t>29c</t>
  </si>
  <si>
    <t>10.12.2024</t>
  </si>
  <si>
    <t>11.12.2024</t>
  </si>
  <si>
    <t>29.0c</t>
  </si>
  <si>
    <t>12.12.2024</t>
  </si>
  <si>
    <t>13.12.2024</t>
  </si>
  <si>
    <t>28c</t>
  </si>
  <si>
    <t>14.12.2024</t>
  </si>
  <si>
    <t>15.12.2024</t>
  </si>
  <si>
    <t>26c</t>
  </si>
  <si>
    <t>16.12.2024</t>
  </si>
  <si>
    <t>26.5c</t>
  </si>
  <si>
    <t>17.12.2024</t>
  </si>
  <si>
    <t>26.0c</t>
  </si>
  <si>
    <t>18.12.2024</t>
  </si>
  <si>
    <t>25.5c</t>
  </si>
  <si>
    <t>19.12.2024</t>
  </si>
  <si>
    <t>20.12.2024</t>
  </si>
  <si>
    <t>25.0c</t>
  </si>
  <si>
    <t>21.12.2024</t>
  </si>
  <si>
    <t>22.12.2024</t>
  </si>
  <si>
    <t>23.12.2024</t>
  </si>
  <si>
    <t>24.5c</t>
  </si>
  <si>
    <t>24.0c</t>
  </si>
  <si>
    <t>24.12.2024</t>
  </si>
  <si>
    <t>25.12.2024</t>
  </si>
  <si>
    <t>26.12.2024</t>
  </si>
  <si>
    <t>27.12.2024</t>
  </si>
  <si>
    <t>23.5c</t>
  </si>
  <si>
    <t>28.12.2024</t>
  </si>
  <si>
    <t>29.12.2024</t>
  </si>
  <si>
    <t>23.0c</t>
  </si>
  <si>
    <t>30.12.2024</t>
  </si>
  <si>
    <t>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</si>
</sst>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41" formatCode="_-* #,##0_-;\-* #,##0_-;_-* &quot;-&quot;_-;_-@_-"/>
    <numFmt numFmtId="43" formatCode="_-* #,##0.00_-;\-* #,##0.00_-;_-* &quot;-&quot;??_-;_-@_-"/>
    <numFmt numFmtId="164" formatCode="&quot;$&quot;#,##0.00_);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0.0"/>
    <numFmt numFmtId="173" formatCode="#,##0.0"/>
    <numFmt numFmtId="174" formatCode="0.0%"/>
    <numFmt numFmtId="175" formatCode="_-* #,##0_-;\-* #,##0_-;_-* &quot;-&quot;??_-;_-@_-"/>
    <numFmt numFmtId="176" formatCode="_(* #,##0_);_(* \(#,##0\);_(* &quot;-&quot;??_);_(@_)"/>
    <numFmt numFmtId="177" formatCode="0.00000"/>
    <numFmt numFmtId="178" formatCode="dddd\,\ dd/mm/yyyy"/>
    <numFmt numFmtId="179" formatCode="##,##0.00"/>
    <numFmt numFmtId="180" formatCode="_(* #,##0.0_);_(* \(#,##0.0\);_(* &quot;-&quot;??_);_(@_)"/>
    <numFmt numFmtId="181" formatCode="mmmm\-yyyy"/>
    <numFmt numFmtId="182" formatCode="_-[$€]* #,##0.00_-;\-[$€]* #,##0.00_-;_-[$€]* &quot;-&quot;??_-;_-@_-"/>
    <numFmt numFmtId="183" formatCode="#,##0.0_);[Red]\(#,##0.0\)"/>
    <numFmt numFmtId="184" formatCode="#,##0.0;[Red]\(#,##0.0\)"/>
    <numFmt numFmtId="185" formatCode="0_)"/>
    <numFmt numFmtId="186" formatCode="0.0\ &quot;Year&quot;"/>
    <numFmt numFmtId="187" formatCode="0\ &quot;Year&quot;"/>
    <numFmt numFmtId="188" formatCode="\£#,##0_);\(\£#,##0\)"/>
    <numFmt numFmtId="189" formatCode="0.000\ &quot;Years     &quot;"/>
    <numFmt numFmtId="190" formatCode="0.00\ &quot;Years&quot;"/>
    <numFmt numFmtId="191" formatCode="&quot;$&quot;#,##0.00"/>
    <numFmt numFmtId="192" formatCode="0.0\ &quot;Years     &quot;"/>
    <numFmt numFmtId="193" formatCode="#,##0;\(#,##0\)"/>
    <numFmt numFmtId="194" formatCode="#,##0;\-#,##0;\-"/>
    <numFmt numFmtId="195" formatCode="_-* #,##0\ &quot;F&quot;_-;\-* #,##0\ &quot;F&quot;_-;_-* &quot;-&quot;\ &quot;F&quot;_-;_-@_-"/>
    <numFmt numFmtId="196" formatCode="0.00_)"/>
    <numFmt numFmtId="197" formatCode="0.000_)"/>
    <numFmt numFmtId="198" formatCode="0.000000%"/>
    <numFmt numFmtId="199" formatCode="[$-409]mmmmm;@"/>
    <numFmt numFmtId="200" formatCode="* \(#,##0\);* #,##0_);&quot;-&quot;??_);@"/>
    <numFmt numFmtId="201" formatCode="#,##0;[Red]\(#,##0\)"/>
    <numFmt numFmtId="202" formatCode="0.00_);\(0.00\);0.00"/>
    <numFmt numFmtId="203" formatCode="0.00\ &quot;Years     &quot;"/>
    <numFmt numFmtId="204" formatCode="dd\ mmm\ yyyy_);;;&quot;  &quot;@"/>
    <numFmt numFmtId="205" formatCode="0.0;[Red]\(0.0\)"/>
    <numFmt numFmtId="206" formatCode="_-* #,##0\ _D_M_-;\-* #,##0\ _D_M_-;_-* &quot;-&quot;\ _D_M_-;_-@_-"/>
    <numFmt numFmtId="207" formatCode="_-* #,##0.00\ _D_M_-;\-* #,##0.00\ _D_M_-;_-* &quot;-&quot;??\ _D_M_-;_-@_-"/>
    <numFmt numFmtId="208" formatCode="* #,##0_%;* \-#,##0_%;* #,##0_%;@_%"/>
    <numFmt numFmtId="209" formatCode="_(&quot;€&quot;* #,##0.00_);_(&quot;€&quot;* \(#,##0.00\);_(&quot;€&quot;* &quot;-&quot;??_);_(@_)"/>
    <numFmt numFmtId="210" formatCode="_-* #,##0.00\ &quot;€&quot;_-;\-* #,##0.00\ &quot;€&quot;_-;_-* &quot;-&quot;??\ &quot;€&quot;_-;_-@_-"/>
    <numFmt numFmtId="211" formatCode="#,##0.000_);[Red]\(#,##0.000\)"/>
    <numFmt numFmtId="212" formatCode="0_);[Red]\(0\)"/>
    <numFmt numFmtId="213" formatCode="0.000%"/>
    <numFmt numFmtId="214" formatCode="#,##0_);\(#,##0\);\-_)"/>
    <numFmt numFmtId="215" formatCode="0.00_);\(0.00\)"/>
    <numFmt numFmtId="216" formatCode="_(* #,##0.0000_);_(* \(#,##0.0000\);_(* &quot;-&quot;??_);_(@_)"/>
    <numFmt numFmtId="217" formatCode="&quot;$&quot;#,##0.0_);\(&quot;$&quot;#,##0.0\)"/>
    <numFmt numFmtId="218" formatCode="0\ &quot;days&quot;"/>
    <numFmt numFmtId="219" formatCode="0\ &quot;Years     &quot;"/>
    <numFmt numFmtId="220" formatCode="_(&quot;$&quot;* #,##0.000_);_(&quot;$&quot;* \(#,##0.000\);_(&quot;$&quot;* &quot;-&quot;??_);_(@_)"/>
    <numFmt numFmtId="221" formatCode="&quot;$&quot;#,##0.0\);[Red]\(&quot;$&quot;#,##0.0\)"/>
    <numFmt numFmtId="222" formatCode="General_);[Red]\-General_)"/>
    <numFmt numFmtId="223" formatCode="_(#,##0.0,,_);[Red]\(#,##0.0,,\);_(&quot;-&quot;_);_-@_-"/>
    <numFmt numFmtId="224" formatCode="General_)"/>
    <numFmt numFmtId="225" formatCode="0.0_)"/>
    <numFmt numFmtId="226" formatCode="#,##0.0000_);\(#,##0.0000\)"/>
    <numFmt numFmtId="227" formatCode="0.0000000%"/>
    <numFmt numFmtId="228" formatCode="#,##0.00000_);\(#,##0.00000\)"/>
    <numFmt numFmtId="229" formatCode="0.00\%;\-0.00\%;0.00\%"/>
    <numFmt numFmtId="230" formatCode="0.00\x;\-0.00\x;0.00\x"/>
    <numFmt numFmtId="231" formatCode="mm/dd/yy"/>
    <numFmt numFmtId="232" formatCode="##0.00000"/>
    <numFmt numFmtId="233" formatCode="#,##0.0\);\(#,##0.0\)"/>
    <numFmt numFmtId="234" formatCode="0.0000_)"/>
    <numFmt numFmtId="235" formatCode="_-&quot;F&quot;\ * #,##0_-;_-&quot;F&quot;\ * #,##0\-;_-&quot;F&quot;\ * &quot;-&quot;_-;_-@_-"/>
    <numFmt numFmtId="236" formatCode="_-&quot;F&quot;\ * #,##0.00_-;_-&quot;F&quot;\ * #,##0.00\-;_-&quot;F&quot;\ * &quot;-&quot;??_-;_-@_-"/>
    <numFmt numFmtId="237" formatCode="_-* #,##0\ &quot;DM&quot;_-;\-* #,##0\ &quot;DM&quot;_-;_-* &quot;-&quot;\ &quot;DM&quot;_-;_-@_-"/>
    <numFmt numFmtId="238" formatCode="_-* #,##0.00\ &quot;DM&quot;_-;\-* #,##0.00\ &quot;DM&quot;_-;_-* &quot;-&quot;??\ &quot;DM&quot;_-;_-@_-"/>
    <numFmt numFmtId="239" formatCode="\¥#,##0_);\(\¥#,##0\)"/>
    <numFmt numFmtId="240" formatCode="0.000"/>
  </numFmts>
  <fonts count="15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9"/>
      <color indexed="81"/>
      <name val="Tahoma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166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0" fontId="13" fillId="0" borderId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Border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82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0" fontId="2" fillId="0" borderId="0"/>
    <xf numFmtId="0" fontId="18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182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182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167" fontId="2" fillId="0" borderId="0" applyFont="0" applyFill="0" applyBorder="0" applyAlignment="0" applyProtection="0"/>
    <xf numFmtId="183" fontId="20" fillId="0" borderId="14"/>
    <xf numFmtId="10" fontId="21" fillId="0" borderId="0"/>
    <xf numFmtId="9" fontId="22" fillId="0" borderId="0"/>
    <xf numFmtId="174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4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4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5" fontId="25" fillId="0" borderId="20" applyNumberFormat="0" applyFill="0" applyProtection="0">
      <alignment horizontal="center"/>
    </xf>
    <xf numFmtId="185" fontId="25" fillId="0" borderId="0" applyNumberFormat="0" applyFill="0" applyBorder="0" applyProtection="0">
      <alignment horizontal="left"/>
    </xf>
    <xf numFmtId="185" fontId="26" fillId="0" borderId="0" applyNumberFormat="0" applyFill="0" applyBorder="0" applyProtection="0">
      <alignment horizontal="centerContinuous"/>
    </xf>
    <xf numFmtId="186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80" fontId="13" fillId="7" borderId="0">
      <alignment horizontal="right"/>
    </xf>
    <xf numFmtId="180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164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8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9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0" fontId="21" fillId="0" borderId="0"/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90" fontId="13" fillId="0" borderId="0">
      <alignment horizontal="right"/>
    </xf>
    <xf numFmtId="190" fontId="13" fillId="0" borderId="0">
      <alignment horizontal="right"/>
    </xf>
    <xf numFmtId="191" fontId="44" fillId="0" borderId="0" applyFill="0"/>
    <xf numFmtId="191" fontId="44" fillId="0" borderId="0">
      <alignment horizontal="center"/>
    </xf>
    <xf numFmtId="0" fontId="44" fillId="0" borderId="0" applyFill="0">
      <alignment horizontal="center"/>
    </xf>
    <xf numFmtId="191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91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91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91" fontId="13" fillId="0" borderId="0" applyFill="0"/>
    <xf numFmtId="191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91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91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91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2" fontId="13" fillId="0" borderId="0"/>
    <xf numFmtId="192" fontId="13" fillId="0" borderId="0"/>
    <xf numFmtId="193" fontId="13" fillId="32" borderId="26" applyNumberFormat="0">
      <alignment vertical="center"/>
    </xf>
    <xf numFmtId="194" fontId="13" fillId="33" borderId="26" applyNumberFormat="0">
      <alignment vertical="center"/>
    </xf>
    <xf numFmtId="194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4" borderId="26" applyNumberFormat="0">
      <alignment vertical="center"/>
    </xf>
    <xf numFmtId="193" fontId="13" fillId="35" borderId="26" applyNumberFormat="0">
      <alignment vertical="center"/>
    </xf>
    <xf numFmtId="193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3" fontId="13" fillId="32" borderId="26" applyNumberFormat="0">
      <alignment vertical="center"/>
    </xf>
    <xf numFmtId="193" fontId="13" fillId="32" borderId="26" applyNumberFormat="0">
      <alignment vertical="center"/>
    </xf>
    <xf numFmtId="195" fontId="13" fillId="0" borderId="0" applyFill="0" applyBorder="0" applyAlignment="0"/>
    <xf numFmtId="195" fontId="13" fillId="0" borderId="0" applyFill="0" applyBorder="0" applyAlignment="0"/>
    <xf numFmtId="0" fontId="35" fillId="14" borderId="22" applyNumberFormat="0" applyAlignment="0" applyProtection="0"/>
    <xf numFmtId="196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6" fontId="22" fillId="0" borderId="0"/>
    <xf numFmtId="0" fontId="30" fillId="0" borderId="0">
      <alignment horizontal="center" wrapText="1"/>
      <protection hidden="1"/>
    </xf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97" fontId="60" fillId="0" borderId="0"/>
    <xf numFmtId="198" fontId="13" fillId="0" borderId="0"/>
    <xf numFmtId="166" fontId="13" fillId="0" borderId="0" applyFont="0" applyFill="0" applyBorder="0" applyAlignment="0" applyProtection="0"/>
    <xf numFmtId="166" fontId="28" fillId="0" borderId="0" applyFont="0" applyFill="0" applyBorder="0" applyAlignment="0" applyProtection="0"/>
    <xf numFmtId="19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200" fontId="18" fillId="0" borderId="0" applyFill="0" applyBorder="0" applyProtection="0"/>
    <xf numFmtId="201" fontId="64" fillId="7" borderId="0">
      <alignment horizontal="right"/>
    </xf>
    <xf numFmtId="202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80" fontId="21" fillId="0" borderId="0">
      <alignment horizontal="right"/>
    </xf>
    <xf numFmtId="203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37" fontId="21" fillId="0" borderId="0" applyProtection="0">
      <protection locked="0"/>
    </xf>
    <xf numFmtId="205" fontId="18" fillId="0" borderId="7">
      <alignment horizontal="center"/>
      <protection locked="0"/>
    </xf>
    <xf numFmtId="37" fontId="41" fillId="0" borderId="28"/>
    <xf numFmtId="206" fontId="65" fillId="0" borderId="0" applyFont="0" applyFill="0" applyBorder="0" applyAlignment="0" applyProtection="0"/>
    <xf numFmtId="207" fontId="65" fillId="0" borderId="0" applyFont="0" applyFill="0" applyBorder="0" applyAlignment="0" applyProtection="0"/>
    <xf numFmtId="208" fontId="13" fillId="0" borderId="0"/>
    <xf numFmtId="208" fontId="13" fillId="0" borderId="0"/>
    <xf numFmtId="165" fontId="66" fillId="0" borderId="0" applyFill="0" applyBorder="0" applyAlignment="0" applyProtection="0"/>
    <xf numFmtId="174" fontId="67" fillId="0" borderId="0">
      <alignment horizontal="right"/>
    </xf>
    <xf numFmtId="180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9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210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80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6" fontId="33" fillId="0" borderId="0">
      <alignment horizontal="right"/>
    </xf>
    <xf numFmtId="211" fontId="13" fillId="0" borderId="0">
      <protection locked="0"/>
    </xf>
    <xf numFmtId="211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2" fontId="13" fillId="39" borderId="0" applyFill="0" applyBorder="0">
      <alignment horizontal="right"/>
    </xf>
    <xf numFmtId="212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5" fontId="78" fillId="0" borderId="7" applyFill="0" applyBorder="0">
      <alignment horizontal="center"/>
    </xf>
    <xf numFmtId="205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192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3" fontId="13" fillId="0" borderId="0">
      <protection locked="0"/>
    </xf>
    <xf numFmtId="214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3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5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7" fontId="13" fillId="0" borderId="0">
      <alignment horizontal="right"/>
    </xf>
    <xf numFmtId="217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216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21" fontId="30" fillId="0" borderId="0">
      <alignment vertical="center"/>
    </xf>
    <xf numFmtId="196" fontId="30" fillId="0" borderId="10" applyFill="0" applyBorder="0" applyAlignment="0">
      <alignment horizontal="right"/>
    </xf>
    <xf numFmtId="166" fontId="99" fillId="0" borderId="0" applyFont="0" applyFill="0" applyBorder="0" applyAlignment="0" applyProtection="0"/>
    <xf numFmtId="166" fontId="13" fillId="0" borderId="0" applyFont="0" applyFill="0" applyBorder="0" applyAlignment="0" applyProtection="0"/>
    <xf numFmtId="167" fontId="99" fillId="0" borderId="0" applyFont="0" applyFill="0" applyBorder="0" applyAlignment="0" applyProtection="0"/>
    <xf numFmtId="222" fontId="13" fillId="0" borderId="0" applyFont="0" applyFill="0" applyBorder="0" applyAlignment="0" applyProtection="0"/>
    <xf numFmtId="196" fontId="13" fillId="0" borderId="0" applyFont="0" applyFill="0" applyBorder="0" applyAlignment="0" applyProtection="0"/>
    <xf numFmtId="223" fontId="18" fillId="0" borderId="0" applyFont="0" applyFill="0" applyBorder="0" applyAlignment="0" applyProtection="0"/>
    <xf numFmtId="224" fontId="13" fillId="0" borderId="0" applyFont="0" applyFill="0" applyBorder="0" applyAlignment="0" applyProtection="0"/>
    <xf numFmtId="225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6" fontId="13" fillId="0" borderId="0"/>
    <xf numFmtId="226" fontId="13" fillId="0" borderId="0"/>
    <xf numFmtId="227" fontId="13" fillId="0" borderId="0"/>
    <xf numFmtId="227" fontId="13" fillId="0" borderId="0"/>
    <xf numFmtId="0" fontId="75" fillId="0" borderId="0"/>
    <xf numFmtId="227" fontId="13" fillId="0" borderId="0"/>
    <xf numFmtId="227" fontId="13" fillId="0" borderId="0"/>
    <xf numFmtId="227" fontId="13" fillId="0" borderId="0"/>
    <xf numFmtId="227" fontId="13" fillId="0" borderId="0"/>
    <xf numFmtId="0" fontId="75" fillId="0" borderId="0"/>
    <xf numFmtId="218" fontId="13" fillId="0" borderId="0"/>
    <xf numFmtId="218" fontId="13" fillId="0" borderId="0"/>
    <xf numFmtId="219" fontId="13" fillId="0" borderId="0"/>
    <xf numFmtId="219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20" fontId="13" fillId="0" borderId="0"/>
    <xf numFmtId="220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6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4" fontId="106" fillId="0" borderId="0" applyNumberFormat="0" applyFont="0" applyBorder="0"/>
    <xf numFmtId="228" fontId="13" fillId="0" borderId="0">
      <alignment horizontal="right"/>
    </xf>
    <xf numFmtId="228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74" fontId="107" fillId="0" borderId="0" applyProtection="0">
      <alignment horizontal="right"/>
    </xf>
    <xf numFmtId="174" fontId="107" fillId="0" borderId="0"/>
    <xf numFmtId="14" fontId="108" fillId="43" borderId="12" applyNumberFormat="0" applyAlignment="0">
      <alignment horizontal="left"/>
      <protection locked="0"/>
    </xf>
    <xf numFmtId="174" fontId="67" fillId="0" borderId="0">
      <alignment horizontal="right"/>
    </xf>
    <xf numFmtId="174" fontId="33" fillId="0" borderId="0"/>
    <xf numFmtId="174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9" fontId="30" fillId="0" borderId="0" applyFill="0" applyBorder="0">
      <alignment horizontal="right"/>
      <protection locked="0"/>
    </xf>
    <xf numFmtId="0" fontId="33" fillId="0" borderId="0" applyNumberFormat="0" applyFont="0"/>
    <xf numFmtId="174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80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91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30" fontId="30" fillId="0" borderId="0">
      <alignment horizontal="right"/>
      <protection locked="0"/>
    </xf>
    <xf numFmtId="231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80" fontId="33" fillId="0" borderId="16">
      <alignment horizontal="right"/>
    </xf>
    <xf numFmtId="180" fontId="33" fillId="0" borderId="16">
      <alignment horizontal="right"/>
    </xf>
    <xf numFmtId="180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2" fontId="120" fillId="0" borderId="0" applyFill="0" applyBorder="0">
      <alignment horizontal="right"/>
      <protection hidden="1"/>
    </xf>
    <xf numFmtId="0" fontId="121" fillId="0" borderId="0">
      <protection locked="0"/>
    </xf>
    <xf numFmtId="221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6" fontId="30" fillId="0" borderId="10" applyFill="0" applyBorder="0" applyAlignment="0">
      <alignment horizontal="right"/>
    </xf>
    <xf numFmtId="196" fontId="30" fillId="0" borderId="10" applyFill="0" applyBorder="0" applyAlignment="0"/>
    <xf numFmtId="233" fontId="13" fillId="0" borderId="10" applyFill="0" applyBorder="0" applyAlignment="0">
      <alignment horizontal="right"/>
    </xf>
    <xf numFmtId="234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165" fontId="42" fillId="0" borderId="0" applyFill="0" applyBorder="0" applyAlignment="0" applyProtection="0"/>
    <xf numFmtId="0" fontId="126" fillId="0" borderId="24">
      <alignment horizontal="center"/>
    </xf>
    <xf numFmtId="180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5" fontId="13" fillId="0" borderId="43" applyFill="0" applyBorder="0" applyAlignment="0"/>
    <xf numFmtId="175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3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3" fontId="45" fillId="0" borderId="0" applyNumberFormat="0">
      <alignment vertical="center"/>
    </xf>
    <xf numFmtId="193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39" fillId="0" borderId="0">
      <alignment horizontal="centerContinuous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176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165" fontId="99" fillId="0" borderId="0" applyFont="0" applyFill="0" applyBorder="0" applyAlignment="0" applyProtection="0"/>
    <xf numFmtId="235" fontId="13" fillId="0" borderId="0" applyFont="0" applyFill="0" applyBorder="0" applyAlignment="0" applyProtection="0"/>
    <xf numFmtId="236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9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5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91" fontId="45" fillId="0" borderId="25" applyFill="0"/>
    <xf numFmtId="0" fontId="59" fillId="25" borderId="27" applyNumberFormat="0" applyAlignment="0" applyProtection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43" fontId="2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170" fontId="28" fillId="0" borderId="0" applyFont="0" applyFill="0" applyBorder="0" applyAlignment="0" applyProtection="0"/>
    <xf numFmtId="170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43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91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80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3" fontId="11" fillId="2" borderId="4" xfId="0" applyNumberFormat="1" applyFont="1" applyFill="1" applyBorder="1" applyAlignment="1">
      <alignment horizontal="center" vertical="center" wrapText="1"/>
    </xf>
    <xf numFmtId="173" fontId="11" fillId="2" borderId="4" xfId="0" applyNumberFormat="1" applyFont="1" applyFill="1" applyBorder="1" applyAlignment="1">
      <alignment horizontal="center" vertical="center"/>
    </xf>
    <xf numFmtId="173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174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3" fontId="11" fillId="0" borderId="0" xfId="0" applyNumberFormat="1" applyFont="1" applyAlignment="1">
      <alignment horizontal="center" vertical="center"/>
    </xf>
    <xf numFmtId="173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40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40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4" fontId="8" fillId="0" borderId="13" xfId="0" applyNumberFormat="1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December- 2024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27635004270950342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59818648877825E-2"/>
          <c:y val="0.17197585112717351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December-2024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0.78</c:v>
                </c:pt>
                <c:pt idx="1">
                  <c:v>0.69</c:v>
                </c:pt>
                <c:pt idx="2">
                  <c:v>0.64</c:v>
                </c:pt>
                <c:pt idx="3">
                  <c:v>0.72</c:v>
                </c:pt>
                <c:pt idx="4">
                  <c:v>0.78</c:v>
                </c:pt>
                <c:pt idx="5">
                  <c:v>0.85</c:v>
                </c:pt>
                <c:pt idx="6">
                  <c:v>0.81</c:v>
                </c:pt>
                <c:pt idx="7">
                  <c:v>0.88</c:v>
                </c:pt>
                <c:pt idx="8">
                  <c:v>0.86</c:v>
                </c:pt>
                <c:pt idx="9">
                  <c:v>0.89</c:v>
                </c:pt>
                <c:pt idx="10">
                  <c:v>0.91</c:v>
                </c:pt>
                <c:pt idx="11">
                  <c:v>0.96679999999999999</c:v>
                </c:pt>
                <c:pt idx="12">
                  <c:v>0.84</c:v>
                </c:pt>
                <c:pt idx="13">
                  <c:v>0.74</c:v>
                </c:pt>
                <c:pt idx="14">
                  <c:v>0.72</c:v>
                </c:pt>
                <c:pt idx="15">
                  <c:v>0.71</c:v>
                </c:pt>
                <c:pt idx="16">
                  <c:v>0.7</c:v>
                </c:pt>
                <c:pt idx="17">
                  <c:v>0.66</c:v>
                </c:pt>
                <c:pt idx="18">
                  <c:v>0.68</c:v>
                </c:pt>
                <c:pt idx="19">
                  <c:v>0.68</c:v>
                </c:pt>
                <c:pt idx="20">
                  <c:v>0.7</c:v>
                </c:pt>
                <c:pt idx="21">
                  <c:v>0.72</c:v>
                </c:pt>
                <c:pt idx="22">
                  <c:v>0.82</c:v>
                </c:pt>
                <c:pt idx="23">
                  <c:v>0.85</c:v>
                </c:pt>
                <c:pt idx="24">
                  <c:v>0.94679999999999997</c:v>
                </c:pt>
                <c:pt idx="25">
                  <c:v>0.91</c:v>
                </c:pt>
                <c:pt idx="26">
                  <c:v>0.92689999999999995</c:v>
                </c:pt>
                <c:pt idx="27">
                  <c:v>0.94350000000000001</c:v>
                </c:pt>
                <c:pt idx="28">
                  <c:v>0.94679999999999997</c:v>
                </c:pt>
                <c:pt idx="29">
                  <c:v>0.92</c:v>
                </c:pt>
                <c:pt idx="30">
                  <c:v>0.96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December-2024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December-2024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0.68</c:v>
                </c:pt>
                <c:pt idx="1">
                  <c:v>0.56999999999999995</c:v>
                </c:pt>
                <c:pt idx="2">
                  <c:v>0.57999999999999996</c:v>
                </c:pt>
                <c:pt idx="3">
                  <c:v>0.46</c:v>
                </c:pt>
                <c:pt idx="4">
                  <c:v>0.52</c:v>
                </c:pt>
                <c:pt idx="5">
                  <c:v>0.57999999999999996</c:v>
                </c:pt>
                <c:pt idx="6">
                  <c:v>0.67</c:v>
                </c:pt>
                <c:pt idx="7">
                  <c:v>0.51</c:v>
                </c:pt>
                <c:pt idx="8">
                  <c:v>0.53</c:v>
                </c:pt>
                <c:pt idx="9">
                  <c:v>0.57999999999999996</c:v>
                </c:pt>
                <c:pt idx="10">
                  <c:v>0.53</c:v>
                </c:pt>
                <c:pt idx="11">
                  <c:v>0.56999999999999995</c:v>
                </c:pt>
                <c:pt idx="12">
                  <c:v>0.68</c:v>
                </c:pt>
                <c:pt idx="13">
                  <c:v>0.54</c:v>
                </c:pt>
                <c:pt idx="14">
                  <c:v>0.56999999999999995</c:v>
                </c:pt>
                <c:pt idx="15">
                  <c:v>0.6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0.8</c:v>
                </c:pt>
                <c:pt idx="19">
                  <c:v>0.62</c:v>
                </c:pt>
                <c:pt idx="20">
                  <c:v>0.7</c:v>
                </c:pt>
                <c:pt idx="21">
                  <c:v>0.6</c:v>
                </c:pt>
                <c:pt idx="22">
                  <c:v>0.82</c:v>
                </c:pt>
                <c:pt idx="23">
                  <c:v>0.72</c:v>
                </c:pt>
                <c:pt idx="24">
                  <c:v>0.68</c:v>
                </c:pt>
                <c:pt idx="25">
                  <c:v>0.54</c:v>
                </c:pt>
                <c:pt idx="26">
                  <c:v>0.76</c:v>
                </c:pt>
                <c:pt idx="27">
                  <c:v>0.79</c:v>
                </c:pt>
                <c:pt idx="28">
                  <c:v>0.86</c:v>
                </c:pt>
                <c:pt idx="29">
                  <c:v>0.71</c:v>
                </c:pt>
                <c:pt idx="30">
                  <c:v>0.68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December-2024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6113.19</c:v>
                </c:pt>
                <c:pt idx="1">
                  <c:v>5645.12</c:v>
                </c:pt>
                <c:pt idx="2">
                  <c:v>5508</c:v>
                </c:pt>
                <c:pt idx="3">
                  <c:v>5699.97</c:v>
                </c:pt>
                <c:pt idx="4">
                  <c:v>6001.66</c:v>
                </c:pt>
                <c:pt idx="5">
                  <c:v>6566.62</c:v>
                </c:pt>
                <c:pt idx="6">
                  <c:v>6669.01</c:v>
                </c:pt>
                <c:pt idx="7">
                  <c:v>6153.41</c:v>
                </c:pt>
                <c:pt idx="8">
                  <c:v>5842.59</c:v>
                </c:pt>
                <c:pt idx="9">
                  <c:v>6116.84</c:v>
                </c:pt>
                <c:pt idx="10">
                  <c:v>6252.14</c:v>
                </c:pt>
                <c:pt idx="11">
                  <c:v>6071.13</c:v>
                </c:pt>
                <c:pt idx="12">
                  <c:v>5948.63</c:v>
                </c:pt>
                <c:pt idx="13">
                  <c:v>5844.42</c:v>
                </c:pt>
                <c:pt idx="14">
                  <c:v>5628.67</c:v>
                </c:pt>
                <c:pt idx="15">
                  <c:v>5630.5</c:v>
                </c:pt>
                <c:pt idx="16">
                  <c:v>5575.65</c:v>
                </c:pt>
                <c:pt idx="17">
                  <c:v>5416.58</c:v>
                </c:pt>
                <c:pt idx="18">
                  <c:v>5473.26</c:v>
                </c:pt>
                <c:pt idx="19">
                  <c:v>5376.35</c:v>
                </c:pt>
                <c:pt idx="20">
                  <c:v>5100.2700000000004</c:v>
                </c:pt>
                <c:pt idx="21">
                  <c:v>5010</c:v>
                </c:pt>
                <c:pt idx="22">
                  <c:v>5034.45</c:v>
                </c:pt>
                <c:pt idx="23">
                  <c:v>5217.28</c:v>
                </c:pt>
                <c:pt idx="24">
                  <c:v>5363.55</c:v>
                </c:pt>
                <c:pt idx="25">
                  <c:v>5634.15</c:v>
                </c:pt>
                <c:pt idx="26">
                  <c:v>5557.36</c:v>
                </c:pt>
                <c:pt idx="27">
                  <c:v>5334.3</c:v>
                </c:pt>
                <c:pt idx="28">
                  <c:v>5539.08</c:v>
                </c:pt>
                <c:pt idx="29">
                  <c:v>5944.98</c:v>
                </c:pt>
                <c:pt idx="30">
                  <c:v>6007.14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December-2024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6431.04</c:v>
                </c:pt>
                <c:pt idx="1">
                  <c:v>6216.67</c:v>
                </c:pt>
                <c:pt idx="2">
                  <c:v>6216.67</c:v>
                </c:pt>
                <c:pt idx="3">
                  <c:v>6002.3</c:v>
                </c:pt>
                <c:pt idx="4">
                  <c:v>6002.3</c:v>
                </c:pt>
                <c:pt idx="5">
                  <c:v>6431.04</c:v>
                </c:pt>
                <c:pt idx="6">
                  <c:v>6431.04</c:v>
                </c:pt>
                <c:pt idx="7">
                  <c:v>6216.67</c:v>
                </c:pt>
                <c:pt idx="8">
                  <c:v>6002.3</c:v>
                </c:pt>
                <c:pt idx="9">
                  <c:v>6645.41</c:v>
                </c:pt>
                <c:pt idx="10">
                  <c:v>6645.41</c:v>
                </c:pt>
                <c:pt idx="11">
                  <c:v>6431.04</c:v>
                </c:pt>
                <c:pt idx="12">
                  <c:v>6859.78</c:v>
                </c:pt>
                <c:pt idx="13">
                  <c:v>6431.04</c:v>
                </c:pt>
                <c:pt idx="14">
                  <c:v>6216.67</c:v>
                </c:pt>
                <c:pt idx="15">
                  <c:v>6645.41</c:v>
                </c:pt>
                <c:pt idx="16">
                  <c:v>6431.04</c:v>
                </c:pt>
                <c:pt idx="17">
                  <c:v>6431.04</c:v>
                </c:pt>
                <c:pt idx="18">
                  <c:v>6645.41</c:v>
                </c:pt>
                <c:pt idx="19">
                  <c:v>6859.78</c:v>
                </c:pt>
                <c:pt idx="20">
                  <c:v>6859.78</c:v>
                </c:pt>
                <c:pt idx="21">
                  <c:v>6860</c:v>
                </c:pt>
                <c:pt idx="22">
                  <c:v>6859.78</c:v>
                </c:pt>
                <c:pt idx="23">
                  <c:v>6859.78</c:v>
                </c:pt>
                <c:pt idx="24">
                  <c:v>6431</c:v>
                </c:pt>
                <c:pt idx="25">
                  <c:v>6645.41</c:v>
                </c:pt>
                <c:pt idx="26">
                  <c:v>6645.41</c:v>
                </c:pt>
                <c:pt idx="27">
                  <c:v>6645.41</c:v>
                </c:pt>
                <c:pt idx="28">
                  <c:v>6431.04</c:v>
                </c:pt>
                <c:pt idx="29">
                  <c:v>6645.41</c:v>
                </c:pt>
                <c:pt idx="30">
                  <c:v>6431.04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December-2024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2390.8000000000002</c:v>
                </c:pt>
                <c:pt idx="1">
                  <c:v>2404</c:v>
                </c:pt>
                <c:pt idx="2">
                  <c:v>1889.2</c:v>
                </c:pt>
                <c:pt idx="3">
                  <c:v>1902.4</c:v>
                </c:pt>
                <c:pt idx="4">
                  <c:v>2047.6</c:v>
                </c:pt>
                <c:pt idx="5">
                  <c:v>2008</c:v>
                </c:pt>
                <c:pt idx="6">
                  <c:v>2338</c:v>
                </c:pt>
                <c:pt idx="7">
                  <c:v>2074</c:v>
                </c:pt>
                <c:pt idx="8">
                  <c:v>2140</c:v>
                </c:pt>
                <c:pt idx="9">
                  <c:v>2166.4</c:v>
                </c:pt>
                <c:pt idx="10">
                  <c:v>2562.4</c:v>
                </c:pt>
                <c:pt idx="11">
                  <c:v>2404</c:v>
                </c:pt>
                <c:pt idx="12">
                  <c:v>2654.8</c:v>
                </c:pt>
                <c:pt idx="13">
                  <c:v>4780</c:v>
                </c:pt>
                <c:pt idx="14">
                  <c:v>3314.8</c:v>
                </c:pt>
                <c:pt idx="15">
                  <c:v>2179.6</c:v>
                </c:pt>
                <c:pt idx="16">
                  <c:v>2258.8000000000002</c:v>
                </c:pt>
                <c:pt idx="17">
                  <c:v>2113.6</c:v>
                </c:pt>
                <c:pt idx="18">
                  <c:v>2113.6</c:v>
                </c:pt>
                <c:pt idx="19">
                  <c:v>2285.1999999999998</c:v>
                </c:pt>
                <c:pt idx="20">
                  <c:v>2496.4</c:v>
                </c:pt>
                <c:pt idx="21">
                  <c:v>2338</c:v>
                </c:pt>
                <c:pt idx="22">
                  <c:v>2470</c:v>
                </c:pt>
                <c:pt idx="23">
                  <c:v>2470</c:v>
                </c:pt>
                <c:pt idx="24">
                  <c:v>2800</c:v>
                </c:pt>
                <c:pt idx="25">
                  <c:v>2522.8000000000002</c:v>
                </c:pt>
                <c:pt idx="26">
                  <c:v>2747</c:v>
                </c:pt>
                <c:pt idx="27">
                  <c:v>2641.6</c:v>
                </c:pt>
                <c:pt idx="28">
                  <c:v>2654.8</c:v>
                </c:pt>
                <c:pt idx="29">
                  <c:v>2668</c:v>
                </c:pt>
                <c:pt idx="30">
                  <c:v>2866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December-2024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444.08</c:v>
                </c:pt>
                <c:pt idx="1">
                  <c:v>444.08</c:v>
                </c:pt>
                <c:pt idx="2">
                  <c:v>444.08</c:v>
                </c:pt>
                <c:pt idx="3">
                  <c:v>444.08</c:v>
                </c:pt>
                <c:pt idx="4">
                  <c:v>444.08</c:v>
                </c:pt>
                <c:pt idx="5">
                  <c:v>444.08</c:v>
                </c:pt>
                <c:pt idx="6">
                  <c:v>399.72</c:v>
                </c:pt>
                <c:pt idx="7">
                  <c:v>444.08</c:v>
                </c:pt>
                <c:pt idx="8">
                  <c:v>444.08</c:v>
                </c:pt>
                <c:pt idx="9">
                  <c:v>444.08</c:v>
                </c:pt>
                <c:pt idx="10">
                  <c:v>488.49</c:v>
                </c:pt>
                <c:pt idx="11">
                  <c:v>444.08</c:v>
                </c:pt>
                <c:pt idx="12">
                  <c:v>444.08</c:v>
                </c:pt>
                <c:pt idx="13">
                  <c:v>444.08</c:v>
                </c:pt>
                <c:pt idx="14">
                  <c:v>444.08</c:v>
                </c:pt>
                <c:pt idx="15">
                  <c:v>488.89</c:v>
                </c:pt>
                <c:pt idx="16">
                  <c:v>621.71</c:v>
                </c:pt>
                <c:pt idx="17">
                  <c:v>444.08</c:v>
                </c:pt>
                <c:pt idx="18">
                  <c:v>444.08</c:v>
                </c:pt>
                <c:pt idx="19">
                  <c:v>444.08</c:v>
                </c:pt>
                <c:pt idx="20">
                  <c:v>444.08</c:v>
                </c:pt>
                <c:pt idx="21">
                  <c:v>444</c:v>
                </c:pt>
                <c:pt idx="22">
                  <c:v>621.71</c:v>
                </c:pt>
                <c:pt idx="23">
                  <c:v>621.71</c:v>
                </c:pt>
                <c:pt idx="24">
                  <c:v>488.49</c:v>
                </c:pt>
                <c:pt idx="25">
                  <c:v>488.49</c:v>
                </c:pt>
                <c:pt idx="26">
                  <c:v>488.49</c:v>
                </c:pt>
                <c:pt idx="27">
                  <c:v>577.29999999999995</c:v>
                </c:pt>
                <c:pt idx="28">
                  <c:v>532.9</c:v>
                </c:pt>
                <c:pt idx="29">
                  <c:v>577.29999999999995</c:v>
                </c:pt>
                <c:pt idx="30">
                  <c:v>444.08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December-2024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15379.109999999999</c:v>
                </c:pt>
                <c:pt idx="1">
                  <c:v>14709.87</c:v>
                </c:pt>
                <c:pt idx="2">
                  <c:v>14057.95</c:v>
                </c:pt>
                <c:pt idx="3">
                  <c:v>14048.75</c:v>
                </c:pt>
                <c:pt idx="4">
                  <c:v>14495.64</c:v>
                </c:pt>
                <c:pt idx="5">
                  <c:v>15449.74</c:v>
                </c:pt>
                <c:pt idx="6">
                  <c:v>15837.769999999999</c:v>
                </c:pt>
                <c:pt idx="7">
                  <c:v>14888.16</c:v>
                </c:pt>
                <c:pt idx="8">
                  <c:v>14428.97</c:v>
                </c:pt>
                <c:pt idx="9">
                  <c:v>15372.73</c:v>
                </c:pt>
                <c:pt idx="10">
                  <c:v>15948.439999999999</c:v>
                </c:pt>
                <c:pt idx="11">
                  <c:v>15350.25</c:v>
                </c:pt>
                <c:pt idx="12">
                  <c:v>15907.289999999999</c:v>
                </c:pt>
                <c:pt idx="13">
                  <c:v>17499.54</c:v>
                </c:pt>
                <c:pt idx="14">
                  <c:v>15604.22</c:v>
                </c:pt>
                <c:pt idx="15">
                  <c:v>14944.4</c:v>
                </c:pt>
                <c:pt idx="16">
                  <c:v>14887.199999999997</c:v>
                </c:pt>
                <c:pt idx="17">
                  <c:v>14405.3</c:v>
                </c:pt>
                <c:pt idx="18">
                  <c:v>14676.35</c:v>
                </c:pt>
                <c:pt idx="19">
                  <c:v>14965.410000000002</c:v>
                </c:pt>
                <c:pt idx="20">
                  <c:v>14900.529999999999</c:v>
                </c:pt>
                <c:pt idx="21">
                  <c:v>14652</c:v>
                </c:pt>
                <c:pt idx="22">
                  <c:v>14985.939999999999</c:v>
                </c:pt>
                <c:pt idx="23">
                  <c:v>15168.77</c:v>
                </c:pt>
                <c:pt idx="24">
                  <c:v>15083.039999999999</c:v>
                </c:pt>
                <c:pt idx="25">
                  <c:v>15290.85</c:v>
                </c:pt>
                <c:pt idx="26">
                  <c:v>15438.26</c:v>
                </c:pt>
                <c:pt idx="27">
                  <c:v>15198.609999999999</c:v>
                </c:pt>
                <c:pt idx="28">
                  <c:v>15157.819999999998</c:v>
                </c:pt>
                <c:pt idx="29">
                  <c:v>15835.689999999999</c:v>
                </c:pt>
                <c:pt idx="30">
                  <c:v>15748.26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079069760"/>
        <c:axId val="1079055072"/>
        <c:extLst/>
      </c:lineChart>
      <c:catAx>
        <c:axId val="107906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5072"/>
        <c:crosses val="autoZero"/>
        <c:auto val="1"/>
        <c:lblAlgn val="ctr"/>
        <c:lblOffset val="100"/>
        <c:noMultiLvlLbl val="0"/>
      </c:catAx>
      <c:valAx>
        <c:axId val="1079055072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69760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199280</xdr:colOff>
      <xdr:row>36</xdr:row>
      <xdr:rowOff>47625</xdr:rowOff>
    </xdr:from>
    <xdr:to>
      <xdr:col>10</xdr:col>
      <xdr:colOff>28575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0000"/>
  </sheetPr>
  <dimension ref="A1:O32"/>
  <sheetViews>
    <sheetView tabSelected="1" workbookViewId="0">
      <selection activeCell="D15" sqref="D15:D32"/>
    </sheetView>
  </sheetViews>
  <sheetFormatPr defaultColWidth="11.5703125" defaultRowHeight="15"/>
  <cols>
    <col min="1" max="1" width="26.42578125" style="40" bestFit="1" customWidth="1"/>
    <col min="2" max="2" width="11.5703125" style="40"/>
    <col min="3" max="3" width="11.5703125" style="41"/>
    <col min="4" max="4" width="13.42578125" style="40" customWidth="1"/>
    <col min="5" max="5" width="12.5703125" style="40" customWidth="1"/>
    <col min="6" max="6" width="12.5703125" style="46" customWidth="1"/>
    <col min="7" max="7" width="11.5703125" style="40"/>
    <col min="8" max="8" width="11.5703125" style="46"/>
    <col min="9" max="9" width="11.5703125" style="40"/>
    <col min="10" max="10" width="11.5703125" style="43"/>
    <col min="11" max="11" width="11.5703125" style="45"/>
    <col min="12" max="12" width="11.5703125" style="43"/>
    <col min="13" max="13" width="11.5703125" style="42"/>
    <col min="14" max="16384" width="11.5703125" style="40"/>
  </cols>
  <sheetData>
    <row r="1" spans="1:15" s="38" customFormat="1" ht="60.75" thickBot="1">
      <c r="A1" s="28" t="s">
        <v>55</v>
      </c>
      <c r="B1" s="28" t="s">
        <v>56</v>
      </c>
      <c r="C1" s="29" t="s">
        <v>57</v>
      </c>
      <c r="D1" s="30" t="s">
        <v>58</v>
      </c>
      <c r="E1" s="31" t="s">
        <v>59</v>
      </c>
      <c r="F1" s="32" t="s">
        <v>60</v>
      </c>
      <c r="G1" s="31" t="s">
        <v>69</v>
      </c>
      <c r="H1" s="32" t="s">
        <v>70</v>
      </c>
      <c r="I1" s="33" t="s">
        <v>61</v>
      </c>
      <c r="J1" s="34" t="s">
        <v>62</v>
      </c>
      <c r="K1" s="35" t="s">
        <v>63</v>
      </c>
      <c r="L1" s="36" t="s">
        <v>64</v>
      </c>
      <c r="M1" s="37" t="s">
        <v>65</v>
      </c>
      <c r="N1" s="31" t="s">
        <v>66</v>
      </c>
    </row>
    <row r="2" spans="1:15">
      <c r="A2" s="39" t="s">
        <v>68</v>
      </c>
      <c r="B2" s="40">
        <v>1</v>
      </c>
      <c r="C2" s="41">
        <v>12</v>
      </c>
      <c r="D2" s="40">
        <v>2024</v>
      </c>
      <c r="E2" s="42">
        <f>'MTD Utility Sheet'!G4/0.439</f>
        <v>14649.293849658314</v>
      </c>
      <c r="F2" s="43">
        <v>0.439</v>
      </c>
      <c r="G2" s="42">
        <f>('MTD Utility Sheet'!I4/1.82)/0.5</f>
        <v>487.99999999999994</v>
      </c>
      <c r="H2" s="44">
        <f>1.82*0.5</f>
        <v>0.91</v>
      </c>
      <c r="I2" s="42">
        <f>'MTD Utility Sheet'!H4/12.38</f>
        <v>193.11793214862681</v>
      </c>
      <c r="J2" s="43">
        <v>12.38</v>
      </c>
      <c r="K2" s="45">
        <f>IF(('MTD Utility Sheet'!F4-2866)&lt;0,"0",('MTD Utility Sheet'!F4-2866)/(0.568+0.075))</f>
        <v>5050.0622083981343</v>
      </c>
      <c r="L2" s="43">
        <f>'MTD Utility Sheet'!F4/K2</f>
        <v>1.2105177615107214</v>
      </c>
      <c r="M2" s="42">
        <f>'MTD Utility Sheet'!B4*301</f>
        <v>234.78</v>
      </c>
      <c r="N2" s="40" t="s">
        <v>67</v>
      </c>
      <c r="O2" s="38"/>
    </row>
    <row r="3" spans="1:15">
      <c r="A3" s="39" t="s">
        <v>68</v>
      </c>
      <c r="B3" s="40">
        <f t="shared" ref="B3:B32" si="0">B2+1</f>
        <v>2</v>
      </c>
      <c r="C3" s="41">
        <v>12</v>
      </c>
      <c r="D3" s="40">
        <v>2024</v>
      </c>
      <c r="E3" s="42">
        <f>'MTD Utility Sheet'!G5/0.439</f>
        <v>14160.979498861048</v>
      </c>
      <c r="F3" s="43">
        <v>0.439</v>
      </c>
      <c r="G3" s="42">
        <f>('MTD Utility Sheet'!I5/1.82)/0.5</f>
        <v>487.99999999999994</v>
      </c>
      <c r="H3" s="44">
        <f t="shared" ref="H3:H32" si="1">1.82*0.5</f>
        <v>0.91</v>
      </c>
      <c r="I3" s="42">
        <f>'MTD Utility Sheet'!H5/12.38</f>
        <v>194.18416801292406</v>
      </c>
      <c r="J3" s="43">
        <v>12.38</v>
      </c>
      <c r="K3" s="45">
        <f>IF(('MTD Utility Sheet'!F5-2866)&lt;0,"0",('MTD Utility Sheet'!F5-2866)/(0.568+0.075))</f>
        <v>4322.1150855365477</v>
      </c>
      <c r="L3" s="43">
        <f>'MTD Utility Sheet'!F5/K3</f>
        <v>1.3061012694665937</v>
      </c>
      <c r="M3" s="42">
        <f>'MTD Utility Sheet'!B5*301</f>
        <v>207.69</v>
      </c>
      <c r="N3" s="40" t="s">
        <v>67</v>
      </c>
      <c r="O3" s="38"/>
    </row>
    <row r="4" spans="1:15">
      <c r="A4" s="39" t="s">
        <v>68</v>
      </c>
      <c r="B4" s="40">
        <f t="shared" si="0"/>
        <v>3</v>
      </c>
      <c r="C4" s="41">
        <v>12</v>
      </c>
      <c r="D4" s="40">
        <v>2024</v>
      </c>
      <c r="E4" s="42">
        <f>'MTD Utility Sheet'!G6/0.439</f>
        <v>14160.979498861048</v>
      </c>
      <c r="F4" s="43">
        <v>0.439</v>
      </c>
      <c r="G4" s="42">
        <f>('MTD Utility Sheet'!I6/1.82)/0.5</f>
        <v>487.99999999999994</v>
      </c>
      <c r="H4" s="44">
        <f t="shared" si="1"/>
        <v>0.91</v>
      </c>
      <c r="I4" s="42">
        <f>'MTD Utility Sheet'!H6/12.38</f>
        <v>152.60096930533118</v>
      </c>
      <c r="J4" s="43">
        <v>12.38</v>
      </c>
      <c r="K4" s="45">
        <f>IF(('MTD Utility Sheet'!F6-2866)&lt;0,"0",('MTD Utility Sheet'!F6-2866)/(0.568+0.075))</f>
        <v>4108.8646967340601</v>
      </c>
      <c r="L4" s="43">
        <f>'MTD Utility Sheet'!F6/K4</f>
        <v>1.3405162755488262</v>
      </c>
      <c r="M4" s="42">
        <f>'MTD Utility Sheet'!B6*301</f>
        <v>192.64000000000001</v>
      </c>
      <c r="N4" s="40" t="s">
        <v>67</v>
      </c>
      <c r="O4" s="38"/>
    </row>
    <row r="5" spans="1:15">
      <c r="A5" s="39" t="s">
        <v>68</v>
      </c>
      <c r="B5" s="40">
        <f t="shared" si="0"/>
        <v>4</v>
      </c>
      <c r="C5" s="41">
        <v>12</v>
      </c>
      <c r="D5" s="40">
        <v>2024</v>
      </c>
      <c r="E5" s="42">
        <f>'MTD Utility Sheet'!G7/0.439</f>
        <v>13672.665148063781</v>
      </c>
      <c r="F5" s="43">
        <v>0.439</v>
      </c>
      <c r="G5" s="42">
        <f>('MTD Utility Sheet'!I7/1.82)/0.5</f>
        <v>487.99999999999994</v>
      </c>
      <c r="H5" s="44">
        <f t="shared" si="1"/>
        <v>0.91</v>
      </c>
      <c r="I5" s="42">
        <f>'MTD Utility Sheet'!H7/12.38</f>
        <v>153.66720516962843</v>
      </c>
      <c r="J5" s="43">
        <v>12.38</v>
      </c>
      <c r="K5" s="45">
        <f>IF(('MTD Utility Sheet'!F7-2866)&lt;0,"0",('MTD Utility Sheet'!F7-2866)/(0.568+0.075))</f>
        <v>4407.4183514774504</v>
      </c>
      <c r="L5" s="43">
        <f>'MTD Utility Sheet'!F7/K5</f>
        <v>1.293267292878894</v>
      </c>
      <c r="M5" s="42">
        <f>'MTD Utility Sheet'!B7*301</f>
        <v>216.72</v>
      </c>
      <c r="N5" s="40" t="s">
        <v>67</v>
      </c>
      <c r="O5" s="38"/>
    </row>
    <row r="6" spans="1:15">
      <c r="A6" s="39" t="s">
        <v>68</v>
      </c>
      <c r="B6" s="40">
        <f t="shared" si="0"/>
        <v>5</v>
      </c>
      <c r="C6" s="41">
        <v>12</v>
      </c>
      <c r="D6" s="40">
        <v>2024</v>
      </c>
      <c r="E6" s="42">
        <f>'MTD Utility Sheet'!G8/0.439</f>
        <v>13672.665148063781</v>
      </c>
      <c r="F6" s="43">
        <v>0.439</v>
      </c>
      <c r="G6" s="42">
        <f>('MTD Utility Sheet'!I8/1.82)/0.5</f>
        <v>487.99999999999994</v>
      </c>
      <c r="H6" s="44">
        <f t="shared" si="1"/>
        <v>0.91</v>
      </c>
      <c r="I6" s="42">
        <f>'MTD Utility Sheet'!H8/12.38</f>
        <v>165.39579967689821</v>
      </c>
      <c r="J6" s="43">
        <v>12.38</v>
      </c>
      <c r="K6" s="45">
        <f>IF(('MTD Utility Sheet'!F8-2866)&lt;0,"0",('MTD Utility Sheet'!F8-2866)/(0.568+0.075))</f>
        <v>4876.6096423017116</v>
      </c>
      <c r="L6" s="43">
        <f>'MTD Utility Sheet'!F8/K6</f>
        <v>1.2307033862089638</v>
      </c>
      <c r="M6" s="42">
        <f>'MTD Utility Sheet'!B8*301</f>
        <v>234.78</v>
      </c>
      <c r="N6" s="40" t="s">
        <v>67</v>
      </c>
      <c r="O6" s="38"/>
    </row>
    <row r="7" spans="1:15">
      <c r="A7" s="39" t="s">
        <v>68</v>
      </c>
      <c r="B7" s="40">
        <f t="shared" si="0"/>
        <v>6</v>
      </c>
      <c r="C7" s="41">
        <v>12</v>
      </c>
      <c r="D7" s="40">
        <v>2024</v>
      </c>
      <c r="E7" s="42">
        <f>'MTD Utility Sheet'!G9/0.439</f>
        <v>14649.293849658314</v>
      </c>
      <c r="F7" s="43">
        <v>0.439</v>
      </c>
      <c r="G7" s="42">
        <f>('MTD Utility Sheet'!I9/1.82)/0.5</f>
        <v>487.99999999999994</v>
      </c>
      <c r="H7" s="44">
        <f t="shared" si="1"/>
        <v>0.91</v>
      </c>
      <c r="I7" s="42">
        <f>'MTD Utility Sheet'!H9/12.38</f>
        <v>162.19709208400644</v>
      </c>
      <c r="J7" s="43">
        <v>12.38</v>
      </c>
      <c r="K7" s="45">
        <f>IF(('MTD Utility Sheet'!F9-2866)&lt;0,"0",('MTD Utility Sheet'!F9-2866)/(0.568+0.075))</f>
        <v>5755.2410575427693</v>
      </c>
      <c r="L7" s="43">
        <f>'MTD Utility Sheet'!F9/K7</f>
        <v>1.1409808788797551</v>
      </c>
      <c r="M7" s="42">
        <f>'MTD Utility Sheet'!B9*301</f>
        <v>255.85</v>
      </c>
      <c r="N7" s="40" t="s">
        <v>67</v>
      </c>
    </row>
    <row r="8" spans="1:15">
      <c r="A8" s="39" t="s">
        <v>68</v>
      </c>
      <c r="B8" s="40">
        <f t="shared" si="0"/>
        <v>7</v>
      </c>
      <c r="C8" s="41">
        <v>12</v>
      </c>
      <c r="D8" s="40">
        <v>2024</v>
      </c>
      <c r="E8" s="42">
        <f>'MTD Utility Sheet'!G10/0.439</f>
        <v>14649.293849658314</v>
      </c>
      <c r="F8" s="43">
        <v>0.439</v>
      </c>
      <c r="G8" s="42">
        <f>('MTD Utility Sheet'!I10/1.82)/0.5</f>
        <v>439.25274725274727</v>
      </c>
      <c r="H8" s="44">
        <f t="shared" si="1"/>
        <v>0.91</v>
      </c>
      <c r="I8" s="42">
        <f>'MTD Utility Sheet'!H10/12.38</f>
        <v>188.85298869143779</v>
      </c>
      <c r="J8" s="43">
        <v>12.38</v>
      </c>
      <c r="K8" s="45">
        <f>IF(('MTD Utility Sheet'!F10-2866)&lt;0,"0",('MTD Utility Sheet'!F10-2866)/(0.568+0.075))</f>
        <v>5914.4790046656308</v>
      </c>
      <c r="L8" s="43">
        <f>'MTD Utility Sheet'!F10/K8</f>
        <v>1.1275735351734546</v>
      </c>
      <c r="M8" s="42">
        <f>'MTD Utility Sheet'!B10*301</f>
        <v>243.81</v>
      </c>
      <c r="N8" s="40" t="s">
        <v>67</v>
      </c>
    </row>
    <row r="9" spans="1:15">
      <c r="A9" s="39" t="s">
        <v>68</v>
      </c>
      <c r="B9" s="40">
        <f t="shared" si="0"/>
        <v>8</v>
      </c>
      <c r="C9" s="41">
        <v>12</v>
      </c>
      <c r="D9" s="40">
        <v>2024</v>
      </c>
      <c r="E9" s="42">
        <f>'MTD Utility Sheet'!G11/0.439</f>
        <v>14160.979498861048</v>
      </c>
      <c r="F9" s="43">
        <v>0.439</v>
      </c>
      <c r="G9" s="42">
        <f>('MTD Utility Sheet'!I11/1.82)/0.5</f>
        <v>487.99999999999994</v>
      </c>
      <c r="H9" s="44">
        <f t="shared" si="1"/>
        <v>0.91</v>
      </c>
      <c r="I9" s="42">
        <f>'MTD Utility Sheet'!H11/12.38</f>
        <v>167.52827140549272</v>
      </c>
      <c r="J9" s="43">
        <v>12.38</v>
      </c>
      <c r="K9" s="45">
        <f>IF(('MTD Utility Sheet'!F11-2866)&lt;0,"0",('MTD Utility Sheet'!F11-2866)/(0.568+0.075))</f>
        <v>5112.6127527216177</v>
      </c>
      <c r="L9" s="43">
        <f>'MTD Utility Sheet'!F11/K9</f>
        <v>1.2035744339768997</v>
      </c>
      <c r="M9" s="42">
        <f>'MTD Utility Sheet'!B11*301</f>
        <v>264.88</v>
      </c>
      <c r="N9" s="40" t="s">
        <v>67</v>
      </c>
    </row>
    <row r="10" spans="1:15">
      <c r="A10" s="39" t="s">
        <v>68</v>
      </c>
      <c r="B10" s="40">
        <f t="shared" si="0"/>
        <v>9</v>
      </c>
      <c r="C10" s="41">
        <v>12</v>
      </c>
      <c r="D10" s="40">
        <v>2024</v>
      </c>
      <c r="E10" s="42">
        <f>'MTD Utility Sheet'!G12/0.439</f>
        <v>13672.665148063781</v>
      </c>
      <c r="F10" s="43">
        <v>0.439</v>
      </c>
      <c r="G10" s="42">
        <f>('MTD Utility Sheet'!I12/1.82)/0.5</f>
        <v>487.99999999999994</v>
      </c>
      <c r="H10" s="44">
        <f t="shared" si="1"/>
        <v>0.91</v>
      </c>
      <c r="I10" s="42">
        <f>'MTD Utility Sheet'!H12/12.38</f>
        <v>172.85945072697899</v>
      </c>
      <c r="J10" s="43">
        <v>12.38</v>
      </c>
      <c r="K10" s="45">
        <f>IF(('MTD Utility Sheet'!F12-2866)&lt;0,"0",('MTD Utility Sheet'!F12-2866)/(0.568+0.075))</f>
        <v>4629.2223950233292</v>
      </c>
      <c r="L10" s="43">
        <f>'MTD Utility Sheet'!F12/K10</f>
        <v>1.2621104586120357</v>
      </c>
      <c r="M10" s="42">
        <f>'MTD Utility Sheet'!B12*301</f>
        <v>258.86</v>
      </c>
      <c r="N10" s="40" t="s">
        <v>67</v>
      </c>
    </row>
    <row r="11" spans="1:15">
      <c r="A11" s="39" t="s">
        <v>68</v>
      </c>
      <c r="B11" s="40">
        <f t="shared" si="0"/>
        <v>10</v>
      </c>
      <c r="C11" s="41">
        <v>12</v>
      </c>
      <c r="D11" s="40">
        <v>2024</v>
      </c>
      <c r="E11" s="42">
        <f>'MTD Utility Sheet'!G13/0.439</f>
        <v>15137.608200455581</v>
      </c>
      <c r="F11" s="43">
        <v>0.439</v>
      </c>
      <c r="G11" s="42">
        <f>('MTD Utility Sheet'!I13/1.82)/0.5</f>
        <v>487.99999999999994</v>
      </c>
      <c r="H11" s="44">
        <f t="shared" si="1"/>
        <v>0.91</v>
      </c>
      <c r="I11" s="42">
        <f>'MTD Utility Sheet'!H13/12.38</f>
        <v>174.9919224555735</v>
      </c>
      <c r="J11" s="43">
        <v>12.38</v>
      </c>
      <c r="K11" s="45">
        <f>IF(('MTD Utility Sheet'!F13-2866)&lt;0,"0",('MTD Utility Sheet'!F13-2866)/(0.568+0.075))</f>
        <v>5055.7387247278393</v>
      </c>
      <c r="L11" s="43">
        <f>'MTD Utility Sheet'!F13/K11</f>
        <v>1.2098805601013889</v>
      </c>
      <c r="M11" s="42">
        <f>'MTD Utility Sheet'!B13*301</f>
        <v>267.89</v>
      </c>
      <c r="N11" s="40" t="s">
        <v>67</v>
      </c>
    </row>
    <row r="12" spans="1:15">
      <c r="A12" s="39" t="s">
        <v>68</v>
      </c>
      <c r="B12" s="40">
        <f t="shared" si="0"/>
        <v>11</v>
      </c>
      <c r="C12" s="41">
        <v>12</v>
      </c>
      <c r="D12" s="40">
        <v>2024</v>
      </c>
      <c r="E12" s="42">
        <f>'MTD Utility Sheet'!G14/0.439</f>
        <v>15137.608200455581</v>
      </c>
      <c r="F12" s="43">
        <v>0.439</v>
      </c>
      <c r="G12" s="42">
        <f>('MTD Utility Sheet'!I14/1.82)/0.5</f>
        <v>536.80219780219784</v>
      </c>
      <c r="H12" s="44">
        <f t="shared" si="1"/>
        <v>0.91</v>
      </c>
      <c r="I12" s="42">
        <f>'MTD Utility Sheet'!H14/12.38</f>
        <v>206.97899838449112</v>
      </c>
      <c r="J12" s="43">
        <v>12.38</v>
      </c>
      <c r="K12" s="45">
        <f>IF(('MTD Utility Sheet'!F14-2866)&lt;0,"0",('MTD Utility Sheet'!F14-2866)/(0.568+0.075))</f>
        <v>5266.1586314152428</v>
      </c>
      <c r="L12" s="43">
        <f>'MTD Utility Sheet'!F14/K12</f>
        <v>1.1872297128884213</v>
      </c>
      <c r="M12" s="42">
        <f>'MTD Utility Sheet'!B14*301</f>
        <v>273.91000000000003</v>
      </c>
      <c r="N12" s="40" t="s">
        <v>67</v>
      </c>
    </row>
    <row r="13" spans="1:15">
      <c r="A13" s="39" t="s">
        <v>68</v>
      </c>
      <c r="B13" s="40">
        <f t="shared" si="0"/>
        <v>12</v>
      </c>
      <c r="C13" s="41">
        <v>12</v>
      </c>
      <c r="D13" s="40">
        <v>2024</v>
      </c>
      <c r="E13" s="42">
        <f>'MTD Utility Sheet'!G15/0.439</f>
        <v>14649.293849658314</v>
      </c>
      <c r="F13" s="43">
        <v>0.439</v>
      </c>
      <c r="G13" s="42">
        <f>('MTD Utility Sheet'!I15/1.82)/0.5</f>
        <v>487.99999999999994</v>
      </c>
      <c r="H13" s="44">
        <f t="shared" si="1"/>
        <v>0.91</v>
      </c>
      <c r="I13" s="42">
        <f>'MTD Utility Sheet'!H15/12.38</f>
        <v>194.18416801292406</v>
      </c>
      <c r="J13" s="43">
        <v>12.38</v>
      </c>
      <c r="K13" s="45">
        <f>IF(('MTD Utility Sheet'!F15-2866)&lt;0,"0",('MTD Utility Sheet'!F15-2866)/(0.568+0.075))</f>
        <v>4984.6500777604988</v>
      </c>
      <c r="L13" s="43">
        <f>'MTD Utility Sheet'!F15/K13</f>
        <v>1.2179651340195248</v>
      </c>
      <c r="M13" s="42">
        <f>'MTD Utility Sheet'!B15*301</f>
        <v>291.0068</v>
      </c>
      <c r="N13" s="40" t="s">
        <v>67</v>
      </c>
    </row>
    <row r="14" spans="1:15">
      <c r="A14" s="39" t="s">
        <v>68</v>
      </c>
      <c r="B14" s="40">
        <f t="shared" si="0"/>
        <v>13</v>
      </c>
      <c r="C14" s="41">
        <v>12</v>
      </c>
      <c r="D14" s="40">
        <v>2024</v>
      </c>
      <c r="E14" s="42">
        <f>'MTD Utility Sheet'!G16/0.439</f>
        <v>15625.922551252846</v>
      </c>
      <c r="F14" s="43">
        <v>0.439</v>
      </c>
      <c r="G14" s="42">
        <f>('MTD Utility Sheet'!I16/1.82)/0.5</f>
        <v>487.99999999999994</v>
      </c>
      <c r="H14" s="44">
        <f t="shared" si="1"/>
        <v>0.91</v>
      </c>
      <c r="I14" s="42">
        <f>'MTD Utility Sheet'!H16/12.38</f>
        <v>214.4426494345719</v>
      </c>
      <c r="J14" s="43">
        <v>12.38</v>
      </c>
      <c r="K14" s="45">
        <f>IF(('MTD Utility Sheet'!F16-2866)&lt;0,"0",('MTD Utility Sheet'!F16-2866)/(0.568+0.075))</f>
        <v>4794.1368584758948</v>
      </c>
      <c r="L14" s="43">
        <f>'MTD Utility Sheet'!F16/K14</f>
        <v>1.2408135553082917</v>
      </c>
      <c r="M14" s="42">
        <f>'MTD Utility Sheet'!B16*301</f>
        <v>252.84</v>
      </c>
      <c r="N14" s="40" t="s">
        <v>67</v>
      </c>
    </row>
    <row r="15" spans="1:15">
      <c r="A15" s="39" t="s">
        <v>68</v>
      </c>
      <c r="B15" s="40">
        <f t="shared" si="0"/>
        <v>14</v>
      </c>
      <c r="C15" s="41">
        <v>12</v>
      </c>
      <c r="D15" s="40">
        <v>2024</v>
      </c>
      <c r="E15" s="42">
        <f>'MTD Utility Sheet'!G17/0.439</f>
        <v>14649.293849658314</v>
      </c>
      <c r="F15" s="43">
        <v>0.439</v>
      </c>
      <c r="G15" s="42">
        <f>('MTD Utility Sheet'!I17/1.82)/0.5</f>
        <v>487.99999999999994</v>
      </c>
      <c r="H15" s="44">
        <f t="shared" si="1"/>
        <v>0.91</v>
      </c>
      <c r="I15" s="42">
        <f>'MTD Utility Sheet'!H17/12.38</f>
        <v>386.10662358642969</v>
      </c>
      <c r="J15" s="43">
        <v>12.38</v>
      </c>
      <c r="K15" s="45">
        <f>IF(('MTD Utility Sheet'!F17-2866)&lt;0,"0",('MTD Utility Sheet'!F17-2866)/(0.568+0.075))</f>
        <v>4632.0684292379483</v>
      </c>
      <c r="L15" s="43">
        <f>'MTD Utility Sheet'!F17/K15</f>
        <v>1.2617300649337566</v>
      </c>
      <c r="M15" s="42">
        <f>'MTD Utility Sheet'!B17*301</f>
        <v>222.74</v>
      </c>
      <c r="N15" s="40" t="s">
        <v>67</v>
      </c>
    </row>
    <row r="16" spans="1:15">
      <c r="A16" s="39" t="s">
        <v>68</v>
      </c>
      <c r="B16" s="40">
        <f t="shared" si="0"/>
        <v>15</v>
      </c>
      <c r="C16" s="41">
        <v>12</v>
      </c>
      <c r="D16" s="40">
        <v>2024</v>
      </c>
      <c r="E16" s="42">
        <f>'MTD Utility Sheet'!G18/0.439</f>
        <v>14160.979498861048</v>
      </c>
      <c r="F16" s="43">
        <v>0.439</v>
      </c>
      <c r="G16" s="42">
        <f>('MTD Utility Sheet'!I18/1.82)/0.5</f>
        <v>487.99999999999994</v>
      </c>
      <c r="H16" s="44">
        <f t="shared" si="1"/>
        <v>0.91</v>
      </c>
      <c r="I16" s="42">
        <f>'MTD Utility Sheet'!H18/12.38</f>
        <v>267.75444264943457</v>
      </c>
      <c r="J16" s="43">
        <v>12.38</v>
      </c>
      <c r="K16" s="45">
        <f>IF(('MTD Utility Sheet'!F18-2866)&lt;0,"0",('MTD Utility Sheet'!F18-2866)/(0.568+0.075))</f>
        <v>4296.5318818040441</v>
      </c>
      <c r="L16" s="43">
        <f>'MTD Utility Sheet'!F18/K16</f>
        <v>1.3100496295250608</v>
      </c>
      <c r="M16" s="42">
        <f>'MTD Utility Sheet'!B18*301</f>
        <v>216.72</v>
      </c>
      <c r="N16" s="40" t="s">
        <v>67</v>
      </c>
    </row>
    <row r="17" spans="1:14">
      <c r="A17" s="39" t="s">
        <v>68</v>
      </c>
      <c r="B17" s="40">
        <f t="shared" si="0"/>
        <v>16</v>
      </c>
      <c r="C17" s="41">
        <v>12</v>
      </c>
      <c r="D17" s="40">
        <v>2024</v>
      </c>
      <c r="E17" s="42">
        <f>'MTD Utility Sheet'!G19/0.439</f>
        <v>15137.608200455581</v>
      </c>
      <c r="F17" s="43">
        <v>0.439</v>
      </c>
      <c r="G17" s="42">
        <f>('MTD Utility Sheet'!I19/1.82)/0.5</f>
        <v>537.24175824175825</v>
      </c>
      <c r="H17" s="44">
        <f t="shared" si="1"/>
        <v>0.91</v>
      </c>
      <c r="I17" s="42">
        <f>'MTD Utility Sheet'!H19/12.38</f>
        <v>176.05815831987073</v>
      </c>
      <c r="J17" s="43">
        <v>12.38</v>
      </c>
      <c r="K17" s="45">
        <f>IF(('MTD Utility Sheet'!F19-2866)&lt;0,"0",('MTD Utility Sheet'!F19-2866)/(0.568+0.075))</f>
        <v>4299.3779160186632</v>
      </c>
      <c r="L17" s="43">
        <f>'MTD Utility Sheet'!F19/K17</f>
        <v>1.3096080665581478</v>
      </c>
      <c r="M17" s="42">
        <f>'MTD Utility Sheet'!B19*301</f>
        <v>213.70999999999998</v>
      </c>
      <c r="N17" s="40" t="s">
        <v>67</v>
      </c>
    </row>
    <row r="18" spans="1:14">
      <c r="A18" s="39" t="s">
        <v>68</v>
      </c>
      <c r="B18" s="40">
        <f t="shared" si="0"/>
        <v>17</v>
      </c>
      <c r="C18" s="41">
        <v>12</v>
      </c>
      <c r="D18" s="40">
        <v>2024</v>
      </c>
      <c r="E18" s="42">
        <f>'MTD Utility Sheet'!G20/0.439</f>
        <v>14649.293849658314</v>
      </c>
      <c r="F18" s="43">
        <v>0.439</v>
      </c>
      <c r="G18" s="42">
        <f>('MTD Utility Sheet'!I20/1.82)/0.5</f>
        <v>683.19780219780216</v>
      </c>
      <c r="H18" s="44">
        <f t="shared" si="1"/>
        <v>0.91</v>
      </c>
      <c r="I18" s="42">
        <f>'MTD Utility Sheet'!H20/12.38</f>
        <v>182.45557350565429</v>
      </c>
      <c r="J18" s="43">
        <v>12.38</v>
      </c>
      <c r="K18" s="45">
        <f>IF(('MTD Utility Sheet'!F20-2866)&lt;0,"0",('MTD Utility Sheet'!F20-2866)/(0.568+0.075))</f>
        <v>4214.0746500777605</v>
      </c>
      <c r="L18" s="43">
        <f>'MTD Utility Sheet'!F20/K18</f>
        <v>1.3231018581735647</v>
      </c>
      <c r="M18" s="42">
        <f>'MTD Utility Sheet'!B20*301</f>
        <v>210.7</v>
      </c>
      <c r="N18" s="40" t="s">
        <v>67</v>
      </c>
    </row>
    <row r="19" spans="1:14">
      <c r="A19" s="39" t="s">
        <v>68</v>
      </c>
      <c r="B19" s="40">
        <f t="shared" si="0"/>
        <v>18</v>
      </c>
      <c r="C19" s="41">
        <v>12</v>
      </c>
      <c r="D19" s="40">
        <v>2024</v>
      </c>
      <c r="E19" s="42">
        <f>'MTD Utility Sheet'!G21/0.439</f>
        <v>14649.293849658314</v>
      </c>
      <c r="F19" s="43">
        <v>0.439</v>
      </c>
      <c r="G19" s="42">
        <f>('MTD Utility Sheet'!I21/1.82)/0.5</f>
        <v>487.99999999999994</v>
      </c>
      <c r="H19" s="44">
        <f t="shared" si="1"/>
        <v>0.91</v>
      </c>
      <c r="I19" s="42">
        <f>'MTD Utility Sheet'!H21/12.38</f>
        <v>170.72697899838448</v>
      </c>
      <c r="J19" s="43">
        <v>12.38</v>
      </c>
      <c r="K19" s="45">
        <f>IF(('MTD Utility Sheet'!F21-2866)&lt;0,"0",('MTD Utility Sheet'!F21-2866)/(0.568+0.075))</f>
        <v>3966.6874027993786</v>
      </c>
      <c r="L19" s="43">
        <f>'MTD Utility Sheet'!F21/K19</f>
        <v>1.3655172313748243</v>
      </c>
      <c r="M19" s="42">
        <f>'MTD Utility Sheet'!B21*301</f>
        <v>198.66</v>
      </c>
      <c r="N19" s="40" t="s">
        <v>67</v>
      </c>
    </row>
    <row r="20" spans="1:14">
      <c r="A20" s="39" t="s">
        <v>68</v>
      </c>
      <c r="B20" s="40">
        <f t="shared" si="0"/>
        <v>19</v>
      </c>
      <c r="C20" s="41">
        <v>12</v>
      </c>
      <c r="D20" s="40">
        <v>2024</v>
      </c>
      <c r="E20" s="42">
        <f>'MTD Utility Sheet'!G22/0.439</f>
        <v>15137.608200455581</v>
      </c>
      <c r="F20" s="43">
        <v>0.439</v>
      </c>
      <c r="G20" s="42">
        <f>('MTD Utility Sheet'!I22/1.82)/0.5</f>
        <v>487.99999999999994</v>
      </c>
      <c r="H20" s="44">
        <f t="shared" si="1"/>
        <v>0.91</v>
      </c>
      <c r="I20" s="42">
        <f>'MTD Utility Sheet'!H22/12.38</f>
        <v>170.72697899838448</v>
      </c>
      <c r="J20" s="43">
        <v>12.38</v>
      </c>
      <c r="K20" s="45">
        <f>IF(('MTD Utility Sheet'!F22-2866)&lt;0,"0",('MTD Utility Sheet'!F22-2866)/(0.568+0.075))</f>
        <v>4054.8367029548999</v>
      </c>
      <c r="L20" s="43">
        <f>'MTD Utility Sheet'!F22/K20</f>
        <v>1.349810214554743</v>
      </c>
      <c r="M20" s="42">
        <f>'MTD Utility Sheet'!B22*301</f>
        <v>204.68</v>
      </c>
      <c r="N20" s="40" t="s">
        <v>67</v>
      </c>
    </row>
    <row r="21" spans="1:14">
      <c r="A21" s="39" t="s">
        <v>68</v>
      </c>
      <c r="B21" s="40">
        <f t="shared" si="0"/>
        <v>20</v>
      </c>
      <c r="C21" s="41">
        <v>12</v>
      </c>
      <c r="D21" s="40">
        <v>2024</v>
      </c>
      <c r="E21" s="42">
        <f>'MTD Utility Sheet'!G23/0.439</f>
        <v>15625.922551252846</v>
      </c>
      <c r="F21" s="43">
        <v>0.439</v>
      </c>
      <c r="G21" s="42">
        <f>('MTD Utility Sheet'!I23/1.82)/0.5</f>
        <v>487.99999999999994</v>
      </c>
      <c r="H21" s="44">
        <f t="shared" si="1"/>
        <v>0.91</v>
      </c>
      <c r="I21" s="42">
        <f>'MTD Utility Sheet'!H23/12.38</f>
        <v>184.58804523424877</v>
      </c>
      <c r="J21" s="43">
        <v>12.38</v>
      </c>
      <c r="K21" s="45">
        <f>IF(('MTD Utility Sheet'!F23-2866)&lt;0,"0",('MTD Utility Sheet'!F23-2866)/(0.568+0.075))</f>
        <v>3904.1213063763621</v>
      </c>
      <c r="L21" s="43">
        <f>'MTD Utility Sheet'!F23/K21</f>
        <v>1.3770960423845278</v>
      </c>
      <c r="M21" s="42">
        <f>'MTD Utility Sheet'!B23*301</f>
        <v>204.68</v>
      </c>
      <c r="N21" s="40" t="s">
        <v>67</v>
      </c>
    </row>
    <row r="22" spans="1:14">
      <c r="A22" s="39" t="s">
        <v>68</v>
      </c>
      <c r="B22" s="40">
        <f t="shared" si="0"/>
        <v>21</v>
      </c>
      <c r="C22" s="41">
        <v>12</v>
      </c>
      <c r="D22" s="40">
        <v>2024</v>
      </c>
      <c r="E22" s="42">
        <f>'MTD Utility Sheet'!G24/0.439</f>
        <v>15625.922551252846</v>
      </c>
      <c r="F22" s="43">
        <v>0.439</v>
      </c>
      <c r="G22" s="42">
        <f>('MTD Utility Sheet'!I24/1.82)/0.5</f>
        <v>487.99999999999994</v>
      </c>
      <c r="H22" s="44">
        <f t="shared" si="1"/>
        <v>0.91</v>
      </c>
      <c r="I22" s="42">
        <f>'MTD Utility Sheet'!H24/12.38</f>
        <v>201.64781906300485</v>
      </c>
      <c r="J22" s="43">
        <v>12.38</v>
      </c>
      <c r="K22" s="45">
        <f>IF(('MTD Utility Sheet'!F24-2866)&lt;0,"0",('MTD Utility Sheet'!F24-2866)/(0.568+0.075))</f>
        <v>3474.7589424572329</v>
      </c>
      <c r="L22" s="43">
        <f>'MTD Utility Sheet'!F24/K22</f>
        <v>1.4678054174294062</v>
      </c>
      <c r="M22" s="42">
        <f>'MTD Utility Sheet'!B24*301</f>
        <v>210.7</v>
      </c>
      <c r="N22" s="40" t="s">
        <v>67</v>
      </c>
    </row>
    <row r="23" spans="1:14">
      <c r="A23" s="39" t="s">
        <v>68</v>
      </c>
      <c r="B23" s="40">
        <f t="shared" si="0"/>
        <v>22</v>
      </c>
      <c r="C23" s="41">
        <v>12</v>
      </c>
      <c r="D23" s="40">
        <v>2024</v>
      </c>
      <c r="E23" s="42">
        <f>'MTD Utility Sheet'!G25/0.439</f>
        <v>15626.423690205011</v>
      </c>
      <c r="F23" s="43">
        <v>0.439</v>
      </c>
      <c r="G23" s="42">
        <f>('MTD Utility Sheet'!I25/1.82)/0.5</f>
        <v>487.91208791208788</v>
      </c>
      <c r="H23" s="44">
        <f t="shared" si="1"/>
        <v>0.91</v>
      </c>
      <c r="I23" s="42">
        <f>'MTD Utility Sheet'!H25/12.38</f>
        <v>188.85298869143779</v>
      </c>
      <c r="J23" s="43">
        <v>12.38</v>
      </c>
      <c r="K23" s="45">
        <f>IF(('MTD Utility Sheet'!F25-2866)&lt;0,"0",('MTD Utility Sheet'!F25-2866)/(0.568+0.075))</f>
        <v>3334.3701399688962</v>
      </c>
      <c r="L23" s="43">
        <f>'MTD Utility Sheet'!F25/K23</f>
        <v>1.5025326492537312</v>
      </c>
      <c r="M23" s="42">
        <f>'MTD Utility Sheet'!B25*301</f>
        <v>216.72</v>
      </c>
      <c r="N23" s="40" t="s">
        <v>67</v>
      </c>
    </row>
    <row r="24" spans="1:14">
      <c r="A24" s="39" t="s">
        <v>68</v>
      </c>
      <c r="B24" s="40">
        <f t="shared" si="0"/>
        <v>23</v>
      </c>
      <c r="C24" s="41">
        <v>12</v>
      </c>
      <c r="D24" s="40">
        <v>2024</v>
      </c>
      <c r="E24" s="42">
        <f>'MTD Utility Sheet'!G26/0.439</f>
        <v>15625.922551252846</v>
      </c>
      <c r="F24" s="43">
        <v>0.439</v>
      </c>
      <c r="G24" s="42">
        <f>('MTD Utility Sheet'!I26/1.82)/0.5</f>
        <v>683.19780219780216</v>
      </c>
      <c r="H24" s="44">
        <f t="shared" si="1"/>
        <v>0.91</v>
      </c>
      <c r="I24" s="42">
        <f>'MTD Utility Sheet'!H26/12.38</f>
        <v>199.51534733441034</v>
      </c>
      <c r="J24" s="43">
        <v>12.38</v>
      </c>
      <c r="K24" s="45">
        <f>IF(('MTD Utility Sheet'!F26-2866)&lt;0,"0",('MTD Utility Sheet'!F26-2866)/(0.568+0.075))</f>
        <v>3372.3950233281494</v>
      </c>
      <c r="L24" s="43">
        <f>'MTD Utility Sheet'!F26/K24</f>
        <v>1.4928411307616039</v>
      </c>
      <c r="M24" s="42">
        <f>'MTD Utility Sheet'!B26*301</f>
        <v>246.82</v>
      </c>
      <c r="N24" s="40" t="s">
        <v>67</v>
      </c>
    </row>
    <row r="25" spans="1:14">
      <c r="A25" s="39" t="s">
        <v>68</v>
      </c>
      <c r="B25" s="40">
        <f t="shared" si="0"/>
        <v>24</v>
      </c>
      <c r="C25" s="41">
        <v>12</v>
      </c>
      <c r="D25" s="40">
        <v>2024</v>
      </c>
      <c r="E25" s="42">
        <f>'MTD Utility Sheet'!G27/0.439</f>
        <v>15625.922551252846</v>
      </c>
      <c r="F25" s="43">
        <v>0.439</v>
      </c>
      <c r="G25" s="42">
        <f>('MTD Utility Sheet'!I27/1.82)/0.5</f>
        <v>683.19780219780216</v>
      </c>
      <c r="H25" s="44">
        <f t="shared" si="1"/>
        <v>0.91</v>
      </c>
      <c r="I25" s="42">
        <f>'MTD Utility Sheet'!H27/12.38</f>
        <v>199.51534733441034</v>
      </c>
      <c r="J25" s="43">
        <v>12.38</v>
      </c>
      <c r="K25" s="45">
        <f>IF(('MTD Utility Sheet'!F27-2866)&lt;0,"0",('MTD Utility Sheet'!F27-2866)/(0.568+0.075))</f>
        <v>3656.7340590979784</v>
      </c>
      <c r="L25" s="43">
        <f>'MTD Utility Sheet'!F27/K25</f>
        <v>1.4267594841958422</v>
      </c>
      <c r="M25" s="42">
        <f>'MTD Utility Sheet'!B27*301</f>
        <v>255.85</v>
      </c>
      <c r="N25" s="40" t="s">
        <v>67</v>
      </c>
    </row>
    <row r="26" spans="1:14">
      <c r="A26" s="39" t="s">
        <v>68</v>
      </c>
      <c r="B26" s="40">
        <f t="shared" si="0"/>
        <v>25</v>
      </c>
      <c r="C26" s="41">
        <v>12</v>
      </c>
      <c r="D26" s="40">
        <v>2024</v>
      </c>
      <c r="E26" s="42">
        <f>'MTD Utility Sheet'!G28/0.439</f>
        <v>14649.202733485194</v>
      </c>
      <c r="F26" s="43">
        <v>0.439</v>
      </c>
      <c r="G26" s="42">
        <f>('MTD Utility Sheet'!I28/1.82)/0.5</f>
        <v>536.80219780219784</v>
      </c>
      <c r="H26" s="44">
        <f t="shared" si="1"/>
        <v>0.91</v>
      </c>
      <c r="I26" s="42">
        <f>'MTD Utility Sheet'!H28/12.38</f>
        <v>226.17124394184165</v>
      </c>
      <c r="J26" s="43">
        <v>12.38</v>
      </c>
      <c r="K26" s="45">
        <f>IF(('MTD Utility Sheet'!F28-2866)&lt;0,"0",('MTD Utility Sheet'!F28-2866)/(0.568+0.075))</f>
        <v>3884.2146189735622</v>
      </c>
      <c r="L26" s="43">
        <f>'MTD Utility Sheet'!F28/K26</f>
        <v>1.3808583011351121</v>
      </c>
      <c r="M26" s="42">
        <f>'MTD Utility Sheet'!B28*301</f>
        <v>284.98680000000002</v>
      </c>
      <c r="N26" s="40" t="s">
        <v>67</v>
      </c>
    </row>
    <row r="27" spans="1:14">
      <c r="A27" s="39" t="s">
        <v>68</v>
      </c>
      <c r="B27" s="40">
        <f t="shared" si="0"/>
        <v>26</v>
      </c>
      <c r="C27" s="41">
        <v>12</v>
      </c>
      <c r="D27" s="40">
        <v>2024</v>
      </c>
      <c r="E27" s="42">
        <f>'MTD Utility Sheet'!G29/0.439</f>
        <v>15137.608200455581</v>
      </c>
      <c r="F27" s="43">
        <v>0.439</v>
      </c>
      <c r="G27" s="42">
        <f>('MTD Utility Sheet'!I29/1.82)/0.5</f>
        <v>536.80219780219784</v>
      </c>
      <c r="H27" s="44">
        <f t="shared" si="1"/>
        <v>0.91</v>
      </c>
      <c r="I27" s="42">
        <f>'MTD Utility Sheet'!H29/12.38</f>
        <v>203.78029079159936</v>
      </c>
      <c r="J27" s="43">
        <v>12.38</v>
      </c>
      <c r="K27" s="45">
        <f>IF(('MTD Utility Sheet'!F29-2866)&lt;0,"0",('MTD Utility Sheet'!F29-2866)/(0.568+0.075))</f>
        <v>4305.0544323483673</v>
      </c>
      <c r="L27" s="43">
        <f>'MTD Utility Sheet'!F29/K27</f>
        <v>1.3087290970503764</v>
      </c>
      <c r="M27" s="42">
        <f>'MTD Utility Sheet'!B29*301</f>
        <v>273.91000000000003</v>
      </c>
      <c r="N27" s="40" t="s">
        <v>67</v>
      </c>
    </row>
    <row r="28" spans="1:14">
      <c r="A28" s="39" t="s">
        <v>68</v>
      </c>
      <c r="B28" s="40">
        <f t="shared" si="0"/>
        <v>27</v>
      </c>
      <c r="C28" s="41">
        <v>12</v>
      </c>
      <c r="D28" s="40">
        <v>2024</v>
      </c>
      <c r="E28" s="42">
        <f>'MTD Utility Sheet'!G30/0.439</f>
        <v>15137.608200455581</v>
      </c>
      <c r="F28" s="43">
        <v>0.439</v>
      </c>
      <c r="G28" s="42">
        <f>('MTD Utility Sheet'!I30/1.82)/0.5</f>
        <v>536.80219780219784</v>
      </c>
      <c r="H28" s="44">
        <f t="shared" si="1"/>
        <v>0.91</v>
      </c>
      <c r="I28" s="42">
        <f>'MTD Utility Sheet'!H30/12.38</f>
        <v>221.89014539579966</v>
      </c>
      <c r="J28" s="43">
        <v>12.38</v>
      </c>
      <c r="K28" s="45">
        <f>IF(('MTD Utility Sheet'!F30-2866)&lt;0,"0",('MTD Utility Sheet'!F30-2866)/(0.568+0.075))</f>
        <v>4185.6298600311047</v>
      </c>
      <c r="L28" s="43">
        <f>'MTD Utility Sheet'!F30/K28</f>
        <v>1.3277237084596634</v>
      </c>
      <c r="M28" s="42">
        <f>'MTD Utility Sheet'!B30*301</f>
        <v>278.99689999999998</v>
      </c>
      <c r="N28" s="40" t="s">
        <v>67</v>
      </c>
    </row>
    <row r="29" spans="1:14">
      <c r="A29" s="39" t="s">
        <v>68</v>
      </c>
      <c r="B29" s="40">
        <f t="shared" si="0"/>
        <v>28</v>
      </c>
      <c r="C29" s="41">
        <v>12</v>
      </c>
      <c r="D29" s="40">
        <v>2024</v>
      </c>
      <c r="E29" s="42">
        <f>'MTD Utility Sheet'!G31/0.439</f>
        <v>15137.608200455581</v>
      </c>
      <c r="F29" s="43">
        <v>0.439</v>
      </c>
      <c r="G29" s="42">
        <f>('MTD Utility Sheet'!I31/1.82)/0.5</f>
        <v>634.39560439560432</v>
      </c>
      <c r="H29" s="44">
        <f t="shared" si="1"/>
        <v>0.91</v>
      </c>
      <c r="I29" s="42">
        <f>'MTD Utility Sheet'!H31/12.38</f>
        <v>213.37641357027462</v>
      </c>
      <c r="J29" s="43">
        <v>12.38</v>
      </c>
      <c r="K29" s="45">
        <f>IF(('MTD Utility Sheet'!F31-2866)&lt;0,"0",('MTD Utility Sheet'!F31-2866)/(0.568+0.075))</f>
        <v>3838.7247278382592</v>
      </c>
      <c r="L29" s="43">
        <f>'MTD Utility Sheet'!F31/K29</f>
        <v>1.3896021148158648</v>
      </c>
      <c r="M29" s="42">
        <f>'MTD Utility Sheet'!B31*301</f>
        <v>283.99349999999998</v>
      </c>
      <c r="N29" s="40" t="s">
        <v>67</v>
      </c>
    </row>
    <row r="30" spans="1:14">
      <c r="A30" s="39" t="s">
        <v>68</v>
      </c>
      <c r="B30" s="40">
        <f t="shared" si="0"/>
        <v>29</v>
      </c>
      <c r="C30" s="41">
        <v>12</v>
      </c>
      <c r="D30" s="40">
        <v>2024</v>
      </c>
      <c r="E30" s="42">
        <f>'MTD Utility Sheet'!G32/0.439</f>
        <v>14649.293849658314</v>
      </c>
      <c r="F30" s="43">
        <v>0.439</v>
      </c>
      <c r="G30" s="42">
        <f>('MTD Utility Sheet'!I32/1.82)/0.5</f>
        <v>585.60439560439556</v>
      </c>
      <c r="H30" s="44">
        <f t="shared" si="1"/>
        <v>0.91</v>
      </c>
      <c r="I30" s="42">
        <f>'MTD Utility Sheet'!H32/12.38</f>
        <v>214.4426494345719</v>
      </c>
      <c r="J30" s="43">
        <v>12.38</v>
      </c>
      <c r="K30" s="45">
        <f>IF(('MTD Utility Sheet'!F32-2866)&lt;0,"0",('MTD Utility Sheet'!F32-2866)/(0.568+0.075))</f>
        <v>4157.2006220839821</v>
      </c>
      <c r="L30" s="43">
        <f>'MTD Utility Sheet'!F32/K30</f>
        <v>1.3324062280216078</v>
      </c>
      <c r="M30" s="42">
        <f>'MTD Utility Sheet'!B32*301</f>
        <v>284.98680000000002</v>
      </c>
      <c r="N30" s="40" t="s">
        <v>67</v>
      </c>
    </row>
    <row r="31" spans="1:14">
      <c r="A31" s="39" t="s">
        <v>68</v>
      </c>
      <c r="B31" s="40">
        <f t="shared" si="0"/>
        <v>30</v>
      </c>
      <c r="C31" s="41">
        <v>12</v>
      </c>
      <c r="D31" s="40">
        <v>2024</v>
      </c>
      <c r="E31" s="42">
        <f>'MTD Utility Sheet'!G33/0.439</f>
        <v>15137.608200455581</v>
      </c>
      <c r="F31" s="43">
        <v>0.439</v>
      </c>
      <c r="G31" s="42">
        <f>('MTD Utility Sheet'!I33/1.82)/0.5</f>
        <v>634.39560439560432</v>
      </c>
      <c r="H31" s="44">
        <f t="shared" si="1"/>
        <v>0.91</v>
      </c>
      <c r="I31" s="42">
        <f>'MTD Utility Sheet'!H33/12.38</f>
        <v>215.50888529886913</v>
      </c>
      <c r="J31" s="43">
        <v>12.38</v>
      </c>
      <c r="K31" s="45">
        <f>IF(('MTD Utility Sheet'!F33-2866)&lt;0,"0",('MTD Utility Sheet'!F33-2866)/(0.568+0.075))</f>
        <v>4788.4603421461898</v>
      </c>
      <c r="L31" s="43">
        <f>'MTD Utility Sheet'!F33/K31</f>
        <v>1.2415222378839745</v>
      </c>
      <c r="M31" s="42">
        <f>'MTD Utility Sheet'!B33*301</f>
        <v>276.92</v>
      </c>
    </row>
    <row r="32" spans="1:14">
      <c r="A32" s="39" t="s">
        <v>68</v>
      </c>
      <c r="B32" s="40">
        <f t="shared" si="0"/>
        <v>31</v>
      </c>
      <c r="C32" s="41">
        <v>12</v>
      </c>
      <c r="D32" s="40">
        <v>2024</v>
      </c>
      <c r="E32" s="42">
        <f>'MTD Utility Sheet'!G34/0.439</f>
        <v>14649.293849658314</v>
      </c>
      <c r="F32" s="43">
        <v>1.4390000000000001</v>
      </c>
      <c r="G32" s="42">
        <f>('MTD Utility Sheet'!I34/1.82)/0.5</f>
        <v>487.99999999999994</v>
      </c>
      <c r="H32" s="44">
        <f t="shared" si="1"/>
        <v>0.91</v>
      </c>
      <c r="I32" s="42">
        <f>'MTD Utility Sheet'!H34/12.38</f>
        <v>231.50242326332793</v>
      </c>
      <c r="J32" s="43">
        <v>13.38</v>
      </c>
      <c r="K32" s="45">
        <f>IF(('MTD Utility Sheet'!F34-2866)&lt;0,"0",('MTD Utility Sheet'!F34-2866)/(0.568+0.075))</f>
        <v>4885.1321928460357</v>
      </c>
      <c r="L32" s="43">
        <f>'MTD Utility Sheet'!F34/K32</f>
        <v>1.229678085026455</v>
      </c>
      <c r="M32" s="42">
        <f>'MTD Utility Sheet'!B34*301</f>
        <v>288.95999999999998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L37"/>
  <sheetViews>
    <sheetView zoomScaleNormal="100" zoomScaleSheetLayoutView="100" workbookViewId="0">
      <pane ySplit="3" topLeftCell="A25" activePane="bottomLeft" state="frozen"/>
      <selection activeCell="A5" sqref="A5:H5"/>
      <selection pane="bottomLeft" activeCell="H35" sqref="H35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  <col min="12" max="12" width="9.140625" hidden="1" customWidth="1"/>
  </cols>
  <sheetData>
    <row r="1" spans="1:10">
      <c r="A1" s="57" t="s">
        <v>72</v>
      </c>
      <c r="B1" s="57"/>
      <c r="C1" s="57"/>
      <c r="D1" s="57"/>
      <c r="E1" s="57"/>
      <c r="F1" s="57"/>
      <c r="G1" s="57"/>
      <c r="H1" s="57"/>
      <c r="I1" s="57"/>
      <c r="J1" s="57"/>
    </row>
    <row r="2" spans="1:10">
      <c r="A2" s="57"/>
      <c r="B2" s="57"/>
      <c r="C2" s="57"/>
      <c r="D2" s="57"/>
      <c r="E2" s="57"/>
      <c r="F2" s="57"/>
      <c r="G2" s="57"/>
      <c r="H2" s="57"/>
      <c r="I2" s="57"/>
      <c r="J2" s="57"/>
    </row>
    <row r="3" spans="1:10" s="4" customFormat="1" ht="30.75" customHeight="1">
      <c r="A3" s="15"/>
      <c r="B3" s="16" t="s">
        <v>10</v>
      </c>
      <c r="C3" s="22" t="s">
        <v>49</v>
      </c>
      <c r="D3" s="16" t="s">
        <v>11</v>
      </c>
      <c r="E3" s="22" t="s">
        <v>46</v>
      </c>
      <c r="F3" s="17" t="s">
        <v>7</v>
      </c>
      <c r="G3" s="15" t="s">
        <v>5</v>
      </c>
      <c r="H3" s="15" t="s">
        <v>6</v>
      </c>
      <c r="I3" s="27" t="s">
        <v>8</v>
      </c>
      <c r="J3" s="15" t="s">
        <v>9</v>
      </c>
    </row>
    <row r="4" spans="1:10" s="4" customFormat="1" ht="21" customHeight="1">
      <c r="A4" s="18">
        <v>1</v>
      </c>
      <c r="B4" s="50">
        <v>0.78</v>
      </c>
      <c r="C4" s="53" t="s">
        <v>73</v>
      </c>
      <c r="D4" s="50">
        <v>0.68</v>
      </c>
      <c r="E4" s="51">
        <v>1073</v>
      </c>
      <c r="F4" s="52">
        <v>6113.19</v>
      </c>
      <c r="G4" s="52">
        <v>6431.04</v>
      </c>
      <c r="H4" s="52">
        <v>2390.8000000000002</v>
      </c>
      <c r="I4" s="52">
        <v>444.08</v>
      </c>
      <c r="J4" s="19">
        <f t="shared" ref="J4:J34" si="0">SUM(F4+G4+H4+I4)</f>
        <v>15379.109999999999</v>
      </c>
    </row>
    <row r="5" spans="1:10" s="4" customFormat="1" ht="21" customHeight="1">
      <c r="A5" s="18">
        <v>2</v>
      </c>
      <c r="B5" s="50">
        <v>0.69</v>
      </c>
      <c r="C5" s="53" t="s">
        <v>73</v>
      </c>
      <c r="D5" s="50">
        <v>0.56999999999999995</v>
      </c>
      <c r="E5" s="51">
        <v>1012</v>
      </c>
      <c r="F5" s="52">
        <v>5645.12</v>
      </c>
      <c r="G5" s="52">
        <v>6216.67</v>
      </c>
      <c r="H5" s="52">
        <v>2404</v>
      </c>
      <c r="I5" s="52">
        <v>444.08</v>
      </c>
      <c r="J5" s="19">
        <f t="shared" si="0"/>
        <v>14709.87</v>
      </c>
    </row>
    <row r="6" spans="1:10" s="4" customFormat="1" ht="21" customHeight="1">
      <c r="A6" s="18">
        <v>3</v>
      </c>
      <c r="B6" s="50">
        <v>0.64</v>
      </c>
      <c r="C6" s="53" t="s">
        <v>73</v>
      </c>
      <c r="D6" s="50">
        <v>0.57999999999999996</v>
      </c>
      <c r="E6" s="51">
        <v>854</v>
      </c>
      <c r="F6" s="52">
        <v>5508</v>
      </c>
      <c r="G6" s="52">
        <v>6216.67</v>
      </c>
      <c r="H6" s="52">
        <v>1889.2</v>
      </c>
      <c r="I6" s="52">
        <v>444.08</v>
      </c>
      <c r="J6" s="19">
        <f t="shared" si="0"/>
        <v>14057.95</v>
      </c>
    </row>
    <row r="7" spans="1:10" s="4" customFormat="1" ht="21" customHeight="1">
      <c r="A7" s="18">
        <v>4</v>
      </c>
      <c r="B7" s="50">
        <v>0.72</v>
      </c>
      <c r="C7" s="53" t="s">
        <v>73</v>
      </c>
      <c r="D7" s="50">
        <v>0.46</v>
      </c>
      <c r="E7" s="51">
        <v>757</v>
      </c>
      <c r="F7" s="52">
        <v>5699.97</v>
      </c>
      <c r="G7" s="52">
        <v>6002.3</v>
      </c>
      <c r="H7" s="52">
        <v>1902.4</v>
      </c>
      <c r="I7" s="52">
        <v>444.08</v>
      </c>
      <c r="J7" s="19">
        <f t="shared" si="0"/>
        <v>14048.75</v>
      </c>
    </row>
    <row r="8" spans="1:10" s="4" customFormat="1" ht="21" customHeight="1">
      <c r="A8" s="18">
        <v>5</v>
      </c>
      <c r="B8" s="50">
        <v>0.78</v>
      </c>
      <c r="C8" s="53" t="s">
        <v>73</v>
      </c>
      <c r="D8" s="50">
        <v>0.52</v>
      </c>
      <c r="E8" s="51">
        <v>940</v>
      </c>
      <c r="F8" s="52">
        <v>6001.66</v>
      </c>
      <c r="G8" s="52">
        <v>6002.3</v>
      </c>
      <c r="H8" s="52">
        <v>2047.6</v>
      </c>
      <c r="I8" s="52">
        <v>444.08</v>
      </c>
      <c r="J8" s="19">
        <f t="shared" si="0"/>
        <v>14495.64</v>
      </c>
    </row>
    <row r="9" spans="1:10" s="4" customFormat="1" ht="21" customHeight="1">
      <c r="A9" s="18">
        <v>6</v>
      </c>
      <c r="B9" s="50">
        <v>0.85</v>
      </c>
      <c r="C9" s="53" t="s">
        <v>79</v>
      </c>
      <c r="D9" s="50">
        <v>0.57999999999999996</v>
      </c>
      <c r="E9" s="51">
        <v>870</v>
      </c>
      <c r="F9" s="52">
        <v>6566.62</v>
      </c>
      <c r="G9" s="52">
        <v>6431.04</v>
      </c>
      <c r="H9" s="52">
        <v>2008</v>
      </c>
      <c r="I9" s="52">
        <v>444.08</v>
      </c>
      <c r="J9" s="19">
        <f t="shared" si="0"/>
        <v>15449.74</v>
      </c>
    </row>
    <row r="10" spans="1:10" s="4" customFormat="1" ht="21" customHeight="1">
      <c r="A10" s="18">
        <v>7</v>
      </c>
      <c r="B10" s="50">
        <v>0.81</v>
      </c>
      <c r="C10" s="53" t="s">
        <v>81</v>
      </c>
      <c r="D10" s="50">
        <v>0.67</v>
      </c>
      <c r="E10" s="51">
        <v>999</v>
      </c>
      <c r="F10" s="52">
        <v>6669.01</v>
      </c>
      <c r="G10" s="52">
        <v>6431.04</v>
      </c>
      <c r="H10" s="52">
        <v>2338</v>
      </c>
      <c r="I10" s="52">
        <v>399.72</v>
      </c>
      <c r="J10" s="19">
        <f t="shared" si="0"/>
        <v>15837.769999999999</v>
      </c>
    </row>
    <row r="11" spans="1:10" s="4" customFormat="1" ht="21" customHeight="1">
      <c r="A11" s="18">
        <v>8</v>
      </c>
      <c r="B11" s="50">
        <v>0.88</v>
      </c>
      <c r="C11" s="53" t="s">
        <v>81</v>
      </c>
      <c r="D11" s="50">
        <v>0.51</v>
      </c>
      <c r="E11" s="51">
        <v>946</v>
      </c>
      <c r="F11" s="52">
        <v>6153.41</v>
      </c>
      <c r="G11" s="52">
        <v>6216.67</v>
      </c>
      <c r="H11" s="52">
        <v>2074</v>
      </c>
      <c r="I11" s="52">
        <v>444.08</v>
      </c>
      <c r="J11" s="19">
        <f t="shared" si="0"/>
        <v>14888.16</v>
      </c>
    </row>
    <row r="12" spans="1:10" s="4" customFormat="1" ht="21" customHeight="1">
      <c r="A12" s="18">
        <v>9</v>
      </c>
      <c r="B12" s="50">
        <v>0.86</v>
      </c>
      <c r="C12" s="53" t="s">
        <v>84</v>
      </c>
      <c r="D12" s="50">
        <v>0.53</v>
      </c>
      <c r="E12" s="51">
        <v>965</v>
      </c>
      <c r="F12" s="52">
        <v>5842.59</v>
      </c>
      <c r="G12" s="52">
        <v>6002.3</v>
      </c>
      <c r="H12" s="52">
        <v>2140</v>
      </c>
      <c r="I12" s="52">
        <v>444.08</v>
      </c>
      <c r="J12" s="19">
        <f t="shared" si="0"/>
        <v>14428.97</v>
      </c>
    </row>
    <row r="13" spans="1:10" s="4" customFormat="1" ht="21" customHeight="1">
      <c r="A13" s="18">
        <v>10</v>
      </c>
      <c r="B13" s="50">
        <v>0.89</v>
      </c>
      <c r="C13" s="53" t="s">
        <v>84</v>
      </c>
      <c r="D13" s="50">
        <v>0.57999999999999996</v>
      </c>
      <c r="E13" s="51">
        <v>951</v>
      </c>
      <c r="F13" s="52">
        <v>6116.84</v>
      </c>
      <c r="G13" s="52">
        <v>6645.41</v>
      </c>
      <c r="H13" s="52">
        <v>2166.4</v>
      </c>
      <c r="I13" s="52">
        <v>444.08</v>
      </c>
      <c r="J13" s="19">
        <f t="shared" si="0"/>
        <v>15372.73</v>
      </c>
    </row>
    <row r="14" spans="1:10" s="4" customFormat="1" ht="21" customHeight="1">
      <c r="A14" s="18">
        <v>11</v>
      </c>
      <c r="B14" s="50">
        <v>0.91</v>
      </c>
      <c r="C14" s="53" t="s">
        <v>87</v>
      </c>
      <c r="D14" s="50">
        <v>0.53</v>
      </c>
      <c r="E14" s="51">
        <v>1020</v>
      </c>
      <c r="F14" s="52">
        <v>6252.14</v>
      </c>
      <c r="G14" s="52">
        <v>6645.41</v>
      </c>
      <c r="H14" s="52">
        <v>2562.4</v>
      </c>
      <c r="I14" s="52">
        <v>488.49</v>
      </c>
      <c r="J14" s="19">
        <f t="shared" si="0"/>
        <v>15948.439999999999</v>
      </c>
    </row>
    <row r="15" spans="1:10" s="4" customFormat="1" ht="21" customHeight="1">
      <c r="A15" s="18">
        <v>12</v>
      </c>
      <c r="B15" s="50">
        <v>0.96679999999999999</v>
      </c>
      <c r="C15" s="53" t="s">
        <v>84</v>
      </c>
      <c r="D15" s="50">
        <v>0.56999999999999995</v>
      </c>
      <c r="E15" s="51">
        <v>1164</v>
      </c>
      <c r="F15" s="52">
        <v>6071.13</v>
      </c>
      <c r="G15" s="52">
        <v>6431.04</v>
      </c>
      <c r="H15" s="52">
        <v>2404</v>
      </c>
      <c r="I15" s="52">
        <v>444.08</v>
      </c>
      <c r="J15" s="19">
        <f t="shared" si="0"/>
        <v>15350.25</v>
      </c>
    </row>
    <row r="16" spans="1:10" s="4" customFormat="1" ht="21" customHeight="1">
      <c r="A16" s="18">
        <v>13</v>
      </c>
      <c r="B16" s="50">
        <v>0.84</v>
      </c>
      <c r="C16" s="53" t="s">
        <v>90</v>
      </c>
      <c r="D16" s="50">
        <v>0.68</v>
      </c>
      <c r="E16" s="51">
        <v>1005</v>
      </c>
      <c r="F16" s="52">
        <v>5948.63</v>
      </c>
      <c r="G16" s="52">
        <v>6859.78</v>
      </c>
      <c r="H16" s="52">
        <v>2654.8</v>
      </c>
      <c r="I16" s="52">
        <v>444.08</v>
      </c>
      <c r="J16" s="19">
        <f t="shared" si="0"/>
        <v>15907.289999999999</v>
      </c>
    </row>
    <row r="17" spans="1:12" s="4" customFormat="1" ht="21" customHeight="1">
      <c r="A17" s="18">
        <v>14</v>
      </c>
      <c r="B17" s="50">
        <v>0.74</v>
      </c>
      <c r="C17" s="53" t="s">
        <v>73</v>
      </c>
      <c r="D17" s="50">
        <v>0.54</v>
      </c>
      <c r="E17" s="51">
        <v>1115</v>
      </c>
      <c r="F17" s="52">
        <v>5844.42</v>
      </c>
      <c r="G17" s="52">
        <v>6431.04</v>
      </c>
      <c r="H17" s="52">
        <v>4780</v>
      </c>
      <c r="I17" s="52">
        <v>444.08</v>
      </c>
      <c r="J17" s="19">
        <f t="shared" si="0"/>
        <v>17499.54</v>
      </c>
    </row>
    <row r="18" spans="1:12" s="4" customFormat="1" ht="21" customHeight="1">
      <c r="A18" s="18">
        <v>15</v>
      </c>
      <c r="B18" s="50">
        <v>0.72</v>
      </c>
      <c r="C18" s="53" t="s">
        <v>93</v>
      </c>
      <c r="D18" s="50">
        <v>0.56999999999999995</v>
      </c>
      <c r="E18" s="51">
        <v>881</v>
      </c>
      <c r="F18" s="52">
        <v>5628.67</v>
      </c>
      <c r="G18" s="52">
        <v>6216.67</v>
      </c>
      <c r="H18" s="52">
        <v>3314.8</v>
      </c>
      <c r="I18" s="52">
        <v>444.08</v>
      </c>
      <c r="J18" s="19">
        <f t="shared" si="0"/>
        <v>15604.22</v>
      </c>
      <c r="L18" s="4">
        <f ca="1">+L18:O27</f>
        <v>0</v>
      </c>
    </row>
    <row r="19" spans="1:12" s="4" customFormat="1" ht="21" customHeight="1">
      <c r="A19" s="18">
        <v>16</v>
      </c>
      <c r="B19" s="50">
        <v>0.71</v>
      </c>
      <c r="C19" s="53" t="s">
        <v>95</v>
      </c>
      <c r="D19" s="50">
        <v>0.6</v>
      </c>
      <c r="E19" s="51">
        <v>772</v>
      </c>
      <c r="F19" s="52">
        <v>5630.5</v>
      </c>
      <c r="G19" s="52">
        <v>6645.41</v>
      </c>
      <c r="H19" s="52">
        <v>2179.6</v>
      </c>
      <c r="I19" s="52">
        <v>488.89</v>
      </c>
      <c r="J19" s="19">
        <f t="shared" si="0"/>
        <v>14944.4</v>
      </c>
    </row>
    <row r="20" spans="1:12" s="4" customFormat="1" ht="21" customHeight="1">
      <c r="A20" s="18">
        <v>17</v>
      </c>
      <c r="B20" s="50">
        <v>0.7</v>
      </c>
      <c r="C20" s="53" t="s">
        <v>97</v>
      </c>
      <c r="D20" s="50">
        <v>0.53</v>
      </c>
      <c r="E20" s="51">
        <v>746</v>
      </c>
      <c r="F20" s="52">
        <v>5575.65</v>
      </c>
      <c r="G20" s="52">
        <v>6431.04</v>
      </c>
      <c r="H20" s="52">
        <v>2258.8000000000002</v>
      </c>
      <c r="I20" s="52">
        <v>621.71</v>
      </c>
      <c r="J20" s="19">
        <f t="shared" si="0"/>
        <v>14887.199999999997</v>
      </c>
    </row>
    <row r="21" spans="1:12" s="4" customFormat="1" ht="21" customHeight="1">
      <c r="A21" s="18">
        <v>18</v>
      </c>
      <c r="B21" s="50">
        <v>0.66</v>
      </c>
      <c r="C21" s="53" t="s">
        <v>99</v>
      </c>
      <c r="D21" s="50">
        <v>0.55000000000000004</v>
      </c>
      <c r="E21" s="51">
        <v>679</v>
      </c>
      <c r="F21" s="52">
        <v>5416.58</v>
      </c>
      <c r="G21" s="52">
        <v>6431.04</v>
      </c>
      <c r="H21" s="52">
        <v>2113.6</v>
      </c>
      <c r="I21" s="52">
        <v>444.08</v>
      </c>
      <c r="J21" s="19">
        <f t="shared" si="0"/>
        <v>14405.3</v>
      </c>
    </row>
    <row r="22" spans="1:12" s="4" customFormat="1" ht="21" customHeight="1">
      <c r="A22" s="18">
        <v>19</v>
      </c>
      <c r="B22" s="50">
        <v>0.68</v>
      </c>
      <c r="C22" s="53" t="s">
        <v>99</v>
      </c>
      <c r="D22" s="50">
        <v>0.8</v>
      </c>
      <c r="E22" s="51">
        <v>721</v>
      </c>
      <c r="F22" s="52">
        <v>5473.26</v>
      </c>
      <c r="G22" s="52">
        <v>6645.41</v>
      </c>
      <c r="H22" s="52">
        <v>2113.6</v>
      </c>
      <c r="I22" s="52">
        <v>444.08</v>
      </c>
      <c r="J22" s="19">
        <f t="shared" si="0"/>
        <v>14676.35</v>
      </c>
    </row>
    <row r="23" spans="1:12" s="4" customFormat="1" ht="21" customHeight="1">
      <c r="A23" s="18">
        <v>20</v>
      </c>
      <c r="B23" s="50">
        <v>0.68</v>
      </c>
      <c r="C23" s="53" t="s">
        <v>102</v>
      </c>
      <c r="D23" s="50">
        <v>0.62</v>
      </c>
      <c r="E23" s="51">
        <v>1050</v>
      </c>
      <c r="F23" s="52">
        <v>5376.35</v>
      </c>
      <c r="G23" s="52">
        <v>6859.78</v>
      </c>
      <c r="H23" s="52">
        <v>2285.1999999999998</v>
      </c>
      <c r="I23" s="52">
        <v>444.08</v>
      </c>
      <c r="J23" s="19">
        <f t="shared" si="0"/>
        <v>14965.410000000002</v>
      </c>
    </row>
    <row r="24" spans="1:12" s="4" customFormat="1" ht="21" customHeight="1">
      <c r="A24" s="18">
        <v>21</v>
      </c>
      <c r="B24" s="50">
        <v>0.7</v>
      </c>
      <c r="C24" s="53" t="s">
        <v>102</v>
      </c>
      <c r="D24" s="50">
        <v>0.7</v>
      </c>
      <c r="E24" s="51">
        <v>1272</v>
      </c>
      <c r="F24" s="52">
        <v>5100.2700000000004</v>
      </c>
      <c r="G24" s="52">
        <v>6859.78</v>
      </c>
      <c r="H24" s="52">
        <v>2496.4</v>
      </c>
      <c r="I24" s="52">
        <v>444.08</v>
      </c>
      <c r="J24" s="19">
        <f t="shared" si="0"/>
        <v>14900.529999999999</v>
      </c>
    </row>
    <row r="25" spans="1:12" s="4" customFormat="1" ht="21" customHeight="1">
      <c r="A25" s="18">
        <v>22</v>
      </c>
      <c r="B25" s="50">
        <v>0.72</v>
      </c>
      <c r="C25" s="53" t="s">
        <v>106</v>
      </c>
      <c r="D25" s="50">
        <v>0.6</v>
      </c>
      <c r="E25" s="51">
        <v>877</v>
      </c>
      <c r="F25" s="52">
        <v>5010</v>
      </c>
      <c r="G25" s="52">
        <v>6860</v>
      </c>
      <c r="H25" s="52">
        <v>2338</v>
      </c>
      <c r="I25" s="52">
        <v>444</v>
      </c>
      <c r="J25" s="19">
        <f t="shared" si="0"/>
        <v>14652</v>
      </c>
    </row>
    <row r="26" spans="1:12" s="4" customFormat="1" ht="21" customHeight="1">
      <c r="A26" s="18">
        <v>23</v>
      </c>
      <c r="B26" s="50">
        <v>0.82</v>
      </c>
      <c r="C26" s="53" t="s">
        <v>107</v>
      </c>
      <c r="D26" s="50">
        <v>0.82</v>
      </c>
      <c r="E26" s="51">
        <v>979</v>
      </c>
      <c r="F26" s="52">
        <v>5034.45</v>
      </c>
      <c r="G26" s="52">
        <v>6859.78</v>
      </c>
      <c r="H26" s="52">
        <v>2470</v>
      </c>
      <c r="I26" s="52">
        <v>621.71</v>
      </c>
      <c r="J26" s="19">
        <f t="shared" si="0"/>
        <v>14985.939999999999</v>
      </c>
    </row>
    <row r="27" spans="1:12" s="4" customFormat="1" ht="21" customHeight="1">
      <c r="A27" s="18">
        <v>24</v>
      </c>
      <c r="B27" s="50">
        <v>0.85</v>
      </c>
      <c r="C27" s="53" t="s">
        <v>106</v>
      </c>
      <c r="D27" s="50">
        <v>0.72</v>
      </c>
      <c r="E27" s="51">
        <v>1197</v>
      </c>
      <c r="F27" s="52">
        <v>5217.28</v>
      </c>
      <c r="G27" s="52">
        <v>6859.78</v>
      </c>
      <c r="H27" s="52">
        <v>2470</v>
      </c>
      <c r="I27" s="52">
        <v>621.71</v>
      </c>
      <c r="J27" s="19">
        <f t="shared" si="0"/>
        <v>15168.77</v>
      </c>
    </row>
    <row r="28" spans="1:12" s="4" customFormat="1" ht="21" customHeight="1">
      <c r="A28" s="18">
        <v>25</v>
      </c>
      <c r="B28" s="50">
        <v>0.94679999999999997</v>
      </c>
      <c r="C28" s="53" t="s">
        <v>107</v>
      </c>
      <c r="D28" s="50">
        <v>0.68</v>
      </c>
      <c r="E28" s="51">
        <v>1384</v>
      </c>
      <c r="F28" s="52">
        <v>5363.55</v>
      </c>
      <c r="G28" s="52">
        <v>6431</v>
      </c>
      <c r="H28" s="52">
        <v>2800</v>
      </c>
      <c r="I28" s="52">
        <v>488.49</v>
      </c>
      <c r="J28" s="19">
        <f t="shared" si="0"/>
        <v>15083.039999999999</v>
      </c>
    </row>
    <row r="29" spans="1:12" s="4" customFormat="1" ht="21" customHeight="1">
      <c r="A29" s="18">
        <v>26</v>
      </c>
      <c r="B29" s="50">
        <v>0.91</v>
      </c>
      <c r="C29" s="53" t="s">
        <v>112</v>
      </c>
      <c r="D29" s="50">
        <v>0.54</v>
      </c>
      <c r="E29" s="51">
        <v>1178</v>
      </c>
      <c r="F29" s="52">
        <v>5634.15</v>
      </c>
      <c r="G29" s="52">
        <v>6645.41</v>
      </c>
      <c r="H29" s="52">
        <v>2522.8000000000002</v>
      </c>
      <c r="I29" s="52">
        <v>488.49</v>
      </c>
      <c r="J29" s="19">
        <f t="shared" si="0"/>
        <v>15290.85</v>
      </c>
    </row>
    <row r="30" spans="1:12" s="4" customFormat="1" ht="21" customHeight="1">
      <c r="A30" s="18">
        <v>27</v>
      </c>
      <c r="B30" s="50">
        <v>0.92689999999999995</v>
      </c>
      <c r="C30" s="53" t="s">
        <v>112</v>
      </c>
      <c r="D30" s="50">
        <v>0.76</v>
      </c>
      <c r="E30" s="51">
        <v>1238</v>
      </c>
      <c r="F30" s="52">
        <v>5557.36</v>
      </c>
      <c r="G30" s="52">
        <v>6645.41</v>
      </c>
      <c r="H30" s="52">
        <v>2747</v>
      </c>
      <c r="I30" s="52">
        <v>488.49</v>
      </c>
      <c r="J30" s="52">
        <f t="shared" si="0"/>
        <v>15438.26</v>
      </c>
    </row>
    <row r="31" spans="1:12" s="4" customFormat="1" ht="21" customHeight="1">
      <c r="A31" s="18">
        <v>28</v>
      </c>
      <c r="B31" s="50">
        <v>0.94350000000000001</v>
      </c>
      <c r="C31" s="53" t="s">
        <v>112</v>
      </c>
      <c r="D31" s="50">
        <v>0.79</v>
      </c>
      <c r="E31" s="51">
        <v>1665</v>
      </c>
      <c r="F31" s="52">
        <v>5334.3</v>
      </c>
      <c r="G31" s="52">
        <v>6645.41</v>
      </c>
      <c r="H31" s="52">
        <v>2641.6</v>
      </c>
      <c r="I31" s="52">
        <v>577.29999999999995</v>
      </c>
      <c r="J31" s="52">
        <f>SUM(F31+G31+H31+I31)</f>
        <v>15198.609999999999</v>
      </c>
    </row>
    <row r="32" spans="1:12" s="4" customFormat="1" ht="21" customHeight="1">
      <c r="A32" s="18">
        <v>29</v>
      </c>
      <c r="B32" s="50">
        <v>0.94679999999999997</v>
      </c>
      <c r="C32" s="53" t="s">
        <v>115</v>
      </c>
      <c r="D32" s="50">
        <v>0.86</v>
      </c>
      <c r="E32" s="51">
        <v>1111</v>
      </c>
      <c r="F32" s="52">
        <v>5539.08</v>
      </c>
      <c r="G32" s="52">
        <v>6431.04</v>
      </c>
      <c r="H32" s="52">
        <v>2654.8</v>
      </c>
      <c r="I32" s="52">
        <v>532.9</v>
      </c>
      <c r="J32" s="52">
        <f t="shared" si="0"/>
        <v>15157.819999999998</v>
      </c>
    </row>
    <row r="33" spans="1:10" s="4" customFormat="1" ht="21" customHeight="1">
      <c r="A33" s="20">
        <v>30</v>
      </c>
      <c r="B33" s="50">
        <v>0.92</v>
      </c>
      <c r="C33" s="53" t="s">
        <v>73</v>
      </c>
      <c r="D33" s="50">
        <v>0.71</v>
      </c>
      <c r="E33" s="51">
        <v>1055</v>
      </c>
      <c r="F33" s="52">
        <v>5944.98</v>
      </c>
      <c r="G33" s="52">
        <v>6645.41</v>
      </c>
      <c r="H33" s="52">
        <v>2668</v>
      </c>
      <c r="I33" s="52">
        <v>577.29999999999995</v>
      </c>
      <c r="J33" s="52">
        <f t="shared" si="0"/>
        <v>15835.689999999999</v>
      </c>
    </row>
    <row r="34" spans="1:10" s="4" customFormat="1" ht="21" customHeight="1">
      <c r="A34" s="18">
        <v>31</v>
      </c>
      <c r="B34" s="50">
        <v>0.96</v>
      </c>
      <c r="C34" s="53" t="s">
        <v>90</v>
      </c>
      <c r="D34" s="50">
        <v>0.68</v>
      </c>
      <c r="E34" s="51"/>
      <c r="F34" s="52">
        <v>6007.14</v>
      </c>
      <c r="G34" s="52">
        <v>6431.04</v>
      </c>
      <c r="H34" s="52">
        <v>2866</v>
      </c>
      <c r="I34" s="52">
        <v>444.08</v>
      </c>
      <c r="J34" s="52">
        <f t="shared" si="0"/>
        <v>15748.26</v>
      </c>
    </row>
    <row r="35" spans="1:10" s="5" customFormat="1" ht="22.5" customHeight="1">
      <c r="A35" s="11" t="s">
        <v>47</v>
      </c>
      <c r="B35" s="12"/>
      <c r="C35" s="54"/>
      <c r="D35" s="12"/>
      <c r="E35" s="13"/>
      <c r="F35" s="6">
        <f>SUM(F4:F34)</f>
        <v>177276.29999999996</v>
      </c>
      <c r="G35" s="6">
        <f>SUM(G4:G34)</f>
        <v>201506.12000000002</v>
      </c>
      <c r="H35" s="6">
        <f>SUM(H4:H34)</f>
        <v>76701.800000000017</v>
      </c>
      <c r="I35" s="6">
        <f>SUM(I4:I34)</f>
        <v>14832.639999999998</v>
      </c>
      <c r="J35" s="6">
        <f t="shared" ref="J35" si="1">SUM(J4:J34)</f>
        <v>470316.86</v>
      </c>
    </row>
    <row r="36" spans="1:10" s="9" customFormat="1" ht="22.5" customHeight="1">
      <c r="A36" s="7" t="s">
        <v>48</v>
      </c>
      <c r="B36" s="14">
        <f>AVERAGE(B4:B34)</f>
        <v>0.81131612903225803</v>
      </c>
      <c r="C36" s="8" t="e">
        <f>AVERAGE(C4:C34)</f>
        <v>#DIV/0!</v>
      </c>
      <c r="D36" s="14">
        <f>AVERAGE(D4:D34)</f>
        <v>0.63</v>
      </c>
      <c r="E36" s="8">
        <f>SUM(E4:E34)</f>
        <v>30476</v>
      </c>
      <c r="F36" s="8">
        <f>F35*0.38</f>
        <v>67364.993999999992</v>
      </c>
      <c r="G36" s="8">
        <f>G35/12.9</f>
        <v>15620.629457364343</v>
      </c>
      <c r="H36" s="8">
        <f>H35/0.92</f>
        <v>83371.521739130447</v>
      </c>
      <c r="I36" s="8">
        <f>I35/1.76</f>
        <v>8427.6363636363621</v>
      </c>
      <c r="J36" s="24"/>
    </row>
    <row r="37" spans="1:10">
      <c r="F37" s="10"/>
      <c r="G37" s="10"/>
      <c r="H37" s="10"/>
      <c r="I37" s="10"/>
      <c r="J37" s="23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"/>
  <sheetViews>
    <sheetView topLeftCell="A13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117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70753.38</v>
      </c>
      <c r="C4" s="56" t="s">
        <v>15</v>
      </c>
      <c r="D4" s="25">
        <v>70770.559999999998</v>
      </c>
      <c r="E4" s="56" t="s">
        <v>16</v>
      </c>
      <c r="F4" s="56">
        <f>D4-B4</f>
        <v>17.179999999993015</v>
      </c>
      <c r="G4" s="56" t="s">
        <v>17</v>
      </c>
      <c r="H4" s="56">
        <f>F4*284.35</f>
        <v>4885.1329999980144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2774.7555439988719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366.38497499985107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6007.1405189987236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43423</v>
      </c>
      <c r="E11" s="56" t="s">
        <v>23</v>
      </c>
      <c r="F11" s="25">
        <v>43430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72049</v>
      </c>
      <c r="E12" s="56" t="s">
        <v>23</v>
      </c>
      <c r="F12" s="25">
        <v>72062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72801</v>
      </c>
      <c r="E13" s="56" t="s">
        <v>23</v>
      </c>
      <c r="F13" s="25">
        <v>72811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309910</v>
      </c>
      <c r="C24" s="56" t="s">
        <v>1</v>
      </c>
      <c r="D24" s="26">
        <v>310140</v>
      </c>
      <c r="E24" s="56" t="s">
        <v>33</v>
      </c>
      <c r="F24" s="56">
        <f>D24-B24</f>
        <v>230</v>
      </c>
      <c r="G24" s="56" t="s">
        <v>34</v>
      </c>
      <c r="H24" s="56">
        <f>F24*220</f>
        <v>50600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1407.6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202.4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506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2866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70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20</v>
      </c>
      <c r="E34" s="56" t="s">
        <v>42</v>
      </c>
      <c r="F34" s="21">
        <v>20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15748.260518998723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6"/>
  <sheetViews>
    <sheetView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70736.539999999994</v>
      </c>
      <c r="C4" s="56" t="s">
        <v>15</v>
      </c>
      <c r="D4" s="25">
        <v>70753.38</v>
      </c>
      <c r="E4" s="56" t="s">
        <v>16</v>
      </c>
      <c r="F4" s="56">
        <f>D4-B4</f>
        <v>16.840000000011059</v>
      </c>
      <c r="G4" s="56" t="s">
        <v>17</v>
      </c>
      <c r="H4" s="56">
        <f>F4*284.35</f>
        <v>4788.4540000031448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2719.8418720017858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359.13405000023585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5944.9759220020214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43416</v>
      </c>
      <c r="E11" s="56" t="s">
        <v>23</v>
      </c>
      <c r="F11" s="25">
        <v>43423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72036</v>
      </c>
      <c r="E12" s="56" t="s">
        <v>23</v>
      </c>
      <c r="F12" s="25">
        <v>72049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72790</v>
      </c>
      <c r="E13" s="56" t="s">
        <v>23</v>
      </c>
      <c r="F13" s="25">
        <v>72801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309695</v>
      </c>
      <c r="C24" s="56" t="s">
        <v>1</v>
      </c>
      <c r="D24" s="26">
        <v>309910</v>
      </c>
      <c r="E24" s="56" t="s">
        <v>33</v>
      </c>
      <c r="F24" s="56">
        <f>D24-B24</f>
        <v>215</v>
      </c>
      <c r="G24" s="56" t="s">
        <v>34</v>
      </c>
      <c r="H24" s="56">
        <f>F24*220</f>
        <v>47300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1255.8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189.20000000000002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473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2668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33</v>
      </c>
      <c r="E34" s="56" t="s">
        <v>42</v>
      </c>
      <c r="F34" s="21">
        <v>20</v>
      </c>
      <c r="G34" s="56" t="s">
        <v>43</v>
      </c>
      <c r="H34" s="49">
        <f>(D34-F34)*48.8</f>
        <v>634.4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577.30399999999997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15835.68792200202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topLeftCell="A19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70721.919999999998</v>
      </c>
      <c r="C4" s="56" t="s">
        <v>15</v>
      </c>
      <c r="D4" s="25">
        <v>70736.539999999994</v>
      </c>
      <c r="E4" s="56" t="s">
        <v>16</v>
      </c>
      <c r="F4" s="56">
        <f>D4-B4</f>
        <v>14.619999999995343</v>
      </c>
      <c r="G4" s="56" t="s">
        <v>17</v>
      </c>
      <c r="H4" s="56">
        <f>F4*284.35</f>
        <v>4157.1969999986759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2361.2878959992477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311.78977499990066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5539.0776709991478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43410</v>
      </c>
      <c r="E11" s="56" t="s">
        <v>23</v>
      </c>
      <c r="F11" s="25">
        <v>43416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72022</v>
      </c>
      <c r="E12" s="56" t="s">
        <v>23</v>
      </c>
      <c r="F12" s="25">
        <v>72036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72780</v>
      </c>
      <c r="E13" s="56" t="s">
        <v>23</v>
      </c>
      <c r="F13" s="25">
        <v>72790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309481</v>
      </c>
      <c r="C24" s="56" t="s">
        <v>1</v>
      </c>
      <c r="D24" s="26">
        <v>309695</v>
      </c>
      <c r="E24" s="56" t="s">
        <v>33</v>
      </c>
      <c r="F24" s="56">
        <f>D24-B24</f>
        <v>214</v>
      </c>
      <c r="G24" s="56" t="s">
        <v>34</v>
      </c>
      <c r="H24" s="56">
        <f>F24*220</f>
        <v>47080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1245.68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188.32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470.8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2654.8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45</v>
      </c>
      <c r="E34" s="56" t="s">
        <v>42</v>
      </c>
      <c r="F34" s="21">
        <v>33</v>
      </c>
      <c r="G34" s="56" t="s">
        <v>43</v>
      </c>
      <c r="H34" s="49">
        <f>(D34-F34)*48.8</f>
        <v>585.59999999999991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532.89599999999996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15157.813670999149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topLeftCell="A10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113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70708.42</v>
      </c>
      <c r="C4" s="56" t="s">
        <v>15</v>
      </c>
      <c r="D4" s="25">
        <v>70721.919999999998</v>
      </c>
      <c r="E4" s="56" t="s">
        <v>16</v>
      </c>
      <c r="F4" s="56">
        <f>D4-B4</f>
        <v>13.5</v>
      </c>
      <c r="G4" s="56" t="s">
        <v>17</v>
      </c>
      <c r="H4" s="56">
        <f>F4*284.35</f>
        <v>3838.7250000000004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2180.3958000000002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287.90437500000002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5334.3001750000003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43403</v>
      </c>
      <c r="E11" s="56" t="s">
        <v>23</v>
      </c>
      <c r="F11" s="25">
        <v>43410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72008</v>
      </c>
      <c r="E12" s="56" t="s">
        <v>23</v>
      </c>
      <c r="F12" s="25">
        <v>72022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72770</v>
      </c>
      <c r="E13" s="56" t="s">
        <v>23</v>
      </c>
      <c r="F13" s="25">
        <v>72780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309268</v>
      </c>
      <c r="C24" s="56" t="s">
        <v>1</v>
      </c>
      <c r="D24" s="26">
        <v>309481</v>
      </c>
      <c r="E24" s="56" t="s">
        <v>33</v>
      </c>
      <c r="F24" s="56">
        <f>D24-B24</f>
        <v>213</v>
      </c>
      <c r="G24" s="56" t="s">
        <v>34</v>
      </c>
      <c r="H24" s="56">
        <f>F24*220</f>
        <v>46860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1235.56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187.44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468.6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2641.6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58</v>
      </c>
      <c r="E34" s="56" t="s">
        <v>42</v>
      </c>
      <c r="F34" s="21">
        <v>45</v>
      </c>
      <c r="G34" s="56" t="s">
        <v>43</v>
      </c>
      <c r="H34" s="49">
        <f>(D34-F34)*48.8</f>
        <v>634.4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577.30399999999997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15198.612175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111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70693.7</v>
      </c>
      <c r="C4" s="56" t="s">
        <v>15</v>
      </c>
      <c r="D4" s="25">
        <v>70708.42</v>
      </c>
      <c r="E4" s="56" t="s">
        <v>16</v>
      </c>
      <c r="F4" s="56">
        <f>D4-B4</f>
        <v>14.720000000001164</v>
      </c>
      <c r="G4" s="56" t="s">
        <v>17</v>
      </c>
      <c r="H4" s="56">
        <f>F4*284.35</f>
        <v>4185.6320000003316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2377.4389760001882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313.92240000002488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5557.3613760002136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43389</v>
      </c>
      <c r="E11" s="56" t="s">
        <v>23</v>
      </c>
      <c r="F11" s="25">
        <v>43396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71981</v>
      </c>
      <c r="E12" s="56" t="s">
        <v>23</v>
      </c>
      <c r="F12" s="25">
        <v>71994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72749</v>
      </c>
      <c r="E13" s="56" t="s">
        <v>23</v>
      </c>
      <c r="F13" s="25">
        <v>72760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308839</v>
      </c>
      <c r="C24" s="56" t="s">
        <v>1</v>
      </c>
      <c r="D24" s="26">
        <v>309060</v>
      </c>
      <c r="E24" s="56" t="s">
        <v>33</v>
      </c>
      <c r="F24" s="56">
        <f>D24-B24</f>
        <v>221</v>
      </c>
      <c r="G24" s="56" t="s">
        <v>34</v>
      </c>
      <c r="H24" s="56">
        <f>F24*220</f>
        <v>48620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1316.52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194.48000000000002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486.2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2747.2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18</v>
      </c>
      <c r="E33" s="56" t="s">
        <v>42</v>
      </c>
      <c r="F33" s="21">
        <v>18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69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15438.457376000213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110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70678.559999999998</v>
      </c>
      <c r="C4" s="56" t="s">
        <v>15</v>
      </c>
      <c r="D4" s="25">
        <v>70693.7</v>
      </c>
      <c r="E4" s="56" t="s">
        <v>16</v>
      </c>
      <c r="F4" s="56">
        <f>D4-B4</f>
        <v>15.139999999999418</v>
      </c>
      <c r="G4" s="56" t="s">
        <v>17</v>
      </c>
      <c r="H4" s="56">
        <f>F4*284.35</f>
        <v>4305.0589999998347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2445.2735119999061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322.87942499998758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5634.1529369998934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43383</v>
      </c>
      <c r="E11" s="56" t="s">
        <v>23</v>
      </c>
      <c r="F11" s="25">
        <v>43389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71967</v>
      </c>
      <c r="E12" s="56" t="s">
        <v>23</v>
      </c>
      <c r="F12" s="25">
        <v>71981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72738</v>
      </c>
      <c r="E13" s="56" t="s">
        <v>23</v>
      </c>
      <c r="F13" s="25">
        <v>72749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308635</v>
      </c>
      <c r="C24" s="56" t="s">
        <v>1</v>
      </c>
      <c r="D24" s="26">
        <v>308839</v>
      </c>
      <c r="E24" s="56" t="s">
        <v>33</v>
      </c>
      <c r="F24" s="56">
        <f>D24-B24</f>
        <v>204</v>
      </c>
      <c r="G24" s="56" t="s">
        <v>34</v>
      </c>
      <c r="H24" s="56">
        <f>F24*220</f>
        <v>44880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1144.48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179.52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448.8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2522.8000000000002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29</v>
      </c>
      <c r="E33" s="56" t="s">
        <v>42</v>
      </c>
      <c r="F33" s="21">
        <v>18</v>
      </c>
      <c r="G33" s="56" t="s">
        <v>43</v>
      </c>
      <c r="H33" s="49">
        <f>(D33-F33)*48.8</f>
        <v>536.79999999999995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15290.848936999893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"/>
  <sheetViews>
    <sheetView topLeftCell="A7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109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70664.899999999994</v>
      </c>
      <c r="C4" s="56" t="s">
        <v>15</v>
      </c>
      <c r="D4" s="25">
        <v>70678.559999999998</v>
      </c>
      <c r="E4" s="56" t="s">
        <v>16</v>
      </c>
      <c r="F4" s="56">
        <f>D4-B4</f>
        <v>13.660000000003492</v>
      </c>
      <c r="G4" s="56" t="s">
        <v>17</v>
      </c>
      <c r="H4" s="56">
        <f>F4*284.35</f>
        <v>3884.2210000009932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2206.237528000564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291.31657500007447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5363.5541030006389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43376</v>
      </c>
      <c r="E11" s="56" t="s">
        <v>23</v>
      </c>
      <c r="F11" s="25">
        <v>43383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71954</v>
      </c>
      <c r="E12" s="56" t="s">
        <v>23</v>
      </c>
      <c r="F12" s="25">
        <v>71967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72728</v>
      </c>
      <c r="E13" s="56" t="s">
        <v>23</v>
      </c>
      <c r="F13" s="25">
        <v>72738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308410</v>
      </c>
      <c r="C24" s="56" t="s">
        <v>1</v>
      </c>
      <c r="D24" s="26">
        <v>308635</v>
      </c>
      <c r="E24" s="56" t="s">
        <v>33</v>
      </c>
      <c r="F24" s="56">
        <f>D24-B24</f>
        <v>225</v>
      </c>
      <c r="G24" s="56" t="s">
        <v>34</v>
      </c>
      <c r="H24" s="56">
        <f>F24*220</f>
        <v>49500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1357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198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495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2800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40</v>
      </c>
      <c r="E33" s="56" t="s">
        <v>42</v>
      </c>
      <c r="F33" s="21">
        <v>29</v>
      </c>
      <c r="G33" s="56" t="s">
        <v>43</v>
      </c>
      <c r="H33" s="49">
        <f>(D33-F33)*48.8</f>
        <v>536.79999999999995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15083.082103000639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6"/>
  <sheetViews>
    <sheetView topLeftCell="A13" zoomScaleNormal="100" workbookViewId="0">
      <selection activeCell="J12" sqref="J12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70652.039999999994</v>
      </c>
      <c r="C4" s="56" t="s">
        <v>15</v>
      </c>
      <c r="D4" s="25">
        <v>70664.899999999994</v>
      </c>
      <c r="E4" s="56" t="s">
        <v>16</v>
      </c>
      <c r="F4" s="56">
        <f>D4-B4</f>
        <v>12.860000000000582</v>
      </c>
      <c r="G4" s="56" t="s">
        <v>17</v>
      </c>
      <c r="H4" s="56">
        <f>F4*284.35</f>
        <v>3656.741000000166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2077.028888000094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274.25557500001241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5217.2844630001064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43369</v>
      </c>
      <c r="E11" s="56" t="s">
        <v>23</v>
      </c>
      <c r="F11" s="25">
        <v>43376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71940</v>
      </c>
      <c r="E12" s="56" t="s">
        <v>23</v>
      </c>
      <c r="F12" s="25">
        <v>71954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72717</v>
      </c>
      <c r="E13" s="56" t="s">
        <v>23</v>
      </c>
      <c r="F13" s="25">
        <v>72728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308210</v>
      </c>
      <c r="C24" s="56" t="s">
        <v>1</v>
      </c>
      <c r="D24" s="26">
        <v>308410</v>
      </c>
      <c r="E24" s="56" t="s">
        <v>33</v>
      </c>
      <c r="F24" s="56">
        <f>D24-B24</f>
        <v>200</v>
      </c>
      <c r="G24" s="56" t="s">
        <v>34</v>
      </c>
      <c r="H24" s="56">
        <f>F24*220</f>
        <v>44000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1104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440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2470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54</v>
      </c>
      <c r="E33" s="56" t="s">
        <v>42</v>
      </c>
      <c r="F33" s="21">
        <v>40</v>
      </c>
      <c r="G33" s="56" t="s">
        <v>43</v>
      </c>
      <c r="H33" s="49">
        <f>(D33-F33)*48.8</f>
        <v>683.19999999999993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621.71199999999999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15168.772463000107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13" zoomScaleNormal="100" workbookViewId="0">
      <selection activeCell="J27" sqref="J27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105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70640.179999999993</v>
      </c>
      <c r="C4" s="56" t="s">
        <v>15</v>
      </c>
      <c r="D4" s="25">
        <v>70652.039999999994</v>
      </c>
      <c r="E4" s="56" t="s">
        <v>16</v>
      </c>
      <c r="F4" s="56">
        <f>D4-B4</f>
        <v>11.860000000000582</v>
      </c>
      <c r="G4" s="56" t="s">
        <v>17</v>
      </c>
      <c r="H4" s="56">
        <f>F4*284.35</f>
        <v>3372.3910000001656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1915.5180880000939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252.9293250000124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5034.4474130001063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43369</v>
      </c>
      <c r="E11" s="56" t="s">
        <v>23</v>
      </c>
      <c r="F11" s="25">
        <v>43376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71940</v>
      </c>
      <c r="E12" s="56" t="s">
        <v>23</v>
      </c>
      <c r="F12" s="25">
        <v>71954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72717</v>
      </c>
      <c r="E13" s="56" t="s">
        <v>23</v>
      </c>
      <c r="F13" s="25">
        <v>72728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308210</v>
      </c>
      <c r="C24" s="56" t="s">
        <v>1</v>
      </c>
      <c r="D24" s="26">
        <v>308410</v>
      </c>
      <c r="E24" s="56" t="s">
        <v>33</v>
      </c>
      <c r="F24" s="56">
        <f>D24-B24</f>
        <v>200</v>
      </c>
      <c r="G24" s="56" t="s">
        <v>34</v>
      </c>
      <c r="H24" s="56">
        <f>F24*220</f>
        <v>44000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1104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440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2470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54</v>
      </c>
      <c r="E33" s="56" t="s">
        <v>42</v>
      </c>
      <c r="F33" s="21">
        <v>40</v>
      </c>
      <c r="G33" s="56" t="s">
        <v>43</v>
      </c>
      <c r="H33" s="49">
        <f>(D33-F33)*48.8</f>
        <v>683.19999999999993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621.71199999999999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14985.935413000105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topLeftCell="A13" zoomScaleNormal="100" workbookViewId="0">
      <selection activeCell="M28" sqref="M28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70628.45</v>
      </c>
      <c r="C4" s="56" t="s">
        <v>15</v>
      </c>
      <c r="D4" s="25">
        <v>70640.179999999993</v>
      </c>
      <c r="E4" s="56" t="s">
        <v>16</v>
      </c>
      <c r="F4" s="56">
        <f>D4-B4</f>
        <v>11.729999999995925</v>
      </c>
      <c r="G4" s="56" t="s">
        <v>17</v>
      </c>
      <c r="H4" s="56">
        <f>F4*284.35</f>
        <v>3335.4254999988416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1894.5216839993418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250.15691249991312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5010.678596499255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43362</v>
      </c>
      <c r="E11" s="56" t="s">
        <v>23</v>
      </c>
      <c r="F11" s="25">
        <v>43369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71926</v>
      </c>
      <c r="E12" s="56" t="s">
        <v>23</v>
      </c>
      <c r="F12" s="25">
        <v>71940</v>
      </c>
      <c r="G12" s="56" t="s">
        <v>24</v>
      </c>
      <c r="H12" s="56">
        <f>F12-D12</f>
        <v>14</v>
      </c>
    </row>
    <row r="13" spans="1:8" ht="16.5" customHeight="1">
      <c r="A13" s="61" t="s">
        <v>26</v>
      </c>
      <c r="B13" s="61"/>
      <c r="C13" s="47" t="s">
        <v>22</v>
      </c>
      <c r="D13" s="25">
        <v>72706</v>
      </c>
      <c r="E13" s="56" t="s">
        <v>23</v>
      </c>
      <c r="F13" s="25">
        <v>72717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308020</v>
      </c>
      <c r="C24" s="56" t="s">
        <v>1</v>
      </c>
      <c r="D24" s="26">
        <v>308210</v>
      </c>
      <c r="E24" s="56" t="s">
        <v>33</v>
      </c>
      <c r="F24" s="56">
        <f>D24-B24</f>
        <v>190</v>
      </c>
      <c r="G24" s="56" t="s">
        <v>34</v>
      </c>
      <c r="H24" s="56">
        <f>F24*220</f>
        <v>41800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1002.8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167.20000000000002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418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2338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64</v>
      </c>
      <c r="E33" s="56" t="s">
        <v>42</v>
      </c>
      <c r="F33" s="21">
        <v>54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14652.534596499256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6"/>
  <sheetViews>
    <sheetView topLeftCell="A10" zoomScaleNormal="100" workbookViewId="0">
      <selection activeCell="K13" sqref="K1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103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70616.23</v>
      </c>
      <c r="C4" s="56" t="s">
        <v>15</v>
      </c>
      <c r="D4" s="25">
        <v>70628.45</v>
      </c>
      <c r="E4" s="56" t="s">
        <v>16</v>
      </c>
      <c r="F4" s="56">
        <f>D4-B4</f>
        <v>12.220000000001164</v>
      </c>
      <c r="G4" s="56" t="s">
        <v>17</v>
      </c>
      <c r="H4" s="56">
        <f>F4*284.35</f>
        <v>3474.7570000003311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1973.6619760001879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260.60677500002481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5100.2687510002124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43355</v>
      </c>
      <c r="E11" s="56" t="s">
        <v>23</v>
      </c>
      <c r="F11" s="25">
        <v>43362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71913</v>
      </c>
      <c r="E12" s="56" t="s">
        <v>23</v>
      </c>
      <c r="F12" s="25">
        <v>71926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72694</v>
      </c>
      <c r="E13" s="56" t="s">
        <v>23</v>
      </c>
      <c r="F13" s="25">
        <v>72706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307818</v>
      </c>
      <c r="C24" s="56" t="s">
        <v>1</v>
      </c>
      <c r="D24" s="26">
        <v>308020</v>
      </c>
      <c r="E24" s="56" t="s">
        <v>33</v>
      </c>
      <c r="F24" s="56">
        <f>D24-B24</f>
        <v>202</v>
      </c>
      <c r="G24" s="56" t="s">
        <v>34</v>
      </c>
      <c r="H24" s="56">
        <f>F24*220</f>
        <v>44440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1124.24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177.76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444.40000000000003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2496.4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74</v>
      </c>
      <c r="E33" s="56" t="s">
        <v>42</v>
      </c>
      <c r="F33" s="21">
        <v>64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14900.524751000212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6"/>
  <sheetViews>
    <sheetView topLeftCell="A28" zoomScaleNormal="100" workbookViewId="0">
      <selection activeCell="A25" sqref="A25:H2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101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70602.5</v>
      </c>
      <c r="C4" s="56" t="s">
        <v>15</v>
      </c>
      <c r="D4" s="25">
        <v>70616.23</v>
      </c>
      <c r="E4" s="56" t="s">
        <v>16</v>
      </c>
      <c r="F4" s="56">
        <f>D4-B4</f>
        <v>13.729999999995925</v>
      </c>
      <c r="G4" s="56" t="s">
        <v>17</v>
      </c>
      <c r="H4" s="56">
        <f>F4*284.35</f>
        <v>3904.1254999988419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2217.5432839993418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292.80941249991315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5376.3526964992552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43348</v>
      </c>
      <c r="E11" s="56" t="s">
        <v>23</v>
      </c>
      <c r="F11" s="25">
        <v>43355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71900</v>
      </c>
      <c r="E12" s="56" t="s">
        <v>23</v>
      </c>
      <c r="F12" s="25">
        <v>71913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72682</v>
      </c>
      <c r="E13" s="56" t="s">
        <v>23</v>
      </c>
      <c r="F13" s="25">
        <v>72694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307632</v>
      </c>
      <c r="C24" s="56" t="s">
        <v>1</v>
      </c>
      <c r="D24" s="26">
        <v>307818</v>
      </c>
      <c r="E24" s="56" t="s">
        <v>33</v>
      </c>
      <c r="F24" s="56">
        <f>D24-B24</f>
        <v>186</v>
      </c>
      <c r="G24" s="56" t="s">
        <v>34</v>
      </c>
      <c r="H24" s="56">
        <f>F24*220</f>
        <v>40920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962.31999999999994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163.68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409.2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2285.1999999999998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84</v>
      </c>
      <c r="E33" s="56" t="s">
        <v>42</v>
      </c>
      <c r="F33" s="21">
        <v>74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14965.408696499257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100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70588.240000000005</v>
      </c>
      <c r="C4" s="56" t="s">
        <v>15</v>
      </c>
      <c r="D4" s="25">
        <v>70602.5</v>
      </c>
      <c r="E4" s="56" t="s">
        <v>16</v>
      </c>
      <c r="F4" s="56">
        <f>D4-B4</f>
        <v>14.259999999994761</v>
      </c>
      <c r="G4" s="56" t="s">
        <v>17</v>
      </c>
      <c r="H4" s="56">
        <f>F4*284.35</f>
        <v>4054.8309999985108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2303.1440079991539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304.1123249998883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5473.2563329990426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43341</v>
      </c>
      <c r="E11" s="56" t="s">
        <v>23</v>
      </c>
      <c r="F11" s="25">
        <v>43348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71887</v>
      </c>
      <c r="E12" s="56" t="s">
        <v>23</v>
      </c>
      <c r="F12" s="25">
        <v>71900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72671</v>
      </c>
      <c r="E13" s="56" t="s">
        <v>23</v>
      </c>
      <c r="F13" s="25">
        <v>72682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307459</v>
      </c>
      <c r="C24" s="56" t="s">
        <v>1</v>
      </c>
      <c r="D24" s="26">
        <v>307632</v>
      </c>
      <c r="E24" s="56" t="s">
        <v>33</v>
      </c>
      <c r="F24" s="56">
        <f>D24-B24</f>
        <v>173</v>
      </c>
      <c r="G24" s="56" t="s">
        <v>34</v>
      </c>
      <c r="H24" s="56">
        <f>F24*220</f>
        <v>38060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830.76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152.24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380.6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2113.6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70</v>
      </c>
      <c r="E33" s="56" t="s">
        <v>42</v>
      </c>
      <c r="F33" s="21">
        <v>60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20</v>
      </c>
      <c r="E34" s="56" t="s">
        <v>42</v>
      </c>
      <c r="F34" s="21">
        <v>20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14676.344332999042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6"/>
  <sheetViews>
    <sheetView topLeftCell="A13" zoomScaleNormal="100" workbookViewId="0">
      <selection activeCell="F34" sqref="F3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70574.289999999994</v>
      </c>
      <c r="C4" s="56" t="s">
        <v>15</v>
      </c>
      <c r="D4" s="25">
        <v>70588.240000000005</v>
      </c>
      <c r="E4" s="56" t="s">
        <v>16</v>
      </c>
      <c r="F4" s="56">
        <f>D4-B4</f>
        <v>13.950000000011642</v>
      </c>
      <c r="G4" s="56" t="s">
        <v>17</v>
      </c>
      <c r="H4" s="56">
        <f>F4*284.35</f>
        <v>3966.6825000033105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2253.0756600018804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297.50118750024825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5416.5768475021287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43334</v>
      </c>
      <c r="E11" s="56" t="s">
        <v>23</v>
      </c>
      <c r="F11" s="25">
        <v>43341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71875</v>
      </c>
      <c r="E12" s="56" t="s">
        <v>23</v>
      </c>
      <c r="F12" s="25">
        <v>71887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72660</v>
      </c>
      <c r="E13" s="56" t="s">
        <v>23</v>
      </c>
      <c r="F13" s="25">
        <v>72671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307286</v>
      </c>
      <c r="C24" s="56" t="s">
        <v>1</v>
      </c>
      <c r="D24" s="26">
        <v>307459</v>
      </c>
      <c r="E24" s="56" t="s">
        <v>33</v>
      </c>
      <c r="F24" s="56">
        <f>D24-B24</f>
        <v>173</v>
      </c>
      <c r="G24" s="56" t="s">
        <v>34</v>
      </c>
      <c r="H24" s="56">
        <f>F24*220</f>
        <v>38060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830.76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152.24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380.6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2113.6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70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20</v>
      </c>
      <c r="E34" s="56" t="s">
        <v>42</v>
      </c>
      <c r="F34" s="21">
        <v>20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14405.296847502128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6"/>
  <sheetViews>
    <sheetView topLeftCell="A16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70559.47</v>
      </c>
      <c r="C4" s="56" t="s">
        <v>15</v>
      </c>
      <c r="D4" s="25">
        <v>70574.289999999994</v>
      </c>
      <c r="E4" s="56" t="s">
        <v>16</v>
      </c>
      <c r="F4" s="56">
        <f>D4-B4</f>
        <v>14.819999999992433</v>
      </c>
      <c r="G4" s="56" t="s">
        <v>17</v>
      </c>
      <c r="H4" s="56">
        <f>F4*284.35</f>
        <v>4214.0669999978491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2393.5900559987781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316.05502499983868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5575.6450809986163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43328</v>
      </c>
      <c r="E11" s="56" t="s">
        <v>23</v>
      </c>
      <c r="F11" s="25">
        <v>43334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71862</v>
      </c>
      <c r="E12" s="56" t="s">
        <v>23</v>
      </c>
      <c r="F12" s="25">
        <v>71875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72649</v>
      </c>
      <c r="E13" s="56" t="s">
        <v>23</v>
      </c>
      <c r="F13" s="25">
        <v>72660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307102</v>
      </c>
      <c r="C24" s="56" t="s">
        <v>1</v>
      </c>
      <c r="D24" s="26">
        <v>307286</v>
      </c>
      <c r="E24" s="56" t="s">
        <v>33</v>
      </c>
      <c r="F24" s="56">
        <f>D24-B24</f>
        <v>184</v>
      </c>
      <c r="G24" s="56" t="s">
        <v>34</v>
      </c>
      <c r="H24" s="56">
        <f>F24*220</f>
        <v>40480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942.07999999999993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161.92000000000002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404.8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2258.8000000000002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34</v>
      </c>
      <c r="E34" s="56" t="s">
        <v>42</v>
      </c>
      <c r="F34" s="21">
        <v>20</v>
      </c>
      <c r="G34" s="56" t="s">
        <v>43</v>
      </c>
      <c r="H34" s="49">
        <f>(D34-F34)*48.8</f>
        <v>683.19999999999993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621.71199999999999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14887.197080998616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6"/>
  <sheetViews>
    <sheetView topLeftCell="A19" zoomScaleNormal="100" workbookViewId="0">
      <selection activeCell="L15" sqref="L1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70544.350000000006</v>
      </c>
      <c r="C4" s="56" t="s">
        <v>15</v>
      </c>
      <c r="D4" s="25">
        <v>70559.47</v>
      </c>
      <c r="E4" s="56" t="s">
        <v>16</v>
      </c>
      <c r="F4" s="56">
        <f>D4-B4</f>
        <v>15.119999999995343</v>
      </c>
      <c r="G4" s="56" t="s">
        <v>17</v>
      </c>
      <c r="H4" s="56">
        <f>F4*284.35</f>
        <v>4299.3719999986761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2442.0432959992477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322.45289999990069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5630.4961959991488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43321</v>
      </c>
      <c r="E11" s="56" t="s">
        <v>23</v>
      </c>
      <c r="F11" s="25">
        <v>43328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71849</v>
      </c>
      <c r="E12" s="56" t="s">
        <v>23</v>
      </c>
      <c r="F12" s="25">
        <v>71862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72638</v>
      </c>
      <c r="E13" s="56" t="s">
        <v>23</v>
      </c>
      <c r="F13" s="25">
        <v>72649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306924</v>
      </c>
      <c r="C24" s="56" t="s">
        <v>1</v>
      </c>
      <c r="D24" s="26">
        <v>307102</v>
      </c>
      <c r="E24" s="56" t="s">
        <v>33</v>
      </c>
      <c r="F24" s="56">
        <f>D24-B24</f>
        <v>178</v>
      </c>
      <c r="G24" s="56" t="s">
        <v>34</v>
      </c>
      <c r="H24" s="56">
        <f>F24*220</f>
        <v>39160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881.36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156.64000000000001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391.6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2179.6000000000004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45</v>
      </c>
      <c r="E34" s="56" t="s">
        <v>42</v>
      </c>
      <c r="F34" s="21">
        <v>34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14943.99219599915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6"/>
  <sheetViews>
    <sheetView topLeftCell="A16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92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70529.240000000005</v>
      </c>
      <c r="C4" s="56" t="s">
        <v>15</v>
      </c>
      <c r="D4" s="25">
        <v>70544.350000000006</v>
      </c>
      <c r="E4" s="56" t="s">
        <v>16</v>
      </c>
      <c r="F4" s="56">
        <f>D4-B4</f>
        <v>15.110000000000582</v>
      </c>
      <c r="G4" s="56" t="s">
        <v>17</v>
      </c>
      <c r="H4" s="56">
        <f>F4*284.35</f>
        <v>4296.5285000001659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2440.428188000094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322.23963750001241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5628.6678255001061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43315</v>
      </c>
      <c r="E11" s="56" t="s">
        <v>23</v>
      </c>
      <c r="F11" s="25">
        <v>43321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71837</v>
      </c>
      <c r="E12" s="56" t="s">
        <v>23</v>
      </c>
      <c r="F12" s="25">
        <v>71849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72627</v>
      </c>
      <c r="E13" s="56" t="s">
        <v>23</v>
      </c>
      <c r="F13" s="25">
        <v>72638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5368.9439999999995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847.72799999999995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6216.6719999999996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306660</v>
      </c>
      <c r="C24" s="56" t="s">
        <v>1</v>
      </c>
      <c r="D24" s="26">
        <v>306924</v>
      </c>
      <c r="E24" s="56" t="s">
        <v>33</v>
      </c>
      <c r="F24" s="56">
        <f>D24-B24</f>
        <v>264</v>
      </c>
      <c r="G24" s="56" t="s">
        <v>34</v>
      </c>
      <c r="H24" s="56">
        <f>F24*220</f>
        <v>58080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1751.68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232.32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580.80000000000007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3314.8000000000006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55</v>
      </c>
      <c r="E34" s="56" t="s">
        <v>42</v>
      </c>
      <c r="F34" s="21">
        <v>45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15604.219825500108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6"/>
  <sheetViews>
    <sheetView topLeftCell="A16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91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70512.95</v>
      </c>
      <c r="C4" s="56" t="s">
        <v>15</v>
      </c>
      <c r="D4" s="25">
        <v>70529.240000000005</v>
      </c>
      <c r="E4" s="56" t="s">
        <v>16</v>
      </c>
      <c r="F4" s="56">
        <f>D4-B4</f>
        <v>16.290000000008149</v>
      </c>
      <c r="G4" s="56" t="s">
        <v>17</v>
      </c>
      <c r="H4" s="56">
        <f>F4*284.35</f>
        <v>4632.0615000023172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2631.0109320013157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347.40461250017376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5844.4155445014894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43308</v>
      </c>
      <c r="E11" s="56" t="s">
        <v>23</v>
      </c>
      <c r="F11" s="25">
        <v>43315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71825</v>
      </c>
      <c r="E12" s="56" t="s">
        <v>23</v>
      </c>
      <c r="F12" s="25">
        <v>71837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72616</v>
      </c>
      <c r="E13" s="56" t="s">
        <v>23</v>
      </c>
      <c r="F13" s="25">
        <v>72627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306285</v>
      </c>
      <c r="C24" s="56" t="s">
        <v>1</v>
      </c>
      <c r="D24" s="26">
        <v>306660</v>
      </c>
      <c r="E24" s="56" t="s">
        <v>33</v>
      </c>
      <c r="F24" s="56">
        <f>D24-B24</f>
        <v>375</v>
      </c>
      <c r="G24" s="56" t="s">
        <v>34</v>
      </c>
      <c r="H24" s="56">
        <f>F24*220</f>
        <v>82500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2875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330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825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4780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65</v>
      </c>
      <c r="E34" s="56" t="s">
        <v>42</v>
      </c>
      <c r="F34" s="21">
        <v>55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17499.53554450149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89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70496.09</v>
      </c>
      <c r="C4" s="56" t="s">
        <v>15</v>
      </c>
      <c r="D4" s="25">
        <v>70512.95</v>
      </c>
      <c r="E4" s="56" t="s">
        <v>16</v>
      </c>
      <c r="F4" s="56">
        <f>D4-B4</f>
        <v>16.860000000000582</v>
      </c>
      <c r="G4" s="56" t="s">
        <v>17</v>
      </c>
      <c r="H4" s="56">
        <f>F4*284.35</f>
        <v>4794.1410000001661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2723.072088000094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359.56057500001242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5948.6326630001058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43301</v>
      </c>
      <c r="E11" s="56" t="s">
        <v>23</v>
      </c>
      <c r="F11" s="25">
        <v>43308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71812</v>
      </c>
      <c r="E12" s="56" t="s">
        <v>23</v>
      </c>
      <c r="F12" s="25">
        <v>71825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72604</v>
      </c>
      <c r="E13" s="56" t="s">
        <v>23</v>
      </c>
      <c r="F13" s="25">
        <v>72616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32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15590.4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5924.3519999999999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935.42399999999998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6859.7759999999998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306071</v>
      </c>
      <c r="C24" s="56" t="s">
        <v>1</v>
      </c>
      <c r="D24" s="26">
        <v>306285</v>
      </c>
      <c r="E24" s="56" t="s">
        <v>33</v>
      </c>
      <c r="F24" s="56">
        <f>D24-B24</f>
        <v>214</v>
      </c>
      <c r="G24" s="56" t="s">
        <v>34</v>
      </c>
      <c r="H24" s="56">
        <f>F24*220</f>
        <v>47080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1245.68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188.32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470.8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2654.8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75</v>
      </c>
      <c r="E34" s="56" t="s">
        <v>42</v>
      </c>
      <c r="F34" s="21">
        <v>65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15907.288663000105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6"/>
  <sheetViews>
    <sheetView topLeftCell="A7" zoomScaleNormal="100" workbookViewId="0">
      <selection activeCell="F33" sqref="F3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70478.559999999998</v>
      </c>
      <c r="C4" s="56" t="s">
        <v>15</v>
      </c>
      <c r="D4" s="25">
        <v>70496.09</v>
      </c>
      <c r="E4" s="56" t="s">
        <v>16</v>
      </c>
      <c r="F4" s="56">
        <f>D4-B4</f>
        <v>17.529999999998836</v>
      </c>
      <c r="G4" s="56" t="s">
        <v>17</v>
      </c>
      <c r="H4" s="56">
        <f>F4*284.35</f>
        <v>4984.6554999996697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2831.2843239998119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373.84916249997519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6071.1334864997871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43294</v>
      </c>
      <c r="E11" s="56" t="s">
        <v>23</v>
      </c>
      <c r="F11" s="25">
        <v>43301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71800</v>
      </c>
      <c r="E12" s="56" t="s">
        <v>23</v>
      </c>
      <c r="F12" s="25">
        <v>71812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72593</v>
      </c>
      <c r="E13" s="56" t="s">
        <v>23</v>
      </c>
      <c r="F13" s="25">
        <v>72604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305876</v>
      </c>
      <c r="C24" s="56" t="s">
        <v>1</v>
      </c>
      <c r="D24" s="26">
        <v>306071</v>
      </c>
      <c r="E24" s="56" t="s">
        <v>33</v>
      </c>
      <c r="F24" s="56">
        <f>D24-B24</f>
        <v>195</v>
      </c>
      <c r="G24" s="56" t="s">
        <v>34</v>
      </c>
      <c r="H24" s="56">
        <f>F24*220</f>
        <v>42900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1053.4000000000001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171.6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429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2404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85</v>
      </c>
      <c r="E34" s="56" t="s">
        <v>42</v>
      </c>
      <c r="F34" s="21">
        <v>75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15350.253486499787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6"/>
  <sheetViews>
    <sheetView topLeftCell="A10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70460.039999999994</v>
      </c>
      <c r="C4" s="56" t="s">
        <v>15</v>
      </c>
      <c r="D4" s="25">
        <v>70478.559999999998</v>
      </c>
      <c r="E4" s="56" t="s">
        <v>16</v>
      </c>
      <c r="F4" s="56">
        <f>D4-B4</f>
        <v>18.520000000004075</v>
      </c>
      <c r="G4" s="56" t="s">
        <v>17</v>
      </c>
      <c r="H4" s="56">
        <f>F4*284.35</f>
        <v>5266.162000001159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2991.1800160006578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394.96215000008692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6252.1421660007445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43287</v>
      </c>
      <c r="E11" s="56" t="s">
        <v>23</v>
      </c>
      <c r="F11" s="25">
        <v>43294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71788</v>
      </c>
      <c r="E12" s="56" t="s">
        <v>23</v>
      </c>
      <c r="F12" s="25">
        <v>71800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72581</v>
      </c>
      <c r="E13" s="56" t="s">
        <v>23</v>
      </c>
      <c r="F13" s="25">
        <v>72593</v>
      </c>
      <c r="G13" s="56" t="s">
        <v>24</v>
      </c>
      <c r="H13" s="56">
        <f>F13-D13</f>
        <v>12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305669</v>
      </c>
      <c r="C24" s="56" t="s">
        <v>1</v>
      </c>
      <c r="D24" s="26">
        <v>305876</v>
      </c>
      <c r="E24" s="56" t="s">
        <v>33</v>
      </c>
      <c r="F24" s="56">
        <f>D24-B24</f>
        <v>207</v>
      </c>
      <c r="G24" s="56" t="s">
        <v>34</v>
      </c>
      <c r="H24" s="56">
        <f>F24*220</f>
        <v>45540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1174.8399999999999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182.16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455.40000000000003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2562.4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25</v>
      </c>
      <c r="E33" s="56" t="s">
        <v>42</v>
      </c>
      <c r="F33" s="21">
        <v>25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85</v>
      </c>
      <c r="E34" s="56" t="s">
        <v>42</v>
      </c>
      <c r="F34" s="21">
        <v>74</v>
      </c>
      <c r="G34" s="56" t="s">
        <v>43</v>
      </c>
      <c r="H34" s="49">
        <f>(D34-F34)*48.8</f>
        <v>536.79999999999995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488.488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15948.438166000744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6"/>
  <sheetViews>
    <sheetView topLeftCell="A13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85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70442.259999999995</v>
      </c>
      <c r="C4" s="56" t="s">
        <v>15</v>
      </c>
      <c r="D4" s="25">
        <v>70460.039999999994</v>
      </c>
      <c r="E4" s="56" t="s">
        <v>16</v>
      </c>
      <c r="F4" s="56">
        <f>D4-B4</f>
        <v>17.779999999998836</v>
      </c>
      <c r="G4" s="56" t="s">
        <v>17</v>
      </c>
      <c r="H4" s="56">
        <f>F4*284.35</f>
        <v>5055.7429999996693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2871.6620239998119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379.18072499997521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6116.8427489997866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43280</v>
      </c>
      <c r="E11" s="56" t="s">
        <v>23</v>
      </c>
      <c r="F11" s="25">
        <v>43287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71775</v>
      </c>
      <c r="E12" s="56" t="s">
        <v>23</v>
      </c>
      <c r="F12" s="25">
        <v>71788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72570</v>
      </c>
      <c r="E13" s="56" t="s">
        <v>23</v>
      </c>
      <c r="F13" s="25">
        <v>72581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31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15103.199999999999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5739.2159999999994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906.19199999999989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6645.4079999999994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305492</v>
      </c>
      <c r="C24" s="56" t="s">
        <v>1</v>
      </c>
      <c r="D24" s="26">
        <v>305669</v>
      </c>
      <c r="E24" s="56" t="s">
        <v>33</v>
      </c>
      <c r="F24" s="56">
        <f>D24-B24</f>
        <v>177</v>
      </c>
      <c r="G24" s="56" t="s">
        <v>34</v>
      </c>
      <c r="H24" s="56">
        <f>F24*220</f>
        <v>38940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871.24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155.76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389.40000000000003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2166.4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35</v>
      </c>
      <c r="E33" s="56" t="s">
        <v>42</v>
      </c>
      <c r="F33" s="21">
        <v>25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85</v>
      </c>
      <c r="E34" s="56" t="s">
        <v>42</v>
      </c>
      <c r="F34" s="21">
        <v>85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15372.730748999786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83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70425.98</v>
      </c>
      <c r="C4" s="56" t="s">
        <v>15</v>
      </c>
      <c r="D4" s="25">
        <v>70442.259999999995</v>
      </c>
      <c r="E4" s="56" t="s">
        <v>16</v>
      </c>
      <c r="F4" s="56">
        <f>D4-B4</f>
        <v>16.279999999998836</v>
      </c>
      <c r="G4" s="56" t="s">
        <v>17</v>
      </c>
      <c r="H4" s="56">
        <f>F4*284.35</f>
        <v>4629.2179999996697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2629.3958239998124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347.19134999997522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5842.5871739997874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43273</v>
      </c>
      <c r="E11" s="56" t="s">
        <v>23</v>
      </c>
      <c r="F11" s="25">
        <v>43280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71764</v>
      </c>
      <c r="E12" s="56" t="s">
        <v>23</v>
      </c>
      <c r="F12" s="25">
        <v>71775</v>
      </c>
      <c r="G12" s="56" t="s">
        <v>24</v>
      </c>
      <c r="H12" s="56">
        <f>F12-D12</f>
        <v>11</v>
      </c>
    </row>
    <row r="13" spans="1:8" ht="16.5" customHeight="1">
      <c r="A13" s="61" t="s">
        <v>26</v>
      </c>
      <c r="B13" s="61"/>
      <c r="C13" s="47" t="s">
        <v>22</v>
      </c>
      <c r="D13" s="25">
        <v>72560</v>
      </c>
      <c r="E13" s="56" t="s">
        <v>23</v>
      </c>
      <c r="F13" s="25">
        <v>72570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28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13641.6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5183.808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818.49599999999998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6002.3040000000001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305317</v>
      </c>
      <c r="C24" s="56" t="s">
        <v>1</v>
      </c>
      <c r="D24" s="26">
        <v>305492</v>
      </c>
      <c r="E24" s="56" t="s">
        <v>33</v>
      </c>
      <c r="F24" s="56">
        <f>D24-B24</f>
        <v>175</v>
      </c>
      <c r="G24" s="56" t="s">
        <v>34</v>
      </c>
      <c r="H24" s="56">
        <f>F24*220</f>
        <v>38500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851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154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385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2140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45</v>
      </c>
      <c r="E33" s="56" t="s">
        <v>42</v>
      </c>
      <c r="F33" s="21">
        <v>35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85</v>
      </c>
      <c r="E34" s="56" t="s">
        <v>42</v>
      </c>
      <c r="F34" s="21">
        <v>85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14428.971173999787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6"/>
  <sheetViews>
    <sheetView topLeftCell="A16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82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70408</v>
      </c>
      <c r="C4" s="56" t="s">
        <v>15</v>
      </c>
      <c r="D4" s="25">
        <v>70425.98</v>
      </c>
      <c r="E4" s="56" t="s">
        <v>16</v>
      </c>
      <c r="F4" s="56">
        <f>D4-B4</f>
        <v>17.979999999995925</v>
      </c>
      <c r="G4" s="56" t="s">
        <v>17</v>
      </c>
      <c r="H4" s="56">
        <f>F4*284.35</f>
        <v>5112.6129999988416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2903.9641839993419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383.44597499991312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6153.4101589992551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43266</v>
      </c>
      <c r="E11" s="56" t="s">
        <v>23</v>
      </c>
      <c r="F11" s="25">
        <v>43273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71752</v>
      </c>
      <c r="E12" s="56" t="s">
        <v>23</v>
      </c>
      <c r="F12" s="25">
        <v>71764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72550</v>
      </c>
      <c r="E13" s="56" t="s">
        <v>23</v>
      </c>
      <c r="F13" s="25">
        <v>72560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5368.9439999999995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847.72799999999995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6216.6719999999996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305147</v>
      </c>
      <c r="C24" s="56" t="s">
        <v>1</v>
      </c>
      <c r="D24" s="26">
        <v>305317</v>
      </c>
      <c r="E24" s="56" t="s">
        <v>33</v>
      </c>
      <c r="F24" s="56">
        <f>D24-B24</f>
        <v>170</v>
      </c>
      <c r="G24" s="56" t="s">
        <v>34</v>
      </c>
      <c r="H24" s="56">
        <f>F24*220</f>
        <v>37400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800.4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149.6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374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2074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55</v>
      </c>
      <c r="E33" s="56" t="s">
        <v>42</v>
      </c>
      <c r="F33" s="21">
        <v>45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85</v>
      </c>
      <c r="E34" s="56" t="s">
        <v>42</v>
      </c>
      <c r="F34" s="21">
        <v>85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14888.162158999254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6"/>
  <sheetViews>
    <sheetView topLeftCell="A7" zoomScaleNormal="100" workbookViewId="0">
      <selection activeCell="A14" sqref="A14:G14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80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70387.199999999997</v>
      </c>
      <c r="C4" s="56" t="s">
        <v>15</v>
      </c>
      <c r="D4" s="25">
        <v>70408</v>
      </c>
      <c r="E4" s="56" t="s">
        <v>16</v>
      </c>
      <c r="F4" s="56">
        <f>D4-B4</f>
        <v>20.80000000000291</v>
      </c>
      <c r="G4" s="56" t="s">
        <v>17</v>
      </c>
      <c r="H4" s="56">
        <f>F4*284.35</f>
        <v>5914.4800000008281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3359.4246400004699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443.58600000006209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6669.0106400005316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43259</v>
      </c>
      <c r="E11" s="56" t="s">
        <v>23</v>
      </c>
      <c r="F11" s="25">
        <v>43266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71740</v>
      </c>
      <c r="E12" s="56" t="s">
        <v>23</v>
      </c>
      <c r="F12" s="25">
        <v>71752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72539</v>
      </c>
      <c r="E13" s="56" t="s">
        <v>23</v>
      </c>
      <c r="F13" s="25">
        <v>72550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304957</v>
      </c>
      <c r="C24" s="56" t="s">
        <v>1</v>
      </c>
      <c r="D24" s="26">
        <v>305147</v>
      </c>
      <c r="E24" s="56" t="s">
        <v>33</v>
      </c>
      <c r="F24" s="56">
        <f>D24-B24</f>
        <v>190</v>
      </c>
      <c r="G24" s="56" t="s">
        <v>34</v>
      </c>
      <c r="H24" s="56">
        <f>F24*220</f>
        <v>41800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1002.8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167.20000000000002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418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2338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64</v>
      </c>
      <c r="E33" s="56" t="s">
        <v>42</v>
      </c>
      <c r="F33" s="21">
        <v>55</v>
      </c>
      <c r="G33" s="56" t="s">
        <v>43</v>
      </c>
      <c r="H33" s="49">
        <f>(D33-F33)*48.8</f>
        <v>439.2</v>
      </c>
    </row>
    <row r="34" spans="1:8" ht="16.5" customHeight="1">
      <c r="A34" s="61" t="s">
        <v>44</v>
      </c>
      <c r="B34" s="61"/>
      <c r="C34" s="47" t="s">
        <v>41</v>
      </c>
      <c r="D34" s="21">
        <v>85</v>
      </c>
      <c r="E34" s="56" t="s">
        <v>42</v>
      </c>
      <c r="F34" s="21">
        <v>85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399.67200000000003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15837.722640000531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6"/>
  <sheetViews>
    <sheetView topLeftCell="A10" zoomScaleNormal="100" workbookViewId="0">
      <selection activeCell="F11" sqref="F11:F13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78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70366.960000000006</v>
      </c>
      <c r="C4" s="56" t="s">
        <v>15</v>
      </c>
      <c r="D4" s="25">
        <v>70387.199999999997</v>
      </c>
      <c r="E4" s="56" t="s">
        <v>16</v>
      </c>
      <c r="F4" s="56">
        <f>D4-B4</f>
        <v>20.239999999990687</v>
      </c>
      <c r="G4" s="56" t="s">
        <v>17</v>
      </c>
      <c r="H4" s="56">
        <f>F4*284.35</f>
        <v>5755.2439999973521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3268.9785919984956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431.6432999998014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6566.6218919982966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43252</v>
      </c>
      <c r="E11" s="56" t="s">
        <v>23</v>
      </c>
      <c r="F11" s="25">
        <v>43259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71728</v>
      </c>
      <c r="E12" s="56" t="s">
        <v>23</v>
      </c>
      <c r="F12" s="25">
        <v>71740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72528</v>
      </c>
      <c r="E13" s="56" t="s">
        <v>23</v>
      </c>
      <c r="F13" s="25">
        <v>72539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304792</v>
      </c>
      <c r="C24" s="56" t="s">
        <v>1</v>
      </c>
      <c r="D24" s="26">
        <v>304957</v>
      </c>
      <c r="E24" s="56" t="s">
        <v>33</v>
      </c>
      <c r="F24" s="56">
        <f>D24-B24</f>
        <v>165</v>
      </c>
      <c r="G24" s="56" t="s">
        <v>34</v>
      </c>
      <c r="H24" s="56">
        <f>F24*220</f>
        <v>36300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749.8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145.20000000000002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363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2008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74</v>
      </c>
      <c r="E33" s="56" t="s">
        <v>42</v>
      </c>
      <c r="F33" s="21">
        <v>64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80</v>
      </c>
      <c r="E34" s="56" t="s">
        <v>42</v>
      </c>
      <c r="F34" s="21">
        <v>80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15449.741891998296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77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70349.81</v>
      </c>
      <c r="C4" s="56" t="s">
        <v>15</v>
      </c>
      <c r="D4" s="25">
        <v>70366.960000000006</v>
      </c>
      <c r="E4" s="56" t="s">
        <v>16</v>
      </c>
      <c r="F4" s="56">
        <f>D4-B4</f>
        <v>17.150000000008731</v>
      </c>
      <c r="G4" s="56" t="s">
        <v>17</v>
      </c>
      <c r="H4" s="56">
        <f>F4*284.35</f>
        <v>4876.6025000024829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2769.9102200014099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365.7451875001862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6001.6554075015956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43245</v>
      </c>
      <c r="E11" s="56" t="s">
        <v>23</v>
      </c>
      <c r="F11" s="25">
        <v>43252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71718</v>
      </c>
      <c r="E12" s="56" t="s">
        <v>23</v>
      </c>
      <c r="F12" s="25">
        <v>71728</v>
      </c>
      <c r="G12" s="56" t="s">
        <v>24</v>
      </c>
      <c r="H12" s="56">
        <f>F12-D12</f>
        <v>10</v>
      </c>
    </row>
    <row r="13" spans="1:8" ht="16.5" customHeight="1">
      <c r="A13" s="61" t="s">
        <v>26</v>
      </c>
      <c r="B13" s="61"/>
      <c r="C13" s="47" t="s">
        <v>22</v>
      </c>
      <c r="D13" s="25">
        <v>72517</v>
      </c>
      <c r="E13" s="56" t="s">
        <v>23</v>
      </c>
      <c r="F13" s="25">
        <v>72528</v>
      </c>
      <c r="G13" s="56" t="s">
        <v>24</v>
      </c>
      <c r="H13" s="56">
        <f>F13-D13</f>
        <v>11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28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13641.6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5183.808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818.49599999999998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6002.3040000000001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304624</v>
      </c>
      <c r="C24" s="56" t="s">
        <v>1</v>
      </c>
      <c r="D24" s="26">
        <v>304792</v>
      </c>
      <c r="E24" s="56" t="s">
        <v>33</v>
      </c>
      <c r="F24" s="56">
        <f>D24-B24</f>
        <v>168</v>
      </c>
      <c r="G24" s="56" t="s">
        <v>34</v>
      </c>
      <c r="H24" s="56">
        <f>F24*220</f>
        <v>36960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780.16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147.84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369.6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2047.6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70</v>
      </c>
      <c r="E33" s="56" t="s">
        <v>42</v>
      </c>
      <c r="F33" s="21">
        <v>60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19</v>
      </c>
      <c r="E34" s="56" t="s">
        <v>42</v>
      </c>
      <c r="F34" s="21">
        <v>19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14495.639407501596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76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70334.31</v>
      </c>
      <c r="C4" s="56" t="s">
        <v>15</v>
      </c>
      <c r="D4" s="25">
        <v>70349.81</v>
      </c>
      <c r="E4" s="56" t="s">
        <v>16</v>
      </c>
      <c r="F4" s="56">
        <f>D4-B4</f>
        <v>15.5</v>
      </c>
      <c r="G4" s="56" t="s">
        <v>17</v>
      </c>
      <c r="H4" s="56">
        <f>F4*284.35</f>
        <v>4407.4250000000002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2503.4173999999998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330.55687499999999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5699.9742749999996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43239</v>
      </c>
      <c r="E11" s="56" t="s">
        <v>23</v>
      </c>
      <c r="F11" s="25">
        <v>43245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71706</v>
      </c>
      <c r="E12" s="56" t="s">
        <v>23</v>
      </c>
      <c r="F12" s="25">
        <v>71718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72507</v>
      </c>
      <c r="E13" s="56" t="s">
        <v>23</v>
      </c>
      <c r="F13" s="25">
        <v>72517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28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13641.6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5183.808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818.49599999999998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6002.3040000000001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304467</v>
      </c>
      <c r="C24" s="56" t="s">
        <v>1</v>
      </c>
      <c r="D24" s="26">
        <v>304624</v>
      </c>
      <c r="E24" s="56" t="s">
        <v>33</v>
      </c>
      <c r="F24" s="56">
        <f>D24-B24</f>
        <v>157</v>
      </c>
      <c r="G24" s="56" t="s">
        <v>34</v>
      </c>
      <c r="H24" s="56">
        <f>F24*220</f>
        <v>34540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668.84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138.16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345.40000000000003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1902.4000000000003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70</v>
      </c>
      <c r="G33" s="56" t="s">
        <v>43</v>
      </c>
      <c r="H33" s="49">
        <f>(D33-F33)*48.8</f>
        <v>488</v>
      </c>
    </row>
    <row r="34" spans="1:8" ht="16.5" customHeight="1">
      <c r="A34" s="61" t="s">
        <v>44</v>
      </c>
      <c r="B34" s="61"/>
      <c r="C34" s="47" t="s">
        <v>41</v>
      </c>
      <c r="D34" s="21">
        <v>19</v>
      </c>
      <c r="E34" s="56" t="s">
        <v>42</v>
      </c>
      <c r="F34" s="21">
        <v>19</v>
      </c>
      <c r="G34" s="56" t="s">
        <v>43</v>
      </c>
      <c r="H34" s="49">
        <f>(D34-F34)*48.8</f>
        <v>0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14048.758274999998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6"/>
  <sheetViews>
    <sheetView topLeftCell="A7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75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70319.86</v>
      </c>
      <c r="C4" s="56" t="s">
        <v>15</v>
      </c>
      <c r="D4" s="25">
        <v>70334.31</v>
      </c>
      <c r="E4" s="56" t="s">
        <v>16</v>
      </c>
      <c r="F4" s="56">
        <f>D4-B4</f>
        <v>14.44999999999709</v>
      </c>
      <c r="G4" s="56" t="s">
        <v>17</v>
      </c>
      <c r="H4" s="56">
        <f>F4*284.35</f>
        <v>4108.8574999991724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2333.8310599995298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308.16431249993792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5507.9953724994675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43232</v>
      </c>
      <c r="E11" s="56" t="s">
        <v>23</v>
      </c>
      <c r="F11" s="25">
        <v>43239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71694</v>
      </c>
      <c r="E12" s="56" t="s">
        <v>23</v>
      </c>
      <c r="F12" s="25">
        <v>71706</v>
      </c>
      <c r="G12" s="56" t="s">
        <v>24</v>
      </c>
      <c r="H12" s="56">
        <f>F12-D12</f>
        <v>12</v>
      </c>
    </row>
    <row r="13" spans="1:8" ht="16.5" customHeight="1">
      <c r="A13" s="61" t="s">
        <v>26</v>
      </c>
      <c r="B13" s="61"/>
      <c r="C13" s="47" t="s">
        <v>22</v>
      </c>
      <c r="D13" s="25">
        <v>72497</v>
      </c>
      <c r="E13" s="56" t="s">
        <v>23</v>
      </c>
      <c r="F13" s="25">
        <v>72507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5368.9439999999995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847.72799999999995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6216.6719999999996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304311</v>
      </c>
      <c r="C24" s="56" t="s">
        <v>1</v>
      </c>
      <c r="D24" s="26">
        <v>304467</v>
      </c>
      <c r="E24" s="56" t="s">
        <v>33</v>
      </c>
      <c r="F24" s="56">
        <f>D24-B24</f>
        <v>156</v>
      </c>
      <c r="G24" s="56" t="s">
        <v>34</v>
      </c>
      <c r="H24" s="56">
        <f>F24*220</f>
        <v>34320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658.72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137.28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343.2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1889.2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29</v>
      </c>
      <c r="E34" s="56" t="s">
        <v>42</v>
      </c>
      <c r="F34" s="21">
        <v>19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14057.947372499468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6"/>
  <sheetViews>
    <sheetView topLeftCell="A10" zoomScaleNormal="100" workbookViewId="0">
      <selection activeCell="A5" sqref="A5:H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74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70304.66</v>
      </c>
      <c r="C4" s="56" t="s">
        <v>15</v>
      </c>
      <c r="D4" s="25">
        <v>70319.86</v>
      </c>
      <c r="E4" s="56" t="s">
        <v>16</v>
      </c>
      <c r="F4" s="56">
        <f>D4-B4</f>
        <v>15.19999999999709</v>
      </c>
      <c r="G4" s="56" t="s">
        <v>17</v>
      </c>
      <c r="H4" s="56">
        <f>F4*284.35</f>
        <v>4322.1199999991732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2454.9641599995302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324.15899999993798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5645.123159999468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43226</v>
      </c>
      <c r="E11" s="56" t="s">
        <v>23</v>
      </c>
      <c r="F11" s="25">
        <v>43232</v>
      </c>
      <c r="G11" s="56" t="s">
        <v>24</v>
      </c>
      <c r="H11" s="56">
        <f>F11-D11</f>
        <v>6</v>
      </c>
    </row>
    <row r="12" spans="1:8" ht="16.5" customHeight="1">
      <c r="A12" s="61" t="s">
        <v>25</v>
      </c>
      <c r="B12" s="61"/>
      <c r="C12" s="47" t="s">
        <v>22</v>
      </c>
      <c r="D12" s="25">
        <v>71681</v>
      </c>
      <c r="E12" s="56" t="s">
        <v>23</v>
      </c>
      <c r="F12" s="25">
        <v>71694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72487</v>
      </c>
      <c r="E13" s="56" t="s">
        <v>23</v>
      </c>
      <c r="F13" s="25">
        <v>72497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29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14128.8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5368.9439999999995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847.72799999999995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6216.6719999999996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304116</v>
      </c>
      <c r="C24" s="56" t="s">
        <v>1</v>
      </c>
      <c r="D24" s="26">
        <v>304311</v>
      </c>
      <c r="E24" s="56" t="s">
        <v>33</v>
      </c>
      <c r="F24" s="56">
        <f>D24-B24</f>
        <v>195</v>
      </c>
      <c r="G24" s="56" t="s">
        <v>34</v>
      </c>
      <c r="H24" s="56">
        <f>F24*220</f>
        <v>42900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1053.4000000000001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171.6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429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2404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39</v>
      </c>
      <c r="E34" s="56" t="s">
        <v>42</v>
      </c>
      <c r="F34" s="21">
        <v>29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14709.875159999468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78" t="s">
        <v>12</v>
      </c>
      <c r="B1" s="78"/>
      <c r="C1" s="78"/>
      <c r="D1" s="78"/>
      <c r="E1" s="78"/>
      <c r="F1" s="78"/>
      <c r="G1" s="78"/>
      <c r="H1" s="78"/>
    </row>
    <row r="2" spans="1:8" ht="16.5" customHeight="1">
      <c r="A2" s="79" t="s">
        <v>71</v>
      </c>
      <c r="B2" s="79"/>
      <c r="C2" s="79"/>
      <c r="D2" s="79"/>
      <c r="E2" s="79"/>
      <c r="F2" s="79"/>
      <c r="G2" s="79"/>
      <c r="H2" s="79"/>
    </row>
    <row r="3" spans="1:8" ht="16.5" customHeight="1">
      <c r="A3" s="60" t="s">
        <v>13</v>
      </c>
      <c r="B3" s="60"/>
      <c r="C3" s="60"/>
      <c r="D3" s="60"/>
      <c r="E3" s="60"/>
      <c r="F3" s="60"/>
      <c r="G3" s="60"/>
      <c r="H3" s="60"/>
    </row>
    <row r="4" spans="1:8" ht="16.5" customHeight="1">
      <c r="A4" s="56" t="s">
        <v>14</v>
      </c>
      <c r="B4" s="25">
        <v>70286.899999999994</v>
      </c>
      <c r="C4" s="56" t="s">
        <v>15</v>
      </c>
      <c r="D4" s="25">
        <v>70304.66</v>
      </c>
      <c r="E4" s="56" t="s">
        <v>16</v>
      </c>
      <c r="F4" s="56">
        <f>D4-B4</f>
        <v>17.760000000009313</v>
      </c>
      <c r="G4" s="56" t="s">
        <v>17</v>
      </c>
      <c r="H4" s="56">
        <f>F4*284.35</f>
        <v>5050.0560000026489</v>
      </c>
    </row>
    <row r="5" spans="1:8" s="4" customFormat="1" ht="10.5" customHeight="1">
      <c r="A5" s="80" t="s">
        <v>3</v>
      </c>
      <c r="B5" s="80"/>
      <c r="C5" s="80"/>
      <c r="D5" s="80"/>
      <c r="E5" s="80"/>
      <c r="F5" s="80"/>
      <c r="G5" s="80"/>
      <c r="H5" s="80"/>
    </row>
    <row r="6" spans="1:8" ht="16.5" customHeight="1">
      <c r="A6" s="71" t="s">
        <v>18</v>
      </c>
      <c r="B6" s="71"/>
      <c r="C6" s="71"/>
      <c r="D6" s="62">
        <f>H4*0.568</f>
        <v>2868.4318080015041</v>
      </c>
      <c r="E6" s="62"/>
      <c r="F6" s="62"/>
      <c r="G6" s="62"/>
      <c r="H6" s="62"/>
    </row>
    <row r="7" spans="1:8" ht="16.5" customHeight="1">
      <c r="A7" s="71" t="s">
        <v>52</v>
      </c>
      <c r="B7" s="71"/>
      <c r="C7" s="71"/>
      <c r="D7" s="62">
        <f>H4*0.075</f>
        <v>378.75420000019864</v>
      </c>
      <c r="E7" s="62"/>
      <c r="F7" s="62"/>
      <c r="G7" s="62"/>
      <c r="H7" s="62"/>
    </row>
    <row r="8" spans="1:8" ht="16.5" customHeight="1">
      <c r="A8" s="72" t="s">
        <v>19</v>
      </c>
      <c r="B8" s="73"/>
      <c r="C8" s="74"/>
      <c r="D8" s="75">
        <v>2866</v>
      </c>
      <c r="E8" s="76"/>
      <c r="F8" s="76"/>
      <c r="G8" s="76"/>
      <c r="H8" s="77"/>
    </row>
    <row r="9" spans="1:8" ht="16.5" customHeight="1">
      <c r="A9" s="58" t="s">
        <v>20</v>
      </c>
      <c r="B9" s="58"/>
      <c r="C9" s="58"/>
      <c r="D9" s="59">
        <f>SUM(D6:H8)</f>
        <v>6113.1860080017032</v>
      </c>
      <c r="E9" s="59"/>
      <c r="F9" s="59"/>
      <c r="G9" s="59"/>
      <c r="H9" s="59"/>
    </row>
    <row r="10" spans="1:8" ht="16.5" customHeight="1">
      <c r="A10" s="60" t="s">
        <v>50</v>
      </c>
      <c r="B10" s="60"/>
      <c r="C10" s="60"/>
      <c r="D10" s="60"/>
      <c r="E10" s="60"/>
      <c r="F10" s="60"/>
      <c r="G10" s="60"/>
      <c r="H10" s="60"/>
    </row>
    <row r="11" spans="1:8" ht="16.5" customHeight="1">
      <c r="A11" s="61" t="s">
        <v>21</v>
      </c>
      <c r="B11" s="61"/>
      <c r="C11" s="47" t="s">
        <v>22</v>
      </c>
      <c r="D11" s="25">
        <v>43219</v>
      </c>
      <c r="E11" s="56" t="s">
        <v>23</v>
      </c>
      <c r="F11" s="25">
        <v>43226</v>
      </c>
      <c r="G11" s="56" t="s">
        <v>24</v>
      </c>
      <c r="H11" s="56">
        <f>F11-D11</f>
        <v>7</v>
      </c>
    </row>
    <row r="12" spans="1:8" ht="16.5" customHeight="1">
      <c r="A12" s="61" t="s">
        <v>25</v>
      </c>
      <c r="B12" s="61"/>
      <c r="C12" s="47" t="s">
        <v>22</v>
      </c>
      <c r="D12" s="25">
        <v>71668</v>
      </c>
      <c r="E12" s="56" t="s">
        <v>23</v>
      </c>
      <c r="F12" s="25">
        <v>71681</v>
      </c>
      <c r="G12" s="56" t="s">
        <v>24</v>
      </c>
      <c r="H12" s="56">
        <f>F12-D12</f>
        <v>13</v>
      </c>
    </row>
    <row r="13" spans="1:8" ht="16.5" customHeight="1">
      <c r="A13" s="61" t="s">
        <v>26</v>
      </c>
      <c r="B13" s="61"/>
      <c r="C13" s="47" t="s">
        <v>22</v>
      </c>
      <c r="D13" s="25">
        <v>72477</v>
      </c>
      <c r="E13" s="56" t="s">
        <v>23</v>
      </c>
      <c r="F13" s="25">
        <v>72487</v>
      </c>
      <c r="G13" s="56" t="s">
        <v>24</v>
      </c>
      <c r="H13" s="56">
        <f>F13-D13</f>
        <v>10</v>
      </c>
    </row>
    <row r="14" spans="1:8" ht="16.5" customHeight="1">
      <c r="A14" s="69" t="s">
        <v>27</v>
      </c>
      <c r="B14" s="69"/>
      <c r="C14" s="69"/>
      <c r="D14" s="69"/>
      <c r="E14" s="69"/>
      <c r="F14" s="69"/>
      <c r="G14" s="69"/>
      <c r="H14" s="56">
        <f>SUM(H11:H13)</f>
        <v>30</v>
      </c>
    </row>
    <row r="15" spans="1:8" ht="16.5" customHeight="1">
      <c r="A15" s="69" t="s">
        <v>28</v>
      </c>
      <c r="B15" s="69"/>
      <c r="C15" s="69"/>
      <c r="D15" s="69"/>
      <c r="E15" s="69"/>
      <c r="F15" s="69"/>
      <c r="G15" s="69"/>
      <c r="H15" s="56">
        <f>H14*487.2</f>
        <v>14616</v>
      </c>
    </row>
    <row r="16" spans="1:8" s="4" customFormat="1" ht="10.5" customHeight="1">
      <c r="A16" s="70" t="s">
        <v>3</v>
      </c>
      <c r="B16" s="70"/>
      <c r="C16" s="70"/>
      <c r="D16" s="70"/>
      <c r="E16" s="70"/>
      <c r="F16" s="70"/>
      <c r="G16" s="70"/>
      <c r="H16" s="70"/>
    </row>
    <row r="17" spans="1:8" ht="16.5" customHeight="1">
      <c r="A17" s="61" t="s">
        <v>29</v>
      </c>
      <c r="B17" s="61"/>
      <c r="C17" s="61"/>
      <c r="D17" s="62">
        <v>460</v>
      </c>
      <c r="E17" s="62"/>
      <c r="F17" s="62"/>
      <c r="G17" s="62"/>
      <c r="H17" s="62"/>
    </row>
    <row r="18" spans="1:8" ht="16.5" customHeight="1">
      <c r="A18" s="61" t="s">
        <v>30</v>
      </c>
      <c r="B18" s="61"/>
      <c r="C18" s="61"/>
      <c r="D18" s="62">
        <v>560</v>
      </c>
      <c r="E18" s="62"/>
      <c r="F18" s="62"/>
      <c r="G18" s="62"/>
      <c r="H18" s="62"/>
    </row>
    <row r="19" spans="1:8" ht="16.5" customHeight="1">
      <c r="A19" s="61" t="s">
        <v>31</v>
      </c>
      <c r="B19" s="61"/>
      <c r="C19" s="61"/>
      <c r="D19" s="62">
        <v>640</v>
      </c>
      <c r="E19" s="62"/>
      <c r="F19" s="62"/>
      <c r="G19" s="62"/>
      <c r="H19" s="62"/>
    </row>
    <row r="20" spans="1:8" ht="16.5" customHeight="1">
      <c r="A20" s="61" t="s">
        <v>32</v>
      </c>
      <c r="B20" s="61"/>
      <c r="C20" s="61"/>
      <c r="D20" s="62">
        <f>H15*0.38</f>
        <v>5554.08</v>
      </c>
      <c r="E20" s="62"/>
      <c r="F20" s="62"/>
      <c r="G20" s="62"/>
      <c r="H20" s="62"/>
    </row>
    <row r="21" spans="1:8" ht="16.5" customHeight="1">
      <c r="A21" s="61" t="s">
        <v>53</v>
      </c>
      <c r="B21" s="61"/>
      <c r="C21" s="61"/>
      <c r="D21" s="62">
        <f>H15*0.06</f>
        <v>876.95999999999992</v>
      </c>
      <c r="E21" s="62"/>
      <c r="F21" s="62"/>
      <c r="G21" s="62"/>
      <c r="H21" s="62"/>
    </row>
    <row r="22" spans="1:8" ht="16.5" customHeight="1">
      <c r="A22" s="58" t="s">
        <v>20</v>
      </c>
      <c r="B22" s="58"/>
      <c r="C22" s="58"/>
      <c r="D22" s="59">
        <f>D20+D21</f>
        <v>6431.04</v>
      </c>
      <c r="E22" s="59"/>
      <c r="F22" s="59"/>
      <c r="G22" s="59"/>
      <c r="H22" s="59"/>
    </row>
    <row r="23" spans="1:8" ht="16.5" customHeight="1">
      <c r="A23" s="63" t="s">
        <v>2</v>
      </c>
      <c r="B23" s="64"/>
      <c r="C23" s="64"/>
      <c r="D23" s="64"/>
      <c r="E23" s="64"/>
      <c r="F23" s="64"/>
      <c r="G23" s="64"/>
      <c r="H23" s="65"/>
    </row>
    <row r="24" spans="1:8" ht="16.5" customHeight="1">
      <c r="A24" s="48" t="s">
        <v>0</v>
      </c>
      <c r="B24" s="26">
        <v>303922</v>
      </c>
      <c r="C24" s="56" t="s">
        <v>1</v>
      </c>
      <c r="D24" s="26">
        <v>304116</v>
      </c>
      <c r="E24" s="56" t="s">
        <v>33</v>
      </c>
      <c r="F24" s="56">
        <f>D24-B24</f>
        <v>194</v>
      </c>
      <c r="G24" s="56" t="s">
        <v>34</v>
      </c>
      <c r="H24" s="56">
        <f>F24*220</f>
        <v>42680</v>
      </c>
    </row>
    <row r="25" spans="1:8" s="4" customFormat="1" ht="10.5" customHeight="1">
      <c r="A25" s="66" t="s">
        <v>4</v>
      </c>
      <c r="B25" s="67"/>
      <c r="C25" s="67"/>
      <c r="D25" s="67"/>
      <c r="E25" s="67"/>
      <c r="F25" s="67"/>
      <c r="G25" s="67"/>
      <c r="H25" s="68"/>
    </row>
    <row r="26" spans="1:8" ht="16.5" customHeight="1">
      <c r="A26" s="61" t="s">
        <v>35</v>
      </c>
      <c r="B26" s="61"/>
      <c r="C26" s="61"/>
      <c r="D26" s="62">
        <v>350</v>
      </c>
      <c r="E26" s="62"/>
      <c r="F26" s="62"/>
      <c r="G26" s="62"/>
      <c r="H26" s="62"/>
    </row>
    <row r="27" spans="1:8" ht="16.5" customHeight="1">
      <c r="A27" s="61" t="s">
        <v>36</v>
      </c>
      <c r="B27" s="61"/>
      <c r="C27" s="61"/>
      <c r="D27" s="62">
        <v>400</v>
      </c>
      <c r="E27" s="62"/>
      <c r="F27" s="62"/>
      <c r="G27" s="62"/>
      <c r="H27" s="62"/>
    </row>
    <row r="28" spans="1:8" ht="16.5" customHeight="1">
      <c r="A28" s="61" t="s">
        <v>37</v>
      </c>
      <c r="B28" s="61"/>
      <c r="C28" s="61"/>
      <c r="D28" s="62">
        <f>(H24-20000)*0.046</f>
        <v>1043.28</v>
      </c>
      <c r="E28" s="62"/>
      <c r="F28" s="62"/>
      <c r="G28" s="62"/>
      <c r="H28" s="62"/>
    </row>
    <row r="29" spans="1:8" ht="16.5" customHeight="1">
      <c r="A29" s="61" t="s">
        <v>38</v>
      </c>
      <c r="B29" s="61"/>
      <c r="C29" s="61"/>
      <c r="D29" s="62">
        <f>H24*0.004</f>
        <v>170.72</v>
      </c>
      <c r="E29" s="62"/>
      <c r="F29" s="62"/>
      <c r="G29" s="62"/>
      <c r="H29" s="62"/>
    </row>
    <row r="30" spans="1:8" ht="16.5" customHeight="1">
      <c r="A30" s="61" t="s">
        <v>39</v>
      </c>
      <c r="B30" s="61"/>
      <c r="C30" s="61"/>
      <c r="D30" s="62">
        <f>H24*0.01</f>
        <v>426.8</v>
      </c>
      <c r="E30" s="62"/>
      <c r="F30" s="62"/>
      <c r="G30" s="62"/>
      <c r="H30" s="62"/>
    </row>
    <row r="31" spans="1:8" ht="16.5" customHeight="1">
      <c r="A31" s="58" t="s">
        <v>20</v>
      </c>
      <c r="B31" s="58"/>
      <c r="C31" s="58"/>
      <c r="D31" s="59">
        <f>SUM(D26:H30)</f>
        <v>2390.8000000000002</v>
      </c>
      <c r="E31" s="59"/>
      <c r="F31" s="59"/>
      <c r="G31" s="59"/>
      <c r="H31" s="59"/>
    </row>
    <row r="32" spans="1:8" ht="16.5" customHeight="1">
      <c r="A32" s="60" t="s">
        <v>51</v>
      </c>
      <c r="B32" s="60"/>
      <c r="C32" s="60"/>
      <c r="D32" s="60"/>
      <c r="E32" s="60"/>
      <c r="F32" s="60"/>
      <c r="G32" s="60"/>
      <c r="H32" s="60"/>
    </row>
    <row r="33" spans="1:8" ht="16.5" customHeight="1">
      <c r="A33" s="61" t="s">
        <v>40</v>
      </c>
      <c r="B33" s="61"/>
      <c r="C33" s="47" t="s">
        <v>41</v>
      </c>
      <c r="D33" s="21">
        <v>80</v>
      </c>
      <c r="E33" s="56" t="s">
        <v>42</v>
      </c>
      <c r="F33" s="21">
        <v>80</v>
      </c>
      <c r="G33" s="56" t="s">
        <v>43</v>
      </c>
      <c r="H33" s="49">
        <f>(D33-F33)*48.8</f>
        <v>0</v>
      </c>
    </row>
    <row r="34" spans="1:8" ht="16.5" customHeight="1">
      <c r="A34" s="61" t="s">
        <v>44</v>
      </c>
      <c r="B34" s="61"/>
      <c r="C34" s="47" t="s">
        <v>41</v>
      </c>
      <c r="D34" s="21">
        <v>49</v>
      </c>
      <c r="E34" s="56" t="s">
        <v>42</v>
      </c>
      <c r="F34" s="21">
        <v>39</v>
      </c>
      <c r="G34" s="56" t="s">
        <v>43</v>
      </c>
      <c r="H34" s="49">
        <f>(D34-F34)*48.8</f>
        <v>488</v>
      </c>
    </row>
    <row r="35" spans="1:8" ht="16.5" customHeight="1">
      <c r="A35" s="58" t="s">
        <v>54</v>
      </c>
      <c r="B35" s="58"/>
      <c r="C35" s="58"/>
      <c r="D35" s="58"/>
      <c r="E35" s="58"/>
      <c r="F35" s="58"/>
      <c r="G35" s="58"/>
      <c r="H35" s="55">
        <f>((H34+H33)*1.82)*0.5</f>
        <v>444.08000000000004</v>
      </c>
    </row>
    <row r="36" spans="1:8" ht="16.5" customHeight="1">
      <c r="A36" s="58" t="s">
        <v>45</v>
      </c>
      <c r="B36" s="58"/>
      <c r="C36" s="58"/>
      <c r="D36" s="58"/>
      <c r="E36" s="58"/>
      <c r="F36" s="58"/>
      <c r="G36" s="58"/>
      <c r="H36" s="55">
        <f>H35+D22+D9+D31</f>
        <v>15379.106008001701</v>
      </c>
    </row>
  </sheetData>
  <sheetProtection sheet="1" objects="1" scenarios="1"/>
  <mergeCells count="50">
    <mergeCell ref="A36:G36"/>
    <mergeCell ref="A31:C31"/>
    <mergeCell ref="D31:H31"/>
    <mergeCell ref="A32:H32"/>
    <mergeCell ref="A33:B33"/>
    <mergeCell ref="A34:B34"/>
    <mergeCell ref="A35:G35"/>
    <mergeCell ref="A28:C28"/>
    <mergeCell ref="D28:H28"/>
    <mergeCell ref="A29:C29"/>
    <mergeCell ref="D29:H29"/>
    <mergeCell ref="A30:C30"/>
    <mergeCell ref="D30:H30"/>
    <mergeCell ref="A23:H23"/>
    <mergeCell ref="A25:H25"/>
    <mergeCell ref="A26:C26"/>
    <mergeCell ref="D26:H26"/>
    <mergeCell ref="A27:C27"/>
    <mergeCell ref="D27:H27"/>
    <mergeCell ref="A20:C20"/>
    <mergeCell ref="D20:H20"/>
    <mergeCell ref="A21:C21"/>
    <mergeCell ref="D21:H21"/>
    <mergeCell ref="A22:C22"/>
    <mergeCell ref="D22:H22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7:C7"/>
    <mergeCell ref="D7:H7"/>
    <mergeCell ref="A8:C8"/>
    <mergeCell ref="D8:H8"/>
    <mergeCell ref="A9:C9"/>
    <mergeCell ref="D9:H9"/>
    <mergeCell ref="A1:H1"/>
    <mergeCell ref="A2:H2"/>
    <mergeCell ref="A3:H3"/>
    <mergeCell ref="A5:H5"/>
    <mergeCell ref="A6:C6"/>
    <mergeCell ref="D6:H6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TOTAL</vt:lpstr>
      <vt:lpstr>MTD Utility Sheet</vt:lpstr>
      <vt:lpstr>December-31</vt:lpstr>
      <vt:lpstr>December-30</vt:lpstr>
      <vt:lpstr>December-29</vt:lpstr>
      <vt:lpstr>December-28</vt:lpstr>
      <vt:lpstr>December-27</vt:lpstr>
      <vt:lpstr>December-26</vt:lpstr>
      <vt:lpstr>December-25</vt:lpstr>
      <vt:lpstr>December-24</vt:lpstr>
      <vt:lpstr>December-23 </vt:lpstr>
      <vt:lpstr>December-22</vt:lpstr>
      <vt:lpstr>December-21</vt:lpstr>
      <vt:lpstr>December-20</vt:lpstr>
      <vt:lpstr>December-19</vt:lpstr>
      <vt:lpstr>December-18</vt:lpstr>
      <vt:lpstr>December-17</vt:lpstr>
      <vt:lpstr>December-16</vt:lpstr>
      <vt:lpstr>December-15</vt:lpstr>
      <vt:lpstr>December-14</vt:lpstr>
      <vt:lpstr>December-13</vt:lpstr>
      <vt:lpstr>December-12</vt:lpstr>
      <vt:lpstr>December-11</vt:lpstr>
      <vt:lpstr>December-10</vt:lpstr>
      <vt:lpstr>December-9</vt:lpstr>
      <vt:lpstr>December-8</vt:lpstr>
      <vt:lpstr>December-7</vt:lpstr>
      <vt:lpstr>December-6</vt:lpstr>
      <vt:lpstr>December-5</vt:lpstr>
      <vt:lpstr>December-4</vt:lpstr>
      <vt:lpstr>December-3</vt:lpstr>
      <vt:lpstr>December-2</vt:lpstr>
      <vt:lpstr>December-1</vt:lpstr>
      <vt:lpstr>'December-1'!Print_Area</vt:lpstr>
      <vt:lpstr>'December-10'!Print_Area</vt:lpstr>
      <vt:lpstr>'December-11'!Print_Area</vt:lpstr>
      <vt:lpstr>'December-12'!Print_Area</vt:lpstr>
      <vt:lpstr>'December-13'!Print_Area</vt:lpstr>
      <vt:lpstr>'December-14'!Print_Area</vt:lpstr>
      <vt:lpstr>'December-15'!Print_Area</vt:lpstr>
      <vt:lpstr>'December-16'!Print_Area</vt:lpstr>
      <vt:lpstr>'December-17'!Print_Area</vt:lpstr>
      <vt:lpstr>'December-18'!Print_Area</vt:lpstr>
      <vt:lpstr>'December-19'!Print_Area</vt:lpstr>
      <vt:lpstr>'December-2'!Print_Area</vt:lpstr>
      <vt:lpstr>'December-20'!Print_Area</vt:lpstr>
      <vt:lpstr>'December-21'!Print_Area</vt:lpstr>
      <vt:lpstr>'December-22'!Print_Area</vt:lpstr>
      <vt:lpstr>'December-23 '!Print_Area</vt:lpstr>
      <vt:lpstr>'December-24'!Print_Area</vt:lpstr>
      <vt:lpstr>'December-25'!Print_Area</vt:lpstr>
      <vt:lpstr>'December-26'!Print_Area</vt:lpstr>
      <vt:lpstr>'December-27'!Print_Area</vt:lpstr>
      <vt:lpstr>'December-28'!Print_Area</vt:lpstr>
      <vt:lpstr>'December-29'!Print_Area</vt:lpstr>
      <vt:lpstr>'December-3'!Print_Area</vt:lpstr>
      <vt:lpstr>'December-30'!Print_Area</vt:lpstr>
      <vt:lpstr>'December-31'!Print_Area</vt:lpstr>
      <vt:lpstr>'December-4'!Print_Area</vt:lpstr>
      <vt:lpstr>'December-5'!Print_Area</vt:lpstr>
      <vt:lpstr>'December-6'!Print_Area</vt:lpstr>
      <vt:lpstr>'December-7'!Print_Area</vt:lpstr>
      <vt:lpstr>'December-8'!Print_Area</vt:lpstr>
      <vt:lpstr>'December-9'!Print_Area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Eng Secretary - Amwaj Rotana</cp:lastModifiedBy>
  <cp:lastPrinted>2023-12-31T09:52:57Z</cp:lastPrinted>
  <dcterms:created xsi:type="dcterms:W3CDTF">2009-10-25T07:14:49Z</dcterms:created>
  <dcterms:modified xsi:type="dcterms:W3CDTF">2025-04-17T11:18:38Z</dcterms:modified>
</cp:coreProperties>
</file>