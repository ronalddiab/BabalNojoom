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19/"/>
    </mc:Choice>
  </mc:AlternateContent>
  <xr:revisionPtr revIDLastSave="823" documentId="8_{8847650D-614C-4264-8C87-30D8B5EB4252}" xr6:coauthVersionLast="47" xr6:coauthVersionMax="47" xr10:uidLastSave="{DBA31A24-D28A-49E7-A3A2-ECCE496936BA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E6" i="5"/>
  <c r="E20" i="3"/>
  <c r="E18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B34" i="7"/>
  <c r="C34" i="7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<sst xmlns="http://schemas.openxmlformats.org/spreadsheetml/2006/main" count="123" uniqueCount="88">
  <si>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</si>
  <si>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</si>
  <si>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</si>
  <si>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</si>
  <si>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</si>
  <si>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</si>
  <si>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</si>
  <si>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</si>
  <si>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</si>
  <si>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</si>
  <si>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</si>
  <si>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</si>
  <si>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</si>
  <si>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</si>
  <si>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</si>
  <si>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</si>
  <si>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</si>
  <si>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</si>
  <si>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</si>
  <si>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</si>
  <si>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</si>
  <si>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</si>
  <si>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</si>
  <si>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</si>
  <si>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</si>
  <si>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</si>
  <si>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</si>
  <si>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</si>
  <si>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</si>
  <si>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</si>
  <si>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</si>
  <si>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</si>
  <si>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</si>
  <si>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</si>
  <si>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</si>
  <si>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</si>
  <si>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</si>
  <si>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</si>
  <si>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</si>
  <si>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</si>
  <si>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</si>
  <si>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</si>
  <si>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</si>
  <si>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</si>
  <si>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</si>
  <si>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</si>
  <si>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</si>
  <si>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</si>
  <si>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</si>
  <si>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</si>
  <si>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</si>
  <si>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</si>
  <si>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</si>
  <si>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</si>
  <si>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</si>
  <si>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</si>
  <si>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</si>
  <si>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</si>
  <si>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</si>
  <si>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</si>
  <si>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</si>
  <si>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</si>
  <si>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</si>
  <si>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</si>
  <si>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</si>
  <si>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</si>
  <si>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</si>
  <si>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</si>
  <si>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</si>
  <si>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</si>
  <si>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</si>
  <si>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</si>
  <si>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</si>
  <si>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</si>
  <si>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</si>
  <si>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</si>
  <si>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</si>
  <si>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</si>
  <si>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</si>
  <si>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</si>
  <si>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</si>
  <si>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</si>
  <si>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</si>
  <si>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</si>
  <si>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ELECTRICITY METER READINGS &amp; CONSUMPTION AUGUTS 2019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</si>
  <si>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AUGUST  2019</t>
    </r>
  </si>
  <si>
    <t>DAILY GAS METER READINGS &amp; CONSUMPTION (Liters) AUGUST 2019</t>
  </si>
  <si>
    <t>Occupied Room &amp; Number of Guest
August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</si>
</sst>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0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8" fontId="26" fillId="0" borderId="21" xfId="1" applyNumberFormat="1" applyFont="1" applyFill="1" applyBorder="1"/>
    <xf numFmtId="3" fontId="2" fillId="0" borderId="0" xfId="0" applyNumberFormat="1" applyFont="1"/>
    <xf numFmtId="166" fontId="15" fillId="0" borderId="2" xfId="0" applyNumberFormat="1" applyFont="1" applyBorder="1" applyAlignment="1">
      <alignment horizontal="center" vertical="center"/>
    </xf>
    <xf numFmtId="166" fontId="15" fillId="6" borderId="2" xfId="0" applyNumberFormat="1" applyFont="1" applyFill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P15" sqref="P15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8</v>
      </c>
      <c r="D2" s="10">
        <v>2019</v>
      </c>
      <c r="E2" s="4" cm="1">
        <f t="array" ref="E2:E32">TRANSPOSE(Electricity!E21:AI21)</f>
        <v>47543</v>
      </c>
      <c r="F2" s="11">
        <v>0.2</v>
      </c>
      <c r="G2" s="4">
        <f>LPG!C4</f>
        <v>1875.9216129032259</v>
      </c>
      <c r="H2" s="11">
        <v>1.2657713017446734</v>
      </c>
      <c r="I2" s="4" cm="1">
        <f t="array" ref="I2:I32">TRANSPOSE(Water!E15:AI15)</f>
        <v>477.66300000000575</v>
      </c>
      <c r="J2" s="11">
        <v>7.84</v>
      </c>
      <c r="K2" s="4">
        <f>'Occupied &amp; No. of Guest'!B3</f>
        <v>227</v>
      </c>
      <c r="L2" s="4">
        <f>'Occupied &amp; No. of Guest'!C3</f>
        <v>328</v>
      </c>
    </row>
    <row r="3" spans="1:12" x14ac:dyDescent="0.25">
      <c r="A3" s="9" t="s">
        <v>12</v>
      </c>
      <c r="B3" s="10">
        <f>B2+1</f>
        <v>2</v>
      </c>
      <c r="C3" s="10">
        <v>8</v>
      </c>
      <c r="D3" s="10">
        <v>2019</v>
      </c>
      <c r="E3" s="4">
        <v>44562</v>
      </c>
      <c r="F3" s="11">
        <v>0.2</v>
      </c>
      <c r="G3" s="4">
        <f>LPG!C5</f>
        <v>1875.9216129032259</v>
      </c>
      <c r="H3" s="11">
        <v>1.2657713017446734</v>
      </c>
      <c r="I3" s="4">
        <v>333.2080000000027</v>
      </c>
      <c r="J3" s="11">
        <v>7.84</v>
      </c>
      <c r="K3" s="4">
        <f>'Occupied &amp; No. of Guest'!B4</f>
        <v>237</v>
      </c>
      <c r="L3" s="4">
        <f>'Occupied &amp; No. of Guest'!C4</f>
        <v>372</v>
      </c>
    </row>
    <row r="4" spans="1:12" x14ac:dyDescent="0.25">
      <c r="A4" s="9" t="s">
        <v>12</v>
      </c>
      <c r="B4" s="10">
        <f t="shared" ref="B4:B32" si="0">B3+1</f>
        <v>3</v>
      </c>
      <c r="C4" s="10">
        <v>8</v>
      </c>
      <c r="D4" s="10">
        <v>2019</v>
      </c>
      <c r="E4" s="4">
        <v>45542</v>
      </c>
      <c r="F4" s="11">
        <v>0.2</v>
      </c>
      <c r="G4" s="4">
        <f>LPG!C6</f>
        <v>1875.9216129032259</v>
      </c>
      <c r="H4" s="11">
        <v>1.2657713017446734</v>
      </c>
      <c r="I4" s="4">
        <v>499.33399999999739</v>
      </c>
      <c r="J4" s="11">
        <v>7.84</v>
      </c>
      <c r="K4" s="4">
        <f>'Occupied &amp; No. of Guest'!B5</f>
        <v>206</v>
      </c>
      <c r="L4" s="4">
        <f>'Occupied &amp; No. of Guest'!C5</f>
        <v>287</v>
      </c>
    </row>
    <row r="5" spans="1:12" x14ac:dyDescent="0.25">
      <c r="A5" s="9" t="s">
        <v>12</v>
      </c>
      <c r="B5" s="10">
        <f t="shared" si="0"/>
        <v>4</v>
      </c>
      <c r="C5" s="10">
        <v>8</v>
      </c>
      <c r="D5" s="10">
        <v>2019</v>
      </c>
      <c r="E5" s="4">
        <v>46542</v>
      </c>
      <c r="F5" s="11">
        <v>0.2</v>
      </c>
      <c r="G5" s="4">
        <f>LPG!C7</f>
        <v>1875.9216129032259</v>
      </c>
      <c r="H5" s="11">
        <v>1.2657713017446734</v>
      </c>
      <c r="I5" s="4">
        <v>434.0270000000055</v>
      </c>
      <c r="J5" s="11">
        <v>7.84</v>
      </c>
      <c r="K5" s="4">
        <f>'Occupied &amp; No. of Guest'!B6</f>
        <v>260</v>
      </c>
      <c r="L5" s="4">
        <f>'Occupied &amp; No. of Guest'!C6</f>
        <v>388</v>
      </c>
    </row>
    <row r="6" spans="1:12" x14ac:dyDescent="0.25">
      <c r="A6" s="9" t="s">
        <v>12</v>
      </c>
      <c r="B6" s="10">
        <f t="shared" si="0"/>
        <v>5</v>
      </c>
      <c r="C6" s="10">
        <v>8</v>
      </c>
      <c r="D6" s="10">
        <v>2019</v>
      </c>
      <c r="E6" s="4">
        <v>46749</v>
      </c>
      <c r="F6" s="11">
        <v>0.2</v>
      </c>
      <c r="G6" s="4">
        <f>LPG!C8</f>
        <v>1875.9216129032259</v>
      </c>
      <c r="H6" s="11">
        <v>1.2657713017446734</v>
      </c>
      <c r="I6" s="4">
        <v>463.03600000000216</v>
      </c>
      <c r="J6" s="11">
        <v>7.84</v>
      </c>
      <c r="K6" s="4">
        <f>'Occupied &amp; No. of Guest'!B7</f>
        <v>277</v>
      </c>
      <c r="L6" s="4">
        <f>'Occupied &amp; No. of Guest'!C7</f>
        <v>380</v>
      </c>
    </row>
    <row r="7" spans="1:12" x14ac:dyDescent="0.25">
      <c r="A7" s="9" t="s">
        <v>12</v>
      </c>
      <c r="B7" s="10">
        <f t="shared" si="0"/>
        <v>6</v>
      </c>
      <c r="C7" s="10">
        <v>8</v>
      </c>
      <c r="D7" s="10">
        <v>2019</v>
      </c>
      <c r="E7" s="4">
        <v>45336</v>
      </c>
      <c r="F7" s="11">
        <v>0.2</v>
      </c>
      <c r="G7" s="4">
        <f>LPG!C9</f>
        <v>1875.9216129032259</v>
      </c>
      <c r="H7" s="11">
        <v>1.2657713017446734</v>
      </c>
      <c r="I7" s="4">
        <v>479.3009999999922</v>
      </c>
      <c r="J7" s="11">
        <v>7.84</v>
      </c>
      <c r="K7" s="4">
        <f>'Occupied &amp; No. of Guest'!B8</f>
        <v>258</v>
      </c>
      <c r="L7" s="4">
        <f>'Occupied &amp; No. of Guest'!C8</f>
        <v>353</v>
      </c>
    </row>
    <row r="8" spans="1:12" x14ac:dyDescent="0.25">
      <c r="A8" s="9" t="s">
        <v>12</v>
      </c>
      <c r="B8" s="10">
        <f t="shared" si="0"/>
        <v>7</v>
      </c>
      <c r="C8" s="10">
        <v>8</v>
      </c>
      <c r="D8" s="10">
        <v>2019</v>
      </c>
      <c r="E8" s="4">
        <v>45934</v>
      </c>
      <c r="F8" s="11">
        <v>0.2</v>
      </c>
      <c r="G8" s="4">
        <f>LPG!C10</f>
        <v>1875.9216129032259</v>
      </c>
      <c r="H8" s="11">
        <v>1.2657713017446734</v>
      </c>
      <c r="I8" s="4">
        <v>450.89699999999419</v>
      </c>
      <c r="J8" s="11">
        <v>7.84</v>
      </c>
      <c r="K8" s="4">
        <f>'Occupied &amp; No. of Guest'!B9</f>
        <v>241</v>
      </c>
      <c r="L8" s="4">
        <f>'Occupied &amp; No. of Guest'!C9</f>
        <v>342</v>
      </c>
    </row>
    <row r="9" spans="1:12" x14ac:dyDescent="0.25">
      <c r="A9" s="9" t="s">
        <v>12</v>
      </c>
      <c r="B9" s="10">
        <f t="shared" si="0"/>
        <v>8</v>
      </c>
      <c r="C9" s="10">
        <v>8</v>
      </c>
      <c r="D9" s="10">
        <v>2019</v>
      </c>
      <c r="E9" s="4">
        <v>46137</v>
      </c>
      <c r="F9" s="11">
        <v>0.2</v>
      </c>
      <c r="G9" s="4">
        <f>LPG!C11</f>
        <v>1875.9216129032259</v>
      </c>
      <c r="H9" s="11">
        <v>1.2657713017446734</v>
      </c>
      <c r="I9" s="4">
        <v>465.26200000000892</v>
      </c>
      <c r="J9" s="11">
        <v>7.84</v>
      </c>
      <c r="K9" s="4">
        <f>'Occupied &amp; No. of Guest'!B10</f>
        <v>182</v>
      </c>
      <c r="L9" s="4">
        <f>'Occupied &amp; No. of Guest'!C10</f>
        <v>261</v>
      </c>
    </row>
    <row r="10" spans="1:12" x14ac:dyDescent="0.25">
      <c r="A10" s="9" t="s">
        <v>12</v>
      </c>
      <c r="B10" s="10">
        <f t="shared" si="0"/>
        <v>9</v>
      </c>
      <c r="C10" s="10">
        <v>8</v>
      </c>
      <c r="D10" s="10">
        <v>2019</v>
      </c>
      <c r="E10" s="4">
        <v>47336</v>
      </c>
      <c r="F10" s="11">
        <v>0.2</v>
      </c>
      <c r="G10" s="4">
        <f>LPG!C12</f>
        <v>1875.9216129032259</v>
      </c>
      <c r="H10" s="11">
        <v>1.2657713017446734</v>
      </c>
      <c r="I10" s="4">
        <v>303.61499999998853</v>
      </c>
      <c r="J10" s="11">
        <v>7.84</v>
      </c>
      <c r="K10" s="4">
        <f>'Occupied &amp; No. of Guest'!B11</f>
        <v>244</v>
      </c>
      <c r="L10" s="4">
        <f>'Occupied &amp; No. of Guest'!C11</f>
        <v>452</v>
      </c>
    </row>
    <row r="11" spans="1:12" x14ac:dyDescent="0.25">
      <c r="A11" s="9" t="s">
        <v>12</v>
      </c>
      <c r="B11" s="10">
        <f t="shared" si="0"/>
        <v>10</v>
      </c>
      <c r="C11" s="10">
        <v>8</v>
      </c>
      <c r="D11" s="10">
        <v>2019</v>
      </c>
      <c r="E11" s="4">
        <v>48756</v>
      </c>
      <c r="F11" s="11">
        <v>0.2</v>
      </c>
      <c r="G11" s="4">
        <f>LPG!C13</f>
        <v>1875.9216129032259</v>
      </c>
      <c r="H11" s="11">
        <v>1.2657713017446734</v>
      </c>
      <c r="I11" s="4">
        <v>571.52900000001546</v>
      </c>
      <c r="J11" s="11">
        <v>7.84</v>
      </c>
      <c r="K11" s="4">
        <f>'Occupied &amp; No. of Guest'!B12</f>
        <v>271</v>
      </c>
      <c r="L11" s="4">
        <f>'Occupied &amp; No. of Guest'!C12</f>
        <v>581</v>
      </c>
    </row>
    <row r="12" spans="1:12" x14ac:dyDescent="0.25">
      <c r="A12" s="9" t="s">
        <v>12</v>
      </c>
      <c r="B12" s="10">
        <f t="shared" si="0"/>
        <v>11</v>
      </c>
      <c r="C12" s="10">
        <v>8</v>
      </c>
      <c r="D12" s="10">
        <v>2019</v>
      </c>
      <c r="E12" s="4">
        <v>48337</v>
      </c>
      <c r="F12" s="11">
        <v>0.2</v>
      </c>
      <c r="G12" s="4">
        <f>LPG!C14</f>
        <v>1875.9216129032259</v>
      </c>
      <c r="H12" s="11">
        <v>1.2657713017446734</v>
      </c>
      <c r="I12" s="4">
        <v>412.27599999999222</v>
      </c>
      <c r="J12" s="11">
        <v>7.84</v>
      </c>
      <c r="K12" s="4">
        <f>'Occupied &amp; No. of Guest'!B13</f>
        <v>353</v>
      </c>
      <c r="L12" s="4">
        <f>'Occupied &amp; No. of Guest'!C13</f>
        <v>806</v>
      </c>
    </row>
    <row r="13" spans="1:12" x14ac:dyDescent="0.25">
      <c r="A13" s="9" t="s">
        <v>12</v>
      </c>
      <c r="B13" s="10">
        <f t="shared" si="0"/>
        <v>12</v>
      </c>
      <c r="C13" s="10">
        <v>8</v>
      </c>
      <c r="D13" s="10">
        <v>2019</v>
      </c>
      <c r="E13" s="4">
        <v>48955</v>
      </c>
      <c r="F13" s="11">
        <v>0.2</v>
      </c>
      <c r="G13" s="4">
        <f>LPG!C15</f>
        <v>1875.9216129032259</v>
      </c>
      <c r="H13" s="11">
        <v>1.2657713017446734</v>
      </c>
      <c r="I13" s="4">
        <v>453.76000000000221</v>
      </c>
      <c r="J13" s="11">
        <v>7.84</v>
      </c>
      <c r="K13" s="4">
        <f>'Occupied &amp; No. of Guest'!B14</f>
        <v>295</v>
      </c>
      <c r="L13" s="4">
        <f>'Occupied &amp; No. of Guest'!C14</f>
        <v>625</v>
      </c>
    </row>
    <row r="14" spans="1:12" x14ac:dyDescent="0.25">
      <c r="A14" s="9" t="s">
        <v>12</v>
      </c>
      <c r="B14" s="10">
        <f t="shared" si="0"/>
        <v>13</v>
      </c>
      <c r="C14" s="10">
        <v>8</v>
      </c>
      <c r="D14" s="10">
        <v>2019</v>
      </c>
      <c r="E14" s="4">
        <v>45931</v>
      </c>
      <c r="F14" s="11">
        <v>0.2</v>
      </c>
      <c r="G14" s="4">
        <f>LPG!C16</f>
        <v>1875.9216129032259</v>
      </c>
      <c r="H14" s="11">
        <v>1.2657713017446734</v>
      </c>
      <c r="I14" s="4">
        <v>410.6140000000006</v>
      </c>
      <c r="J14" s="11">
        <v>7.84</v>
      </c>
      <c r="K14" s="4">
        <f>'Occupied &amp; No. of Guest'!B15</f>
        <v>261</v>
      </c>
      <c r="L14" s="4">
        <f>'Occupied &amp; No. of Guest'!C15</f>
        <v>541</v>
      </c>
    </row>
    <row r="15" spans="1:12" x14ac:dyDescent="0.25">
      <c r="A15" s="9" t="s">
        <v>12</v>
      </c>
      <c r="B15" s="10">
        <f t="shared" si="0"/>
        <v>14</v>
      </c>
      <c r="C15" s="10">
        <v>8</v>
      </c>
      <c r="D15" s="10">
        <v>2019</v>
      </c>
      <c r="E15" s="4">
        <v>44530</v>
      </c>
      <c r="F15" s="11">
        <v>0.2</v>
      </c>
      <c r="G15" s="4">
        <f>LPG!C17</f>
        <v>1875.9216129032259</v>
      </c>
      <c r="H15" s="11">
        <v>1.2657713017446734</v>
      </c>
      <c r="I15" s="4">
        <v>475.12199999999063</v>
      </c>
      <c r="J15" s="11">
        <v>7.84</v>
      </c>
      <c r="K15" s="4">
        <f>'Occupied &amp; No. of Guest'!B16</f>
        <v>247</v>
      </c>
      <c r="L15" s="4">
        <f>'Occupied &amp; No. of Guest'!C16</f>
        <v>477</v>
      </c>
    </row>
    <row r="16" spans="1:12" x14ac:dyDescent="0.25">
      <c r="A16" s="9" t="s">
        <v>12</v>
      </c>
      <c r="B16" s="10">
        <f t="shared" si="0"/>
        <v>15</v>
      </c>
      <c r="C16" s="10">
        <v>8</v>
      </c>
      <c r="D16" s="10">
        <v>2019</v>
      </c>
      <c r="E16" s="4">
        <v>45545</v>
      </c>
      <c r="F16" s="11">
        <v>0.2</v>
      </c>
      <c r="G16" s="4">
        <f>LPG!C18</f>
        <v>1875.9216129032259</v>
      </c>
      <c r="H16" s="11">
        <v>1.2657713017446734</v>
      </c>
      <c r="I16" s="4">
        <v>420.89400000000228</v>
      </c>
      <c r="J16" s="11">
        <v>7.84</v>
      </c>
      <c r="K16" s="4">
        <f>'Occupied &amp; No. of Guest'!B17</f>
        <v>268</v>
      </c>
      <c r="L16" s="4">
        <f>'Occupied &amp; No. of Guest'!C17</f>
        <v>499</v>
      </c>
    </row>
    <row r="17" spans="1:12" x14ac:dyDescent="0.25">
      <c r="A17" s="9" t="s">
        <v>12</v>
      </c>
      <c r="B17" s="10">
        <f t="shared" si="0"/>
        <v>16</v>
      </c>
      <c r="C17" s="10">
        <v>8</v>
      </c>
      <c r="D17" s="10">
        <v>2019</v>
      </c>
      <c r="E17" s="4">
        <v>45131</v>
      </c>
      <c r="F17" s="11">
        <v>0.2</v>
      </c>
      <c r="G17" s="4">
        <f>LPG!C19</f>
        <v>1875.9216129032259</v>
      </c>
      <c r="H17" s="11">
        <v>1.2657713017446734</v>
      </c>
      <c r="I17" s="4">
        <v>342.46100000000808</v>
      </c>
      <c r="J17" s="11">
        <v>7.84</v>
      </c>
      <c r="K17" s="4">
        <f>'Occupied &amp; No. of Guest'!B18</f>
        <v>178</v>
      </c>
      <c r="L17" s="4">
        <f>'Occupied &amp; No. of Guest'!C18</f>
        <v>267</v>
      </c>
    </row>
    <row r="18" spans="1:12" x14ac:dyDescent="0.25">
      <c r="A18" s="9" t="s">
        <v>12</v>
      </c>
      <c r="B18" s="10">
        <f t="shared" si="0"/>
        <v>17</v>
      </c>
      <c r="C18" s="10">
        <v>8</v>
      </c>
      <c r="D18" s="10">
        <v>2019</v>
      </c>
      <c r="E18" s="4">
        <v>47920</v>
      </c>
      <c r="F18" s="11">
        <v>0.2</v>
      </c>
      <c r="G18" s="4">
        <f>LPG!C20</f>
        <v>1875.9216129032259</v>
      </c>
      <c r="H18" s="11">
        <v>1.2657713017446734</v>
      </c>
      <c r="I18" s="4">
        <v>494.83999999999594</v>
      </c>
      <c r="J18" s="11">
        <v>7.84</v>
      </c>
      <c r="K18" s="4">
        <f>'Occupied &amp; No. of Guest'!B19</f>
        <v>179</v>
      </c>
      <c r="L18" s="4">
        <f>'Occupied &amp; No. of Guest'!C19</f>
        <v>240</v>
      </c>
    </row>
    <row r="19" spans="1:12" x14ac:dyDescent="0.25">
      <c r="A19" s="9" t="s">
        <v>12</v>
      </c>
      <c r="B19" s="10">
        <f t="shared" si="0"/>
        <v>18</v>
      </c>
      <c r="C19" s="10">
        <v>8</v>
      </c>
      <c r="D19" s="10">
        <v>2019</v>
      </c>
      <c r="E19" s="4">
        <v>46951</v>
      </c>
      <c r="F19" s="11">
        <v>0.2</v>
      </c>
      <c r="G19" s="4">
        <f>LPG!C21</f>
        <v>1875.9216129032259</v>
      </c>
      <c r="H19" s="11">
        <v>1.2657713017446734</v>
      </c>
      <c r="I19" s="4">
        <v>468.57500000000658</v>
      </c>
      <c r="J19" s="11">
        <v>7.84</v>
      </c>
      <c r="K19" s="4">
        <f>'Occupied &amp; No. of Guest'!B20</f>
        <v>196</v>
      </c>
      <c r="L19" s="4">
        <f>'Occupied &amp; No. of Guest'!C20</f>
        <v>271</v>
      </c>
    </row>
    <row r="20" spans="1:12" x14ac:dyDescent="0.25">
      <c r="A20" s="9" t="s">
        <v>12</v>
      </c>
      <c r="B20" s="10">
        <f t="shared" si="0"/>
        <v>19</v>
      </c>
      <c r="C20" s="10">
        <v>8</v>
      </c>
      <c r="D20" s="10">
        <v>2019</v>
      </c>
      <c r="E20" s="4">
        <v>47127</v>
      </c>
      <c r="F20" s="11">
        <v>0.2</v>
      </c>
      <c r="G20" s="4">
        <f>LPG!C22</f>
        <v>1875.9216129032259</v>
      </c>
      <c r="H20" s="11">
        <v>1.2657713017446734</v>
      </c>
      <c r="I20" s="4">
        <v>475.68699999999626</v>
      </c>
      <c r="J20" s="11">
        <v>7.84</v>
      </c>
      <c r="K20" s="4">
        <f>'Occupied &amp; No. of Guest'!B21</f>
        <v>265</v>
      </c>
      <c r="L20" s="4">
        <f>'Occupied &amp; No. of Guest'!C21</f>
        <v>402</v>
      </c>
    </row>
    <row r="21" spans="1:12" x14ac:dyDescent="0.25">
      <c r="A21" s="9" t="s">
        <v>12</v>
      </c>
      <c r="B21" s="10">
        <f t="shared" si="0"/>
        <v>20</v>
      </c>
      <c r="C21" s="10">
        <v>8</v>
      </c>
      <c r="D21" s="10">
        <v>2019</v>
      </c>
      <c r="E21" s="4">
        <v>44543</v>
      </c>
      <c r="F21" s="11">
        <v>0.2</v>
      </c>
      <c r="G21" s="4">
        <f>LPG!C23</f>
        <v>1875.9216129032259</v>
      </c>
      <c r="H21" s="11">
        <v>1.2657713017446734</v>
      </c>
      <c r="I21" s="4">
        <v>465.02300000000707</v>
      </c>
      <c r="J21" s="11">
        <v>7.84</v>
      </c>
      <c r="K21" s="4">
        <f>'Occupied &amp; No. of Guest'!B22</f>
        <v>249</v>
      </c>
      <c r="L21" s="4">
        <f>'Occupied &amp; No. of Guest'!C22</f>
        <v>361</v>
      </c>
    </row>
    <row r="22" spans="1:12" x14ac:dyDescent="0.25">
      <c r="A22" s="9" t="s">
        <v>12</v>
      </c>
      <c r="B22" s="10">
        <f t="shared" si="0"/>
        <v>21</v>
      </c>
      <c r="C22" s="10">
        <v>8</v>
      </c>
      <c r="D22" s="10">
        <v>2019</v>
      </c>
      <c r="E22" s="4">
        <v>44131</v>
      </c>
      <c r="F22" s="11">
        <v>0.2</v>
      </c>
      <c r="G22" s="4">
        <f>LPG!C24</f>
        <v>1875.9216129032259</v>
      </c>
      <c r="H22" s="11">
        <v>1.2657713017446734</v>
      </c>
      <c r="I22" s="4">
        <v>450.30099999999584</v>
      </c>
      <c r="J22" s="11">
        <v>7.84</v>
      </c>
      <c r="K22" s="4">
        <f>'Occupied &amp; No. of Guest'!B23</f>
        <v>245</v>
      </c>
      <c r="L22" s="4">
        <f>'Occupied &amp; No. of Guest'!C23</f>
        <v>325</v>
      </c>
    </row>
    <row r="23" spans="1:12" x14ac:dyDescent="0.25">
      <c r="A23" s="9" t="s">
        <v>12</v>
      </c>
      <c r="B23" s="10">
        <f t="shared" si="0"/>
        <v>22</v>
      </c>
      <c r="C23" s="10">
        <v>8</v>
      </c>
      <c r="D23" s="10">
        <v>2019</v>
      </c>
      <c r="E23" s="4">
        <v>44133</v>
      </c>
      <c r="F23" s="11">
        <v>0.2</v>
      </c>
      <c r="G23" s="4">
        <f>LPG!C25</f>
        <v>1875.9216129032259</v>
      </c>
      <c r="H23" s="11">
        <v>1.2657713017446734</v>
      </c>
      <c r="I23" s="4">
        <v>442.11100000000022</v>
      </c>
      <c r="J23" s="11">
        <v>7.84</v>
      </c>
      <c r="K23" s="4">
        <f>'Occupied &amp; No. of Guest'!B24</f>
        <v>216</v>
      </c>
      <c r="L23" s="4">
        <f>'Occupied &amp; No. of Guest'!C24</f>
        <v>340</v>
      </c>
    </row>
    <row r="24" spans="1:12" x14ac:dyDescent="0.25">
      <c r="A24" s="9" t="s">
        <v>12</v>
      </c>
      <c r="B24" s="10">
        <f t="shared" si="0"/>
        <v>23</v>
      </c>
      <c r="C24" s="10">
        <v>8</v>
      </c>
      <c r="D24" s="10">
        <v>2019</v>
      </c>
      <c r="E24" s="4">
        <v>43954</v>
      </c>
      <c r="F24" s="11">
        <v>0.2</v>
      </c>
      <c r="G24" s="4">
        <f>LPG!C26</f>
        <v>1875.9216129032259</v>
      </c>
      <c r="H24" s="11">
        <v>1.2657713017446734</v>
      </c>
      <c r="I24" s="4">
        <v>314.13299999998964</v>
      </c>
      <c r="J24" s="11">
        <v>7.84</v>
      </c>
      <c r="K24" s="4">
        <f>'Occupied &amp; No. of Guest'!B25</f>
        <v>213</v>
      </c>
      <c r="L24" s="4">
        <f>'Occupied &amp; No. of Guest'!C25</f>
        <v>363</v>
      </c>
    </row>
    <row r="25" spans="1:12" x14ac:dyDescent="0.25">
      <c r="A25" s="9" t="s">
        <v>12</v>
      </c>
      <c r="B25" s="10">
        <f t="shared" si="0"/>
        <v>24</v>
      </c>
      <c r="C25" s="10">
        <v>8</v>
      </c>
      <c r="D25" s="10">
        <v>2019</v>
      </c>
      <c r="E25" s="4">
        <v>42534</v>
      </c>
      <c r="F25" s="11">
        <v>0.2</v>
      </c>
      <c r="G25" s="4">
        <f>LPG!C27</f>
        <v>1875.9216129032259</v>
      </c>
      <c r="H25" s="11">
        <v>1.2657713017446734</v>
      </c>
      <c r="I25" s="4">
        <v>468.5369999999981</v>
      </c>
      <c r="J25" s="11">
        <v>7.84</v>
      </c>
      <c r="K25" s="4">
        <f>'Occupied &amp; No. of Guest'!B26</f>
        <v>260</v>
      </c>
      <c r="L25" s="4">
        <f>'Occupied &amp; No. of Guest'!C26</f>
        <v>422</v>
      </c>
    </row>
    <row r="26" spans="1:12" x14ac:dyDescent="0.25">
      <c r="A26" s="9" t="s">
        <v>12</v>
      </c>
      <c r="B26" s="10">
        <f>B25+1</f>
        <v>25</v>
      </c>
      <c r="C26" s="10">
        <v>8</v>
      </c>
      <c r="D26" s="10">
        <v>2019</v>
      </c>
      <c r="E26" s="4">
        <v>44733</v>
      </c>
      <c r="F26" s="11">
        <v>0.2</v>
      </c>
      <c r="G26" s="4">
        <f>LPG!C28</f>
        <v>1875.9216129032259</v>
      </c>
      <c r="H26" s="11">
        <v>1.2657713017446734</v>
      </c>
      <c r="I26" s="4">
        <v>402.58700000000738</v>
      </c>
      <c r="J26" s="11">
        <v>7.84</v>
      </c>
      <c r="K26" s="4">
        <f>'Occupied &amp; No. of Guest'!B27</f>
        <v>287</v>
      </c>
      <c r="L26" s="4">
        <f>'Occupied &amp; No. of Guest'!C27</f>
        <v>443</v>
      </c>
    </row>
    <row r="27" spans="1:12" x14ac:dyDescent="0.25">
      <c r="A27" s="9" t="s">
        <v>12</v>
      </c>
      <c r="B27" s="10">
        <f t="shared" si="0"/>
        <v>26</v>
      </c>
      <c r="C27" s="10">
        <v>8</v>
      </c>
      <c r="D27" s="10">
        <v>2019</v>
      </c>
      <c r="E27" s="4">
        <v>45541</v>
      </c>
      <c r="F27" s="11">
        <v>0.2</v>
      </c>
      <c r="G27" s="4">
        <f>LPG!C29</f>
        <v>1875.9216129032259</v>
      </c>
      <c r="H27" s="11">
        <v>1.2657713017446734</v>
      </c>
      <c r="I27" s="4">
        <v>492.45000000000925</v>
      </c>
      <c r="J27" s="11">
        <v>7.84</v>
      </c>
      <c r="K27" s="4">
        <f>'Occupied &amp; No. of Guest'!B28</f>
        <v>290</v>
      </c>
      <c r="L27" s="4">
        <f>'Occupied &amp; No. of Guest'!C28</f>
        <v>435</v>
      </c>
    </row>
    <row r="28" spans="1:12" x14ac:dyDescent="0.25">
      <c r="A28" s="9" t="s">
        <v>12</v>
      </c>
      <c r="B28" s="10">
        <f t="shared" si="0"/>
        <v>27</v>
      </c>
      <c r="C28" s="10">
        <v>8</v>
      </c>
      <c r="D28" s="10">
        <v>2019</v>
      </c>
      <c r="E28" s="4">
        <v>48544</v>
      </c>
      <c r="F28" s="11">
        <v>0.2</v>
      </c>
      <c r="G28" s="4">
        <f>LPG!C30</f>
        <v>1875.9216129032259</v>
      </c>
      <c r="H28" s="11">
        <v>1.2657713017446734</v>
      </c>
      <c r="I28" s="4">
        <v>454.68799999998868</v>
      </c>
      <c r="J28" s="11">
        <v>7.84</v>
      </c>
      <c r="K28" s="4">
        <f>'Occupied &amp; No. of Guest'!B29</f>
        <v>324</v>
      </c>
      <c r="L28" s="4">
        <f>'Occupied &amp; No. of Guest'!C29</f>
        <v>490</v>
      </c>
    </row>
    <row r="29" spans="1:12" x14ac:dyDescent="0.25">
      <c r="A29" s="9" t="s">
        <v>12</v>
      </c>
      <c r="B29" s="10">
        <f t="shared" si="0"/>
        <v>28</v>
      </c>
      <c r="C29" s="10">
        <v>8</v>
      </c>
      <c r="D29" s="10">
        <v>2019</v>
      </c>
      <c r="E29" s="4">
        <v>44933</v>
      </c>
      <c r="F29" s="11">
        <v>0.2</v>
      </c>
      <c r="G29" s="4">
        <f>LPG!C31</f>
        <v>1875.9216129032259</v>
      </c>
      <c r="H29" s="11">
        <v>1.2657713017446734</v>
      </c>
      <c r="I29" s="4">
        <v>469.27699999999476</v>
      </c>
      <c r="J29" s="11">
        <v>7.84</v>
      </c>
      <c r="K29" s="4">
        <f>'Occupied &amp; No. of Guest'!B30</f>
        <v>312</v>
      </c>
      <c r="L29" s="4">
        <f>'Occupied &amp; No. of Guest'!C30</f>
        <v>469</v>
      </c>
    </row>
    <row r="30" spans="1:12" x14ac:dyDescent="0.25">
      <c r="A30" s="9" t="s">
        <v>12</v>
      </c>
      <c r="B30" s="10">
        <f t="shared" si="0"/>
        <v>29</v>
      </c>
      <c r="C30" s="10">
        <v>8</v>
      </c>
      <c r="D30" s="10">
        <v>2019</v>
      </c>
      <c r="E30" s="4">
        <v>43339</v>
      </c>
      <c r="F30" s="11">
        <v>0.2</v>
      </c>
      <c r="G30" s="4">
        <f>LPG!C32</f>
        <v>1875.9216129032259</v>
      </c>
      <c r="H30" s="11">
        <v>1.2657713017446734</v>
      </c>
      <c r="I30" s="4">
        <v>463.26200000000904</v>
      </c>
      <c r="J30" s="11">
        <v>7.84</v>
      </c>
      <c r="K30" s="4">
        <f>'Occupied &amp; No. of Guest'!B31</f>
        <v>245</v>
      </c>
      <c r="L30" s="4">
        <f>'Occupied &amp; No. of Guest'!C31</f>
        <v>395</v>
      </c>
    </row>
    <row r="31" spans="1:12" x14ac:dyDescent="0.25">
      <c r="A31" s="9" t="s">
        <v>12</v>
      </c>
      <c r="B31" s="10">
        <f t="shared" si="0"/>
        <v>30</v>
      </c>
      <c r="C31" s="10">
        <v>8</v>
      </c>
      <c r="D31" s="10">
        <v>2019</v>
      </c>
      <c r="E31" s="4">
        <v>43548</v>
      </c>
      <c r="F31" s="11">
        <v>0.2</v>
      </c>
      <c r="G31" s="4">
        <f>LPG!C33</f>
        <v>1875.9216129032259</v>
      </c>
      <c r="H31" s="11">
        <v>1.2657713017446734</v>
      </c>
      <c r="I31" s="4">
        <v>343.12100000000225</v>
      </c>
      <c r="J31" s="11">
        <v>7.84</v>
      </c>
      <c r="K31" s="4">
        <f>'Occupied &amp; No. of Guest'!B32</f>
        <v>272</v>
      </c>
      <c r="L31" s="4">
        <f>'Occupied &amp; No. of Guest'!C32</f>
        <v>495</v>
      </c>
    </row>
    <row r="32" spans="1:12" x14ac:dyDescent="0.25">
      <c r="A32" s="9" t="s">
        <v>12</v>
      </c>
      <c r="B32" s="10">
        <f t="shared" si="0"/>
        <v>31</v>
      </c>
      <c r="C32" s="10">
        <v>8</v>
      </c>
      <c r="D32" s="10">
        <v>2019</v>
      </c>
      <c r="E32" s="4">
        <v>43170</v>
      </c>
      <c r="F32" s="11">
        <v>0.2</v>
      </c>
      <c r="G32" s="4">
        <f>LPG!C34</f>
        <v>1875.9216129032259</v>
      </c>
      <c r="H32" s="11">
        <v>1.2657713017446734</v>
      </c>
      <c r="I32" s="4">
        <v>427.72799999998807</v>
      </c>
      <c r="J32" s="11">
        <v>7.84</v>
      </c>
      <c r="K32" s="4">
        <f>'Occupied &amp; No. of Guest'!B33</f>
        <v>236</v>
      </c>
      <c r="L32" s="4">
        <f>'Occupied &amp; No. of Guest'!C33</f>
        <v>355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E14" sqref="E14:AI14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80" t="s">
        <v>84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</row>
    <row r="3" spans="1:67" s="14" customFormat="1" ht="29.25" customHeight="1" thickBot="1" x14ac:dyDescent="0.3"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</row>
    <row r="4" spans="1:67" ht="39" thickBot="1" x14ac:dyDescent="0.2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2">
        <v>1</v>
      </c>
      <c r="B5" s="20" t="s">
        <v>17</v>
      </c>
      <c r="C5" s="84" t="s">
        <v>18</v>
      </c>
      <c r="D5" s="21">
        <v>66424</v>
      </c>
      <c r="E5" s="21">
        <v>66424</v>
      </c>
      <c r="F5" s="21">
        <v>66424</v>
      </c>
      <c r="G5" s="21">
        <v>66424</v>
      </c>
      <c r="H5" s="21">
        <v>66424</v>
      </c>
      <c r="I5" s="21">
        <v>66424</v>
      </c>
      <c r="J5" s="21">
        <v>66424</v>
      </c>
      <c r="K5" s="21">
        <v>66424</v>
      </c>
      <c r="L5" s="21">
        <v>66424</v>
      </c>
      <c r="M5" s="21">
        <v>66424</v>
      </c>
      <c r="N5" s="21">
        <v>66424</v>
      </c>
      <c r="O5" s="21">
        <v>66424</v>
      </c>
      <c r="P5" s="21">
        <v>66424</v>
      </c>
      <c r="Q5" s="21">
        <v>66424</v>
      </c>
      <c r="R5" s="21">
        <v>66424</v>
      </c>
      <c r="S5" s="21">
        <v>66424</v>
      </c>
      <c r="T5" s="21">
        <v>66424</v>
      </c>
      <c r="U5" s="21">
        <v>66424</v>
      </c>
      <c r="V5" s="21">
        <v>66424</v>
      </c>
      <c r="W5" s="21">
        <v>66424</v>
      </c>
      <c r="X5" s="21">
        <v>66424</v>
      </c>
      <c r="Y5" s="21">
        <v>66424</v>
      </c>
      <c r="Z5" s="21">
        <v>66424</v>
      </c>
      <c r="AA5" s="21">
        <v>66424</v>
      </c>
      <c r="AB5" s="21">
        <v>66424</v>
      </c>
      <c r="AC5" s="21">
        <v>66424</v>
      </c>
      <c r="AD5" s="21">
        <v>66424</v>
      </c>
      <c r="AE5" s="21">
        <v>66424</v>
      </c>
      <c r="AF5" s="21">
        <v>66424</v>
      </c>
      <c r="AG5" s="21">
        <v>66424</v>
      </c>
      <c r="AH5" s="21">
        <v>66424</v>
      </c>
      <c r="AI5" s="21">
        <v>66424</v>
      </c>
    </row>
    <row r="6" spans="1:67" s="24" customFormat="1" ht="21.75" customHeight="1" x14ac:dyDescent="0.2">
      <c r="A6" s="83"/>
      <c r="B6" s="22"/>
      <c r="C6" s="85"/>
      <c r="D6" s="23"/>
      <c r="E6" s="23">
        <f>(E5-D5)*1000</f>
        <v>0</v>
      </c>
      <c r="F6" s="23">
        <f t="shared" ref="F6:AI6" si="0">(F5-E5)*1000</f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0</v>
      </c>
      <c r="O6" s="23">
        <f t="shared" si="0"/>
        <v>0</v>
      </c>
      <c r="P6" s="23">
        <f t="shared" si="0"/>
        <v>0</v>
      </c>
      <c r="Q6" s="23">
        <f t="shared" si="0"/>
        <v>0</v>
      </c>
      <c r="R6" s="23">
        <f t="shared" si="0"/>
        <v>0</v>
      </c>
      <c r="S6" s="23">
        <f t="shared" si="0"/>
        <v>0</v>
      </c>
      <c r="T6" s="23">
        <f t="shared" si="0"/>
        <v>0</v>
      </c>
      <c r="U6" s="23">
        <f t="shared" si="0"/>
        <v>0</v>
      </c>
      <c r="V6" s="23">
        <f t="shared" si="0"/>
        <v>0</v>
      </c>
      <c r="W6" s="23">
        <f t="shared" si="0"/>
        <v>0</v>
      </c>
      <c r="X6" s="23">
        <f t="shared" si="0"/>
        <v>0</v>
      </c>
      <c r="Y6" s="23">
        <f t="shared" si="0"/>
        <v>0</v>
      </c>
      <c r="Z6" s="23">
        <f t="shared" si="0"/>
        <v>0</v>
      </c>
      <c r="AA6" s="23">
        <f t="shared" si="0"/>
        <v>0</v>
      </c>
      <c r="AB6" s="23">
        <f t="shared" si="0"/>
        <v>0</v>
      </c>
      <c r="AC6" s="23">
        <f t="shared" si="0"/>
        <v>0</v>
      </c>
      <c r="AD6" s="23">
        <f t="shared" si="0"/>
        <v>0</v>
      </c>
      <c r="AE6" s="23">
        <f t="shared" si="0"/>
        <v>0</v>
      </c>
      <c r="AF6" s="23">
        <f t="shared" si="0"/>
        <v>0</v>
      </c>
      <c r="AG6" s="23">
        <f t="shared" si="0"/>
        <v>0</v>
      </c>
      <c r="AH6" s="23">
        <f t="shared" si="0"/>
        <v>0</v>
      </c>
      <c r="AI6" s="23">
        <f t="shared" si="0"/>
        <v>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6">
        <v>2</v>
      </c>
      <c r="B7" s="25" t="s">
        <v>19</v>
      </c>
      <c r="C7" s="88" t="s">
        <v>20</v>
      </c>
      <c r="D7" s="21">
        <v>28598</v>
      </c>
      <c r="E7" s="21">
        <v>28622</v>
      </c>
      <c r="F7" s="21">
        <v>28645</v>
      </c>
      <c r="G7" s="21">
        <v>28669</v>
      </c>
      <c r="H7" s="21">
        <v>28692</v>
      </c>
      <c r="I7" s="21">
        <v>28716</v>
      </c>
      <c r="J7" s="21">
        <v>28739</v>
      </c>
      <c r="K7" s="21">
        <v>28763</v>
      </c>
      <c r="L7" s="21">
        <v>28786</v>
      </c>
      <c r="M7" s="21">
        <v>28809</v>
      </c>
      <c r="N7" s="21">
        <v>28833</v>
      </c>
      <c r="O7" s="21">
        <v>28857</v>
      </c>
      <c r="P7" s="21">
        <v>28882</v>
      </c>
      <c r="Q7" s="21">
        <v>28906</v>
      </c>
      <c r="R7" s="21">
        <v>28929</v>
      </c>
      <c r="S7" s="21">
        <v>28953</v>
      </c>
      <c r="T7" s="21">
        <v>28977</v>
      </c>
      <c r="U7" s="21">
        <v>29001</v>
      </c>
      <c r="V7" s="21">
        <v>29024</v>
      </c>
      <c r="W7" s="21">
        <v>29048</v>
      </c>
      <c r="X7" s="21">
        <v>29071</v>
      </c>
      <c r="Y7" s="21">
        <v>29094</v>
      </c>
      <c r="Z7" s="21">
        <v>29117</v>
      </c>
      <c r="AA7" s="21">
        <v>29139</v>
      </c>
      <c r="AB7" s="21">
        <v>29162</v>
      </c>
      <c r="AC7" s="21">
        <v>29186</v>
      </c>
      <c r="AD7" s="21">
        <v>29210</v>
      </c>
      <c r="AE7" s="21">
        <v>29235</v>
      </c>
      <c r="AF7" s="21">
        <v>29260</v>
      </c>
      <c r="AG7" s="21">
        <v>29283</v>
      </c>
      <c r="AH7" s="21">
        <v>29307</v>
      </c>
      <c r="AI7" s="21">
        <v>29329</v>
      </c>
    </row>
    <row r="8" spans="1:67" s="24" customFormat="1" ht="21.75" customHeight="1" x14ac:dyDescent="0.2">
      <c r="A8" s="87"/>
      <c r="B8" s="22"/>
      <c r="C8" s="85"/>
      <c r="D8" s="23"/>
      <c r="E8" s="23">
        <f>(E7-D7)*1000</f>
        <v>24000</v>
      </c>
      <c r="F8" s="23">
        <f t="shared" ref="F8" si="1">(F7-E7)*1000</f>
        <v>23000</v>
      </c>
      <c r="G8" s="23">
        <f t="shared" ref="G8" si="2">(G7-F7)*1000</f>
        <v>24000</v>
      </c>
      <c r="H8" s="23">
        <f t="shared" ref="H8" si="3">(H7-G7)*1000</f>
        <v>23000</v>
      </c>
      <c r="I8" s="23">
        <f t="shared" ref="I8" si="4">(I7-H7)*1000</f>
        <v>24000</v>
      </c>
      <c r="J8" s="23">
        <f t="shared" ref="J8" si="5">(J7-I7)*1000</f>
        <v>23000</v>
      </c>
      <c r="K8" s="23">
        <f t="shared" ref="K8" si="6">(K7-J7)*1000</f>
        <v>24000</v>
      </c>
      <c r="L8" s="23">
        <f t="shared" ref="L8" si="7">(L7-K7)*1000</f>
        <v>23000</v>
      </c>
      <c r="M8" s="23">
        <f t="shared" ref="M8" si="8">(M7-L7)*1000</f>
        <v>23000</v>
      </c>
      <c r="N8" s="23">
        <f t="shared" ref="N8" si="9">(N7-M7)*1000</f>
        <v>24000</v>
      </c>
      <c r="O8" s="23">
        <f t="shared" ref="O8" si="10">(O7-N7)*1000</f>
        <v>24000</v>
      </c>
      <c r="P8" s="23">
        <f t="shared" ref="P8" si="11">(P7-O7)*1000</f>
        <v>25000</v>
      </c>
      <c r="Q8" s="23">
        <f t="shared" ref="Q8" si="12">(Q7-P7)*1000</f>
        <v>24000</v>
      </c>
      <c r="R8" s="23">
        <f t="shared" ref="R8" si="13">(R7-Q7)*1000</f>
        <v>23000</v>
      </c>
      <c r="S8" s="23">
        <f t="shared" ref="S8" si="14">(S7-R7)*1000</f>
        <v>24000</v>
      </c>
      <c r="T8" s="23">
        <f t="shared" ref="T8" si="15">(T7-S7)*1000</f>
        <v>24000</v>
      </c>
      <c r="U8" s="23">
        <f t="shared" ref="U8" si="16">(U7-T7)*1000</f>
        <v>24000</v>
      </c>
      <c r="V8" s="23">
        <f t="shared" ref="V8" si="17">(V7-U7)*1000</f>
        <v>23000</v>
      </c>
      <c r="W8" s="23">
        <f t="shared" ref="W8" si="18">(W7-V7)*1000</f>
        <v>24000</v>
      </c>
      <c r="X8" s="23">
        <f t="shared" ref="X8" si="19">(X7-W7)*1000</f>
        <v>23000</v>
      </c>
      <c r="Y8" s="23">
        <f t="shared" ref="Y8" si="20">(Y7-X7)*1000</f>
        <v>23000</v>
      </c>
      <c r="Z8" s="23">
        <f t="shared" ref="Z8" si="21">(Z7-Y7)*1000</f>
        <v>23000</v>
      </c>
      <c r="AA8" s="23">
        <f t="shared" ref="AA8" si="22">(AA7-Z7)*1000</f>
        <v>22000</v>
      </c>
      <c r="AB8" s="23">
        <f t="shared" ref="AB8" si="23">(AB7-AA7)*1000</f>
        <v>23000</v>
      </c>
      <c r="AC8" s="23">
        <f t="shared" ref="AC8" si="24">(AC7-AB7)*1000</f>
        <v>24000</v>
      </c>
      <c r="AD8" s="23">
        <f t="shared" ref="AD8" si="25">(AD7-AC7)*1000</f>
        <v>24000</v>
      </c>
      <c r="AE8" s="23">
        <f t="shared" ref="AE8" si="26">(AE7-AD7)*1000</f>
        <v>25000</v>
      </c>
      <c r="AF8" s="23">
        <f t="shared" ref="AF8" si="27">(AF7-AE7)*1000</f>
        <v>25000</v>
      </c>
      <c r="AG8" s="23">
        <f t="shared" ref="AG8" si="28">(AG7-AF7)*1000</f>
        <v>23000</v>
      </c>
      <c r="AH8" s="23">
        <f t="shared" ref="AH8" si="29">(AH7-AG7)*1000</f>
        <v>24000</v>
      </c>
      <c r="AI8" s="23">
        <f t="shared" ref="AI8" si="30">(AI7-AH7)*1000</f>
        <v>22000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8">
        <v>3</v>
      </c>
      <c r="B9" s="36" t="s">
        <v>21</v>
      </c>
      <c r="C9" s="79" t="s">
        <v>22</v>
      </c>
      <c r="D9" s="21">
        <v>82688</v>
      </c>
      <c r="E9" s="21">
        <v>82708</v>
      </c>
      <c r="F9" s="21">
        <v>82726</v>
      </c>
      <c r="G9" s="21">
        <v>82739</v>
      </c>
      <c r="H9" s="21">
        <v>82755</v>
      </c>
      <c r="I9" s="21">
        <v>82771</v>
      </c>
      <c r="J9" s="21">
        <v>82786</v>
      </c>
      <c r="K9" s="21">
        <v>82800</v>
      </c>
      <c r="L9" s="21">
        <v>82817</v>
      </c>
      <c r="M9" s="21">
        <v>82835</v>
      </c>
      <c r="N9" s="21">
        <v>82855</v>
      </c>
      <c r="O9" s="21">
        <v>82875</v>
      </c>
      <c r="P9" s="21">
        <v>82894</v>
      </c>
      <c r="Q9" s="21">
        <v>82913</v>
      </c>
      <c r="R9" s="21">
        <v>82926</v>
      </c>
      <c r="S9" s="21">
        <v>82941</v>
      </c>
      <c r="T9" s="21">
        <v>82962</v>
      </c>
      <c r="U9" s="21">
        <v>82982</v>
      </c>
      <c r="V9" s="21">
        <v>83001</v>
      </c>
      <c r="W9" s="21">
        <v>83019</v>
      </c>
      <c r="X9" s="21">
        <v>83032</v>
      </c>
      <c r="Y9" s="21">
        <v>83045</v>
      </c>
      <c r="Z9" s="21">
        <v>83065</v>
      </c>
      <c r="AA9" s="21">
        <v>83094</v>
      </c>
      <c r="AB9" s="21">
        <v>83119</v>
      </c>
      <c r="AC9" s="21">
        <v>83146</v>
      </c>
      <c r="AD9" s="21">
        <v>83179</v>
      </c>
      <c r="AE9" s="21">
        <v>83216</v>
      </c>
      <c r="AF9" s="21">
        <v>83246</v>
      </c>
      <c r="AG9" s="21">
        <v>83276</v>
      </c>
      <c r="AH9" s="21">
        <v>83305</v>
      </c>
      <c r="AI9" s="21">
        <v>83336</v>
      </c>
    </row>
    <row r="10" spans="1:67" s="24" customFormat="1" ht="21.75" customHeight="1" x14ac:dyDescent="0.2">
      <c r="A10" s="74"/>
      <c r="B10" s="37"/>
      <c r="C10" s="77"/>
      <c r="D10" s="23"/>
      <c r="E10" s="23">
        <f>(E9-D9)*1000</f>
        <v>20000</v>
      </c>
      <c r="F10" s="23">
        <f t="shared" ref="F10" si="31">(F9-E9)*1000</f>
        <v>18000</v>
      </c>
      <c r="G10" s="23">
        <f t="shared" ref="G10" si="32">(G9-F9)*1000</f>
        <v>13000</v>
      </c>
      <c r="H10" s="23">
        <f t="shared" ref="H10" si="33">(H9-G9)*1000</f>
        <v>16000</v>
      </c>
      <c r="I10" s="23">
        <f t="shared" ref="I10" si="34">(I9-H9)*1000</f>
        <v>16000</v>
      </c>
      <c r="J10" s="23">
        <f t="shared" ref="J10" si="35">(J9-I9)*1000</f>
        <v>15000</v>
      </c>
      <c r="K10" s="23">
        <f t="shared" ref="K10" si="36">(K9-J9)*1000</f>
        <v>14000</v>
      </c>
      <c r="L10" s="23">
        <f t="shared" ref="L10" si="37">(L9-K9)*1000</f>
        <v>17000</v>
      </c>
      <c r="M10" s="23">
        <f t="shared" ref="M10" si="38">(M9-L9)*1000</f>
        <v>18000</v>
      </c>
      <c r="N10" s="23">
        <f t="shared" ref="N10" si="39">(N9-M9)*1000</f>
        <v>20000</v>
      </c>
      <c r="O10" s="23">
        <f t="shared" ref="O10" si="40">(O9-N9)*1000</f>
        <v>20000</v>
      </c>
      <c r="P10" s="23">
        <f t="shared" ref="P10" si="41">(P9-O9)*1000</f>
        <v>19000</v>
      </c>
      <c r="Q10" s="23">
        <f t="shared" ref="Q10" si="42">(Q9-P9)*1000</f>
        <v>19000</v>
      </c>
      <c r="R10" s="23">
        <f t="shared" ref="R10" si="43">(R9-Q9)*1000</f>
        <v>13000</v>
      </c>
      <c r="S10" s="23">
        <f t="shared" ref="S10" si="44">(S9-R9)*1000</f>
        <v>15000</v>
      </c>
      <c r="T10" s="23">
        <f t="shared" ref="T10" si="45">(T9-S9)*1000</f>
        <v>21000</v>
      </c>
      <c r="U10" s="23">
        <f t="shared" ref="U10" si="46">(U9-T9)*1000</f>
        <v>20000</v>
      </c>
      <c r="V10" s="23">
        <f t="shared" ref="V10" si="47">(V9-U9)*1000</f>
        <v>19000</v>
      </c>
      <c r="W10" s="23">
        <f t="shared" ref="W10" si="48">(W9-V9)*1000</f>
        <v>18000</v>
      </c>
      <c r="X10" s="23">
        <f t="shared" ref="X10" si="49">(X9-W9)*1000</f>
        <v>13000</v>
      </c>
      <c r="Y10" s="23">
        <f t="shared" ref="Y10" si="50">(Y9-X9)*1000</f>
        <v>13000</v>
      </c>
      <c r="Z10" s="23">
        <f t="shared" ref="Z10" si="51">(Z9-Y9)*1000</f>
        <v>20000</v>
      </c>
      <c r="AA10" s="23">
        <f t="shared" ref="AA10" si="52">(AA9-Z9)*1000</f>
        <v>29000</v>
      </c>
      <c r="AB10" s="23">
        <f t="shared" ref="AB10" si="53">(AB9-AA9)*1000</f>
        <v>25000</v>
      </c>
      <c r="AC10" s="23">
        <f t="shared" ref="AC10" si="54">(AC9-AB9)*1000</f>
        <v>27000</v>
      </c>
      <c r="AD10" s="23">
        <f t="shared" ref="AD10" si="55">(AD9-AC9)*1000</f>
        <v>33000</v>
      </c>
      <c r="AE10" s="23">
        <f t="shared" ref="AE10" si="56">(AE9-AD9)*1000</f>
        <v>37000</v>
      </c>
      <c r="AF10" s="23">
        <f t="shared" ref="AF10" si="57">(AF9-AE9)*1000</f>
        <v>30000</v>
      </c>
      <c r="AG10" s="23">
        <f t="shared" ref="AG10" si="58">(AG9-AF9)*1000</f>
        <v>30000</v>
      </c>
      <c r="AH10" s="23">
        <f t="shared" ref="AH10" si="59">(AH9-AG9)*1000</f>
        <v>29000</v>
      </c>
      <c r="AI10" s="23">
        <f t="shared" ref="AI10" si="60">(AI9-AH9)*1000</f>
        <v>31000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9">
        <v>4</v>
      </c>
      <c r="B11" s="36" t="s">
        <v>23</v>
      </c>
      <c r="C11" s="79" t="s">
        <v>24</v>
      </c>
      <c r="D11" s="21">
        <v>66837</v>
      </c>
      <c r="E11" s="21">
        <v>66875</v>
      </c>
      <c r="F11" s="21">
        <v>66910</v>
      </c>
      <c r="G11" s="21">
        <v>66950</v>
      </c>
      <c r="H11" s="21">
        <v>66992</v>
      </c>
      <c r="I11" s="21">
        <v>67032</v>
      </c>
      <c r="J11" s="21">
        <v>67072</v>
      </c>
      <c r="K11" s="21">
        <v>67112</v>
      </c>
      <c r="L11" s="21">
        <v>67152</v>
      </c>
      <c r="M11" s="21">
        <v>67194</v>
      </c>
      <c r="N11" s="21">
        <v>67235</v>
      </c>
      <c r="O11" s="21">
        <v>67275</v>
      </c>
      <c r="P11" s="21">
        <v>67315</v>
      </c>
      <c r="Q11" s="21">
        <v>67350</v>
      </c>
      <c r="R11" s="21">
        <v>67390</v>
      </c>
      <c r="S11" s="21">
        <v>67428</v>
      </c>
      <c r="T11" s="21">
        <v>67459</v>
      </c>
      <c r="U11" s="21">
        <v>67498</v>
      </c>
      <c r="V11" s="21">
        <v>67538</v>
      </c>
      <c r="W11" s="21">
        <v>67577</v>
      </c>
      <c r="X11" s="21">
        <v>67617</v>
      </c>
      <c r="Y11" s="21">
        <v>67656</v>
      </c>
      <c r="Z11" s="21">
        <v>67688</v>
      </c>
      <c r="AA11" s="21">
        <v>67713</v>
      </c>
      <c r="AB11" s="21">
        <v>67736</v>
      </c>
      <c r="AC11" s="21">
        <v>67760</v>
      </c>
      <c r="AD11" s="21">
        <v>67780</v>
      </c>
      <c r="AE11" s="21">
        <v>67801</v>
      </c>
      <c r="AF11" s="21">
        <v>67820</v>
      </c>
      <c r="AG11" s="21">
        <v>67840</v>
      </c>
      <c r="AH11" s="21">
        <v>67859</v>
      </c>
      <c r="AI11" s="21">
        <v>67880</v>
      </c>
    </row>
    <row r="12" spans="1:67" s="38" customFormat="1" ht="21.75" customHeight="1" x14ac:dyDescent="0.2">
      <c r="A12" s="76"/>
      <c r="B12" s="37"/>
      <c r="C12" s="77"/>
      <c r="D12" s="23"/>
      <c r="E12" s="23">
        <f>(E11-D11)*1000</f>
        <v>38000</v>
      </c>
      <c r="F12" s="23">
        <f t="shared" ref="F12" si="61">(F11-E11)*1000</f>
        <v>35000</v>
      </c>
      <c r="G12" s="23">
        <f t="shared" ref="G12" si="62">(G11-F11)*1000</f>
        <v>40000</v>
      </c>
      <c r="H12" s="23">
        <f t="shared" ref="H12" si="63">(H11-G11)*1000</f>
        <v>42000</v>
      </c>
      <c r="I12" s="23">
        <f t="shared" ref="I12" si="64">(I11-H11)*1000</f>
        <v>40000</v>
      </c>
      <c r="J12" s="23">
        <f t="shared" ref="J12" si="65">(J11-I11)*1000</f>
        <v>40000</v>
      </c>
      <c r="K12" s="23">
        <f t="shared" ref="K12" si="66">(K11-J11)*1000</f>
        <v>40000</v>
      </c>
      <c r="L12" s="23">
        <f t="shared" ref="L12" si="67">(L11-K11)*1000</f>
        <v>40000</v>
      </c>
      <c r="M12" s="23">
        <f t="shared" ref="M12" si="68">(M11-L11)*1000</f>
        <v>42000</v>
      </c>
      <c r="N12" s="23">
        <f t="shared" ref="N12" si="69">(N11-M11)*1000</f>
        <v>41000</v>
      </c>
      <c r="O12" s="23">
        <f t="shared" ref="O12" si="70">(O11-N11)*1000</f>
        <v>40000</v>
      </c>
      <c r="P12" s="23">
        <f t="shared" ref="P12" si="71">(P11-O11)*1000</f>
        <v>40000</v>
      </c>
      <c r="Q12" s="23">
        <f t="shared" ref="Q12" si="72">(Q11-P11)*1000</f>
        <v>35000</v>
      </c>
      <c r="R12" s="23">
        <f t="shared" ref="R12" si="73">(R11-Q11)*1000</f>
        <v>40000</v>
      </c>
      <c r="S12" s="23">
        <f t="shared" ref="S12" si="74">(S11-R11)*1000</f>
        <v>38000</v>
      </c>
      <c r="T12" s="23">
        <f t="shared" ref="T12" si="75">(T11-S11)*1000</f>
        <v>31000</v>
      </c>
      <c r="U12" s="23">
        <f t="shared" ref="U12" si="76">(U11-T11)*1000</f>
        <v>39000</v>
      </c>
      <c r="V12" s="23">
        <f t="shared" ref="V12" si="77">(V11-U11)*1000</f>
        <v>40000</v>
      </c>
      <c r="W12" s="23">
        <f t="shared" ref="W12" si="78">(W11-V11)*1000</f>
        <v>39000</v>
      </c>
      <c r="X12" s="23">
        <f t="shared" ref="X12" si="79">(X11-W11)*1000</f>
        <v>40000</v>
      </c>
      <c r="Y12" s="23">
        <f t="shared" ref="Y12" si="80">(Y11-X11)*1000</f>
        <v>39000</v>
      </c>
      <c r="Z12" s="23">
        <f t="shared" ref="Z12" si="81">(Z11-Y11)*1000</f>
        <v>32000</v>
      </c>
      <c r="AA12" s="23">
        <f t="shared" ref="AA12" si="82">(AA11-Z11)*1000</f>
        <v>25000</v>
      </c>
      <c r="AB12" s="23">
        <f t="shared" ref="AB12" si="83">(AB11-AA11)*1000</f>
        <v>23000</v>
      </c>
      <c r="AC12" s="23">
        <f t="shared" ref="AC12" si="84">(AC11-AB11)*1000</f>
        <v>24000</v>
      </c>
      <c r="AD12" s="23">
        <f t="shared" ref="AD12" si="85">(AD11-AC11)*1000</f>
        <v>20000</v>
      </c>
      <c r="AE12" s="23">
        <f t="shared" ref="AE12" si="86">(AE11-AD11)*1000</f>
        <v>21000</v>
      </c>
      <c r="AF12" s="23">
        <f t="shared" ref="AF12" si="87">(AF11-AE11)*1000</f>
        <v>19000</v>
      </c>
      <c r="AG12" s="23">
        <f t="shared" ref="AG12" si="88">(AG11-AF11)*1000</f>
        <v>20000</v>
      </c>
      <c r="AH12" s="23">
        <f t="shared" ref="AH12" si="89">(AH11-AG11)*1000</f>
        <v>19000</v>
      </c>
      <c r="AI12" s="23">
        <f t="shared" ref="AI12" si="90">(AI11-AH11)*1000</f>
        <v>21000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8">
        <v>7</v>
      </c>
      <c r="B13" s="39" t="s">
        <v>25</v>
      </c>
      <c r="C13" s="71" t="s">
        <v>26</v>
      </c>
      <c r="D13" s="40">
        <v>2880</v>
      </c>
      <c r="E13" s="40">
        <v>2880</v>
      </c>
      <c r="F13" s="40">
        <v>2880</v>
      </c>
      <c r="G13" s="40">
        <v>2880</v>
      </c>
      <c r="H13" s="40">
        <v>2880</v>
      </c>
      <c r="I13" s="40">
        <v>2881</v>
      </c>
      <c r="J13" s="40">
        <v>2881</v>
      </c>
      <c r="K13" s="40">
        <v>2881</v>
      </c>
      <c r="L13" s="40">
        <v>2881</v>
      </c>
      <c r="M13" s="40">
        <v>2881</v>
      </c>
      <c r="N13" s="40">
        <v>2881</v>
      </c>
      <c r="O13" s="40">
        <v>2882</v>
      </c>
      <c r="P13" s="40">
        <v>2882</v>
      </c>
      <c r="Q13" s="40">
        <v>2882</v>
      </c>
      <c r="R13" s="40">
        <v>2882</v>
      </c>
      <c r="S13" s="40">
        <v>2882</v>
      </c>
      <c r="T13" s="40">
        <v>2882</v>
      </c>
      <c r="U13" s="40">
        <v>2882</v>
      </c>
      <c r="V13" s="40">
        <v>2882</v>
      </c>
      <c r="W13" s="40">
        <v>2882</v>
      </c>
      <c r="X13" s="40">
        <v>2884</v>
      </c>
      <c r="Y13" s="40">
        <v>2884</v>
      </c>
      <c r="Z13" s="40">
        <v>2884</v>
      </c>
      <c r="AA13" s="40">
        <v>2884</v>
      </c>
      <c r="AB13" s="40">
        <v>2884</v>
      </c>
      <c r="AC13" s="40">
        <v>2884</v>
      </c>
      <c r="AD13" s="40">
        <v>2884</v>
      </c>
      <c r="AE13" s="40">
        <v>2888</v>
      </c>
      <c r="AF13" s="40">
        <v>2888</v>
      </c>
      <c r="AG13" s="40">
        <v>2888</v>
      </c>
      <c r="AH13" s="40">
        <v>2888</v>
      </c>
      <c r="AI13" s="40">
        <v>2888</v>
      </c>
    </row>
    <row r="14" spans="1:67" s="24" customFormat="1" ht="21.75" customHeight="1" x14ac:dyDescent="0.2">
      <c r="A14" s="74"/>
      <c r="B14" s="41"/>
      <c r="C14" s="77"/>
      <c r="D14" s="42"/>
      <c r="E14" s="42">
        <f t="shared" ref="E14" si="91">E13-D13</f>
        <v>0</v>
      </c>
      <c r="F14" s="42">
        <f t="shared" ref="F14" si="92">F13-E13</f>
        <v>0</v>
      </c>
      <c r="G14" s="42">
        <f t="shared" ref="G14" si="93">G13-F13</f>
        <v>0</v>
      </c>
      <c r="H14" s="42">
        <f t="shared" ref="H14" si="94">H13-G13</f>
        <v>0</v>
      </c>
      <c r="I14" s="42">
        <f t="shared" ref="I14" si="95">I13-H13</f>
        <v>1</v>
      </c>
      <c r="J14" s="42">
        <f t="shared" ref="J14" si="96">J13-I13</f>
        <v>0</v>
      </c>
      <c r="K14" s="42">
        <f t="shared" ref="K14" si="97">K13-J13</f>
        <v>0</v>
      </c>
      <c r="L14" s="42">
        <f t="shared" ref="L14" si="98">L13-K13</f>
        <v>0</v>
      </c>
      <c r="M14" s="42">
        <f t="shared" ref="M14" si="99">M13-L13</f>
        <v>0</v>
      </c>
      <c r="N14" s="42">
        <f t="shared" ref="N14" si="100">N13-M13</f>
        <v>0</v>
      </c>
      <c r="O14" s="42">
        <f t="shared" ref="O14" si="101">O13-N13</f>
        <v>1</v>
      </c>
      <c r="P14" s="42">
        <f t="shared" ref="P14" si="102">P13-O13</f>
        <v>0</v>
      </c>
      <c r="Q14" s="42">
        <f t="shared" ref="Q14" si="103">Q13-P13</f>
        <v>0</v>
      </c>
      <c r="R14" s="42">
        <f t="shared" ref="R14" si="104">R13-Q13</f>
        <v>0</v>
      </c>
      <c r="S14" s="42">
        <f t="shared" ref="S14" si="105">S13-R13</f>
        <v>0</v>
      </c>
      <c r="T14" s="42">
        <f t="shared" ref="T14" si="106">T13-S13</f>
        <v>0</v>
      </c>
      <c r="U14" s="42">
        <f t="shared" ref="U14" si="107">U13-T13</f>
        <v>0</v>
      </c>
      <c r="V14" s="42">
        <f t="shared" ref="V14" si="108">V13-U13</f>
        <v>0</v>
      </c>
      <c r="W14" s="42">
        <f t="shared" ref="W14" si="109">W13-V13</f>
        <v>0</v>
      </c>
      <c r="X14" s="42">
        <f t="shared" ref="X14" si="110">X13-W13</f>
        <v>2</v>
      </c>
      <c r="Y14" s="42">
        <f t="shared" ref="Y14" si="111">Y13-X13</f>
        <v>0</v>
      </c>
      <c r="Z14" s="42">
        <f t="shared" ref="Z14" si="112">Z13-Y13</f>
        <v>0</v>
      </c>
      <c r="AA14" s="42">
        <f t="shared" ref="AA14" si="113">AA13-Z13</f>
        <v>0</v>
      </c>
      <c r="AB14" s="42">
        <f t="shared" ref="AB14" si="114">AB13-AA13</f>
        <v>0</v>
      </c>
      <c r="AC14" s="42">
        <f t="shared" ref="AC14" si="115">AC13-AB13</f>
        <v>0</v>
      </c>
      <c r="AD14" s="42">
        <f t="shared" ref="AD14" si="116">AD13-AC13</f>
        <v>0</v>
      </c>
      <c r="AE14" s="42">
        <f t="shared" ref="AE14" si="117">AE13-AD13</f>
        <v>4</v>
      </c>
      <c r="AF14" s="42">
        <f t="shared" ref="AF14" si="118">AF13-AE13</f>
        <v>0</v>
      </c>
      <c r="AG14" s="42">
        <f t="shared" ref="AG14" si="119">AG13-AF13</f>
        <v>0</v>
      </c>
      <c r="AH14" s="42">
        <f t="shared" ref="AH14" si="120">AH13-AG13</f>
        <v>0</v>
      </c>
      <c r="AI14" s="42">
        <f t="shared" ref="AI14" si="121">AI13-AH13</f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9">
        <v>8</v>
      </c>
      <c r="B15" s="39" t="s">
        <v>27</v>
      </c>
      <c r="C15" s="71" t="s">
        <v>28</v>
      </c>
      <c r="D15" s="40">
        <v>268</v>
      </c>
      <c r="E15" s="40">
        <v>268</v>
      </c>
      <c r="F15" s="40">
        <v>268</v>
      </c>
      <c r="G15" s="40">
        <v>268</v>
      </c>
      <c r="H15" s="40">
        <v>268</v>
      </c>
      <c r="I15" s="40">
        <v>269</v>
      </c>
      <c r="J15" s="40">
        <v>269</v>
      </c>
      <c r="K15" s="40">
        <v>269</v>
      </c>
      <c r="L15" s="40">
        <v>269</v>
      </c>
      <c r="M15" s="40">
        <v>269</v>
      </c>
      <c r="N15" s="40">
        <v>269</v>
      </c>
      <c r="O15" s="40">
        <v>269</v>
      </c>
      <c r="P15" s="40">
        <v>269</v>
      </c>
      <c r="Q15" s="40">
        <v>269</v>
      </c>
      <c r="R15" s="40">
        <v>269</v>
      </c>
      <c r="S15" s="40">
        <v>269</v>
      </c>
      <c r="T15" s="40">
        <v>269</v>
      </c>
      <c r="U15" s="40">
        <v>269</v>
      </c>
      <c r="V15" s="40">
        <v>269</v>
      </c>
      <c r="W15" s="40">
        <v>269</v>
      </c>
      <c r="X15" s="40">
        <v>271</v>
      </c>
      <c r="Y15" s="40">
        <v>271</v>
      </c>
      <c r="Z15" s="40">
        <v>271</v>
      </c>
      <c r="AA15" s="40">
        <v>271</v>
      </c>
      <c r="AB15" s="40">
        <v>271</v>
      </c>
      <c r="AC15" s="40">
        <v>271</v>
      </c>
      <c r="AD15" s="40">
        <v>272</v>
      </c>
      <c r="AE15" s="40">
        <v>272</v>
      </c>
      <c r="AF15" s="40">
        <v>272</v>
      </c>
      <c r="AG15" s="40">
        <v>272</v>
      </c>
      <c r="AH15" s="40">
        <v>272</v>
      </c>
      <c r="AI15" s="40">
        <v>272</v>
      </c>
    </row>
    <row r="16" spans="1:67" s="24" customFormat="1" ht="21.75" customHeight="1" x14ac:dyDescent="0.2">
      <c r="A16" s="76"/>
      <c r="B16" s="41"/>
      <c r="C16" s="77"/>
      <c r="D16" s="42"/>
      <c r="E16" s="42">
        <f t="shared" ref="E16" si="122">E15-D15</f>
        <v>0</v>
      </c>
      <c r="F16" s="42">
        <f t="shared" ref="F16" si="123">F15-E15</f>
        <v>0</v>
      </c>
      <c r="G16" s="42">
        <f t="shared" ref="G16" si="124">G15-F15</f>
        <v>0</v>
      </c>
      <c r="H16" s="42">
        <f t="shared" ref="H16" si="125">H15-G15</f>
        <v>0</v>
      </c>
      <c r="I16" s="42">
        <f t="shared" ref="I16" si="126">I15-H15</f>
        <v>1</v>
      </c>
      <c r="J16" s="42">
        <f t="shared" ref="J16" si="127">J15-I15</f>
        <v>0</v>
      </c>
      <c r="K16" s="42">
        <f t="shared" ref="K16" si="128">K15-J15</f>
        <v>0</v>
      </c>
      <c r="L16" s="42">
        <f t="shared" ref="L16" si="129">L15-K15</f>
        <v>0</v>
      </c>
      <c r="M16" s="42">
        <f t="shared" ref="M16" si="130">M15-L15</f>
        <v>0</v>
      </c>
      <c r="N16" s="42">
        <f t="shared" ref="N16" si="131">N15-M15</f>
        <v>0</v>
      </c>
      <c r="O16" s="42">
        <f t="shared" ref="O16" si="132">O15-N15</f>
        <v>0</v>
      </c>
      <c r="P16" s="42">
        <f t="shared" ref="P16" si="133">P15-O15</f>
        <v>0</v>
      </c>
      <c r="Q16" s="42">
        <f t="shared" ref="Q16" si="134">Q15-P15</f>
        <v>0</v>
      </c>
      <c r="R16" s="42">
        <f t="shared" ref="R16" si="135">R15-Q15</f>
        <v>0</v>
      </c>
      <c r="S16" s="42">
        <f t="shared" ref="S16" si="136">S15-R15</f>
        <v>0</v>
      </c>
      <c r="T16" s="42">
        <f t="shared" ref="T16" si="137">T15-S15</f>
        <v>0</v>
      </c>
      <c r="U16" s="42">
        <f t="shared" ref="U16" si="138">U15-T15</f>
        <v>0</v>
      </c>
      <c r="V16" s="42">
        <f t="shared" ref="V16" si="139">V15-U15</f>
        <v>0</v>
      </c>
      <c r="W16" s="42">
        <f t="shared" ref="W16" si="140">W15-V15</f>
        <v>0</v>
      </c>
      <c r="X16" s="42">
        <f t="shared" ref="X16" si="141">X15-W15</f>
        <v>2</v>
      </c>
      <c r="Y16" s="42">
        <f t="shared" ref="Y16" si="142">Y15-X15</f>
        <v>0</v>
      </c>
      <c r="Z16" s="42">
        <f t="shared" ref="Z16" si="143">Z15-Y15</f>
        <v>0</v>
      </c>
      <c r="AA16" s="42">
        <f t="shared" ref="AA16" si="144">AA15-Z15</f>
        <v>0</v>
      </c>
      <c r="AB16" s="42">
        <f t="shared" ref="AB16" si="145">AB15-AA15</f>
        <v>0</v>
      </c>
      <c r="AC16" s="42">
        <f t="shared" ref="AC16" si="146">AC15-AB15</f>
        <v>0</v>
      </c>
      <c r="AD16" s="42">
        <f t="shared" ref="AD16" si="147">AD15-AC15</f>
        <v>1</v>
      </c>
      <c r="AE16" s="42">
        <f t="shared" ref="AE16" si="148">AE15-AD15</f>
        <v>0</v>
      </c>
      <c r="AF16" s="42">
        <f t="shared" ref="AF16" si="149">AF15-AE15</f>
        <v>0</v>
      </c>
      <c r="AG16" s="42">
        <f t="shared" ref="AG16" si="150">AG15-AF15</f>
        <v>0</v>
      </c>
      <c r="AH16" s="42">
        <f t="shared" ref="AH16" si="151">AH15-AG15</f>
        <v>0</v>
      </c>
      <c r="AI16" s="42">
        <f t="shared" ref="AI16" si="152">AI15-AH15</f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9">
        <v>13</v>
      </c>
      <c r="B17" s="39" t="s">
        <v>29</v>
      </c>
      <c r="C17" s="71" t="s">
        <v>30</v>
      </c>
      <c r="D17" s="40">
        <v>1014492</v>
      </c>
      <c r="E17" s="40">
        <v>1014785</v>
      </c>
      <c r="F17" s="40">
        <v>1015094</v>
      </c>
      <c r="G17" s="40">
        <v>1015381</v>
      </c>
      <c r="H17" s="40">
        <v>1015667</v>
      </c>
      <c r="I17" s="40">
        <v>1015962</v>
      </c>
      <c r="J17" s="40">
        <v>1016248</v>
      </c>
      <c r="K17" s="40">
        <v>1016532</v>
      </c>
      <c r="L17" s="40">
        <v>1016821</v>
      </c>
      <c r="M17" s="40">
        <v>1017109</v>
      </c>
      <c r="N17" s="40">
        <v>1017416</v>
      </c>
      <c r="O17" s="40">
        <v>1017703</v>
      </c>
      <c r="P17" s="40">
        <v>1018006</v>
      </c>
      <c r="Q17" s="40">
        <v>1018289</v>
      </c>
      <c r="R17" s="40">
        <v>1018569</v>
      </c>
      <c r="S17" s="40">
        <v>1018867</v>
      </c>
      <c r="T17" s="40">
        <v>1019147</v>
      </c>
      <c r="U17" s="40">
        <v>1019416</v>
      </c>
      <c r="V17" s="40">
        <v>1019712</v>
      </c>
      <c r="W17" s="40">
        <v>1019987</v>
      </c>
      <c r="X17" s="40">
        <v>1020271</v>
      </c>
      <c r="Y17" s="40">
        <v>1020550</v>
      </c>
      <c r="Z17" s="40">
        <v>1020830</v>
      </c>
      <c r="AA17" s="40">
        <v>1021133</v>
      </c>
      <c r="AB17" s="40">
        <v>1021415</v>
      </c>
      <c r="AC17" s="40">
        <v>1021695</v>
      </c>
      <c r="AD17" s="40">
        <v>1021979</v>
      </c>
      <c r="AE17" s="40">
        <v>1022263</v>
      </c>
      <c r="AF17" s="40">
        <v>1022540</v>
      </c>
      <c r="AG17" s="40">
        <v>1022821</v>
      </c>
      <c r="AH17" s="40">
        <v>1023111</v>
      </c>
      <c r="AI17" s="40">
        <v>1023422</v>
      </c>
    </row>
    <row r="18" spans="1:35" ht="21.75" customHeight="1" x14ac:dyDescent="0.2">
      <c r="A18" s="70"/>
      <c r="B18" s="43"/>
      <c r="C18" s="72"/>
      <c r="D18" s="42"/>
      <c r="E18" s="42">
        <f t="shared" ref="E18" si="153">E17-D17</f>
        <v>293</v>
      </c>
      <c r="F18" s="42">
        <f t="shared" ref="F18" si="154">F17-E17</f>
        <v>309</v>
      </c>
      <c r="G18" s="42">
        <f t="shared" ref="G18" si="155">G17-F17</f>
        <v>287</v>
      </c>
      <c r="H18" s="42">
        <f t="shared" ref="H18" si="156">H17-G17</f>
        <v>286</v>
      </c>
      <c r="I18" s="42">
        <f t="shared" ref="I18" si="157">I17-H17</f>
        <v>295</v>
      </c>
      <c r="J18" s="42">
        <f t="shared" ref="J18" si="158">J17-I17</f>
        <v>286</v>
      </c>
      <c r="K18" s="42">
        <f t="shared" ref="K18" si="159">K17-J17</f>
        <v>284</v>
      </c>
      <c r="L18" s="42">
        <f t="shared" ref="L18" si="160">L17-K17</f>
        <v>289</v>
      </c>
      <c r="M18" s="42">
        <f t="shared" ref="M18" si="161">M17-L17</f>
        <v>288</v>
      </c>
      <c r="N18" s="42">
        <f t="shared" ref="N18" si="162">N17-M17</f>
        <v>307</v>
      </c>
      <c r="O18" s="42">
        <f t="shared" ref="O18" si="163">O17-N17</f>
        <v>287</v>
      </c>
      <c r="P18" s="42">
        <f t="shared" ref="P18" si="164">P17-O17</f>
        <v>303</v>
      </c>
      <c r="Q18" s="42">
        <f t="shared" ref="Q18" si="165">Q17-P17</f>
        <v>283</v>
      </c>
      <c r="R18" s="42">
        <f t="shared" ref="R18" si="166">R17-Q17</f>
        <v>280</v>
      </c>
      <c r="S18" s="42">
        <f t="shared" ref="S18" si="167">S17-R17</f>
        <v>298</v>
      </c>
      <c r="T18" s="42">
        <f t="shared" ref="T18" si="168">T17-S17</f>
        <v>280</v>
      </c>
      <c r="U18" s="42">
        <f t="shared" ref="U18" si="169">U17-T17</f>
        <v>269</v>
      </c>
      <c r="V18" s="42">
        <f t="shared" ref="V18" si="170">V17-U17</f>
        <v>296</v>
      </c>
      <c r="W18" s="42">
        <f t="shared" ref="W18" si="171">W17-V17</f>
        <v>275</v>
      </c>
      <c r="X18" s="42">
        <f t="shared" ref="X18" si="172">X17-W17</f>
        <v>284</v>
      </c>
      <c r="Y18" s="42">
        <f t="shared" ref="Y18" si="173">Y17-X17</f>
        <v>279</v>
      </c>
      <c r="Z18" s="42">
        <f t="shared" ref="Z18" si="174">Z17-Y17</f>
        <v>280</v>
      </c>
      <c r="AA18" s="42">
        <f t="shared" ref="AA18" si="175">AA17-Z17</f>
        <v>303</v>
      </c>
      <c r="AB18" s="42">
        <f t="shared" ref="AB18" si="176">AB17-AA17</f>
        <v>282</v>
      </c>
      <c r="AC18" s="42">
        <f t="shared" ref="AC18" si="177">AC17-AB17</f>
        <v>280</v>
      </c>
      <c r="AD18" s="42">
        <f t="shared" ref="AD18" si="178">AD17-AC17</f>
        <v>284</v>
      </c>
      <c r="AE18" s="42">
        <f t="shared" ref="AE18" si="179">AE17-AD17</f>
        <v>284</v>
      </c>
      <c r="AF18" s="42">
        <f t="shared" ref="AF18" si="180">AF17-AE17</f>
        <v>277</v>
      </c>
      <c r="AG18" s="42">
        <f t="shared" ref="AG18" si="181">AG17-AF17</f>
        <v>281</v>
      </c>
      <c r="AH18" s="42">
        <f t="shared" ref="AH18" si="182">AH17-AG17</f>
        <v>290</v>
      </c>
      <c r="AI18" s="42">
        <f t="shared" ref="AI18" si="183">AI17-AH17</f>
        <v>311</v>
      </c>
    </row>
    <row r="19" spans="1:35" ht="21.75" customHeight="1" x14ac:dyDescent="0.2">
      <c r="A19" s="73">
        <v>14</v>
      </c>
      <c r="B19" s="39" t="s">
        <v>31</v>
      </c>
      <c r="C19" s="71" t="s">
        <v>32</v>
      </c>
      <c r="D19" s="40">
        <v>301132</v>
      </c>
      <c r="E19" s="40">
        <v>301182</v>
      </c>
      <c r="F19" s="40">
        <v>301235</v>
      </c>
      <c r="G19" s="40">
        <v>301290</v>
      </c>
      <c r="H19" s="40">
        <v>301346</v>
      </c>
      <c r="I19" s="40">
        <v>301398</v>
      </c>
      <c r="J19" s="40">
        <v>301448</v>
      </c>
      <c r="K19" s="40">
        <v>301498</v>
      </c>
      <c r="L19" s="40">
        <v>301546</v>
      </c>
      <c r="M19" s="40">
        <v>301594</v>
      </c>
      <c r="N19" s="40">
        <v>301643</v>
      </c>
      <c r="O19" s="40">
        <v>301692</v>
      </c>
      <c r="P19" s="40">
        <v>301744</v>
      </c>
      <c r="Q19" s="40">
        <v>301792</v>
      </c>
      <c r="R19" s="40">
        <v>301842</v>
      </c>
      <c r="S19" s="40">
        <v>301889</v>
      </c>
      <c r="T19" s="40">
        <v>301940</v>
      </c>
      <c r="U19" s="40">
        <v>301991</v>
      </c>
      <c r="V19" s="40">
        <v>302046</v>
      </c>
      <c r="W19" s="40">
        <v>302098</v>
      </c>
      <c r="X19" s="40">
        <v>302153</v>
      </c>
      <c r="Y19" s="40">
        <v>302205</v>
      </c>
      <c r="Z19" s="40">
        <v>302258</v>
      </c>
      <c r="AA19" s="40">
        <v>302309</v>
      </c>
      <c r="AB19" s="40">
        <v>302361</v>
      </c>
      <c r="AC19" s="40">
        <v>302414</v>
      </c>
      <c r="AD19" s="40">
        <v>302470</v>
      </c>
      <c r="AE19" s="40">
        <v>302526</v>
      </c>
      <c r="AF19" s="40">
        <v>302582</v>
      </c>
      <c r="AG19" s="40">
        <v>302640</v>
      </c>
      <c r="AH19" s="40">
        <v>302698</v>
      </c>
      <c r="AI19" s="40">
        <v>302757</v>
      </c>
    </row>
    <row r="20" spans="1:35" ht="21.75" customHeight="1" x14ac:dyDescent="0.2">
      <c r="A20" s="74"/>
      <c r="B20" s="43"/>
      <c r="C20" s="72"/>
      <c r="D20" s="42"/>
      <c r="E20" s="42">
        <f t="shared" ref="E20" si="184">E19-D19</f>
        <v>50</v>
      </c>
      <c r="F20" s="42">
        <f t="shared" ref="F20" si="185">F19-E19</f>
        <v>53</v>
      </c>
      <c r="G20" s="42">
        <f t="shared" ref="G20" si="186">G19-F19</f>
        <v>55</v>
      </c>
      <c r="H20" s="42">
        <f t="shared" ref="H20" si="187">H19-G19</f>
        <v>56</v>
      </c>
      <c r="I20" s="42">
        <f t="shared" ref="I20" si="188">I19-H19</f>
        <v>52</v>
      </c>
      <c r="J20" s="42">
        <f t="shared" ref="J20" si="189">J19-I19</f>
        <v>50</v>
      </c>
      <c r="K20" s="42">
        <f t="shared" ref="K20" si="190">K19-J19</f>
        <v>50</v>
      </c>
      <c r="L20" s="42">
        <f t="shared" ref="L20" si="191">L19-K19</f>
        <v>48</v>
      </c>
      <c r="M20" s="42">
        <f t="shared" ref="M20" si="192">M19-L19</f>
        <v>48</v>
      </c>
      <c r="N20" s="42">
        <f t="shared" ref="N20" si="193">N19-M19</f>
        <v>49</v>
      </c>
      <c r="O20" s="42">
        <f t="shared" ref="O20" si="194">O19-N19</f>
        <v>49</v>
      </c>
      <c r="P20" s="42">
        <f t="shared" ref="P20" si="195">P19-O19</f>
        <v>52</v>
      </c>
      <c r="Q20" s="42">
        <f t="shared" ref="Q20" si="196">Q19-P19</f>
        <v>48</v>
      </c>
      <c r="R20" s="42">
        <f t="shared" ref="R20" si="197">R19-Q19</f>
        <v>50</v>
      </c>
      <c r="S20" s="42">
        <f t="shared" ref="S20" si="198">S19-R19</f>
        <v>47</v>
      </c>
      <c r="T20" s="42">
        <f t="shared" ref="T20" si="199">T19-S19</f>
        <v>51</v>
      </c>
      <c r="U20" s="42">
        <f t="shared" ref="U20" si="200">U19-T19</f>
        <v>51</v>
      </c>
      <c r="V20" s="42">
        <f t="shared" ref="V20" si="201">V19-U19</f>
        <v>55</v>
      </c>
      <c r="W20" s="42">
        <f t="shared" ref="W20" si="202">W19-V19</f>
        <v>52</v>
      </c>
      <c r="X20" s="42">
        <f t="shared" ref="X20" si="203">X19-W19</f>
        <v>55</v>
      </c>
      <c r="Y20" s="42">
        <f t="shared" ref="Y20" si="204">Y19-X19</f>
        <v>52</v>
      </c>
      <c r="Z20" s="42">
        <f t="shared" ref="Z20" si="205">Z19-Y19</f>
        <v>53</v>
      </c>
      <c r="AA20" s="42">
        <f t="shared" ref="AA20" si="206">AA19-Z19</f>
        <v>51</v>
      </c>
      <c r="AB20" s="42">
        <f t="shared" ref="AB20" si="207">AB19-AA19</f>
        <v>52</v>
      </c>
      <c r="AC20" s="42">
        <f t="shared" ref="AC20" si="208">AC19-AB19</f>
        <v>53</v>
      </c>
      <c r="AD20" s="42">
        <f t="shared" ref="AD20" si="209">AD19-AC19</f>
        <v>56</v>
      </c>
      <c r="AE20" s="42">
        <f t="shared" ref="AE20" si="210">AE19-AD19</f>
        <v>56</v>
      </c>
      <c r="AF20" s="42">
        <f t="shared" ref="AF20" si="211">AF19-AE19</f>
        <v>56</v>
      </c>
      <c r="AG20" s="42">
        <f t="shared" ref="AG20" si="212">AG19-AF19</f>
        <v>58</v>
      </c>
      <c r="AH20" s="42">
        <f t="shared" ref="AH20" si="213">AH19-AG19</f>
        <v>58</v>
      </c>
      <c r="AI20" s="42">
        <f t="shared" ref="AI20" si="214">AI19-AH19</f>
        <v>59</v>
      </c>
    </row>
    <row r="21" spans="1:35" ht="27" customHeight="1" x14ac:dyDescent="0.3">
      <c r="B21" s="75" t="s">
        <v>33</v>
      </c>
      <c r="C21" s="75"/>
      <c r="D21" s="44"/>
      <c r="E21" s="58">
        <f>((E6+E8)+((E10+E12)*40%)+(E14+E16+E18+E20))</f>
        <v>47543</v>
      </c>
      <c r="F21" s="58">
        <f t="shared" ref="F21:AI21" si="215">((F6+F8)+((F10+F12)*40%)+(F14+F16+F18+F20))</f>
        <v>44562</v>
      </c>
      <c r="G21" s="58">
        <f t="shared" si="215"/>
        <v>45542</v>
      </c>
      <c r="H21" s="58">
        <f t="shared" si="215"/>
        <v>46542</v>
      </c>
      <c r="I21" s="58">
        <f t="shared" si="215"/>
        <v>46749</v>
      </c>
      <c r="J21" s="58">
        <f t="shared" si="215"/>
        <v>45336</v>
      </c>
      <c r="K21" s="58">
        <f t="shared" si="215"/>
        <v>45934</v>
      </c>
      <c r="L21" s="58">
        <f t="shared" si="215"/>
        <v>46137</v>
      </c>
      <c r="M21" s="58">
        <f t="shared" si="215"/>
        <v>47336</v>
      </c>
      <c r="N21" s="58">
        <f t="shared" si="215"/>
        <v>48756</v>
      </c>
      <c r="O21" s="58">
        <f t="shared" si="215"/>
        <v>48337</v>
      </c>
      <c r="P21" s="58">
        <f t="shared" si="215"/>
        <v>48955</v>
      </c>
      <c r="Q21" s="58">
        <f t="shared" si="215"/>
        <v>45931</v>
      </c>
      <c r="R21" s="58">
        <f t="shared" si="215"/>
        <v>44530</v>
      </c>
      <c r="S21" s="58">
        <f t="shared" si="215"/>
        <v>45545</v>
      </c>
      <c r="T21" s="58">
        <f t="shared" si="215"/>
        <v>45131</v>
      </c>
      <c r="U21" s="58">
        <f t="shared" si="215"/>
        <v>47920</v>
      </c>
      <c r="V21" s="58">
        <f t="shared" si="215"/>
        <v>46951</v>
      </c>
      <c r="W21" s="58">
        <f t="shared" si="215"/>
        <v>47127</v>
      </c>
      <c r="X21" s="58">
        <f t="shared" si="215"/>
        <v>44543</v>
      </c>
      <c r="Y21" s="58">
        <f t="shared" si="215"/>
        <v>44131</v>
      </c>
      <c r="Z21" s="58">
        <f t="shared" si="215"/>
        <v>44133</v>
      </c>
      <c r="AA21" s="58">
        <f t="shared" si="215"/>
        <v>43954</v>
      </c>
      <c r="AB21" s="58">
        <f t="shared" si="215"/>
        <v>42534</v>
      </c>
      <c r="AC21" s="58">
        <f t="shared" si="215"/>
        <v>44733</v>
      </c>
      <c r="AD21" s="58">
        <f t="shared" si="215"/>
        <v>45541</v>
      </c>
      <c r="AE21" s="58">
        <f t="shared" si="215"/>
        <v>48544</v>
      </c>
      <c r="AF21" s="58">
        <f t="shared" si="215"/>
        <v>44933</v>
      </c>
      <c r="AG21" s="58">
        <f t="shared" si="215"/>
        <v>43339</v>
      </c>
      <c r="AH21" s="58">
        <f t="shared" si="215"/>
        <v>43548</v>
      </c>
      <c r="AI21" s="58">
        <f t="shared" si="215"/>
        <v>43170</v>
      </c>
    </row>
    <row r="22" spans="1:35" ht="27" customHeight="1" x14ac:dyDescent="0.3">
      <c r="B22" s="68" t="s">
        <v>34</v>
      </c>
      <c r="C22" s="68"/>
      <c r="D22" s="44"/>
      <c r="E22" s="58">
        <f>SUM(E21:AI21)</f>
        <v>1417967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1" t="s">
        <v>85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42" s="8" customFormat="1" ht="30" customHeight="1" thickBot="1" x14ac:dyDescent="0.3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</row>
    <row r="4" spans="1:42" s="30" customFormat="1" ht="57.75" customHeight="1" thickBot="1" x14ac:dyDescent="0.3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65</v>
      </c>
      <c r="AH4" s="29" t="s">
        <v>66</v>
      </c>
      <c r="AI4" s="29" t="s">
        <v>67</v>
      </c>
    </row>
    <row r="5" spans="1:42" s="8" customFormat="1" ht="40.5" customHeight="1" x14ac:dyDescent="0.25">
      <c r="A5" s="94" t="s">
        <v>37</v>
      </c>
      <c r="B5" s="27" t="s">
        <v>68</v>
      </c>
      <c r="C5" s="96" t="s">
        <v>69</v>
      </c>
      <c r="D5" s="64">
        <v>91893.2</v>
      </c>
      <c r="E5" s="65">
        <v>92098.2</v>
      </c>
      <c r="F5" s="65">
        <v>92285</v>
      </c>
      <c r="G5" s="65">
        <v>92497.5</v>
      </c>
      <c r="H5" s="65">
        <v>92663.3</v>
      </c>
      <c r="I5" s="65">
        <v>92853.1</v>
      </c>
      <c r="J5" s="65">
        <v>93055.2</v>
      </c>
      <c r="K5" s="64">
        <v>93254.399999999994</v>
      </c>
      <c r="L5" s="64">
        <v>93441.8</v>
      </c>
      <c r="M5" s="64">
        <v>93604.4</v>
      </c>
      <c r="N5" s="64">
        <v>93849.1</v>
      </c>
      <c r="O5" s="64">
        <v>94097</v>
      </c>
      <c r="P5" s="64">
        <v>94312</v>
      </c>
      <c r="Q5" s="64">
        <v>94576.55</v>
      </c>
      <c r="R5" s="64">
        <v>94814.9</v>
      </c>
      <c r="S5" s="64">
        <v>95050.2</v>
      </c>
      <c r="T5" s="64">
        <v>95246</v>
      </c>
      <c r="U5" s="64">
        <v>95476.7</v>
      </c>
      <c r="V5" s="64">
        <v>95639.8</v>
      </c>
      <c r="W5" s="64">
        <v>95805.3</v>
      </c>
      <c r="X5" s="64">
        <v>96029.6</v>
      </c>
      <c r="Y5" s="64">
        <v>96219.1</v>
      </c>
      <c r="Z5" s="64">
        <v>96429.1</v>
      </c>
      <c r="AA5" s="64">
        <v>96592.2</v>
      </c>
      <c r="AB5" s="64">
        <v>96811.4</v>
      </c>
      <c r="AC5" s="64">
        <v>96990</v>
      </c>
      <c r="AD5" s="64">
        <v>97215.6</v>
      </c>
      <c r="AE5" s="64">
        <v>97395.199999999997</v>
      </c>
      <c r="AF5" s="64">
        <v>97630.399999999994</v>
      </c>
      <c r="AG5" s="64">
        <v>97818</v>
      </c>
      <c r="AH5" s="64">
        <v>98031.8</v>
      </c>
      <c r="AI5" s="64">
        <v>98227.9</v>
      </c>
    </row>
    <row r="6" spans="1:42" s="34" customFormat="1" ht="25.7" customHeight="1" x14ac:dyDescent="0.25">
      <c r="A6" s="95"/>
      <c r="B6" s="32"/>
      <c r="C6" s="96"/>
      <c r="D6" s="33"/>
      <c r="E6" s="33">
        <f t="shared" ref="E6" si="0">E5-D5</f>
        <v>205</v>
      </c>
      <c r="F6" s="33">
        <f t="shared" ref="F6" si="1">F5-E5</f>
        <v>186.80000000000291</v>
      </c>
      <c r="G6" s="33">
        <f t="shared" ref="G6" si="2">G5-F5</f>
        <v>212.5</v>
      </c>
      <c r="H6" s="33">
        <f t="shared" ref="H6" si="3">H5-G5</f>
        <v>165.80000000000291</v>
      </c>
      <c r="I6" s="33">
        <f t="shared" ref="I6" si="4">I5-H5</f>
        <v>189.80000000000291</v>
      </c>
      <c r="J6" s="33">
        <f t="shared" ref="J6" si="5">J5-I5</f>
        <v>202.09999999999127</v>
      </c>
      <c r="K6" s="33">
        <f t="shared" ref="K6" si="6">K5-J5</f>
        <v>199.19999999999709</v>
      </c>
      <c r="L6" s="33">
        <f t="shared" ref="L6" si="7">L5-K5</f>
        <v>187.40000000000873</v>
      </c>
      <c r="M6" s="33">
        <f t="shared" ref="M6" si="8">M5-L5</f>
        <v>162.59999999999127</v>
      </c>
      <c r="N6" s="33">
        <f t="shared" ref="N6" si="9">N5-M5</f>
        <v>244.70000000001164</v>
      </c>
      <c r="O6" s="33">
        <f t="shared" ref="O6" si="10">O5-N5</f>
        <v>247.89999999999418</v>
      </c>
      <c r="P6" s="33">
        <f t="shared" ref="P6" si="11">P5-O5</f>
        <v>215</v>
      </c>
      <c r="Q6" s="33">
        <f t="shared" ref="Q6" si="12">Q5-P5</f>
        <v>264.55000000000291</v>
      </c>
      <c r="R6" s="33">
        <f t="shared" ref="R6" si="13">R5-Q5</f>
        <v>238.34999999999127</v>
      </c>
      <c r="S6" s="33">
        <f t="shared" ref="S6" si="14">S5-R5</f>
        <v>235.30000000000291</v>
      </c>
      <c r="T6" s="33">
        <f t="shared" ref="T6" si="15">T5-S5</f>
        <v>195.80000000000291</v>
      </c>
      <c r="U6" s="33">
        <f t="shared" ref="U6" si="16">U5-T5</f>
        <v>230.69999999999709</v>
      </c>
      <c r="V6" s="33">
        <f t="shared" ref="V6" si="17">V5-U5</f>
        <v>163.10000000000582</v>
      </c>
      <c r="W6" s="33">
        <f t="shared" ref="W6" si="18">W5-V5</f>
        <v>165.5</v>
      </c>
      <c r="X6" s="33">
        <f t="shared" ref="X6" si="19">X5-W5</f>
        <v>224.30000000000291</v>
      </c>
      <c r="Y6" s="33">
        <f t="shared" ref="Y6" si="20">Y5-X5</f>
        <v>189.5</v>
      </c>
      <c r="Z6" s="33">
        <f t="shared" ref="Z6" si="21">Z5-Y5</f>
        <v>210</v>
      </c>
      <c r="AA6" s="33">
        <f t="shared" ref="AA6" si="22">AA5-Z5</f>
        <v>163.09999999999127</v>
      </c>
      <c r="AB6" s="33">
        <f t="shared" ref="AB6" si="23">AB5-AA5</f>
        <v>219.19999999999709</v>
      </c>
      <c r="AC6" s="33">
        <f t="shared" ref="AC6" si="24">AC5-AB5</f>
        <v>178.60000000000582</v>
      </c>
      <c r="AD6" s="33">
        <f t="shared" ref="AD6" si="25">AD5-AC5</f>
        <v>225.60000000000582</v>
      </c>
      <c r="AE6" s="33">
        <f t="shared" ref="AE6" si="26">AE5-AD5</f>
        <v>179.59999999999127</v>
      </c>
      <c r="AF6" s="33">
        <f t="shared" ref="AF6" si="27">AF5-AE5</f>
        <v>235.19999999999709</v>
      </c>
      <c r="AG6" s="33">
        <f t="shared" ref="AG6" si="28">AG5-AF5</f>
        <v>187.60000000000582</v>
      </c>
      <c r="AH6" s="33">
        <f t="shared" ref="AH6" si="29">AH5-AG5</f>
        <v>213.80000000000291</v>
      </c>
      <c r="AI6" s="33">
        <f t="shared" ref="AI6" si="30">AI5-AH5</f>
        <v>196.09999999999127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25">
      <c r="A7" s="94" t="s">
        <v>39</v>
      </c>
      <c r="B7" s="49" t="s">
        <v>70</v>
      </c>
      <c r="C7" s="96" t="s">
        <v>71</v>
      </c>
      <c r="D7" s="65">
        <v>109079.4</v>
      </c>
      <c r="E7" s="65">
        <v>109531.1</v>
      </c>
      <c r="F7" s="65">
        <v>109847.1</v>
      </c>
      <c r="G7" s="65">
        <v>110299</v>
      </c>
      <c r="H7" s="65">
        <v>110754.1</v>
      </c>
      <c r="I7" s="65">
        <v>111206.3</v>
      </c>
      <c r="J7" s="65">
        <v>111665.60000000001</v>
      </c>
      <c r="K7" s="65">
        <v>112099.5</v>
      </c>
      <c r="L7" s="65">
        <v>112555.5</v>
      </c>
      <c r="M7" s="65">
        <v>112862.39999999999</v>
      </c>
      <c r="N7" s="65">
        <v>113371.8</v>
      </c>
      <c r="O7" s="65">
        <v>113726.2</v>
      </c>
      <c r="P7" s="65">
        <v>114162.8</v>
      </c>
      <c r="Q7" s="65">
        <v>114477.2</v>
      </c>
      <c r="R7" s="65">
        <v>114907.7</v>
      </c>
      <c r="S7" s="65">
        <v>115264.4</v>
      </c>
      <c r="T7" s="65">
        <v>115582.1</v>
      </c>
      <c r="U7" s="65">
        <v>116020.8</v>
      </c>
      <c r="V7" s="65">
        <v>116521.1</v>
      </c>
      <c r="W7" s="65">
        <v>117001.7</v>
      </c>
      <c r="X7" s="65">
        <v>117465.1</v>
      </c>
      <c r="Y7" s="65">
        <v>117886.7</v>
      </c>
      <c r="Z7" s="65">
        <v>118319.7</v>
      </c>
      <c r="AA7" s="65">
        <v>118649.4</v>
      </c>
      <c r="AB7" s="65">
        <v>119068.2</v>
      </c>
      <c r="AC7" s="65">
        <v>119520</v>
      </c>
      <c r="AD7" s="65">
        <v>119965.6</v>
      </c>
      <c r="AE7" s="65">
        <v>120428.5</v>
      </c>
      <c r="AF7" s="65">
        <v>120849.2</v>
      </c>
      <c r="AG7" s="65">
        <v>121301.8</v>
      </c>
      <c r="AH7" s="65">
        <v>121583.8</v>
      </c>
      <c r="AI7" s="65">
        <v>121977.4</v>
      </c>
    </row>
    <row r="8" spans="1:42" s="34" customFormat="1" ht="25.7" customHeight="1" x14ac:dyDescent="0.25">
      <c r="A8" s="95"/>
      <c r="B8" s="47"/>
      <c r="C8" s="96"/>
      <c r="D8" s="33"/>
      <c r="E8" s="33">
        <f t="shared" ref="E8" si="31">E7-D7</f>
        <v>451.70000000001164</v>
      </c>
      <c r="F8" s="33">
        <f t="shared" ref="F8" si="32">F7-E7</f>
        <v>316</v>
      </c>
      <c r="G8" s="33">
        <f t="shared" ref="G8" si="33">G7-F7</f>
        <v>451.89999999999418</v>
      </c>
      <c r="H8" s="33">
        <f t="shared" ref="H8" si="34">H7-G7</f>
        <v>455.10000000000582</v>
      </c>
      <c r="I8" s="33">
        <f t="shared" ref="I8" si="35">I7-H7</f>
        <v>452.19999999999709</v>
      </c>
      <c r="J8" s="33">
        <f t="shared" ref="J8" si="36">J7-I7</f>
        <v>459.30000000000291</v>
      </c>
      <c r="K8" s="33">
        <f t="shared" ref="K8" si="37">K7-J7</f>
        <v>433.89999999999418</v>
      </c>
      <c r="L8" s="33">
        <f t="shared" ref="L8" si="38">L7-K7</f>
        <v>456</v>
      </c>
      <c r="M8" s="33">
        <f t="shared" ref="M8" si="39">M7-L7</f>
        <v>306.89999999999418</v>
      </c>
      <c r="N8" s="33">
        <f t="shared" ref="N8" si="40">N7-M7</f>
        <v>509.40000000000873</v>
      </c>
      <c r="O8" s="33">
        <f t="shared" ref="O8" si="41">O7-N7</f>
        <v>354.39999999999418</v>
      </c>
      <c r="P8" s="33">
        <f t="shared" ref="P8" si="42">P7-O7</f>
        <v>436.60000000000582</v>
      </c>
      <c r="Q8" s="33">
        <f t="shared" ref="Q8" si="43">Q7-P7</f>
        <v>314.39999999999418</v>
      </c>
      <c r="R8" s="33">
        <f t="shared" ref="R8" si="44">R7-Q7</f>
        <v>430.5</v>
      </c>
      <c r="S8" s="33">
        <f t="shared" ref="S8" si="45">S7-R7</f>
        <v>356.69999999999709</v>
      </c>
      <c r="T8" s="33">
        <f t="shared" ref="T8" si="46">T7-S7</f>
        <v>317.70000000001164</v>
      </c>
      <c r="U8" s="33">
        <f t="shared" ref="U8" si="47">U7-T7</f>
        <v>438.69999999999709</v>
      </c>
      <c r="V8" s="33">
        <f t="shared" ref="V8" si="48">V7-U7</f>
        <v>500.30000000000291</v>
      </c>
      <c r="W8" s="33">
        <f t="shared" ref="W8" si="49">W7-V7</f>
        <v>480.59999999999127</v>
      </c>
      <c r="X8" s="33">
        <f t="shared" ref="X8" si="50">X7-W7</f>
        <v>463.40000000000873</v>
      </c>
      <c r="Y8" s="33">
        <f t="shared" ref="Y8" si="51">Y7-X7</f>
        <v>421.59999999999127</v>
      </c>
      <c r="Z8" s="33">
        <f t="shared" ref="Z8" si="52">Z7-Y7</f>
        <v>433</v>
      </c>
      <c r="AA8" s="33">
        <f t="shared" ref="AA8" si="53">AA7-Z7</f>
        <v>329.69999999999709</v>
      </c>
      <c r="AB8" s="33">
        <f t="shared" ref="AB8" si="54">AB7-AA7</f>
        <v>418.80000000000291</v>
      </c>
      <c r="AC8" s="33">
        <f t="shared" ref="AC8" si="55">AC7-AB7</f>
        <v>451.80000000000291</v>
      </c>
      <c r="AD8" s="33">
        <f t="shared" ref="AD8" si="56">AD7-AC7</f>
        <v>445.60000000000582</v>
      </c>
      <c r="AE8" s="33">
        <f t="shared" ref="AE8" si="57">AE7-AD7</f>
        <v>462.89999999999418</v>
      </c>
      <c r="AF8" s="33">
        <f t="shared" ref="AF8" si="58">AF7-AE7</f>
        <v>420.69999999999709</v>
      </c>
      <c r="AG8" s="33">
        <f t="shared" ref="AG8" si="59">AG7-AF7</f>
        <v>452.60000000000582</v>
      </c>
      <c r="AH8" s="33">
        <f t="shared" ref="AH8" si="60">AH7-AG7</f>
        <v>282</v>
      </c>
      <c r="AI8" s="33">
        <f t="shared" ref="AI8" si="61">AI7-AH7</f>
        <v>393.59999999999127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x14ac:dyDescent="0.25">
      <c r="A9" s="94">
        <v>4</v>
      </c>
      <c r="B9" s="46" t="s">
        <v>72</v>
      </c>
      <c r="C9" s="96" t="s">
        <v>73</v>
      </c>
      <c r="D9" s="66">
        <v>27769</v>
      </c>
      <c r="E9" s="66">
        <v>27916</v>
      </c>
      <c r="F9" s="66">
        <v>27917</v>
      </c>
      <c r="G9" s="66">
        <v>28088</v>
      </c>
      <c r="H9" s="66">
        <v>28219</v>
      </c>
      <c r="I9" s="66">
        <v>28364</v>
      </c>
      <c r="J9" s="66">
        <v>28509</v>
      </c>
      <c r="K9" s="66">
        <v>28625</v>
      </c>
      <c r="L9" s="66">
        <v>28777</v>
      </c>
      <c r="M9" s="66">
        <v>28777</v>
      </c>
      <c r="N9" s="66">
        <v>28980</v>
      </c>
      <c r="O9" s="66">
        <v>28980</v>
      </c>
      <c r="P9" s="66">
        <v>29053</v>
      </c>
      <c r="Q9" s="66">
        <v>29053</v>
      </c>
      <c r="R9" s="66">
        <v>29137</v>
      </c>
      <c r="S9" s="66">
        <v>29187</v>
      </c>
      <c r="T9" s="66">
        <v>29187</v>
      </c>
      <c r="U9" s="66">
        <v>29321</v>
      </c>
      <c r="V9" s="66">
        <v>29487</v>
      </c>
      <c r="W9" s="66">
        <v>29686</v>
      </c>
      <c r="X9" s="66">
        <v>29751</v>
      </c>
      <c r="Y9" s="66">
        <v>29899</v>
      </c>
      <c r="Z9" s="66">
        <v>29963</v>
      </c>
      <c r="AA9" s="66">
        <v>29963</v>
      </c>
      <c r="AB9" s="66">
        <v>30089</v>
      </c>
      <c r="AC9" s="66">
        <v>30127</v>
      </c>
      <c r="AD9" s="66">
        <v>30262</v>
      </c>
      <c r="AE9" s="66">
        <v>30400</v>
      </c>
      <c r="AF9" s="66">
        <v>30491</v>
      </c>
      <c r="AG9" s="66">
        <v>30638</v>
      </c>
      <c r="AH9" s="66">
        <v>30638</v>
      </c>
      <c r="AI9" s="66">
        <v>30748</v>
      </c>
    </row>
    <row r="10" spans="1:42" s="34" customFormat="1" ht="25.7" customHeight="1" x14ac:dyDescent="0.25">
      <c r="A10" s="95"/>
      <c r="B10" s="47"/>
      <c r="C10" s="96"/>
      <c r="D10" s="33"/>
      <c r="E10" s="33">
        <f t="shared" ref="E10" si="62">E9-D9</f>
        <v>147</v>
      </c>
      <c r="F10" s="33">
        <f t="shared" ref="F10" si="63">F9-E9</f>
        <v>1</v>
      </c>
      <c r="G10" s="33">
        <f t="shared" ref="G10" si="64">G9-F9</f>
        <v>171</v>
      </c>
      <c r="H10" s="33">
        <f t="shared" ref="H10" si="65">H9-G9</f>
        <v>131</v>
      </c>
      <c r="I10" s="33">
        <f t="shared" ref="I10" si="66">I9-H9</f>
        <v>145</v>
      </c>
      <c r="J10" s="33">
        <f t="shared" ref="J10" si="67">J9-I9</f>
        <v>145</v>
      </c>
      <c r="K10" s="33">
        <f t="shared" ref="K10" si="68">K9-J9</f>
        <v>116</v>
      </c>
      <c r="L10" s="33">
        <f t="shared" ref="L10" si="69">L9-K9</f>
        <v>152</v>
      </c>
      <c r="M10" s="33">
        <f t="shared" ref="M10" si="70">M9-L9</f>
        <v>0</v>
      </c>
      <c r="N10" s="33">
        <f t="shared" ref="N10" si="71">N9-M9</f>
        <v>203</v>
      </c>
      <c r="O10" s="33">
        <f t="shared" ref="O10" si="72">O9-N9</f>
        <v>0</v>
      </c>
      <c r="P10" s="33">
        <f t="shared" ref="P10" si="73">P9-O9</f>
        <v>73</v>
      </c>
      <c r="Q10" s="33">
        <f t="shared" ref="Q10" si="74">Q9-P9</f>
        <v>0</v>
      </c>
      <c r="R10" s="33">
        <f t="shared" ref="R10" si="75">R9-Q9</f>
        <v>84</v>
      </c>
      <c r="S10" s="33">
        <f t="shared" ref="S10" si="76">S9-R9</f>
        <v>50</v>
      </c>
      <c r="T10" s="33">
        <f t="shared" ref="T10" si="77">T9-S9</f>
        <v>0</v>
      </c>
      <c r="U10" s="33">
        <f t="shared" ref="U10" si="78">U9-T9</f>
        <v>134</v>
      </c>
      <c r="V10" s="33">
        <f t="shared" ref="V10" si="79">V9-U9</f>
        <v>166</v>
      </c>
      <c r="W10" s="33">
        <f t="shared" ref="W10" si="80">W9-V9</f>
        <v>199</v>
      </c>
      <c r="X10" s="33">
        <f t="shared" ref="X10" si="81">X9-W9</f>
        <v>65</v>
      </c>
      <c r="Y10" s="33">
        <f t="shared" ref="Y10" si="82">Y9-X9</f>
        <v>148</v>
      </c>
      <c r="Z10" s="33">
        <f t="shared" ref="Z10" si="83">Z9-Y9</f>
        <v>64</v>
      </c>
      <c r="AA10" s="33">
        <f t="shared" ref="AA10" si="84">AA9-Z9</f>
        <v>0</v>
      </c>
      <c r="AB10" s="33">
        <f t="shared" ref="AB10" si="85">AB9-AA9</f>
        <v>126</v>
      </c>
      <c r="AC10" s="33">
        <f t="shared" ref="AC10" si="86">AC9-AB9</f>
        <v>38</v>
      </c>
      <c r="AD10" s="33">
        <f t="shared" ref="AD10" si="87">AD9-AC9</f>
        <v>135</v>
      </c>
      <c r="AE10" s="33">
        <f t="shared" ref="AE10" si="88">AE9-AD9</f>
        <v>138</v>
      </c>
      <c r="AF10" s="33">
        <f t="shared" ref="AF10" si="89">AF9-AE9</f>
        <v>91</v>
      </c>
      <c r="AG10" s="33">
        <f t="shared" ref="AG10" si="90">AG9-AF9</f>
        <v>147</v>
      </c>
      <c r="AH10" s="33">
        <f t="shared" ref="AH10" si="91">AH9-AG9</f>
        <v>0</v>
      </c>
      <c r="AI10" s="33">
        <f t="shared" ref="AI10" si="92">AI9-AH9</f>
        <v>110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97">
        <v>5</v>
      </c>
      <c r="B11" s="27">
        <v>68864837</v>
      </c>
      <c r="C11" s="96" t="s">
        <v>74</v>
      </c>
      <c r="D11" s="31">
        <v>4079.0459999999998</v>
      </c>
      <c r="E11" s="31">
        <v>4080.5149999999999</v>
      </c>
      <c r="F11" s="31">
        <v>4082.2570000000001</v>
      </c>
      <c r="G11" s="31">
        <v>4083.607</v>
      </c>
      <c r="H11" s="31">
        <v>4085.3249999999998</v>
      </c>
      <c r="I11" s="31">
        <v>4086.6680000000001</v>
      </c>
      <c r="J11" s="31">
        <v>4088.3629999999998</v>
      </c>
      <c r="K11" s="31">
        <v>4089.3670000000002</v>
      </c>
      <c r="L11" s="31">
        <v>4090.0430000000001</v>
      </c>
      <c r="M11" s="31">
        <v>4091.096</v>
      </c>
      <c r="N11" s="31">
        <v>4093.2249999999999</v>
      </c>
      <c r="O11" s="31">
        <v>4095.02</v>
      </c>
      <c r="P11" s="31">
        <v>4095.9580000000001</v>
      </c>
      <c r="Q11" s="31">
        <v>4096.9870000000001</v>
      </c>
      <c r="R11" s="31">
        <v>4097.8689999999997</v>
      </c>
      <c r="S11" s="31">
        <v>4098.6540000000005</v>
      </c>
      <c r="T11" s="31">
        <v>4100.1120000000001</v>
      </c>
      <c r="U11" s="31">
        <v>4101.183</v>
      </c>
      <c r="V11" s="67">
        <v>4102.5029999999997</v>
      </c>
      <c r="W11" s="31">
        <v>4103.5609999999997</v>
      </c>
      <c r="X11" s="31">
        <v>4104.5129999999999</v>
      </c>
      <c r="Y11" s="31">
        <v>4105.5389999999998</v>
      </c>
      <c r="Z11" s="31">
        <v>4106.6499999999996</v>
      </c>
      <c r="AA11" s="31">
        <v>4107.9920000000002</v>
      </c>
      <c r="AB11" s="31">
        <v>4109.3469999999998</v>
      </c>
      <c r="AC11" s="31">
        <v>4110.558</v>
      </c>
      <c r="AD11" s="31">
        <v>4112.0060000000003</v>
      </c>
      <c r="AE11" s="31">
        <v>4112.9530000000004</v>
      </c>
      <c r="AF11" s="31">
        <v>4113.8419999999996</v>
      </c>
      <c r="AG11" s="31">
        <v>4115.5029999999997</v>
      </c>
      <c r="AH11" s="31">
        <v>4116.4219999999996</v>
      </c>
      <c r="AI11" s="31">
        <v>4117.3119999999999</v>
      </c>
    </row>
    <row r="12" spans="1:42" s="8" customFormat="1" ht="25.7" customHeight="1" x14ac:dyDescent="0.25">
      <c r="A12" s="98"/>
      <c r="B12" s="48"/>
      <c r="C12" s="96"/>
      <c r="D12" s="33"/>
      <c r="E12" s="33">
        <f t="shared" ref="E12" si="93">E11-D11</f>
        <v>1.4690000000000509</v>
      </c>
      <c r="F12" s="33">
        <f t="shared" ref="F12" si="94">F11-E11</f>
        <v>1.7420000000001892</v>
      </c>
      <c r="G12" s="33">
        <f t="shared" ref="G12" si="95">G11-F11</f>
        <v>1.3499999999999091</v>
      </c>
      <c r="H12" s="33">
        <f t="shared" ref="H12" si="96">H11-G11</f>
        <v>1.7179999999998472</v>
      </c>
      <c r="I12" s="33">
        <f t="shared" ref="I12" si="97">I11-H11</f>
        <v>1.343000000000302</v>
      </c>
      <c r="J12" s="33">
        <f t="shared" ref="J12" si="98">J11-I11</f>
        <v>1.694999999999709</v>
      </c>
      <c r="K12" s="33">
        <f t="shared" ref="K12" si="99">K11-J11</f>
        <v>1.0040000000003602</v>
      </c>
      <c r="L12" s="33">
        <f t="shared" ref="L12" si="100">L11-K11</f>
        <v>0.67599999999993088</v>
      </c>
      <c r="M12" s="33">
        <f t="shared" ref="M12" si="101">M11-L11</f>
        <v>1.0529999999998836</v>
      </c>
      <c r="N12" s="33">
        <f t="shared" ref="N12" si="102">N11-M11</f>
        <v>2.1289999999999054</v>
      </c>
      <c r="O12" s="33">
        <f t="shared" ref="O12" si="103">O11-N11</f>
        <v>1.7950000000000728</v>
      </c>
      <c r="P12" s="33">
        <f t="shared" ref="P12" si="104">P11-O11</f>
        <v>0.93800000000010186</v>
      </c>
      <c r="Q12" s="33">
        <f t="shared" ref="Q12" si="105">Q11-P11</f>
        <v>1.0289999999999964</v>
      </c>
      <c r="R12" s="33">
        <f t="shared" ref="R12" si="106">R11-Q11</f>
        <v>0.8819999999996071</v>
      </c>
      <c r="S12" s="33">
        <f t="shared" ref="S12" si="107">S11-R11</f>
        <v>0.78500000000076398</v>
      </c>
      <c r="T12" s="33">
        <f t="shared" ref="T12" si="108">T11-S11</f>
        <v>1.4579999999996289</v>
      </c>
      <c r="U12" s="33">
        <f t="shared" ref="U12" si="109">U11-T11</f>
        <v>1.0709999999999127</v>
      </c>
      <c r="V12" s="33">
        <f t="shared" ref="V12" si="110">V11-U11</f>
        <v>1.319999999999709</v>
      </c>
      <c r="W12" s="33">
        <f t="shared" ref="W12" si="111">W11-V11</f>
        <v>1.0579999999999927</v>
      </c>
      <c r="X12" s="33">
        <f t="shared" ref="X12" si="112">X11-W11</f>
        <v>0.95200000000022555</v>
      </c>
      <c r="Y12" s="33">
        <f t="shared" ref="Y12" si="113">Y11-X11</f>
        <v>1.0259999999998399</v>
      </c>
      <c r="Z12" s="33">
        <f t="shared" ref="Z12" si="114">Z11-Y11</f>
        <v>1.1109999999998763</v>
      </c>
      <c r="AA12" s="33">
        <f t="shared" ref="AA12" si="115">AA11-Z11</f>
        <v>1.342000000000553</v>
      </c>
      <c r="AB12" s="33">
        <f t="shared" ref="AB12" si="116">AB11-AA11</f>
        <v>1.3549999999995634</v>
      </c>
      <c r="AC12" s="33">
        <f t="shared" ref="AC12" si="117">AC11-AB11</f>
        <v>1.2110000000002401</v>
      </c>
      <c r="AD12" s="33">
        <f t="shared" ref="AD12" si="118">AD11-AC11</f>
        <v>1.4480000000003201</v>
      </c>
      <c r="AE12" s="33">
        <f t="shared" ref="AE12" si="119">AE11-AD11</f>
        <v>0.94700000000011642</v>
      </c>
      <c r="AF12" s="33">
        <f t="shared" ref="AF12" si="120">AF11-AE11</f>
        <v>0.8889999999992142</v>
      </c>
      <c r="AG12" s="33">
        <f t="shared" ref="AG12" si="121">AG11-AF11</f>
        <v>1.6610000000000582</v>
      </c>
      <c r="AH12" s="33">
        <f t="shared" ref="AH12" si="122">AH11-AG11</f>
        <v>0.91899999999986903</v>
      </c>
      <c r="AI12" s="33">
        <f t="shared" ref="AI12" si="123">AI11-AH11</f>
        <v>0.89000000000032742</v>
      </c>
    </row>
    <row r="13" spans="1:42" s="8" customFormat="1" ht="25.7" customHeight="1" x14ac:dyDescent="0.25">
      <c r="A13" s="97">
        <v>6</v>
      </c>
      <c r="B13" s="27">
        <v>65296485</v>
      </c>
      <c r="C13" s="96" t="s">
        <v>75</v>
      </c>
      <c r="D13" s="31">
        <v>7185.6149999999998</v>
      </c>
      <c r="E13" s="31">
        <v>7187.3940000000002</v>
      </c>
      <c r="F13" s="31">
        <v>7189.41</v>
      </c>
      <c r="G13" s="31">
        <v>7194.5889999999999</v>
      </c>
      <c r="H13" s="31">
        <v>7197.3530000000001</v>
      </c>
      <c r="I13" s="31">
        <v>7200.5060000000003</v>
      </c>
      <c r="J13" s="31">
        <v>7204.0770000000002</v>
      </c>
      <c r="K13" s="31">
        <v>7207.3149999999996</v>
      </c>
      <c r="L13" s="31">
        <v>7210.9009999999998</v>
      </c>
      <c r="M13" s="31">
        <v>7212.7579999999998</v>
      </c>
      <c r="N13" s="31">
        <v>7216.8779999999997</v>
      </c>
      <c r="O13" s="31">
        <v>7219.9790000000003</v>
      </c>
      <c r="P13" s="31">
        <v>7228.4809999999998</v>
      </c>
      <c r="Q13" s="31">
        <v>7232.0360000000001</v>
      </c>
      <c r="R13" s="31">
        <v>7236.4009999999998</v>
      </c>
      <c r="S13" s="31">
        <v>7238.1949999999997</v>
      </c>
      <c r="T13" s="31">
        <v>7240.433</v>
      </c>
      <c r="U13" s="31">
        <v>7245.7870000000003</v>
      </c>
      <c r="V13" s="67">
        <v>7250.107</v>
      </c>
      <c r="W13" s="31">
        <v>7253.4160000000002</v>
      </c>
      <c r="X13" s="31">
        <v>7255.4070000000002</v>
      </c>
      <c r="Y13" s="31">
        <v>7258.8620000000001</v>
      </c>
      <c r="Z13" s="31">
        <v>7266.2120000000004</v>
      </c>
      <c r="AA13" s="31">
        <v>7267.5379999999996</v>
      </c>
      <c r="AB13" s="31">
        <v>7270.36</v>
      </c>
      <c r="AC13" s="31">
        <v>7272.7259999999997</v>
      </c>
      <c r="AD13" s="31">
        <v>7276.8580000000002</v>
      </c>
      <c r="AE13" s="31">
        <v>7280.5940000000001</v>
      </c>
      <c r="AF13" s="31">
        <v>7283.5169999999998</v>
      </c>
      <c r="AG13" s="31">
        <v>7287.6980000000003</v>
      </c>
      <c r="AH13" s="31">
        <v>7289.2</v>
      </c>
      <c r="AI13" s="31">
        <v>7293.3180000000002</v>
      </c>
    </row>
    <row r="14" spans="1:42" s="8" customFormat="1" ht="25.7" customHeight="1" x14ac:dyDescent="0.25">
      <c r="A14" s="98"/>
      <c r="B14" s="48"/>
      <c r="C14" s="96"/>
      <c r="D14" s="33"/>
      <c r="E14" s="33">
        <f t="shared" ref="E14" si="124">E13-D13</f>
        <v>1.7790000000004511</v>
      </c>
      <c r="F14" s="33">
        <f t="shared" ref="F14" si="125">F13-E13</f>
        <v>2.0159999999996217</v>
      </c>
      <c r="G14" s="33">
        <f t="shared" ref="G14" si="126">G13-F13</f>
        <v>5.1790000000000873</v>
      </c>
      <c r="H14" s="33">
        <f t="shared" ref="H14" si="127">H13-G13</f>
        <v>2.7640000000001237</v>
      </c>
      <c r="I14" s="33">
        <f t="shared" ref="I14" si="128">I13-H13</f>
        <v>3.1530000000002474</v>
      </c>
      <c r="J14" s="33">
        <f t="shared" ref="J14" si="129">J13-I13</f>
        <v>3.5709999999999127</v>
      </c>
      <c r="K14" s="33">
        <f t="shared" ref="K14" si="130">K13-J13</f>
        <v>3.2379999999993743</v>
      </c>
      <c r="L14" s="33">
        <f t="shared" ref="L14" si="131">L13-K13</f>
        <v>3.5860000000002401</v>
      </c>
      <c r="M14" s="33">
        <f t="shared" ref="M14" si="132">M13-L13</f>
        <v>1.8569999999999709</v>
      </c>
      <c r="N14" s="33">
        <f t="shared" ref="N14" si="133">N13-M13</f>
        <v>4.1199999999998909</v>
      </c>
      <c r="O14" s="33">
        <f t="shared" ref="O14" si="134">O13-N13</f>
        <v>3.1010000000005675</v>
      </c>
      <c r="P14" s="33">
        <f t="shared" ref="P14" si="135">P13-O13</f>
        <v>8.501999999999498</v>
      </c>
      <c r="Q14" s="33">
        <f t="shared" ref="Q14" si="136">Q13-P13</f>
        <v>3.555000000000291</v>
      </c>
      <c r="R14" s="33">
        <f t="shared" ref="R14" si="137">R13-Q13</f>
        <v>4.3649999999997817</v>
      </c>
      <c r="S14" s="33">
        <f t="shared" ref="S14" si="138">S13-R13</f>
        <v>1.793999999999869</v>
      </c>
      <c r="T14" s="33">
        <f t="shared" ref="T14" si="139">T13-S13</f>
        <v>2.2380000000002838</v>
      </c>
      <c r="U14" s="33">
        <f t="shared" ref="U14" si="140">U13-T13</f>
        <v>5.3540000000002692</v>
      </c>
      <c r="V14" s="33">
        <f t="shared" ref="V14" si="141">V13-U13</f>
        <v>4.319999999999709</v>
      </c>
      <c r="W14" s="33">
        <f t="shared" ref="W14" si="142">W13-V13</f>
        <v>3.3090000000001965</v>
      </c>
      <c r="X14" s="33">
        <f t="shared" ref="X14" si="143">X13-W13</f>
        <v>1.9909999999999854</v>
      </c>
      <c r="Y14" s="33">
        <f t="shared" ref="Y14" si="144">Y13-X13</f>
        <v>3.4549999999999272</v>
      </c>
      <c r="Z14" s="33">
        <f t="shared" ref="Z14" si="145">Z13-Y13</f>
        <v>7.3500000000003638</v>
      </c>
      <c r="AA14" s="33">
        <f t="shared" ref="AA14" si="146">AA13-Z13</f>
        <v>1.3259999999991123</v>
      </c>
      <c r="AB14" s="33">
        <f t="shared" ref="AB14" si="147">AB13-AA13</f>
        <v>2.8220000000001164</v>
      </c>
      <c r="AC14" s="33">
        <f t="shared" ref="AC14" si="148">AC13-AB13</f>
        <v>2.3659999999999854</v>
      </c>
      <c r="AD14" s="33">
        <f t="shared" ref="AD14" si="149">AD13-AC13</f>
        <v>4.1320000000005166</v>
      </c>
      <c r="AE14" s="33">
        <f t="shared" ref="AE14" si="150">AE13-AD13</f>
        <v>3.7359999999998763</v>
      </c>
      <c r="AF14" s="33">
        <f t="shared" ref="AF14" si="151">AF13-AE13</f>
        <v>2.9229999999997744</v>
      </c>
      <c r="AG14" s="33">
        <f t="shared" ref="AG14" si="152">AG13-AF13</f>
        <v>4.1810000000004948</v>
      </c>
      <c r="AH14" s="33">
        <f t="shared" ref="AH14" si="153">AH13-AG13</f>
        <v>1.501999999999498</v>
      </c>
      <c r="AI14" s="33">
        <f t="shared" ref="AI14" si="154">AI13-AH13</f>
        <v>4.1180000000003929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0" t="s">
        <v>76</v>
      </c>
      <c r="C15" s="90"/>
      <c r="D15" s="50"/>
      <c r="E15" s="57">
        <f>E6+((E8*45%)+(E10*45%)+(E12+E14))</f>
        <v>477.66300000000575</v>
      </c>
      <c r="F15" s="57">
        <f t="shared" ref="F15:AI15" si="155">F6+((F8*45%)+(F10*45%)+(F12+F14))</f>
        <v>333.2080000000027</v>
      </c>
      <c r="G15" s="57">
        <f t="shared" si="155"/>
        <v>499.33399999999739</v>
      </c>
      <c r="H15" s="57">
        <f t="shared" si="155"/>
        <v>434.0270000000055</v>
      </c>
      <c r="I15" s="57">
        <f t="shared" si="155"/>
        <v>463.03600000000216</v>
      </c>
      <c r="J15" s="57">
        <f t="shared" si="155"/>
        <v>479.3009999999922</v>
      </c>
      <c r="K15" s="57">
        <f t="shared" si="155"/>
        <v>450.89699999999419</v>
      </c>
      <c r="L15" s="57">
        <f t="shared" si="155"/>
        <v>465.26200000000892</v>
      </c>
      <c r="M15" s="57">
        <f t="shared" si="155"/>
        <v>303.61499999998853</v>
      </c>
      <c r="N15" s="57">
        <f t="shared" si="155"/>
        <v>571.52900000001546</v>
      </c>
      <c r="O15" s="57">
        <f t="shared" si="155"/>
        <v>412.27599999999222</v>
      </c>
      <c r="P15" s="57">
        <f t="shared" si="155"/>
        <v>453.76000000000221</v>
      </c>
      <c r="Q15" s="57">
        <f t="shared" si="155"/>
        <v>410.6140000000006</v>
      </c>
      <c r="R15" s="57">
        <f t="shared" si="155"/>
        <v>475.12199999999063</v>
      </c>
      <c r="S15" s="57">
        <f t="shared" si="155"/>
        <v>420.89400000000228</v>
      </c>
      <c r="T15" s="57">
        <f t="shared" si="155"/>
        <v>342.46100000000808</v>
      </c>
      <c r="U15" s="57">
        <f t="shared" si="155"/>
        <v>494.83999999999594</v>
      </c>
      <c r="V15" s="57">
        <f t="shared" si="155"/>
        <v>468.57500000000658</v>
      </c>
      <c r="W15" s="57">
        <f t="shared" si="155"/>
        <v>475.68699999999626</v>
      </c>
      <c r="X15" s="57">
        <f t="shared" si="155"/>
        <v>465.02300000000707</v>
      </c>
      <c r="Y15" s="57">
        <f t="shared" si="155"/>
        <v>450.30099999999584</v>
      </c>
      <c r="Z15" s="57">
        <f t="shared" si="155"/>
        <v>442.11100000000022</v>
      </c>
      <c r="AA15" s="57">
        <f t="shared" si="155"/>
        <v>314.13299999998964</v>
      </c>
      <c r="AB15" s="57">
        <f t="shared" si="155"/>
        <v>468.5369999999981</v>
      </c>
      <c r="AC15" s="57">
        <f t="shared" si="155"/>
        <v>402.58700000000738</v>
      </c>
      <c r="AD15" s="57">
        <f t="shared" si="155"/>
        <v>492.45000000000925</v>
      </c>
      <c r="AE15" s="57">
        <f t="shared" si="155"/>
        <v>454.68799999998868</v>
      </c>
      <c r="AF15" s="57">
        <f t="shared" si="155"/>
        <v>469.27699999999476</v>
      </c>
      <c r="AG15" s="57">
        <f t="shared" si="155"/>
        <v>463.26200000000904</v>
      </c>
      <c r="AH15" s="57">
        <f t="shared" si="155"/>
        <v>343.12100000000225</v>
      </c>
      <c r="AI15" s="57">
        <f t="shared" si="155"/>
        <v>427.72799999998807</v>
      </c>
    </row>
    <row r="16" spans="1:42" ht="33" customHeight="1" x14ac:dyDescent="0.25">
      <c r="B16" s="89" t="s">
        <v>77</v>
      </c>
      <c r="C16" s="89"/>
      <c r="D16" s="50"/>
      <c r="E16" s="57">
        <f>SUM(E15:AI15)</f>
        <v>13625.318999999998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1" activePane="bottomLeft" state="frozen"/>
      <selection pane="bottomLeft" activeCell="C5" sqref="C5:C34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72" customHeight="1" x14ac:dyDescent="0.25">
      <c r="A1" s="100" t="s">
        <v>86</v>
      </c>
      <c r="B1" s="100"/>
      <c r="C1" s="100"/>
    </row>
    <row r="3" spans="1:7" ht="48" x14ac:dyDescent="0.25">
      <c r="A3" s="51" t="s">
        <v>36</v>
      </c>
      <c r="B3" s="52">
        <v>58153.57</v>
      </c>
      <c r="C3" s="53"/>
    </row>
    <row r="4" spans="1:7" ht="28.5" customHeight="1" x14ac:dyDescent="0.25">
      <c r="A4" s="54">
        <v>1</v>
      </c>
      <c r="B4" s="52"/>
      <c r="C4" s="53">
        <f>B3/31</f>
        <v>1875.9216129032259</v>
      </c>
    </row>
    <row r="5" spans="1:7" ht="28.5" customHeight="1" x14ac:dyDescent="0.25">
      <c r="A5" s="54">
        <v>2</v>
      </c>
      <c r="B5" s="52"/>
      <c r="C5" s="53">
        <v>1875.9216129032259</v>
      </c>
    </row>
    <row r="6" spans="1:7" ht="28.5" customHeight="1" x14ac:dyDescent="0.25">
      <c r="A6" s="55">
        <v>3</v>
      </c>
      <c r="B6" s="52"/>
      <c r="C6" s="53">
        <v>1875.9216129032259</v>
      </c>
    </row>
    <row r="7" spans="1:7" ht="28.5" customHeight="1" x14ac:dyDescent="0.25">
      <c r="A7" s="54">
        <v>4</v>
      </c>
      <c r="B7" s="52"/>
      <c r="C7" s="53">
        <v>1875.9216129032259</v>
      </c>
    </row>
    <row r="8" spans="1:7" ht="28.5" customHeight="1" x14ac:dyDescent="0.25">
      <c r="A8" s="54">
        <v>5</v>
      </c>
      <c r="B8" s="52"/>
      <c r="C8" s="53">
        <v>1875.9216129032259</v>
      </c>
    </row>
    <row r="9" spans="1:7" ht="28.5" customHeight="1" x14ac:dyDescent="0.25">
      <c r="A9" s="54">
        <v>6</v>
      </c>
      <c r="B9" s="52"/>
      <c r="C9" s="53">
        <v>1875.9216129032259</v>
      </c>
      <c r="G9" t="s">
        <v>78</v>
      </c>
    </row>
    <row r="10" spans="1:7" ht="28.5" customHeight="1" x14ac:dyDescent="0.25">
      <c r="A10" s="54">
        <v>7</v>
      </c>
      <c r="B10" s="52"/>
      <c r="C10" s="53">
        <v>1875.9216129032259</v>
      </c>
    </row>
    <row r="11" spans="1:7" ht="28.5" customHeight="1" x14ac:dyDescent="0.25">
      <c r="A11" s="54">
        <v>8</v>
      </c>
      <c r="B11" s="52"/>
      <c r="C11" s="53">
        <v>1875.9216129032259</v>
      </c>
    </row>
    <row r="12" spans="1:7" ht="28.5" customHeight="1" x14ac:dyDescent="0.25">
      <c r="A12" s="54">
        <v>9</v>
      </c>
      <c r="B12" s="52"/>
      <c r="C12" s="53">
        <v>1875.9216129032259</v>
      </c>
    </row>
    <row r="13" spans="1:7" ht="28.5" customHeight="1" x14ac:dyDescent="0.25">
      <c r="A13" s="54">
        <v>10</v>
      </c>
      <c r="B13" s="52"/>
      <c r="C13" s="53">
        <v>1875.9216129032259</v>
      </c>
    </row>
    <row r="14" spans="1:7" ht="28.5" customHeight="1" x14ac:dyDescent="0.25">
      <c r="A14" s="54">
        <v>11</v>
      </c>
      <c r="B14" s="52"/>
      <c r="C14" s="53">
        <v>1875.9216129032259</v>
      </c>
    </row>
    <row r="15" spans="1:7" ht="28.5" customHeight="1" x14ac:dyDescent="0.25">
      <c r="A15" s="54">
        <v>12</v>
      </c>
      <c r="B15" s="52"/>
      <c r="C15" s="53">
        <v>1875.9216129032259</v>
      </c>
    </row>
    <row r="16" spans="1:7" ht="28.5" customHeight="1" x14ac:dyDescent="0.25">
      <c r="A16" s="54">
        <v>13</v>
      </c>
      <c r="B16" s="52"/>
      <c r="C16" s="53">
        <v>1875.9216129032259</v>
      </c>
    </row>
    <row r="17" spans="1:4" ht="28.5" customHeight="1" x14ac:dyDescent="0.25">
      <c r="A17" s="54">
        <v>14</v>
      </c>
      <c r="B17" s="52"/>
      <c r="C17" s="53">
        <v>1875.9216129032259</v>
      </c>
    </row>
    <row r="18" spans="1:4" ht="28.5" customHeight="1" x14ac:dyDescent="0.25">
      <c r="A18" s="54">
        <v>15</v>
      </c>
      <c r="B18" s="52"/>
      <c r="C18" s="53">
        <v>1875.9216129032259</v>
      </c>
    </row>
    <row r="19" spans="1:4" ht="28.5" customHeight="1" x14ac:dyDescent="0.25">
      <c r="A19" s="54">
        <v>16</v>
      </c>
      <c r="B19" s="52"/>
      <c r="C19" s="53">
        <v>1875.9216129032259</v>
      </c>
    </row>
    <row r="20" spans="1:4" ht="28.5" customHeight="1" x14ac:dyDescent="0.25">
      <c r="A20" s="54">
        <v>17</v>
      </c>
      <c r="B20" s="52"/>
      <c r="C20" s="53">
        <v>1875.9216129032259</v>
      </c>
    </row>
    <row r="21" spans="1:4" ht="28.5" customHeight="1" x14ac:dyDescent="0.25">
      <c r="A21" s="54">
        <v>18</v>
      </c>
      <c r="B21" s="52"/>
      <c r="C21" s="53">
        <v>1875.9216129032259</v>
      </c>
    </row>
    <row r="22" spans="1:4" ht="28.5" customHeight="1" x14ac:dyDescent="0.25">
      <c r="A22" s="54">
        <v>19</v>
      </c>
      <c r="B22" s="52"/>
      <c r="C22" s="53">
        <v>1875.9216129032259</v>
      </c>
    </row>
    <row r="23" spans="1:4" ht="28.5" customHeight="1" x14ac:dyDescent="0.25">
      <c r="A23" s="54">
        <v>20</v>
      </c>
      <c r="B23" s="52"/>
      <c r="C23" s="53">
        <v>1875.9216129032259</v>
      </c>
    </row>
    <row r="24" spans="1:4" ht="28.5" customHeight="1" x14ac:dyDescent="0.25">
      <c r="A24" s="54">
        <v>21</v>
      </c>
      <c r="B24" s="52"/>
      <c r="C24" s="53">
        <v>1875.9216129032259</v>
      </c>
    </row>
    <row r="25" spans="1:4" ht="28.5" customHeight="1" x14ac:dyDescent="0.25">
      <c r="A25" s="54">
        <v>22</v>
      </c>
      <c r="B25" s="52"/>
      <c r="C25" s="53">
        <v>1875.9216129032259</v>
      </c>
    </row>
    <row r="26" spans="1:4" ht="28.5" customHeight="1" x14ac:dyDescent="0.25">
      <c r="A26" s="54">
        <v>23</v>
      </c>
      <c r="B26" s="52"/>
      <c r="C26" s="53">
        <v>1875.9216129032259</v>
      </c>
    </row>
    <row r="27" spans="1:4" ht="28.5" customHeight="1" x14ac:dyDescent="0.25">
      <c r="A27" s="54">
        <v>24</v>
      </c>
      <c r="B27" s="52"/>
      <c r="C27" s="53">
        <v>1875.9216129032259</v>
      </c>
    </row>
    <row r="28" spans="1:4" ht="28.5" customHeight="1" x14ac:dyDescent="0.25">
      <c r="A28" s="54">
        <v>25</v>
      </c>
      <c r="B28" s="52"/>
      <c r="C28" s="53">
        <v>1875.9216129032259</v>
      </c>
      <c r="D28" s="56"/>
    </row>
    <row r="29" spans="1:4" ht="28.5" customHeight="1" x14ac:dyDescent="0.25">
      <c r="A29" s="54">
        <v>26</v>
      </c>
      <c r="B29" s="52"/>
      <c r="C29" s="53">
        <v>1875.9216129032259</v>
      </c>
      <c r="D29" s="56"/>
    </row>
    <row r="30" spans="1:4" ht="28.5" customHeight="1" x14ac:dyDescent="0.25">
      <c r="A30" s="54">
        <v>27</v>
      </c>
      <c r="B30" s="52"/>
      <c r="C30" s="53">
        <v>1875.9216129032259</v>
      </c>
    </row>
    <row r="31" spans="1:4" ht="28.5" customHeight="1" x14ac:dyDescent="0.25">
      <c r="A31" s="54">
        <v>28</v>
      </c>
      <c r="B31" s="52"/>
      <c r="C31" s="53">
        <v>1875.9216129032259</v>
      </c>
    </row>
    <row r="32" spans="1:4" ht="28.5" customHeight="1" x14ac:dyDescent="0.25">
      <c r="A32" s="54">
        <v>29</v>
      </c>
      <c r="B32" s="52"/>
      <c r="C32" s="53">
        <v>1875.9216129032259</v>
      </c>
    </row>
    <row r="33" spans="1:3" ht="28.5" customHeight="1" x14ac:dyDescent="0.25">
      <c r="A33" s="54">
        <v>30</v>
      </c>
      <c r="B33" s="52"/>
      <c r="C33" s="53">
        <v>1875.9216129032259</v>
      </c>
    </row>
    <row r="34" spans="1:3" ht="28.5" customHeight="1" x14ac:dyDescent="0.25">
      <c r="A34" s="54">
        <v>31</v>
      </c>
      <c r="B34" s="52"/>
      <c r="C34" s="53">
        <v>1875.9216129032259</v>
      </c>
    </row>
    <row r="35" spans="1:3" x14ac:dyDescent="0.25">
      <c r="A35" s="99" t="s">
        <v>79</v>
      </c>
      <c r="B35" s="99"/>
      <c r="C35" s="63">
        <f>SUM(C4:C34)</f>
        <v>58153.570000000029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3" zoomScaleNormal="100" workbookViewId="0">
      <selection activeCell="C33" sqref="C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0" t="s">
        <v>87</v>
      </c>
      <c r="B1" s="100"/>
      <c r="C1" s="100"/>
    </row>
    <row r="2" spans="1:3" ht="24.95" customHeight="1" x14ac:dyDescent="0.25">
      <c r="A2" s="59" t="s">
        <v>80</v>
      </c>
      <c r="B2" s="59" t="s">
        <v>81</v>
      </c>
      <c r="C2" s="59" t="s">
        <v>82</v>
      </c>
    </row>
    <row r="3" spans="1:3" ht="24.95" customHeight="1" x14ac:dyDescent="0.25">
      <c r="A3" s="60">
        <v>43678</v>
      </c>
      <c r="B3" s="62">
        <v>227</v>
      </c>
      <c r="C3" s="62">
        <v>328</v>
      </c>
    </row>
    <row r="4" spans="1:3" ht="24.95" customHeight="1" x14ac:dyDescent="0.25">
      <c r="A4" s="60">
        <v>43679</v>
      </c>
      <c r="B4" s="62">
        <v>237</v>
      </c>
      <c r="C4" s="62">
        <v>372</v>
      </c>
    </row>
    <row r="5" spans="1:3" ht="24.95" customHeight="1" x14ac:dyDescent="0.25">
      <c r="A5" s="60">
        <v>43680</v>
      </c>
      <c r="B5" s="62">
        <v>206</v>
      </c>
      <c r="C5" s="62">
        <v>287</v>
      </c>
    </row>
    <row r="6" spans="1:3" ht="24.95" customHeight="1" x14ac:dyDescent="0.25">
      <c r="A6" s="60">
        <v>43681</v>
      </c>
      <c r="B6" s="62">
        <v>260</v>
      </c>
      <c r="C6" s="62">
        <v>388</v>
      </c>
    </row>
    <row r="7" spans="1:3" ht="24.95" customHeight="1" x14ac:dyDescent="0.25">
      <c r="A7" s="60">
        <v>43682</v>
      </c>
      <c r="B7" s="62">
        <v>277</v>
      </c>
      <c r="C7" s="62">
        <v>380</v>
      </c>
    </row>
    <row r="8" spans="1:3" ht="24.95" customHeight="1" x14ac:dyDescent="0.25">
      <c r="A8" s="60">
        <v>43683</v>
      </c>
      <c r="B8" s="62">
        <v>258</v>
      </c>
      <c r="C8" s="62">
        <v>353</v>
      </c>
    </row>
    <row r="9" spans="1:3" ht="24.95" customHeight="1" x14ac:dyDescent="0.25">
      <c r="A9" s="60">
        <v>43684</v>
      </c>
      <c r="B9" s="62">
        <v>241</v>
      </c>
      <c r="C9" s="62">
        <v>342</v>
      </c>
    </row>
    <row r="10" spans="1:3" ht="24.95" customHeight="1" x14ac:dyDescent="0.25">
      <c r="A10" s="60">
        <v>43685</v>
      </c>
      <c r="B10" s="62">
        <v>182</v>
      </c>
      <c r="C10" s="62">
        <v>261</v>
      </c>
    </row>
    <row r="11" spans="1:3" ht="24.95" customHeight="1" x14ac:dyDescent="0.25">
      <c r="A11" s="60">
        <v>43686</v>
      </c>
      <c r="B11" s="62">
        <v>244</v>
      </c>
      <c r="C11" s="62">
        <v>452</v>
      </c>
    </row>
    <row r="12" spans="1:3" ht="24.95" customHeight="1" x14ac:dyDescent="0.25">
      <c r="A12" s="60">
        <v>43687</v>
      </c>
      <c r="B12" s="62">
        <v>271</v>
      </c>
      <c r="C12" s="62">
        <v>581</v>
      </c>
    </row>
    <row r="13" spans="1:3" ht="24.95" customHeight="1" x14ac:dyDescent="0.25">
      <c r="A13" s="60">
        <v>43688</v>
      </c>
      <c r="B13" s="62">
        <v>353</v>
      </c>
      <c r="C13" s="62">
        <v>806</v>
      </c>
    </row>
    <row r="14" spans="1:3" ht="24.95" customHeight="1" x14ac:dyDescent="0.25">
      <c r="A14" s="60">
        <v>43689</v>
      </c>
      <c r="B14" s="62">
        <v>295</v>
      </c>
      <c r="C14" s="62">
        <v>625</v>
      </c>
    </row>
    <row r="15" spans="1:3" ht="24.95" customHeight="1" x14ac:dyDescent="0.25">
      <c r="A15" s="60">
        <v>43690</v>
      </c>
      <c r="B15" s="62">
        <v>261</v>
      </c>
      <c r="C15" s="62">
        <v>541</v>
      </c>
    </row>
    <row r="16" spans="1:3" ht="24.95" customHeight="1" x14ac:dyDescent="0.25">
      <c r="A16" s="60">
        <v>43691</v>
      </c>
      <c r="B16" s="62">
        <v>247</v>
      </c>
      <c r="C16" s="62">
        <v>477</v>
      </c>
    </row>
    <row r="17" spans="1:3" ht="24.95" customHeight="1" x14ac:dyDescent="0.25">
      <c r="A17" s="60">
        <v>43692</v>
      </c>
      <c r="B17" s="62">
        <v>268</v>
      </c>
      <c r="C17" s="62">
        <v>499</v>
      </c>
    </row>
    <row r="18" spans="1:3" ht="24.95" customHeight="1" x14ac:dyDescent="0.25">
      <c r="A18" s="60">
        <v>43693</v>
      </c>
      <c r="B18" s="62">
        <v>178</v>
      </c>
      <c r="C18" s="62">
        <v>267</v>
      </c>
    </row>
    <row r="19" spans="1:3" ht="24.95" customHeight="1" x14ac:dyDescent="0.25">
      <c r="A19" s="60">
        <v>43694</v>
      </c>
      <c r="B19" s="62">
        <v>179</v>
      </c>
      <c r="C19" s="62">
        <v>240</v>
      </c>
    </row>
    <row r="20" spans="1:3" ht="24.95" customHeight="1" x14ac:dyDescent="0.25">
      <c r="A20" s="60">
        <v>43695</v>
      </c>
      <c r="B20" s="62">
        <v>196</v>
      </c>
      <c r="C20" s="62">
        <v>271</v>
      </c>
    </row>
    <row r="21" spans="1:3" ht="24.95" customHeight="1" x14ac:dyDescent="0.25">
      <c r="A21" s="60">
        <v>43696</v>
      </c>
      <c r="B21" s="62">
        <v>265</v>
      </c>
      <c r="C21" s="62">
        <v>402</v>
      </c>
    </row>
    <row r="22" spans="1:3" ht="24.95" customHeight="1" x14ac:dyDescent="0.25">
      <c r="A22" s="60">
        <v>43697</v>
      </c>
      <c r="B22" s="62">
        <v>249</v>
      </c>
      <c r="C22" s="62">
        <v>361</v>
      </c>
    </row>
    <row r="23" spans="1:3" ht="24.95" customHeight="1" x14ac:dyDescent="0.25">
      <c r="A23" s="60">
        <v>43698</v>
      </c>
      <c r="B23" s="62">
        <v>245</v>
      </c>
      <c r="C23" s="62">
        <v>325</v>
      </c>
    </row>
    <row r="24" spans="1:3" ht="24.95" customHeight="1" x14ac:dyDescent="0.25">
      <c r="A24" s="60">
        <v>43699</v>
      </c>
      <c r="B24" s="62">
        <v>216</v>
      </c>
      <c r="C24" s="62">
        <v>340</v>
      </c>
    </row>
    <row r="25" spans="1:3" ht="24.95" customHeight="1" x14ac:dyDescent="0.25">
      <c r="A25" s="60">
        <v>43700</v>
      </c>
      <c r="B25" s="62">
        <v>213</v>
      </c>
      <c r="C25" s="62">
        <v>363</v>
      </c>
    </row>
    <row r="26" spans="1:3" ht="24.95" customHeight="1" x14ac:dyDescent="0.25">
      <c r="A26" s="60">
        <v>43701</v>
      </c>
      <c r="B26" s="62">
        <v>260</v>
      </c>
      <c r="C26" s="62">
        <v>422</v>
      </c>
    </row>
    <row r="27" spans="1:3" ht="24.95" customHeight="1" x14ac:dyDescent="0.25">
      <c r="A27" s="60">
        <v>43702</v>
      </c>
      <c r="B27" s="62">
        <v>287</v>
      </c>
      <c r="C27" s="62">
        <v>443</v>
      </c>
    </row>
    <row r="28" spans="1:3" ht="24.95" customHeight="1" x14ac:dyDescent="0.25">
      <c r="A28" s="60">
        <v>43703</v>
      </c>
      <c r="B28" s="62">
        <v>290</v>
      </c>
      <c r="C28" s="62">
        <v>435</v>
      </c>
    </row>
    <row r="29" spans="1:3" ht="24.95" customHeight="1" x14ac:dyDescent="0.25">
      <c r="A29" s="60">
        <v>43704</v>
      </c>
      <c r="B29" s="62">
        <v>324</v>
      </c>
      <c r="C29" s="62">
        <v>490</v>
      </c>
    </row>
    <row r="30" spans="1:3" ht="24.95" customHeight="1" x14ac:dyDescent="0.25">
      <c r="A30" s="60">
        <v>43705</v>
      </c>
      <c r="B30" s="62">
        <v>312</v>
      </c>
      <c r="C30" s="62">
        <v>469</v>
      </c>
    </row>
    <row r="31" spans="1:3" ht="24.95" customHeight="1" x14ac:dyDescent="0.25">
      <c r="A31" s="60">
        <v>43706</v>
      </c>
      <c r="B31" s="62">
        <v>245</v>
      </c>
      <c r="C31" s="62">
        <v>395</v>
      </c>
    </row>
    <row r="32" spans="1:3" ht="24.95" customHeight="1" x14ac:dyDescent="0.25">
      <c r="A32" s="60">
        <v>43707</v>
      </c>
      <c r="B32" s="62">
        <v>272</v>
      </c>
      <c r="C32" s="62">
        <v>495</v>
      </c>
    </row>
    <row r="33" spans="1:3" ht="24.95" customHeight="1" x14ac:dyDescent="0.25">
      <c r="A33" s="60">
        <v>43708</v>
      </c>
      <c r="B33" s="62">
        <v>236</v>
      </c>
      <c r="C33" s="62">
        <v>355</v>
      </c>
    </row>
    <row r="34" spans="1:3" ht="30.75" customHeight="1" x14ac:dyDescent="0.25">
      <c r="A34" s="59" t="s">
        <v>83</v>
      </c>
      <c r="B34" s="61">
        <f>SUM(B3:B33)</f>
        <v>7794</v>
      </c>
      <c r="C34" s="61">
        <f>SUM(C3:C33)</f>
        <v>12765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2025-03-21T11:44:47Z</dcterms:modified>
  <cp:category/>
  <cp:contentStatus/>
</cp:coreProperties>
</file>