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9A002522-C54A-4FCB-8E53-EA68A3DEB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Dec 2024" sheetId="11" r:id="rId3"/>
  </sheets>
  <definedNames>
    <definedName name="_xlnm.Print_Area" localSheetId="2">'Dec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G58" i="11"/>
  <c r="L58" i="11" s="1"/>
  <c r="B58" i="11"/>
  <c r="L57" i="11"/>
  <c r="G57" i="11"/>
  <c r="B57" i="11"/>
  <c r="B56" i="11"/>
  <c r="G56" i="11" s="1"/>
  <c r="L56" i="11" s="1"/>
  <c r="B55" i="11"/>
  <c r="G55" i="11" s="1"/>
  <c r="L55" i="11" s="1"/>
  <c r="B50" i="11"/>
  <c r="G50" i="11" s="1"/>
  <c r="R50" i="11" s="1"/>
  <c r="G49" i="11"/>
  <c r="R49" i="11" s="1"/>
  <c r="B49" i="11"/>
  <c r="B48" i="11"/>
  <c r="G48" i="11" s="1"/>
  <c r="R48" i="11" s="1"/>
  <c r="AB47" i="11"/>
  <c r="G47" i="11"/>
  <c r="R47" i="11" s="1"/>
  <c r="B47" i="11"/>
  <c r="I45" i="11"/>
  <c r="V44" i="11"/>
  <c r="T44" i="11"/>
  <c r="O44" i="11"/>
  <c r="M44" i="11"/>
  <c r="J44" i="11"/>
  <c r="G44" i="11"/>
  <c r="AG43" i="11"/>
  <c r="Z43" i="11" s="1"/>
  <c r="X43" i="11"/>
  <c r="V43" i="11"/>
  <c r="T43" i="11"/>
  <c r="R43" i="11"/>
  <c r="O43" i="11"/>
  <c r="L43" i="11"/>
  <c r="M43" i="11" s="1"/>
  <c r="J43" i="11"/>
  <c r="D43" i="11"/>
  <c r="G43" i="11" s="1"/>
  <c r="V42" i="11"/>
  <c r="O42" i="11"/>
  <c r="J42" i="11"/>
  <c r="AG41" i="11"/>
  <c r="Z41" i="11" s="1"/>
  <c r="V41" i="11"/>
  <c r="T41" i="11"/>
  <c r="O41" i="11"/>
  <c r="M41" i="11"/>
  <c r="J41" i="11"/>
  <c r="G41" i="11"/>
  <c r="AG40" i="11"/>
  <c r="Z40" i="11" s="1"/>
  <c r="V40" i="11"/>
  <c r="T40" i="11"/>
  <c r="O40" i="11"/>
  <c r="M40" i="11"/>
  <c r="J40" i="11"/>
  <c r="G40" i="11"/>
  <c r="AG39" i="11"/>
  <c r="AG44" i="11" s="1"/>
  <c r="Z44" i="11" s="1"/>
  <c r="V39" i="11"/>
  <c r="O39" i="11"/>
  <c r="J39" i="11"/>
  <c r="AG38" i="11"/>
  <c r="AF36" i="11"/>
  <c r="AE36" i="11"/>
  <c r="AY35" i="11"/>
  <c r="AZ35" i="11" s="1"/>
  <c r="AV35" i="11"/>
  <c r="AW35" i="11" s="1"/>
  <c r="AS35" i="11"/>
  <c r="AT35" i="11" s="1"/>
  <c r="AP35" i="11"/>
  <c r="AQ35" i="11" s="1"/>
  <c r="AM35" i="11"/>
  <c r="AN35" i="11" s="1"/>
  <c r="AJ35" i="11"/>
  <c r="AK35" i="11" s="1"/>
  <c r="AH35" i="11"/>
  <c r="AD35" i="11"/>
  <c r="AC35" i="11"/>
  <c r="Z35" i="11"/>
  <c r="Y35" i="11"/>
  <c r="AA35" i="11" s="1"/>
  <c r="W35" i="11"/>
  <c r="X35" i="11" s="1"/>
  <c r="S35" i="11"/>
  <c r="T35" i="11" s="1"/>
  <c r="U35" i="11" s="1"/>
  <c r="P35" i="11"/>
  <c r="N35" i="11"/>
  <c r="Q35" i="11" s="1"/>
  <c r="L35" i="11"/>
  <c r="K35" i="11"/>
  <c r="G35" i="11"/>
  <c r="E35" i="11"/>
  <c r="H35" i="11" s="1"/>
  <c r="I35" i="11" s="1"/>
  <c r="C35" i="11"/>
  <c r="AY34" i="11"/>
  <c r="AZ34" i="11" s="1"/>
  <c r="AW34" i="11"/>
  <c r="AV34" i="11"/>
  <c r="AS34" i="11"/>
  <c r="AT34" i="11" s="1"/>
  <c r="AQ34" i="11"/>
  <c r="AP34" i="11"/>
  <c r="AM34" i="11"/>
  <c r="AN34" i="11" s="1"/>
  <c r="AK34" i="11"/>
  <c r="AJ34" i="11"/>
  <c r="AH34" i="11"/>
  <c r="AC34" i="11"/>
  <c r="AD34" i="11" s="1"/>
  <c r="Z34" i="11"/>
  <c r="X34" i="11"/>
  <c r="Y34" i="11" s="1"/>
  <c r="AA34" i="11" s="1"/>
  <c r="W34" i="11"/>
  <c r="S34" i="11"/>
  <c r="T34" i="11" s="1"/>
  <c r="U34" i="11" s="1"/>
  <c r="P34" i="11"/>
  <c r="N34" i="11"/>
  <c r="L34" i="11"/>
  <c r="K34" i="11"/>
  <c r="G34" i="11"/>
  <c r="E34" i="11"/>
  <c r="C34" i="11"/>
  <c r="H34" i="11" s="1"/>
  <c r="I34" i="11" s="1"/>
  <c r="AZ33" i="11"/>
  <c r="AY33" i="11"/>
  <c r="AV33" i="11"/>
  <c r="AW33" i="11" s="1"/>
  <c r="AT33" i="11"/>
  <c r="AS33" i="11"/>
  <c r="AP33" i="11"/>
  <c r="AQ33" i="11" s="1"/>
  <c r="AM33" i="11"/>
  <c r="AN33" i="11" s="1"/>
  <c r="AJ33" i="11"/>
  <c r="AK33" i="11" s="1"/>
  <c r="AH33" i="11"/>
  <c r="AD33" i="11"/>
  <c r="AC33" i="11"/>
  <c r="Z33" i="11"/>
  <c r="W33" i="11"/>
  <c r="X33" i="11" s="1"/>
  <c r="Y33" i="11" s="1"/>
  <c r="AA33" i="11" s="1"/>
  <c r="U33" i="11"/>
  <c r="T33" i="11"/>
  <c r="S33" i="11"/>
  <c r="Q33" i="11"/>
  <c r="P33" i="11"/>
  <c r="N33" i="11"/>
  <c r="K33" i="11"/>
  <c r="L33" i="11" s="1"/>
  <c r="G33" i="11"/>
  <c r="E33" i="11"/>
  <c r="C33" i="11"/>
  <c r="AZ32" i="11"/>
  <c r="AY32" i="11"/>
  <c r="AW32" i="11"/>
  <c r="AV32" i="11"/>
  <c r="AT32" i="11"/>
  <c r="AS32" i="11"/>
  <c r="AQ32" i="11"/>
  <c r="AP32" i="11"/>
  <c r="AN32" i="11"/>
  <c r="AM32" i="11"/>
  <c r="AK32" i="11"/>
  <c r="AJ32" i="11"/>
  <c r="AH32" i="11"/>
  <c r="AC32" i="11"/>
  <c r="AD32" i="11" s="1"/>
  <c r="AA32" i="11"/>
  <c r="Z32" i="11"/>
  <c r="X32" i="11"/>
  <c r="Y32" i="11" s="1"/>
  <c r="W32" i="11"/>
  <c r="U32" i="11"/>
  <c r="S32" i="11"/>
  <c r="T32" i="11" s="1"/>
  <c r="Q32" i="11"/>
  <c r="P32" i="11"/>
  <c r="N32" i="11"/>
  <c r="L32" i="11"/>
  <c r="K32" i="11"/>
  <c r="G32" i="11"/>
  <c r="E32" i="11"/>
  <c r="C32" i="11"/>
  <c r="AY31" i="11"/>
  <c r="AZ31" i="11" s="1"/>
  <c r="AW31" i="11"/>
  <c r="AV31" i="11"/>
  <c r="AS31" i="11"/>
  <c r="AT31" i="11" s="1"/>
  <c r="AP31" i="11"/>
  <c r="AQ31" i="11" s="1"/>
  <c r="AM31" i="11"/>
  <c r="AN31" i="11" s="1"/>
  <c r="AK31" i="11"/>
  <c r="AJ31" i="11"/>
  <c r="AH31" i="11"/>
  <c r="AD31" i="11"/>
  <c r="AC31" i="11"/>
  <c r="Z31" i="11"/>
  <c r="Y31" i="11"/>
  <c r="AA31" i="11" s="1"/>
  <c r="X31" i="11"/>
  <c r="W31" i="11"/>
  <c r="S31" i="11"/>
  <c r="T31" i="11" s="1"/>
  <c r="U31" i="11" s="1"/>
  <c r="P31" i="11"/>
  <c r="N31" i="11"/>
  <c r="Q31" i="11" s="1"/>
  <c r="L31" i="11"/>
  <c r="K31" i="11"/>
  <c r="G31" i="11"/>
  <c r="E31" i="11"/>
  <c r="C31" i="11"/>
  <c r="AY30" i="11"/>
  <c r="AZ30" i="11" s="1"/>
  <c r="AW30" i="11"/>
  <c r="AV30" i="11"/>
  <c r="AS30" i="11"/>
  <c r="AT30" i="11" s="1"/>
  <c r="AQ30" i="11"/>
  <c r="AP30" i="11"/>
  <c r="AM30" i="11"/>
  <c r="AN30" i="11" s="1"/>
  <c r="AK30" i="11"/>
  <c r="AJ30" i="11"/>
  <c r="AH30" i="11"/>
  <c r="AD30" i="11"/>
  <c r="AC30" i="11"/>
  <c r="Z30" i="11"/>
  <c r="X30" i="11"/>
  <c r="Y30" i="11" s="1"/>
  <c r="AA30" i="11" s="1"/>
  <c r="W30" i="11"/>
  <c r="S30" i="11"/>
  <c r="T30" i="11" s="1"/>
  <c r="U30" i="11" s="1"/>
  <c r="P30" i="11"/>
  <c r="N30" i="11"/>
  <c r="L30" i="11"/>
  <c r="K30" i="11"/>
  <c r="I30" i="11"/>
  <c r="G30" i="11"/>
  <c r="E30" i="11"/>
  <c r="C30" i="11"/>
  <c r="H30" i="11" s="1"/>
  <c r="AZ29" i="11"/>
  <c r="AY29" i="11"/>
  <c r="AV29" i="11"/>
  <c r="AW29" i="11" s="1"/>
  <c r="AT29" i="11"/>
  <c r="AS29" i="11"/>
  <c r="AP29" i="11"/>
  <c r="AQ29" i="11" s="1"/>
  <c r="AN29" i="11"/>
  <c r="AM29" i="11"/>
  <c r="AJ29" i="11"/>
  <c r="AK29" i="11" s="1"/>
  <c r="AH29" i="11"/>
  <c r="AD29" i="11"/>
  <c r="AC29" i="11"/>
  <c r="Z29" i="11"/>
  <c r="Y29" i="11"/>
  <c r="AA29" i="11" s="1"/>
  <c r="W29" i="11"/>
  <c r="X29" i="11" s="1"/>
  <c r="U29" i="11"/>
  <c r="T29" i="11"/>
  <c r="S29" i="11"/>
  <c r="Q29" i="11"/>
  <c r="P29" i="11"/>
  <c r="N29" i="11"/>
  <c r="K29" i="11"/>
  <c r="L29" i="11" s="1"/>
  <c r="G29" i="11"/>
  <c r="E29" i="11"/>
  <c r="C29" i="11"/>
  <c r="H29" i="11" s="1"/>
  <c r="I29" i="11" s="1"/>
  <c r="AZ28" i="11"/>
  <c r="AY28" i="11"/>
  <c r="AV28" i="11"/>
  <c r="AW28" i="11" s="1"/>
  <c r="AT28" i="11"/>
  <c r="AS28" i="11"/>
  <c r="AP28" i="11"/>
  <c r="AQ28" i="11" s="1"/>
  <c r="AN28" i="11"/>
  <c r="AM28" i="11"/>
  <c r="AJ28" i="11"/>
  <c r="AK28" i="11" s="1"/>
  <c r="AH28" i="11"/>
  <c r="AC28" i="11"/>
  <c r="AD28" i="11" s="1"/>
  <c r="Z28" i="11"/>
  <c r="AA28" i="11" s="1"/>
  <c r="X28" i="11"/>
  <c r="Y28" i="11" s="1"/>
  <c r="W28" i="11"/>
  <c r="S28" i="11"/>
  <c r="T28" i="11" s="1"/>
  <c r="U28" i="11" s="1"/>
  <c r="Q28" i="11"/>
  <c r="P28" i="11"/>
  <c r="N28" i="11"/>
  <c r="L28" i="11"/>
  <c r="K28" i="11"/>
  <c r="G28" i="11"/>
  <c r="E28" i="11"/>
  <c r="C28" i="11"/>
  <c r="AY27" i="11"/>
  <c r="AZ27" i="11" s="1"/>
  <c r="AV27" i="11"/>
  <c r="AW27" i="11" s="1"/>
  <c r="AS27" i="11"/>
  <c r="AT27" i="11" s="1"/>
  <c r="AP27" i="11"/>
  <c r="AQ27" i="11" s="1"/>
  <c r="AM27" i="11"/>
  <c r="AN27" i="11" s="1"/>
  <c r="AK27" i="11"/>
  <c r="AJ27" i="11"/>
  <c r="AH27" i="11"/>
  <c r="AD27" i="11"/>
  <c r="AC27" i="11"/>
  <c r="Z27" i="11"/>
  <c r="Y27" i="11"/>
  <c r="AA27" i="11" s="1"/>
  <c r="X27" i="11"/>
  <c r="W27" i="11"/>
  <c r="T27" i="11"/>
  <c r="U27" i="11" s="1"/>
  <c r="S27" i="11"/>
  <c r="P27" i="11"/>
  <c r="N27" i="11"/>
  <c r="Q27" i="11" s="1"/>
  <c r="L27" i="11"/>
  <c r="K27" i="11"/>
  <c r="G27" i="11"/>
  <c r="E27" i="11"/>
  <c r="H27" i="11" s="1"/>
  <c r="I27" i="11" s="1"/>
  <c r="C27" i="11"/>
  <c r="AY26" i="11"/>
  <c r="AZ26" i="11" s="1"/>
  <c r="AW26" i="11"/>
  <c r="AV26" i="11"/>
  <c r="AS26" i="11"/>
  <c r="AT26" i="11" s="1"/>
  <c r="AQ26" i="11"/>
  <c r="AP26" i="11"/>
  <c r="AM26" i="11"/>
  <c r="AN26" i="11" s="1"/>
  <c r="AK26" i="11"/>
  <c r="AJ26" i="11"/>
  <c r="AH26" i="11"/>
  <c r="AC26" i="11"/>
  <c r="AD26" i="11" s="1"/>
  <c r="Z26" i="11"/>
  <c r="X26" i="11"/>
  <c r="Y26" i="11" s="1"/>
  <c r="AA26" i="11" s="1"/>
  <c r="W26" i="11"/>
  <c r="S26" i="11"/>
  <c r="T26" i="11" s="1"/>
  <c r="U26" i="11" s="1"/>
  <c r="P26" i="11"/>
  <c r="N26" i="11"/>
  <c r="L26" i="11"/>
  <c r="K26" i="11"/>
  <c r="G26" i="11"/>
  <c r="E26" i="11"/>
  <c r="C26" i="11"/>
  <c r="H26" i="11" s="1"/>
  <c r="I26" i="11" s="1"/>
  <c r="AZ25" i="11"/>
  <c r="AY25" i="11"/>
  <c r="AV25" i="11"/>
  <c r="AW25" i="11" s="1"/>
  <c r="AT25" i="11"/>
  <c r="AS25" i="11"/>
  <c r="AP25" i="11"/>
  <c r="AQ25" i="11" s="1"/>
  <c r="AM25" i="11"/>
  <c r="AN25" i="11" s="1"/>
  <c r="AJ25" i="11"/>
  <c r="AK25" i="11" s="1"/>
  <c r="AH25" i="11"/>
  <c r="AD25" i="11"/>
  <c r="AC25" i="11"/>
  <c r="Z25" i="11"/>
  <c r="W25" i="11"/>
  <c r="X25" i="11" s="1"/>
  <c r="Y25" i="11" s="1"/>
  <c r="AA25" i="11" s="1"/>
  <c r="U25" i="11"/>
  <c r="T25" i="11"/>
  <c r="S25" i="11"/>
  <c r="Q25" i="11"/>
  <c r="P25" i="11"/>
  <c r="N25" i="11"/>
  <c r="K25" i="11"/>
  <c r="L25" i="11" s="1"/>
  <c r="G25" i="11"/>
  <c r="E25" i="11"/>
  <c r="C25" i="11"/>
  <c r="AZ24" i="11"/>
  <c r="AY24" i="11"/>
  <c r="AW24" i="11"/>
  <c r="AV24" i="11"/>
  <c r="AT24" i="11"/>
  <c r="AS24" i="11"/>
  <c r="AQ24" i="11"/>
  <c r="AP24" i="11"/>
  <c r="AN24" i="11"/>
  <c r="AM24" i="11"/>
  <c r="AK24" i="11"/>
  <c r="AJ24" i="11"/>
  <c r="AH24" i="11"/>
  <c r="AC24" i="11"/>
  <c r="AD24" i="11" s="1"/>
  <c r="AA24" i="11"/>
  <c r="Z24" i="11"/>
  <c r="X24" i="11"/>
  <c r="Y24" i="11" s="1"/>
  <c r="W24" i="11"/>
  <c r="U24" i="11"/>
  <c r="S24" i="11"/>
  <c r="T24" i="11" s="1"/>
  <c r="Q24" i="11"/>
  <c r="P24" i="11"/>
  <c r="N24" i="11"/>
  <c r="L24" i="11"/>
  <c r="K24" i="11"/>
  <c r="G24" i="11"/>
  <c r="E24" i="11"/>
  <c r="C24" i="11"/>
  <c r="AY23" i="11"/>
  <c r="AZ23" i="11" s="1"/>
  <c r="AW23" i="11"/>
  <c r="AV23" i="11"/>
  <c r="AS23" i="11"/>
  <c r="AT23" i="11" s="1"/>
  <c r="AP23" i="11"/>
  <c r="AQ23" i="11" s="1"/>
  <c r="AN23" i="11"/>
  <c r="AM23" i="11"/>
  <c r="AJ23" i="11"/>
  <c r="AK23" i="11" s="1"/>
  <c r="AH23" i="11"/>
  <c r="AD23" i="11"/>
  <c r="AC23" i="11"/>
  <c r="Z23" i="11"/>
  <c r="W23" i="11"/>
  <c r="X23" i="11" s="1"/>
  <c r="Y23" i="11" s="1"/>
  <c r="AA23" i="11" s="1"/>
  <c r="U23" i="11"/>
  <c r="T23" i="11"/>
  <c r="S23" i="11"/>
  <c r="Q23" i="11"/>
  <c r="P23" i="11"/>
  <c r="N23" i="11"/>
  <c r="K23" i="11"/>
  <c r="L23" i="11" s="1"/>
  <c r="I23" i="11"/>
  <c r="G23" i="11"/>
  <c r="E23" i="11"/>
  <c r="C23" i="11"/>
  <c r="H23" i="11" s="1"/>
  <c r="AZ22" i="11"/>
  <c r="AY22" i="11"/>
  <c r="AV22" i="11"/>
  <c r="AW22" i="11" s="1"/>
  <c r="AT22" i="11"/>
  <c r="AS22" i="11"/>
  <c r="AP22" i="11"/>
  <c r="AQ22" i="11" s="1"/>
  <c r="AN22" i="11"/>
  <c r="AM22" i="11"/>
  <c r="AJ22" i="11"/>
  <c r="AK22" i="11" s="1"/>
  <c r="AH22" i="11"/>
  <c r="AC22" i="11"/>
  <c r="AD22" i="11" s="1"/>
  <c r="Z22" i="11"/>
  <c r="X22" i="11"/>
  <c r="Y22" i="11" s="1"/>
  <c r="AA22" i="11" s="1"/>
  <c r="W22" i="11"/>
  <c r="S22" i="11"/>
  <c r="T22" i="11" s="1"/>
  <c r="U22" i="11" s="1"/>
  <c r="Q22" i="11"/>
  <c r="P22" i="11"/>
  <c r="N22" i="11"/>
  <c r="K22" i="11"/>
  <c r="L22" i="11" s="1"/>
  <c r="G22" i="11"/>
  <c r="E22" i="11"/>
  <c r="C22" i="11"/>
  <c r="AY21" i="11"/>
  <c r="AZ21" i="11" s="1"/>
  <c r="AW21" i="11"/>
  <c r="AV21" i="11"/>
  <c r="AS21" i="11"/>
  <c r="AT21" i="11" s="1"/>
  <c r="AQ21" i="11"/>
  <c r="AP21" i="11"/>
  <c r="AM21" i="11"/>
  <c r="AN21" i="11" s="1"/>
  <c r="AK21" i="11"/>
  <c r="AJ21" i="11"/>
  <c r="AH21" i="11"/>
  <c r="AD21" i="11"/>
  <c r="AC21" i="11"/>
  <c r="Z21" i="11"/>
  <c r="Y21" i="11"/>
  <c r="AA21" i="11" s="1"/>
  <c r="X21" i="11"/>
  <c r="W21" i="11"/>
  <c r="S21" i="11"/>
  <c r="T21" i="11" s="1"/>
  <c r="U21" i="11" s="1"/>
  <c r="P21" i="11"/>
  <c r="N21" i="11"/>
  <c r="Q21" i="11" s="1"/>
  <c r="L21" i="11"/>
  <c r="K21" i="11"/>
  <c r="H21" i="11"/>
  <c r="I21" i="11" s="1"/>
  <c r="G21" i="11"/>
  <c r="E21" i="11"/>
  <c r="C21" i="11"/>
  <c r="AZ20" i="11"/>
  <c r="AY20" i="11"/>
  <c r="AW20" i="11"/>
  <c r="AV20" i="11"/>
  <c r="AT20" i="11"/>
  <c r="AS20" i="11"/>
  <c r="AQ20" i="11"/>
  <c r="AP20" i="11"/>
  <c r="AN20" i="11"/>
  <c r="AM20" i="11"/>
  <c r="AK20" i="11"/>
  <c r="AJ20" i="11"/>
  <c r="AH20" i="11"/>
  <c r="AD20" i="11"/>
  <c r="AC20" i="11"/>
  <c r="Z20" i="11"/>
  <c r="Y20" i="11"/>
  <c r="X20" i="11"/>
  <c r="W20" i="11"/>
  <c r="U20" i="11"/>
  <c r="T20" i="11"/>
  <c r="S20" i="11"/>
  <c r="P20" i="11"/>
  <c r="N20" i="11"/>
  <c r="Q20" i="11" s="1"/>
  <c r="L20" i="11"/>
  <c r="K20" i="11"/>
  <c r="H20" i="11"/>
  <c r="I20" i="11" s="1"/>
  <c r="G20" i="11"/>
  <c r="E20" i="11"/>
  <c r="C20" i="11"/>
  <c r="AZ19" i="11"/>
  <c r="AY19" i="11"/>
  <c r="AV19" i="11"/>
  <c r="AW19" i="11" s="1"/>
  <c r="AT19" i="11"/>
  <c r="AS19" i="11"/>
  <c r="AP19" i="11"/>
  <c r="AQ19" i="11" s="1"/>
  <c r="AN19" i="11"/>
  <c r="AM19" i="11"/>
  <c r="AJ19" i="11"/>
  <c r="AK19" i="11" s="1"/>
  <c r="AH19" i="11"/>
  <c r="AD19" i="11"/>
  <c r="AC19" i="11"/>
  <c r="AA19" i="11"/>
  <c r="Z19" i="11"/>
  <c r="W19" i="11"/>
  <c r="X19" i="11" s="1"/>
  <c r="Y19" i="11" s="1"/>
  <c r="U19" i="11"/>
  <c r="T19" i="11"/>
  <c r="S19" i="11"/>
  <c r="P19" i="11"/>
  <c r="Q19" i="11" s="1"/>
  <c r="N19" i="11"/>
  <c r="K19" i="11"/>
  <c r="L19" i="11" s="1"/>
  <c r="G19" i="11"/>
  <c r="E19" i="11"/>
  <c r="C19" i="11"/>
  <c r="AZ18" i="11"/>
  <c r="AY18" i="11"/>
  <c r="AW18" i="11"/>
  <c r="AV18" i="11"/>
  <c r="AT18" i="11"/>
  <c r="AS18" i="11"/>
  <c r="AQ18" i="11"/>
  <c r="AP18" i="11"/>
  <c r="AN18" i="11"/>
  <c r="AM18" i="11"/>
  <c r="AK18" i="11"/>
  <c r="AJ18" i="11"/>
  <c r="AH18" i="11"/>
  <c r="AC18" i="11"/>
  <c r="AD18" i="11" s="1"/>
  <c r="Z18" i="11"/>
  <c r="W18" i="11"/>
  <c r="X18" i="11" s="1"/>
  <c r="Y18" i="11" s="1"/>
  <c r="AA18" i="11" s="1"/>
  <c r="S18" i="11"/>
  <c r="T18" i="11" s="1"/>
  <c r="U18" i="11" s="1"/>
  <c r="Q18" i="11"/>
  <c r="P18" i="11"/>
  <c r="N18" i="11"/>
  <c r="L18" i="11"/>
  <c r="K18" i="11"/>
  <c r="G18" i="11"/>
  <c r="E18" i="11"/>
  <c r="C18" i="11"/>
  <c r="H18" i="11" s="1"/>
  <c r="I18" i="11" s="1"/>
  <c r="AY17" i="11"/>
  <c r="AZ17" i="11" s="1"/>
  <c r="AW17" i="11"/>
  <c r="AV17" i="11"/>
  <c r="AS17" i="11"/>
  <c r="AT17" i="11" s="1"/>
  <c r="AQ17" i="11"/>
  <c r="AP17" i="11"/>
  <c r="AM17" i="11"/>
  <c r="AN17" i="11" s="1"/>
  <c r="AK17" i="11"/>
  <c r="AJ17" i="11"/>
  <c r="AH17" i="11"/>
  <c r="AC17" i="11"/>
  <c r="AD17" i="11" s="1"/>
  <c r="Z17" i="11"/>
  <c r="X17" i="11"/>
  <c r="Y17" i="11" s="1"/>
  <c r="AA17" i="11" s="1"/>
  <c r="W17" i="11"/>
  <c r="T17" i="11"/>
  <c r="U17" i="11" s="1"/>
  <c r="S17" i="11"/>
  <c r="P17" i="11"/>
  <c r="N17" i="11"/>
  <c r="Q17" i="11" s="1"/>
  <c r="L17" i="11"/>
  <c r="K17" i="11"/>
  <c r="G17" i="11"/>
  <c r="H17" i="11" s="1"/>
  <c r="I17" i="11" s="1"/>
  <c r="E17" i="11"/>
  <c r="C17" i="11"/>
  <c r="AY16" i="11"/>
  <c r="AZ16" i="11" s="1"/>
  <c r="AW16" i="11"/>
  <c r="AV16" i="11"/>
  <c r="AS16" i="11"/>
  <c r="AT16" i="11" s="1"/>
  <c r="AQ16" i="11"/>
  <c r="AP16" i="11"/>
  <c r="AM16" i="11"/>
  <c r="AN16" i="11" s="1"/>
  <c r="AK16" i="11"/>
  <c r="AJ16" i="11"/>
  <c r="AH16" i="11"/>
  <c r="AD16" i="11"/>
  <c r="AC16" i="11"/>
  <c r="Z16" i="11"/>
  <c r="Y16" i="11"/>
  <c r="AA16" i="11" s="1"/>
  <c r="X16" i="11"/>
  <c r="W16" i="11"/>
  <c r="T16" i="11"/>
  <c r="U16" i="11" s="1"/>
  <c r="S16" i="11"/>
  <c r="P16" i="11"/>
  <c r="N16" i="11"/>
  <c r="L16" i="11"/>
  <c r="K16" i="11"/>
  <c r="G16" i="11"/>
  <c r="E16" i="11"/>
  <c r="C16" i="11"/>
  <c r="H16" i="11" s="1"/>
  <c r="I16" i="11" s="1"/>
  <c r="AZ15" i="11"/>
  <c r="AY15" i="11"/>
  <c r="AV15" i="11"/>
  <c r="AW15" i="11" s="1"/>
  <c r="AT15" i="11"/>
  <c r="AS15" i="11"/>
  <c r="AP15" i="11"/>
  <c r="AQ15" i="11" s="1"/>
  <c r="AN15" i="11"/>
  <c r="AM15" i="11"/>
  <c r="AJ15" i="11"/>
  <c r="AK15" i="11" s="1"/>
  <c r="AH15" i="11"/>
  <c r="AD15" i="11"/>
  <c r="AC15" i="11"/>
  <c r="Z15" i="11"/>
  <c r="W15" i="11"/>
  <c r="X15" i="11" s="1"/>
  <c r="Y15" i="11" s="1"/>
  <c r="AA15" i="11" s="1"/>
  <c r="U15" i="11"/>
  <c r="T15" i="11"/>
  <c r="S15" i="11"/>
  <c r="Q15" i="11"/>
  <c r="P15" i="11"/>
  <c r="N15" i="11"/>
  <c r="K15" i="11"/>
  <c r="L15" i="11" s="1"/>
  <c r="I15" i="11"/>
  <c r="G15" i="11"/>
  <c r="E15" i="11"/>
  <c r="C15" i="11"/>
  <c r="H15" i="11" s="1"/>
  <c r="AZ14" i="11"/>
  <c r="AY14" i="11"/>
  <c r="AV14" i="11"/>
  <c r="AW14" i="11" s="1"/>
  <c r="AT14" i="11"/>
  <c r="AS14" i="11"/>
  <c r="AP14" i="11"/>
  <c r="AQ14" i="11" s="1"/>
  <c r="AN14" i="11"/>
  <c r="AM14" i="11"/>
  <c r="AJ14" i="11"/>
  <c r="AK14" i="11" s="1"/>
  <c r="AH14" i="11"/>
  <c r="AC14" i="11"/>
  <c r="AD14" i="11" s="1"/>
  <c r="Z14" i="11"/>
  <c r="X14" i="11"/>
  <c r="Y14" i="11" s="1"/>
  <c r="AA14" i="11" s="1"/>
  <c r="W14" i="11"/>
  <c r="S14" i="11"/>
  <c r="T14" i="11" s="1"/>
  <c r="U14" i="11" s="1"/>
  <c r="Q14" i="11"/>
  <c r="P14" i="11"/>
  <c r="N14" i="11"/>
  <c r="K14" i="11"/>
  <c r="L14" i="11" s="1"/>
  <c r="G14" i="11"/>
  <c r="E14" i="11"/>
  <c r="C14" i="11"/>
  <c r="AY13" i="11"/>
  <c r="AZ13" i="11" s="1"/>
  <c r="AW13" i="11"/>
  <c r="AV13" i="11"/>
  <c r="AS13" i="11"/>
  <c r="AT13" i="11" s="1"/>
  <c r="AP13" i="11"/>
  <c r="AQ13" i="11" s="1"/>
  <c r="AM13" i="11"/>
  <c r="AN13" i="11" s="1"/>
  <c r="AJ13" i="11"/>
  <c r="AK13" i="11" s="1"/>
  <c r="AH13" i="11"/>
  <c r="AD13" i="11"/>
  <c r="AC13" i="11"/>
  <c r="Z13" i="11"/>
  <c r="W13" i="11"/>
  <c r="X13" i="11" s="1"/>
  <c r="Y13" i="11" s="1"/>
  <c r="AA13" i="11" s="1"/>
  <c r="T13" i="11"/>
  <c r="U13" i="11" s="1"/>
  <c r="S13" i="11"/>
  <c r="P13" i="11"/>
  <c r="N13" i="11"/>
  <c r="Q13" i="11" s="1"/>
  <c r="L13" i="11"/>
  <c r="K13" i="11"/>
  <c r="G13" i="11"/>
  <c r="E13" i="11"/>
  <c r="H13" i="11" s="1"/>
  <c r="I13" i="11" s="1"/>
  <c r="C13" i="11"/>
  <c r="AY12" i="11"/>
  <c r="AZ12" i="11" s="1"/>
  <c r="AW12" i="11"/>
  <c r="AV12" i="11"/>
  <c r="AS12" i="11"/>
  <c r="AT12" i="11" s="1"/>
  <c r="AQ12" i="11"/>
  <c r="AP12" i="11"/>
  <c r="AM12" i="11"/>
  <c r="AN12" i="11" s="1"/>
  <c r="AK12" i="11"/>
  <c r="AJ12" i="11"/>
  <c r="AH12" i="11"/>
  <c r="AD12" i="11"/>
  <c r="AC12" i="11"/>
  <c r="Z12" i="11"/>
  <c r="Y12" i="11"/>
  <c r="AA12" i="11" s="1"/>
  <c r="X12" i="11"/>
  <c r="W12" i="11"/>
  <c r="T12" i="11"/>
  <c r="U12" i="11" s="1"/>
  <c r="S12" i="11"/>
  <c r="P12" i="11"/>
  <c r="N12" i="11"/>
  <c r="Q12" i="11" s="1"/>
  <c r="L12" i="11"/>
  <c r="K12" i="11"/>
  <c r="H12" i="11"/>
  <c r="I12" i="11" s="1"/>
  <c r="G12" i="11"/>
  <c r="E12" i="11"/>
  <c r="C12" i="11"/>
  <c r="AZ11" i="11"/>
  <c r="AY11" i="11"/>
  <c r="AV11" i="11"/>
  <c r="AW11" i="11" s="1"/>
  <c r="AT11" i="11"/>
  <c r="AS11" i="11"/>
  <c r="AP11" i="11"/>
  <c r="AQ11" i="11" s="1"/>
  <c r="AN11" i="11"/>
  <c r="AM11" i="11"/>
  <c r="AJ11" i="11"/>
  <c r="AK11" i="11" s="1"/>
  <c r="AH11" i="11"/>
  <c r="AD11" i="11"/>
  <c r="AC11" i="11"/>
  <c r="Z11" i="11"/>
  <c r="W11" i="11"/>
  <c r="X11" i="11" s="1"/>
  <c r="Y11" i="11" s="1"/>
  <c r="AA11" i="11" s="1"/>
  <c r="U11" i="11"/>
  <c r="T11" i="11"/>
  <c r="S11" i="11"/>
  <c r="P11" i="11"/>
  <c r="N11" i="11"/>
  <c r="Q11" i="11" s="1"/>
  <c r="K11" i="11"/>
  <c r="L11" i="11" s="1"/>
  <c r="G11" i="11"/>
  <c r="E11" i="11"/>
  <c r="C11" i="11"/>
  <c r="H11" i="11" s="1"/>
  <c r="I11" i="11" s="1"/>
  <c r="AZ10" i="11"/>
  <c r="AY10" i="11"/>
  <c r="AV10" i="11"/>
  <c r="AW10" i="11" s="1"/>
  <c r="AT10" i="11"/>
  <c r="AS10" i="11"/>
  <c r="AP10" i="11"/>
  <c r="AQ10" i="11" s="1"/>
  <c r="AN10" i="11"/>
  <c r="AM10" i="11"/>
  <c r="AJ10" i="11"/>
  <c r="AK10" i="11" s="1"/>
  <c r="AH10" i="11"/>
  <c r="AC10" i="11"/>
  <c r="AD10" i="11" s="1"/>
  <c r="Z10" i="11"/>
  <c r="W10" i="11"/>
  <c r="X10" i="11" s="1"/>
  <c r="Y10" i="11" s="1"/>
  <c r="AA10" i="11" s="1"/>
  <c r="S10" i="11"/>
  <c r="T10" i="11" s="1"/>
  <c r="U10" i="11" s="1"/>
  <c r="Q10" i="11"/>
  <c r="P10" i="11"/>
  <c r="N10" i="11"/>
  <c r="K10" i="11"/>
  <c r="L10" i="11" s="1"/>
  <c r="G10" i="11"/>
  <c r="E10" i="11"/>
  <c r="C10" i="11"/>
  <c r="H10" i="11" s="1"/>
  <c r="I10" i="11" s="1"/>
  <c r="AY9" i="11"/>
  <c r="AZ9" i="11" s="1"/>
  <c r="AW9" i="11"/>
  <c r="AV9" i="11"/>
  <c r="AS9" i="11"/>
  <c r="AT9" i="11" s="1"/>
  <c r="AQ9" i="11"/>
  <c r="AP9" i="11"/>
  <c r="AM9" i="11"/>
  <c r="AN9" i="11" s="1"/>
  <c r="AK9" i="11"/>
  <c r="AJ9" i="11"/>
  <c r="AH9" i="11"/>
  <c r="AC9" i="11"/>
  <c r="AD9" i="11" s="1"/>
  <c r="Z9" i="11"/>
  <c r="X9" i="11"/>
  <c r="Y9" i="11" s="1"/>
  <c r="AA9" i="11" s="1"/>
  <c r="W9" i="11"/>
  <c r="S9" i="11"/>
  <c r="T9" i="11" s="1"/>
  <c r="U9" i="11" s="1"/>
  <c r="Q9" i="11"/>
  <c r="P9" i="11"/>
  <c r="N9" i="11"/>
  <c r="L9" i="11"/>
  <c r="K9" i="11"/>
  <c r="G9" i="11"/>
  <c r="E9" i="11"/>
  <c r="H9" i="11" s="1"/>
  <c r="I9" i="11" s="1"/>
  <c r="C9" i="11"/>
  <c r="AY8" i="11"/>
  <c r="AZ8" i="11" s="1"/>
  <c r="AW8" i="11"/>
  <c r="AV8" i="11"/>
  <c r="AS8" i="11"/>
  <c r="AT8" i="11" s="1"/>
  <c r="AQ8" i="11"/>
  <c r="AP8" i="11"/>
  <c r="AM8" i="11"/>
  <c r="AN8" i="11" s="1"/>
  <c r="AK8" i="11"/>
  <c r="AJ8" i="11"/>
  <c r="AH8" i="11"/>
  <c r="AD8" i="11"/>
  <c r="AC8" i="11"/>
  <c r="Z8" i="11"/>
  <c r="Y8" i="11"/>
  <c r="AA8" i="11" s="1"/>
  <c r="X8" i="11"/>
  <c r="W8" i="11"/>
  <c r="T8" i="11"/>
  <c r="U8" i="11" s="1"/>
  <c r="S8" i="11"/>
  <c r="P8" i="11"/>
  <c r="N8" i="11"/>
  <c r="Q8" i="11" s="1"/>
  <c r="L8" i="11"/>
  <c r="K8" i="11"/>
  <c r="H8" i="11"/>
  <c r="I8" i="11" s="1"/>
  <c r="G8" i="11"/>
  <c r="E8" i="11"/>
  <c r="C8" i="11"/>
  <c r="AZ7" i="11"/>
  <c r="AY7" i="11"/>
  <c r="AV7" i="11"/>
  <c r="AW7" i="11" s="1"/>
  <c r="AT7" i="11"/>
  <c r="AS7" i="11"/>
  <c r="AP7" i="11"/>
  <c r="AQ7" i="11" s="1"/>
  <c r="AN7" i="11"/>
  <c r="AM7" i="11"/>
  <c r="AJ7" i="11"/>
  <c r="AK7" i="11" s="1"/>
  <c r="AH7" i="11"/>
  <c r="AD7" i="11"/>
  <c r="AC7" i="11"/>
  <c r="Z7" i="11"/>
  <c r="W7" i="11"/>
  <c r="X7" i="11" s="1"/>
  <c r="Y7" i="11" s="1"/>
  <c r="AA7" i="11" s="1"/>
  <c r="U7" i="11"/>
  <c r="T7" i="11"/>
  <c r="S7" i="11"/>
  <c r="P7" i="11"/>
  <c r="N7" i="11"/>
  <c r="Q7" i="11" s="1"/>
  <c r="K7" i="11"/>
  <c r="L7" i="11" s="1"/>
  <c r="G7" i="11"/>
  <c r="E7" i="11"/>
  <c r="C7" i="11"/>
  <c r="H7" i="11" s="1"/>
  <c r="I7" i="11" s="1"/>
  <c r="AZ6" i="11"/>
  <c r="AY6" i="11"/>
  <c r="AV6" i="11"/>
  <c r="AV36" i="11" s="1"/>
  <c r="AT6" i="11"/>
  <c r="AS6" i="11"/>
  <c r="AP6" i="11"/>
  <c r="AP36" i="11" s="1"/>
  <c r="AN6" i="11"/>
  <c r="AM6" i="11"/>
  <c r="AJ6" i="11"/>
  <c r="AJ36" i="11" s="1"/>
  <c r="AH6" i="11"/>
  <c r="AH36" i="11" s="1"/>
  <c r="AC6" i="11"/>
  <c r="Z6" i="11"/>
  <c r="W6" i="11"/>
  <c r="W36" i="11" s="1"/>
  <c r="S6" i="11"/>
  <c r="Q6" i="11"/>
  <c r="P6" i="11"/>
  <c r="N6" i="11"/>
  <c r="K6" i="11"/>
  <c r="K36" i="11" s="1"/>
  <c r="M39" i="11" s="1"/>
  <c r="G6" i="11"/>
  <c r="E6" i="11"/>
  <c r="E36" i="11" s="1"/>
  <c r="C6" i="11"/>
  <c r="H6" i="11" s="1"/>
  <c r="I6" i="11" s="1"/>
  <c r="AZ5" i="11"/>
  <c r="AW5" i="11"/>
  <c r="AT5" i="11"/>
  <c r="AQ5" i="11"/>
  <c r="AN5" i="11"/>
  <c r="AK5" i="11"/>
  <c r="AD5" i="11"/>
  <c r="Z5" i="11"/>
  <c r="X5" i="11"/>
  <c r="Y5" i="11" s="1"/>
  <c r="U5" i="11"/>
  <c r="T5" i="11"/>
  <c r="Q5" i="11"/>
  <c r="L5" i="11"/>
  <c r="I5" i="11"/>
  <c r="H5" i="11"/>
  <c r="AT36" i="11" l="1"/>
  <c r="AA5" i="11"/>
  <c r="U36" i="11"/>
  <c r="G36" i="11"/>
  <c r="L6" i="11"/>
  <c r="S36" i="11"/>
  <c r="X6" i="11"/>
  <c r="Y6" i="11" s="1"/>
  <c r="AA6" i="11" s="1"/>
  <c r="AC36" i="11"/>
  <c r="AD39" i="11" s="1"/>
  <c r="AK6" i="11"/>
  <c r="AK36" i="11" s="1"/>
  <c r="AQ6" i="11"/>
  <c r="AW6" i="11"/>
  <c r="AW36" i="11" s="1"/>
  <c r="X36" i="11"/>
  <c r="Z39" i="11" s="1"/>
  <c r="Z36" i="11"/>
  <c r="AN36" i="11"/>
  <c r="AZ36" i="11"/>
  <c r="N36" i="11"/>
  <c r="T6" i="11"/>
  <c r="U6" i="11" s="1"/>
  <c r="AD6" i="11"/>
  <c r="AD36" i="11" s="1"/>
  <c r="AM36" i="11"/>
  <c r="AS36" i="11"/>
  <c r="AY36" i="11"/>
  <c r="H14" i="11"/>
  <c r="I14" i="11" s="1"/>
  <c r="Q16" i="11"/>
  <c r="Q36" i="11" s="1"/>
  <c r="H22" i="11"/>
  <c r="I22" i="11" s="1"/>
  <c r="H25" i="11"/>
  <c r="I25" i="11" s="1"/>
  <c r="H33" i="11"/>
  <c r="I33" i="11" s="1"/>
  <c r="AQ36" i="11"/>
  <c r="C36" i="11"/>
  <c r="P36" i="11"/>
  <c r="H19" i="11"/>
  <c r="I19" i="11" s="1"/>
  <c r="AA20" i="11"/>
  <c r="H31" i="11"/>
  <c r="I31" i="11" s="1"/>
  <c r="L36" i="11"/>
  <c r="AB50" i="11"/>
  <c r="B51" i="11"/>
  <c r="AB48" i="11"/>
  <c r="L59" i="11"/>
  <c r="R51" i="11"/>
  <c r="B59" i="11"/>
  <c r="H24" i="11"/>
  <c r="I24" i="11" s="1"/>
  <c r="Q26" i="11"/>
  <c r="H28" i="11"/>
  <c r="I28" i="11" s="1"/>
  <c r="Q30" i="11"/>
  <c r="H32" i="11"/>
  <c r="I32" i="11" s="1"/>
  <c r="Q34" i="11"/>
  <c r="AB49" i="11"/>
  <c r="L48" i="11" l="1"/>
  <c r="Z56" i="11" s="1"/>
  <c r="L39" i="11"/>
  <c r="L42" i="11" s="1"/>
  <c r="M42" i="11" s="1"/>
  <c r="W48" i="11"/>
  <c r="AA36" i="11"/>
  <c r="H36" i="11"/>
  <c r="I36" i="11" s="1"/>
  <c r="AE39" i="11"/>
  <c r="W49" i="11"/>
  <c r="R39" i="11"/>
  <c r="R42" i="11" s="1"/>
  <c r="T42" i="11" s="1"/>
  <c r="L49" i="11"/>
  <c r="Z57" i="11" s="1"/>
  <c r="AB51" i="11"/>
  <c r="T36" i="11"/>
  <c r="T39" i="11" s="1"/>
  <c r="Y36" i="11"/>
  <c r="D39" i="11" l="1"/>
  <c r="W47" i="11"/>
  <c r="L47" i="11"/>
  <c r="Z55" i="11" s="1"/>
  <c r="L50" i="11"/>
  <c r="Z58" i="11" s="1"/>
  <c r="W50" i="11"/>
  <c r="X39" i="11"/>
  <c r="X42" i="11" s="1"/>
  <c r="AG42" i="11" s="1"/>
  <c r="Z42" i="11" s="1"/>
  <c r="R57" i="11"/>
  <c r="W57" i="11" s="1"/>
  <c r="AF49" i="11"/>
  <c r="Y49" i="11"/>
  <c r="AF48" i="11"/>
  <c r="R56" i="11"/>
  <c r="W56" i="11" s="1"/>
  <c r="Y48" i="11"/>
  <c r="AD57" i="11"/>
  <c r="AA57" i="11"/>
  <c r="AE57" i="11" s="1"/>
  <c r="AA56" i="11"/>
  <c r="AE56" i="11" s="1"/>
  <c r="AD56" i="11"/>
  <c r="AH49" i="11" l="1"/>
  <c r="AG49" i="11"/>
  <c r="D42" i="11"/>
  <c r="G42" i="11" s="1"/>
  <c r="G39" i="11"/>
  <c r="AH48" i="11"/>
  <c r="AG48" i="11"/>
  <c r="AD55" i="11"/>
  <c r="AA55" i="11"/>
  <c r="Z59" i="11"/>
  <c r="AA58" i="11"/>
  <c r="AE58" i="11" s="1"/>
  <c r="AD58" i="11"/>
  <c r="AF50" i="11"/>
  <c r="R58" i="11"/>
  <c r="W58" i="11" s="1"/>
  <c r="Y50" i="11"/>
  <c r="AF47" i="11"/>
  <c r="R55" i="11"/>
  <c r="W51" i="11"/>
  <c r="Y47" i="11"/>
  <c r="AA59" i="11" l="1"/>
  <c r="AE55" i="11"/>
  <c r="AE59" i="11" s="1"/>
  <c r="AF51" i="11"/>
  <c r="AH47" i="11"/>
  <c r="AG47" i="11"/>
  <c r="R59" i="11"/>
  <c r="X60" i="11" s="1"/>
  <c r="B60" i="11" s="1"/>
  <c r="W55" i="11"/>
  <c r="W59" i="11" s="1"/>
  <c r="AH50" i="11"/>
  <c r="AG50" i="11"/>
  <c r="AD59" i="11"/>
  <c r="X52" i="11"/>
  <c r="B52" i="11" s="1"/>
  <c r="Y51" i="11"/>
  <c r="AF52" i="11" l="1"/>
  <c r="AG51" i="11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<sst xmlns="http://schemas.openxmlformats.org/spreadsheetml/2006/main" count="255" uniqueCount="108">
  <si>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</si>
  <si>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</si>
  <si>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</si>
  <si>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</si>
  <si>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</si>
  <si>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</si>
  <si>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</si>
  <si>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</si>
  <si>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</si>
  <si>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</si>
  <si>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</si>
  <si>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</si>
  <si>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</si>
  <si>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</si>
  <si>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</si>
  <si>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</si>
  <si>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</si>
  <si>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</si>
  <si>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</si>
  <si>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</si>
  <si>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</si>
  <si>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</si>
  <si>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</si>
  <si>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</si>
  <si>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</si>
  <si>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</si>
  <si>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</si>
  <si>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</si>
  <si>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</si>
  <si>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</si>
  <si>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</si>
  <si>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</si>
  <si>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</si>
  <si>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</si>
  <si>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</si>
  <si>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</si>
  <si>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</si>
  <si>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</si>
  <si>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</si>
  <si>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</si>
  <si>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</si>
  <si>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</si>
  <si>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</si>
  <si>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</si>
  <si>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</si>
  <si>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</si>
  <si>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</si>
  <si>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</si>
  <si>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</si>
  <si>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</si>
  <si>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</si>
  <si>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</si>
  <si>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</si>
  <si>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</si>
  <si>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</si>
  <si>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</si>
  <si>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</si>
  <si>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</si>
  <si>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</si>
  <si>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</si>
  <si>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</si>
  <si>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</si>
  <si>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</si>
  <si>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</si>
  <si>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</si>
  <si>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</si>
  <si>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</si>
  <si>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</si>
  <si>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</si>
  <si>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</si>
  <si>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</si>
  <si>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</si>
  <si>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</si>
  <si>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</si>
  <si>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</si>
  <si>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</si>
  <si>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</si>
  <si>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</si>
  <si>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</si>
  <si>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</si>
  <si>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</si>
  <si>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</si>
  <si>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</si>
  <si>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</si>
  <si>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</si>
  <si>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</si>
  <si>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</si>
  <si>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</si>
  <si>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</si>
  <si>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</si>
  <si>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</si>
  <si>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</si>
  <si>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</si>
  <si>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</si>
  <si>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</si>
  <si>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</si>
  <si>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</si>
  <si>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</si>
  <si>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</si>
  <si>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ETS Energy Bulk Meter Reading</t>
  </si>
  <si>
    <t>ETS Cons.
Ton Hours</t>
  </si>
  <si>
    <t>Blue Sky tower Chilled water</t>
  </si>
  <si>
    <t>Cons. MWH</t>
  </si>
  <si>
    <t>PEARL ROTANA CAPITAL CENTRE UTILITIES CONSUMPTION - DECEMBER 2024</t>
  </si>
  <si>
    <t>ETS Cons.
MWH</t>
  </si>
  <si>
    <t>Actual December2024</t>
  </si>
  <si>
    <t>Budget December 2024</t>
  </si>
  <si>
    <t>Actual 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</si>
</sst>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91" xfId="0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2" fontId="0" fillId="0" borderId="93" xfId="0" applyNumberFormat="1" applyBorder="1" applyAlignment="1">
      <alignment horizontal="center" vertical="center"/>
    </xf>
    <xf numFmtId="2" fontId="0" fillId="0" borderId="92" xfId="0" applyNumberFormat="1" applyBorder="1" applyAlignment="1">
      <alignment horizontal="center" vertical="center"/>
    </xf>
    <xf numFmtId="2" fontId="3" fillId="0" borderId="92" xfId="0" applyNumberFormat="1" applyFont="1" applyBorder="1" applyAlignment="1">
      <alignment horizontal="center" vertical="center"/>
    </xf>
    <xf numFmtId="1" fontId="8" fillId="0" borderId="9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N2" sqref="N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71</v>
      </c>
      <c r="B1" s="27" t="s">
        <v>72</v>
      </c>
      <c r="C1" s="28" t="s">
        <v>73</v>
      </c>
      <c r="D1" s="29" t="s">
        <v>74</v>
      </c>
      <c r="E1" s="30" t="s">
        <v>75</v>
      </c>
      <c r="F1" s="31" t="s">
        <v>76</v>
      </c>
      <c r="G1" s="30" t="s">
        <v>92</v>
      </c>
      <c r="H1" s="31" t="s">
        <v>93</v>
      </c>
      <c r="I1" s="32" t="s">
        <v>90</v>
      </c>
      <c r="J1" s="33" t="s">
        <v>91</v>
      </c>
      <c r="K1" s="34" t="s">
        <v>77</v>
      </c>
      <c r="L1" s="35" t="s">
        <v>78</v>
      </c>
      <c r="M1" s="36" t="s">
        <v>79</v>
      </c>
      <c r="N1" s="30" t="s">
        <v>80</v>
      </c>
    </row>
    <row r="2" spans="1:15" x14ac:dyDescent="0.25">
      <c r="A2" s="26" t="s">
        <v>81</v>
      </c>
      <c r="B2" s="2">
        <v>1</v>
      </c>
      <c r="C2" s="16">
        <v>12</v>
      </c>
      <c r="D2" s="2">
        <v>2024</v>
      </c>
      <c r="E2" s="9">
        <f>Submetering!E2+Submetering!F2+Submetering!G2</f>
        <v>15360</v>
      </c>
      <c r="F2" s="17">
        <v>0.2</v>
      </c>
      <c r="G2" s="9">
        <f>'Dec 2024'!T5</f>
        <v>32.726700000000001</v>
      </c>
      <c r="H2" s="18">
        <v>16.760000000000002</v>
      </c>
      <c r="I2" s="9">
        <f>Submetering!H2</f>
        <v>112</v>
      </c>
      <c r="J2" s="17">
        <v>7.84</v>
      </c>
      <c r="K2" s="19">
        <f>'Dec 2024'!X5</f>
        <v>6539.9350000000004</v>
      </c>
      <c r="L2" s="169">
        <v>0.34489999999999998</v>
      </c>
      <c r="M2" s="9">
        <f>Submetering!N2</f>
        <v>265.98599999999999</v>
      </c>
      <c r="N2" s="2">
        <f>Submetering!O2</f>
        <v>431</v>
      </c>
      <c r="O2" s="15"/>
    </row>
    <row r="3" spans="1:15" x14ac:dyDescent="0.25">
      <c r="A3" s="26" t="s">
        <v>81</v>
      </c>
      <c r="B3" s="2">
        <f t="shared" ref="B3:B32" si="0">B2+1</f>
        <v>2</v>
      </c>
      <c r="C3" s="16">
        <v>12</v>
      </c>
      <c r="D3" s="2">
        <v>2024</v>
      </c>
      <c r="E3" s="9">
        <f>Submetering!E3+Submetering!F3+Submetering!G3</f>
        <v>15751</v>
      </c>
      <c r="F3" s="17">
        <v>0.2</v>
      </c>
      <c r="G3" s="9">
        <f>'Dec 2024'!T6</f>
        <v>34.838100000000004</v>
      </c>
      <c r="H3" s="18">
        <v>16.760000000000002</v>
      </c>
      <c r="I3" s="9">
        <f>Submetering!H3</f>
        <v>103</v>
      </c>
      <c r="J3" s="17">
        <v>7.84</v>
      </c>
      <c r="K3" s="19">
        <f>'Dec 2024'!X6</f>
        <v>5971.2450000000008</v>
      </c>
      <c r="L3" s="169">
        <v>0.34489999999999998</v>
      </c>
      <c r="M3" s="9">
        <f>Submetering!N3</f>
        <v>253.9845</v>
      </c>
      <c r="N3" s="2">
        <f>Submetering!O3</f>
        <v>348</v>
      </c>
      <c r="O3" s="15"/>
    </row>
    <row r="4" spans="1:15" x14ac:dyDescent="0.25">
      <c r="A4" s="26" t="s">
        <v>81</v>
      </c>
      <c r="B4" s="2">
        <f t="shared" si="0"/>
        <v>3</v>
      </c>
      <c r="C4" s="16">
        <v>12</v>
      </c>
      <c r="D4" s="2">
        <v>2024</v>
      </c>
      <c r="E4" s="9">
        <f>Submetering!E4+Submetering!F4+Submetering!G4</f>
        <v>15311</v>
      </c>
      <c r="F4" s="17">
        <v>0.2</v>
      </c>
      <c r="G4" s="9">
        <f>'Dec 2024'!T7</f>
        <v>33.782400000000003</v>
      </c>
      <c r="H4" s="18">
        <v>16.760000000000002</v>
      </c>
      <c r="I4" s="9">
        <f>Submetering!H4</f>
        <v>98</v>
      </c>
      <c r="J4" s="17">
        <v>7.84</v>
      </c>
      <c r="K4" s="19">
        <f>'Dec 2024'!X7</f>
        <v>5971.2450000000008</v>
      </c>
      <c r="L4" s="169">
        <v>0.34489999999999998</v>
      </c>
      <c r="M4" s="9">
        <f>Submetering!N4</f>
        <v>264.00149999999996</v>
      </c>
      <c r="N4" s="2">
        <f>Submetering!O4</f>
        <v>329</v>
      </c>
      <c r="O4" s="15"/>
    </row>
    <row r="5" spans="1:15" x14ac:dyDescent="0.25">
      <c r="A5" s="26" t="s">
        <v>81</v>
      </c>
      <c r="B5" s="2">
        <f t="shared" si="0"/>
        <v>4</v>
      </c>
      <c r="C5" s="16">
        <v>12</v>
      </c>
      <c r="D5" s="2">
        <v>2024</v>
      </c>
      <c r="E5" s="9">
        <f>Submetering!E5+Submetering!F5+Submetering!G5</f>
        <v>14893</v>
      </c>
      <c r="F5" s="17">
        <v>0.2</v>
      </c>
      <c r="G5" s="9">
        <f>'Dec 2024'!T8</f>
        <v>33.782400000000003</v>
      </c>
      <c r="H5" s="18">
        <v>16.760000000000002</v>
      </c>
      <c r="I5" s="9">
        <f>Submetering!H5</f>
        <v>95</v>
      </c>
      <c r="J5" s="17">
        <v>7.84</v>
      </c>
      <c r="K5" s="19">
        <f>'Dec 2024'!X8</f>
        <v>5971.2450000000008</v>
      </c>
      <c r="L5" s="169">
        <v>0.34489999999999998</v>
      </c>
      <c r="M5" s="9">
        <f>Submetering!N5</f>
        <v>281.01150000000001</v>
      </c>
      <c r="N5" s="2">
        <f>Submetering!O5</f>
        <v>331</v>
      </c>
      <c r="O5" s="15"/>
    </row>
    <row r="6" spans="1:15" x14ac:dyDescent="0.25">
      <c r="A6" s="26" t="s">
        <v>81</v>
      </c>
      <c r="B6" s="2">
        <f t="shared" si="0"/>
        <v>5</v>
      </c>
      <c r="C6" s="16">
        <v>12</v>
      </c>
      <c r="D6" s="2">
        <v>2024</v>
      </c>
      <c r="E6" s="9">
        <f>Submetering!E6+Submetering!F6+Submetering!G6</f>
        <v>15089</v>
      </c>
      <c r="F6" s="17">
        <v>0.2</v>
      </c>
      <c r="G6" s="9">
        <f>'Dec 2024'!T9</f>
        <v>34.838100000000004</v>
      </c>
      <c r="H6" s="18">
        <v>16.760000000000002</v>
      </c>
      <c r="I6" s="9">
        <f>Submetering!H6</f>
        <v>103</v>
      </c>
      <c r="J6" s="17">
        <v>7.84</v>
      </c>
      <c r="K6" s="19">
        <f>'Dec 2024'!X9</f>
        <v>5971.2450000000008</v>
      </c>
      <c r="L6" s="169">
        <v>0.34489999999999998</v>
      </c>
      <c r="M6" s="9">
        <f>Submetering!N6</f>
        <v>306.99900000000002</v>
      </c>
      <c r="N6" s="2">
        <f>Submetering!O6</f>
        <v>391</v>
      </c>
      <c r="O6" s="15"/>
    </row>
    <row r="7" spans="1:15" x14ac:dyDescent="0.25">
      <c r="A7" s="26" t="s">
        <v>81</v>
      </c>
      <c r="B7" s="2">
        <f t="shared" si="0"/>
        <v>6</v>
      </c>
      <c r="C7" s="16">
        <v>12</v>
      </c>
      <c r="D7" s="2">
        <v>2024</v>
      </c>
      <c r="E7" s="9">
        <f>Submetering!E7+Submetering!F7+Submetering!G7</f>
        <v>15072</v>
      </c>
      <c r="F7" s="17">
        <v>0.2</v>
      </c>
      <c r="G7" s="9">
        <f>'Dec 2024'!T10</f>
        <v>35.893800000000006</v>
      </c>
      <c r="H7" s="18">
        <v>16.760000000000002</v>
      </c>
      <c r="I7" s="9">
        <f>Submetering!H7</f>
        <v>88</v>
      </c>
      <c r="J7" s="17">
        <v>7.84</v>
      </c>
      <c r="K7" s="19">
        <f>'Dec 2024'!X10</f>
        <v>6824.2800000000007</v>
      </c>
      <c r="L7" s="169">
        <v>0.34489999999999998</v>
      </c>
      <c r="M7" s="9">
        <f>Submetering!N7</f>
        <v>305.0145</v>
      </c>
      <c r="N7" s="2">
        <f>Submetering!O7</f>
        <v>421</v>
      </c>
      <c r="O7" s="15"/>
    </row>
    <row r="8" spans="1:15" x14ac:dyDescent="0.25">
      <c r="A8" s="26" t="s">
        <v>81</v>
      </c>
      <c r="B8" s="2">
        <f t="shared" si="0"/>
        <v>7</v>
      </c>
      <c r="C8" s="16">
        <v>12</v>
      </c>
      <c r="D8" s="2">
        <v>2024</v>
      </c>
      <c r="E8" s="9">
        <f>Submetering!E8+Submetering!F8+Submetering!G8</f>
        <v>14925</v>
      </c>
      <c r="F8" s="17">
        <v>0.2</v>
      </c>
      <c r="G8" s="9">
        <f>'Dec 2024'!T11</f>
        <v>33.782400000000003</v>
      </c>
      <c r="H8" s="18">
        <v>16.760000000000002</v>
      </c>
      <c r="I8" s="9">
        <f>Submetering!H8</f>
        <v>106</v>
      </c>
      <c r="J8" s="17">
        <v>7.84</v>
      </c>
      <c r="K8" s="19">
        <f>'Dec 2024'!X11</f>
        <v>6255.59</v>
      </c>
      <c r="L8" s="169">
        <v>0.34489999999999998</v>
      </c>
      <c r="M8" s="9">
        <f>Submetering!N8</f>
        <v>274.995</v>
      </c>
      <c r="N8" s="2">
        <f>Submetering!O8</f>
        <v>378</v>
      </c>
      <c r="O8" s="15"/>
    </row>
    <row r="9" spans="1:15" x14ac:dyDescent="0.25">
      <c r="A9" s="26" t="s">
        <v>81</v>
      </c>
      <c r="B9" s="2">
        <f t="shared" si="0"/>
        <v>8</v>
      </c>
      <c r="C9" s="16">
        <v>12</v>
      </c>
      <c r="D9" s="2">
        <v>2024</v>
      </c>
      <c r="E9" s="9">
        <f>Submetering!E9+Submetering!F9+Submetering!G9</f>
        <v>15251</v>
      </c>
      <c r="F9" s="17">
        <v>0.2</v>
      </c>
      <c r="G9" s="9">
        <f>'Dec 2024'!T12</f>
        <v>36.9495</v>
      </c>
      <c r="H9" s="18">
        <v>16.760000000000002</v>
      </c>
      <c r="I9" s="9">
        <f>Submetering!H9</f>
        <v>101</v>
      </c>
      <c r="J9" s="17">
        <v>7.84</v>
      </c>
      <c r="K9" s="19">
        <f>'Dec 2024'!X12</f>
        <v>6824.2800000000007</v>
      </c>
      <c r="L9" s="169">
        <v>0.34489999999999998</v>
      </c>
      <c r="M9" s="9">
        <f>Submetering!N9</f>
        <v>315</v>
      </c>
      <c r="N9" s="2">
        <f>Submetering!O9</f>
        <v>413</v>
      </c>
      <c r="O9" s="15"/>
    </row>
    <row r="10" spans="1:15" x14ac:dyDescent="0.25">
      <c r="A10" s="26" t="s">
        <v>81</v>
      </c>
      <c r="B10" s="2">
        <f t="shared" si="0"/>
        <v>9</v>
      </c>
      <c r="C10" s="16">
        <v>12</v>
      </c>
      <c r="D10" s="2">
        <v>2024</v>
      </c>
      <c r="E10" s="9">
        <f>Submetering!E10+Submetering!F10+Submetering!G10</f>
        <v>15494</v>
      </c>
      <c r="F10" s="17">
        <v>0.2</v>
      </c>
      <c r="G10" s="9">
        <f>'Dec 2024'!T13</f>
        <v>36.9495</v>
      </c>
      <c r="H10" s="18">
        <v>16.760000000000002</v>
      </c>
      <c r="I10" s="9">
        <f>Submetering!H10</f>
        <v>112</v>
      </c>
      <c r="J10" s="17">
        <v>7.84</v>
      </c>
      <c r="K10" s="19">
        <f>'Dec 2024'!X13</f>
        <v>5686.9000000000005</v>
      </c>
      <c r="L10" s="169">
        <v>0.34489999999999998</v>
      </c>
      <c r="M10" s="9">
        <f>Submetering!N10</f>
        <v>315</v>
      </c>
      <c r="N10" s="2">
        <f>Submetering!O10</f>
        <v>384</v>
      </c>
      <c r="O10" s="15"/>
    </row>
    <row r="11" spans="1:15" x14ac:dyDescent="0.25">
      <c r="A11" s="26" t="s">
        <v>81</v>
      </c>
      <c r="B11" s="2">
        <f t="shared" si="0"/>
        <v>10</v>
      </c>
      <c r="C11" s="16">
        <v>12</v>
      </c>
      <c r="D11" s="2">
        <v>2024</v>
      </c>
      <c r="E11" s="9">
        <f>Submetering!E11+Submetering!F11+Submetering!G11</f>
        <v>15105</v>
      </c>
      <c r="F11" s="17">
        <v>0.2</v>
      </c>
      <c r="G11" s="9">
        <f>'Dec 2024'!T14</f>
        <v>36.9495</v>
      </c>
      <c r="H11" s="18">
        <v>16.760000000000002</v>
      </c>
      <c r="I11" s="9">
        <f>Submetering!H11</f>
        <v>103</v>
      </c>
      <c r="J11" s="17">
        <v>7.84</v>
      </c>
      <c r="K11" s="19">
        <f>'Dec 2024'!X14</f>
        <v>5971.2450000000008</v>
      </c>
      <c r="L11" s="169">
        <v>0.34489999999999998</v>
      </c>
      <c r="M11" s="9">
        <f>Submetering!N11</f>
        <v>304.00649999999996</v>
      </c>
      <c r="N11" s="2">
        <f>Submetering!O11</f>
        <v>378</v>
      </c>
      <c r="O11" s="15"/>
    </row>
    <row r="12" spans="1:15" x14ac:dyDescent="0.25">
      <c r="A12" s="26" t="s">
        <v>81</v>
      </c>
      <c r="B12" s="2">
        <f t="shared" si="0"/>
        <v>11</v>
      </c>
      <c r="C12" s="16">
        <v>12</v>
      </c>
      <c r="D12" s="2">
        <v>2024</v>
      </c>
      <c r="E12" s="9">
        <f>Submetering!E12+Submetering!F12+Submetering!G12</f>
        <v>15173</v>
      </c>
      <c r="F12" s="17">
        <v>0.2</v>
      </c>
      <c r="G12" s="9">
        <f>'Dec 2024'!T15</f>
        <v>33.782400000000003</v>
      </c>
      <c r="H12" s="18">
        <v>16.760000000000002</v>
      </c>
      <c r="I12" s="9">
        <f>Submetering!H12</f>
        <v>106</v>
      </c>
      <c r="J12" s="17">
        <v>7.84</v>
      </c>
      <c r="K12" s="19">
        <f>'Dec 2024'!X15</f>
        <v>6255.59</v>
      </c>
      <c r="L12" s="169">
        <v>0.34489999999999998</v>
      </c>
      <c r="M12" s="9">
        <f>Submetering!N12</f>
        <v>306.99900000000002</v>
      </c>
      <c r="N12" s="2">
        <f>Submetering!O12</f>
        <v>408</v>
      </c>
      <c r="O12" s="15"/>
    </row>
    <row r="13" spans="1:15" x14ac:dyDescent="0.25">
      <c r="A13" s="26" t="s">
        <v>81</v>
      </c>
      <c r="B13" s="2">
        <f t="shared" si="0"/>
        <v>12</v>
      </c>
      <c r="C13" s="16">
        <v>12</v>
      </c>
      <c r="D13" s="2">
        <v>2024</v>
      </c>
      <c r="E13" s="9">
        <f>Submetering!E13+Submetering!F13+Submetering!G13</f>
        <v>15409</v>
      </c>
      <c r="F13" s="17">
        <v>0.2</v>
      </c>
      <c r="G13" s="9">
        <f>'Dec 2024'!T16</f>
        <v>34.838100000000004</v>
      </c>
      <c r="H13" s="18">
        <v>16.760000000000002</v>
      </c>
      <c r="I13" s="9">
        <f>Submetering!H13</f>
        <v>94</v>
      </c>
      <c r="J13" s="17">
        <v>7.84</v>
      </c>
      <c r="K13" s="19">
        <f>'Dec 2024'!X16</f>
        <v>5402.5550000000003</v>
      </c>
      <c r="L13" s="169">
        <v>0.34489999999999998</v>
      </c>
      <c r="M13" s="9">
        <f>Submetering!N13</f>
        <v>258.99299999999999</v>
      </c>
      <c r="N13" s="2">
        <f>Submetering!O13</f>
        <v>366</v>
      </c>
      <c r="O13" s="15"/>
    </row>
    <row r="14" spans="1:15" x14ac:dyDescent="0.25">
      <c r="A14" s="26" t="s">
        <v>81</v>
      </c>
      <c r="B14" s="2">
        <f t="shared" si="0"/>
        <v>13</v>
      </c>
      <c r="C14" s="16">
        <v>12</v>
      </c>
      <c r="D14" s="2">
        <v>2024</v>
      </c>
      <c r="E14" s="9">
        <f>Submetering!E14+Submetering!F14+Submetering!G14</f>
        <v>15672</v>
      </c>
      <c r="F14" s="17">
        <v>0.2</v>
      </c>
      <c r="G14" s="9">
        <f>'Dec 2024'!T17</f>
        <v>35.893800000000006</v>
      </c>
      <c r="H14" s="18">
        <v>16.760000000000002</v>
      </c>
      <c r="I14" s="9">
        <f>Submetering!H14</f>
        <v>108</v>
      </c>
      <c r="J14" s="17">
        <v>7.84</v>
      </c>
      <c r="K14" s="19">
        <f>'Dec 2024'!X17</f>
        <v>6539.9350000000004</v>
      </c>
      <c r="L14" s="169">
        <v>0.34489999999999998</v>
      </c>
      <c r="M14" s="9">
        <f>Submetering!N14</f>
        <v>266.99400000000003</v>
      </c>
      <c r="N14" s="2">
        <f>Submetering!O14</f>
        <v>416</v>
      </c>
      <c r="O14" s="15"/>
    </row>
    <row r="15" spans="1:15" x14ac:dyDescent="0.25">
      <c r="A15" s="26" t="s">
        <v>81</v>
      </c>
      <c r="B15" s="2">
        <f t="shared" si="0"/>
        <v>14</v>
      </c>
      <c r="C15" s="16">
        <v>12</v>
      </c>
      <c r="D15" s="2">
        <v>2024</v>
      </c>
      <c r="E15" s="9">
        <f>Submetering!E15+Submetering!F15+Submetering!G15</f>
        <v>15629</v>
      </c>
      <c r="F15" s="17">
        <v>0.2</v>
      </c>
      <c r="G15" s="9">
        <f>'Dec 2024'!T18</f>
        <v>31.671000000000003</v>
      </c>
      <c r="H15" s="18">
        <v>16.760000000000002</v>
      </c>
      <c r="I15" s="9">
        <f>Submetering!H15</f>
        <v>132</v>
      </c>
      <c r="J15" s="17">
        <v>7.84</v>
      </c>
      <c r="K15" s="19">
        <f>'Dec 2024'!X18</f>
        <v>5686.9000000000005</v>
      </c>
      <c r="L15" s="169">
        <v>0.34489999999999998</v>
      </c>
      <c r="M15" s="9">
        <f>Submetering!N15</f>
        <v>256.00049999999999</v>
      </c>
      <c r="N15" s="2">
        <f>Submetering!O15</f>
        <v>407</v>
      </c>
      <c r="O15" s="15"/>
    </row>
    <row r="16" spans="1:15" x14ac:dyDescent="0.25">
      <c r="A16" s="26" t="s">
        <v>81</v>
      </c>
      <c r="B16" s="2">
        <f t="shared" si="0"/>
        <v>15</v>
      </c>
      <c r="C16" s="16">
        <v>12</v>
      </c>
      <c r="D16" s="2">
        <v>2024</v>
      </c>
      <c r="E16" s="9">
        <f>Submetering!E16+Submetering!F16+Submetering!G16</f>
        <v>16006</v>
      </c>
      <c r="F16" s="17">
        <v>0.2</v>
      </c>
      <c r="G16" s="9">
        <f>'Dec 2024'!T19</f>
        <v>33.782400000000003</v>
      </c>
      <c r="H16" s="18">
        <v>16.760000000000002</v>
      </c>
      <c r="I16" s="9">
        <f>Submetering!H16</f>
        <v>106</v>
      </c>
      <c r="J16" s="17">
        <v>7.84</v>
      </c>
      <c r="K16" s="19">
        <f>'Dec 2024'!X19</f>
        <v>5402.5550000000003</v>
      </c>
      <c r="L16" s="169">
        <v>0.34489999999999998</v>
      </c>
      <c r="M16" s="9">
        <f>Submetering!N16</f>
        <v>280.00350000000003</v>
      </c>
      <c r="N16" s="2">
        <f>Submetering!O16</f>
        <v>438</v>
      </c>
      <c r="O16" s="15"/>
    </row>
    <row r="17" spans="1:15" x14ac:dyDescent="0.25">
      <c r="A17" s="26" t="s">
        <v>81</v>
      </c>
      <c r="B17" s="2">
        <f t="shared" si="0"/>
        <v>16</v>
      </c>
      <c r="C17" s="16">
        <v>12</v>
      </c>
      <c r="D17" s="2">
        <v>2024</v>
      </c>
      <c r="E17" s="9">
        <f>Submetering!E17+Submetering!F17+Submetering!G17</f>
        <v>15762</v>
      </c>
      <c r="F17" s="17">
        <v>0.2</v>
      </c>
      <c r="G17" s="9">
        <f>'Dec 2024'!T20</f>
        <v>31.671000000000003</v>
      </c>
      <c r="H17" s="18">
        <v>16.760000000000002</v>
      </c>
      <c r="I17" s="9">
        <f>Submetering!H17</f>
        <v>112</v>
      </c>
      <c r="J17" s="17">
        <v>7.84</v>
      </c>
      <c r="K17" s="19">
        <f>'Dec 2024'!X20</f>
        <v>5118.2100000000009</v>
      </c>
      <c r="L17" s="169">
        <v>0.34489999999999998</v>
      </c>
      <c r="M17" s="9">
        <f>Submetering!N17</f>
        <v>297.99</v>
      </c>
      <c r="N17" s="2">
        <f>Submetering!O17</f>
        <v>501</v>
      </c>
      <c r="O17" s="15"/>
    </row>
    <row r="18" spans="1:15" x14ac:dyDescent="0.25">
      <c r="A18" s="26" t="s">
        <v>81</v>
      </c>
      <c r="B18" s="2">
        <f t="shared" si="0"/>
        <v>17</v>
      </c>
      <c r="C18" s="16">
        <v>12</v>
      </c>
      <c r="D18" s="2">
        <v>2024</v>
      </c>
      <c r="E18" s="9">
        <f>Submetering!E18+Submetering!F18+Submetering!G18</f>
        <v>15794</v>
      </c>
      <c r="F18" s="17">
        <v>0.2</v>
      </c>
      <c r="G18" s="9">
        <f>'Dec 2024'!T21</f>
        <v>35.893800000000006</v>
      </c>
      <c r="H18" s="18">
        <v>16.760000000000002</v>
      </c>
      <c r="I18" s="9">
        <f>Submetering!H18</f>
        <v>118</v>
      </c>
      <c r="J18" s="17">
        <v>7.84</v>
      </c>
      <c r="K18" s="19">
        <f>'Dec 2024'!X21</f>
        <v>5118.2100000000009</v>
      </c>
      <c r="L18" s="169">
        <v>0.34489999999999998</v>
      </c>
      <c r="M18" s="9">
        <f>Submetering!N18</f>
        <v>310.99950000000001</v>
      </c>
      <c r="N18" s="2">
        <f>Submetering!O18</f>
        <v>495</v>
      </c>
      <c r="O18" s="15"/>
    </row>
    <row r="19" spans="1:15" x14ac:dyDescent="0.25">
      <c r="A19" s="26" t="s">
        <v>81</v>
      </c>
      <c r="B19" s="2">
        <f t="shared" si="0"/>
        <v>18</v>
      </c>
      <c r="C19" s="16">
        <v>12</v>
      </c>
      <c r="D19" s="2">
        <v>2024</v>
      </c>
      <c r="E19" s="9">
        <f>Submetering!E19+Submetering!F19+Submetering!G19</f>
        <v>16180</v>
      </c>
      <c r="F19" s="17">
        <v>0.2</v>
      </c>
      <c r="G19" s="9">
        <f>'Dec 2024'!T22</f>
        <v>30.615300000000001</v>
      </c>
      <c r="H19" s="18">
        <v>16.760000000000002</v>
      </c>
      <c r="I19" s="9">
        <f>Submetering!H19</f>
        <v>103</v>
      </c>
      <c r="J19" s="17">
        <v>7.84</v>
      </c>
      <c r="K19" s="19">
        <f>'Dec 2024'!X22</f>
        <v>5118.2100000000009</v>
      </c>
      <c r="L19" s="169">
        <v>0.34489999999999998</v>
      </c>
      <c r="M19" s="9">
        <f>Submetering!N19</f>
        <v>315</v>
      </c>
      <c r="N19" s="2">
        <f>Submetering!O19</f>
        <v>506</v>
      </c>
      <c r="O19" s="15"/>
    </row>
    <row r="20" spans="1:15" x14ac:dyDescent="0.25">
      <c r="A20" s="26" t="s">
        <v>81</v>
      </c>
      <c r="B20" s="2">
        <f t="shared" si="0"/>
        <v>19</v>
      </c>
      <c r="C20" s="16">
        <v>12</v>
      </c>
      <c r="D20" s="2">
        <v>2024</v>
      </c>
      <c r="E20" s="9">
        <f>Submetering!E20+Submetering!F20+Submetering!G20</f>
        <v>15991</v>
      </c>
      <c r="F20" s="17">
        <v>0.2</v>
      </c>
      <c r="G20" s="9">
        <f>'Dec 2024'!T23</f>
        <v>34.838100000000004</v>
      </c>
      <c r="H20" s="18">
        <v>16.760000000000002</v>
      </c>
      <c r="I20" s="9">
        <f>Submetering!H20</f>
        <v>123</v>
      </c>
      <c r="J20" s="17">
        <v>7.84</v>
      </c>
      <c r="K20" s="19">
        <f>'Dec 2024'!X23</f>
        <v>5118.2100000000009</v>
      </c>
      <c r="L20" s="169">
        <v>0.34489999999999998</v>
      </c>
      <c r="M20" s="9">
        <f>Submetering!N20</f>
        <v>293.01300000000003</v>
      </c>
      <c r="N20" s="2">
        <f>Submetering!O20</f>
        <v>474</v>
      </c>
      <c r="O20" s="15"/>
    </row>
    <row r="21" spans="1:15" x14ac:dyDescent="0.25">
      <c r="A21" s="26" t="s">
        <v>81</v>
      </c>
      <c r="B21" s="2">
        <f t="shared" si="0"/>
        <v>20</v>
      </c>
      <c r="C21" s="16">
        <v>12</v>
      </c>
      <c r="D21" s="2">
        <v>2024</v>
      </c>
      <c r="E21" s="9">
        <f>Submetering!E21+Submetering!F21+Submetering!G21</f>
        <v>15783</v>
      </c>
      <c r="F21" s="17">
        <v>0.2</v>
      </c>
      <c r="G21" s="9">
        <f>'Dec 2024'!T24</f>
        <v>32.726700000000001</v>
      </c>
      <c r="H21" s="18">
        <v>16.760000000000002</v>
      </c>
      <c r="I21" s="9">
        <f>Submetering!H21</f>
        <v>119</v>
      </c>
      <c r="J21" s="17">
        <v>7.84</v>
      </c>
      <c r="K21" s="19">
        <f>'Dec 2024'!X24</f>
        <v>5402.5550000000003</v>
      </c>
      <c r="L21" s="169">
        <v>0.34489999999999998</v>
      </c>
      <c r="M21" s="9">
        <f>Submetering!N21</f>
        <v>273.98700000000002</v>
      </c>
      <c r="N21" s="2">
        <f>Submetering!O21</f>
        <v>464</v>
      </c>
      <c r="O21" s="15"/>
    </row>
    <row r="22" spans="1:15" x14ac:dyDescent="0.25">
      <c r="A22" s="26" t="s">
        <v>81</v>
      </c>
      <c r="B22" s="2">
        <f t="shared" si="0"/>
        <v>21</v>
      </c>
      <c r="C22" s="16">
        <v>12</v>
      </c>
      <c r="D22" s="2">
        <v>2024</v>
      </c>
      <c r="E22" s="9">
        <f>Submetering!E22+Submetering!F22+Submetering!G22</f>
        <v>15663</v>
      </c>
      <c r="F22" s="17">
        <v>0.2</v>
      </c>
      <c r="G22" s="9">
        <f>'Dec 2024'!T25</f>
        <v>29.559600000000003</v>
      </c>
      <c r="H22" s="18">
        <v>16.760000000000002</v>
      </c>
      <c r="I22" s="9">
        <f>Submetering!H22</f>
        <v>103</v>
      </c>
      <c r="J22" s="17">
        <v>7.84</v>
      </c>
      <c r="K22" s="19">
        <f>'Dec 2024'!X25</f>
        <v>5402.5550000000003</v>
      </c>
      <c r="L22" s="169">
        <v>0.34489999999999998</v>
      </c>
      <c r="M22" s="9">
        <f>Submetering!N22</f>
        <v>191.92949999999999</v>
      </c>
      <c r="N22" s="2">
        <f>Submetering!O22</f>
        <v>313</v>
      </c>
      <c r="O22" s="15"/>
    </row>
    <row r="23" spans="1:15" x14ac:dyDescent="0.25">
      <c r="A23" s="26" t="s">
        <v>81</v>
      </c>
      <c r="B23" s="2">
        <f t="shared" si="0"/>
        <v>22</v>
      </c>
      <c r="C23" s="16">
        <v>12</v>
      </c>
      <c r="D23" s="2">
        <v>2024</v>
      </c>
      <c r="E23" s="9">
        <f>Submetering!E23+Submetering!F23+Submetering!G23</f>
        <v>15805</v>
      </c>
      <c r="F23" s="17">
        <v>0.2</v>
      </c>
      <c r="G23" s="9">
        <f>'Dec 2024'!T26</f>
        <v>31.671000000000003</v>
      </c>
      <c r="H23" s="18">
        <v>16.760000000000002</v>
      </c>
      <c r="I23" s="9">
        <f>Submetering!H23</f>
        <v>76</v>
      </c>
      <c r="J23" s="17">
        <v>7.84</v>
      </c>
      <c r="K23" s="19">
        <f>'Dec 2024'!X26</f>
        <v>4833.8650000000007</v>
      </c>
      <c r="L23" s="169">
        <v>0.34489999999999998</v>
      </c>
      <c r="M23" s="9">
        <f>Submetering!N23</f>
        <v>143.01</v>
      </c>
      <c r="N23" s="2">
        <f>Submetering!O23</f>
        <v>196</v>
      </c>
      <c r="O23" s="15"/>
    </row>
    <row r="24" spans="1:15" x14ac:dyDescent="0.25">
      <c r="A24" s="26" t="s">
        <v>81</v>
      </c>
      <c r="B24" s="2">
        <f t="shared" si="0"/>
        <v>23</v>
      </c>
      <c r="C24" s="16">
        <v>12</v>
      </c>
      <c r="D24" s="2">
        <v>2024</v>
      </c>
      <c r="E24" s="9">
        <f>Submetering!E24+Submetering!F24+Submetering!G24</f>
        <v>15571</v>
      </c>
      <c r="F24" s="17">
        <v>0.2</v>
      </c>
      <c r="G24" s="9">
        <f>'Dec 2024'!T27</f>
        <v>30.615300000000001</v>
      </c>
      <c r="H24" s="18">
        <v>16.760000000000002</v>
      </c>
      <c r="I24" s="9">
        <f>Submetering!H24</f>
        <v>123</v>
      </c>
      <c r="J24" s="17">
        <v>7.84</v>
      </c>
      <c r="K24" s="19">
        <f>'Dec 2024'!X27</f>
        <v>4549.5200000000004</v>
      </c>
      <c r="L24" s="169">
        <v>0.34489999999999998</v>
      </c>
      <c r="M24" s="9">
        <f>Submetering!N24</f>
        <v>202.0095</v>
      </c>
      <c r="N24" s="2">
        <f>Submetering!O24</f>
        <v>286</v>
      </c>
      <c r="O24" s="15"/>
    </row>
    <row r="25" spans="1:15" x14ac:dyDescent="0.25">
      <c r="A25" s="26" t="s">
        <v>81</v>
      </c>
      <c r="B25" s="2">
        <f t="shared" si="0"/>
        <v>24</v>
      </c>
      <c r="C25" s="16">
        <v>12</v>
      </c>
      <c r="D25" s="2">
        <v>2024</v>
      </c>
      <c r="E25" s="9">
        <f>Submetering!E25+Submetering!F25+Submetering!G25</f>
        <v>15456</v>
      </c>
      <c r="F25" s="17">
        <v>0.2</v>
      </c>
      <c r="G25" s="9">
        <f>'Dec 2024'!T28</f>
        <v>30.615300000000001</v>
      </c>
      <c r="H25" s="18">
        <v>16.760000000000002</v>
      </c>
      <c r="I25" s="9">
        <f>Submetering!H25</f>
        <v>116</v>
      </c>
      <c r="J25" s="17">
        <v>7.84</v>
      </c>
      <c r="K25" s="19">
        <f>'Dec 2024'!X28</f>
        <v>5402.5550000000003</v>
      </c>
      <c r="L25" s="169">
        <v>0.34489999999999998</v>
      </c>
      <c r="M25" s="9">
        <f>Submetering!N25</f>
        <v>262.99349999999998</v>
      </c>
      <c r="N25" s="2">
        <f>Submetering!O25</f>
        <v>384</v>
      </c>
      <c r="O25" s="15"/>
    </row>
    <row r="26" spans="1:15" x14ac:dyDescent="0.25">
      <c r="A26" s="26" t="s">
        <v>81</v>
      </c>
      <c r="B26" s="2">
        <f t="shared" si="0"/>
        <v>25</v>
      </c>
      <c r="C26" s="16">
        <v>12</v>
      </c>
      <c r="D26" s="2">
        <v>2024</v>
      </c>
      <c r="E26" s="9">
        <f>Submetering!E26+Submetering!F26+Submetering!G26</f>
        <v>15809</v>
      </c>
      <c r="F26" s="17">
        <v>0.2</v>
      </c>
      <c r="G26" s="9">
        <f>'Dec 2024'!T29</f>
        <v>30.615300000000001</v>
      </c>
      <c r="H26" s="18">
        <v>16.760000000000002</v>
      </c>
      <c r="I26" s="9">
        <f>Submetering!H26</f>
        <v>98</v>
      </c>
      <c r="J26" s="17">
        <v>7.84</v>
      </c>
      <c r="K26" s="19">
        <f>'Dec 2024'!X29</f>
        <v>5402.5550000000003</v>
      </c>
      <c r="L26" s="169">
        <v>0.34489999999999998</v>
      </c>
      <c r="M26" s="9">
        <f>Submetering!N26</f>
        <v>285.98849999999999</v>
      </c>
      <c r="N26" s="2">
        <f>Submetering!O26</f>
        <v>435</v>
      </c>
      <c r="O26" s="15"/>
    </row>
    <row r="27" spans="1:15" x14ac:dyDescent="0.25">
      <c r="A27" s="26" t="s">
        <v>81</v>
      </c>
      <c r="B27" s="2">
        <f t="shared" si="0"/>
        <v>26</v>
      </c>
      <c r="C27" s="16">
        <v>12</v>
      </c>
      <c r="D27" s="2">
        <v>2024</v>
      </c>
      <c r="E27" s="9">
        <f>Submetering!E27+Submetering!F27+Submetering!G27</f>
        <v>15845</v>
      </c>
      <c r="F27" s="17">
        <v>0.2</v>
      </c>
      <c r="G27" s="9">
        <f>'Dec 2024'!T30</f>
        <v>28.503900000000002</v>
      </c>
      <c r="H27" s="18">
        <v>16.760000000000002</v>
      </c>
      <c r="I27" s="9">
        <f>Submetering!H27</f>
        <v>119</v>
      </c>
      <c r="J27" s="17">
        <v>7.84</v>
      </c>
      <c r="K27" s="19">
        <f>'Dec 2024'!X30</f>
        <v>5971.2450000000008</v>
      </c>
      <c r="L27" s="169">
        <v>0.34489999999999998</v>
      </c>
      <c r="M27" s="9">
        <f>Submetering!N27</f>
        <v>296.00549999999998</v>
      </c>
      <c r="N27" s="2">
        <f>Submetering!O27</f>
        <v>438</v>
      </c>
      <c r="O27" s="15"/>
    </row>
    <row r="28" spans="1:15" x14ac:dyDescent="0.25">
      <c r="A28" s="26" t="s">
        <v>81</v>
      </c>
      <c r="B28" s="2">
        <f t="shared" si="0"/>
        <v>27</v>
      </c>
      <c r="C28" s="16">
        <v>12</v>
      </c>
      <c r="D28" s="2">
        <v>2024</v>
      </c>
      <c r="E28" s="9">
        <f>Submetering!E28+Submetering!F28+Submetering!G28</f>
        <v>15520</v>
      </c>
      <c r="F28" s="17">
        <v>0.2</v>
      </c>
      <c r="G28" s="9">
        <f>'Dec 2024'!T31</f>
        <v>33.782400000000003</v>
      </c>
      <c r="H28" s="18">
        <v>16.760000000000002</v>
      </c>
      <c r="I28" s="9">
        <f>Submetering!H28</f>
        <v>109</v>
      </c>
      <c r="J28" s="17">
        <v>7.84</v>
      </c>
      <c r="K28" s="19">
        <f>'Dec 2024'!X31</f>
        <v>5686.9000000000005</v>
      </c>
      <c r="L28" s="169">
        <v>0.34489999999999998</v>
      </c>
      <c r="M28" s="9">
        <f>Submetering!N28</f>
        <v>294.9975</v>
      </c>
      <c r="N28" s="2">
        <f>Submetering!O28</f>
        <v>457</v>
      </c>
      <c r="O28" s="15"/>
    </row>
    <row r="29" spans="1:15" x14ac:dyDescent="0.25">
      <c r="A29" s="26" t="s">
        <v>81</v>
      </c>
      <c r="B29" s="2">
        <f t="shared" si="0"/>
        <v>28</v>
      </c>
      <c r="C29" s="16">
        <v>12</v>
      </c>
      <c r="D29" s="2">
        <v>2024</v>
      </c>
      <c r="E29" s="9">
        <f>Submetering!E29+Submetering!F29+Submetering!G29</f>
        <v>15044</v>
      </c>
      <c r="F29" s="17">
        <v>0.2</v>
      </c>
      <c r="G29" s="9">
        <f>'Dec 2024'!T32</f>
        <v>30.615300000000001</v>
      </c>
      <c r="H29" s="18">
        <v>16.760000000000002</v>
      </c>
      <c r="I29" s="9">
        <f>Submetering!H29</f>
        <v>118</v>
      </c>
      <c r="J29" s="17">
        <v>7.84</v>
      </c>
      <c r="K29" s="19">
        <f>'Dec 2024'!X32</f>
        <v>5402.5550000000003</v>
      </c>
      <c r="L29" s="169">
        <v>0.34489999999999998</v>
      </c>
      <c r="M29" s="9">
        <f>Submetering!N29</f>
        <v>285.98849999999999</v>
      </c>
      <c r="N29" s="2">
        <f>Submetering!O29</f>
        <v>434</v>
      </c>
      <c r="O29" s="15"/>
    </row>
    <row r="30" spans="1:15" x14ac:dyDescent="0.25">
      <c r="A30" s="26" t="s">
        <v>81</v>
      </c>
      <c r="B30" s="2">
        <f t="shared" si="0"/>
        <v>29</v>
      </c>
      <c r="C30" s="16">
        <v>12</v>
      </c>
      <c r="D30" s="2">
        <v>2024</v>
      </c>
      <c r="E30" s="9">
        <f>Submetering!E30+Submetering!F30+Submetering!G30</f>
        <v>15742</v>
      </c>
      <c r="F30" s="17">
        <v>0.2</v>
      </c>
      <c r="G30" s="9">
        <f>'Dec 2024'!T33</f>
        <v>32.726700000000001</v>
      </c>
      <c r="H30" s="18">
        <v>16.760000000000002</v>
      </c>
      <c r="I30" s="9">
        <f>Submetering!H30</f>
        <v>105</v>
      </c>
      <c r="J30" s="17">
        <v>7.84</v>
      </c>
      <c r="K30" s="19">
        <f>'Dec 2024'!X33</f>
        <v>5118.2100000000009</v>
      </c>
      <c r="L30" s="169">
        <v>0.34489999999999998</v>
      </c>
      <c r="M30" s="9">
        <f>Submetering!N30</f>
        <v>265.98599999999999</v>
      </c>
      <c r="N30" s="2">
        <f>Submetering!O30</f>
        <v>414</v>
      </c>
      <c r="O30" s="15"/>
    </row>
    <row r="31" spans="1:15" x14ac:dyDescent="0.25">
      <c r="A31" s="26" t="s">
        <v>81</v>
      </c>
      <c r="B31" s="2">
        <f t="shared" si="0"/>
        <v>30</v>
      </c>
      <c r="C31" s="16">
        <v>12</v>
      </c>
      <c r="D31" s="2">
        <v>2024</v>
      </c>
      <c r="E31" s="9">
        <f>Submetering!E31+Submetering!F31+Submetering!G31</f>
        <v>15040</v>
      </c>
      <c r="F31" s="17">
        <v>0.2</v>
      </c>
      <c r="G31" s="9">
        <f>'Dec 2024'!T34</f>
        <v>30.615300000000001</v>
      </c>
      <c r="H31" s="18">
        <v>16.760000000000002</v>
      </c>
      <c r="I31" s="9">
        <f>Submetering!H31</f>
        <v>107</v>
      </c>
      <c r="J31" s="17">
        <v>7.84</v>
      </c>
      <c r="K31" s="19">
        <f>'Dec 2024'!X34</f>
        <v>5686.9000000000005</v>
      </c>
      <c r="L31" s="169">
        <v>0.34489999999999998</v>
      </c>
      <c r="M31" s="9">
        <f>Submetering!N31</f>
        <v>249.00749999999999</v>
      </c>
      <c r="N31" s="2">
        <f>Submetering!O31</f>
        <v>377</v>
      </c>
      <c r="O31" s="15"/>
    </row>
    <row r="32" spans="1:15" x14ac:dyDescent="0.25">
      <c r="A32" s="26" t="s">
        <v>81</v>
      </c>
      <c r="B32" s="2">
        <f t="shared" si="0"/>
        <v>31</v>
      </c>
      <c r="C32" s="16">
        <v>12</v>
      </c>
      <c r="D32" s="2">
        <v>2024</v>
      </c>
      <c r="E32" s="9">
        <f>Submetering!E32+Submetering!F32+Submetering!G32</f>
        <v>14926</v>
      </c>
      <c r="F32" s="17">
        <v>0.2</v>
      </c>
      <c r="G32" s="9">
        <f>'Dec 2024'!T35</f>
        <v>32.726700000000001</v>
      </c>
      <c r="H32" s="18">
        <v>16.760000000000002</v>
      </c>
      <c r="I32" s="9">
        <f>Submetering!H32</f>
        <v>106</v>
      </c>
      <c r="J32" s="17">
        <v>7.84</v>
      </c>
      <c r="K32" s="19">
        <f>'Dec 2024'!X35</f>
        <v>6539.9350000000004</v>
      </c>
      <c r="L32" s="169">
        <v>0.34489999999999998</v>
      </c>
      <c r="M32" s="9">
        <f>Submetering!N32</f>
        <v>250.01549999999997</v>
      </c>
      <c r="N32" s="2">
        <f>Submetering!O32</f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L22" sqref="L2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71</v>
      </c>
      <c r="B1" s="15" t="s">
        <v>72</v>
      </c>
      <c r="C1" s="21" t="s">
        <v>73</v>
      </c>
      <c r="D1" s="15" t="s">
        <v>74</v>
      </c>
      <c r="E1" s="22" t="s">
        <v>82</v>
      </c>
      <c r="F1" s="23" t="s">
        <v>83</v>
      </c>
      <c r="G1" s="22" t="s">
        <v>84</v>
      </c>
      <c r="H1" s="22" t="s">
        <v>85</v>
      </c>
      <c r="I1" s="23" t="s">
        <v>86</v>
      </c>
      <c r="J1" s="23" t="s">
        <v>87</v>
      </c>
      <c r="K1" s="24" t="s">
        <v>2</v>
      </c>
      <c r="L1" s="24" t="s">
        <v>88</v>
      </c>
      <c r="M1" s="22" t="s">
        <v>89</v>
      </c>
      <c r="N1" s="24" t="s">
        <v>79</v>
      </c>
      <c r="O1" s="22" t="s">
        <v>80</v>
      </c>
    </row>
    <row r="2" spans="1:15" x14ac:dyDescent="0.25">
      <c r="A2" s="26" t="s">
        <v>81</v>
      </c>
      <c r="B2" s="2">
        <v>1</v>
      </c>
      <c r="C2" s="16">
        <v>12</v>
      </c>
      <c r="D2" s="2">
        <v>2024</v>
      </c>
      <c r="E2" s="9">
        <f>'Dec 2024'!C5</f>
        <v>7715</v>
      </c>
      <c r="F2" s="9">
        <f>'Dec 2024'!E5</f>
        <v>7506</v>
      </c>
      <c r="G2" s="9">
        <f>'Dec 2024'!G5</f>
        <v>139</v>
      </c>
      <c r="H2" s="9">
        <f>'Dec 2024'!K5</f>
        <v>112</v>
      </c>
      <c r="I2" s="9">
        <f>'Dec 2024'!N5</f>
        <v>19</v>
      </c>
      <c r="J2" s="9">
        <f>'Dec 2024'!P5</f>
        <v>13</v>
      </c>
      <c r="K2" s="9">
        <f>'Dec 2024'!X5</f>
        <v>6539.9350000000004</v>
      </c>
      <c r="L2" s="9">
        <f>'Dec 2024'!AC5</f>
        <v>6825</v>
      </c>
      <c r="M2" s="9">
        <f>'Dec 2024'!AS5</f>
        <v>10</v>
      </c>
      <c r="N2" s="9">
        <f>'Dec 2024'!AE5*315</f>
        <v>265.98599999999999</v>
      </c>
      <c r="O2" s="139">
        <f>'Dec 2024'!AF5</f>
        <v>431</v>
      </c>
    </row>
    <row r="3" spans="1:15" x14ac:dyDescent="0.25">
      <c r="A3" s="26" t="s">
        <v>81</v>
      </c>
      <c r="B3" s="2">
        <f t="shared" ref="B3:B32" si="0">B2+1</f>
        <v>2</v>
      </c>
      <c r="C3" s="16">
        <v>12</v>
      </c>
      <c r="D3" s="2">
        <v>2024</v>
      </c>
      <c r="E3" s="9">
        <f>'Dec 2024'!C6</f>
        <v>7924</v>
      </c>
      <c r="F3" s="9">
        <f>'Dec 2024'!E6</f>
        <v>7682</v>
      </c>
      <c r="G3" s="9">
        <f>'Dec 2024'!G6</f>
        <v>145</v>
      </c>
      <c r="H3" s="9">
        <f>'Dec 2024'!K6</f>
        <v>103</v>
      </c>
      <c r="I3" s="9">
        <f>'Dec 2024'!N6</f>
        <v>19</v>
      </c>
      <c r="J3" s="9">
        <f>'Dec 2024'!P6</f>
        <v>15</v>
      </c>
      <c r="K3" s="9">
        <f>'Dec 2024'!X6</f>
        <v>5971.2450000000008</v>
      </c>
      <c r="L3" s="9">
        <f>'Dec 2024'!AC6</f>
        <v>6476</v>
      </c>
      <c r="M3" s="9">
        <f>'Dec 2024'!AS6</f>
        <v>9</v>
      </c>
      <c r="N3" s="9">
        <f>'Dec 2024'!AE6*315</f>
        <v>253.9845</v>
      </c>
      <c r="O3" s="139">
        <f>'Dec 2024'!AF6</f>
        <v>348</v>
      </c>
    </row>
    <row r="4" spans="1:15" x14ac:dyDescent="0.25">
      <c r="A4" s="26" t="s">
        <v>81</v>
      </c>
      <c r="B4" s="2">
        <f t="shared" si="0"/>
        <v>3</v>
      </c>
      <c r="C4" s="16">
        <v>12</v>
      </c>
      <c r="D4" s="2">
        <v>2024</v>
      </c>
      <c r="E4" s="9">
        <f>'Dec 2024'!C7</f>
        <v>7738</v>
      </c>
      <c r="F4" s="9">
        <f>'Dec 2024'!E7</f>
        <v>7427</v>
      </c>
      <c r="G4" s="9">
        <f>'Dec 2024'!G7</f>
        <v>146</v>
      </c>
      <c r="H4" s="9">
        <f>'Dec 2024'!K7</f>
        <v>98</v>
      </c>
      <c r="I4" s="9">
        <f>'Dec 2024'!N7</f>
        <v>20</v>
      </c>
      <c r="J4" s="9">
        <f>'Dec 2024'!P7</f>
        <v>13</v>
      </c>
      <c r="K4" s="9">
        <f>'Dec 2024'!X7</f>
        <v>5971.2450000000008</v>
      </c>
      <c r="L4" s="9">
        <f>'Dec 2024'!AC7</f>
        <v>6411</v>
      </c>
      <c r="M4" s="9">
        <f>'Dec 2024'!AS7</f>
        <v>6</v>
      </c>
      <c r="N4" s="9">
        <f>'Dec 2024'!AE7*315</f>
        <v>264.00149999999996</v>
      </c>
      <c r="O4" s="139">
        <f>'Dec 2024'!AF7</f>
        <v>329</v>
      </c>
    </row>
    <row r="5" spans="1:15" x14ac:dyDescent="0.25">
      <c r="A5" s="26" t="s">
        <v>81</v>
      </c>
      <c r="B5" s="2">
        <f t="shared" si="0"/>
        <v>4</v>
      </c>
      <c r="C5" s="16">
        <v>12</v>
      </c>
      <c r="D5" s="2">
        <v>2024</v>
      </c>
      <c r="E5" s="9">
        <f>'Dec 2024'!C8</f>
        <v>7784</v>
      </c>
      <c r="F5" s="9">
        <f>'Dec 2024'!E8</f>
        <v>6966</v>
      </c>
      <c r="G5" s="9">
        <f>'Dec 2024'!G8</f>
        <v>143</v>
      </c>
      <c r="H5" s="9">
        <f>'Dec 2024'!K8</f>
        <v>95</v>
      </c>
      <c r="I5" s="9">
        <f>'Dec 2024'!N8</f>
        <v>21</v>
      </c>
      <c r="J5" s="9">
        <f>'Dec 2024'!P8</f>
        <v>12</v>
      </c>
      <c r="K5" s="9">
        <f>'Dec 2024'!X8</f>
        <v>5971.2450000000008</v>
      </c>
      <c r="L5" s="9">
        <f>'Dec 2024'!AC8</f>
        <v>6535</v>
      </c>
      <c r="M5" s="9">
        <f>'Dec 2024'!AS8</f>
        <v>5</v>
      </c>
      <c r="N5" s="9">
        <f>'Dec 2024'!AE8*315</f>
        <v>281.01150000000001</v>
      </c>
      <c r="O5" s="139">
        <f>'Dec 2024'!AF8</f>
        <v>331</v>
      </c>
    </row>
    <row r="6" spans="1:15" x14ac:dyDescent="0.25">
      <c r="A6" s="26" t="s">
        <v>81</v>
      </c>
      <c r="B6" s="2">
        <f t="shared" si="0"/>
        <v>5</v>
      </c>
      <c r="C6" s="16">
        <v>12</v>
      </c>
      <c r="D6" s="2">
        <v>2024</v>
      </c>
      <c r="E6" s="9">
        <f>'Dec 2024'!C9</f>
        <v>7779</v>
      </c>
      <c r="F6" s="9">
        <f>'Dec 2024'!E9</f>
        <v>7173</v>
      </c>
      <c r="G6" s="9">
        <f>'Dec 2024'!G9</f>
        <v>137</v>
      </c>
      <c r="H6" s="9">
        <f>'Dec 2024'!K9</f>
        <v>103</v>
      </c>
      <c r="I6" s="9">
        <f>'Dec 2024'!N9</f>
        <v>20</v>
      </c>
      <c r="J6" s="9">
        <f>'Dec 2024'!P9</f>
        <v>14</v>
      </c>
      <c r="K6" s="9">
        <f>'Dec 2024'!X9</f>
        <v>5971.2450000000008</v>
      </c>
      <c r="L6" s="9">
        <f>'Dec 2024'!AC9</f>
        <v>6908</v>
      </c>
      <c r="M6" s="9">
        <f>'Dec 2024'!AS9</f>
        <v>6</v>
      </c>
      <c r="N6" s="9">
        <f>'Dec 2024'!AE9*315</f>
        <v>306.99900000000002</v>
      </c>
      <c r="O6" s="139">
        <f>'Dec 2024'!AF9</f>
        <v>391</v>
      </c>
    </row>
    <row r="7" spans="1:15" x14ac:dyDescent="0.25">
      <c r="A7" s="26" t="s">
        <v>81</v>
      </c>
      <c r="B7" s="2">
        <f t="shared" si="0"/>
        <v>6</v>
      </c>
      <c r="C7" s="16">
        <v>12</v>
      </c>
      <c r="D7" s="2">
        <v>2024</v>
      </c>
      <c r="E7" s="9">
        <f>'Dec 2024'!C10</f>
        <v>7634</v>
      </c>
      <c r="F7" s="9">
        <f>'Dec 2024'!E10</f>
        <v>7306</v>
      </c>
      <c r="G7" s="9">
        <f>'Dec 2024'!G10</f>
        <v>132</v>
      </c>
      <c r="H7" s="9">
        <f>'Dec 2024'!K10</f>
        <v>88</v>
      </c>
      <c r="I7" s="9">
        <f>'Dec 2024'!N10</f>
        <v>22</v>
      </c>
      <c r="J7" s="9">
        <f>'Dec 2024'!P10</f>
        <v>12</v>
      </c>
      <c r="K7" s="9">
        <f>'Dec 2024'!X10</f>
        <v>6824.2800000000007</v>
      </c>
      <c r="L7" s="9">
        <f>'Dec 2024'!AC10</f>
        <v>7498</v>
      </c>
      <c r="M7" s="9">
        <f>'Dec 2024'!AS10</f>
        <v>6</v>
      </c>
      <c r="N7" s="9">
        <f>'Dec 2024'!AE10*315</f>
        <v>305.0145</v>
      </c>
      <c r="O7" s="139">
        <f>'Dec 2024'!AF10</f>
        <v>421</v>
      </c>
    </row>
    <row r="8" spans="1:15" x14ac:dyDescent="0.25">
      <c r="A8" s="26" t="s">
        <v>81</v>
      </c>
      <c r="B8" s="2">
        <f t="shared" si="0"/>
        <v>7</v>
      </c>
      <c r="C8" s="16">
        <v>12</v>
      </c>
      <c r="D8" s="2">
        <v>2024</v>
      </c>
      <c r="E8" s="9">
        <f>'Dec 2024'!C11</f>
        <v>7579</v>
      </c>
      <c r="F8" s="9">
        <f>'Dec 2024'!E11</f>
        <v>7213</v>
      </c>
      <c r="G8" s="9">
        <f>'Dec 2024'!G11</f>
        <v>133</v>
      </c>
      <c r="H8" s="9">
        <f>'Dec 2024'!K11</f>
        <v>106</v>
      </c>
      <c r="I8" s="9">
        <f>'Dec 2024'!N11</f>
        <v>21</v>
      </c>
      <c r="J8" s="9">
        <f>'Dec 2024'!P11</f>
        <v>13</v>
      </c>
      <c r="K8" s="9">
        <f>'Dec 2024'!X11</f>
        <v>6255.59</v>
      </c>
      <c r="L8" s="9">
        <f>'Dec 2024'!AC11</f>
        <v>7317</v>
      </c>
      <c r="M8" s="9">
        <f>'Dec 2024'!AS11</f>
        <v>4</v>
      </c>
      <c r="N8" s="9">
        <f>'Dec 2024'!AE11*315</f>
        <v>274.995</v>
      </c>
      <c r="O8" s="139">
        <f>'Dec 2024'!AF11</f>
        <v>378</v>
      </c>
    </row>
    <row r="9" spans="1:15" x14ac:dyDescent="0.25">
      <c r="A9" s="26" t="s">
        <v>81</v>
      </c>
      <c r="B9" s="2">
        <f t="shared" si="0"/>
        <v>8</v>
      </c>
      <c r="C9" s="16">
        <v>12</v>
      </c>
      <c r="D9" s="2">
        <v>2024</v>
      </c>
      <c r="E9" s="9">
        <f>'Dec 2024'!C12</f>
        <v>7868</v>
      </c>
      <c r="F9" s="9">
        <f>'Dec 2024'!E12</f>
        <v>7241</v>
      </c>
      <c r="G9" s="9">
        <f>'Dec 2024'!G12</f>
        <v>142</v>
      </c>
      <c r="H9" s="9">
        <f>'Dec 2024'!K12</f>
        <v>101</v>
      </c>
      <c r="I9" s="9">
        <f>'Dec 2024'!N12</f>
        <v>20</v>
      </c>
      <c r="J9" s="9">
        <f>'Dec 2024'!P12</f>
        <v>16</v>
      </c>
      <c r="K9" s="9">
        <f>'Dec 2024'!X12</f>
        <v>6824.2800000000007</v>
      </c>
      <c r="L9" s="9">
        <f>'Dec 2024'!AC12</f>
        <v>7088</v>
      </c>
      <c r="M9" s="9">
        <f>'Dec 2024'!AS12</f>
        <v>8</v>
      </c>
      <c r="N9" s="9">
        <f>'Dec 2024'!AE12*315</f>
        <v>315</v>
      </c>
      <c r="O9" s="139">
        <f>'Dec 2024'!AF12</f>
        <v>413</v>
      </c>
    </row>
    <row r="10" spans="1:15" x14ac:dyDescent="0.25">
      <c r="A10" s="26" t="s">
        <v>81</v>
      </c>
      <c r="B10" s="2">
        <f t="shared" si="0"/>
        <v>9</v>
      </c>
      <c r="C10" s="16">
        <v>12</v>
      </c>
      <c r="D10" s="2">
        <v>2024</v>
      </c>
      <c r="E10" s="9">
        <f>'Dec 2024'!C13</f>
        <v>7931</v>
      </c>
      <c r="F10" s="9">
        <f>'Dec 2024'!E13</f>
        <v>7415</v>
      </c>
      <c r="G10" s="9">
        <f>'Dec 2024'!G13</f>
        <v>148</v>
      </c>
      <c r="H10" s="9">
        <f>'Dec 2024'!K13</f>
        <v>112</v>
      </c>
      <c r="I10" s="9">
        <f>'Dec 2024'!N13</f>
        <v>21</v>
      </c>
      <c r="J10" s="9">
        <f>'Dec 2024'!P13</f>
        <v>15</v>
      </c>
      <c r="K10" s="9">
        <f>'Dec 2024'!X13</f>
        <v>5686.9000000000005</v>
      </c>
      <c r="L10" s="9">
        <f>'Dec 2024'!AC13</f>
        <v>6552</v>
      </c>
      <c r="M10" s="9">
        <f>'Dec 2024'!AS13</f>
        <v>8</v>
      </c>
      <c r="N10" s="9">
        <f>'Dec 2024'!AE13*315</f>
        <v>315</v>
      </c>
      <c r="O10" s="139">
        <f>'Dec 2024'!AF13</f>
        <v>384</v>
      </c>
    </row>
    <row r="11" spans="1:15" x14ac:dyDescent="0.25">
      <c r="A11" s="26" t="s">
        <v>81</v>
      </c>
      <c r="B11" s="2">
        <f t="shared" si="0"/>
        <v>10</v>
      </c>
      <c r="C11" s="16">
        <v>12</v>
      </c>
      <c r="D11" s="2">
        <v>2024</v>
      </c>
      <c r="E11" s="9">
        <f>'Dec 2024'!C14</f>
        <v>7786</v>
      </c>
      <c r="F11" s="9">
        <f>'Dec 2024'!E14</f>
        <v>7183</v>
      </c>
      <c r="G11" s="9">
        <f>'Dec 2024'!G14</f>
        <v>136</v>
      </c>
      <c r="H11" s="9">
        <f>'Dec 2024'!K14</f>
        <v>103</v>
      </c>
      <c r="I11" s="9">
        <f>'Dec 2024'!N14</f>
        <v>21</v>
      </c>
      <c r="J11" s="9">
        <f>'Dec 2024'!P14</f>
        <v>15</v>
      </c>
      <c r="K11" s="9">
        <f>'Dec 2024'!X14</f>
        <v>5971.2450000000008</v>
      </c>
      <c r="L11" s="9">
        <f>'Dec 2024'!AC14</f>
        <v>6880</v>
      </c>
      <c r="M11" s="9">
        <f>'Dec 2024'!AS14</f>
        <v>6</v>
      </c>
      <c r="N11" s="9">
        <f>'Dec 2024'!AE14*315</f>
        <v>304.00649999999996</v>
      </c>
      <c r="O11" s="139">
        <f>'Dec 2024'!AF14</f>
        <v>378</v>
      </c>
    </row>
    <row r="12" spans="1:15" x14ac:dyDescent="0.25">
      <c r="A12" s="26" t="s">
        <v>81</v>
      </c>
      <c r="B12" s="2">
        <f t="shared" si="0"/>
        <v>11</v>
      </c>
      <c r="C12" s="16">
        <v>12</v>
      </c>
      <c r="D12" s="2">
        <v>2024</v>
      </c>
      <c r="E12" s="9">
        <f>'Dec 2024'!C15</f>
        <v>7770</v>
      </c>
      <c r="F12" s="9">
        <f>'Dec 2024'!E15</f>
        <v>7267</v>
      </c>
      <c r="G12" s="9">
        <f>'Dec 2024'!G15</f>
        <v>136</v>
      </c>
      <c r="H12" s="9">
        <f>'Dec 2024'!K15</f>
        <v>106</v>
      </c>
      <c r="I12" s="9">
        <f>'Dec 2024'!N15</f>
        <v>21</v>
      </c>
      <c r="J12" s="9">
        <f>'Dec 2024'!P15</f>
        <v>13</v>
      </c>
      <c r="K12" s="9">
        <f>'Dec 2024'!X15</f>
        <v>6255.59</v>
      </c>
      <c r="L12" s="9">
        <f>'Dec 2024'!AC15</f>
        <v>6986</v>
      </c>
      <c r="M12" s="9">
        <f>'Dec 2024'!AS15</f>
        <v>8</v>
      </c>
      <c r="N12" s="9">
        <f>'Dec 2024'!AE15*315</f>
        <v>306.99900000000002</v>
      </c>
      <c r="O12" s="139">
        <f>'Dec 2024'!AF15</f>
        <v>408</v>
      </c>
    </row>
    <row r="13" spans="1:15" x14ac:dyDescent="0.25">
      <c r="A13" s="26" t="s">
        <v>81</v>
      </c>
      <c r="B13" s="2">
        <f t="shared" si="0"/>
        <v>12</v>
      </c>
      <c r="C13" s="16">
        <v>12</v>
      </c>
      <c r="D13" s="2">
        <v>2024</v>
      </c>
      <c r="E13" s="9">
        <f>'Dec 2024'!C16</f>
        <v>7794</v>
      </c>
      <c r="F13" s="9">
        <f>'Dec 2024'!E16</f>
        <v>7472</v>
      </c>
      <c r="G13" s="9">
        <f>'Dec 2024'!G16</f>
        <v>143</v>
      </c>
      <c r="H13" s="9">
        <f>'Dec 2024'!K16</f>
        <v>94</v>
      </c>
      <c r="I13" s="9">
        <f>'Dec 2024'!N16</f>
        <v>20</v>
      </c>
      <c r="J13" s="9">
        <f>'Dec 2024'!P16</f>
        <v>14</v>
      </c>
      <c r="K13" s="9">
        <f>'Dec 2024'!X16</f>
        <v>5402.5550000000003</v>
      </c>
      <c r="L13" s="9">
        <f>'Dec 2024'!AC16</f>
        <v>6592</v>
      </c>
      <c r="M13" s="9">
        <f>'Dec 2024'!AS16</f>
        <v>7</v>
      </c>
      <c r="N13" s="9">
        <f>'Dec 2024'!AE16*315</f>
        <v>258.99299999999999</v>
      </c>
      <c r="O13" s="139">
        <f>'Dec 2024'!AF16</f>
        <v>366</v>
      </c>
    </row>
    <row r="14" spans="1:15" x14ac:dyDescent="0.25">
      <c r="A14" s="26" t="s">
        <v>81</v>
      </c>
      <c r="B14" s="2">
        <f t="shared" si="0"/>
        <v>13</v>
      </c>
      <c r="C14" s="16">
        <v>12</v>
      </c>
      <c r="D14" s="2">
        <v>2024</v>
      </c>
      <c r="E14" s="9">
        <f>'Dec 2024'!C17</f>
        <v>7842</v>
      </c>
      <c r="F14" s="9">
        <f>'Dec 2024'!E17</f>
        <v>7690</v>
      </c>
      <c r="G14" s="9">
        <f>'Dec 2024'!G17</f>
        <v>140</v>
      </c>
      <c r="H14" s="9">
        <f>'Dec 2024'!K17</f>
        <v>108</v>
      </c>
      <c r="I14" s="9">
        <f>'Dec 2024'!N17</f>
        <v>20</v>
      </c>
      <c r="J14" s="9">
        <f>'Dec 2024'!P17</f>
        <v>14</v>
      </c>
      <c r="K14" s="9">
        <f>'Dec 2024'!X17</f>
        <v>6539.9350000000004</v>
      </c>
      <c r="L14" s="9">
        <f>'Dec 2024'!AC17</f>
        <v>7213</v>
      </c>
      <c r="M14" s="9">
        <f>'Dec 2024'!AS17</f>
        <v>9</v>
      </c>
      <c r="N14" s="9">
        <f>'Dec 2024'!AE17*315</f>
        <v>266.99400000000003</v>
      </c>
      <c r="O14" s="139">
        <f>'Dec 2024'!AF17</f>
        <v>416</v>
      </c>
    </row>
    <row r="15" spans="1:15" x14ac:dyDescent="0.25">
      <c r="A15" s="26" t="s">
        <v>81</v>
      </c>
      <c r="B15" s="2">
        <f t="shared" si="0"/>
        <v>14</v>
      </c>
      <c r="C15" s="16">
        <v>12</v>
      </c>
      <c r="D15" s="2">
        <v>2024</v>
      </c>
      <c r="E15" s="9">
        <f>'Dec 2024'!C18</f>
        <v>7965</v>
      </c>
      <c r="F15" s="9">
        <f>'Dec 2024'!E18</f>
        <v>7518</v>
      </c>
      <c r="G15" s="9">
        <f>'Dec 2024'!G18</f>
        <v>146</v>
      </c>
      <c r="H15" s="9">
        <f>'Dec 2024'!K18</f>
        <v>132</v>
      </c>
      <c r="I15" s="9">
        <f>'Dec 2024'!N18</f>
        <v>20</v>
      </c>
      <c r="J15" s="9">
        <f>'Dec 2024'!P18</f>
        <v>12</v>
      </c>
      <c r="K15" s="9">
        <f>'Dec 2024'!X18</f>
        <v>5686.9000000000005</v>
      </c>
      <c r="L15" s="9">
        <f>'Dec 2024'!AC18</f>
        <v>6466</v>
      </c>
      <c r="M15" s="9">
        <f>'Dec 2024'!AS18</f>
        <v>15</v>
      </c>
      <c r="N15" s="9">
        <f>'Dec 2024'!AE18*315</f>
        <v>256.00049999999999</v>
      </c>
      <c r="O15" s="139">
        <f>'Dec 2024'!AF18</f>
        <v>407</v>
      </c>
    </row>
    <row r="16" spans="1:15" x14ac:dyDescent="0.25">
      <c r="A16" s="26" t="s">
        <v>81</v>
      </c>
      <c r="B16" s="2">
        <f t="shared" si="0"/>
        <v>15</v>
      </c>
      <c r="C16" s="16">
        <v>12</v>
      </c>
      <c r="D16" s="2">
        <v>2024</v>
      </c>
      <c r="E16" s="9">
        <f>'Dec 2024'!C19</f>
        <v>8077</v>
      </c>
      <c r="F16" s="9">
        <f>'Dec 2024'!E19</f>
        <v>7790</v>
      </c>
      <c r="G16" s="9">
        <f>'Dec 2024'!G19</f>
        <v>139</v>
      </c>
      <c r="H16" s="9">
        <f>'Dec 2024'!K19</f>
        <v>106</v>
      </c>
      <c r="I16" s="9">
        <f>'Dec 2024'!N19</f>
        <v>18</v>
      </c>
      <c r="J16" s="9">
        <f>'Dec 2024'!P19</f>
        <v>14</v>
      </c>
      <c r="K16" s="9">
        <f>'Dec 2024'!X19</f>
        <v>5402.5550000000003</v>
      </c>
      <c r="L16" s="9">
        <f>'Dec 2024'!AC19</f>
        <v>5892</v>
      </c>
      <c r="M16" s="9">
        <f>'Dec 2024'!AS19</f>
        <v>12</v>
      </c>
      <c r="N16" s="9">
        <f>'Dec 2024'!AE19*315</f>
        <v>280.00350000000003</v>
      </c>
      <c r="O16" s="139">
        <f>'Dec 2024'!AF19</f>
        <v>438</v>
      </c>
    </row>
    <row r="17" spans="1:15" x14ac:dyDescent="0.25">
      <c r="A17" s="26" t="s">
        <v>81</v>
      </c>
      <c r="B17" s="2">
        <f t="shared" si="0"/>
        <v>16</v>
      </c>
      <c r="C17" s="16">
        <v>12</v>
      </c>
      <c r="D17" s="2">
        <v>2024</v>
      </c>
      <c r="E17" s="9">
        <f>'Dec 2024'!C20</f>
        <v>7879</v>
      </c>
      <c r="F17" s="9">
        <f>'Dec 2024'!E20</f>
        <v>7744</v>
      </c>
      <c r="G17" s="9">
        <f>'Dec 2024'!G20</f>
        <v>139</v>
      </c>
      <c r="H17" s="9">
        <f>'Dec 2024'!K20</f>
        <v>112</v>
      </c>
      <c r="I17" s="9">
        <f>'Dec 2024'!N20</f>
        <v>19</v>
      </c>
      <c r="J17" s="9">
        <f>'Dec 2024'!P20</f>
        <v>13</v>
      </c>
      <c r="K17" s="9">
        <f>'Dec 2024'!X20</f>
        <v>5118.2100000000009</v>
      </c>
      <c r="L17" s="9">
        <f>'Dec 2024'!AC20</f>
        <v>5593</v>
      </c>
      <c r="M17" s="9">
        <f>'Dec 2024'!AS20</f>
        <v>9</v>
      </c>
      <c r="N17" s="9">
        <f>'Dec 2024'!AE20*315</f>
        <v>297.99</v>
      </c>
      <c r="O17" s="139">
        <f>'Dec 2024'!AF20</f>
        <v>501</v>
      </c>
    </row>
    <row r="18" spans="1:15" x14ac:dyDescent="0.25">
      <c r="A18" s="26" t="s">
        <v>81</v>
      </c>
      <c r="B18" s="2">
        <f t="shared" si="0"/>
        <v>17</v>
      </c>
      <c r="C18" s="16">
        <v>12</v>
      </c>
      <c r="D18" s="2">
        <v>2024</v>
      </c>
      <c r="E18" s="9">
        <f>'Dec 2024'!C21</f>
        <v>7876</v>
      </c>
      <c r="F18" s="9">
        <f>'Dec 2024'!E21</f>
        <v>7776</v>
      </c>
      <c r="G18" s="9">
        <f>'Dec 2024'!G21</f>
        <v>142</v>
      </c>
      <c r="H18" s="9">
        <f>'Dec 2024'!K21</f>
        <v>118</v>
      </c>
      <c r="I18" s="9">
        <f>'Dec 2024'!N21</f>
        <v>20</v>
      </c>
      <c r="J18" s="9">
        <f>'Dec 2024'!P21</f>
        <v>15</v>
      </c>
      <c r="K18" s="9">
        <f>'Dec 2024'!X21</f>
        <v>5118.2100000000009</v>
      </c>
      <c r="L18" s="9">
        <f>'Dec 2024'!AC21</f>
        <v>5761</v>
      </c>
      <c r="M18" s="9">
        <f>'Dec 2024'!AS21</f>
        <v>7</v>
      </c>
      <c r="N18" s="9">
        <f>'Dec 2024'!AE21*315</f>
        <v>310.99950000000001</v>
      </c>
      <c r="O18" s="139">
        <f>'Dec 2024'!AF21</f>
        <v>495</v>
      </c>
    </row>
    <row r="19" spans="1:15" x14ac:dyDescent="0.25">
      <c r="A19" s="26" t="s">
        <v>81</v>
      </c>
      <c r="B19" s="2">
        <f t="shared" si="0"/>
        <v>18</v>
      </c>
      <c r="C19" s="16">
        <v>12</v>
      </c>
      <c r="D19" s="2">
        <v>2024</v>
      </c>
      <c r="E19" s="9">
        <f>'Dec 2024'!C22</f>
        <v>8071</v>
      </c>
      <c r="F19" s="9">
        <f>'Dec 2024'!E22</f>
        <v>7971</v>
      </c>
      <c r="G19" s="9">
        <f>'Dec 2024'!G22</f>
        <v>138</v>
      </c>
      <c r="H19" s="9">
        <f>'Dec 2024'!K22</f>
        <v>103</v>
      </c>
      <c r="I19" s="9">
        <f>'Dec 2024'!N22</f>
        <v>18</v>
      </c>
      <c r="J19" s="9">
        <f>'Dec 2024'!P22</f>
        <v>13</v>
      </c>
      <c r="K19" s="9">
        <f>'Dec 2024'!X22</f>
        <v>5118.2100000000009</v>
      </c>
      <c r="L19" s="9">
        <f>'Dec 2024'!AC22</f>
        <v>5482</v>
      </c>
      <c r="M19" s="9">
        <f>'Dec 2024'!AS22</f>
        <v>6</v>
      </c>
      <c r="N19" s="9">
        <f>'Dec 2024'!AE22*315</f>
        <v>315</v>
      </c>
      <c r="O19" s="139">
        <f>'Dec 2024'!AF22</f>
        <v>506</v>
      </c>
    </row>
    <row r="20" spans="1:15" x14ac:dyDescent="0.25">
      <c r="A20" s="26" t="s">
        <v>81</v>
      </c>
      <c r="B20" s="2">
        <f t="shared" si="0"/>
        <v>19</v>
      </c>
      <c r="C20" s="16">
        <v>12</v>
      </c>
      <c r="D20" s="2">
        <v>2024</v>
      </c>
      <c r="E20" s="9">
        <f>'Dec 2024'!C23</f>
        <v>8015</v>
      </c>
      <c r="F20" s="9">
        <f>'Dec 2024'!E23</f>
        <v>7839</v>
      </c>
      <c r="G20" s="9">
        <f>'Dec 2024'!G23</f>
        <v>137</v>
      </c>
      <c r="H20" s="9">
        <f>'Dec 2024'!K23</f>
        <v>123</v>
      </c>
      <c r="I20" s="9">
        <f>'Dec 2024'!N23</f>
        <v>18</v>
      </c>
      <c r="J20" s="9">
        <f>'Dec 2024'!P23</f>
        <v>15</v>
      </c>
      <c r="K20" s="9">
        <f>'Dec 2024'!X23</f>
        <v>5118.2100000000009</v>
      </c>
      <c r="L20" s="9">
        <f>'Dec 2024'!AC23</f>
        <v>5756</v>
      </c>
      <c r="M20" s="9">
        <f>'Dec 2024'!AS23</f>
        <v>7</v>
      </c>
      <c r="N20" s="9">
        <f>'Dec 2024'!AE23*315</f>
        <v>293.01300000000003</v>
      </c>
      <c r="O20" s="139">
        <f>'Dec 2024'!AF23</f>
        <v>474</v>
      </c>
    </row>
    <row r="21" spans="1:15" x14ac:dyDescent="0.25">
      <c r="A21" s="26" t="s">
        <v>81</v>
      </c>
      <c r="B21" s="2">
        <f t="shared" si="0"/>
        <v>20</v>
      </c>
      <c r="C21" s="16">
        <v>12</v>
      </c>
      <c r="D21" s="2">
        <v>2024</v>
      </c>
      <c r="E21" s="9">
        <f>'Dec 2024'!C24</f>
        <v>7745</v>
      </c>
      <c r="F21" s="9">
        <f>'Dec 2024'!E24</f>
        <v>7898</v>
      </c>
      <c r="G21" s="9">
        <f>'Dec 2024'!G24</f>
        <v>140</v>
      </c>
      <c r="H21" s="9">
        <f>'Dec 2024'!K24</f>
        <v>119</v>
      </c>
      <c r="I21" s="9">
        <f>'Dec 2024'!N24</f>
        <v>18</v>
      </c>
      <c r="J21" s="9">
        <f>'Dec 2024'!P24</f>
        <v>13</v>
      </c>
      <c r="K21" s="9">
        <f>'Dec 2024'!X24</f>
        <v>5402.5550000000003</v>
      </c>
      <c r="L21" s="9">
        <f>'Dec 2024'!AC24</f>
        <v>5810</v>
      </c>
      <c r="M21" s="9">
        <f>'Dec 2024'!AS24</f>
        <v>8</v>
      </c>
      <c r="N21" s="9">
        <f>'Dec 2024'!AE24*315</f>
        <v>273.98700000000002</v>
      </c>
      <c r="O21" s="139">
        <f>'Dec 2024'!AF24</f>
        <v>464</v>
      </c>
    </row>
    <row r="22" spans="1:15" x14ac:dyDescent="0.25">
      <c r="A22" s="26" t="s">
        <v>81</v>
      </c>
      <c r="B22" s="2">
        <f t="shared" si="0"/>
        <v>21</v>
      </c>
      <c r="C22" s="16">
        <v>12</v>
      </c>
      <c r="D22" s="2">
        <v>2024</v>
      </c>
      <c r="E22" s="9">
        <f>'Dec 2024'!C25</f>
        <v>7857</v>
      </c>
      <c r="F22" s="9">
        <f>'Dec 2024'!E25</f>
        <v>7664</v>
      </c>
      <c r="G22" s="9">
        <f>'Dec 2024'!G25</f>
        <v>142</v>
      </c>
      <c r="H22" s="9">
        <f>'Dec 2024'!K25</f>
        <v>103</v>
      </c>
      <c r="I22" s="9">
        <f>'Dec 2024'!N25</f>
        <v>18</v>
      </c>
      <c r="J22" s="9">
        <f>'Dec 2024'!P25</f>
        <v>12</v>
      </c>
      <c r="K22" s="9">
        <f>'Dec 2024'!X25</f>
        <v>5402.5550000000003</v>
      </c>
      <c r="L22" s="9">
        <f>'Dec 2024'!AC25</f>
        <v>5450</v>
      </c>
      <c r="M22" s="9">
        <f>'Dec 2024'!AS25</f>
        <v>7</v>
      </c>
      <c r="N22" s="9">
        <f>'Dec 2024'!AE25*315</f>
        <v>191.92949999999999</v>
      </c>
      <c r="O22" s="139">
        <f>'Dec 2024'!AF25</f>
        <v>313</v>
      </c>
    </row>
    <row r="23" spans="1:15" x14ac:dyDescent="0.25">
      <c r="A23" s="26" t="s">
        <v>81</v>
      </c>
      <c r="B23" s="2">
        <f t="shared" si="0"/>
        <v>22</v>
      </c>
      <c r="C23" s="16">
        <v>12</v>
      </c>
      <c r="D23" s="2">
        <v>2024</v>
      </c>
      <c r="E23" s="9">
        <f>'Dec 2024'!C26</f>
        <v>7937</v>
      </c>
      <c r="F23" s="9">
        <f>'Dec 2024'!E26</f>
        <v>7736</v>
      </c>
      <c r="G23" s="9">
        <f>'Dec 2024'!G26</f>
        <v>132</v>
      </c>
      <c r="H23" s="9">
        <f>'Dec 2024'!K26</f>
        <v>76</v>
      </c>
      <c r="I23" s="9">
        <f>'Dec 2024'!N26</f>
        <v>19</v>
      </c>
      <c r="J23" s="9">
        <f>'Dec 2024'!P26</f>
        <v>13</v>
      </c>
      <c r="K23" s="9">
        <f>'Dec 2024'!X26</f>
        <v>4833.8650000000007</v>
      </c>
      <c r="L23" s="9">
        <f>'Dec 2024'!AC26</f>
        <v>4888</v>
      </c>
      <c r="M23" s="9">
        <f>'Dec 2024'!AS26</f>
        <v>6</v>
      </c>
      <c r="N23" s="9">
        <f>'Dec 2024'!AE26*315</f>
        <v>143.01</v>
      </c>
      <c r="O23" s="139">
        <f>'Dec 2024'!AF26</f>
        <v>196</v>
      </c>
    </row>
    <row r="24" spans="1:15" x14ac:dyDescent="0.25">
      <c r="A24" s="26" t="s">
        <v>81</v>
      </c>
      <c r="B24" s="2">
        <f t="shared" si="0"/>
        <v>23</v>
      </c>
      <c r="C24" s="16">
        <v>12</v>
      </c>
      <c r="D24" s="2">
        <v>2024</v>
      </c>
      <c r="E24" s="9">
        <f>'Dec 2024'!C27</f>
        <v>7835</v>
      </c>
      <c r="F24" s="9">
        <f>'Dec 2024'!E27</f>
        <v>7617</v>
      </c>
      <c r="G24" s="9">
        <f>'Dec 2024'!G27</f>
        <v>119</v>
      </c>
      <c r="H24" s="9">
        <f>'Dec 2024'!K27</f>
        <v>123</v>
      </c>
      <c r="I24" s="9">
        <f>'Dec 2024'!N27</f>
        <v>16</v>
      </c>
      <c r="J24" s="9">
        <f>'Dec 2024'!P27</f>
        <v>13</v>
      </c>
      <c r="K24" s="9">
        <f>'Dec 2024'!X27</f>
        <v>4549.5200000000004</v>
      </c>
      <c r="L24" s="9">
        <f>'Dec 2024'!AC27</f>
        <v>5060</v>
      </c>
      <c r="M24" s="9">
        <f>'Dec 2024'!AS27</f>
        <v>6</v>
      </c>
      <c r="N24" s="9">
        <f>'Dec 2024'!AE27*315</f>
        <v>202.0095</v>
      </c>
      <c r="O24" s="139">
        <f>'Dec 2024'!AF27</f>
        <v>286</v>
      </c>
    </row>
    <row r="25" spans="1:15" x14ac:dyDescent="0.25">
      <c r="A25" s="26" t="s">
        <v>81</v>
      </c>
      <c r="B25" s="2">
        <f t="shared" si="0"/>
        <v>24</v>
      </c>
      <c r="C25" s="16">
        <v>12</v>
      </c>
      <c r="D25" s="2">
        <v>2024</v>
      </c>
      <c r="E25" s="9">
        <f>'Dec 2024'!C28</f>
        <v>7959</v>
      </c>
      <c r="F25" s="9">
        <f>'Dec 2024'!E28</f>
        <v>7367</v>
      </c>
      <c r="G25" s="9">
        <f>'Dec 2024'!G28</f>
        <v>130</v>
      </c>
      <c r="H25" s="9">
        <f>'Dec 2024'!K28</f>
        <v>116</v>
      </c>
      <c r="I25" s="9">
        <f>'Dec 2024'!N28</f>
        <v>18</v>
      </c>
      <c r="J25" s="9">
        <f>'Dec 2024'!P28</f>
        <v>13</v>
      </c>
      <c r="K25" s="9">
        <f>'Dec 2024'!X28</f>
        <v>5402.5550000000003</v>
      </c>
      <c r="L25" s="9">
        <f>'Dec 2024'!AC28</f>
        <v>5763</v>
      </c>
      <c r="M25" s="9">
        <f>'Dec 2024'!AS28</f>
        <v>5</v>
      </c>
      <c r="N25" s="9">
        <f>'Dec 2024'!AE28*315</f>
        <v>262.99349999999998</v>
      </c>
      <c r="O25" s="139">
        <f>'Dec 2024'!AF28</f>
        <v>384</v>
      </c>
    </row>
    <row r="26" spans="1:15" x14ac:dyDescent="0.25">
      <c r="A26" s="26" t="s">
        <v>81</v>
      </c>
      <c r="B26" s="2">
        <f t="shared" si="0"/>
        <v>25</v>
      </c>
      <c r="C26" s="16">
        <v>12</v>
      </c>
      <c r="D26" s="2">
        <v>2024</v>
      </c>
      <c r="E26" s="9">
        <f>'Dec 2024'!C29</f>
        <v>8207</v>
      </c>
      <c r="F26" s="9">
        <f>'Dec 2024'!E29</f>
        <v>7463</v>
      </c>
      <c r="G26" s="9">
        <f>'Dec 2024'!G29</f>
        <v>139</v>
      </c>
      <c r="H26" s="9">
        <f>'Dec 2024'!K29</f>
        <v>98</v>
      </c>
      <c r="I26" s="9">
        <f>'Dec 2024'!N29</f>
        <v>18</v>
      </c>
      <c r="J26" s="9">
        <f>'Dec 2024'!P29</f>
        <v>12</v>
      </c>
      <c r="K26" s="9">
        <f>'Dec 2024'!X29</f>
        <v>5402.5550000000003</v>
      </c>
      <c r="L26" s="9">
        <f>'Dec 2024'!AC29</f>
        <v>5846</v>
      </c>
      <c r="M26" s="9">
        <f>'Dec 2024'!AS29</f>
        <v>5</v>
      </c>
      <c r="N26" s="9">
        <f>'Dec 2024'!AE29*315</f>
        <v>285.98849999999999</v>
      </c>
      <c r="O26" s="139">
        <f>'Dec 2024'!AF29</f>
        <v>435</v>
      </c>
    </row>
    <row r="27" spans="1:15" x14ac:dyDescent="0.25">
      <c r="A27" s="26" t="s">
        <v>81</v>
      </c>
      <c r="B27" s="2">
        <f t="shared" si="0"/>
        <v>26</v>
      </c>
      <c r="C27" s="16">
        <v>12</v>
      </c>
      <c r="D27" s="2">
        <v>2024</v>
      </c>
      <c r="E27" s="9">
        <f>'Dec 2024'!C30</f>
        <v>8183</v>
      </c>
      <c r="F27" s="9">
        <f>'Dec 2024'!E30</f>
        <v>7531</v>
      </c>
      <c r="G27" s="9">
        <f>'Dec 2024'!G30</f>
        <v>131</v>
      </c>
      <c r="H27" s="9">
        <f>'Dec 2024'!K30</f>
        <v>119</v>
      </c>
      <c r="I27" s="9">
        <f>'Dec 2024'!N30</f>
        <v>17</v>
      </c>
      <c r="J27" s="9">
        <f>'Dec 2024'!P30</f>
        <v>11</v>
      </c>
      <c r="K27" s="9">
        <f>'Dec 2024'!X30</f>
        <v>5971.2450000000008</v>
      </c>
      <c r="L27" s="9">
        <f>'Dec 2024'!AC30</f>
        <v>6250</v>
      </c>
      <c r="M27" s="9">
        <f>'Dec 2024'!AS30</f>
        <v>6</v>
      </c>
      <c r="N27" s="9">
        <f>'Dec 2024'!AE30*315</f>
        <v>296.00549999999998</v>
      </c>
      <c r="O27" s="139">
        <f>'Dec 2024'!AF30</f>
        <v>438</v>
      </c>
    </row>
    <row r="28" spans="1:15" x14ac:dyDescent="0.25">
      <c r="A28" s="26" t="s">
        <v>81</v>
      </c>
      <c r="B28" s="2">
        <f t="shared" si="0"/>
        <v>27</v>
      </c>
      <c r="C28" s="16">
        <v>12</v>
      </c>
      <c r="D28" s="2">
        <v>2024</v>
      </c>
      <c r="E28" s="9">
        <f>'Dec 2024'!C31</f>
        <v>8093</v>
      </c>
      <c r="F28" s="9">
        <f>'Dec 2024'!E31</f>
        <v>7293</v>
      </c>
      <c r="G28" s="9">
        <f>'Dec 2024'!G31</f>
        <v>134</v>
      </c>
      <c r="H28" s="9">
        <f>'Dec 2024'!K31</f>
        <v>109</v>
      </c>
      <c r="I28" s="9">
        <f>'Dec 2024'!N31</f>
        <v>20</v>
      </c>
      <c r="J28" s="9">
        <f>'Dec 2024'!P31</f>
        <v>12</v>
      </c>
      <c r="K28" s="9">
        <f>'Dec 2024'!X31</f>
        <v>5686.9000000000005</v>
      </c>
      <c r="L28" s="9">
        <f>'Dec 2024'!AC31</f>
        <v>6253</v>
      </c>
      <c r="M28" s="9">
        <f>'Dec 2024'!AS31</f>
        <v>7</v>
      </c>
      <c r="N28" s="9">
        <f>'Dec 2024'!AE31*315</f>
        <v>294.9975</v>
      </c>
      <c r="O28" s="139">
        <f>'Dec 2024'!AF31</f>
        <v>457</v>
      </c>
    </row>
    <row r="29" spans="1:15" x14ac:dyDescent="0.25">
      <c r="A29" s="26" t="s">
        <v>81</v>
      </c>
      <c r="B29" s="2">
        <f t="shared" si="0"/>
        <v>28</v>
      </c>
      <c r="C29" s="16">
        <v>12</v>
      </c>
      <c r="D29" s="2">
        <v>2024</v>
      </c>
      <c r="E29" s="9">
        <f>'Dec 2024'!C32</f>
        <v>7848</v>
      </c>
      <c r="F29" s="9">
        <f>'Dec 2024'!E32</f>
        <v>7056</v>
      </c>
      <c r="G29" s="9">
        <f>'Dec 2024'!G32</f>
        <v>140</v>
      </c>
      <c r="H29" s="9">
        <f>'Dec 2024'!K32</f>
        <v>118</v>
      </c>
      <c r="I29" s="9">
        <f>'Dec 2024'!N32</f>
        <v>20</v>
      </c>
      <c r="J29" s="9">
        <f>'Dec 2024'!P32</f>
        <v>10</v>
      </c>
      <c r="K29" s="9">
        <f>'Dec 2024'!X32</f>
        <v>5402.5550000000003</v>
      </c>
      <c r="L29" s="9">
        <f>'Dec 2024'!AC32</f>
        <v>5445</v>
      </c>
      <c r="M29" s="9">
        <f>'Dec 2024'!AS32</f>
        <v>8</v>
      </c>
      <c r="N29" s="9">
        <f>'Dec 2024'!AE32*315</f>
        <v>285.98849999999999</v>
      </c>
      <c r="O29" s="139">
        <f>'Dec 2024'!AF32</f>
        <v>434</v>
      </c>
    </row>
    <row r="30" spans="1:15" x14ac:dyDescent="0.25">
      <c r="A30" s="26" t="s">
        <v>81</v>
      </c>
      <c r="B30" s="2">
        <f t="shared" si="0"/>
        <v>29</v>
      </c>
      <c r="C30" s="16">
        <v>12</v>
      </c>
      <c r="D30" s="2">
        <v>2024</v>
      </c>
      <c r="E30" s="9">
        <f>'Dec 2024'!C33</f>
        <v>8300</v>
      </c>
      <c r="F30" s="9">
        <f>'Dec 2024'!E33</f>
        <v>7300</v>
      </c>
      <c r="G30" s="9">
        <f>'Dec 2024'!G33</f>
        <v>142</v>
      </c>
      <c r="H30" s="9">
        <f>'Dec 2024'!K33</f>
        <v>105</v>
      </c>
      <c r="I30" s="9">
        <f>'Dec 2024'!N33</f>
        <v>19</v>
      </c>
      <c r="J30" s="9">
        <f>'Dec 2024'!P33</f>
        <v>13</v>
      </c>
      <c r="K30" s="9">
        <f>'Dec 2024'!X33</f>
        <v>5118.2100000000009</v>
      </c>
      <c r="L30" s="9">
        <f>'Dec 2024'!AC33</f>
        <v>5602</v>
      </c>
      <c r="M30" s="9">
        <f>'Dec 2024'!AS33</f>
        <v>7</v>
      </c>
      <c r="N30" s="9">
        <f>'Dec 2024'!AE33*315</f>
        <v>265.98599999999999</v>
      </c>
      <c r="O30" s="139">
        <f>'Dec 2024'!AF33</f>
        <v>414</v>
      </c>
    </row>
    <row r="31" spans="1:15" x14ac:dyDescent="0.25">
      <c r="A31" s="26" t="s">
        <v>81</v>
      </c>
      <c r="B31" s="2">
        <f t="shared" si="0"/>
        <v>30</v>
      </c>
      <c r="C31" s="16">
        <v>12</v>
      </c>
      <c r="D31" s="2">
        <v>2024</v>
      </c>
      <c r="E31" s="9">
        <f>'Dec 2024'!C34</f>
        <v>7938</v>
      </c>
      <c r="F31" s="9">
        <f>'Dec 2024'!E34</f>
        <v>6969</v>
      </c>
      <c r="G31" s="9">
        <f>'Dec 2024'!G34</f>
        <v>133</v>
      </c>
      <c r="H31" s="9">
        <f>'Dec 2024'!K34</f>
        <v>107</v>
      </c>
      <c r="I31" s="9">
        <f>'Dec 2024'!N34</f>
        <v>19</v>
      </c>
      <c r="J31" s="9">
        <f>'Dec 2024'!P34</f>
        <v>12</v>
      </c>
      <c r="K31" s="9">
        <f>'Dec 2024'!X34</f>
        <v>5686.9000000000005</v>
      </c>
      <c r="L31" s="9">
        <f>'Dec 2024'!AC34</f>
        <v>6285</v>
      </c>
      <c r="M31" s="9">
        <f>'Dec 2024'!AS34</f>
        <v>7</v>
      </c>
      <c r="N31" s="9">
        <f>'Dec 2024'!AE34*315</f>
        <v>249.00749999999999</v>
      </c>
      <c r="O31" s="139">
        <f>'Dec 2024'!AF34</f>
        <v>377</v>
      </c>
    </row>
    <row r="32" spans="1:15" x14ac:dyDescent="0.25">
      <c r="A32" s="26" t="s">
        <v>81</v>
      </c>
      <c r="B32" s="2">
        <f t="shared" si="0"/>
        <v>31</v>
      </c>
      <c r="C32" s="16">
        <v>12</v>
      </c>
      <c r="D32" s="2">
        <v>2024</v>
      </c>
      <c r="E32" s="9">
        <f>'Dec 2024'!C35</f>
        <v>7857</v>
      </c>
      <c r="F32" s="9">
        <f>'Dec 2024'!E35</f>
        <v>6922</v>
      </c>
      <c r="G32" s="9">
        <f>'Dec 2024'!G35</f>
        <v>147</v>
      </c>
      <c r="H32" s="9">
        <f>'Dec 2024'!K35</f>
        <v>106</v>
      </c>
      <c r="I32" s="9">
        <f>'Dec 2024'!N35</f>
        <v>18</v>
      </c>
      <c r="J32" s="9">
        <f>'Dec 2024'!P35</f>
        <v>13</v>
      </c>
      <c r="K32" s="9">
        <f>'Dec 2024'!X35</f>
        <v>6539.9350000000004</v>
      </c>
      <c r="L32" s="9">
        <f>'Dec 2024'!AC35</f>
        <v>6233</v>
      </c>
      <c r="M32" s="9">
        <f>'Dec 2024'!AS35</f>
        <v>5</v>
      </c>
      <c r="N32" s="9">
        <f>'Dec 2024'!AE35*315</f>
        <v>250.01549999999997</v>
      </c>
      <c r="O32" s="139">
        <f>'Dec 2024'!AF35</f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96FF-FD4B-44A4-A043-EB2F1E619728}">
  <sheetPr>
    <pageSetUpPr fitToPage="1"/>
  </sheetPr>
  <dimension ref="A1:FI77"/>
  <sheetViews>
    <sheetView topLeftCell="D1" zoomScale="80" zoomScaleNormal="80" zoomScaleSheetLayoutView="80" workbookViewId="0">
      <pane ySplit="4" topLeftCell="A5" activePane="bottomLeft" state="frozen"/>
      <selection pane="bottomLeft" activeCell="M18" sqref="M1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01" t="s">
        <v>103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149"/>
      <c r="AG1" s="149"/>
      <c r="AH1" s="149"/>
    </row>
    <row r="2" spans="1:52" s="6" customFormat="1" ht="24.95" customHeight="1" thickBot="1" x14ac:dyDescent="0.35">
      <c r="A2" s="186" t="s">
        <v>0</v>
      </c>
      <c r="B2" s="189" t="s">
        <v>3</v>
      </c>
      <c r="C2" s="190"/>
      <c r="D2" s="190"/>
      <c r="E2" s="190"/>
      <c r="F2" s="190"/>
      <c r="G2" s="190"/>
      <c r="H2" s="190"/>
      <c r="I2" s="303"/>
      <c r="J2" s="191" t="s">
        <v>4</v>
      </c>
      <c r="K2" s="192"/>
      <c r="L2" s="192"/>
      <c r="M2" s="193" t="s">
        <v>49</v>
      </c>
      <c r="N2" s="194"/>
      <c r="O2" s="194"/>
      <c r="P2" s="194"/>
      <c r="Q2" s="194"/>
      <c r="R2" s="194"/>
      <c r="S2" s="194"/>
      <c r="T2" s="194"/>
      <c r="U2" s="195"/>
      <c r="V2" s="304" t="s">
        <v>2</v>
      </c>
      <c r="W2" s="305"/>
      <c r="X2" s="305"/>
      <c r="Y2" s="305"/>
      <c r="Z2" s="305"/>
      <c r="AA2" s="305"/>
      <c r="AB2" s="305"/>
      <c r="AC2" s="305"/>
      <c r="AD2" s="306"/>
      <c r="AE2" s="204" t="s">
        <v>17</v>
      </c>
      <c r="AF2" s="206"/>
      <c r="AG2" s="204" t="s">
        <v>58</v>
      </c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6"/>
    </row>
    <row r="3" spans="1:52" s="5" customFormat="1" ht="36.75" customHeight="1" x14ac:dyDescent="0.25">
      <c r="A3" s="187"/>
      <c r="B3" s="207" t="s">
        <v>36</v>
      </c>
      <c r="C3" s="208"/>
      <c r="D3" s="209" t="s">
        <v>37</v>
      </c>
      <c r="E3" s="210"/>
      <c r="F3" s="209" t="s">
        <v>38</v>
      </c>
      <c r="G3" s="210"/>
      <c r="H3" s="208" t="s">
        <v>20</v>
      </c>
      <c r="I3" s="212" t="s">
        <v>7</v>
      </c>
      <c r="J3" s="214" t="s">
        <v>21</v>
      </c>
      <c r="K3" s="216" t="s">
        <v>22</v>
      </c>
      <c r="L3" s="218" t="s">
        <v>6</v>
      </c>
      <c r="M3" s="220" t="s">
        <v>34</v>
      </c>
      <c r="N3" s="196"/>
      <c r="O3" s="196" t="s">
        <v>35</v>
      </c>
      <c r="P3" s="196"/>
      <c r="Q3" s="196" t="s">
        <v>39</v>
      </c>
      <c r="R3" s="196" t="s">
        <v>32</v>
      </c>
      <c r="S3" s="196" t="s">
        <v>33</v>
      </c>
      <c r="T3" s="229" t="s">
        <v>18</v>
      </c>
      <c r="U3" s="202" t="s">
        <v>31</v>
      </c>
      <c r="V3" s="198" t="s">
        <v>23</v>
      </c>
      <c r="W3" s="200" t="s">
        <v>8</v>
      </c>
      <c r="X3" s="200" t="s">
        <v>9</v>
      </c>
      <c r="Y3" s="200" t="s">
        <v>10</v>
      </c>
      <c r="Z3" s="200" t="s">
        <v>11</v>
      </c>
      <c r="AA3" s="200" t="s">
        <v>12</v>
      </c>
      <c r="AB3" s="200" t="s">
        <v>99</v>
      </c>
      <c r="AC3" s="200" t="s">
        <v>100</v>
      </c>
      <c r="AD3" s="307" t="s">
        <v>104</v>
      </c>
      <c r="AE3" s="225" t="s">
        <v>62</v>
      </c>
      <c r="AF3" s="227" t="s">
        <v>19</v>
      </c>
      <c r="AG3" s="221" t="s">
        <v>101</v>
      </c>
      <c r="AH3" s="222"/>
      <c r="AI3" s="223" t="s">
        <v>63</v>
      </c>
      <c r="AJ3" s="221"/>
      <c r="AK3" s="222"/>
      <c r="AL3" s="224" t="s">
        <v>64</v>
      </c>
      <c r="AM3" s="221"/>
      <c r="AN3" s="222"/>
      <c r="AO3" s="223" t="s">
        <v>65</v>
      </c>
      <c r="AP3" s="221"/>
      <c r="AQ3" s="222"/>
      <c r="AR3" s="223" t="s">
        <v>66</v>
      </c>
      <c r="AS3" s="221"/>
      <c r="AT3" s="222"/>
      <c r="AU3" s="223" t="s">
        <v>68</v>
      </c>
      <c r="AV3" s="221"/>
      <c r="AW3" s="222"/>
      <c r="AX3" s="221" t="s">
        <v>67</v>
      </c>
      <c r="AY3" s="221"/>
      <c r="AZ3" s="222"/>
    </row>
    <row r="4" spans="1:52" s="5" customFormat="1" ht="36.75" customHeight="1" thickBot="1" x14ac:dyDescent="0.3">
      <c r="A4" s="188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11"/>
      <c r="I4" s="213"/>
      <c r="J4" s="215"/>
      <c r="K4" s="217"/>
      <c r="L4" s="219"/>
      <c r="M4" s="106" t="s">
        <v>1</v>
      </c>
      <c r="N4" s="46" t="s">
        <v>5</v>
      </c>
      <c r="O4" s="46" t="s">
        <v>1</v>
      </c>
      <c r="P4" s="46" t="s">
        <v>5</v>
      </c>
      <c r="Q4" s="197"/>
      <c r="R4" s="197"/>
      <c r="S4" s="197"/>
      <c r="T4" s="230"/>
      <c r="U4" s="203"/>
      <c r="V4" s="199"/>
      <c r="W4" s="201"/>
      <c r="X4" s="201"/>
      <c r="Y4" s="201"/>
      <c r="Z4" s="201"/>
      <c r="AA4" s="201"/>
      <c r="AB4" s="201"/>
      <c r="AC4" s="201"/>
      <c r="AD4" s="308"/>
      <c r="AE4" s="226"/>
      <c r="AF4" s="228"/>
      <c r="AG4" s="155" t="s">
        <v>60</v>
      </c>
      <c r="AH4" s="154" t="s">
        <v>102</v>
      </c>
      <c r="AI4" s="153" t="s">
        <v>60</v>
      </c>
      <c r="AJ4" s="154" t="s">
        <v>61</v>
      </c>
      <c r="AK4" s="142" t="s">
        <v>13</v>
      </c>
      <c r="AL4" s="154" t="s">
        <v>60</v>
      </c>
      <c r="AM4" s="154" t="s">
        <v>61</v>
      </c>
      <c r="AN4" s="142" t="s">
        <v>13</v>
      </c>
      <c r="AO4" s="153" t="s">
        <v>60</v>
      </c>
      <c r="AP4" s="154" t="s">
        <v>61</v>
      </c>
      <c r="AQ4" s="142" t="s">
        <v>13</v>
      </c>
      <c r="AR4" s="153" t="s">
        <v>60</v>
      </c>
      <c r="AS4" s="154" t="s">
        <v>59</v>
      </c>
      <c r="AT4" s="142" t="s">
        <v>13</v>
      </c>
      <c r="AU4" s="153" t="s">
        <v>60</v>
      </c>
      <c r="AV4" s="154" t="s">
        <v>59</v>
      </c>
      <c r="AW4" s="142" t="s">
        <v>13</v>
      </c>
      <c r="AX4" s="155" t="s">
        <v>60</v>
      </c>
      <c r="AY4" s="154" t="s">
        <v>59</v>
      </c>
      <c r="AZ4" s="142" t="s">
        <v>13</v>
      </c>
    </row>
    <row r="5" spans="1:52" s="3" customFormat="1" ht="27.95" customHeight="1" x14ac:dyDescent="0.25">
      <c r="A5" s="98">
        <v>45627</v>
      </c>
      <c r="B5" s="91">
        <v>20773911</v>
      </c>
      <c r="C5" s="97">
        <v>7715</v>
      </c>
      <c r="D5" s="89">
        <v>21487112</v>
      </c>
      <c r="E5" s="97">
        <v>7506</v>
      </c>
      <c r="F5" s="89">
        <v>480105</v>
      </c>
      <c r="G5" s="97">
        <v>139</v>
      </c>
      <c r="H5" s="99">
        <f t="shared" ref="H5:H35" si="0">C5+E5+G5</f>
        <v>15360</v>
      </c>
      <c r="I5" s="100">
        <f t="shared" ref="I5:I35" si="1">H5*0.2</f>
        <v>3072</v>
      </c>
      <c r="J5" s="91">
        <v>102786</v>
      </c>
      <c r="K5" s="97">
        <v>112</v>
      </c>
      <c r="L5" s="101">
        <f t="shared" ref="L5:L35" si="2">K5*7.84</f>
        <v>878.07999999999993</v>
      </c>
      <c r="M5" s="88">
        <v>40083</v>
      </c>
      <c r="N5" s="97">
        <v>19</v>
      </c>
      <c r="O5" s="89">
        <v>23913</v>
      </c>
      <c r="P5" s="102">
        <v>13</v>
      </c>
      <c r="Q5" s="92">
        <f>N5+P5</f>
        <v>32</v>
      </c>
      <c r="R5" s="93">
        <v>60035</v>
      </c>
      <c r="S5" s="102">
        <v>31</v>
      </c>
      <c r="T5" s="102">
        <f>S5*1.0557</f>
        <v>32.726700000000001</v>
      </c>
      <c r="U5" s="101">
        <f>IF(ISBLANK(M5),"0",T5*11.05+209.67)</f>
        <v>571.30003499999998</v>
      </c>
      <c r="V5" s="309">
        <v>76113</v>
      </c>
      <c r="W5" s="138">
        <v>23</v>
      </c>
      <c r="X5" s="310">
        <f>IF(ISBLANK(V5),"0 ",W5*284.345)</f>
        <v>6539.9350000000004</v>
      </c>
      <c r="Y5" s="310">
        <f>X5*0.3449</f>
        <v>2255.6235815</v>
      </c>
      <c r="Z5" s="310">
        <f>IF(ISBLANK(V5),"0",1570*1608.73/12/31*0.65)</f>
        <v>4413.1961424731189</v>
      </c>
      <c r="AA5" s="311">
        <f>Y5+Z5</f>
        <v>6668.8197239731189</v>
      </c>
      <c r="AB5" s="312">
        <v>622083</v>
      </c>
      <c r="AC5" s="312">
        <v>6825</v>
      </c>
      <c r="AD5" s="313">
        <f>IF(ISBLANK(V5),"0 ",AC5/284.345)</f>
        <v>24.002532135258221</v>
      </c>
      <c r="AE5" s="173">
        <v>0.84440000000000004</v>
      </c>
      <c r="AF5" s="103">
        <v>431</v>
      </c>
      <c r="AG5" s="174">
        <v>20522</v>
      </c>
      <c r="AH5" s="314">
        <v>5</v>
      </c>
      <c r="AI5" s="88">
        <v>14611395</v>
      </c>
      <c r="AJ5" s="138">
        <v>4351</v>
      </c>
      <c r="AK5" s="152">
        <f>AJ5*0.2</f>
        <v>870.2</v>
      </c>
      <c r="AL5" s="88">
        <v>6705496</v>
      </c>
      <c r="AM5" s="138">
        <v>2119</v>
      </c>
      <c r="AN5" s="152">
        <f>AM5*0.2</f>
        <v>423.8</v>
      </c>
      <c r="AO5" s="146">
        <v>229944</v>
      </c>
      <c r="AP5" s="97">
        <v>247</v>
      </c>
      <c r="AQ5" s="94">
        <f>AP5*0.2</f>
        <v>49.400000000000006</v>
      </c>
      <c r="AR5" s="91">
        <v>8170</v>
      </c>
      <c r="AS5" s="97">
        <v>10</v>
      </c>
      <c r="AT5" s="139">
        <f>AS5*7.84</f>
        <v>78.400000000000006</v>
      </c>
      <c r="AU5" s="88">
        <v>3123</v>
      </c>
      <c r="AV5" s="97">
        <v>1</v>
      </c>
      <c r="AW5" s="103">
        <f>AV5*7.84</f>
        <v>7.84</v>
      </c>
      <c r="AX5" s="145">
        <v>100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45628</v>
      </c>
      <c r="B6" s="91">
        <v>20781835</v>
      </c>
      <c r="C6" s="89">
        <f t="shared" ref="C6:C35" si="3">IF(ISBLANK(B6),"0",B6-B5)</f>
        <v>7924</v>
      </c>
      <c r="D6" s="89">
        <v>21494794</v>
      </c>
      <c r="E6" s="89">
        <f t="shared" ref="E6:E35" si="4">IF(ISBLANK(D6),"0",D6-D5)</f>
        <v>7682</v>
      </c>
      <c r="F6" s="89">
        <v>480250</v>
      </c>
      <c r="G6" s="89">
        <f>IF(ISBLANK(F6),"0",F6-F5)</f>
        <v>145</v>
      </c>
      <c r="H6" s="90">
        <f t="shared" si="0"/>
        <v>15751</v>
      </c>
      <c r="I6" s="109">
        <f t="shared" si="1"/>
        <v>3150.2000000000003</v>
      </c>
      <c r="J6" s="91">
        <v>102889</v>
      </c>
      <c r="K6" s="89">
        <f>IF(ISBLANK(J6),"0",J6-J5)</f>
        <v>103</v>
      </c>
      <c r="L6" s="75">
        <f t="shared" si="2"/>
        <v>807.52</v>
      </c>
      <c r="M6" s="88">
        <v>40102</v>
      </c>
      <c r="N6" s="89">
        <f>IF(ISBLANK(M6),"0",M6-M5)</f>
        <v>19</v>
      </c>
      <c r="O6" s="89">
        <v>23928</v>
      </c>
      <c r="P6" s="92">
        <f>IF(ISBLANK(O6),"0",O6-O5)</f>
        <v>15</v>
      </c>
      <c r="Q6" s="92">
        <f t="shared" ref="Q6:Q35" si="5">N6+P6</f>
        <v>34</v>
      </c>
      <c r="R6" s="93">
        <v>60068</v>
      </c>
      <c r="S6" s="92">
        <f>IF(ISBLANK(R6),"0",R6-R5)</f>
        <v>33</v>
      </c>
      <c r="T6" s="102">
        <f t="shared" ref="T6:T35" si="6">S6*1.0557</f>
        <v>34.838100000000004</v>
      </c>
      <c r="U6" s="101">
        <f t="shared" ref="U6:U35" si="7">IF(ISBLANK(M6),"0",T6*11.05+209.67)</f>
        <v>594.63100500000007</v>
      </c>
      <c r="V6" s="143">
        <v>76134</v>
      </c>
      <c r="W6" s="315">
        <f>IF(ISBLANK(V6),"0",V6-V5)</f>
        <v>21</v>
      </c>
      <c r="X6" s="316">
        <f>IF(ISBLANK(V6),"0 ",W6*284.345)</f>
        <v>5971.2450000000008</v>
      </c>
      <c r="Y6" s="317">
        <f t="shared" ref="Y6:Y35" si="8">X6*0.3449</f>
        <v>2059.4824005</v>
      </c>
      <c r="Z6" s="317">
        <f>IF(ISBLANK(V6),"0",1570*1608.73/12/31*0.65)</f>
        <v>4413.1961424731189</v>
      </c>
      <c r="AA6" s="318">
        <f t="shared" ref="AA6:AA35" si="9">Y6+Z6</f>
        <v>6472.678542973119</v>
      </c>
      <c r="AB6" s="93">
        <v>628559</v>
      </c>
      <c r="AC6" s="93">
        <f t="shared" ref="AC6:AC35" si="10">IF(ISBLANK(AB6),"0 ",AB6-AB5)</f>
        <v>6476</v>
      </c>
      <c r="AD6" s="319">
        <f t="shared" ref="AD6:AD35" si="11">IF(ISBLANK(V6),"0 ",AC6/284.345)</f>
        <v>22.775149905924138</v>
      </c>
      <c r="AE6" s="175">
        <v>0.80630000000000002</v>
      </c>
      <c r="AF6" s="94">
        <v>348</v>
      </c>
      <c r="AG6" s="176">
        <v>20526</v>
      </c>
      <c r="AH6" s="140">
        <f>IF(ISBLANK(V6),"0 ",AG6-AG5)</f>
        <v>4</v>
      </c>
      <c r="AI6" s="88">
        <v>14615728</v>
      </c>
      <c r="AJ6" s="89">
        <f>IF(ISBLANK(AI6),"0",AI6-AI5)</f>
        <v>4333</v>
      </c>
      <c r="AK6" s="94">
        <f>AJ6*0.2</f>
        <v>866.6</v>
      </c>
      <c r="AL6" s="88">
        <v>6707647</v>
      </c>
      <c r="AM6" s="89">
        <f>IF(ISBLANK(AL6),"0",AL6-AL5)</f>
        <v>2151</v>
      </c>
      <c r="AN6" s="94">
        <f>AM6*0.2</f>
        <v>430.20000000000005</v>
      </c>
      <c r="AO6" s="91">
        <v>230131</v>
      </c>
      <c r="AP6" s="89">
        <f>IF(ISBLANK(AO6),"0",AO6-AO5)</f>
        <v>187</v>
      </c>
      <c r="AQ6" s="94">
        <f>AP6*0.2</f>
        <v>37.4</v>
      </c>
      <c r="AR6" s="91">
        <v>8179</v>
      </c>
      <c r="AS6" s="89">
        <f>IF(ISBLANK(AR6),"0",AR6-AR5)</f>
        <v>9</v>
      </c>
      <c r="AT6" s="140">
        <f>AS6*7.84</f>
        <v>70.56</v>
      </c>
      <c r="AU6" s="88">
        <v>3124</v>
      </c>
      <c r="AV6" s="89">
        <f>IF(ISBLANK(AU6),"0",AU6-AU5)</f>
        <v>1</v>
      </c>
      <c r="AW6" s="94">
        <f t="shared" ref="AW6:AW35" si="12">AV6*7.84</f>
        <v>7.84</v>
      </c>
      <c r="AX6" s="88">
        <v>101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45629</v>
      </c>
      <c r="B7" s="91">
        <v>20789573</v>
      </c>
      <c r="C7" s="89">
        <f t="shared" si="3"/>
        <v>7738</v>
      </c>
      <c r="D7" s="89">
        <v>21502221</v>
      </c>
      <c r="E7" s="89">
        <f t="shared" si="4"/>
        <v>7427</v>
      </c>
      <c r="F7" s="89">
        <v>480396</v>
      </c>
      <c r="G7" s="89">
        <f t="shared" ref="G7:G35" si="13">IF(ISBLANK(F7),"0",F7-F6)</f>
        <v>146</v>
      </c>
      <c r="H7" s="90">
        <f t="shared" si="0"/>
        <v>15311</v>
      </c>
      <c r="I7" s="109">
        <f t="shared" si="1"/>
        <v>3062.2000000000003</v>
      </c>
      <c r="J7" s="91">
        <v>102987</v>
      </c>
      <c r="K7" s="89">
        <f t="shared" ref="K7:K35" si="14">IF(ISBLANK(J7),"0",J7-J6)</f>
        <v>98</v>
      </c>
      <c r="L7" s="75">
        <f t="shared" si="2"/>
        <v>768.31999999999994</v>
      </c>
      <c r="M7" s="88">
        <v>40122</v>
      </c>
      <c r="N7" s="89">
        <f t="shared" ref="N7:N35" si="15">IF(ISBLANK(M7),"0",M7-M6)</f>
        <v>20</v>
      </c>
      <c r="O7" s="89">
        <v>23941</v>
      </c>
      <c r="P7" s="92">
        <f t="shared" ref="P7:P35" si="16">IF(ISBLANK(O7),"0",O7-O6)</f>
        <v>13</v>
      </c>
      <c r="Q7" s="92">
        <f t="shared" si="5"/>
        <v>33</v>
      </c>
      <c r="R7" s="93">
        <v>60100</v>
      </c>
      <c r="S7" s="92">
        <f t="shared" ref="S7:S35" si="17">IF(ISBLANK(R7),"0",R7-R6)</f>
        <v>32</v>
      </c>
      <c r="T7" s="102">
        <f t="shared" si="6"/>
        <v>33.782400000000003</v>
      </c>
      <c r="U7" s="101">
        <f t="shared" si="7"/>
        <v>582.96552000000008</v>
      </c>
      <c r="V7" s="143">
        <v>76155</v>
      </c>
      <c r="W7" s="315">
        <f t="shared" ref="W7:W35" si="18">IF(ISBLANK(V7),"0",V7-V6)</f>
        <v>21</v>
      </c>
      <c r="X7" s="316">
        <f t="shared" ref="X7:X35" si="19">IF(ISBLANK(V7),"0 ",W7*284.345)</f>
        <v>5971.2450000000008</v>
      </c>
      <c r="Y7" s="317">
        <f t="shared" si="8"/>
        <v>2059.4824005</v>
      </c>
      <c r="Z7" s="317">
        <f t="shared" ref="Z7:Z35" si="20">IF(ISBLANK(V7),"0",1570*1608.73/12/31*0.65)</f>
        <v>4413.1961424731189</v>
      </c>
      <c r="AA7" s="318">
        <f t="shared" si="9"/>
        <v>6472.678542973119</v>
      </c>
      <c r="AB7" s="93">
        <v>634970</v>
      </c>
      <c r="AC7" s="93">
        <f t="shared" si="10"/>
        <v>6411</v>
      </c>
      <c r="AD7" s="319">
        <f t="shared" si="11"/>
        <v>22.546554361778824</v>
      </c>
      <c r="AE7" s="175">
        <v>0.83809999999999996</v>
      </c>
      <c r="AF7" s="94">
        <v>329</v>
      </c>
      <c r="AG7" s="176">
        <v>20530</v>
      </c>
      <c r="AH7" s="140">
        <f t="shared" ref="AH7:AH35" si="21">IF(ISBLANK(V7),"0 ",AG7-AG6)</f>
        <v>4</v>
      </c>
      <c r="AI7" s="88">
        <v>14620129</v>
      </c>
      <c r="AJ7" s="89">
        <f t="shared" ref="AJ7:AJ35" si="22">IF(ISBLANK(AI7),"0",AI7-AI6)</f>
        <v>4401</v>
      </c>
      <c r="AK7" s="94">
        <f t="shared" ref="AK7:AK35" si="23">AJ7*0.2</f>
        <v>880.2</v>
      </c>
      <c r="AL7" s="88">
        <v>6709732</v>
      </c>
      <c r="AM7" s="89">
        <f t="shared" ref="AM7:AM35" si="24">IF(ISBLANK(AL7),"0",AL7-AL6)</f>
        <v>2085</v>
      </c>
      <c r="AN7" s="94">
        <f t="shared" ref="AN7:AN35" si="25">AM7*0.2</f>
        <v>417</v>
      </c>
      <c r="AO7" s="91">
        <v>230270</v>
      </c>
      <c r="AP7" s="89">
        <f t="shared" ref="AP7:AP35" si="26">IF(ISBLANK(AO7),"0",AO7-AO6)</f>
        <v>139</v>
      </c>
      <c r="AQ7" s="94">
        <f t="shared" ref="AQ7:AQ35" si="27">AP7*0.2</f>
        <v>27.8</v>
      </c>
      <c r="AR7" s="91">
        <v>8185</v>
      </c>
      <c r="AS7" s="89">
        <f t="shared" ref="AS7:AS35" si="28">IF(ISBLANK(AR7),"0",AR7-AR6)</f>
        <v>6</v>
      </c>
      <c r="AT7" s="140">
        <f t="shared" ref="AT7:AT35" si="29">AS7*7.84</f>
        <v>47.04</v>
      </c>
      <c r="AU7" s="88">
        <v>3125</v>
      </c>
      <c r="AV7" s="89">
        <f t="shared" ref="AV7:AV35" si="30">IF(ISBLANK(AU7),"0",AU7-AU6)</f>
        <v>1</v>
      </c>
      <c r="AW7" s="94">
        <f t="shared" si="12"/>
        <v>7.84</v>
      </c>
      <c r="AX7" s="88">
        <v>101</v>
      </c>
      <c r="AY7" s="89">
        <f t="shared" ref="AY7:AY35" si="31">IF(ISBLANK(AX7),"0",AX7-AX6)</f>
        <v>0</v>
      </c>
      <c r="AZ7" s="94">
        <f t="shared" ref="AZ7:AZ35" si="32">AY7*7.84</f>
        <v>0</v>
      </c>
    </row>
    <row r="8" spans="1:52" s="3" customFormat="1" ht="27.95" customHeight="1" x14ac:dyDescent="0.25">
      <c r="A8" s="98">
        <v>45630</v>
      </c>
      <c r="B8" s="91">
        <v>20797357</v>
      </c>
      <c r="C8" s="89">
        <f t="shared" si="3"/>
        <v>7784</v>
      </c>
      <c r="D8" s="89">
        <v>21509187</v>
      </c>
      <c r="E8" s="89">
        <f t="shared" si="4"/>
        <v>6966</v>
      </c>
      <c r="F8" s="89">
        <v>480539</v>
      </c>
      <c r="G8" s="89">
        <f t="shared" si="13"/>
        <v>143</v>
      </c>
      <c r="H8" s="90">
        <f t="shared" si="0"/>
        <v>14893</v>
      </c>
      <c r="I8" s="109">
        <f t="shared" si="1"/>
        <v>2978.6000000000004</v>
      </c>
      <c r="J8" s="91">
        <v>103082</v>
      </c>
      <c r="K8" s="89">
        <f t="shared" si="14"/>
        <v>95</v>
      </c>
      <c r="L8" s="75">
        <f t="shared" si="2"/>
        <v>744.8</v>
      </c>
      <c r="M8" s="88">
        <v>40143</v>
      </c>
      <c r="N8" s="89">
        <f t="shared" si="15"/>
        <v>21</v>
      </c>
      <c r="O8" s="89">
        <v>23953</v>
      </c>
      <c r="P8" s="92">
        <f t="shared" si="16"/>
        <v>12</v>
      </c>
      <c r="Q8" s="92">
        <f t="shared" si="5"/>
        <v>33</v>
      </c>
      <c r="R8" s="93">
        <v>60132</v>
      </c>
      <c r="S8" s="92">
        <f t="shared" si="17"/>
        <v>32</v>
      </c>
      <c r="T8" s="102">
        <f t="shared" si="6"/>
        <v>33.782400000000003</v>
      </c>
      <c r="U8" s="101">
        <f t="shared" si="7"/>
        <v>582.96552000000008</v>
      </c>
      <c r="V8" s="143">
        <v>76176</v>
      </c>
      <c r="W8" s="315">
        <f t="shared" si="18"/>
        <v>21</v>
      </c>
      <c r="X8" s="316">
        <f t="shared" si="19"/>
        <v>5971.2450000000008</v>
      </c>
      <c r="Y8" s="317">
        <f t="shared" si="8"/>
        <v>2059.4824005</v>
      </c>
      <c r="Z8" s="317">
        <f t="shared" si="20"/>
        <v>4413.1961424731189</v>
      </c>
      <c r="AA8" s="318">
        <f t="shared" si="9"/>
        <v>6472.678542973119</v>
      </c>
      <c r="AB8" s="93">
        <v>641505</v>
      </c>
      <c r="AC8" s="93">
        <f t="shared" si="10"/>
        <v>6535</v>
      </c>
      <c r="AD8" s="319">
        <f t="shared" si="11"/>
        <v>22.982644322917579</v>
      </c>
      <c r="AE8" s="177">
        <v>0.8921</v>
      </c>
      <c r="AF8" s="94">
        <v>331</v>
      </c>
      <c r="AG8" s="178">
        <v>20536</v>
      </c>
      <c r="AH8" s="140">
        <f t="shared" si="21"/>
        <v>6</v>
      </c>
      <c r="AI8" s="88">
        <v>14625513</v>
      </c>
      <c r="AJ8" s="89">
        <f t="shared" si="22"/>
        <v>5384</v>
      </c>
      <c r="AK8" s="94">
        <f t="shared" si="23"/>
        <v>1076.8</v>
      </c>
      <c r="AL8" s="88">
        <v>6711920</v>
      </c>
      <c r="AM8" s="89">
        <f t="shared" si="24"/>
        <v>2188</v>
      </c>
      <c r="AN8" s="94">
        <f t="shared" si="25"/>
        <v>437.6</v>
      </c>
      <c r="AO8" s="91">
        <v>230411</v>
      </c>
      <c r="AP8" s="89">
        <f t="shared" si="26"/>
        <v>141</v>
      </c>
      <c r="AQ8" s="94">
        <f t="shared" si="27"/>
        <v>28.200000000000003</v>
      </c>
      <c r="AR8" s="91">
        <v>8190</v>
      </c>
      <c r="AS8" s="89">
        <f t="shared" si="28"/>
        <v>5</v>
      </c>
      <c r="AT8" s="140">
        <f t="shared" si="29"/>
        <v>39.200000000000003</v>
      </c>
      <c r="AU8" s="88">
        <v>3126</v>
      </c>
      <c r="AV8" s="89">
        <f t="shared" si="30"/>
        <v>1</v>
      </c>
      <c r="AW8" s="94">
        <f t="shared" si="12"/>
        <v>7.84</v>
      </c>
      <c r="AX8" s="88">
        <v>102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45631</v>
      </c>
      <c r="B9" s="91">
        <v>20805136</v>
      </c>
      <c r="C9" s="89">
        <f t="shared" si="3"/>
        <v>7779</v>
      </c>
      <c r="D9" s="89">
        <v>21516360</v>
      </c>
      <c r="E9" s="89">
        <f t="shared" si="4"/>
        <v>7173</v>
      </c>
      <c r="F9" s="89">
        <v>480676</v>
      </c>
      <c r="G9" s="89">
        <f t="shared" si="13"/>
        <v>137</v>
      </c>
      <c r="H9" s="90">
        <f t="shared" si="0"/>
        <v>15089</v>
      </c>
      <c r="I9" s="109">
        <f t="shared" si="1"/>
        <v>3017.8</v>
      </c>
      <c r="J9" s="91">
        <v>103185</v>
      </c>
      <c r="K9" s="89">
        <f t="shared" si="14"/>
        <v>103</v>
      </c>
      <c r="L9" s="75">
        <f t="shared" si="2"/>
        <v>807.52</v>
      </c>
      <c r="M9" s="88">
        <v>40163</v>
      </c>
      <c r="N9" s="89">
        <f t="shared" si="15"/>
        <v>20</v>
      </c>
      <c r="O9" s="89">
        <v>23967</v>
      </c>
      <c r="P9" s="92">
        <f t="shared" si="16"/>
        <v>14</v>
      </c>
      <c r="Q9" s="92">
        <f t="shared" si="5"/>
        <v>34</v>
      </c>
      <c r="R9" s="93">
        <v>60165</v>
      </c>
      <c r="S9" s="92">
        <f t="shared" si="17"/>
        <v>33</v>
      </c>
      <c r="T9" s="102">
        <f t="shared" si="6"/>
        <v>34.838100000000004</v>
      </c>
      <c r="U9" s="101">
        <f t="shared" si="7"/>
        <v>594.63100500000007</v>
      </c>
      <c r="V9" s="143">
        <v>76197</v>
      </c>
      <c r="W9" s="315">
        <f t="shared" si="18"/>
        <v>21</v>
      </c>
      <c r="X9" s="316">
        <f t="shared" si="19"/>
        <v>5971.2450000000008</v>
      </c>
      <c r="Y9" s="317">
        <f t="shared" si="8"/>
        <v>2059.4824005</v>
      </c>
      <c r="Z9" s="317">
        <f t="shared" si="20"/>
        <v>4413.1961424731189</v>
      </c>
      <c r="AA9" s="318">
        <f t="shared" si="9"/>
        <v>6472.678542973119</v>
      </c>
      <c r="AB9" s="93">
        <v>648413</v>
      </c>
      <c r="AC9" s="93">
        <f t="shared" si="10"/>
        <v>6908</v>
      </c>
      <c r="AD9" s="319">
        <f t="shared" si="11"/>
        <v>24.294431060859164</v>
      </c>
      <c r="AE9" s="175">
        <v>0.97460000000000002</v>
      </c>
      <c r="AF9" s="94">
        <v>391</v>
      </c>
      <c r="AG9" s="176">
        <v>20541</v>
      </c>
      <c r="AH9" s="140">
        <f t="shared" si="21"/>
        <v>5</v>
      </c>
      <c r="AI9" s="88">
        <v>14631066</v>
      </c>
      <c r="AJ9" s="89">
        <f t="shared" si="22"/>
        <v>5553</v>
      </c>
      <c r="AK9" s="94">
        <f t="shared" si="23"/>
        <v>1110.6000000000001</v>
      </c>
      <c r="AL9" s="88">
        <v>6714155</v>
      </c>
      <c r="AM9" s="89">
        <f t="shared" si="24"/>
        <v>2235</v>
      </c>
      <c r="AN9" s="94">
        <f t="shared" si="25"/>
        <v>447</v>
      </c>
      <c r="AO9" s="91">
        <v>230581</v>
      </c>
      <c r="AP9" s="89">
        <f t="shared" si="26"/>
        <v>170</v>
      </c>
      <c r="AQ9" s="94">
        <f t="shared" si="27"/>
        <v>34</v>
      </c>
      <c r="AR9" s="91">
        <v>8196</v>
      </c>
      <c r="AS9" s="89">
        <f t="shared" si="28"/>
        <v>6</v>
      </c>
      <c r="AT9" s="140">
        <f t="shared" si="29"/>
        <v>47.04</v>
      </c>
      <c r="AU9" s="88">
        <v>3127</v>
      </c>
      <c r="AV9" s="89">
        <f t="shared" si="30"/>
        <v>1</v>
      </c>
      <c r="AW9" s="94">
        <f t="shared" si="12"/>
        <v>7.84</v>
      </c>
      <c r="AX9" s="88">
        <v>103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45632</v>
      </c>
      <c r="B10" s="91">
        <v>20812770</v>
      </c>
      <c r="C10" s="89">
        <f t="shared" si="3"/>
        <v>7634</v>
      </c>
      <c r="D10" s="89">
        <v>21523666</v>
      </c>
      <c r="E10" s="89">
        <f>IF(ISBLANK(D10),"0",D10-D9)</f>
        <v>7306</v>
      </c>
      <c r="F10" s="89">
        <v>480808</v>
      </c>
      <c r="G10" s="89">
        <f>IF(ISBLANK(F10),"0",F10-F9)</f>
        <v>132</v>
      </c>
      <c r="H10" s="90">
        <f t="shared" si="0"/>
        <v>15072</v>
      </c>
      <c r="I10" s="109">
        <f t="shared" si="1"/>
        <v>3014.4</v>
      </c>
      <c r="J10" s="91">
        <v>103273</v>
      </c>
      <c r="K10" s="89">
        <f t="shared" si="14"/>
        <v>88</v>
      </c>
      <c r="L10" s="75">
        <f t="shared" si="2"/>
        <v>689.92</v>
      </c>
      <c r="M10" s="88">
        <v>40185</v>
      </c>
      <c r="N10" s="89">
        <f>IF(ISBLANK(M10),"0",M10-M9)</f>
        <v>22</v>
      </c>
      <c r="O10" s="89">
        <v>23979</v>
      </c>
      <c r="P10" s="92">
        <f t="shared" si="16"/>
        <v>12</v>
      </c>
      <c r="Q10" s="92">
        <f t="shared" si="5"/>
        <v>34</v>
      </c>
      <c r="R10" s="93">
        <v>60199</v>
      </c>
      <c r="S10" s="92">
        <f t="shared" si="17"/>
        <v>34</v>
      </c>
      <c r="T10" s="102">
        <f t="shared" si="6"/>
        <v>35.893800000000006</v>
      </c>
      <c r="U10" s="101">
        <f t="shared" si="7"/>
        <v>606.29649000000006</v>
      </c>
      <c r="V10" s="143">
        <v>76221</v>
      </c>
      <c r="W10" s="315">
        <f t="shared" si="18"/>
        <v>24</v>
      </c>
      <c r="X10" s="316">
        <f t="shared" si="19"/>
        <v>6824.2800000000007</v>
      </c>
      <c r="Y10" s="317">
        <f t="shared" si="8"/>
        <v>2353.694172</v>
      </c>
      <c r="Z10" s="317">
        <f t="shared" si="20"/>
        <v>4413.1961424731189</v>
      </c>
      <c r="AA10" s="318">
        <f t="shared" si="9"/>
        <v>6766.8903144731194</v>
      </c>
      <c r="AB10" s="93">
        <v>655911</v>
      </c>
      <c r="AC10" s="93">
        <f t="shared" si="10"/>
        <v>7498</v>
      </c>
      <c r="AD10" s="319">
        <f t="shared" si="11"/>
        <v>26.369375230793576</v>
      </c>
      <c r="AE10" s="175">
        <v>0.96830000000000005</v>
      </c>
      <c r="AF10" s="94">
        <v>421</v>
      </c>
      <c r="AG10" s="176">
        <v>20547</v>
      </c>
      <c r="AH10" s="140">
        <f t="shared" si="21"/>
        <v>6</v>
      </c>
      <c r="AI10" s="88">
        <v>14636549</v>
      </c>
      <c r="AJ10" s="89">
        <f t="shared" si="22"/>
        <v>5483</v>
      </c>
      <c r="AK10" s="94">
        <f t="shared" si="23"/>
        <v>1096.6000000000001</v>
      </c>
      <c r="AL10" s="88">
        <v>6716339</v>
      </c>
      <c r="AM10" s="89">
        <f t="shared" si="24"/>
        <v>2184</v>
      </c>
      <c r="AN10" s="94">
        <f t="shared" si="25"/>
        <v>436.8</v>
      </c>
      <c r="AO10" s="91">
        <v>230763</v>
      </c>
      <c r="AP10" s="89">
        <f t="shared" si="26"/>
        <v>182</v>
      </c>
      <c r="AQ10" s="94">
        <f t="shared" si="27"/>
        <v>36.4</v>
      </c>
      <c r="AR10" s="91">
        <v>8202</v>
      </c>
      <c r="AS10" s="89">
        <f t="shared" si="28"/>
        <v>6</v>
      </c>
      <c r="AT10" s="140">
        <f t="shared" si="29"/>
        <v>47.04</v>
      </c>
      <c r="AU10" s="88">
        <v>3128</v>
      </c>
      <c r="AV10" s="89">
        <f t="shared" si="30"/>
        <v>1</v>
      </c>
      <c r="AW10" s="94">
        <f t="shared" si="12"/>
        <v>7.84</v>
      </c>
      <c r="AX10" s="88">
        <v>103</v>
      </c>
      <c r="AY10" s="89">
        <f t="shared" si="31"/>
        <v>0</v>
      </c>
      <c r="AZ10" s="94">
        <f t="shared" si="32"/>
        <v>0</v>
      </c>
    </row>
    <row r="11" spans="1:52" s="3" customFormat="1" ht="27.95" customHeight="1" x14ac:dyDescent="0.25">
      <c r="A11" s="98">
        <v>45633</v>
      </c>
      <c r="B11" s="91">
        <v>20820349</v>
      </c>
      <c r="C11" s="89">
        <f t="shared" si="3"/>
        <v>7579</v>
      </c>
      <c r="D11" s="89">
        <v>21530879</v>
      </c>
      <c r="E11" s="89">
        <f t="shared" si="4"/>
        <v>7213</v>
      </c>
      <c r="F11" s="89">
        <v>480941</v>
      </c>
      <c r="G11" s="89">
        <f t="shared" si="13"/>
        <v>133</v>
      </c>
      <c r="H11" s="90">
        <f t="shared" si="0"/>
        <v>14925</v>
      </c>
      <c r="I11" s="109">
        <f t="shared" si="1"/>
        <v>2985</v>
      </c>
      <c r="J11" s="91">
        <v>103379</v>
      </c>
      <c r="K11" s="89">
        <f t="shared" si="14"/>
        <v>106</v>
      </c>
      <c r="L11" s="75">
        <f t="shared" si="2"/>
        <v>831.04</v>
      </c>
      <c r="M11" s="88">
        <v>40206</v>
      </c>
      <c r="N11" s="89">
        <f t="shared" si="15"/>
        <v>21</v>
      </c>
      <c r="O11" s="89">
        <v>23992</v>
      </c>
      <c r="P11" s="92">
        <f t="shared" si="16"/>
        <v>13</v>
      </c>
      <c r="Q11" s="92">
        <f t="shared" si="5"/>
        <v>34</v>
      </c>
      <c r="R11" s="93">
        <v>60231</v>
      </c>
      <c r="S11" s="92">
        <f t="shared" si="17"/>
        <v>32</v>
      </c>
      <c r="T11" s="102">
        <f t="shared" si="6"/>
        <v>33.782400000000003</v>
      </c>
      <c r="U11" s="101">
        <f t="shared" si="7"/>
        <v>582.96552000000008</v>
      </c>
      <c r="V11" s="143">
        <v>76243</v>
      </c>
      <c r="W11" s="315">
        <f t="shared" si="18"/>
        <v>22</v>
      </c>
      <c r="X11" s="316">
        <f t="shared" si="19"/>
        <v>6255.59</v>
      </c>
      <c r="Y11" s="317">
        <f t="shared" si="8"/>
        <v>2157.552991</v>
      </c>
      <c r="Z11" s="317">
        <f t="shared" si="20"/>
        <v>4413.1961424731189</v>
      </c>
      <c r="AA11" s="318">
        <f t="shared" si="9"/>
        <v>6570.7491334731185</v>
      </c>
      <c r="AB11" s="93">
        <v>663228</v>
      </c>
      <c r="AC11" s="93">
        <f t="shared" si="10"/>
        <v>7317</v>
      </c>
      <c r="AD11" s="319">
        <f t="shared" si="11"/>
        <v>25.732824561712004</v>
      </c>
      <c r="AE11" s="175">
        <v>0.873</v>
      </c>
      <c r="AF11" s="94">
        <v>378</v>
      </c>
      <c r="AG11" s="176">
        <v>20553</v>
      </c>
      <c r="AH11" s="140">
        <f t="shared" si="21"/>
        <v>6</v>
      </c>
      <c r="AI11" s="88">
        <v>14641042</v>
      </c>
      <c r="AJ11" s="89">
        <f t="shared" si="22"/>
        <v>4493</v>
      </c>
      <c r="AK11" s="94">
        <f t="shared" si="23"/>
        <v>898.6</v>
      </c>
      <c r="AL11" s="88">
        <v>6718374</v>
      </c>
      <c r="AM11" s="89">
        <f t="shared" si="24"/>
        <v>2035</v>
      </c>
      <c r="AN11" s="94">
        <f t="shared" si="25"/>
        <v>407</v>
      </c>
      <c r="AO11" s="91">
        <v>230942</v>
      </c>
      <c r="AP11" s="89">
        <f t="shared" si="26"/>
        <v>179</v>
      </c>
      <c r="AQ11" s="94">
        <f t="shared" si="27"/>
        <v>35.800000000000004</v>
      </c>
      <c r="AR11" s="91">
        <v>8206</v>
      </c>
      <c r="AS11" s="89">
        <f t="shared" si="28"/>
        <v>4</v>
      </c>
      <c r="AT11" s="140">
        <f t="shared" si="29"/>
        <v>31.36</v>
      </c>
      <c r="AU11" s="88">
        <v>3129</v>
      </c>
      <c r="AV11" s="89">
        <f t="shared" si="30"/>
        <v>1</v>
      </c>
      <c r="AW11" s="94">
        <f t="shared" si="12"/>
        <v>7.84</v>
      </c>
      <c r="AX11" s="88">
        <v>103</v>
      </c>
      <c r="AY11" s="89">
        <f t="shared" si="31"/>
        <v>0</v>
      </c>
      <c r="AZ11" s="94">
        <f t="shared" si="32"/>
        <v>0</v>
      </c>
    </row>
    <row r="12" spans="1:52" s="3" customFormat="1" ht="27.95" customHeight="1" x14ac:dyDescent="0.25">
      <c r="A12" s="98">
        <v>45634</v>
      </c>
      <c r="B12" s="91">
        <v>20828217</v>
      </c>
      <c r="C12" s="89">
        <f t="shared" si="3"/>
        <v>7868</v>
      </c>
      <c r="D12" s="89">
        <v>21538120</v>
      </c>
      <c r="E12" s="89">
        <f t="shared" si="4"/>
        <v>7241</v>
      </c>
      <c r="F12" s="89">
        <v>481083</v>
      </c>
      <c r="G12" s="89">
        <f t="shared" si="13"/>
        <v>142</v>
      </c>
      <c r="H12" s="90">
        <f t="shared" si="0"/>
        <v>15251</v>
      </c>
      <c r="I12" s="109">
        <f t="shared" si="1"/>
        <v>3050.2000000000003</v>
      </c>
      <c r="J12" s="91">
        <v>103480</v>
      </c>
      <c r="K12" s="89">
        <f t="shared" si="14"/>
        <v>101</v>
      </c>
      <c r="L12" s="75">
        <f t="shared" si="2"/>
        <v>791.84</v>
      </c>
      <c r="M12" s="88">
        <v>40226</v>
      </c>
      <c r="N12" s="89">
        <f t="shared" si="15"/>
        <v>20</v>
      </c>
      <c r="O12" s="89">
        <v>24008</v>
      </c>
      <c r="P12" s="92">
        <f t="shared" si="16"/>
        <v>16</v>
      </c>
      <c r="Q12" s="92">
        <f t="shared" si="5"/>
        <v>36</v>
      </c>
      <c r="R12" s="93">
        <v>60266</v>
      </c>
      <c r="S12" s="92">
        <f t="shared" si="17"/>
        <v>35</v>
      </c>
      <c r="T12" s="102">
        <f t="shared" si="6"/>
        <v>36.9495</v>
      </c>
      <c r="U12" s="101">
        <f t="shared" si="7"/>
        <v>617.96197500000005</v>
      </c>
      <c r="V12" s="143">
        <v>76267</v>
      </c>
      <c r="W12" s="315">
        <f t="shared" si="18"/>
        <v>24</v>
      </c>
      <c r="X12" s="316">
        <f t="shared" si="19"/>
        <v>6824.2800000000007</v>
      </c>
      <c r="Y12" s="317">
        <f t="shared" si="8"/>
        <v>2353.694172</v>
      </c>
      <c r="Z12" s="317">
        <f t="shared" si="20"/>
        <v>4413.1961424731189</v>
      </c>
      <c r="AA12" s="318">
        <f t="shared" si="9"/>
        <v>6766.8903144731194</v>
      </c>
      <c r="AB12" s="93">
        <v>670316</v>
      </c>
      <c r="AC12" s="93">
        <f t="shared" si="10"/>
        <v>7088</v>
      </c>
      <c r="AD12" s="319">
        <f t="shared" si="11"/>
        <v>24.927464875415428</v>
      </c>
      <c r="AE12" s="179">
        <v>1</v>
      </c>
      <c r="AF12" s="94">
        <v>413</v>
      </c>
      <c r="AG12" s="180">
        <v>20558</v>
      </c>
      <c r="AH12" s="140">
        <f t="shared" si="21"/>
        <v>5</v>
      </c>
      <c r="AI12" s="88">
        <v>14645636</v>
      </c>
      <c r="AJ12" s="89">
        <f t="shared" si="22"/>
        <v>4594</v>
      </c>
      <c r="AK12" s="94">
        <f t="shared" si="23"/>
        <v>918.80000000000007</v>
      </c>
      <c r="AL12" s="88">
        <v>6720508</v>
      </c>
      <c r="AM12" s="89">
        <f t="shared" si="24"/>
        <v>2134</v>
      </c>
      <c r="AN12" s="94">
        <f t="shared" si="25"/>
        <v>426.8</v>
      </c>
      <c r="AO12" s="91">
        <v>231123</v>
      </c>
      <c r="AP12" s="89">
        <f t="shared" si="26"/>
        <v>181</v>
      </c>
      <c r="AQ12" s="94">
        <f t="shared" si="27"/>
        <v>36.200000000000003</v>
      </c>
      <c r="AR12" s="91">
        <v>8214</v>
      </c>
      <c r="AS12" s="89">
        <f t="shared" si="28"/>
        <v>8</v>
      </c>
      <c r="AT12" s="140">
        <f t="shared" si="29"/>
        <v>62.72</v>
      </c>
      <c r="AU12" s="88">
        <v>3132</v>
      </c>
      <c r="AV12" s="89">
        <f t="shared" si="30"/>
        <v>3</v>
      </c>
      <c r="AW12" s="94">
        <f t="shared" si="12"/>
        <v>23.52</v>
      </c>
      <c r="AX12" s="88">
        <v>104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45635</v>
      </c>
      <c r="B13" s="91">
        <v>20836148</v>
      </c>
      <c r="C13" s="89">
        <f t="shared" si="3"/>
        <v>7931</v>
      </c>
      <c r="D13" s="89">
        <v>21545535</v>
      </c>
      <c r="E13" s="89">
        <f t="shared" si="4"/>
        <v>7415</v>
      </c>
      <c r="F13" s="89">
        <v>481231</v>
      </c>
      <c r="G13" s="89">
        <f t="shared" si="13"/>
        <v>148</v>
      </c>
      <c r="H13" s="90">
        <f t="shared" si="0"/>
        <v>15494</v>
      </c>
      <c r="I13" s="109">
        <f t="shared" si="1"/>
        <v>3098.8</v>
      </c>
      <c r="J13" s="91">
        <v>103592</v>
      </c>
      <c r="K13" s="89">
        <f t="shared" si="14"/>
        <v>112</v>
      </c>
      <c r="L13" s="75">
        <f t="shared" si="2"/>
        <v>878.07999999999993</v>
      </c>
      <c r="M13" s="88">
        <v>40247</v>
      </c>
      <c r="N13" s="89">
        <f t="shared" si="15"/>
        <v>21</v>
      </c>
      <c r="O13" s="89">
        <v>24023</v>
      </c>
      <c r="P13" s="92">
        <f t="shared" si="16"/>
        <v>15</v>
      </c>
      <c r="Q13" s="92">
        <f t="shared" si="5"/>
        <v>36</v>
      </c>
      <c r="R13" s="93">
        <v>60301</v>
      </c>
      <c r="S13" s="92">
        <f t="shared" si="17"/>
        <v>35</v>
      </c>
      <c r="T13" s="102">
        <f t="shared" si="6"/>
        <v>36.9495</v>
      </c>
      <c r="U13" s="101">
        <f t="shared" si="7"/>
        <v>617.96197500000005</v>
      </c>
      <c r="V13" s="143">
        <v>76287</v>
      </c>
      <c r="W13" s="315">
        <f t="shared" si="18"/>
        <v>20</v>
      </c>
      <c r="X13" s="316">
        <f t="shared" si="19"/>
        <v>5686.9000000000005</v>
      </c>
      <c r="Y13" s="317">
        <f t="shared" si="8"/>
        <v>1961.4118100000001</v>
      </c>
      <c r="Z13" s="317">
        <f t="shared" si="20"/>
        <v>4413.1961424731189</v>
      </c>
      <c r="AA13" s="318">
        <f t="shared" si="9"/>
        <v>6374.6079524731194</v>
      </c>
      <c r="AB13" s="93">
        <v>676868</v>
      </c>
      <c r="AC13" s="93">
        <f t="shared" si="10"/>
        <v>6552</v>
      </c>
      <c r="AD13" s="319">
        <f t="shared" si="11"/>
        <v>23.042430849847893</v>
      </c>
      <c r="AE13" s="175">
        <v>1</v>
      </c>
      <c r="AF13" s="94">
        <v>384</v>
      </c>
      <c r="AG13" s="176">
        <v>20563</v>
      </c>
      <c r="AH13" s="140">
        <f t="shared" si="21"/>
        <v>5</v>
      </c>
      <c r="AI13" s="88">
        <v>14651223</v>
      </c>
      <c r="AJ13" s="89">
        <f t="shared" si="22"/>
        <v>5587</v>
      </c>
      <c r="AK13" s="94">
        <f t="shared" si="23"/>
        <v>1117.4000000000001</v>
      </c>
      <c r="AL13" s="88">
        <v>6722747</v>
      </c>
      <c r="AM13" s="89">
        <f t="shared" si="24"/>
        <v>2239</v>
      </c>
      <c r="AN13" s="94">
        <f t="shared" si="25"/>
        <v>447.8</v>
      </c>
      <c r="AO13" s="91">
        <v>231285</v>
      </c>
      <c r="AP13" s="89">
        <f t="shared" si="26"/>
        <v>162</v>
      </c>
      <c r="AQ13" s="94">
        <f t="shared" si="27"/>
        <v>32.4</v>
      </c>
      <c r="AR13" s="91">
        <v>8222</v>
      </c>
      <c r="AS13" s="89">
        <f t="shared" si="28"/>
        <v>8</v>
      </c>
      <c r="AT13" s="140">
        <f t="shared" si="29"/>
        <v>62.72</v>
      </c>
      <c r="AU13" s="88">
        <v>3133</v>
      </c>
      <c r="AV13" s="89">
        <f t="shared" si="30"/>
        <v>1</v>
      </c>
      <c r="AW13" s="94">
        <f t="shared" si="12"/>
        <v>7.84</v>
      </c>
      <c r="AX13" s="88">
        <v>105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45636</v>
      </c>
      <c r="B14" s="91">
        <v>20843934</v>
      </c>
      <c r="C14" s="89">
        <f t="shared" si="3"/>
        <v>7786</v>
      </c>
      <c r="D14" s="89">
        <v>21552718</v>
      </c>
      <c r="E14" s="89">
        <f t="shared" si="4"/>
        <v>7183</v>
      </c>
      <c r="F14" s="89">
        <v>481367</v>
      </c>
      <c r="G14" s="89">
        <f t="shared" si="13"/>
        <v>136</v>
      </c>
      <c r="H14" s="90">
        <f t="shared" si="0"/>
        <v>15105</v>
      </c>
      <c r="I14" s="109">
        <f t="shared" si="1"/>
        <v>3021</v>
      </c>
      <c r="J14" s="91">
        <v>103695</v>
      </c>
      <c r="K14" s="89">
        <f t="shared" si="14"/>
        <v>103</v>
      </c>
      <c r="L14" s="75">
        <f t="shared" si="2"/>
        <v>807.52</v>
      </c>
      <c r="M14" s="88">
        <v>40268</v>
      </c>
      <c r="N14" s="89">
        <f t="shared" si="15"/>
        <v>21</v>
      </c>
      <c r="O14" s="89">
        <v>24038</v>
      </c>
      <c r="P14" s="92">
        <f t="shared" si="16"/>
        <v>15</v>
      </c>
      <c r="Q14" s="92">
        <f t="shared" si="5"/>
        <v>36</v>
      </c>
      <c r="R14" s="93">
        <v>60336</v>
      </c>
      <c r="S14" s="92">
        <f t="shared" si="17"/>
        <v>35</v>
      </c>
      <c r="T14" s="102">
        <f t="shared" si="6"/>
        <v>36.9495</v>
      </c>
      <c r="U14" s="101">
        <f t="shared" si="7"/>
        <v>617.96197500000005</v>
      </c>
      <c r="V14" s="143">
        <v>76308</v>
      </c>
      <c r="W14" s="315">
        <f t="shared" si="18"/>
        <v>21</v>
      </c>
      <c r="X14" s="316">
        <f t="shared" si="19"/>
        <v>5971.2450000000008</v>
      </c>
      <c r="Y14" s="317">
        <f t="shared" si="8"/>
        <v>2059.4824005</v>
      </c>
      <c r="Z14" s="317">
        <f t="shared" si="20"/>
        <v>4413.1961424731189</v>
      </c>
      <c r="AA14" s="318">
        <f t="shared" si="9"/>
        <v>6472.678542973119</v>
      </c>
      <c r="AB14" s="93">
        <v>683748</v>
      </c>
      <c r="AC14" s="93">
        <f t="shared" si="10"/>
        <v>6880</v>
      </c>
      <c r="AD14" s="319">
        <f t="shared" si="11"/>
        <v>24.195959134150414</v>
      </c>
      <c r="AE14" s="175">
        <v>0.96509999999999996</v>
      </c>
      <c r="AF14" s="94">
        <v>378</v>
      </c>
      <c r="AG14" s="176">
        <v>20568</v>
      </c>
      <c r="AH14" s="140">
        <f t="shared" si="21"/>
        <v>5</v>
      </c>
      <c r="AI14" s="88">
        <v>14656843</v>
      </c>
      <c r="AJ14" s="89">
        <f t="shared" si="22"/>
        <v>5620</v>
      </c>
      <c r="AK14" s="94">
        <f t="shared" si="23"/>
        <v>1124</v>
      </c>
      <c r="AL14" s="88">
        <v>6725000</v>
      </c>
      <c r="AM14" s="89">
        <f t="shared" si="24"/>
        <v>2253</v>
      </c>
      <c r="AN14" s="94">
        <f t="shared" si="25"/>
        <v>450.6</v>
      </c>
      <c r="AO14" s="91">
        <v>231449</v>
      </c>
      <c r="AP14" s="89">
        <f t="shared" si="26"/>
        <v>164</v>
      </c>
      <c r="AQ14" s="94">
        <f t="shared" si="27"/>
        <v>32.800000000000004</v>
      </c>
      <c r="AR14" s="91">
        <v>8228</v>
      </c>
      <c r="AS14" s="89">
        <f t="shared" si="28"/>
        <v>6</v>
      </c>
      <c r="AT14" s="140">
        <f t="shared" si="29"/>
        <v>47.04</v>
      </c>
      <c r="AU14" s="88">
        <v>3134</v>
      </c>
      <c r="AV14" s="89">
        <f t="shared" si="30"/>
        <v>1</v>
      </c>
      <c r="AW14" s="94">
        <f t="shared" si="12"/>
        <v>7.84</v>
      </c>
      <c r="AX14" s="88">
        <v>106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45637</v>
      </c>
      <c r="B15" s="91">
        <v>20851704</v>
      </c>
      <c r="C15" s="89">
        <f t="shared" si="3"/>
        <v>7770</v>
      </c>
      <c r="D15" s="89">
        <v>21559985</v>
      </c>
      <c r="E15" s="89">
        <f t="shared" si="4"/>
        <v>7267</v>
      </c>
      <c r="F15" s="89">
        <v>481503</v>
      </c>
      <c r="G15" s="89">
        <f t="shared" si="13"/>
        <v>136</v>
      </c>
      <c r="H15" s="90">
        <f t="shared" si="0"/>
        <v>15173</v>
      </c>
      <c r="I15" s="109">
        <f t="shared" si="1"/>
        <v>3034.6000000000004</v>
      </c>
      <c r="J15" s="91">
        <v>103801</v>
      </c>
      <c r="K15" s="89">
        <f t="shared" si="14"/>
        <v>106</v>
      </c>
      <c r="L15" s="75">
        <f t="shared" si="2"/>
        <v>831.04</v>
      </c>
      <c r="M15" s="88">
        <v>40289</v>
      </c>
      <c r="N15" s="89">
        <f t="shared" si="15"/>
        <v>21</v>
      </c>
      <c r="O15" s="89">
        <v>24051</v>
      </c>
      <c r="P15" s="92">
        <f t="shared" si="16"/>
        <v>13</v>
      </c>
      <c r="Q15" s="92">
        <f t="shared" si="5"/>
        <v>34</v>
      </c>
      <c r="R15" s="93">
        <v>60368</v>
      </c>
      <c r="S15" s="92">
        <f t="shared" si="17"/>
        <v>32</v>
      </c>
      <c r="T15" s="102">
        <f t="shared" si="6"/>
        <v>33.782400000000003</v>
      </c>
      <c r="U15" s="101">
        <f t="shared" si="7"/>
        <v>582.96552000000008</v>
      </c>
      <c r="V15" s="143">
        <v>76330</v>
      </c>
      <c r="W15" s="315">
        <f t="shared" si="18"/>
        <v>22</v>
      </c>
      <c r="X15" s="316">
        <f t="shared" si="19"/>
        <v>6255.59</v>
      </c>
      <c r="Y15" s="317">
        <f t="shared" si="8"/>
        <v>2157.552991</v>
      </c>
      <c r="Z15" s="317">
        <f t="shared" si="20"/>
        <v>4413.1961424731189</v>
      </c>
      <c r="AA15" s="318">
        <f t="shared" si="9"/>
        <v>6570.7491334731185</v>
      </c>
      <c r="AB15" s="93">
        <v>690734</v>
      </c>
      <c r="AC15" s="93">
        <f t="shared" si="10"/>
        <v>6986</v>
      </c>
      <c r="AD15" s="319">
        <f t="shared" si="11"/>
        <v>24.568745713833543</v>
      </c>
      <c r="AE15" s="175">
        <v>0.97460000000000002</v>
      </c>
      <c r="AF15" s="94">
        <v>408</v>
      </c>
      <c r="AG15" s="176">
        <v>20574</v>
      </c>
      <c r="AH15" s="140">
        <f t="shared" si="21"/>
        <v>6</v>
      </c>
      <c r="AI15" s="88">
        <v>14662411</v>
      </c>
      <c r="AJ15" s="89">
        <f t="shared" si="22"/>
        <v>5568</v>
      </c>
      <c r="AK15" s="94">
        <f t="shared" si="23"/>
        <v>1113.6000000000001</v>
      </c>
      <c r="AL15" s="88">
        <v>6727214</v>
      </c>
      <c r="AM15" s="89">
        <f t="shared" si="24"/>
        <v>2214</v>
      </c>
      <c r="AN15" s="94">
        <f t="shared" si="25"/>
        <v>442.8</v>
      </c>
      <c r="AO15" s="91">
        <v>231621</v>
      </c>
      <c r="AP15" s="89">
        <f t="shared" si="26"/>
        <v>172</v>
      </c>
      <c r="AQ15" s="94">
        <f t="shared" si="27"/>
        <v>34.4</v>
      </c>
      <c r="AR15" s="91">
        <v>8236</v>
      </c>
      <c r="AS15" s="89">
        <f t="shared" si="28"/>
        <v>8</v>
      </c>
      <c r="AT15" s="140">
        <f t="shared" si="29"/>
        <v>62.72</v>
      </c>
      <c r="AU15" s="88">
        <v>3135</v>
      </c>
      <c r="AV15" s="89">
        <f t="shared" si="30"/>
        <v>1</v>
      </c>
      <c r="AW15" s="94">
        <f t="shared" si="12"/>
        <v>7.84</v>
      </c>
      <c r="AX15" s="88">
        <v>107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45638</v>
      </c>
      <c r="B16" s="91">
        <v>20859498</v>
      </c>
      <c r="C16" s="89">
        <f t="shared" si="3"/>
        <v>7794</v>
      </c>
      <c r="D16" s="89">
        <v>21567457</v>
      </c>
      <c r="E16" s="89">
        <f t="shared" si="4"/>
        <v>7472</v>
      </c>
      <c r="F16" s="89">
        <v>481646</v>
      </c>
      <c r="G16" s="89">
        <f t="shared" si="13"/>
        <v>143</v>
      </c>
      <c r="H16" s="90">
        <f t="shared" si="0"/>
        <v>15409</v>
      </c>
      <c r="I16" s="109">
        <f t="shared" si="1"/>
        <v>3081.8</v>
      </c>
      <c r="J16" s="91">
        <v>103895</v>
      </c>
      <c r="K16" s="89">
        <f t="shared" si="14"/>
        <v>94</v>
      </c>
      <c r="L16" s="75">
        <f t="shared" si="2"/>
        <v>736.96</v>
      </c>
      <c r="M16" s="88">
        <v>40309</v>
      </c>
      <c r="N16" s="89">
        <f t="shared" si="15"/>
        <v>20</v>
      </c>
      <c r="O16" s="89">
        <v>24065</v>
      </c>
      <c r="P16" s="92">
        <f t="shared" si="16"/>
        <v>14</v>
      </c>
      <c r="Q16" s="92">
        <f t="shared" si="5"/>
        <v>34</v>
      </c>
      <c r="R16" s="93">
        <v>60401</v>
      </c>
      <c r="S16" s="92">
        <f t="shared" si="17"/>
        <v>33</v>
      </c>
      <c r="T16" s="102">
        <f t="shared" si="6"/>
        <v>34.838100000000004</v>
      </c>
      <c r="U16" s="101">
        <f t="shared" si="7"/>
        <v>594.63100500000007</v>
      </c>
      <c r="V16" s="143">
        <v>76349</v>
      </c>
      <c r="W16" s="315">
        <f t="shared" si="18"/>
        <v>19</v>
      </c>
      <c r="X16" s="316">
        <f t="shared" si="19"/>
        <v>5402.5550000000003</v>
      </c>
      <c r="Y16" s="317">
        <f t="shared" si="8"/>
        <v>1863.3412195000001</v>
      </c>
      <c r="Z16" s="317">
        <f t="shared" si="20"/>
        <v>4413.1961424731189</v>
      </c>
      <c r="AA16" s="318">
        <f t="shared" si="9"/>
        <v>6276.537361973119</v>
      </c>
      <c r="AB16" s="93">
        <v>697326</v>
      </c>
      <c r="AC16" s="93">
        <f t="shared" si="10"/>
        <v>6592</v>
      </c>
      <c r="AD16" s="319">
        <f t="shared" si="11"/>
        <v>23.183105030860396</v>
      </c>
      <c r="AE16" s="175">
        <v>0.82220000000000004</v>
      </c>
      <c r="AF16" s="94">
        <v>366</v>
      </c>
      <c r="AG16" s="176">
        <v>20580</v>
      </c>
      <c r="AH16" s="140">
        <f t="shared" si="21"/>
        <v>6</v>
      </c>
      <c r="AI16" s="88">
        <v>14668126</v>
      </c>
      <c r="AJ16" s="89">
        <f t="shared" si="22"/>
        <v>5715</v>
      </c>
      <c r="AK16" s="94">
        <f t="shared" si="23"/>
        <v>1143</v>
      </c>
      <c r="AL16" s="88">
        <v>6729497</v>
      </c>
      <c r="AM16" s="89">
        <f t="shared" si="24"/>
        <v>2283</v>
      </c>
      <c r="AN16" s="94">
        <f t="shared" si="25"/>
        <v>456.6</v>
      </c>
      <c r="AO16" s="91">
        <v>231775</v>
      </c>
      <c r="AP16" s="89">
        <f t="shared" si="26"/>
        <v>154</v>
      </c>
      <c r="AQ16" s="94">
        <f t="shared" si="27"/>
        <v>30.8</v>
      </c>
      <c r="AR16" s="91">
        <v>8243</v>
      </c>
      <c r="AS16" s="89">
        <f t="shared" si="28"/>
        <v>7</v>
      </c>
      <c r="AT16" s="140">
        <f t="shared" si="29"/>
        <v>54.879999999999995</v>
      </c>
      <c r="AU16" s="88">
        <v>3136</v>
      </c>
      <c r="AV16" s="89">
        <f t="shared" si="30"/>
        <v>1</v>
      </c>
      <c r="AW16" s="94">
        <f t="shared" si="12"/>
        <v>7.84</v>
      </c>
      <c r="AX16" s="88">
        <v>107</v>
      </c>
      <c r="AY16" s="89">
        <f t="shared" si="31"/>
        <v>0</v>
      </c>
      <c r="AZ16" s="94">
        <f t="shared" si="32"/>
        <v>0</v>
      </c>
    </row>
    <row r="17" spans="1:52" s="3" customFormat="1" ht="27.95" customHeight="1" x14ac:dyDescent="0.25">
      <c r="A17" s="98">
        <v>45639</v>
      </c>
      <c r="B17" s="91">
        <v>20867340</v>
      </c>
      <c r="C17" s="89">
        <f t="shared" si="3"/>
        <v>7842</v>
      </c>
      <c r="D17" s="89">
        <v>21575147</v>
      </c>
      <c r="E17" s="89">
        <f t="shared" si="4"/>
        <v>7690</v>
      </c>
      <c r="F17" s="89">
        <v>481786</v>
      </c>
      <c r="G17" s="89">
        <f t="shared" si="13"/>
        <v>140</v>
      </c>
      <c r="H17" s="90">
        <f t="shared" si="0"/>
        <v>15672</v>
      </c>
      <c r="I17" s="109">
        <f t="shared" si="1"/>
        <v>3134.4</v>
      </c>
      <c r="J17" s="91">
        <v>104003</v>
      </c>
      <c r="K17" s="89">
        <f t="shared" si="14"/>
        <v>108</v>
      </c>
      <c r="L17" s="75">
        <f t="shared" si="2"/>
        <v>846.72</v>
      </c>
      <c r="M17" s="88">
        <v>40329</v>
      </c>
      <c r="N17" s="89">
        <f t="shared" si="15"/>
        <v>20</v>
      </c>
      <c r="O17" s="89">
        <v>24079</v>
      </c>
      <c r="P17" s="92">
        <f t="shared" si="16"/>
        <v>14</v>
      </c>
      <c r="Q17" s="92">
        <f t="shared" si="5"/>
        <v>34</v>
      </c>
      <c r="R17" s="93">
        <v>60435</v>
      </c>
      <c r="S17" s="92">
        <f t="shared" si="17"/>
        <v>34</v>
      </c>
      <c r="T17" s="102">
        <f t="shared" si="6"/>
        <v>35.893800000000006</v>
      </c>
      <c r="U17" s="101">
        <f t="shared" si="7"/>
        <v>606.29649000000006</v>
      </c>
      <c r="V17" s="143">
        <v>76372</v>
      </c>
      <c r="W17" s="315">
        <f t="shared" si="18"/>
        <v>23</v>
      </c>
      <c r="X17" s="316">
        <f t="shared" si="19"/>
        <v>6539.9350000000004</v>
      </c>
      <c r="Y17" s="317">
        <f t="shared" si="8"/>
        <v>2255.6235815</v>
      </c>
      <c r="Z17" s="317">
        <f t="shared" si="20"/>
        <v>4413.1961424731189</v>
      </c>
      <c r="AA17" s="318">
        <f t="shared" si="9"/>
        <v>6668.8197239731189</v>
      </c>
      <c r="AB17" s="93">
        <v>704539</v>
      </c>
      <c r="AC17" s="93">
        <f t="shared" si="10"/>
        <v>7213</v>
      </c>
      <c r="AD17" s="319">
        <f t="shared" si="11"/>
        <v>25.367071691079495</v>
      </c>
      <c r="AE17" s="179">
        <v>0.84760000000000002</v>
      </c>
      <c r="AF17" s="94">
        <v>416</v>
      </c>
      <c r="AG17" s="180">
        <v>20586</v>
      </c>
      <c r="AH17" s="140">
        <f t="shared" si="21"/>
        <v>6</v>
      </c>
      <c r="AI17" s="88">
        <v>14673635</v>
      </c>
      <c r="AJ17" s="89">
        <f t="shared" si="22"/>
        <v>5509</v>
      </c>
      <c r="AK17" s="94">
        <f t="shared" si="23"/>
        <v>1101.8</v>
      </c>
      <c r="AL17" s="88">
        <v>6731719</v>
      </c>
      <c r="AM17" s="89">
        <f t="shared" si="24"/>
        <v>2222</v>
      </c>
      <c r="AN17" s="94">
        <f t="shared" si="25"/>
        <v>444.40000000000003</v>
      </c>
      <c r="AO17" s="91">
        <v>231949</v>
      </c>
      <c r="AP17" s="89">
        <f t="shared" si="26"/>
        <v>174</v>
      </c>
      <c r="AQ17" s="94">
        <f t="shared" si="27"/>
        <v>34.800000000000004</v>
      </c>
      <c r="AR17" s="91">
        <v>8252</v>
      </c>
      <c r="AS17" s="89">
        <f t="shared" si="28"/>
        <v>9</v>
      </c>
      <c r="AT17" s="140">
        <f t="shared" si="29"/>
        <v>70.56</v>
      </c>
      <c r="AU17" s="88">
        <v>3141</v>
      </c>
      <c r="AV17" s="89">
        <f t="shared" si="30"/>
        <v>5</v>
      </c>
      <c r="AW17" s="94">
        <f t="shared" si="12"/>
        <v>39.200000000000003</v>
      </c>
      <c r="AX17" s="88">
        <v>109</v>
      </c>
      <c r="AY17" s="89">
        <f t="shared" si="31"/>
        <v>2</v>
      </c>
      <c r="AZ17" s="94">
        <f t="shared" si="32"/>
        <v>15.68</v>
      </c>
    </row>
    <row r="18" spans="1:52" s="3" customFormat="1" ht="27.95" customHeight="1" x14ac:dyDescent="0.25">
      <c r="A18" s="98">
        <v>45640</v>
      </c>
      <c r="B18" s="91">
        <v>20875305</v>
      </c>
      <c r="C18" s="89">
        <f t="shared" si="3"/>
        <v>7965</v>
      </c>
      <c r="D18" s="89">
        <v>21582665</v>
      </c>
      <c r="E18" s="89">
        <f t="shared" si="4"/>
        <v>7518</v>
      </c>
      <c r="F18" s="89">
        <v>481932</v>
      </c>
      <c r="G18" s="89">
        <f t="shared" si="13"/>
        <v>146</v>
      </c>
      <c r="H18" s="90">
        <f t="shared" si="0"/>
        <v>15629</v>
      </c>
      <c r="I18" s="109">
        <f t="shared" si="1"/>
        <v>3125.8</v>
      </c>
      <c r="J18" s="91">
        <v>104135</v>
      </c>
      <c r="K18" s="89">
        <f t="shared" si="14"/>
        <v>132</v>
      </c>
      <c r="L18" s="75">
        <f t="shared" si="2"/>
        <v>1034.8799999999999</v>
      </c>
      <c r="M18" s="88">
        <v>40349</v>
      </c>
      <c r="N18" s="89">
        <f t="shared" si="15"/>
        <v>20</v>
      </c>
      <c r="O18" s="89">
        <v>24091</v>
      </c>
      <c r="P18" s="92">
        <f t="shared" si="16"/>
        <v>12</v>
      </c>
      <c r="Q18" s="92">
        <f t="shared" si="5"/>
        <v>32</v>
      </c>
      <c r="R18" s="93">
        <v>60465</v>
      </c>
      <c r="S18" s="92">
        <f t="shared" si="17"/>
        <v>30</v>
      </c>
      <c r="T18" s="102">
        <f t="shared" si="6"/>
        <v>31.671000000000003</v>
      </c>
      <c r="U18" s="101">
        <f t="shared" si="7"/>
        <v>559.63454999999999</v>
      </c>
      <c r="V18" s="143">
        <v>76392</v>
      </c>
      <c r="W18" s="315">
        <f t="shared" si="18"/>
        <v>20</v>
      </c>
      <c r="X18" s="316">
        <f t="shared" si="19"/>
        <v>5686.9000000000005</v>
      </c>
      <c r="Y18" s="317">
        <f t="shared" si="8"/>
        <v>1961.4118100000001</v>
      </c>
      <c r="Z18" s="317">
        <f t="shared" si="20"/>
        <v>4413.1961424731189</v>
      </c>
      <c r="AA18" s="318">
        <f t="shared" si="9"/>
        <v>6374.6079524731194</v>
      </c>
      <c r="AB18" s="93">
        <v>711005</v>
      </c>
      <c r="AC18" s="93">
        <f t="shared" si="10"/>
        <v>6466</v>
      </c>
      <c r="AD18" s="319">
        <f t="shared" si="11"/>
        <v>22.739981360671013</v>
      </c>
      <c r="AE18" s="175">
        <v>0.81269999999999998</v>
      </c>
      <c r="AF18" s="94">
        <v>407</v>
      </c>
      <c r="AG18" s="176">
        <v>20590</v>
      </c>
      <c r="AH18" s="140">
        <f t="shared" si="21"/>
        <v>4</v>
      </c>
      <c r="AI18" s="88">
        <v>14678229</v>
      </c>
      <c r="AJ18" s="89">
        <f t="shared" si="22"/>
        <v>4594</v>
      </c>
      <c r="AK18" s="94">
        <f t="shared" si="23"/>
        <v>918.80000000000007</v>
      </c>
      <c r="AL18" s="88">
        <v>6733824</v>
      </c>
      <c r="AM18" s="89">
        <f t="shared" si="24"/>
        <v>2105</v>
      </c>
      <c r="AN18" s="94">
        <f t="shared" si="25"/>
        <v>421</v>
      </c>
      <c r="AO18" s="91">
        <v>232107</v>
      </c>
      <c r="AP18" s="89">
        <f t="shared" si="26"/>
        <v>158</v>
      </c>
      <c r="AQ18" s="94">
        <f t="shared" si="27"/>
        <v>31.6</v>
      </c>
      <c r="AR18" s="91">
        <v>8267</v>
      </c>
      <c r="AS18" s="89">
        <f t="shared" si="28"/>
        <v>15</v>
      </c>
      <c r="AT18" s="140">
        <f t="shared" si="29"/>
        <v>117.6</v>
      </c>
      <c r="AU18" s="88">
        <v>3156</v>
      </c>
      <c r="AV18" s="89">
        <f t="shared" si="30"/>
        <v>15</v>
      </c>
      <c r="AW18" s="94">
        <f t="shared" si="12"/>
        <v>117.6</v>
      </c>
      <c r="AX18" s="88">
        <v>109</v>
      </c>
      <c r="AY18" s="89">
        <f t="shared" si="31"/>
        <v>0</v>
      </c>
      <c r="AZ18" s="94">
        <f t="shared" si="32"/>
        <v>0</v>
      </c>
    </row>
    <row r="19" spans="1:52" s="3" customFormat="1" ht="27.95" customHeight="1" x14ac:dyDescent="0.25">
      <c r="A19" s="98">
        <v>45641</v>
      </c>
      <c r="B19" s="91">
        <v>20883382</v>
      </c>
      <c r="C19" s="89">
        <f t="shared" si="3"/>
        <v>8077</v>
      </c>
      <c r="D19" s="89">
        <v>21590455</v>
      </c>
      <c r="E19" s="89">
        <f t="shared" si="4"/>
        <v>7790</v>
      </c>
      <c r="F19" s="89">
        <v>482071</v>
      </c>
      <c r="G19" s="89">
        <f t="shared" si="13"/>
        <v>139</v>
      </c>
      <c r="H19" s="90">
        <f t="shared" si="0"/>
        <v>16006</v>
      </c>
      <c r="I19" s="109">
        <f t="shared" si="1"/>
        <v>3201.2000000000003</v>
      </c>
      <c r="J19" s="91">
        <v>104241</v>
      </c>
      <c r="K19" s="89">
        <f t="shared" si="14"/>
        <v>106</v>
      </c>
      <c r="L19" s="75">
        <f t="shared" si="2"/>
        <v>831.04</v>
      </c>
      <c r="M19" s="88">
        <v>40367</v>
      </c>
      <c r="N19" s="89">
        <f t="shared" si="15"/>
        <v>18</v>
      </c>
      <c r="O19" s="89">
        <v>24105</v>
      </c>
      <c r="P19" s="92">
        <f t="shared" si="16"/>
        <v>14</v>
      </c>
      <c r="Q19" s="92">
        <f t="shared" si="5"/>
        <v>32</v>
      </c>
      <c r="R19" s="93">
        <v>60497</v>
      </c>
      <c r="S19" s="92">
        <f t="shared" si="17"/>
        <v>32</v>
      </c>
      <c r="T19" s="102">
        <f t="shared" si="6"/>
        <v>33.782400000000003</v>
      </c>
      <c r="U19" s="101">
        <f t="shared" si="7"/>
        <v>582.96552000000008</v>
      </c>
      <c r="V19" s="143">
        <v>76411</v>
      </c>
      <c r="W19" s="315">
        <f t="shared" si="18"/>
        <v>19</v>
      </c>
      <c r="X19" s="316">
        <f t="shared" si="19"/>
        <v>5402.5550000000003</v>
      </c>
      <c r="Y19" s="317">
        <f t="shared" si="8"/>
        <v>1863.3412195000001</v>
      </c>
      <c r="Z19" s="317">
        <f t="shared" si="20"/>
        <v>4413.1961424731189</v>
      </c>
      <c r="AA19" s="318">
        <f t="shared" si="9"/>
        <v>6276.537361973119</v>
      </c>
      <c r="AB19" s="93">
        <v>716897</v>
      </c>
      <c r="AC19" s="93">
        <f t="shared" si="10"/>
        <v>5892</v>
      </c>
      <c r="AD19" s="319">
        <f t="shared" si="11"/>
        <v>20.721306863141603</v>
      </c>
      <c r="AE19" s="175">
        <v>0.88890000000000002</v>
      </c>
      <c r="AF19" s="94">
        <v>438</v>
      </c>
      <c r="AG19" s="176">
        <v>20594</v>
      </c>
      <c r="AH19" s="140">
        <f t="shared" si="21"/>
        <v>4</v>
      </c>
      <c r="AI19" s="88">
        <v>14682796</v>
      </c>
      <c r="AJ19" s="89">
        <f t="shared" si="22"/>
        <v>4567</v>
      </c>
      <c r="AK19" s="94">
        <f t="shared" si="23"/>
        <v>913.40000000000009</v>
      </c>
      <c r="AL19" s="88">
        <v>6735955</v>
      </c>
      <c r="AM19" s="89">
        <f t="shared" si="24"/>
        <v>2131</v>
      </c>
      <c r="AN19" s="94">
        <f t="shared" si="25"/>
        <v>426.20000000000005</v>
      </c>
      <c r="AO19" s="91">
        <v>232238</v>
      </c>
      <c r="AP19" s="89">
        <f t="shared" si="26"/>
        <v>131</v>
      </c>
      <c r="AQ19" s="94">
        <f t="shared" si="27"/>
        <v>26.200000000000003</v>
      </c>
      <c r="AR19" s="91">
        <v>8279</v>
      </c>
      <c r="AS19" s="89">
        <f t="shared" si="28"/>
        <v>12</v>
      </c>
      <c r="AT19" s="140">
        <f t="shared" si="29"/>
        <v>94.08</v>
      </c>
      <c r="AU19" s="88">
        <v>3165</v>
      </c>
      <c r="AV19" s="89">
        <f t="shared" si="30"/>
        <v>9</v>
      </c>
      <c r="AW19" s="94">
        <f t="shared" si="12"/>
        <v>70.56</v>
      </c>
      <c r="AX19" s="88">
        <v>110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45642</v>
      </c>
      <c r="B20" s="91">
        <v>20891261</v>
      </c>
      <c r="C20" s="89">
        <f t="shared" si="3"/>
        <v>7879</v>
      </c>
      <c r="D20" s="89">
        <v>21598199</v>
      </c>
      <c r="E20" s="89">
        <f t="shared" si="4"/>
        <v>7744</v>
      </c>
      <c r="F20" s="89">
        <v>482210</v>
      </c>
      <c r="G20" s="89">
        <f t="shared" si="13"/>
        <v>139</v>
      </c>
      <c r="H20" s="90">
        <f t="shared" si="0"/>
        <v>15762</v>
      </c>
      <c r="I20" s="109">
        <f t="shared" si="1"/>
        <v>3152.4</v>
      </c>
      <c r="J20" s="91">
        <v>104353</v>
      </c>
      <c r="K20" s="89">
        <f t="shared" si="14"/>
        <v>112</v>
      </c>
      <c r="L20" s="75">
        <f t="shared" si="2"/>
        <v>878.07999999999993</v>
      </c>
      <c r="M20" s="88">
        <v>40386</v>
      </c>
      <c r="N20" s="89">
        <f t="shared" si="15"/>
        <v>19</v>
      </c>
      <c r="O20" s="89">
        <v>24118</v>
      </c>
      <c r="P20" s="92">
        <f t="shared" si="16"/>
        <v>13</v>
      </c>
      <c r="Q20" s="92">
        <f t="shared" si="5"/>
        <v>32</v>
      </c>
      <c r="R20" s="93">
        <v>60527</v>
      </c>
      <c r="S20" s="92">
        <f t="shared" si="17"/>
        <v>30</v>
      </c>
      <c r="T20" s="102">
        <f t="shared" si="6"/>
        <v>31.671000000000003</v>
      </c>
      <c r="U20" s="101">
        <f t="shared" si="7"/>
        <v>559.63454999999999</v>
      </c>
      <c r="V20" s="143">
        <v>76429</v>
      </c>
      <c r="W20" s="315">
        <f t="shared" si="18"/>
        <v>18</v>
      </c>
      <c r="X20" s="316">
        <f t="shared" si="19"/>
        <v>5118.2100000000009</v>
      </c>
      <c r="Y20" s="317">
        <f t="shared" si="8"/>
        <v>1765.2706290000003</v>
      </c>
      <c r="Z20" s="317">
        <f t="shared" si="20"/>
        <v>4413.1961424731189</v>
      </c>
      <c r="AA20" s="318">
        <f t="shared" si="9"/>
        <v>6178.4667714731195</v>
      </c>
      <c r="AB20" s="93">
        <v>722490</v>
      </c>
      <c r="AC20" s="93">
        <f t="shared" si="10"/>
        <v>5593</v>
      </c>
      <c r="AD20" s="319">
        <f t="shared" si="11"/>
        <v>19.669767360073148</v>
      </c>
      <c r="AE20" s="175">
        <v>0.94599999999999995</v>
      </c>
      <c r="AF20" s="94">
        <v>501</v>
      </c>
      <c r="AG20" s="176">
        <v>20599</v>
      </c>
      <c r="AH20" s="140">
        <f t="shared" si="21"/>
        <v>5</v>
      </c>
      <c r="AI20" s="88">
        <v>14688254</v>
      </c>
      <c r="AJ20" s="89">
        <f t="shared" si="22"/>
        <v>5458</v>
      </c>
      <c r="AK20" s="94">
        <f t="shared" si="23"/>
        <v>1091.6000000000001</v>
      </c>
      <c r="AL20" s="88">
        <v>6738188</v>
      </c>
      <c r="AM20" s="89">
        <f t="shared" si="24"/>
        <v>2233</v>
      </c>
      <c r="AN20" s="94">
        <f t="shared" si="25"/>
        <v>446.6</v>
      </c>
      <c r="AO20" s="91">
        <v>232425</v>
      </c>
      <c r="AP20" s="89">
        <f t="shared" si="26"/>
        <v>187</v>
      </c>
      <c r="AQ20" s="94">
        <f t="shared" si="27"/>
        <v>37.4</v>
      </c>
      <c r="AR20" s="91">
        <v>8288</v>
      </c>
      <c r="AS20" s="89">
        <f t="shared" si="28"/>
        <v>9</v>
      </c>
      <c r="AT20" s="140">
        <f t="shared" si="29"/>
        <v>70.56</v>
      </c>
      <c r="AU20" s="88">
        <v>3168</v>
      </c>
      <c r="AV20" s="89">
        <f t="shared" si="30"/>
        <v>3</v>
      </c>
      <c r="AW20" s="94">
        <f t="shared" si="12"/>
        <v>23.52</v>
      </c>
      <c r="AX20" s="88">
        <v>111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45643</v>
      </c>
      <c r="B21" s="91">
        <v>20899137</v>
      </c>
      <c r="C21" s="89">
        <f t="shared" si="3"/>
        <v>7876</v>
      </c>
      <c r="D21" s="89">
        <v>21605975</v>
      </c>
      <c r="E21" s="89">
        <f t="shared" si="4"/>
        <v>7776</v>
      </c>
      <c r="F21" s="89">
        <v>482352</v>
      </c>
      <c r="G21" s="89">
        <f t="shared" si="13"/>
        <v>142</v>
      </c>
      <c r="H21" s="90">
        <f t="shared" si="0"/>
        <v>15794</v>
      </c>
      <c r="I21" s="109">
        <f t="shared" si="1"/>
        <v>3158.8</v>
      </c>
      <c r="J21" s="91">
        <v>104471</v>
      </c>
      <c r="K21" s="89">
        <f t="shared" si="14"/>
        <v>118</v>
      </c>
      <c r="L21" s="75">
        <f t="shared" si="2"/>
        <v>925.12</v>
      </c>
      <c r="M21" s="88">
        <v>40406</v>
      </c>
      <c r="N21" s="89">
        <f t="shared" si="15"/>
        <v>20</v>
      </c>
      <c r="O21" s="89">
        <v>24133</v>
      </c>
      <c r="P21" s="92">
        <f t="shared" si="16"/>
        <v>15</v>
      </c>
      <c r="Q21" s="92">
        <f t="shared" si="5"/>
        <v>35</v>
      </c>
      <c r="R21" s="93">
        <v>60561</v>
      </c>
      <c r="S21" s="92">
        <f t="shared" si="17"/>
        <v>34</v>
      </c>
      <c r="T21" s="102">
        <f t="shared" si="6"/>
        <v>35.893800000000006</v>
      </c>
      <c r="U21" s="101">
        <f t="shared" si="7"/>
        <v>606.29649000000006</v>
      </c>
      <c r="V21" s="143">
        <v>76447</v>
      </c>
      <c r="W21" s="315">
        <f t="shared" si="18"/>
        <v>18</v>
      </c>
      <c r="X21" s="316">
        <f t="shared" si="19"/>
        <v>5118.2100000000009</v>
      </c>
      <c r="Y21" s="317">
        <f t="shared" si="8"/>
        <v>1765.2706290000003</v>
      </c>
      <c r="Z21" s="317">
        <f t="shared" si="20"/>
        <v>4413.1961424731189</v>
      </c>
      <c r="AA21" s="318">
        <f t="shared" si="9"/>
        <v>6178.4667714731195</v>
      </c>
      <c r="AB21" s="93">
        <v>728251</v>
      </c>
      <c r="AC21" s="93">
        <f t="shared" si="10"/>
        <v>5761</v>
      </c>
      <c r="AD21" s="319">
        <f t="shared" si="11"/>
        <v>20.260598920325659</v>
      </c>
      <c r="AE21" s="175">
        <v>0.98729999999999996</v>
      </c>
      <c r="AF21" s="94">
        <v>495</v>
      </c>
      <c r="AG21" s="176">
        <v>20603</v>
      </c>
      <c r="AH21" s="140">
        <f t="shared" si="21"/>
        <v>4</v>
      </c>
      <c r="AI21" s="88">
        <v>14693740</v>
      </c>
      <c r="AJ21" s="89">
        <f t="shared" si="22"/>
        <v>5486</v>
      </c>
      <c r="AK21" s="94">
        <f t="shared" si="23"/>
        <v>1097.2</v>
      </c>
      <c r="AL21" s="88">
        <v>6740406</v>
      </c>
      <c r="AM21" s="89">
        <f t="shared" si="24"/>
        <v>2218</v>
      </c>
      <c r="AN21" s="94">
        <f t="shared" si="25"/>
        <v>443.6</v>
      </c>
      <c r="AO21" s="91">
        <v>232554</v>
      </c>
      <c r="AP21" s="89">
        <f t="shared" si="26"/>
        <v>129</v>
      </c>
      <c r="AQ21" s="94">
        <f t="shared" si="27"/>
        <v>25.8</v>
      </c>
      <c r="AR21" s="91">
        <v>8295</v>
      </c>
      <c r="AS21" s="89">
        <f t="shared" si="28"/>
        <v>7</v>
      </c>
      <c r="AT21" s="140">
        <f t="shared" si="29"/>
        <v>54.879999999999995</v>
      </c>
      <c r="AU21" s="88">
        <v>3180</v>
      </c>
      <c r="AV21" s="89">
        <f t="shared" si="30"/>
        <v>12</v>
      </c>
      <c r="AW21" s="94">
        <f t="shared" si="12"/>
        <v>94.08</v>
      </c>
      <c r="AX21" s="88">
        <v>112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45644</v>
      </c>
      <c r="B22" s="91">
        <v>20907208</v>
      </c>
      <c r="C22" s="89">
        <f t="shared" si="3"/>
        <v>8071</v>
      </c>
      <c r="D22" s="89">
        <v>21613946</v>
      </c>
      <c r="E22" s="89">
        <f t="shared" si="4"/>
        <v>7971</v>
      </c>
      <c r="F22" s="89">
        <v>482490</v>
      </c>
      <c r="G22" s="89">
        <f t="shared" si="13"/>
        <v>138</v>
      </c>
      <c r="H22" s="90">
        <f t="shared" si="0"/>
        <v>16180</v>
      </c>
      <c r="I22" s="109">
        <f t="shared" si="1"/>
        <v>3236</v>
      </c>
      <c r="J22" s="91">
        <v>104574</v>
      </c>
      <c r="K22" s="89">
        <f t="shared" si="14"/>
        <v>103</v>
      </c>
      <c r="L22" s="75">
        <f t="shared" si="2"/>
        <v>807.52</v>
      </c>
      <c r="M22" s="88">
        <v>40424</v>
      </c>
      <c r="N22" s="89">
        <f t="shared" si="15"/>
        <v>18</v>
      </c>
      <c r="O22" s="89">
        <v>24146</v>
      </c>
      <c r="P22" s="92">
        <f t="shared" si="16"/>
        <v>13</v>
      </c>
      <c r="Q22" s="92">
        <f t="shared" si="5"/>
        <v>31</v>
      </c>
      <c r="R22" s="93">
        <v>60590</v>
      </c>
      <c r="S22" s="92">
        <f t="shared" si="17"/>
        <v>29</v>
      </c>
      <c r="T22" s="102">
        <f t="shared" si="6"/>
        <v>30.615300000000001</v>
      </c>
      <c r="U22" s="101">
        <f t="shared" si="7"/>
        <v>547.969065</v>
      </c>
      <c r="V22" s="143">
        <v>76465</v>
      </c>
      <c r="W22" s="315">
        <f t="shared" si="18"/>
        <v>18</v>
      </c>
      <c r="X22" s="316">
        <f t="shared" si="19"/>
        <v>5118.2100000000009</v>
      </c>
      <c r="Y22" s="317">
        <f t="shared" si="8"/>
        <v>1765.2706290000003</v>
      </c>
      <c r="Z22" s="317">
        <f t="shared" si="20"/>
        <v>4413.1961424731189</v>
      </c>
      <c r="AA22" s="318">
        <f t="shared" si="9"/>
        <v>6178.4667714731195</v>
      </c>
      <c r="AB22" s="93">
        <v>733733</v>
      </c>
      <c r="AC22" s="93">
        <f t="shared" si="10"/>
        <v>5482</v>
      </c>
      <c r="AD22" s="319">
        <f t="shared" si="11"/>
        <v>19.279396507763455</v>
      </c>
      <c r="AE22" s="175">
        <v>1</v>
      </c>
      <c r="AF22" s="94">
        <v>506</v>
      </c>
      <c r="AG22" s="176">
        <v>20608</v>
      </c>
      <c r="AH22" s="140">
        <f t="shared" si="21"/>
        <v>5</v>
      </c>
      <c r="AI22" s="88">
        <v>14699320</v>
      </c>
      <c r="AJ22" s="89">
        <f t="shared" si="22"/>
        <v>5580</v>
      </c>
      <c r="AK22" s="94">
        <f t="shared" si="23"/>
        <v>1116</v>
      </c>
      <c r="AL22" s="88">
        <v>6742668</v>
      </c>
      <c r="AM22" s="89">
        <f t="shared" si="24"/>
        <v>2262</v>
      </c>
      <c r="AN22" s="94">
        <f t="shared" si="25"/>
        <v>452.40000000000003</v>
      </c>
      <c r="AO22" s="91">
        <v>232707</v>
      </c>
      <c r="AP22" s="89">
        <f t="shared" si="26"/>
        <v>153</v>
      </c>
      <c r="AQ22" s="94">
        <f t="shared" si="27"/>
        <v>30.6</v>
      </c>
      <c r="AR22" s="91">
        <v>8301</v>
      </c>
      <c r="AS22" s="89">
        <f t="shared" si="28"/>
        <v>6</v>
      </c>
      <c r="AT22" s="140">
        <f t="shared" si="29"/>
        <v>47.04</v>
      </c>
      <c r="AU22" s="88">
        <v>3188</v>
      </c>
      <c r="AV22" s="89">
        <f t="shared" si="30"/>
        <v>8</v>
      </c>
      <c r="AW22" s="94">
        <f t="shared" si="12"/>
        <v>62.72</v>
      </c>
      <c r="AX22" s="88">
        <v>113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45645</v>
      </c>
      <c r="B23" s="91">
        <v>20915223</v>
      </c>
      <c r="C23" s="89">
        <f t="shared" si="3"/>
        <v>8015</v>
      </c>
      <c r="D23" s="89">
        <v>21621785</v>
      </c>
      <c r="E23" s="89">
        <f t="shared" si="4"/>
        <v>7839</v>
      </c>
      <c r="F23" s="89">
        <v>482627</v>
      </c>
      <c r="G23" s="89">
        <f t="shared" si="13"/>
        <v>137</v>
      </c>
      <c r="H23" s="90">
        <f t="shared" si="0"/>
        <v>15991</v>
      </c>
      <c r="I23" s="109">
        <f t="shared" si="1"/>
        <v>3198.2000000000003</v>
      </c>
      <c r="J23" s="91">
        <v>104697</v>
      </c>
      <c r="K23" s="89">
        <f t="shared" si="14"/>
        <v>123</v>
      </c>
      <c r="L23" s="75">
        <f t="shared" si="2"/>
        <v>964.31999999999994</v>
      </c>
      <c r="M23" s="88">
        <v>40442</v>
      </c>
      <c r="N23" s="89">
        <f t="shared" si="15"/>
        <v>18</v>
      </c>
      <c r="O23" s="89">
        <v>24161</v>
      </c>
      <c r="P23" s="92">
        <f t="shared" si="16"/>
        <v>15</v>
      </c>
      <c r="Q23" s="92">
        <f t="shared" si="5"/>
        <v>33</v>
      </c>
      <c r="R23" s="93">
        <v>60623</v>
      </c>
      <c r="S23" s="92">
        <f t="shared" si="17"/>
        <v>33</v>
      </c>
      <c r="T23" s="102">
        <f t="shared" si="6"/>
        <v>34.838100000000004</v>
      </c>
      <c r="U23" s="101">
        <f t="shared" si="7"/>
        <v>594.63100500000007</v>
      </c>
      <c r="V23" s="143">
        <v>76483</v>
      </c>
      <c r="W23" s="315">
        <f t="shared" si="18"/>
        <v>18</v>
      </c>
      <c r="X23" s="316">
        <f t="shared" si="19"/>
        <v>5118.2100000000009</v>
      </c>
      <c r="Y23" s="317">
        <f t="shared" si="8"/>
        <v>1765.2706290000003</v>
      </c>
      <c r="Z23" s="317">
        <f t="shared" si="20"/>
        <v>4413.1961424731189</v>
      </c>
      <c r="AA23" s="318">
        <f t="shared" si="9"/>
        <v>6178.4667714731195</v>
      </c>
      <c r="AB23" s="93">
        <v>739489</v>
      </c>
      <c r="AC23" s="93">
        <f t="shared" si="10"/>
        <v>5756</v>
      </c>
      <c r="AD23" s="319">
        <f t="shared" si="11"/>
        <v>20.243014647699095</v>
      </c>
      <c r="AE23" s="175">
        <v>0.93020000000000003</v>
      </c>
      <c r="AF23" s="94">
        <v>474</v>
      </c>
      <c r="AG23" s="176">
        <v>20612</v>
      </c>
      <c r="AH23" s="140">
        <f t="shared" si="21"/>
        <v>4</v>
      </c>
      <c r="AI23" s="88">
        <v>14704801</v>
      </c>
      <c r="AJ23" s="89">
        <f t="shared" si="22"/>
        <v>5481</v>
      </c>
      <c r="AK23" s="94">
        <f t="shared" si="23"/>
        <v>1096.2</v>
      </c>
      <c r="AL23" s="88">
        <v>6744894</v>
      </c>
      <c r="AM23" s="89">
        <f t="shared" si="24"/>
        <v>2226</v>
      </c>
      <c r="AN23" s="94">
        <f t="shared" si="25"/>
        <v>445.20000000000005</v>
      </c>
      <c r="AO23" s="91">
        <v>232939</v>
      </c>
      <c r="AP23" s="89">
        <f t="shared" si="26"/>
        <v>232</v>
      </c>
      <c r="AQ23" s="94">
        <f t="shared" si="27"/>
        <v>46.400000000000006</v>
      </c>
      <c r="AR23" s="91">
        <v>8308</v>
      </c>
      <c r="AS23" s="89">
        <f t="shared" si="28"/>
        <v>7</v>
      </c>
      <c r="AT23" s="140">
        <f t="shared" si="29"/>
        <v>54.879999999999995</v>
      </c>
      <c r="AU23" s="88">
        <v>3193</v>
      </c>
      <c r="AV23" s="89">
        <f t="shared" si="30"/>
        <v>5</v>
      </c>
      <c r="AW23" s="94">
        <f t="shared" si="12"/>
        <v>39.200000000000003</v>
      </c>
      <c r="AX23" s="88">
        <v>114</v>
      </c>
      <c r="AY23" s="89">
        <f t="shared" si="31"/>
        <v>1</v>
      </c>
      <c r="AZ23" s="94">
        <f t="shared" si="32"/>
        <v>7.84</v>
      </c>
    </row>
    <row r="24" spans="1:52" s="3" customFormat="1" ht="27.95" customHeight="1" x14ac:dyDescent="0.25">
      <c r="A24" s="98">
        <v>45646</v>
      </c>
      <c r="B24" s="91">
        <v>20922968</v>
      </c>
      <c r="C24" s="89">
        <f t="shared" si="3"/>
        <v>7745</v>
      </c>
      <c r="D24" s="89">
        <v>21629683</v>
      </c>
      <c r="E24" s="89">
        <f t="shared" si="4"/>
        <v>7898</v>
      </c>
      <c r="F24" s="89">
        <v>482767</v>
      </c>
      <c r="G24" s="89">
        <f t="shared" si="13"/>
        <v>140</v>
      </c>
      <c r="H24" s="90">
        <f t="shared" si="0"/>
        <v>15783</v>
      </c>
      <c r="I24" s="109">
        <f t="shared" si="1"/>
        <v>3156.6000000000004</v>
      </c>
      <c r="J24" s="91">
        <v>104816</v>
      </c>
      <c r="K24" s="89">
        <f t="shared" si="14"/>
        <v>119</v>
      </c>
      <c r="L24" s="75">
        <f t="shared" si="2"/>
        <v>932.96</v>
      </c>
      <c r="M24" s="88">
        <v>40460</v>
      </c>
      <c r="N24" s="89">
        <f t="shared" si="15"/>
        <v>18</v>
      </c>
      <c r="O24" s="89">
        <v>24174</v>
      </c>
      <c r="P24" s="92">
        <f t="shared" si="16"/>
        <v>13</v>
      </c>
      <c r="Q24" s="92">
        <f t="shared" si="5"/>
        <v>31</v>
      </c>
      <c r="R24" s="93">
        <v>60654</v>
      </c>
      <c r="S24" s="92">
        <f t="shared" si="17"/>
        <v>31</v>
      </c>
      <c r="T24" s="102">
        <f t="shared" si="6"/>
        <v>32.726700000000001</v>
      </c>
      <c r="U24" s="101">
        <f t="shared" si="7"/>
        <v>571.30003499999998</v>
      </c>
      <c r="V24" s="143">
        <v>76502</v>
      </c>
      <c r="W24" s="315">
        <f t="shared" si="18"/>
        <v>19</v>
      </c>
      <c r="X24" s="316">
        <f t="shared" si="19"/>
        <v>5402.5550000000003</v>
      </c>
      <c r="Y24" s="317">
        <f t="shared" si="8"/>
        <v>1863.3412195000001</v>
      </c>
      <c r="Z24" s="317">
        <f t="shared" si="20"/>
        <v>4413.1961424731189</v>
      </c>
      <c r="AA24" s="318">
        <f t="shared" si="9"/>
        <v>6276.537361973119</v>
      </c>
      <c r="AB24" s="93">
        <v>745299</v>
      </c>
      <c r="AC24" s="93">
        <f t="shared" si="10"/>
        <v>5810</v>
      </c>
      <c r="AD24" s="319">
        <f t="shared" si="11"/>
        <v>20.432924792065975</v>
      </c>
      <c r="AE24" s="175">
        <v>0.86980000000000002</v>
      </c>
      <c r="AF24" s="94">
        <v>464</v>
      </c>
      <c r="AG24" s="176">
        <v>20617</v>
      </c>
      <c r="AH24" s="140">
        <f t="shared" si="21"/>
        <v>5</v>
      </c>
      <c r="AI24" s="88">
        <v>14710093</v>
      </c>
      <c r="AJ24" s="89">
        <f t="shared" si="22"/>
        <v>5292</v>
      </c>
      <c r="AK24" s="94">
        <f t="shared" si="23"/>
        <v>1058.4000000000001</v>
      </c>
      <c r="AL24" s="88">
        <v>6747030</v>
      </c>
      <c r="AM24" s="89">
        <f t="shared" si="24"/>
        <v>2136</v>
      </c>
      <c r="AN24" s="94">
        <f t="shared" si="25"/>
        <v>427.20000000000005</v>
      </c>
      <c r="AO24" s="91">
        <v>233354</v>
      </c>
      <c r="AP24" s="89">
        <f t="shared" si="26"/>
        <v>415</v>
      </c>
      <c r="AQ24" s="94">
        <f t="shared" si="27"/>
        <v>83</v>
      </c>
      <c r="AR24" s="144">
        <v>8316</v>
      </c>
      <c r="AS24" s="89">
        <f t="shared" si="28"/>
        <v>8</v>
      </c>
      <c r="AT24" s="140">
        <f t="shared" si="29"/>
        <v>62.72</v>
      </c>
      <c r="AU24" s="143">
        <v>3204</v>
      </c>
      <c r="AV24" s="89">
        <f t="shared" si="30"/>
        <v>11</v>
      </c>
      <c r="AW24" s="94">
        <f t="shared" si="12"/>
        <v>86.24</v>
      </c>
      <c r="AX24" s="88">
        <v>115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45647</v>
      </c>
      <c r="B25" s="91">
        <v>20930825</v>
      </c>
      <c r="C25" s="89">
        <f t="shared" si="3"/>
        <v>7857</v>
      </c>
      <c r="D25" s="89">
        <v>21637347</v>
      </c>
      <c r="E25" s="89">
        <f t="shared" si="4"/>
        <v>7664</v>
      </c>
      <c r="F25" s="89">
        <v>482909</v>
      </c>
      <c r="G25" s="89">
        <f t="shared" si="13"/>
        <v>142</v>
      </c>
      <c r="H25" s="90">
        <f t="shared" si="0"/>
        <v>15663</v>
      </c>
      <c r="I25" s="109">
        <f t="shared" si="1"/>
        <v>3132.6000000000004</v>
      </c>
      <c r="J25" s="91">
        <v>104919</v>
      </c>
      <c r="K25" s="89">
        <f t="shared" si="14"/>
        <v>103</v>
      </c>
      <c r="L25" s="75">
        <f t="shared" si="2"/>
        <v>807.52</v>
      </c>
      <c r="M25" s="88">
        <v>40478</v>
      </c>
      <c r="N25" s="89">
        <f t="shared" si="15"/>
        <v>18</v>
      </c>
      <c r="O25" s="89">
        <v>24186</v>
      </c>
      <c r="P25" s="92">
        <f t="shared" si="16"/>
        <v>12</v>
      </c>
      <c r="Q25" s="92">
        <f t="shared" si="5"/>
        <v>30</v>
      </c>
      <c r="R25" s="93">
        <v>60682</v>
      </c>
      <c r="S25" s="92">
        <f t="shared" si="17"/>
        <v>28</v>
      </c>
      <c r="T25" s="102">
        <f t="shared" si="6"/>
        <v>29.559600000000003</v>
      </c>
      <c r="U25" s="101">
        <f t="shared" si="7"/>
        <v>536.30358000000001</v>
      </c>
      <c r="V25" s="143">
        <v>76521</v>
      </c>
      <c r="W25" s="315">
        <f t="shared" si="18"/>
        <v>19</v>
      </c>
      <c r="X25" s="316">
        <f t="shared" si="19"/>
        <v>5402.5550000000003</v>
      </c>
      <c r="Y25" s="317">
        <f t="shared" si="8"/>
        <v>1863.3412195000001</v>
      </c>
      <c r="Z25" s="317">
        <f t="shared" si="20"/>
        <v>4413.1961424731189</v>
      </c>
      <c r="AA25" s="318">
        <f t="shared" si="9"/>
        <v>6276.537361973119</v>
      </c>
      <c r="AB25" s="93">
        <v>750749</v>
      </c>
      <c r="AC25" s="93">
        <f t="shared" si="10"/>
        <v>5450</v>
      </c>
      <c r="AD25" s="319">
        <f t="shared" si="11"/>
        <v>19.166857162953452</v>
      </c>
      <c r="AE25" s="181">
        <v>0.60929999999999995</v>
      </c>
      <c r="AF25" s="182">
        <v>313</v>
      </c>
      <c r="AG25" s="183">
        <v>20620</v>
      </c>
      <c r="AH25" s="140">
        <f t="shared" si="21"/>
        <v>3</v>
      </c>
      <c r="AI25" s="143">
        <v>14714518</v>
      </c>
      <c r="AJ25" s="89">
        <f t="shared" si="22"/>
        <v>4425</v>
      </c>
      <c r="AK25" s="94">
        <f t="shared" si="23"/>
        <v>885</v>
      </c>
      <c r="AL25" s="143">
        <v>6749069</v>
      </c>
      <c r="AM25" s="89">
        <f t="shared" si="24"/>
        <v>2039</v>
      </c>
      <c r="AN25" s="94">
        <f t="shared" si="25"/>
        <v>407.8</v>
      </c>
      <c r="AO25" s="144">
        <v>233532</v>
      </c>
      <c r="AP25" s="89">
        <f t="shared" si="26"/>
        <v>178</v>
      </c>
      <c r="AQ25" s="94">
        <f t="shared" si="27"/>
        <v>35.6</v>
      </c>
      <c r="AR25" s="91">
        <v>8323</v>
      </c>
      <c r="AS25" s="89">
        <f t="shared" si="28"/>
        <v>7</v>
      </c>
      <c r="AT25" s="140">
        <f t="shared" si="29"/>
        <v>54.879999999999995</v>
      </c>
      <c r="AU25" s="88">
        <v>3215</v>
      </c>
      <c r="AV25" s="89">
        <f t="shared" si="30"/>
        <v>11</v>
      </c>
      <c r="AW25" s="94">
        <f t="shared" si="12"/>
        <v>86.24</v>
      </c>
      <c r="AX25" s="143">
        <v>116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45648</v>
      </c>
      <c r="B26" s="91">
        <v>20938762</v>
      </c>
      <c r="C26" s="89">
        <f t="shared" si="3"/>
        <v>7937</v>
      </c>
      <c r="D26" s="89">
        <v>21645083</v>
      </c>
      <c r="E26" s="89">
        <f t="shared" si="4"/>
        <v>7736</v>
      </c>
      <c r="F26" s="89">
        <v>483041</v>
      </c>
      <c r="G26" s="89">
        <f t="shared" si="13"/>
        <v>132</v>
      </c>
      <c r="H26" s="90">
        <f t="shared" si="0"/>
        <v>15805</v>
      </c>
      <c r="I26" s="109">
        <f t="shared" si="1"/>
        <v>3161</v>
      </c>
      <c r="J26" s="91">
        <v>104995</v>
      </c>
      <c r="K26" s="89">
        <f t="shared" si="14"/>
        <v>76</v>
      </c>
      <c r="L26" s="75">
        <f t="shared" si="2"/>
        <v>595.84</v>
      </c>
      <c r="M26" s="88">
        <v>40497</v>
      </c>
      <c r="N26" s="89">
        <f t="shared" si="15"/>
        <v>19</v>
      </c>
      <c r="O26" s="89">
        <v>24199</v>
      </c>
      <c r="P26" s="92">
        <f t="shared" si="16"/>
        <v>13</v>
      </c>
      <c r="Q26" s="92">
        <f t="shared" si="5"/>
        <v>32</v>
      </c>
      <c r="R26" s="93">
        <v>60712</v>
      </c>
      <c r="S26" s="92">
        <f t="shared" si="17"/>
        <v>30</v>
      </c>
      <c r="T26" s="102">
        <f t="shared" si="6"/>
        <v>31.671000000000003</v>
      </c>
      <c r="U26" s="101">
        <f t="shared" si="7"/>
        <v>559.63454999999999</v>
      </c>
      <c r="V26" s="143">
        <v>76538</v>
      </c>
      <c r="W26" s="315">
        <f t="shared" si="18"/>
        <v>17</v>
      </c>
      <c r="X26" s="316">
        <f t="shared" si="19"/>
        <v>4833.8650000000007</v>
      </c>
      <c r="Y26" s="317">
        <f t="shared" si="8"/>
        <v>1667.2000385000001</v>
      </c>
      <c r="Z26" s="317">
        <f t="shared" si="20"/>
        <v>4413.1961424731189</v>
      </c>
      <c r="AA26" s="318">
        <f t="shared" si="9"/>
        <v>6080.396180973119</v>
      </c>
      <c r="AB26" s="93">
        <v>755637</v>
      </c>
      <c r="AC26" s="93">
        <f t="shared" si="10"/>
        <v>4888</v>
      </c>
      <c r="AD26" s="319">
        <f t="shared" si="11"/>
        <v>17.190384919727794</v>
      </c>
      <c r="AE26" s="175">
        <v>0.45400000000000001</v>
      </c>
      <c r="AF26" s="94">
        <v>196</v>
      </c>
      <c r="AG26" s="176">
        <v>20623</v>
      </c>
      <c r="AH26" s="140">
        <f t="shared" si="21"/>
        <v>3</v>
      </c>
      <c r="AI26" s="88">
        <v>14718918</v>
      </c>
      <c r="AJ26" s="89">
        <f t="shared" si="22"/>
        <v>4400</v>
      </c>
      <c r="AK26" s="94">
        <f t="shared" si="23"/>
        <v>880</v>
      </c>
      <c r="AL26" s="88">
        <v>6751117</v>
      </c>
      <c r="AM26" s="89">
        <f t="shared" si="24"/>
        <v>2048</v>
      </c>
      <c r="AN26" s="94">
        <f t="shared" si="25"/>
        <v>409.6</v>
      </c>
      <c r="AO26" s="91">
        <v>233651</v>
      </c>
      <c r="AP26" s="89">
        <f t="shared" si="26"/>
        <v>119</v>
      </c>
      <c r="AQ26" s="94">
        <f t="shared" si="27"/>
        <v>23.8</v>
      </c>
      <c r="AR26" s="91">
        <v>8329</v>
      </c>
      <c r="AS26" s="89">
        <f t="shared" si="28"/>
        <v>6</v>
      </c>
      <c r="AT26" s="140">
        <f t="shared" si="29"/>
        <v>47.04</v>
      </c>
      <c r="AU26" s="88">
        <v>3229</v>
      </c>
      <c r="AV26" s="89">
        <f t="shared" si="30"/>
        <v>14</v>
      </c>
      <c r="AW26" s="94">
        <f t="shared" si="12"/>
        <v>109.75999999999999</v>
      </c>
      <c r="AX26" s="88">
        <v>117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45649</v>
      </c>
      <c r="B27" s="91">
        <v>20946597</v>
      </c>
      <c r="C27" s="89">
        <f t="shared" si="3"/>
        <v>7835</v>
      </c>
      <c r="D27" s="89">
        <v>21652700</v>
      </c>
      <c r="E27" s="89">
        <f t="shared" si="4"/>
        <v>7617</v>
      </c>
      <c r="F27" s="89">
        <v>483160</v>
      </c>
      <c r="G27" s="89">
        <f>IF(ISBLANK(F27),"0",F27-F26)</f>
        <v>119</v>
      </c>
      <c r="H27" s="90">
        <f t="shared" si="0"/>
        <v>15571</v>
      </c>
      <c r="I27" s="109">
        <f t="shared" si="1"/>
        <v>3114.2000000000003</v>
      </c>
      <c r="J27" s="91">
        <v>105118</v>
      </c>
      <c r="K27" s="89">
        <f>IF(ISBLANK(J27),"0",J27-J26)</f>
        <v>123</v>
      </c>
      <c r="L27" s="75">
        <f t="shared" si="2"/>
        <v>964.31999999999994</v>
      </c>
      <c r="M27" s="88">
        <v>40513</v>
      </c>
      <c r="N27" s="89">
        <f t="shared" si="15"/>
        <v>16</v>
      </c>
      <c r="O27" s="89">
        <v>24212</v>
      </c>
      <c r="P27" s="92">
        <f t="shared" si="16"/>
        <v>13</v>
      </c>
      <c r="Q27" s="92">
        <f t="shared" si="5"/>
        <v>29</v>
      </c>
      <c r="R27" s="93">
        <v>60741</v>
      </c>
      <c r="S27" s="92">
        <f t="shared" si="17"/>
        <v>29</v>
      </c>
      <c r="T27" s="102">
        <f t="shared" si="6"/>
        <v>30.615300000000001</v>
      </c>
      <c r="U27" s="101">
        <f t="shared" si="7"/>
        <v>547.969065</v>
      </c>
      <c r="V27" s="143">
        <v>76554</v>
      </c>
      <c r="W27" s="315">
        <f t="shared" si="18"/>
        <v>16</v>
      </c>
      <c r="X27" s="316">
        <f t="shared" si="19"/>
        <v>4549.5200000000004</v>
      </c>
      <c r="Y27" s="317">
        <f t="shared" si="8"/>
        <v>1569.1294480000001</v>
      </c>
      <c r="Z27" s="317">
        <f t="shared" si="20"/>
        <v>4413.1961424731189</v>
      </c>
      <c r="AA27" s="318">
        <f t="shared" si="9"/>
        <v>5982.3255904731195</v>
      </c>
      <c r="AB27" s="93">
        <v>760697</v>
      </c>
      <c r="AC27" s="93">
        <f t="shared" si="10"/>
        <v>5060</v>
      </c>
      <c r="AD27" s="319">
        <f t="shared" si="11"/>
        <v>17.795283898081554</v>
      </c>
      <c r="AE27" s="175">
        <v>0.64129999999999998</v>
      </c>
      <c r="AF27" s="94">
        <v>286</v>
      </c>
      <c r="AG27" s="176">
        <v>20627</v>
      </c>
      <c r="AH27" s="140">
        <f t="shared" si="21"/>
        <v>4</v>
      </c>
      <c r="AI27" s="88">
        <v>14724289</v>
      </c>
      <c r="AJ27" s="89">
        <f t="shared" si="22"/>
        <v>5371</v>
      </c>
      <c r="AK27" s="94">
        <f t="shared" si="23"/>
        <v>1074.2</v>
      </c>
      <c r="AL27" s="88">
        <v>6753252</v>
      </c>
      <c r="AM27" s="89">
        <f t="shared" si="24"/>
        <v>2135</v>
      </c>
      <c r="AN27" s="94">
        <f t="shared" si="25"/>
        <v>427</v>
      </c>
      <c r="AO27" s="91">
        <v>233777</v>
      </c>
      <c r="AP27" s="89">
        <f t="shared" si="26"/>
        <v>126</v>
      </c>
      <c r="AQ27" s="94">
        <f t="shared" si="27"/>
        <v>25.200000000000003</v>
      </c>
      <c r="AR27" s="91">
        <v>8335</v>
      </c>
      <c r="AS27" s="89">
        <f t="shared" si="28"/>
        <v>6</v>
      </c>
      <c r="AT27" s="140">
        <f t="shared" si="29"/>
        <v>47.04</v>
      </c>
      <c r="AU27" s="88">
        <v>3232</v>
      </c>
      <c r="AV27" s="89">
        <f t="shared" si="30"/>
        <v>3</v>
      </c>
      <c r="AW27" s="94">
        <f t="shared" si="12"/>
        <v>23.52</v>
      </c>
      <c r="AX27" s="88">
        <v>118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45650</v>
      </c>
      <c r="B28" s="91">
        <v>20954556</v>
      </c>
      <c r="C28" s="89">
        <f t="shared" si="3"/>
        <v>7959</v>
      </c>
      <c r="D28" s="89">
        <v>21660067</v>
      </c>
      <c r="E28" s="89">
        <f t="shared" si="4"/>
        <v>7367</v>
      </c>
      <c r="F28" s="89">
        <v>483290</v>
      </c>
      <c r="G28" s="89">
        <f t="shared" si="13"/>
        <v>130</v>
      </c>
      <c r="H28" s="90">
        <f t="shared" si="0"/>
        <v>15456</v>
      </c>
      <c r="I28" s="109">
        <f t="shared" si="1"/>
        <v>3091.2000000000003</v>
      </c>
      <c r="J28" s="91">
        <v>105234</v>
      </c>
      <c r="K28" s="89">
        <f t="shared" si="14"/>
        <v>116</v>
      </c>
      <c r="L28" s="75">
        <f t="shared" si="2"/>
        <v>909.43999999999994</v>
      </c>
      <c r="M28" s="88">
        <v>40531</v>
      </c>
      <c r="N28" s="89">
        <f t="shared" si="15"/>
        <v>18</v>
      </c>
      <c r="O28" s="89">
        <v>24225</v>
      </c>
      <c r="P28" s="92">
        <f t="shared" si="16"/>
        <v>13</v>
      </c>
      <c r="Q28" s="92">
        <f t="shared" si="5"/>
        <v>31</v>
      </c>
      <c r="R28" s="93">
        <v>60770</v>
      </c>
      <c r="S28" s="92">
        <f t="shared" si="17"/>
        <v>29</v>
      </c>
      <c r="T28" s="102">
        <f t="shared" si="6"/>
        <v>30.615300000000001</v>
      </c>
      <c r="U28" s="101">
        <f t="shared" si="7"/>
        <v>547.969065</v>
      </c>
      <c r="V28" s="143">
        <v>76573</v>
      </c>
      <c r="W28" s="315">
        <f t="shared" si="18"/>
        <v>19</v>
      </c>
      <c r="X28" s="316">
        <f t="shared" si="19"/>
        <v>5402.5550000000003</v>
      </c>
      <c r="Y28" s="317">
        <f t="shared" si="8"/>
        <v>1863.3412195000001</v>
      </c>
      <c r="Z28" s="317">
        <f t="shared" si="20"/>
        <v>4413.1961424731189</v>
      </c>
      <c r="AA28" s="318">
        <f t="shared" si="9"/>
        <v>6276.537361973119</v>
      </c>
      <c r="AB28" s="93">
        <v>766460</v>
      </c>
      <c r="AC28" s="93">
        <f t="shared" si="10"/>
        <v>5763</v>
      </c>
      <c r="AD28" s="319">
        <f t="shared" si="11"/>
        <v>20.267632629376283</v>
      </c>
      <c r="AE28" s="175">
        <v>0.83489999999999998</v>
      </c>
      <c r="AF28" s="94">
        <v>384</v>
      </c>
      <c r="AG28" s="176">
        <v>20631</v>
      </c>
      <c r="AH28" s="140">
        <f t="shared" si="21"/>
        <v>4</v>
      </c>
      <c r="AI28" s="88">
        <v>14729638</v>
      </c>
      <c r="AJ28" s="89">
        <f t="shared" si="22"/>
        <v>5349</v>
      </c>
      <c r="AK28" s="94">
        <f t="shared" si="23"/>
        <v>1069.8</v>
      </c>
      <c r="AL28" s="88">
        <v>6755364</v>
      </c>
      <c r="AM28" s="89">
        <f t="shared" si="24"/>
        <v>2112</v>
      </c>
      <c r="AN28" s="94">
        <f t="shared" si="25"/>
        <v>422.40000000000003</v>
      </c>
      <c r="AO28" s="91">
        <v>233923</v>
      </c>
      <c r="AP28" s="89">
        <f t="shared" si="26"/>
        <v>146</v>
      </c>
      <c r="AQ28" s="94">
        <f t="shared" si="27"/>
        <v>29.200000000000003</v>
      </c>
      <c r="AR28" s="91">
        <v>8340</v>
      </c>
      <c r="AS28" s="89">
        <f t="shared" si="28"/>
        <v>5</v>
      </c>
      <c r="AT28" s="140">
        <f t="shared" si="29"/>
        <v>39.200000000000003</v>
      </c>
      <c r="AU28" s="88">
        <v>3233</v>
      </c>
      <c r="AV28" s="89">
        <f t="shared" si="30"/>
        <v>1</v>
      </c>
      <c r="AW28" s="94">
        <f t="shared" si="12"/>
        <v>7.84</v>
      </c>
      <c r="AX28" s="88">
        <v>118</v>
      </c>
      <c r="AY28" s="89">
        <f t="shared" si="31"/>
        <v>0</v>
      </c>
      <c r="AZ28" s="94">
        <f t="shared" si="32"/>
        <v>0</v>
      </c>
    </row>
    <row r="29" spans="1:52" s="3" customFormat="1" ht="27.95" customHeight="1" x14ac:dyDescent="0.25">
      <c r="A29" s="98">
        <v>45651</v>
      </c>
      <c r="B29" s="91">
        <v>20962763</v>
      </c>
      <c r="C29" s="89">
        <f t="shared" si="3"/>
        <v>8207</v>
      </c>
      <c r="D29" s="89">
        <v>21667530</v>
      </c>
      <c r="E29" s="89">
        <f t="shared" si="4"/>
        <v>7463</v>
      </c>
      <c r="F29" s="89">
        <v>483429</v>
      </c>
      <c r="G29" s="89">
        <f t="shared" si="13"/>
        <v>139</v>
      </c>
      <c r="H29" s="90">
        <f t="shared" si="0"/>
        <v>15809</v>
      </c>
      <c r="I29" s="109">
        <f t="shared" si="1"/>
        <v>3161.8</v>
      </c>
      <c r="J29" s="91">
        <v>105332</v>
      </c>
      <c r="K29" s="89">
        <f t="shared" si="14"/>
        <v>98</v>
      </c>
      <c r="L29" s="75">
        <f t="shared" si="2"/>
        <v>768.31999999999994</v>
      </c>
      <c r="M29" s="88">
        <v>40549</v>
      </c>
      <c r="N29" s="89">
        <f t="shared" si="15"/>
        <v>18</v>
      </c>
      <c r="O29" s="89">
        <v>24237</v>
      </c>
      <c r="P29" s="92">
        <f t="shared" si="16"/>
        <v>12</v>
      </c>
      <c r="Q29" s="92">
        <f t="shared" si="5"/>
        <v>30</v>
      </c>
      <c r="R29" s="93">
        <v>60799</v>
      </c>
      <c r="S29" s="92">
        <f t="shared" si="17"/>
        <v>29</v>
      </c>
      <c r="T29" s="102">
        <f t="shared" si="6"/>
        <v>30.615300000000001</v>
      </c>
      <c r="U29" s="101">
        <f t="shared" si="7"/>
        <v>547.969065</v>
      </c>
      <c r="V29" s="143">
        <v>76592</v>
      </c>
      <c r="W29" s="315">
        <f t="shared" si="18"/>
        <v>19</v>
      </c>
      <c r="X29" s="316">
        <f t="shared" si="19"/>
        <v>5402.5550000000003</v>
      </c>
      <c r="Y29" s="317">
        <f t="shared" si="8"/>
        <v>1863.3412195000001</v>
      </c>
      <c r="Z29" s="317">
        <f t="shared" si="20"/>
        <v>4413.1961424731189</v>
      </c>
      <c r="AA29" s="318">
        <f t="shared" si="9"/>
        <v>6276.537361973119</v>
      </c>
      <c r="AB29" s="93">
        <v>772306</v>
      </c>
      <c r="AC29" s="93">
        <f t="shared" si="10"/>
        <v>5846</v>
      </c>
      <c r="AD29" s="319">
        <f t="shared" si="11"/>
        <v>20.559531554977227</v>
      </c>
      <c r="AE29" s="175">
        <v>0.90790000000000004</v>
      </c>
      <c r="AF29" s="94">
        <v>435</v>
      </c>
      <c r="AG29" s="176">
        <v>20635</v>
      </c>
      <c r="AH29" s="140">
        <f t="shared" si="21"/>
        <v>4</v>
      </c>
      <c r="AI29" s="88">
        <v>14734950</v>
      </c>
      <c r="AJ29" s="89">
        <f t="shared" si="22"/>
        <v>5312</v>
      </c>
      <c r="AK29" s="94">
        <f t="shared" si="23"/>
        <v>1062.4000000000001</v>
      </c>
      <c r="AL29" s="88">
        <v>6757560</v>
      </c>
      <c r="AM29" s="89">
        <f t="shared" si="24"/>
        <v>2196</v>
      </c>
      <c r="AN29" s="94">
        <f t="shared" si="25"/>
        <v>439.20000000000005</v>
      </c>
      <c r="AO29" s="91">
        <v>234059</v>
      </c>
      <c r="AP29" s="89">
        <f t="shared" si="26"/>
        <v>136</v>
      </c>
      <c r="AQ29" s="94">
        <f t="shared" si="27"/>
        <v>27.200000000000003</v>
      </c>
      <c r="AR29" s="91">
        <v>8345</v>
      </c>
      <c r="AS29" s="89">
        <f t="shared" si="28"/>
        <v>5</v>
      </c>
      <c r="AT29" s="140">
        <f t="shared" si="29"/>
        <v>39.200000000000003</v>
      </c>
      <c r="AU29" s="88">
        <v>3234</v>
      </c>
      <c r="AV29" s="89">
        <f t="shared" si="30"/>
        <v>1</v>
      </c>
      <c r="AW29" s="94">
        <f t="shared" si="12"/>
        <v>7.84</v>
      </c>
      <c r="AX29" s="88">
        <v>119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45652</v>
      </c>
      <c r="B30" s="91">
        <v>20970946</v>
      </c>
      <c r="C30" s="89">
        <f t="shared" si="3"/>
        <v>8183</v>
      </c>
      <c r="D30" s="89">
        <v>21675061</v>
      </c>
      <c r="E30" s="89">
        <f t="shared" si="4"/>
        <v>7531</v>
      </c>
      <c r="F30" s="89">
        <v>483560</v>
      </c>
      <c r="G30" s="89">
        <f t="shared" si="13"/>
        <v>131</v>
      </c>
      <c r="H30" s="90">
        <f t="shared" si="0"/>
        <v>15845</v>
      </c>
      <c r="I30" s="109">
        <f t="shared" si="1"/>
        <v>3169</v>
      </c>
      <c r="J30" s="91">
        <v>105451</v>
      </c>
      <c r="K30" s="89">
        <f t="shared" si="14"/>
        <v>119</v>
      </c>
      <c r="L30" s="75">
        <f t="shared" si="2"/>
        <v>932.96</v>
      </c>
      <c r="M30" s="88">
        <v>40566</v>
      </c>
      <c r="N30" s="89">
        <f t="shared" si="15"/>
        <v>17</v>
      </c>
      <c r="O30" s="89">
        <v>24248</v>
      </c>
      <c r="P30" s="92">
        <f t="shared" si="16"/>
        <v>11</v>
      </c>
      <c r="Q30" s="92">
        <f t="shared" si="5"/>
        <v>28</v>
      </c>
      <c r="R30" s="93">
        <v>60826</v>
      </c>
      <c r="S30" s="92">
        <f t="shared" si="17"/>
        <v>27</v>
      </c>
      <c r="T30" s="102">
        <f t="shared" si="6"/>
        <v>28.503900000000002</v>
      </c>
      <c r="U30" s="101">
        <f t="shared" si="7"/>
        <v>524.63809500000002</v>
      </c>
      <c r="V30" s="143">
        <v>76613</v>
      </c>
      <c r="W30" s="315">
        <f t="shared" si="18"/>
        <v>21</v>
      </c>
      <c r="X30" s="316">
        <f t="shared" si="19"/>
        <v>5971.2450000000008</v>
      </c>
      <c r="Y30" s="317">
        <f t="shared" si="8"/>
        <v>2059.4824005</v>
      </c>
      <c r="Z30" s="317">
        <f t="shared" si="20"/>
        <v>4413.1961424731189</v>
      </c>
      <c r="AA30" s="318">
        <f t="shared" si="9"/>
        <v>6472.678542973119</v>
      </c>
      <c r="AB30" s="93">
        <v>778556</v>
      </c>
      <c r="AC30" s="93">
        <f t="shared" si="10"/>
        <v>6250</v>
      </c>
      <c r="AD30" s="319">
        <f t="shared" si="11"/>
        <v>21.980340783203502</v>
      </c>
      <c r="AE30" s="175">
        <v>0.93969999999999998</v>
      </c>
      <c r="AF30" s="94">
        <v>438</v>
      </c>
      <c r="AG30" s="176">
        <v>20640</v>
      </c>
      <c r="AH30" s="140">
        <f t="shared" si="21"/>
        <v>5</v>
      </c>
      <c r="AI30" s="88">
        <v>14740368</v>
      </c>
      <c r="AJ30" s="89">
        <f t="shared" si="22"/>
        <v>5418</v>
      </c>
      <c r="AK30" s="94">
        <f t="shared" si="23"/>
        <v>1083.6000000000001</v>
      </c>
      <c r="AL30" s="88">
        <v>6759768</v>
      </c>
      <c r="AM30" s="89">
        <f t="shared" si="24"/>
        <v>2208</v>
      </c>
      <c r="AN30" s="94">
        <f t="shared" si="25"/>
        <v>441.6</v>
      </c>
      <c r="AO30" s="91">
        <v>234186</v>
      </c>
      <c r="AP30" s="89">
        <f t="shared" si="26"/>
        <v>127</v>
      </c>
      <c r="AQ30" s="94">
        <f t="shared" si="27"/>
        <v>25.400000000000002</v>
      </c>
      <c r="AR30" s="91">
        <v>8351</v>
      </c>
      <c r="AS30" s="89">
        <f t="shared" si="28"/>
        <v>6</v>
      </c>
      <c r="AT30" s="140">
        <f t="shared" si="29"/>
        <v>47.04</v>
      </c>
      <c r="AU30" s="88">
        <v>3235</v>
      </c>
      <c r="AV30" s="89">
        <f t="shared" si="30"/>
        <v>1</v>
      </c>
      <c r="AW30" s="94">
        <f t="shared" si="12"/>
        <v>7.84</v>
      </c>
      <c r="AX30" s="88">
        <v>120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45653</v>
      </c>
      <c r="B31" s="91">
        <v>20979039</v>
      </c>
      <c r="C31" s="89">
        <f t="shared" si="3"/>
        <v>8093</v>
      </c>
      <c r="D31" s="89">
        <v>21682354</v>
      </c>
      <c r="E31" s="89">
        <f t="shared" si="4"/>
        <v>7293</v>
      </c>
      <c r="F31" s="89">
        <v>483694</v>
      </c>
      <c r="G31" s="89">
        <f t="shared" si="13"/>
        <v>134</v>
      </c>
      <c r="H31" s="90">
        <f t="shared" si="0"/>
        <v>15520</v>
      </c>
      <c r="I31" s="109">
        <f t="shared" si="1"/>
        <v>3104</v>
      </c>
      <c r="J31" s="91">
        <v>105560</v>
      </c>
      <c r="K31" s="89">
        <f t="shared" si="14"/>
        <v>109</v>
      </c>
      <c r="L31" s="75">
        <f t="shared" si="2"/>
        <v>854.56</v>
      </c>
      <c r="M31" s="88">
        <v>40586</v>
      </c>
      <c r="N31" s="89">
        <f t="shared" si="15"/>
        <v>20</v>
      </c>
      <c r="O31" s="89">
        <v>24260</v>
      </c>
      <c r="P31" s="92">
        <f t="shared" si="16"/>
        <v>12</v>
      </c>
      <c r="Q31" s="92">
        <f t="shared" si="5"/>
        <v>32</v>
      </c>
      <c r="R31" s="93">
        <v>60858</v>
      </c>
      <c r="S31" s="92">
        <f t="shared" si="17"/>
        <v>32</v>
      </c>
      <c r="T31" s="102">
        <f t="shared" si="6"/>
        <v>33.782400000000003</v>
      </c>
      <c r="U31" s="101">
        <f t="shared" si="7"/>
        <v>582.96552000000008</v>
      </c>
      <c r="V31" s="143">
        <v>76633</v>
      </c>
      <c r="W31" s="315">
        <f t="shared" si="18"/>
        <v>20</v>
      </c>
      <c r="X31" s="316">
        <f t="shared" si="19"/>
        <v>5686.9000000000005</v>
      </c>
      <c r="Y31" s="317">
        <f t="shared" si="8"/>
        <v>1961.4118100000001</v>
      </c>
      <c r="Z31" s="317">
        <f t="shared" si="20"/>
        <v>4413.1961424731189</v>
      </c>
      <c r="AA31" s="318">
        <f t="shared" si="9"/>
        <v>6374.6079524731194</v>
      </c>
      <c r="AB31" s="93">
        <v>784809</v>
      </c>
      <c r="AC31" s="93">
        <f t="shared" si="10"/>
        <v>6253</v>
      </c>
      <c r="AD31" s="319">
        <f t="shared" si="11"/>
        <v>21.990891346779438</v>
      </c>
      <c r="AE31" s="175">
        <v>0.9365</v>
      </c>
      <c r="AF31" s="94">
        <v>457</v>
      </c>
      <c r="AG31" s="176">
        <v>20645</v>
      </c>
      <c r="AH31" s="140">
        <f t="shared" si="21"/>
        <v>5</v>
      </c>
      <c r="AI31" s="88">
        <v>14745591</v>
      </c>
      <c r="AJ31" s="89">
        <f t="shared" si="22"/>
        <v>5223</v>
      </c>
      <c r="AK31" s="94">
        <f t="shared" si="23"/>
        <v>1044.6000000000001</v>
      </c>
      <c r="AL31" s="88">
        <v>6761904</v>
      </c>
      <c r="AM31" s="89">
        <f t="shared" si="24"/>
        <v>2136</v>
      </c>
      <c r="AN31" s="94">
        <f t="shared" si="25"/>
        <v>427.20000000000005</v>
      </c>
      <c r="AO31" s="91">
        <v>234317</v>
      </c>
      <c r="AP31" s="89">
        <f t="shared" si="26"/>
        <v>131</v>
      </c>
      <c r="AQ31" s="94">
        <f t="shared" si="27"/>
        <v>26.200000000000003</v>
      </c>
      <c r="AR31" s="91">
        <v>8358</v>
      </c>
      <c r="AS31" s="89">
        <f t="shared" si="28"/>
        <v>7</v>
      </c>
      <c r="AT31" s="140">
        <f t="shared" si="29"/>
        <v>54.879999999999995</v>
      </c>
      <c r="AU31" s="88">
        <v>3239</v>
      </c>
      <c r="AV31" s="89">
        <f t="shared" si="30"/>
        <v>4</v>
      </c>
      <c r="AW31" s="94">
        <f t="shared" si="12"/>
        <v>31.36</v>
      </c>
      <c r="AX31" s="88">
        <v>121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45654</v>
      </c>
      <c r="B32" s="91">
        <v>20986887</v>
      </c>
      <c r="C32" s="89">
        <f t="shared" si="3"/>
        <v>7848</v>
      </c>
      <c r="D32" s="89">
        <v>21689410</v>
      </c>
      <c r="E32" s="89">
        <f t="shared" si="4"/>
        <v>7056</v>
      </c>
      <c r="F32" s="89">
        <v>483834</v>
      </c>
      <c r="G32" s="89">
        <f t="shared" si="13"/>
        <v>140</v>
      </c>
      <c r="H32" s="90">
        <f t="shared" si="0"/>
        <v>15044</v>
      </c>
      <c r="I32" s="109">
        <f t="shared" si="1"/>
        <v>3008.8</v>
      </c>
      <c r="J32" s="91">
        <v>105678</v>
      </c>
      <c r="K32" s="89">
        <f t="shared" si="14"/>
        <v>118</v>
      </c>
      <c r="L32" s="75">
        <f t="shared" si="2"/>
        <v>925.12</v>
      </c>
      <c r="M32" s="88">
        <v>40606</v>
      </c>
      <c r="N32" s="89">
        <f t="shared" si="15"/>
        <v>20</v>
      </c>
      <c r="O32" s="89">
        <v>24270</v>
      </c>
      <c r="P32" s="92">
        <f t="shared" si="16"/>
        <v>10</v>
      </c>
      <c r="Q32" s="92">
        <f t="shared" si="5"/>
        <v>30</v>
      </c>
      <c r="R32" s="93">
        <v>60887</v>
      </c>
      <c r="S32" s="92">
        <f t="shared" si="17"/>
        <v>29</v>
      </c>
      <c r="T32" s="102">
        <f t="shared" si="6"/>
        <v>30.615300000000001</v>
      </c>
      <c r="U32" s="101">
        <f t="shared" si="7"/>
        <v>547.969065</v>
      </c>
      <c r="V32" s="143">
        <v>76652</v>
      </c>
      <c r="W32" s="315">
        <f t="shared" si="18"/>
        <v>19</v>
      </c>
      <c r="X32" s="316">
        <f t="shared" si="19"/>
        <v>5402.5550000000003</v>
      </c>
      <c r="Y32" s="317">
        <f t="shared" si="8"/>
        <v>1863.3412195000001</v>
      </c>
      <c r="Z32" s="317">
        <f t="shared" si="20"/>
        <v>4413.1961424731189</v>
      </c>
      <c r="AA32" s="318">
        <f t="shared" si="9"/>
        <v>6276.537361973119</v>
      </c>
      <c r="AB32" s="93">
        <v>790254</v>
      </c>
      <c r="AC32" s="93">
        <f t="shared" si="10"/>
        <v>5445</v>
      </c>
      <c r="AD32" s="319">
        <f t="shared" si="11"/>
        <v>19.149272890326891</v>
      </c>
      <c r="AE32" s="175">
        <v>0.90790000000000004</v>
      </c>
      <c r="AF32" s="94">
        <v>434</v>
      </c>
      <c r="AG32" s="176">
        <v>20648</v>
      </c>
      <c r="AH32" s="140">
        <f t="shared" si="21"/>
        <v>3</v>
      </c>
      <c r="AI32" s="88">
        <v>14749989</v>
      </c>
      <c r="AJ32" s="89">
        <f t="shared" si="22"/>
        <v>4398</v>
      </c>
      <c r="AK32" s="94">
        <f t="shared" si="23"/>
        <v>879.6</v>
      </c>
      <c r="AL32" s="88">
        <v>6763896</v>
      </c>
      <c r="AM32" s="89">
        <f t="shared" si="24"/>
        <v>1992</v>
      </c>
      <c r="AN32" s="94">
        <f t="shared" si="25"/>
        <v>398.40000000000003</v>
      </c>
      <c r="AO32" s="91">
        <v>234431</v>
      </c>
      <c r="AP32" s="89">
        <f t="shared" si="26"/>
        <v>114</v>
      </c>
      <c r="AQ32" s="94">
        <f t="shared" si="27"/>
        <v>22.8</v>
      </c>
      <c r="AR32" s="91">
        <v>8366</v>
      </c>
      <c r="AS32" s="89">
        <f t="shared" si="28"/>
        <v>8</v>
      </c>
      <c r="AT32" s="140">
        <f t="shared" si="29"/>
        <v>62.72</v>
      </c>
      <c r="AU32" s="88">
        <v>3243</v>
      </c>
      <c r="AV32" s="89">
        <f t="shared" si="30"/>
        <v>4</v>
      </c>
      <c r="AW32" s="94">
        <f t="shared" si="12"/>
        <v>31.36</v>
      </c>
      <c r="AX32" s="88">
        <v>122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45655</v>
      </c>
      <c r="B33" s="91">
        <v>20995187</v>
      </c>
      <c r="C33" s="89">
        <f t="shared" si="3"/>
        <v>8300</v>
      </c>
      <c r="D33" s="89">
        <v>21696710</v>
      </c>
      <c r="E33" s="89">
        <f t="shared" si="4"/>
        <v>7300</v>
      </c>
      <c r="F33" s="89">
        <v>483976</v>
      </c>
      <c r="G33" s="89">
        <f t="shared" si="13"/>
        <v>142</v>
      </c>
      <c r="H33" s="90">
        <f t="shared" si="0"/>
        <v>15742</v>
      </c>
      <c r="I33" s="109">
        <f t="shared" si="1"/>
        <v>3148.4</v>
      </c>
      <c r="J33" s="91">
        <v>105783</v>
      </c>
      <c r="K33" s="89">
        <f t="shared" si="14"/>
        <v>105</v>
      </c>
      <c r="L33" s="75">
        <f t="shared" si="2"/>
        <v>823.19999999999993</v>
      </c>
      <c r="M33" s="88">
        <v>40625</v>
      </c>
      <c r="N33" s="89">
        <f t="shared" si="15"/>
        <v>19</v>
      </c>
      <c r="O33" s="89">
        <v>24283</v>
      </c>
      <c r="P33" s="92">
        <f t="shared" si="16"/>
        <v>13</v>
      </c>
      <c r="Q33" s="92">
        <f t="shared" si="5"/>
        <v>32</v>
      </c>
      <c r="R33" s="93">
        <v>60918</v>
      </c>
      <c r="S33" s="92">
        <f t="shared" si="17"/>
        <v>31</v>
      </c>
      <c r="T33" s="102">
        <f t="shared" si="6"/>
        <v>32.726700000000001</v>
      </c>
      <c r="U33" s="101">
        <f t="shared" si="7"/>
        <v>571.30003499999998</v>
      </c>
      <c r="V33" s="143">
        <v>76670</v>
      </c>
      <c r="W33" s="315">
        <f t="shared" si="18"/>
        <v>18</v>
      </c>
      <c r="X33" s="316">
        <f t="shared" si="19"/>
        <v>5118.2100000000009</v>
      </c>
      <c r="Y33" s="317">
        <f t="shared" si="8"/>
        <v>1765.2706290000003</v>
      </c>
      <c r="Z33" s="317">
        <f t="shared" si="20"/>
        <v>4413.1961424731189</v>
      </c>
      <c r="AA33" s="318">
        <f t="shared" si="9"/>
        <v>6178.4667714731195</v>
      </c>
      <c r="AB33" s="93">
        <v>795856</v>
      </c>
      <c r="AC33" s="93">
        <f t="shared" si="10"/>
        <v>5602</v>
      </c>
      <c r="AD33" s="319">
        <f t="shared" si="11"/>
        <v>19.701419050800961</v>
      </c>
      <c r="AE33" s="175">
        <v>0.84440000000000004</v>
      </c>
      <c r="AF33" s="94">
        <v>414</v>
      </c>
      <c r="AG33" s="176">
        <v>20652</v>
      </c>
      <c r="AH33" s="140">
        <f t="shared" si="21"/>
        <v>4</v>
      </c>
      <c r="AI33" s="88">
        <v>14754540</v>
      </c>
      <c r="AJ33" s="89">
        <f t="shared" si="22"/>
        <v>4551</v>
      </c>
      <c r="AK33" s="94">
        <f t="shared" si="23"/>
        <v>910.2</v>
      </c>
      <c r="AL33" s="88">
        <v>6766014</v>
      </c>
      <c r="AM33" s="89">
        <f t="shared" si="24"/>
        <v>2118</v>
      </c>
      <c r="AN33" s="94">
        <f t="shared" si="25"/>
        <v>423.6</v>
      </c>
      <c r="AO33" s="91">
        <v>234538</v>
      </c>
      <c r="AP33" s="89">
        <f t="shared" si="26"/>
        <v>107</v>
      </c>
      <c r="AQ33" s="94">
        <f t="shared" si="27"/>
        <v>21.400000000000002</v>
      </c>
      <c r="AR33" s="91">
        <v>8373</v>
      </c>
      <c r="AS33" s="89">
        <f t="shared" si="28"/>
        <v>7</v>
      </c>
      <c r="AT33" s="140">
        <f t="shared" si="29"/>
        <v>54.879999999999995</v>
      </c>
      <c r="AU33" s="88">
        <v>3244</v>
      </c>
      <c r="AV33" s="89">
        <f t="shared" si="30"/>
        <v>1</v>
      </c>
      <c r="AW33" s="94">
        <f t="shared" si="12"/>
        <v>7.84</v>
      </c>
      <c r="AX33" s="88">
        <v>123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45656</v>
      </c>
      <c r="B34" s="91">
        <v>21003125</v>
      </c>
      <c r="C34" s="89">
        <f t="shared" si="3"/>
        <v>7938</v>
      </c>
      <c r="D34" s="89">
        <v>21703679</v>
      </c>
      <c r="E34" s="89">
        <f t="shared" si="4"/>
        <v>6969</v>
      </c>
      <c r="F34" s="89">
        <v>484109</v>
      </c>
      <c r="G34" s="89">
        <f t="shared" si="13"/>
        <v>133</v>
      </c>
      <c r="H34" s="90">
        <f t="shared" si="0"/>
        <v>15040</v>
      </c>
      <c r="I34" s="109">
        <f t="shared" si="1"/>
        <v>3008</v>
      </c>
      <c r="J34" s="91">
        <v>105890</v>
      </c>
      <c r="K34" s="89">
        <f t="shared" si="14"/>
        <v>107</v>
      </c>
      <c r="L34" s="75">
        <f t="shared" si="2"/>
        <v>838.88</v>
      </c>
      <c r="M34" s="88">
        <v>40644</v>
      </c>
      <c r="N34" s="89">
        <f t="shared" si="15"/>
        <v>19</v>
      </c>
      <c r="O34" s="89">
        <v>24295</v>
      </c>
      <c r="P34" s="92">
        <f t="shared" si="16"/>
        <v>12</v>
      </c>
      <c r="Q34" s="92">
        <f t="shared" si="5"/>
        <v>31</v>
      </c>
      <c r="R34" s="93">
        <v>60947</v>
      </c>
      <c r="S34" s="92">
        <f t="shared" si="17"/>
        <v>29</v>
      </c>
      <c r="T34" s="102">
        <f t="shared" si="6"/>
        <v>30.615300000000001</v>
      </c>
      <c r="U34" s="101">
        <f t="shared" si="7"/>
        <v>547.969065</v>
      </c>
      <c r="V34" s="320">
        <v>76690</v>
      </c>
      <c r="W34" s="315">
        <f t="shared" si="18"/>
        <v>20</v>
      </c>
      <c r="X34" s="316">
        <f t="shared" si="19"/>
        <v>5686.9000000000005</v>
      </c>
      <c r="Y34" s="317">
        <f t="shared" si="8"/>
        <v>1961.4118100000001</v>
      </c>
      <c r="Z34" s="317">
        <f t="shared" si="20"/>
        <v>4413.1961424731189</v>
      </c>
      <c r="AA34" s="318">
        <f t="shared" si="9"/>
        <v>6374.6079524731194</v>
      </c>
      <c r="AB34" s="321">
        <v>802141</v>
      </c>
      <c r="AC34" s="93">
        <f t="shared" si="10"/>
        <v>6285</v>
      </c>
      <c r="AD34" s="319">
        <f t="shared" si="11"/>
        <v>22.103430691589441</v>
      </c>
      <c r="AE34" s="175">
        <v>0.79049999999999998</v>
      </c>
      <c r="AF34" s="94">
        <v>377</v>
      </c>
      <c r="AG34" s="176">
        <v>20657</v>
      </c>
      <c r="AH34" s="140">
        <f t="shared" si="21"/>
        <v>5</v>
      </c>
      <c r="AI34" s="88">
        <v>14759829</v>
      </c>
      <c r="AJ34" s="89">
        <f t="shared" si="22"/>
        <v>5289</v>
      </c>
      <c r="AK34" s="94">
        <f t="shared" si="23"/>
        <v>1057.8</v>
      </c>
      <c r="AL34" s="88">
        <v>6768167</v>
      </c>
      <c r="AM34" s="89">
        <f t="shared" si="24"/>
        <v>2153</v>
      </c>
      <c r="AN34" s="94">
        <f t="shared" si="25"/>
        <v>430.6</v>
      </c>
      <c r="AO34" s="91">
        <v>234677</v>
      </c>
      <c r="AP34" s="89">
        <f t="shared" si="26"/>
        <v>139</v>
      </c>
      <c r="AQ34" s="94">
        <f t="shared" si="27"/>
        <v>27.8</v>
      </c>
      <c r="AR34" s="91">
        <v>8380</v>
      </c>
      <c r="AS34" s="89">
        <f t="shared" si="28"/>
        <v>7</v>
      </c>
      <c r="AT34" s="140">
        <f t="shared" si="29"/>
        <v>54.879999999999995</v>
      </c>
      <c r="AU34" s="88">
        <v>3244</v>
      </c>
      <c r="AV34" s="89">
        <f t="shared" si="30"/>
        <v>0</v>
      </c>
      <c r="AW34" s="94">
        <f t="shared" si="12"/>
        <v>0</v>
      </c>
      <c r="AX34" s="88">
        <v>124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45657</v>
      </c>
      <c r="B35" s="91">
        <v>21010982</v>
      </c>
      <c r="C35" s="89">
        <f t="shared" si="3"/>
        <v>7857</v>
      </c>
      <c r="D35" s="89">
        <v>21710601</v>
      </c>
      <c r="E35" s="89">
        <f t="shared" si="4"/>
        <v>6922</v>
      </c>
      <c r="F35" s="89">
        <v>484256</v>
      </c>
      <c r="G35" s="89">
        <f t="shared" si="13"/>
        <v>147</v>
      </c>
      <c r="H35" s="90">
        <f t="shared" si="0"/>
        <v>14926</v>
      </c>
      <c r="I35" s="109">
        <f t="shared" si="1"/>
        <v>2985.2000000000003</v>
      </c>
      <c r="J35" s="91">
        <v>105996</v>
      </c>
      <c r="K35" s="89">
        <f t="shared" si="14"/>
        <v>106</v>
      </c>
      <c r="L35" s="75">
        <f t="shared" si="2"/>
        <v>831.04</v>
      </c>
      <c r="M35" s="88">
        <v>40662</v>
      </c>
      <c r="N35" s="89">
        <f t="shared" si="15"/>
        <v>18</v>
      </c>
      <c r="O35" s="89">
        <v>24308</v>
      </c>
      <c r="P35" s="92">
        <f t="shared" si="16"/>
        <v>13</v>
      </c>
      <c r="Q35" s="92">
        <f t="shared" si="5"/>
        <v>31</v>
      </c>
      <c r="R35" s="93">
        <v>60978</v>
      </c>
      <c r="S35" s="92">
        <f t="shared" si="17"/>
        <v>31</v>
      </c>
      <c r="T35" s="102">
        <f t="shared" si="6"/>
        <v>32.726700000000001</v>
      </c>
      <c r="U35" s="101">
        <f t="shared" si="7"/>
        <v>571.30003499999998</v>
      </c>
      <c r="V35" s="322">
        <v>76713</v>
      </c>
      <c r="W35" s="315">
        <f t="shared" si="18"/>
        <v>23</v>
      </c>
      <c r="X35" s="323">
        <f t="shared" si="19"/>
        <v>6539.9350000000004</v>
      </c>
      <c r="Y35" s="324">
        <f t="shared" si="8"/>
        <v>2255.6235815</v>
      </c>
      <c r="Z35" s="324">
        <f t="shared" si="20"/>
        <v>4413.1961424731189</v>
      </c>
      <c r="AA35" s="325">
        <f t="shared" si="9"/>
        <v>6668.8197239731189</v>
      </c>
      <c r="AB35" s="321">
        <v>808374</v>
      </c>
      <c r="AC35" s="321">
        <f t="shared" si="10"/>
        <v>6233</v>
      </c>
      <c r="AD35" s="326">
        <f t="shared" si="11"/>
        <v>21.920554256273189</v>
      </c>
      <c r="AE35" s="175">
        <v>0.79369999999999996</v>
      </c>
      <c r="AF35" s="94">
        <v>386</v>
      </c>
      <c r="AG35" s="176">
        <v>20659</v>
      </c>
      <c r="AH35" s="140">
        <f t="shared" si="21"/>
        <v>2</v>
      </c>
      <c r="AI35" s="88">
        <v>14764960</v>
      </c>
      <c r="AJ35" s="89">
        <f t="shared" si="22"/>
        <v>5131</v>
      </c>
      <c r="AK35" s="94">
        <f t="shared" si="23"/>
        <v>1026.2</v>
      </c>
      <c r="AL35" s="88">
        <v>6770287</v>
      </c>
      <c r="AM35" s="89">
        <f t="shared" si="24"/>
        <v>2120</v>
      </c>
      <c r="AN35" s="94">
        <f t="shared" si="25"/>
        <v>424</v>
      </c>
      <c r="AO35" s="91">
        <v>234802</v>
      </c>
      <c r="AP35" s="89">
        <f t="shared" si="26"/>
        <v>125</v>
      </c>
      <c r="AQ35" s="94">
        <f t="shared" si="27"/>
        <v>25</v>
      </c>
      <c r="AR35" s="91">
        <v>8385</v>
      </c>
      <c r="AS35" s="89">
        <f t="shared" si="28"/>
        <v>5</v>
      </c>
      <c r="AT35" s="140">
        <f t="shared" si="29"/>
        <v>39.200000000000003</v>
      </c>
      <c r="AU35" s="88">
        <v>3246</v>
      </c>
      <c r="AV35" s="89">
        <f t="shared" si="30"/>
        <v>2</v>
      </c>
      <c r="AW35" s="94">
        <f t="shared" si="12"/>
        <v>15.68</v>
      </c>
      <c r="AX35" s="88">
        <v>124</v>
      </c>
      <c r="AY35" s="89">
        <f t="shared" si="31"/>
        <v>0</v>
      </c>
      <c r="AZ35" s="94">
        <f t="shared" si="32"/>
        <v>0</v>
      </c>
    </row>
    <row r="36" spans="1:165" s="12" customFormat="1" ht="27.95" customHeight="1" thickBot="1" x14ac:dyDescent="0.3">
      <c r="A36" s="157"/>
      <c r="B36" s="76"/>
      <c r="C36" s="77">
        <f>SUM(C5:C35)</f>
        <v>244786</v>
      </c>
      <c r="D36" s="77"/>
      <c r="E36" s="77">
        <f>SUM(E5:E35)</f>
        <v>230995</v>
      </c>
      <c r="F36" s="78"/>
      <c r="G36" s="77">
        <f>SUM(G5:G35)</f>
        <v>4290</v>
      </c>
      <c r="H36" s="79">
        <f>SUM(H5:H35)</f>
        <v>480071</v>
      </c>
      <c r="I36" s="87">
        <f>H36*0.2</f>
        <v>96014.200000000012</v>
      </c>
      <c r="J36" s="76"/>
      <c r="K36" s="77">
        <f>SUM(K5:K35)</f>
        <v>3322</v>
      </c>
      <c r="L36" s="87">
        <f>K36*7.84</f>
        <v>26044.48</v>
      </c>
      <c r="M36" s="76"/>
      <c r="N36" s="79">
        <f>SUM(N5:N35)</f>
        <v>598</v>
      </c>
      <c r="O36" s="80"/>
      <c r="P36" s="79">
        <f>SUM(P5:P35)</f>
        <v>408</v>
      </c>
      <c r="Q36" s="79">
        <f>SUM(Q5:Q35)</f>
        <v>1006</v>
      </c>
      <c r="R36" s="80"/>
      <c r="S36" s="80">
        <f>SUM(S5:S35)</f>
        <v>974</v>
      </c>
      <c r="T36" s="108">
        <f>SUM(T5:T35)</f>
        <v>1028.2518000000007</v>
      </c>
      <c r="U36" s="86">
        <f>SUM(U5:U35)</f>
        <v>17861.952389999999</v>
      </c>
      <c r="V36" s="327"/>
      <c r="W36" s="76">
        <f>SUM(W5:W35)</f>
        <v>623</v>
      </c>
      <c r="X36" s="328">
        <f>SUM(X5:X35)</f>
        <v>177146.93499999997</v>
      </c>
      <c r="Y36" s="329">
        <f>SUM(Y5:Y35)</f>
        <v>61097.977881499974</v>
      </c>
      <c r="Z36" s="330">
        <f>SUM(Z5:Z35)</f>
        <v>136809.08041666661</v>
      </c>
      <c r="AA36" s="331">
        <f>SUM(AA5:AA35)</f>
        <v>197907.0582981667</v>
      </c>
      <c r="AB36" s="332"/>
      <c r="AC36" s="333">
        <f>SUM(AC5:AC35)</f>
        <v>193116</v>
      </c>
      <c r="AD36" s="334">
        <f>SUM(AD5:AD35)</f>
        <v>679.16087851026032</v>
      </c>
      <c r="AE36" s="81">
        <f>AVERAGE(AE5:AE35)</f>
        <v>0.86778387096774212</v>
      </c>
      <c r="AF36" s="184">
        <f>SUM(AF5:AF35)</f>
        <v>12399</v>
      </c>
      <c r="AG36" s="185"/>
      <c r="AH36" s="141">
        <f>SUM(AH5:AH35)</f>
        <v>142</v>
      </c>
      <c r="AI36" s="76"/>
      <c r="AJ36" s="147">
        <f>SUM(AJ5:AJ35)</f>
        <v>157916</v>
      </c>
      <c r="AK36" s="148">
        <f>SUM(AK5:AK35)</f>
        <v>31583.200000000001</v>
      </c>
      <c r="AL36" s="76"/>
      <c r="AM36" s="147">
        <f>SUM(AM5:AM35)</f>
        <v>66910</v>
      </c>
      <c r="AN36" s="148">
        <f>SUM(AN5:AN35)</f>
        <v>13382.000000000004</v>
      </c>
      <c r="AO36" s="76"/>
      <c r="AP36" s="147">
        <f>SUM(AP5:AP35)</f>
        <v>5105</v>
      </c>
      <c r="AQ36" s="148">
        <f>SUM(AQ5:AQ35)</f>
        <v>1021</v>
      </c>
      <c r="AR36" s="76"/>
      <c r="AS36" s="147">
        <f>SUM(AS5:AS35)</f>
        <v>225</v>
      </c>
      <c r="AT36" s="148">
        <f>SUM(AT5:AT35)</f>
        <v>1764.0000000000002</v>
      </c>
      <c r="AU36" s="76"/>
      <c r="AV36" s="147">
        <f>SUM(AV5:AV35)</f>
        <v>124</v>
      </c>
      <c r="AW36" s="148">
        <f>SUM(AW5:AW35)</f>
        <v>972.1600000000002</v>
      </c>
      <c r="AX36" s="76"/>
      <c r="AY36" s="147">
        <f>SUM(AY5:AY35)</f>
        <v>25</v>
      </c>
      <c r="AZ36" s="148">
        <f>SUM(AZ5:AZ35)</f>
        <v>196.00000000000006</v>
      </c>
    </row>
    <row r="37" spans="1:165" s="8" customFormat="1" ht="22.5" customHeight="1" thickBot="1" x14ac:dyDescent="0.3">
      <c r="A37" s="231"/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33"/>
      <c r="V37" s="234" t="s">
        <v>24</v>
      </c>
      <c r="W37" s="235"/>
      <c r="X37" s="235"/>
      <c r="Y37" s="235"/>
      <c r="Z37" s="235"/>
      <c r="AA37" s="235"/>
      <c r="AB37" s="236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6"/>
      <c r="B38" s="237" t="s">
        <v>3</v>
      </c>
      <c r="C38" s="238"/>
      <c r="D38" s="238" t="s">
        <v>13</v>
      </c>
      <c r="E38" s="238"/>
      <c r="F38" s="238"/>
      <c r="G38" s="238" t="s">
        <v>14</v>
      </c>
      <c r="H38" s="238"/>
      <c r="I38" s="239"/>
      <c r="J38" s="240" t="s">
        <v>4</v>
      </c>
      <c r="K38" s="241"/>
      <c r="L38" s="45" t="s">
        <v>13</v>
      </c>
      <c r="M38" s="241" t="s">
        <v>48</v>
      </c>
      <c r="N38" s="242"/>
      <c r="O38" s="243" t="s">
        <v>25</v>
      </c>
      <c r="P38" s="244"/>
      <c r="Q38" s="244"/>
      <c r="R38" s="244" t="s">
        <v>13</v>
      </c>
      <c r="S38" s="244"/>
      <c r="T38" s="244" t="s">
        <v>48</v>
      </c>
      <c r="U38" s="245"/>
      <c r="V38" s="246" t="s">
        <v>15</v>
      </c>
      <c r="W38" s="247"/>
      <c r="X38" s="247" t="s">
        <v>13</v>
      </c>
      <c r="Y38" s="247"/>
      <c r="Z38" s="247" t="s">
        <v>16</v>
      </c>
      <c r="AA38" s="247"/>
      <c r="AB38" s="248"/>
      <c r="AC38" s="114"/>
      <c r="AD38" s="166"/>
      <c r="AE38" s="166"/>
      <c r="AF38"/>
      <c r="AG38" s="165">
        <f>(131547.55*7)+(135620.99)+(136809.08*4)</f>
        <v>1603690.1599999997</v>
      </c>
      <c r="AH38" s="249" t="s">
        <v>94</v>
      </c>
      <c r="AI38" s="250"/>
      <c r="AJ38" s="250"/>
      <c r="AK38" s="251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52" t="s">
        <v>105</v>
      </c>
      <c r="C39" s="253"/>
      <c r="D39" s="254">
        <f>I36</f>
        <v>96014.200000000012</v>
      </c>
      <c r="E39" s="254"/>
      <c r="F39" s="254"/>
      <c r="G39" s="255">
        <f t="shared" ref="G39:G44" si="33">D39/0.2</f>
        <v>480071.00000000006</v>
      </c>
      <c r="H39" s="255"/>
      <c r="I39" s="256"/>
      <c r="J39" s="252" t="str">
        <f t="shared" ref="J39:J44" si="34">B39</f>
        <v>Actual December2024</v>
      </c>
      <c r="K39" s="253"/>
      <c r="L39" s="42">
        <f>L36</f>
        <v>26044.48</v>
      </c>
      <c r="M39" s="255">
        <f>K36</f>
        <v>3322</v>
      </c>
      <c r="N39" s="256"/>
      <c r="O39" s="252" t="str">
        <f t="shared" ref="O39:O44" si="35">B39</f>
        <v>Actual December2024</v>
      </c>
      <c r="P39" s="253"/>
      <c r="Q39" s="253"/>
      <c r="R39" s="259">
        <f>U36</f>
        <v>17861.952389999999</v>
      </c>
      <c r="S39" s="259"/>
      <c r="T39" s="255">
        <f>T36</f>
        <v>1028.2518000000007</v>
      </c>
      <c r="U39" s="256"/>
      <c r="V39" s="252" t="str">
        <f t="shared" ref="V39:V44" si="36">B39</f>
        <v>Actual December2024</v>
      </c>
      <c r="W39" s="253"/>
      <c r="X39" s="254">
        <f>AA36</f>
        <v>197907.0582981667</v>
      </c>
      <c r="Y39" s="254"/>
      <c r="Z39" s="255">
        <f>X36</f>
        <v>177146.93499999997</v>
      </c>
      <c r="AA39" s="255"/>
      <c r="AB39" s="256"/>
      <c r="AC39" s="112"/>
      <c r="AD39" s="115">
        <f>AC36</f>
        <v>193116</v>
      </c>
      <c r="AE39" s="116">
        <f>AD39-X36</f>
        <v>15969.065000000031</v>
      </c>
      <c r="AF39" s="167"/>
      <c r="AG39" s="123">
        <f>(126488.42*7)+(130404.97)+(131547.55*4)</f>
        <v>1542014.1099999999</v>
      </c>
      <c r="AH39" s="249" t="s">
        <v>51</v>
      </c>
      <c r="AI39" s="250"/>
      <c r="AJ39" s="250"/>
      <c r="AK39" s="251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52" t="s">
        <v>106</v>
      </c>
      <c r="C40" s="253"/>
      <c r="D40" s="257">
        <v>95697</v>
      </c>
      <c r="E40" s="257"/>
      <c r="F40" s="257"/>
      <c r="G40" s="255">
        <f t="shared" si="33"/>
        <v>478485</v>
      </c>
      <c r="H40" s="255"/>
      <c r="I40" s="256"/>
      <c r="J40" s="252" t="str">
        <f t="shared" si="34"/>
        <v>Budget December 2024</v>
      </c>
      <c r="K40" s="253"/>
      <c r="L40" s="39">
        <v>26565.61</v>
      </c>
      <c r="M40" s="255">
        <f>L40/7.84</f>
        <v>3388.4706632653065</v>
      </c>
      <c r="N40" s="256"/>
      <c r="O40" s="252" t="str">
        <f t="shared" si="35"/>
        <v>Budget December 2024</v>
      </c>
      <c r="P40" s="253"/>
      <c r="Q40" s="253"/>
      <c r="R40" s="258">
        <v>20961.330000000002</v>
      </c>
      <c r="S40" s="258"/>
      <c r="T40" s="255">
        <f>(R40-6500)/11.05</f>
        <v>1308.7176470588236</v>
      </c>
      <c r="U40" s="256"/>
      <c r="V40" s="252" t="str">
        <f t="shared" si="36"/>
        <v>Budget December 2024</v>
      </c>
      <c r="W40" s="253"/>
      <c r="X40" s="257">
        <v>208102.96</v>
      </c>
      <c r="Y40" s="257"/>
      <c r="Z40" s="255">
        <f>AG40/0.3449</f>
        <v>206708.84314293999</v>
      </c>
      <c r="AA40" s="255"/>
      <c r="AB40" s="256"/>
      <c r="AC40" s="113"/>
      <c r="AD40" s="160"/>
      <c r="AE40" s="161"/>
      <c r="AF40" s="163"/>
      <c r="AG40" s="117">
        <f>X40-136809.08</f>
        <v>71293.88</v>
      </c>
      <c r="AH40" s="249" t="s">
        <v>95</v>
      </c>
      <c r="AI40" s="250"/>
      <c r="AJ40" s="250"/>
      <c r="AK40" s="251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52" t="s">
        <v>107</v>
      </c>
      <c r="C41" s="253"/>
      <c r="D41" s="257">
        <v>89662.2</v>
      </c>
      <c r="E41" s="257"/>
      <c r="F41" s="257"/>
      <c r="G41" s="255">
        <f t="shared" si="33"/>
        <v>448310.99999999994</v>
      </c>
      <c r="H41" s="255"/>
      <c r="I41" s="256"/>
      <c r="J41" s="252" t="str">
        <f t="shared" si="34"/>
        <v>Actual December 2023</v>
      </c>
      <c r="K41" s="253"/>
      <c r="L41" s="39">
        <v>23841.439999999999</v>
      </c>
      <c r="M41" s="255">
        <f>L41/7.84</f>
        <v>3041</v>
      </c>
      <c r="N41" s="256"/>
      <c r="O41" s="252" t="str">
        <f t="shared" si="35"/>
        <v>Actual December 2023</v>
      </c>
      <c r="P41" s="253"/>
      <c r="Q41" s="253"/>
      <c r="R41" s="258">
        <v>17185</v>
      </c>
      <c r="S41" s="258"/>
      <c r="T41" s="255">
        <f>(R41-6500)/11.05</f>
        <v>966.96832579185514</v>
      </c>
      <c r="U41" s="256"/>
      <c r="V41" s="252" t="str">
        <f t="shared" si="36"/>
        <v>Actual December 2023</v>
      </c>
      <c r="W41" s="253"/>
      <c r="X41" s="257">
        <v>188553.07</v>
      </c>
      <c r="Y41" s="257"/>
      <c r="Z41" s="255">
        <f>AG41/0.3442</f>
        <v>165617.4317257409</v>
      </c>
      <c r="AA41" s="255"/>
      <c r="AB41" s="256"/>
      <c r="AC41" s="113"/>
      <c r="AD41" s="162"/>
      <c r="AE41" s="11"/>
      <c r="AF41" s="163"/>
      <c r="AG41" s="118">
        <f>X41-131547.55</f>
        <v>57005.520000000019</v>
      </c>
      <c r="AH41" s="249" t="s">
        <v>96</v>
      </c>
      <c r="AI41" s="250"/>
      <c r="AJ41" s="250"/>
      <c r="AK41" s="251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52" t="s">
        <v>69</v>
      </c>
      <c r="C42" s="253"/>
      <c r="D42" s="254">
        <f>D39+967194</f>
        <v>1063208.2</v>
      </c>
      <c r="E42" s="254"/>
      <c r="F42" s="254"/>
      <c r="G42" s="255">
        <f t="shared" si="33"/>
        <v>5316040.9999999991</v>
      </c>
      <c r="H42" s="255"/>
      <c r="I42" s="256"/>
      <c r="J42" s="252" t="str">
        <f t="shared" si="34"/>
        <v>Actual YTD 2024</v>
      </c>
      <c r="K42" s="253"/>
      <c r="L42" s="42">
        <f>L39+265235.04</f>
        <v>291279.51999999996</v>
      </c>
      <c r="M42" s="255">
        <f>L42/7.84</f>
        <v>37152.999999999993</v>
      </c>
      <c r="N42" s="256"/>
      <c r="O42" s="260" t="str">
        <f t="shared" si="35"/>
        <v>Actual YTD 2024</v>
      </c>
      <c r="P42" s="261"/>
      <c r="Q42" s="262"/>
      <c r="R42" s="259">
        <f>R39+201294.73</f>
        <v>219156.68239</v>
      </c>
      <c r="S42" s="259"/>
      <c r="T42" s="255">
        <f>(R42-6500*12)/11.05</f>
        <v>12774.360397285067</v>
      </c>
      <c r="U42" s="256"/>
      <c r="V42" s="252" t="str">
        <f t="shared" si="36"/>
        <v>Actual YTD 2024</v>
      </c>
      <c r="W42" s="253"/>
      <c r="X42" s="254">
        <f>X39+2447393.39</f>
        <v>2645300.448298167</v>
      </c>
      <c r="Y42" s="254"/>
      <c r="Z42" s="255">
        <f>AG42/0.3449</f>
        <v>3020035.6285826829</v>
      </c>
      <c r="AA42" s="255"/>
      <c r="AB42" s="256"/>
      <c r="AC42" s="113"/>
      <c r="AD42" s="162"/>
      <c r="AF42" s="163"/>
      <c r="AG42" s="117">
        <f>X42-AG38</f>
        <v>1041610.2882981673</v>
      </c>
      <c r="AH42" s="249" t="s">
        <v>97</v>
      </c>
      <c r="AI42" s="250"/>
      <c r="AJ42" s="250"/>
      <c r="AK42" s="251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52" t="s">
        <v>70</v>
      </c>
      <c r="C43" s="253"/>
      <c r="D43" s="257">
        <f>D40+1057061.25</f>
        <v>1152758.25</v>
      </c>
      <c r="E43" s="257"/>
      <c r="F43" s="257"/>
      <c r="G43" s="255">
        <f t="shared" si="33"/>
        <v>5763791.25</v>
      </c>
      <c r="H43" s="255"/>
      <c r="I43" s="256"/>
      <c r="J43" s="252" t="str">
        <f t="shared" si="34"/>
        <v>Budget YTD 2024</v>
      </c>
      <c r="K43" s="253"/>
      <c r="L43" s="39">
        <f>L40+275756.58</f>
        <v>302322.19</v>
      </c>
      <c r="M43" s="255">
        <f>L43/7.84</f>
        <v>38561.503826530614</v>
      </c>
      <c r="N43" s="256"/>
      <c r="O43" s="252" t="str">
        <f t="shared" si="35"/>
        <v>Budget YTD 2024</v>
      </c>
      <c r="P43" s="253"/>
      <c r="Q43" s="253"/>
      <c r="R43" s="258">
        <f>R40+209486.4</f>
        <v>230447.72999999998</v>
      </c>
      <c r="S43" s="258"/>
      <c r="T43" s="255">
        <f>(R43-6500*12)/11.05</f>
        <v>13796.174660633482</v>
      </c>
      <c r="U43" s="256"/>
      <c r="V43" s="252" t="str">
        <f t="shared" si="36"/>
        <v>Budget YTD 2024</v>
      </c>
      <c r="W43" s="253"/>
      <c r="X43" s="257">
        <f>X40+2463755.4</f>
        <v>2671858.36</v>
      </c>
      <c r="Y43" s="257"/>
      <c r="Z43" s="263">
        <f>AG43/0.3449</f>
        <v>3097037.4021455501</v>
      </c>
      <c r="AA43" s="264"/>
      <c r="AB43" s="265"/>
      <c r="AC43" s="113"/>
      <c r="AD43" s="162"/>
      <c r="AF43" s="163"/>
      <c r="AG43" s="117">
        <f>X43-AG38</f>
        <v>1068168.2000000002</v>
      </c>
      <c r="AH43" s="249" t="s">
        <v>98</v>
      </c>
      <c r="AI43" s="250"/>
      <c r="AJ43" s="250"/>
      <c r="AK43" s="251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80" t="s">
        <v>50</v>
      </c>
      <c r="C44" s="281"/>
      <c r="D44" s="266">
        <v>1119373.3999999999</v>
      </c>
      <c r="E44" s="266"/>
      <c r="F44" s="266"/>
      <c r="G44" s="267">
        <f t="shared" si="33"/>
        <v>5596866.9999999991</v>
      </c>
      <c r="H44" s="267"/>
      <c r="I44" s="268"/>
      <c r="J44" s="280" t="str">
        <f t="shared" si="34"/>
        <v>Actual YTD 2023</v>
      </c>
      <c r="K44" s="281"/>
      <c r="L44" s="43">
        <v>271122.88</v>
      </c>
      <c r="M44" s="267">
        <f>L44/7.84</f>
        <v>34582</v>
      </c>
      <c r="N44" s="268"/>
      <c r="O44" s="280" t="str">
        <f t="shared" si="35"/>
        <v>Actual YTD 2023</v>
      </c>
      <c r="P44" s="281"/>
      <c r="Q44" s="281"/>
      <c r="R44" s="282">
        <v>205908.88</v>
      </c>
      <c r="S44" s="282"/>
      <c r="T44" s="267">
        <f>(R44-6500*12)/11.05</f>
        <v>11575.464253393664</v>
      </c>
      <c r="U44" s="268"/>
      <c r="V44" s="280" t="str">
        <f t="shared" si="36"/>
        <v>Actual YTD 2023</v>
      </c>
      <c r="W44" s="281"/>
      <c r="X44" s="266">
        <v>2533325.0099999998</v>
      </c>
      <c r="Y44" s="266"/>
      <c r="Z44" s="267">
        <f>AG44/0.3442</f>
        <v>2880043.2887855894</v>
      </c>
      <c r="AA44" s="267"/>
      <c r="AB44" s="268"/>
      <c r="AC44" s="113"/>
      <c r="AD44" s="162"/>
      <c r="AF44" s="163"/>
      <c r="AG44" s="119">
        <f>X44-AG39</f>
        <v>991310.89999999991</v>
      </c>
      <c r="AH44" s="249" t="s">
        <v>52</v>
      </c>
      <c r="AI44" s="250"/>
      <c r="AJ44" s="250"/>
      <c r="AK44" s="251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45627</v>
      </c>
      <c r="I45" s="82">
        <f ca="1">TODAY()</f>
        <v>45672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4"/>
      <c r="AE45" s="164"/>
      <c r="AF45" s="164"/>
      <c r="AG45" s="159"/>
      <c r="AH45" s="159"/>
      <c r="AI45" s="15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69" t="s">
        <v>26</v>
      </c>
      <c r="B46" s="270"/>
      <c r="D46" s="271" t="s">
        <v>27</v>
      </c>
      <c r="E46" s="272"/>
      <c r="F46" s="272"/>
      <c r="G46" s="273"/>
      <c r="H46" s="48"/>
      <c r="I46" s="274" t="s">
        <v>28</v>
      </c>
      <c r="J46" s="275"/>
      <c r="K46" s="275"/>
      <c r="L46" s="276"/>
      <c r="M46" s="49"/>
      <c r="N46" s="271" t="s">
        <v>29</v>
      </c>
      <c r="O46" s="272"/>
      <c r="P46" s="272"/>
      <c r="Q46" s="272"/>
      <c r="R46" s="272"/>
      <c r="S46" s="273"/>
      <c r="T46" s="2"/>
      <c r="U46" s="271" t="s">
        <v>30</v>
      </c>
      <c r="V46" s="272"/>
      <c r="W46" s="272"/>
      <c r="X46" s="273"/>
      <c r="Y46"/>
      <c r="Z46" s="271" t="s">
        <v>53</v>
      </c>
      <c r="AA46" s="272"/>
      <c r="AB46" s="273"/>
      <c r="AC46"/>
      <c r="AD46" s="277" t="s">
        <v>54</v>
      </c>
      <c r="AE46" s="278"/>
      <c r="AF46" s="279"/>
      <c r="AG46" s="132" t="s">
        <v>55</v>
      </c>
      <c r="AH46" s="41" t="s">
        <v>56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95697</v>
      </c>
      <c r="C47" s="10"/>
      <c r="D47" s="283" t="s">
        <v>3</v>
      </c>
      <c r="E47" s="284"/>
      <c r="F47" s="284"/>
      <c r="G47" s="40">
        <f>B47/31</f>
        <v>3087</v>
      </c>
      <c r="H47" s="137"/>
      <c r="I47" s="283" t="s">
        <v>3</v>
      </c>
      <c r="J47" s="284"/>
      <c r="K47" s="284"/>
      <c r="L47" s="120">
        <f>I36/J45</f>
        <v>3097.2322580645164</v>
      </c>
      <c r="M47" s="50"/>
      <c r="N47" s="283" t="s">
        <v>3</v>
      </c>
      <c r="O47" s="284"/>
      <c r="P47" s="284"/>
      <c r="Q47" s="284"/>
      <c r="R47" s="285">
        <f>G47*J45</f>
        <v>95697</v>
      </c>
      <c r="S47" s="286"/>
      <c r="T47" s="51"/>
      <c r="U47" s="283" t="s">
        <v>3</v>
      </c>
      <c r="V47" s="284"/>
      <c r="W47" s="287">
        <f>I36</f>
        <v>96014.200000000012</v>
      </c>
      <c r="X47" s="288"/>
      <c r="Y47" s="52">
        <f>R47-W47</f>
        <v>-317.20000000001164</v>
      </c>
      <c r="Z47" s="283" t="s">
        <v>3</v>
      </c>
      <c r="AA47" s="284"/>
      <c r="AB47" s="124">
        <f>R47+1057061.25</f>
        <v>1152758.25</v>
      </c>
      <c r="AC47"/>
      <c r="AD47" s="283" t="s">
        <v>3</v>
      </c>
      <c r="AE47" s="284"/>
      <c r="AF47" s="126">
        <f>W47+967194</f>
        <v>1063208.2</v>
      </c>
      <c r="AG47" s="127">
        <f>AB47-AF47</f>
        <v>89550.050000000047</v>
      </c>
      <c r="AH47" s="128">
        <f>AF47-AB47</f>
        <v>-89550.050000000047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26565.61</v>
      </c>
      <c r="C48" s="10"/>
      <c r="D48" s="283" t="s">
        <v>4</v>
      </c>
      <c r="E48" s="284"/>
      <c r="F48" s="284"/>
      <c r="G48" s="40">
        <f>B48/31</f>
        <v>856.95516129032262</v>
      </c>
      <c r="H48" s="137"/>
      <c r="I48" s="283" t="s">
        <v>4</v>
      </c>
      <c r="J48" s="284"/>
      <c r="K48" s="284"/>
      <c r="L48" s="121">
        <f>L36/J45</f>
        <v>840.14451612903224</v>
      </c>
      <c r="M48" s="50"/>
      <c r="N48" s="283" t="s">
        <v>4</v>
      </c>
      <c r="O48" s="284"/>
      <c r="P48" s="284"/>
      <c r="Q48" s="284"/>
      <c r="R48" s="285">
        <f>G48*J45</f>
        <v>26565.61</v>
      </c>
      <c r="S48" s="286"/>
      <c r="T48" s="51"/>
      <c r="U48" s="283" t="s">
        <v>4</v>
      </c>
      <c r="V48" s="284"/>
      <c r="W48" s="287">
        <f>L36</f>
        <v>26044.48</v>
      </c>
      <c r="X48" s="288"/>
      <c r="Y48" s="52">
        <f>R48-W48</f>
        <v>521.13000000000102</v>
      </c>
      <c r="Z48" s="283" t="s">
        <v>4</v>
      </c>
      <c r="AA48" s="284"/>
      <c r="AB48" s="124">
        <f>R48+275756.58</f>
        <v>302322.19</v>
      </c>
      <c r="AC48"/>
      <c r="AD48" s="283" t="s">
        <v>4</v>
      </c>
      <c r="AE48" s="284"/>
      <c r="AF48" s="126">
        <f>W48+265235.04</f>
        <v>291279.51999999996</v>
      </c>
      <c r="AG48" s="127">
        <f>AB48-AF48</f>
        <v>11042.670000000042</v>
      </c>
      <c r="AH48" s="128">
        <f>AF48-AB48</f>
        <v>-11042.670000000042</v>
      </c>
      <c r="AI48" s="170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20961.330000000002</v>
      </c>
      <c r="C49" s="10"/>
      <c r="D49" s="283" t="s">
        <v>25</v>
      </c>
      <c r="E49" s="284"/>
      <c r="F49" s="284"/>
      <c r="G49" s="40">
        <f>B49/31</f>
        <v>676.17193548387104</v>
      </c>
      <c r="H49" s="50"/>
      <c r="I49" s="283" t="s">
        <v>25</v>
      </c>
      <c r="J49" s="284"/>
      <c r="K49" s="284"/>
      <c r="L49" s="121">
        <f>U36/J45</f>
        <v>576.19201258064516</v>
      </c>
      <c r="M49" s="50"/>
      <c r="N49" s="283" t="s">
        <v>25</v>
      </c>
      <c r="O49" s="284"/>
      <c r="P49" s="284"/>
      <c r="Q49" s="284"/>
      <c r="R49" s="285">
        <f>G49*J45</f>
        <v>20961.330000000002</v>
      </c>
      <c r="S49" s="286"/>
      <c r="T49" s="51"/>
      <c r="U49" s="283" t="s">
        <v>25</v>
      </c>
      <c r="V49" s="284"/>
      <c r="W49" s="287">
        <f>U36</f>
        <v>17861.952389999999</v>
      </c>
      <c r="X49" s="288"/>
      <c r="Y49" s="52">
        <f>R49-W49</f>
        <v>3099.3776100000032</v>
      </c>
      <c r="Z49" s="283" t="s">
        <v>25</v>
      </c>
      <c r="AA49" s="284"/>
      <c r="AB49" s="124">
        <f>R49+209486.4</f>
        <v>230447.72999999998</v>
      </c>
      <c r="AC49"/>
      <c r="AD49" s="283" t="s">
        <v>25</v>
      </c>
      <c r="AE49" s="284"/>
      <c r="AF49" s="126">
        <f>W49+201294.73</f>
        <v>219156.68239</v>
      </c>
      <c r="AG49" s="127">
        <f>AB49-AF49</f>
        <v>11291.04760999998</v>
      </c>
      <c r="AH49" s="128">
        <f>AF49-AB49</f>
        <v>-11291.04760999998</v>
      </c>
      <c r="AI49" s="170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208102.96</v>
      </c>
      <c r="C50" s="61"/>
      <c r="D50" s="289" t="s">
        <v>15</v>
      </c>
      <c r="E50" s="290"/>
      <c r="F50" s="290"/>
      <c r="G50" s="38">
        <f>B50/31</f>
        <v>6712.9987096774194</v>
      </c>
      <c r="H50" s="53"/>
      <c r="I50" s="289" t="s">
        <v>15</v>
      </c>
      <c r="J50" s="290"/>
      <c r="K50" s="290"/>
      <c r="L50" s="122">
        <f>AA36/J45</f>
        <v>6384.098654779571</v>
      </c>
      <c r="M50" s="53"/>
      <c r="N50" s="289" t="s">
        <v>15</v>
      </c>
      <c r="O50" s="290"/>
      <c r="P50" s="290"/>
      <c r="Q50" s="290"/>
      <c r="R50" s="293">
        <f>G50*J45</f>
        <v>208102.96</v>
      </c>
      <c r="S50" s="294"/>
      <c r="T50" s="51"/>
      <c r="U50" s="289" t="s">
        <v>15</v>
      </c>
      <c r="V50" s="290"/>
      <c r="W50" s="295">
        <f>AA36</f>
        <v>197907.0582981667</v>
      </c>
      <c r="X50" s="296"/>
      <c r="Y50" s="52">
        <f>R50-W50</f>
        <v>10195.901701833296</v>
      </c>
      <c r="Z50" s="289" t="s">
        <v>15</v>
      </c>
      <c r="AA50" s="290"/>
      <c r="AB50" s="65">
        <f>R50+2463755.4</f>
        <v>2671858.36</v>
      </c>
      <c r="AC50"/>
      <c r="AD50" s="289" t="s">
        <v>15</v>
      </c>
      <c r="AE50" s="290"/>
      <c r="AF50" s="133">
        <f>W50+2447393.39</f>
        <v>2645300.448298167</v>
      </c>
      <c r="AG50" s="134">
        <f>AB50-AF50</f>
        <v>26557.911701832898</v>
      </c>
      <c r="AH50" s="135">
        <f>AF50-AB50</f>
        <v>-26557.911701832898</v>
      </c>
      <c r="AI50" s="170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351326.9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91">
        <f>SUM(R47:S50)</f>
        <v>351326.9</v>
      </c>
      <c r="S51" s="291"/>
      <c r="T51" s="56"/>
      <c r="U51" s="56"/>
      <c r="V51" s="56"/>
      <c r="W51" s="291">
        <f>SUM(W47:X50)</f>
        <v>337827.69068816671</v>
      </c>
      <c r="X51" s="291"/>
      <c r="Y51" s="52">
        <f>R51-W51</f>
        <v>13499.209311833314</v>
      </c>
      <c r="Z51" s="292"/>
      <c r="AA51" s="292" t="s">
        <v>57</v>
      </c>
      <c r="AB51" s="125">
        <f>SUM(AB47:AB50)</f>
        <v>4357386.5299999993</v>
      </c>
      <c r="AD51" s="129"/>
      <c r="AF51" s="125">
        <f>SUM(AF47:AF50)</f>
        <v>4218944.8506881669</v>
      </c>
      <c r="AG51" s="130">
        <f>AB51-AF51</f>
        <v>138441.67931183241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13499.209311833298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3.8423500482978379E-2</v>
      </c>
      <c r="Y52" s="59"/>
      <c r="Z52"/>
      <c r="AA52"/>
      <c r="AB52"/>
      <c r="AC52"/>
      <c r="AD52"/>
      <c r="AE52"/>
      <c r="AF52" s="58">
        <f>1-(AF51/AB51)</f>
        <v>3.1771723338905322E-2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69" t="s">
        <v>40</v>
      </c>
      <c r="B54" s="270"/>
      <c r="D54" s="271" t="s">
        <v>41</v>
      </c>
      <c r="E54" s="272"/>
      <c r="F54" s="272"/>
      <c r="G54" s="273"/>
      <c r="H54" s="48"/>
      <c r="I54" s="274" t="s">
        <v>42</v>
      </c>
      <c r="J54" s="275"/>
      <c r="K54" s="275"/>
      <c r="L54" s="276"/>
      <c r="M54" s="49"/>
      <c r="N54" s="271" t="s">
        <v>30</v>
      </c>
      <c r="O54" s="272"/>
      <c r="P54" s="272"/>
      <c r="Q54" s="272"/>
      <c r="R54" s="272"/>
      <c r="S54" s="273"/>
      <c r="T54" s="2"/>
      <c r="U54" s="271" t="s">
        <v>43</v>
      </c>
      <c r="V54" s="272"/>
      <c r="W54" s="272"/>
      <c r="X54" s="273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89662.2</v>
      </c>
      <c r="C55" s="10"/>
      <c r="D55" s="283" t="s">
        <v>3</v>
      </c>
      <c r="E55" s="284"/>
      <c r="F55" s="284"/>
      <c r="G55" s="40">
        <f>B55/31</f>
        <v>2892.3290322580642</v>
      </c>
      <c r="H55" s="50"/>
      <c r="I55" s="283" t="s">
        <v>3</v>
      </c>
      <c r="J55" s="284"/>
      <c r="K55" s="284"/>
      <c r="L55" s="66">
        <f>G55*J45</f>
        <v>89662.2</v>
      </c>
      <c r="M55" s="50"/>
      <c r="N55" s="283" t="s">
        <v>3</v>
      </c>
      <c r="O55" s="284"/>
      <c r="P55" s="284"/>
      <c r="Q55" s="284"/>
      <c r="R55" s="297">
        <f>W47</f>
        <v>96014.200000000012</v>
      </c>
      <c r="S55" s="298"/>
      <c r="T55" s="51"/>
      <c r="U55" s="283" t="s">
        <v>3</v>
      </c>
      <c r="V55" s="284"/>
      <c r="W55" s="335">
        <f>L55-R55</f>
        <v>-6352.0000000000146</v>
      </c>
      <c r="X55" s="336"/>
      <c r="Y55" s="52"/>
      <c r="Z55" s="107">
        <f>L47*31</f>
        <v>96014.200000000012</v>
      </c>
      <c r="AA55" s="70">
        <f>Z55+967194</f>
        <v>1063208.2</v>
      </c>
      <c r="AB55" s="10"/>
      <c r="AC55" s="10"/>
      <c r="AD55" s="337">
        <f>D41-Z55</f>
        <v>-6352.0000000000146</v>
      </c>
      <c r="AE55" s="338">
        <f>D44-AA55</f>
        <v>56165.199999999953</v>
      </c>
      <c r="AF55" s="151"/>
      <c r="AG55" s="151"/>
      <c r="AH55" s="151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23841.439999999999</v>
      </c>
      <c r="C56" s="10"/>
      <c r="D56" s="283" t="s">
        <v>4</v>
      </c>
      <c r="E56" s="284"/>
      <c r="F56" s="284"/>
      <c r="G56" s="40">
        <f>B56/31</f>
        <v>769.07870967741928</v>
      </c>
      <c r="H56" s="50"/>
      <c r="I56" s="283" t="s">
        <v>4</v>
      </c>
      <c r="J56" s="284"/>
      <c r="K56" s="284"/>
      <c r="L56" s="66">
        <f>G56*J45</f>
        <v>23841.439999999999</v>
      </c>
      <c r="M56" s="50"/>
      <c r="N56" s="283" t="s">
        <v>4</v>
      </c>
      <c r="O56" s="284"/>
      <c r="P56" s="284"/>
      <c r="Q56" s="284"/>
      <c r="R56" s="297">
        <f>W48</f>
        <v>26044.48</v>
      </c>
      <c r="S56" s="298"/>
      <c r="T56" s="51"/>
      <c r="U56" s="283" t="s">
        <v>4</v>
      </c>
      <c r="V56" s="284"/>
      <c r="W56" s="335">
        <f>L56-R56</f>
        <v>-2203.0400000000009</v>
      </c>
      <c r="X56" s="336"/>
      <c r="Y56" s="52"/>
      <c r="Z56" s="107">
        <f>L48*31</f>
        <v>26044.48</v>
      </c>
      <c r="AA56" s="68">
        <f>Z56+265235.04</f>
        <v>291279.51999999996</v>
      </c>
      <c r="AB56" s="10"/>
      <c r="AC56" s="10"/>
      <c r="AD56" s="337">
        <f>L41-Z56</f>
        <v>-2203.0400000000009</v>
      </c>
      <c r="AE56" s="338">
        <f>L44-AA56</f>
        <v>-20156.639999999956</v>
      </c>
      <c r="AF56" s="151"/>
      <c r="AG56" s="151"/>
      <c r="AH56" s="151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17185</v>
      </c>
      <c r="C57" s="10"/>
      <c r="D57" s="283" t="s">
        <v>25</v>
      </c>
      <c r="E57" s="284"/>
      <c r="F57" s="284"/>
      <c r="G57" s="40">
        <f>B57/31</f>
        <v>554.35483870967744</v>
      </c>
      <c r="H57" s="50"/>
      <c r="I57" s="283" t="s">
        <v>25</v>
      </c>
      <c r="J57" s="284"/>
      <c r="K57" s="284"/>
      <c r="L57" s="66">
        <f>G57*J45</f>
        <v>17185</v>
      </c>
      <c r="M57" s="50"/>
      <c r="N57" s="283" t="s">
        <v>25</v>
      </c>
      <c r="O57" s="284"/>
      <c r="P57" s="284"/>
      <c r="Q57" s="284"/>
      <c r="R57" s="297">
        <f>W49</f>
        <v>17861.952389999999</v>
      </c>
      <c r="S57" s="298"/>
      <c r="T57" s="51"/>
      <c r="U57" s="283" t="s">
        <v>25</v>
      </c>
      <c r="V57" s="284"/>
      <c r="W57" s="335">
        <f>L57-R57</f>
        <v>-676.95238999999856</v>
      </c>
      <c r="X57" s="336"/>
      <c r="Y57" s="52"/>
      <c r="Z57" s="107">
        <f>L49*31</f>
        <v>17861.952389999999</v>
      </c>
      <c r="AA57" s="68">
        <f>Z57+201294.73</f>
        <v>219156.68239</v>
      </c>
      <c r="AB57" s="10"/>
      <c r="AC57" s="10"/>
      <c r="AD57" s="337">
        <f>R41-Z57</f>
        <v>-676.95238999999856</v>
      </c>
      <c r="AE57" s="338">
        <f>R44-AA57</f>
        <v>-13247.802389999997</v>
      </c>
      <c r="AF57" s="151"/>
      <c r="AG57" s="151"/>
      <c r="AH57" s="151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188553.07</v>
      </c>
      <c r="C58" s="61"/>
      <c r="D58" s="289" t="s">
        <v>15</v>
      </c>
      <c r="E58" s="290"/>
      <c r="F58" s="290"/>
      <c r="G58" s="38">
        <f>B58/31</f>
        <v>6082.3570967741935</v>
      </c>
      <c r="H58" s="53"/>
      <c r="I58" s="289" t="s">
        <v>15</v>
      </c>
      <c r="J58" s="290"/>
      <c r="K58" s="290"/>
      <c r="L58" s="67">
        <f>G58*J45</f>
        <v>188553.07</v>
      </c>
      <c r="M58" s="53"/>
      <c r="N58" s="289" t="s">
        <v>15</v>
      </c>
      <c r="O58" s="290"/>
      <c r="P58" s="290"/>
      <c r="Q58" s="290"/>
      <c r="R58" s="299">
        <f>W50</f>
        <v>197907.0582981667</v>
      </c>
      <c r="S58" s="300"/>
      <c r="T58" s="51"/>
      <c r="U58" s="289" t="s">
        <v>15</v>
      </c>
      <c r="V58" s="290"/>
      <c r="W58" s="339">
        <f>L58-R58</f>
        <v>-9353.9882981666888</v>
      </c>
      <c r="X58" s="340"/>
      <c r="Y58" s="52"/>
      <c r="Z58" s="107">
        <f>L50*31</f>
        <v>197907.0582981667</v>
      </c>
      <c r="AA58" s="68">
        <f>Z58+2447393.39</f>
        <v>2645300.448298167</v>
      </c>
      <c r="AB58" s="10"/>
      <c r="AC58" s="10"/>
      <c r="AD58" s="337">
        <f>X41-Z58</f>
        <v>-9353.9882981666888</v>
      </c>
      <c r="AE58" s="338">
        <f>X44-AA58</f>
        <v>-111975.4382981672</v>
      </c>
      <c r="AF58" s="151"/>
      <c r="AG58" s="151"/>
      <c r="AH58" s="151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319241.71000000002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319241.71000000002</v>
      </c>
      <c r="M59" s="53"/>
      <c r="N59" s="53"/>
      <c r="O59" s="53"/>
      <c r="P59" s="53"/>
      <c r="Q59" s="53"/>
      <c r="R59" s="291">
        <f>SUM(R55:S58)</f>
        <v>337827.69068816671</v>
      </c>
      <c r="S59" s="291"/>
      <c r="T59" s="56"/>
      <c r="U59" s="56"/>
      <c r="V59" s="56"/>
      <c r="W59" s="291">
        <f>SUM(W55:X58)</f>
        <v>-18585.980688166703</v>
      </c>
      <c r="X59" s="291"/>
      <c r="Y59" s="52"/>
      <c r="Z59" s="168">
        <f>SUM(Z55:Z58)</f>
        <v>337827.69068816671</v>
      </c>
      <c r="AA59" s="69">
        <f>SUM(AA55:AA58)</f>
        <v>4218944.8506881669</v>
      </c>
      <c r="AB59" s="10"/>
      <c r="AC59" s="10"/>
      <c r="AD59" s="341">
        <f>SUM(AD55:AD58)</f>
        <v>-18585.980688166703</v>
      </c>
      <c r="AE59" s="342">
        <f>SUM(AE55:AE58)</f>
        <v>-89214.680688167195</v>
      </c>
      <c r="AF59" s="151"/>
      <c r="AG59" s="151"/>
      <c r="AH59" s="151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-18585.980688166692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-5.8219149020867889E-2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1"/>
      <c r="C62" s="171"/>
      <c r="D62" s="171"/>
      <c r="E62" s="171"/>
      <c r="F62" s="171"/>
      <c r="G62" s="171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3"/>
      <c r="AA62" s="13"/>
      <c r="AB62" s="171"/>
      <c r="AC62" s="171"/>
      <c r="AD62" s="171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T43:U43"/>
    <mergeCell ref="V43:W43"/>
    <mergeCell ref="X43:Y43"/>
    <mergeCell ref="Z43:AB43"/>
    <mergeCell ref="AH43:AK43"/>
    <mergeCell ref="B44:C44"/>
    <mergeCell ref="D44:F44"/>
    <mergeCell ref="G44:I44"/>
    <mergeCell ref="J44:K44"/>
    <mergeCell ref="M44:N44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AR3:AT3"/>
    <mergeCell ref="AU3:AW3"/>
    <mergeCell ref="AX3:AZ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</mergeCells>
  <conditionalFormatting sqref="I5:I35">
    <cfRule type="cellIs" dxfId="55" priority="25" operator="lessThan">
      <formula>$G$47</formula>
    </cfRule>
    <cfRule type="cellIs" dxfId="54" priority="26" operator="greaterThan">
      <formula>$G$47</formula>
    </cfRule>
    <cfRule type="cellIs" dxfId="53" priority="31" operator="lessThan">
      <formula>$G$47</formula>
    </cfRule>
    <cfRule type="cellIs" dxfId="56" priority="32" operator="greaterThan">
      <formula>$G$47</formula>
    </cfRule>
  </conditionalFormatting>
  <conditionalFormatting sqref="L5:L35">
    <cfRule type="cellIs" dxfId="50" priority="23" operator="lessThan">
      <formula>$G$48</formula>
    </cfRule>
    <cfRule type="cellIs" dxfId="49" priority="24" operator="greaterThan">
      <formula>$G$48</formula>
    </cfRule>
    <cfRule type="cellIs" dxfId="51" priority="29" operator="lessThan">
      <formula>$G$48</formula>
    </cfRule>
    <cfRule type="cellIs" dxfId="52" priority="30" operator="greaterThan">
      <formula>$G$48</formula>
    </cfRule>
  </conditionalFormatting>
  <conditionalFormatting sqref="L47">
    <cfRule type="cellIs" dxfId="45" priority="17" operator="lessThan">
      <formula>$G$47</formula>
    </cfRule>
    <cfRule type="cellIs" dxfId="44" priority="18" operator="greaterThan">
      <formula>$G$47</formula>
    </cfRule>
    <cfRule type="cellIs" dxfId="46" priority="39" operator="lessThan">
      <formula>$G$47</formula>
    </cfRule>
    <cfRule type="cellIs" dxfId="47" priority="40" operator="greaterThan">
      <formula>$G$47</formula>
    </cfRule>
    <cfRule type="cellIs" dxfId="43" priority="49" operator="lessThan">
      <formula>$G$47</formula>
    </cfRule>
    <cfRule type="cellIs" dxfId="48" priority="57" operator="greaterThan">
      <formula>$G$47</formula>
    </cfRule>
  </conditionalFormatting>
  <conditionalFormatting sqref="L48">
    <cfRule type="cellIs" dxfId="40" priority="13" operator="lessThan">
      <formula>$G$48</formula>
    </cfRule>
    <cfRule type="cellIs" dxfId="39" priority="16" operator="greaterThan">
      <formula>$G$48</formula>
    </cfRule>
    <cfRule type="cellIs" dxfId="41" priority="37" operator="lessThan">
      <formula>$G$48</formula>
    </cfRule>
    <cfRule type="cellIs" dxfId="42" priority="38" operator="greaterThan">
      <formula>$G$48</formula>
    </cfRule>
    <cfRule type="cellIs" dxfId="38" priority="48" operator="lessThan">
      <formula>$G$48</formula>
    </cfRule>
    <cfRule type="cellIs" dxfId="37" priority="56" operator="greaterThan">
      <formula>$G$48</formula>
    </cfRule>
  </conditionalFormatting>
  <conditionalFormatting sqref="L49">
    <cfRule type="cellIs" dxfId="33" priority="12" operator="lessThan">
      <formula>$G$49</formula>
    </cfRule>
    <cfRule type="cellIs" dxfId="36" priority="15" operator="greaterThan">
      <formula>$G$49</formula>
    </cfRule>
    <cfRule type="cellIs" dxfId="32" priority="35" operator="lessThan">
      <formula>$G$49</formula>
    </cfRule>
    <cfRule type="cellIs" dxfId="34" priority="36" operator="greaterThan">
      <formula>$G$49</formula>
    </cfRule>
    <cfRule type="cellIs" dxfId="35" priority="47" operator="lessThan">
      <formula>$G$49</formula>
    </cfRule>
    <cfRule type="cellIs" dxfId="31" priority="55" operator="greaterThan">
      <formula>$G$49</formula>
    </cfRule>
  </conditionalFormatting>
  <conditionalFormatting sqref="L50">
    <cfRule type="cellIs" dxfId="29" priority="11" operator="lessThan">
      <formula>$G$50</formula>
    </cfRule>
    <cfRule type="cellIs" dxfId="28" priority="14" operator="greaterThan">
      <formula>$G$50</formula>
    </cfRule>
    <cfRule type="cellIs" dxfId="26" priority="33" operator="lessThan">
      <formula>$G$50</formula>
    </cfRule>
    <cfRule type="cellIs" dxfId="27" priority="34" operator="greaterThan">
      <formula>$G$50</formula>
    </cfRule>
    <cfRule type="cellIs" dxfId="30" priority="46" operator="lessThan">
      <formula>$G$50</formula>
    </cfRule>
    <cfRule type="cellIs" dxfId="25" priority="54" operator="greaterThan">
      <formula>$G$50</formula>
    </cfRule>
  </conditionalFormatting>
  <conditionalFormatting sqref="L55">
    <cfRule type="cellIs" dxfId="23" priority="4" operator="lessThan">
      <formula>$R$55</formula>
    </cfRule>
    <cfRule type="cellIs" dxfId="24" priority="8" operator="greaterThan">
      <formula>$R$55</formula>
    </cfRule>
  </conditionalFormatting>
  <conditionalFormatting sqref="L56">
    <cfRule type="cellIs" dxfId="21" priority="3" operator="lessThan">
      <formula>$R$56</formula>
    </cfRule>
    <cfRule type="cellIs" dxfId="22" priority="7" operator="greaterThan">
      <formula>$R$56</formula>
    </cfRule>
  </conditionalFormatting>
  <conditionalFormatting sqref="L57">
    <cfRule type="cellIs" dxfId="19" priority="2" operator="lessThan">
      <formula>$R$57</formula>
    </cfRule>
    <cfRule type="cellIs" dxfId="20" priority="6" operator="greaterThan">
      <formula>$R$57</formula>
    </cfRule>
  </conditionalFormatting>
  <conditionalFormatting sqref="L58">
    <cfRule type="cellIs" dxfId="18" priority="1" operator="lessThan">
      <formula>$R$58</formula>
    </cfRule>
    <cfRule type="cellIs" dxfId="17" priority="5" operator="greaterThan">
      <formula>$R$58</formula>
    </cfRule>
  </conditionalFormatting>
  <conditionalFormatting sqref="U5:U35">
    <cfRule type="cellIs" dxfId="15" priority="19" operator="lessThan">
      <formula>$G$49</formula>
    </cfRule>
    <cfRule type="cellIs" dxfId="16" priority="20" operator="greaterThan">
      <formula>$G$49</formula>
    </cfRule>
  </conditionalFormatting>
  <conditionalFormatting sqref="W47">
    <cfRule type="cellIs" dxfId="14" priority="51" operator="lessThan">
      <formula>#REF!</formula>
    </cfRule>
    <cfRule type="cellIs" dxfId="13" priority="53" operator="greaterThan">
      <formula>#REF!</formula>
    </cfRule>
  </conditionalFormatting>
  <conditionalFormatting sqref="W48">
    <cfRule type="cellIs" dxfId="12" priority="50" operator="lessThan">
      <formula>#REF!</formula>
    </cfRule>
  </conditionalFormatting>
  <conditionalFormatting sqref="W48:W50">
    <cfRule type="cellIs" dxfId="11" priority="52" operator="greaterThan">
      <formula>#REF!</formula>
    </cfRule>
  </conditionalFormatting>
  <conditionalFormatting sqref="W48:W58">
    <cfRule type="cellIs" dxfId="10" priority="43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4" priority="21" operator="lessThan">
      <formula>$G$50</formula>
    </cfRule>
    <cfRule type="cellIs" dxfId="7" priority="22" operator="greaterThan">
      <formula>$G$50</formula>
    </cfRule>
    <cfRule type="cellIs" dxfId="5" priority="27" operator="lessThan">
      <formula>$G$50</formula>
    </cfRule>
    <cfRule type="cellIs" dxfId="6" priority="28" operator="greaterThan">
      <formula>$G$50</formula>
    </cfRule>
  </conditionalFormatting>
  <conditionalFormatting sqref="AG51">
    <cfRule type="cellIs" dxfId="2" priority="9" operator="lessThan">
      <formula>#REF!</formula>
    </cfRule>
    <cfRule type="cellIs" dxfId="3" priority="10" operator="greater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00C486E3-B3D6-4F2F-A37A-E9F39546D064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Dec 2024</vt:lpstr>
      <vt:lpstr>'Dec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2025-01-15T11:46:31Z</dcterms:modified>
</cp:coreProperties>
</file>