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85C93E6A-2D65-4136-BEC5-8FAA683536A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J38" i="1"/>
  <c r="F38" i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J7" i="1"/>
  <c r="K7" i="1" s="1"/>
  <c r="F7" i="1"/>
  <c r="G7" i="1" s="1"/>
  <c r="K37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38" i="1"/>
  <c r="E32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8" i="1"/>
  <c r="I32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<sst xmlns="http://schemas.openxmlformats.org/spreadsheetml/2006/main" count="65" uniqueCount="31">
  <si>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</si>
  <si>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</si>
  <si>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</si>
  <si>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</si>
  <si>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</si>
  <si>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</si>
  <si>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</si>
  <si>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</si>
  <si>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</si>
  <si>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</si>
  <si>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</si>
  <si>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</si>
  <si>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</si>
  <si>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</si>
  <si>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</si>
  <si>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</si>
  <si>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</si>
  <si>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</si>
  <si>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</si>
  <si>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</si>
  <si>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</si>
  <si>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</si>
  <si>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</si>
  <si>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</si>
  <si>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</si>
  <si>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</si>
  <si>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</si>
  <si>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</si>
  <si>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</si>
  <si>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</si>
  <si>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MAR-2025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</si>
</sst>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abSelected="1" workbookViewId="0">
      <selection activeCell="E32" sqref="E32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3</v>
      </c>
      <c r="D2" s="12">
        <v>2025</v>
      </c>
      <c r="E2" s="13">
        <f>'Consum.'!G8</f>
        <v>9591</v>
      </c>
      <c r="F2" s="14">
        <v>0.2</v>
      </c>
      <c r="G2" s="13"/>
      <c r="I2" s="13">
        <f>'Consum.'!K8</f>
        <v>67</v>
      </c>
      <c r="J2" s="15">
        <v>7.84</v>
      </c>
      <c r="K2" s="13">
        <v>192</v>
      </c>
      <c r="L2" s="13">
        <v>247</v>
      </c>
    </row>
    <row r="3" spans="1:12">
      <c r="A3" s="11" t="s">
        <v>28</v>
      </c>
      <c r="B3" s="12">
        <f>B2+1</f>
        <v>2</v>
      </c>
      <c r="C3" s="12">
        <v>3</v>
      </c>
      <c r="D3" s="12">
        <v>2025</v>
      </c>
      <c r="E3" s="13">
        <f>'Consum.'!G9</f>
        <v>9749</v>
      </c>
      <c r="F3" s="14">
        <v>0.2</v>
      </c>
      <c r="G3" s="13"/>
      <c r="I3" s="13">
        <f>'Consum.'!K9</f>
        <v>63</v>
      </c>
      <c r="J3" s="15">
        <v>7.84</v>
      </c>
      <c r="K3" s="13">
        <v>194</v>
      </c>
      <c r="L3" s="13">
        <v>237</v>
      </c>
    </row>
    <row r="4" spans="1:12">
      <c r="A4" s="11" t="s">
        <v>28</v>
      </c>
      <c r="B4" s="12">
        <f t="shared" ref="B4:B32" si="0">B3+1</f>
        <v>3</v>
      </c>
      <c r="C4" s="12">
        <v>3</v>
      </c>
      <c r="D4" s="12">
        <v>2025</v>
      </c>
      <c r="E4" s="13">
        <f>'Consum.'!G10</f>
        <v>9745</v>
      </c>
      <c r="F4" s="14">
        <v>0.2</v>
      </c>
      <c r="G4" s="13"/>
      <c r="I4" s="13">
        <f>'Consum.'!K10</f>
        <v>69</v>
      </c>
      <c r="J4" s="15">
        <v>7.84</v>
      </c>
      <c r="K4" s="13">
        <v>207</v>
      </c>
      <c r="L4" s="13">
        <v>247</v>
      </c>
    </row>
    <row r="5" spans="1:12">
      <c r="A5" s="11" t="s">
        <v>28</v>
      </c>
      <c r="B5" s="12">
        <f t="shared" si="0"/>
        <v>4</v>
      </c>
      <c r="C5" s="12">
        <v>3</v>
      </c>
      <c r="D5" s="12">
        <v>2025</v>
      </c>
      <c r="E5" s="13">
        <f>'Consum.'!G11</f>
        <v>9940</v>
      </c>
      <c r="F5" s="14">
        <v>0.2</v>
      </c>
      <c r="G5" s="13"/>
      <c r="I5" s="13">
        <f>'Consum.'!K11</f>
        <v>51</v>
      </c>
      <c r="J5" s="15">
        <v>7.84</v>
      </c>
      <c r="K5" s="13">
        <v>200</v>
      </c>
      <c r="L5" s="13">
        <v>238</v>
      </c>
    </row>
    <row r="6" spans="1:12">
      <c r="A6" s="11" t="s">
        <v>28</v>
      </c>
      <c r="B6" s="12">
        <f t="shared" si="0"/>
        <v>5</v>
      </c>
      <c r="C6" s="12">
        <v>3</v>
      </c>
      <c r="D6" s="12">
        <v>2025</v>
      </c>
      <c r="E6" s="13">
        <f>'Consum.'!G12</f>
        <v>10120</v>
      </c>
      <c r="F6" s="14">
        <v>0.2</v>
      </c>
      <c r="G6" s="13"/>
      <c r="I6" s="13">
        <f>'Consum.'!K12</f>
        <v>48</v>
      </c>
      <c r="J6" s="15">
        <v>7.84</v>
      </c>
      <c r="K6" s="13">
        <v>209</v>
      </c>
      <c r="L6" s="13">
        <v>256</v>
      </c>
    </row>
    <row r="7" spans="1:12">
      <c r="A7" s="11" t="s">
        <v>28</v>
      </c>
      <c r="B7" s="12">
        <f t="shared" si="0"/>
        <v>6</v>
      </c>
      <c r="C7" s="12">
        <v>3</v>
      </c>
      <c r="D7" s="12">
        <v>2025</v>
      </c>
      <c r="E7" s="13">
        <f>'Consum.'!G13</f>
        <v>10872</v>
      </c>
      <c r="F7" s="14">
        <v>0.2</v>
      </c>
      <c r="G7" s="13"/>
      <c r="I7" s="13">
        <f>'Consum.'!K13</f>
        <v>61</v>
      </c>
      <c r="J7" s="15">
        <v>7.84</v>
      </c>
      <c r="K7" s="13">
        <v>200</v>
      </c>
      <c r="L7" s="13">
        <v>247</v>
      </c>
    </row>
    <row r="8" spans="1:12">
      <c r="A8" s="11" t="s">
        <v>28</v>
      </c>
      <c r="B8" s="12">
        <f t="shared" si="0"/>
        <v>7</v>
      </c>
      <c r="C8" s="12">
        <v>3</v>
      </c>
      <c r="D8" s="12">
        <v>2025</v>
      </c>
      <c r="E8" s="13">
        <f>'Consum.'!G14</f>
        <v>10914</v>
      </c>
      <c r="F8" s="14">
        <v>0.2</v>
      </c>
      <c r="G8" s="13"/>
      <c r="I8" s="13">
        <f>'Consum.'!K14</f>
        <v>34</v>
      </c>
      <c r="J8" s="15">
        <v>7.84</v>
      </c>
      <c r="K8" s="13">
        <v>198</v>
      </c>
      <c r="L8" s="13">
        <v>256</v>
      </c>
    </row>
    <row r="9" spans="1:12">
      <c r="A9" s="11" t="s">
        <v>28</v>
      </c>
      <c r="B9" s="12">
        <f t="shared" si="0"/>
        <v>8</v>
      </c>
      <c r="C9" s="12">
        <v>3</v>
      </c>
      <c r="D9" s="12">
        <v>2025</v>
      </c>
      <c r="E9" s="13">
        <f>'Consum.'!G15</f>
        <v>8975</v>
      </c>
      <c r="F9" s="14">
        <v>0.2</v>
      </c>
      <c r="G9" s="13"/>
      <c r="I9" s="13">
        <f>'Consum.'!K15</f>
        <v>43</v>
      </c>
      <c r="J9" s="15">
        <v>7.84</v>
      </c>
      <c r="K9" s="13">
        <v>191</v>
      </c>
      <c r="L9" s="13">
        <v>245</v>
      </c>
    </row>
    <row r="10" spans="1:12">
      <c r="A10" s="11" t="s">
        <v>28</v>
      </c>
      <c r="B10" s="12">
        <f t="shared" si="0"/>
        <v>9</v>
      </c>
      <c r="C10" s="12">
        <v>3</v>
      </c>
      <c r="D10" s="12">
        <v>2025</v>
      </c>
      <c r="E10" s="13">
        <f>'Consum.'!G16</f>
        <v>10202</v>
      </c>
      <c r="F10" s="14">
        <v>0.2</v>
      </c>
      <c r="G10" s="13"/>
      <c r="I10" s="13">
        <f>'Consum.'!K16</f>
        <v>49</v>
      </c>
      <c r="J10" s="15">
        <v>7.84</v>
      </c>
      <c r="K10" s="13">
        <v>171</v>
      </c>
      <c r="L10" s="13">
        <v>204</v>
      </c>
    </row>
    <row r="11" spans="1:12">
      <c r="A11" s="11" t="s">
        <v>28</v>
      </c>
      <c r="B11" s="12">
        <f t="shared" si="0"/>
        <v>10</v>
      </c>
      <c r="C11" s="12">
        <v>3</v>
      </c>
      <c r="D11" s="12">
        <v>2025</v>
      </c>
      <c r="E11" s="13">
        <f>'Consum.'!G17</f>
        <v>14516</v>
      </c>
      <c r="F11" s="14">
        <v>0.2</v>
      </c>
      <c r="G11" s="13"/>
      <c r="I11" s="13">
        <f>'Consum.'!K17</f>
        <v>47</v>
      </c>
      <c r="J11" s="15">
        <v>7.84</v>
      </c>
      <c r="K11" s="13">
        <v>205</v>
      </c>
      <c r="L11" s="13">
        <v>271</v>
      </c>
    </row>
    <row r="12" spans="1:12">
      <c r="A12" s="11" t="s">
        <v>28</v>
      </c>
      <c r="B12" s="12">
        <f t="shared" si="0"/>
        <v>11</v>
      </c>
      <c r="C12" s="12">
        <v>3</v>
      </c>
      <c r="D12" s="12">
        <v>2025</v>
      </c>
      <c r="E12" s="13">
        <f>'Consum.'!G18</f>
        <v>10721</v>
      </c>
      <c r="F12" s="14">
        <v>0.2</v>
      </c>
      <c r="G12" s="13"/>
      <c r="I12" s="13">
        <f>'Consum.'!K18</f>
        <v>42</v>
      </c>
      <c r="J12" s="15">
        <v>7.84</v>
      </c>
      <c r="K12" s="13">
        <v>202</v>
      </c>
      <c r="L12" s="13">
        <v>260</v>
      </c>
    </row>
    <row r="13" spans="1:12">
      <c r="A13" s="11" t="s">
        <v>28</v>
      </c>
      <c r="B13" s="12">
        <f t="shared" si="0"/>
        <v>12</v>
      </c>
      <c r="C13" s="12">
        <v>3</v>
      </c>
      <c r="D13" s="12">
        <v>2025</v>
      </c>
      <c r="E13" s="13">
        <f>'Consum.'!G19</f>
        <v>11802</v>
      </c>
      <c r="F13" s="14">
        <v>0.2</v>
      </c>
      <c r="G13" s="13"/>
      <c r="I13" s="13">
        <f>'Consum.'!K19</f>
        <v>38</v>
      </c>
      <c r="J13" s="15">
        <v>7.84</v>
      </c>
      <c r="K13" s="13">
        <v>198</v>
      </c>
      <c r="L13" s="13">
        <v>249</v>
      </c>
    </row>
    <row r="14" spans="1:12">
      <c r="A14" s="11" t="s">
        <v>28</v>
      </c>
      <c r="B14" s="12">
        <f t="shared" si="0"/>
        <v>13</v>
      </c>
      <c r="C14" s="12">
        <v>3</v>
      </c>
      <c r="D14" s="12">
        <v>2025</v>
      </c>
      <c r="E14" s="13">
        <f>'Consum.'!G20</f>
        <v>10484</v>
      </c>
      <c r="F14" s="14">
        <v>0.2</v>
      </c>
      <c r="G14" s="13"/>
      <c r="I14" s="13">
        <f>'Consum.'!K20</f>
        <v>39</v>
      </c>
      <c r="J14" s="15">
        <v>7.84</v>
      </c>
      <c r="K14" s="13">
        <v>184</v>
      </c>
      <c r="L14" s="13">
        <v>233</v>
      </c>
    </row>
    <row r="15" spans="1:12">
      <c r="A15" s="11" t="s">
        <v>28</v>
      </c>
      <c r="B15" s="12">
        <f t="shared" si="0"/>
        <v>14</v>
      </c>
      <c r="C15" s="12">
        <v>3</v>
      </c>
      <c r="D15" s="12">
        <v>2025</v>
      </c>
      <c r="E15" s="13">
        <f>'Consum.'!G21</f>
        <v>10154</v>
      </c>
      <c r="F15" s="14">
        <v>0.2</v>
      </c>
      <c r="G15" s="13"/>
      <c r="I15" s="13">
        <f>'Consum.'!K21</f>
        <v>33</v>
      </c>
      <c r="J15" s="15">
        <v>7.84</v>
      </c>
      <c r="K15" s="13">
        <v>174</v>
      </c>
      <c r="L15" s="13">
        <v>226</v>
      </c>
    </row>
    <row r="16" spans="1:12">
      <c r="A16" s="11" t="s">
        <v>28</v>
      </c>
      <c r="B16" s="12">
        <f t="shared" si="0"/>
        <v>15</v>
      </c>
      <c r="C16" s="12">
        <v>3</v>
      </c>
      <c r="D16" s="12">
        <v>2025</v>
      </c>
      <c r="E16" s="13">
        <f>'Consum.'!G22</f>
        <v>10101</v>
      </c>
      <c r="F16" s="14">
        <v>0.2</v>
      </c>
      <c r="G16" s="13"/>
      <c r="I16" s="13">
        <f>'Consum.'!K22</f>
        <v>73</v>
      </c>
      <c r="J16" s="15">
        <v>7.84</v>
      </c>
      <c r="K16" s="13">
        <v>170</v>
      </c>
      <c r="L16" s="13">
        <v>218</v>
      </c>
    </row>
    <row r="17" spans="1:12">
      <c r="A17" s="11" t="s">
        <v>28</v>
      </c>
      <c r="B17" s="12">
        <f t="shared" si="0"/>
        <v>16</v>
      </c>
      <c r="C17" s="12">
        <v>3</v>
      </c>
      <c r="D17" s="12">
        <v>2025</v>
      </c>
      <c r="E17" s="13">
        <f>'Consum.'!G23</f>
        <v>10262</v>
      </c>
      <c r="F17" s="14">
        <v>0.2</v>
      </c>
      <c r="G17" s="13"/>
      <c r="I17" s="13">
        <f>'Consum.'!K23</f>
        <v>21</v>
      </c>
      <c r="J17" s="15">
        <v>7.84</v>
      </c>
      <c r="K17" s="13">
        <v>189</v>
      </c>
      <c r="L17" s="13">
        <v>237</v>
      </c>
    </row>
    <row r="18" spans="1:12">
      <c r="A18" s="11" t="s">
        <v>28</v>
      </c>
      <c r="B18" s="12">
        <f t="shared" si="0"/>
        <v>17</v>
      </c>
      <c r="C18" s="12">
        <v>3</v>
      </c>
      <c r="D18" s="12">
        <v>2025</v>
      </c>
      <c r="E18" s="13">
        <f>'Consum.'!G24</f>
        <v>10158</v>
      </c>
      <c r="F18" s="14">
        <v>0.2</v>
      </c>
      <c r="G18" s="13"/>
      <c r="I18" s="13">
        <f>'Consum.'!K24</f>
        <v>96</v>
      </c>
      <c r="J18" s="15">
        <v>7.84</v>
      </c>
      <c r="K18" s="13">
        <v>201</v>
      </c>
      <c r="L18" s="13">
        <v>250</v>
      </c>
    </row>
    <row r="19" spans="1:12">
      <c r="A19" s="11" t="s">
        <v>28</v>
      </c>
      <c r="B19" s="12">
        <f t="shared" si="0"/>
        <v>18</v>
      </c>
      <c r="C19" s="12">
        <v>3</v>
      </c>
      <c r="D19" s="12">
        <v>2025</v>
      </c>
      <c r="E19" s="13">
        <f>'Consum.'!G25</f>
        <v>10519</v>
      </c>
      <c r="F19" s="14">
        <v>0.2</v>
      </c>
      <c r="G19" s="13"/>
      <c r="I19" s="13">
        <f>'Consum.'!K25</f>
        <v>20</v>
      </c>
      <c r="J19" s="15">
        <v>7.84</v>
      </c>
      <c r="K19" s="13">
        <v>206</v>
      </c>
      <c r="L19" s="13">
        <v>267</v>
      </c>
    </row>
    <row r="20" spans="1:12">
      <c r="A20" s="11" t="s">
        <v>28</v>
      </c>
      <c r="B20" s="12">
        <f t="shared" si="0"/>
        <v>19</v>
      </c>
      <c r="C20" s="12">
        <v>3</v>
      </c>
      <c r="D20" s="12">
        <v>2025</v>
      </c>
      <c r="E20" s="13">
        <f>'Consum.'!G26</f>
        <v>10242</v>
      </c>
      <c r="F20" s="14">
        <v>0.2</v>
      </c>
      <c r="G20" s="13"/>
      <c r="I20" s="13">
        <f>'Consum.'!K26</f>
        <v>90</v>
      </c>
      <c r="J20" s="15">
        <v>7.84</v>
      </c>
      <c r="K20" s="13">
        <v>224</v>
      </c>
      <c r="L20" s="13">
        <v>287</v>
      </c>
    </row>
    <row r="21" spans="1:12">
      <c r="A21" s="11" t="s">
        <v>28</v>
      </c>
      <c r="B21" s="12">
        <f t="shared" si="0"/>
        <v>20</v>
      </c>
      <c r="C21" s="12">
        <v>3</v>
      </c>
      <c r="D21" s="12">
        <v>2025</v>
      </c>
      <c r="E21" s="13">
        <f>'Consum.'!G27</f>
        <v>10960</v>
      </c>
      <c r="F21" s="14">
        <v>0.2</v>
      </c>
      <c r="G21" s="13"/>
      <c r="I21" s="13">
        <f>'Consum.'!K27</f>
        <v>57</v>
      </c>
      <c r="J21" s="15">
        <v>7.84</v>
      </c>
      <c r="K21" s="13">
        <v>187</v>
      </c>
      <c r="L21" s="13">
        <v>228</v>
      </c>
    </row>
    <row r="22" spans="1:12">
      <c r="A22" s="11" t="s">
        <v>28</v>
      </c>
      <c r="B22" s="12">
        <f t="shared" si="0"/>
        <v>21</v>
      </c>
      <c r="C22" s="12">
        <v>3</v>
      </c>
      <c r="D22" s="12">
        <v>2025</v>
      </c>
      <c r="E22" s="13">
        <f>'Consum.'!G28</f>
        <v>10791</v>
      </c>
      <c r="F22" s="14">
        <v>0.2</v>
      </c>
      <c r="G22" s="13"/>
      <c r="I22" s="13">
        <f>'Consum.'!K28</f>
        <v>34</v>
      </c>
      <c r="J22" s="15">
        <v>7.84</v>
      </c>
      <c r="K22" s="13">
        <v>170</v>
      </c>
      <c r="L22" s="13">
        <v>223</v>
      </c>
    </row>
    <row r="23" spans="1:12">
      <c r="A23" s="11" t="s">
        <v>28</v>
      </c>
      <c r="B23" s="12">
        <f t="shared" si="0"/>
        <v>22</v>
      </c>
      <c r="C23" s="12">
        <v>3</v>
      </c>
      <c r="D23" s="12">
        <v>2025</v>
      </c>
      <c r="E23" s="13">
        <f>'Consum.'!G29</f>
        <v>11891</v>
      </c>
      <c r="F23" s="14">
        <v>0.2</v>
      </c>
      <c r="G23" s="13"/>
      <c r="I23" s="13">
        <f>'Consum.'!K29</f>
        <v>46</v>
      </c>
      <c r="J23" s="15">
        <v>7.84</v>
      </c>
      <c r="K23" s="13">
        <v>173</v>
      </c>
      <c r="L23" s="13">
        <v>232</v>
      </c>
    </row>
    <row r="24" spans="1:12">
      <c r="A24" s="11" t="s">
        <v>28</v>
      </c>
      <c r="B24" s="12">
        <f t="shared" si="0"/>
        <v>23</v>
      </c>
      <c r="C24" s="12">
        <v>3</v>
      </c>
      <c r="D24" s="12">
        <v>2025</v>
      </c>
      <c r="E24" s="13">
        <f>'Consum.'!G30</f>
        <v>10928</v>
      </c>
      <c r="F24" s="14">
        <v>0.2</v>
      </c>
      <c r="G24" s="13"/>
      <c r="I24" s="13">
        <f>'Consum.'!K30</f>
        <v>55</v>
      </c>
      <c r="J24" s="15">
        <v>7.84</v>
      </c>
      <c r="K24" s="13">
        <v>169</v>
      </c>
      <c r="L24" s="13">
        <v>207</v>
      </c>
    </row>
    <row r="25" spans="1:12">
      <c r="A25" s="11" t="s">
        <v>28</v>
      </c>
      <c r="B25" s="12">
        <f t="shared" si="0"/>
        <v>24</v>
      </c>
      <c r="C25" s="12">
        <v>3</v>
      </c>
      <c r="D25" s="12">
        <v>2025</v>
      </c>
      <c r="E25" s="13">
        <f>'Consum.'!G31</f>
        <v>10996</v>
      </c>
      <c r="F25" s="14">
        <v>0.2</v>
      </c>
      <c r="G25" s="13">
        <v>1800</v>
      </c>
      <c r="H25" s="14">
        <v>1.85</v>
      </c>
      <c r="I25" s="13">
        <f>'Consum.'!K31</f>
        <v>56</v>
      </c>
      <c r="J25" s="15">
        <v>7.84</v>
      </c>
      <c r="K25" s="13">
        <v>176</v>
      </c>
      <c r="L25" s="13">
        <v>218</v>
      </c>
    </row>
    <row r="26" spans="1:12">
      <c r="A26" s="11" t="s">
        <v>28</v>
      </c>
      <c r="B26" s="12">
        <f>B25+1</f>
        <v>25</v>
      </c>
      <c r="C26" s="12">
        <v>3</v>
      </c>
      <c r="D26" s="12">
        <v>2025</v>
      </c>
      <c r="E26" s="13">
        <f>'Consum.'!G32</f>
        <v>10058</v>
      </c>
      <c r="F26" s="14">
        <v>0.2</v>
      </c>
      <c r="G26" s="13"/>
      <c r="I26" s="13">
        <f>'Consum.'!K32</f>
        <v>31</v>
      </c>
      <c r="J26" s="15">
        <v>7.84</v>
      </c>
      <c r="K26" s="13">
        <v>180</v>
      </c>
      <c r="L26" s="13">
        <v>221</v>
      </c>
    </row>
    <row r="27" spans="1:12">
      <c r="A27" s="11" t="s">
        <v>28</v>
      </c>
      <c r="B27" s="12">
        <f t="shared" si="0"/>
        <v>26</v>
      </c>
      <c r="C27" s="12">
        <v>3</v>
      </c>
      <c r="D27" s="12">
        <v>2025</v>
      </c>
      <c r="E27" s="13">
        <f>'Consum.'!G33</f>
        <v>9807</v>
      </c>
      <c r="F27" s="14">
        <v>0.2</v>
      </c>
      <c r="G27" s="13"/>
      <c r="I27" s="13">
        <f>'Consum.'!K33</f>
        <v>51</v>
      </c>
      <c r="J27" s="15">
        <v>7.84</v>
      </c>
      <c r="K27" s="13">
        <v>162</v>
      </c>
      <c r="L27" s="13">
        <v>204</v>
      </c>
    </row>
    <row r="28" spans="1:12">
      <c r="A28" s="11" t="s">
        <v>28</v>
      </c>
      <c r="B28" s="12">
        <f t="shared" si="0"/>
        <v>27</v>
      </c>
      <c r="C28" s="12">
        <v>3</v>
      </c>
      <c r="D28" s="12">
        <v>2025</v>
      </c>
      <c r="E28" s="13">
        <f>'Consum.'!G34</f>
        <v>10168</v>
      </c>
      <c r="F28" s="14">
        <v>0.2</v>
      </c>
      <c r="G28" s="13"/>
      <c r="I28" s="13">
        <f>'Consum.'!K34</f>
        <v>69</v>
      </c>
      <c r="J28" s="15">
        <v>7.84</v>
      </c>
      <c r="K28" s="13">
        <v>159</v>
      </c>
      <c r="L28" s="13">
        <v>201</v>
      </c>
    </row>
    <row r="29" spans="1:12">
      <c r="A29" s="11" t="s">
        <v>28</v>
      </c>
      <c r="B29" s="12">
        <f t="shared" si="0"/>
        <v>28</v>
      </c>
      <c r="C29" s="12">
        <v>3</v>
      </c>
      <c r="D29" s="12">
        <v>2025</v>
      </c>
      <c r="E29" s="13">
        <f>'Consum.'!G35</f>
        <v>10449</v>
      </c>
      <c r="F29" s="14">
        <v>0.2</v>
      </c>
      <c r="G29" s="13"/>
      <c r="I29" s="13">
        <f>'Consum.'!K35</f>
        <v>39</v>
      </c>
      <c r="J29" s="15">
        <v>7.84</v>
      </c>
      <c r="K29" s="13">
        <v>180</v>
      </c>
      <c r="L29" s="13">
        <v>248</v>
      </c>
    </row>
    <row r="30" spans="1:12">
      <c r="A30" s="11" t="s">
        <v>28</v>
      </c>
      <c r="B30" s="12">
        <f t="shared" si="0"/>
        <v>29</v>
      </c>
      <c r="C30" s="12">
        <v>3</v>
      </c>
      <c r="D30" s="12">
        <v>2025</v>
      </c>
      <c r="E30" s="13">
        <f>'Consum.'!G36</f>
        <v>11010</v>
      </c>
      <c r="F30" s="14">
        <v>0.2</v>
      </c>
      <c r="G30" s="13"/>
      <c r="I30" s="13">
        <f>'Consum.'!K36</f>
        <v>31</v>
      </c>
      <c r="J30" s="15">
        <v>7.84</v>
      </c>
      <c r="K30" s="13">
        <v>197</v>
      </c>
      <c r="L30" s="13">
        <v>291</v>
      </c>
    </row>
    <row r="31" spans="1:12">
      <c r="A31" s="11" t="s">
        <v>28</v>
      </c>
      <c r="B31" s="12">
        <f t="shared" si="0"/>
        <v>30</v>
      </c>
      <c r="C31" s="12">
        <v>3</v>
      </c>
      <c r="D31" s="12">
        <v>2025</v>
      </c>
      <c r="E31" s="13">
        <f>'Consum.'!G37</f>
        <v>11130</v>
      </c>
      <c r="F31" s="14">
        <v>0.2</v>
      </c>
      <c r="G31" s="13"/>
      <c r="I31" s="13">
        <f>'Consum.'!K37</f>
        <v>56</v>
      </c>
      <c r="J31" s="15">
        <v>7.84</v>
      </c>
      <c r="K31" s="13">
        <v>226</v>
      </c>
      <c r="L31" s="13">
        <v>355</v>
      </c>
    </row>
    <row r="32" spans="1:12">
      <c r="A32" s="11" t="s">
        <v>28</v>
      </c>
      <c r="B32" s="12">
        <f t="shared" si="0"/>
        <v>31</v>
      </c>
      <c r="C32" s="12">
        <v>3</v>
      </c>
      <c r="D32" s="12">
        <v>2025</v>
      </c>
      <c r="E32" s="13">
        <f>'Consum.'!G38</f>
        <v>11891</v>
      </c>
      <c r="F32" s="14">
        <v>0.2</v>
      </c>
      <c r="G32" s="13"/>
      <c r="I32" s="13">
        <f>'Consum.'!K38</f>
        <v>31</v>
      </c>
      <c r="J32" s="15">
        <v>7.84</v>
      </c>
      <c r="K32" s="13">
        <v>226</v>
      </c>
      <c r="L32" s="13">
        <v>353</v>
      </c>
    </row>
    <row r="33" spans="7:7">
      <c r="G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zoomScale="70" zoomScaleNormal="70" zoomScaleSheetLayoutView="100" workbookViewId="0">
      <selection activeCell="M1" sqref="M1:M1048576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42" t="s">
        <v>15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4" ht="96.75" customHeight="1">
      <c r="A2" s="41" t="s">
        <v>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4" s="5" customFormat="1" ht="15.2" customHeight="1">
      <c r="A3" s="20" t="s">
        <v>0</v>
      </c>
      <c r="B3" s="38" t="s">
        <v>1</v>
      </c>
      <c r="C3" s="38"/>
      <c r="D3" s="39" t="s">
        <v>3</v>
      </c>
      <c r="E3" s="39"/>
      <c r="F3" s="39"/>
      <c r="G3" s="39"/>
      <c r="H3" s="40" t="s">
        <v>11</v>
      </c>
      <c r="I3" s="40"/>
      <c r="J3" s="40"/>
      <c r="K3" s="40"/>
      <c r="L3" s="24" t="s">
        <v>5</v>
      </c>
      <c r="M3" s="24" t="s">
        <v>5</v>
      </c>
    </row>
    <row r="4" spans="1:14" s="5" customFormat="1" ht="15" customHeight="1">
      <c r="A4" s="20"/>
      <c r="B4" s="38"/>
      <c r="C4" s="38"/>
      <c r="D4" s="39"/>
      <c r="E4" s="39"/>
      <c r="F4" s="39"/>
      <c r="G4" s="39"/>
      <c r="H4" s="40"/>
      <c r="I4" s="40"/>
      <c r="J4" s="40"/>
      <c r="K4" s="40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2" customHeight="1">
      <c r="A7" s="28">
        <v>28</v>
      </c>
      <c r="B7" s="29"/>
      <c r="C7" s="30"/>
      <c r="D7" s="31">
        <v>21705723</v>
      </c>
      <c r="E7" s="31">
        <v>5850956</v>
      </c>
      <c r="F7" s="30">
        <f t="shared" ref="F7:F38" si="0">(D7+E7)</f>
        <v>27556679</v>
      </c>
      <c r="G7" s="30">
        <f t="shared" ref="G7:G38" si="1">(F7-F6)</f>
        <v>27556679</v>
      </c>
      <c r="H7" s="31">
        <v>25014</v>
      </c>
      <c r="I7" s="31">
        <v>45161</v>
      </c>
      <c r="J7" s="30">
        <f t="shared" ref="J7" si="2">H7+I7</f>
        <v>70175</v>
      </c>
      <c r="K7" s="30">
        <f t="shared" ref="K7" si="3">(J7-J6)</f>
        <v>70175</v>
      </c>
      <c r="L7" s="31"/>
      <c r="M7" s="32"/>
      <c r="N7" s="4"/>
    </row>
    <row r="8" spans="1:14" ht="18.75" customHeight="1">
      <c r="A8" s="28">
        <v>1</v>
      </c>
      <c r="B8" s="29"/>
      <c r="C8" s="30">
        <f t="shared" ref="C8:C33" si="4">(229/100*B8)</f>
        <v>0</v>
      </c>
      <c r="D8" s="31">
        <v>21712806</v>
      </c>
      <c r="E8" s="31">
        <v>5853464</v>
      </c>
      <c r="F8" s="30">
        <f t="shared" si="0"/>
        <v>27566270</v>
      </c>
      <c r="G8" s="30">
        <f t="shared" si="1"/>
        <v>9591</v>
      </c>
      <c r="H8" s="33">
        <v>25047</v>
      </c>
      <c r="I8" s="33">
        <v>45184</v>
      </c>
      <c r="J8" s="30">
        <f>H8+I8</f>
        <v>70231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4"/>
        <v>0</v>
      </c>
      <c r="D9" s="34">
        <v>21719924</v>
      </c>
      <c r="E9" s="34">
        <v>5856095</v>
      </c>
      <c r="F9" s="30">
        <f t="shared" si="0"/>
        <v>27576019</v>
      </c>
      <c r="G9" s="30">
        <f t="shared" si="1"/>
        <v>9749</v>
      </c>
      <c r="H9" s="33">
        <v>25080</v>
      </c>
      <c r="I9" s="31">
        <v>45214</v>
      </c>
      <c r="J9" s="30">
        <f t="shared" ref="J9:J36" si="5">H9+I9</f>
        <v>70294</v>
      </c>
      <c r="K9" s="30">
        <f t="shared" ref="K9:K38" si="6">(J9-J8)</f>
        <v>63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4"/>
        <v>0</v>
      </c>
      <c r="D10" s="34">
        <v>21727041</v>
      </c>
      <c r="E10" s="31">
        <v>5858723</v>
      </c>
      <c r="F10" s="30">
        <f t="shared" si="0"/>
        <v>27585764</v>
      </c>
      <c r="G10" s="30">
        <f t="shared" si="1"/>
        <v>9745</v>
      </c>
      <c r="H10" s="31">
        <v>25119</v>
      </c>
      <c r="I10" s="31">
        <v>45244</v>
      </c>
      <c r="J10" s="30">
        <f t="shared" si="5"/>
        <v>70363</v>
      </c>
      <c r="K10" s="30">
        <f t="shared" si="6"/>
        <v>69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4"/>
        <v>0</v>
      </c>
      <c r="D11" s="31">
        <v>21734324</v>
      </c>
      <c r="E11" s="31">
        <v>5861380</v>
      </c>
      <c r="F11" s="30">
        <f t="shared" si="0"/>
        <v>27595704</v>
      </c>
      <c r="G11" s="30">
        <f t="shared" si="1"/>
        <v>9940</v>
      </c>
      <c r="H11" s="31">
        <v>25147</v>
      </c>
      <c r="I11" s="31">
        <v>45267</v>
      </c>
      <c r="J11" s="30">
        <f t="shared" si="5"/>
        <v>70414</v>
      </c>
      <c r="K11" s="30">
        <f t="shared" si="6"/>
        <v>51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4"/>
        <v>0</v>
      </c>
      <c r="D12" s="31">
        <v>21741815</v>
      </c>
      <c r="E12" s="31">
        <v>5864009</v>
      </c>
      <c r="F12" s="30">
        <f t="shared" si="0"/>
        <v>27605824</v>
      </c>
      <c r="G12" s="30">
        <f t="shared" si="1"/>
        <v>10120</v>
      </c>
      <c r="H12" s="31">
        <v>25173</v>
      </c>
      <c r="I12" s="31">
        <v>45289</v>
      </c>
      <c r="J12" s="30">
        <f t="shared" si="5"/>
        <v>70462</v>
      </c>
      <c r="K12" s="30">
        <f t="shared" si="6"/>
        <v>48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4"/>
        <v>0</v>
      </c>
      <c r="D13" s="31">
        <v>21749984</v>
      </c>
      <c r="E13" s="31">
        <v>5866712</v>
      </c>
      <c r="F13" s="30">
        <f t="shared" si="0"/>
        <v>27616696</v>
      </c>
      <c r="G13" s="30">
        <f t="shared" si="1"/>
        <v>10872</v>
      </c>
      <c r="H13" s="31">
        <v>25207</v>
      </c>
      <c r="I13" s="31">
        <v>45316</v>
      </c>
      <c r="J13" s="30">
        <f t="shared" si="5"/>
        <v>70523</v>
      </c>
      <c r="K13" s="30">
        <f t="shared" si="6"/>
        <v>61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4"/>
        <v>0</v>
      </c>
      <c r="D14" s="31">
        <v>21758286</v>
      </c>
      <c r="E14" s="31">
        <v>5869324</v>
      </c>
      <c r="F14" s="30">
        <f t="shared" si="0"/>
        <v>27627610</v>
      </c>
      <c r="G14" s="30">
        <f t="shared" si="1"/>
        <v>10914</v>
      </c>
      <c r="H14" s="31">
        <v>25226</v>
      </c>
      <c r="I14" s="31">
        <v>45331</v>
      </c>
      <c r="J14" s="30">
        <f t="shared" si="5"/>
        <v>70557</v>
      </c>
      <c r="K14" s="30">
        <f t="shared" si="6"/>
        <v>34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4"/>
        <v>0</v>
      </c>
      <c r="D15" s="31">
        <v>21767261</v>
      </c>
      <c r="E15" s="31">
        <v>5869324</v>
      </c>
      <c r="F15" s="30">
        <f t="shared" si="0"/>
        <v>27636585</v>
      </c>
      <c r="G15" s="30">
        <f t="shared" si="1"/>
        <v>8975</v>
      </c>
      <c r="H15" s="31">
        <v>25247</v>
      </c>
      <c r="I15" s="31">
        <v>45353</v>
      </c>
      <c r="J15" s="30">
        <f t="shared" si="5"/>
        <v>70600</v>
      </c>
      <c r="K15" s="30">
        <f t="shared" si="6"/>
        <v>43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4"/>
        <v>0</v>
      </c>
      <c r="D16" s="31">
        <v>21774647</v>
      </c>
      <c r="E16" s="31">
        <v>5872140</v>
      </c>
      <c r="F16" s="30">
        <f t="shared" si="0"/>
        <v>27646787</v>
      </c>
      <c r="G16" s="30">
        <f t="shared" si="1"/>
        <v>10202</v>
      </c>
      <c r="H16" s="31">
        <v>25274</v>
      </c>
      <c r="I16" s="31">
        <v>45375</v>
      </c>
      <c r="J16" s="30">
        <f t="shared" si="5"/>
        <v>70649</v>
      </c>
      <c r="K16" s="30">
        <f t="shared" si="6"/>
        <v>49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4"/>
        <v>0</v>
      </c>
      <c r="D17" s="31">
        <v>21784097</v>
      </c>
      <c r="E17" s="31">
        <v>5877206</v>
      </c>
      <c r="F17" s="30">
        <f t="shared" si="0"/>
        <v>27661303</v>
      </c>
      <c r="G17" s="30">
        <f t="shared" si="1"/>
        <v>14516</v>
      </c>
      <c r="H17" s="31">
        <v>25301</v>
      </c>
      <c r="I17" s="31">
        <v>45395</v>
      </c>
      <c r="J17" s="30">
        <f t="shared" si="5"/>
        <v>70696</v>
      </c>
      <c r="K17" s="30">
        <f t="shared" si="6"/>
        <v>47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4"/>
        <v>0</v>
      </c>
      <c r="D18" s="31">
        <v>21792142</v>
      </c>
      <c r="E18" s="31">
        <v>5879882</v>
      </c>
      <c r="F18" s="30">
        <f t="shared" si="0"/>
        <v>27672024</v>
      </c>
      <c r="G18" s="30">
        <f t="shared" si="1"/>
        <v>10721</v>
      </c>
      <c r="H18" s="31">
        <v>25323</v>
      </c>
      <c r="I18" s="31">
        <v>45415</v>
      </c>
      <c r="J18" s="30">
        <f t="shared" si="5"/>
        <v>70738</v>
      </c>
      <c r="K18" s="30">
        <f t="shared" si="6"/>
        <v>42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4"/>
        <v>0</v>
      </c>
      <c r="D19" s="31">
        <v>21800573</v>
      </c>
      <c r="E19" s="31">
        <v>5883253</v>
      </c>
      <c r="F19" s="30">
        <f t="shared" si="0"/>
        <v>27683826</v>
      </c>
      <c r="G19" s="30">
        <f t="shared" si="1"/>
        <v>11802</v>
      </c>
      <c r="H19" s="31">
        <v>25347</v>
      </c>
      <c r="I19" s="31">
        <v>45429</v>
      </c>
      <c r="J19" s="30">
        <f t="shared" si="5"/>
        <v>70776</v>
      </c>
      <c r="K19" s="30">
        <f t="shared" si="6"/>
        <v>38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4"/>
        <v>0</v>
      </c>
      <c r="D20" s="31">
        <v>21809026</v>
      </c>
      <c r="E20" s="31">
        <v>5885284</v>
      </c>
      <c r="F20" s="30">
        <f t="shared" si="0"/>
        <v>27694310</v>
      </c>
      <c r="G20" s="30">
        <f t="shared" si="1"/>
        <v>10484</v>
      </c>
      <c r="H20" s="31">
        <v>25368</v>
      </c>
      <c r="I20" s="31">
        <v>45447</v>
      </c>
      <c r="J20" s="30">
        <f t="shared" si="5"/>
        <v>70815</v>
      </c>
      <c r="K20" s="30">
        <f t="shared" si="6"/>
        <v>39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4"/>
        <v>0</v>
      </c>
      <c r="D21" s="31">
        <v>21816505</v>
      </c>
      <c r="E21" s="31">
        <v>5887959</v>
      </c>
      <c r="F21" s="30">
        <f t="shared" si="0"/>
        <v>27704464</v>
      </c>
      <c r="G21" s="30">
        <f t="shared" si="1"/>
        <v>10154</v>
      </c>
      <c r="H21" s="31">
        <v>25379</v>
      </c>
      <c r="I21" s="31">
        <v>45469</v>
      </c>
      <c r="J21" s="30">
        <f t="shared" si="5"/>
        <v>70848</v>
      </c>
      <c r="K21" s="30">
        <f t="shared" si="6"/>
        <v>33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4"/>
        <v>0</v>
      </c>
      <c r="D22" s="31">
        <v>21823988</v>
      </c>
      <c r="E22" s="31">
        <v>5890577</v>
      </c>
      <c r="F22" s="30">
        <f t="shared" si="0"/>
        <v>27714565</v>
      </c>
      <c r="G22" s="30">
        <f t="shared" si="1"/>
        <v>10101</v>
      </c>
      <c r="H22" s="31">
        <v>25423</v>
      </c>
      <c r="I22" s="31">
        <v>45498</v>
      </c>
      <c r="J22" s="30">
        <f t="shared" si="5"/>
        <v>70921</v>
      </c>
      <c r="K22" s="30">
        <f t="shared" si="6"/>
        <v>73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4"/>
        <v>0</v>
      </c>
      <c r="D23" s="31">
        <v>21831640</v>
      </c>
      <c r="E23" s="31">
        <v>5893187</v>
      </c>
      <c r="F23" s="30">
        <f t="shared" si="0"/>
        <v>27724827</v>
      </c>
      <c r="G23" s="30">
        <f t="shared" si="1"/>
        <v>10262</v>
      </c>
      <c r="H23" s="31">
        <v>25434</v>
      </c>
      <c r="I23" s="31">
        <v>45508</v>
      </c>
      <c r="J23" s="30">
        <f t="shared" si="5"/>
        <v>70942</v>
      </c>
      <c r="K23" s="30">
        <f t="shared" si="6"/>
        <v>21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4"/>
        <v>0</v>
      </c>
      <c r="D24" s="31">
        <v>21839234</v>
      </c>
      <c r="E24" s="31">
        <v>5895751</v>
      </c>
      <c r="F24" s="30">
        <f t="shared" si="0"/>
        <v>27734985</v>
      </c>
      <c r="G24" s="30">
        <f t="shared" si="1"/>
        <v>10158</v>
      </c>
      <c r="H24" s="31">
        <v>25489</v>
      </c>
      <c r="I24" s="31">
        <v>45549</v>
      </c>
      <c r="J24" s="30">
        <f t="shared" si="5"/>
        <v>71038</v>
      </c>
      <c r="K24" s="30">
        <f t="shared" si="6"/>
        <v>96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4"/>
        <v>0</v>
      </c>
      <c r="D25" s="31">
        <v>21847061</v>
      </c>
      <c r="E25" s="31">
        <v>5898443</v>
      </c>
      <c r="F25" s="30">
        <f t="shared" si="0"/>
        <v>27745504</v>
      </c>
      <c r="G25" s="30">
        <f t="shared" si="1"/>
        <v>10519</v>
      </c>
      <c r="H25" s="31">
        <v>25500</v>
      </c>
      <c r="I25" s="31">
        <v>45558</v>
      </c>
      <c r="J25" s="30">
        <f t="shared" si="5"/>
        <v>71058</v>
      </c>
      <c r="K25" s="30">
        <f t="shared" si="6"/>
        <v>20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4"/>
        <v>0</v>
      </c>
      <c r="D26" s="31">
        <v>21854619</v>
      </c>
      <c r="E26" s="31">
        <v>5901127</v>
      </c>
      <c r="F26" s="30">
        <f t="shared" si="0"/>
        <v>27755746</v>
      </c>
      <c r="G26" s="30">
        <f t="shared" si="1"/>
        <v>10242</v>
      </c>
      <c r="H26" s="31">
        <v>25550</v>
      </c>
      <c r="I26" s="31">
        <v>45598</v>
      </c>
      <c r="J26" s="30">
        <f t="shared" si="5"/>
        <v>71148</v>
      </c>
      <c r="K26" s="30">
        <f t="shared" si="6"/>
        <v>90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4"/>
        <v>0</v>
      </c>
      <c r="D27" s="31">
        <v>21862874</v>
      </c>
      <c r="E27" s="36">
        <v>5903832</v>
      </c>
      <c r="F27" s="30">
        <f t="shared" si="0"/>
        <v>27766706</v>
      </c>
      <c r="G27" s="30">
        <f t="shared" si="1"/>
        <v>10960</v>
      </c>
      <c r="H27" s="31">
        <v>25582</v>
      </c>
      <c r="I27" s="31">
        <v>45623</v>
      </c>
      <c r="J27" s="30">
        <f t="shared" si="5"/>
        <v>71205</v>
      </c>
      <c r="K27" s="30">
        <f t="shared" si="6"/>
        <v>57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4"/>
        <v>0</v>
      </c>
      <c r="D28" s="36">
        <v>21871039</v>
      </c>
      <c r="E28" s="31">
        <v>5906458</v>
      </c>
      <c r="F28" s="30">
        <f t="shared" si="0"/>
        <v>27777497</v>
      </c>
      <c r="G28" s="30">
        <f t="shared" si="1"/>
        <v>10791</v>
      </c>
      <c r="H28" s="31">
        <v>25601</v>
      </c>
      <c r="I28" s="31">
        <v>45638</v>
      </c>
      <c r="J28" s="30">
        <f t="shared" si="5"/>
        <v>71239</v>
      </c>
      <c r="K28" s="30">
        <f t="shared" si="6"/>
        <v>34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4"/>
        <v>0</v>
      </c>
      <c r="D29" s="31">
        <v>21880088</v>
      </c>
      <c r="E29" s="31">
        <v>5909300</v>
      </c>
      <c r="F29" s="30">
        <f t="shared" si="0"/>
        <v>27789388</v>
      </c>
      <c r="G29" s="30">
        <f t="shared" si="1"/>
        <v>11891</v>
      </c>
      <c r="H29" s="31">
        <v>25625</v>
      </c>
      <c r="I29" s="31">
        <v>45660</v>
      </c>
      <c r="J29" s="30">
        <f t="shared" si="5"/>
        <v>71285</v>
      </c>
      <c r="K29" s="30">
        <f t="shared" si="6"/>
        <v>46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4"/>
        <v>0</v>
      </c>
      <c r="D30" s="31">
        <v>21888311</v>
      </c>
      <c r="E30" s="31">
        <v>5912005</v>
      </c>
      <c r="F30" s="30">
        <f t="shared" si="0"/>
        <v>27800316</v>
      </c>
      <c r="G30" s="30">
        <f t="shared" si="1"/>
        <v>10928</v>
      </c>
      <c r="H30" s="31">
        <v>25655</v>
      </c>
      <c r="I30" s="31">
        <v>45685</v>
      </c>
      <c r="J30" s="30">
        <f t="shared" si="5"/>
        <v>71340</v>
      </c>
      <c r="K30" s="30">
        <f>(J30-J29)</f>
        <v>55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4"/>
        <v>0</v>
      </c>
      <c r="D31" s="31">
        <v>21896585</v>
      </c>
      <c r="E31" s="31">
        <v>5914727</v>
      </c>
      <c r="F31" s="30">
        <f t="shared" si="0"/>
        <v>27811312</v>
      </c>
      <c r="G31" s="30">
        <f t="shared" si="1"/>
        <v>10996</v>
      </c>
      <c r="H31" s="31">
        <v>25685</v>
      </c>
      <c r="I31" s="31">
        <v>45711</v>
      </c>
      <c r="J31" s="30">
        <f t="shared" si="5"/>
        <v>71396</v>
      </c>
      <c r="K31" s="30">
        <f t="shared" si="6"/>
        <v>56</v>
      </c>
      <c r="L31" s="31">
        <v>1800</v>
      </c>
      <c r="M31" s="37">
        <v>1.85</v>
      </c>
      <c r="N31" s="4"/>
    </row>
    <row r="32" spans="1:14" ht="17.100000000000001" customHeight="1">
      <c r="A32" s="28">
        <v>25</v>
      </c>
      <c r="B32" s="29"/>
      <c r="C32" s="30">
        <f t="shared" si="4"/>
        <v>0</v>
      </c>
      <c r="D32" s="31">
        <v>21904000</v>
      </c>
      <c r="E32" s="31">
        <v>5917370</v>
      </c>
      <c r="F32" s="30">
        <f t="shared" si="0"/>
        <v>27821370</v>
      </c>
      <c r="G32" s="30">
        <f t="shared" si="1"/>
        <v>10058</v>
      </c>
      <c r="H32" s="31">
        <v>25701</v>
      </c>
      <c r="I32" s="31">
        <v>45726</v>
      </c>
      <c r="J32" s="30">
        <f t="shared" si="5"/>
        <v>71427</v>
      </c>
      <c r="K32" s="30">
        <f t="shared" si="6"/>
        <v>31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4"/>
        <v>0</v>
      </c>
      <c r="D33" s="31">
        <v>21911102</v>
      </c>
      <c r="E33" s="31">
        <v>5920075</v>
      </c>
      <c r="F33" s="30">
        <f t="shared" si="0"/>
        <v>27831177</v>
      </c>
      <c r="G33" s="30">
        <f t="shared" si="1"/>
        <v>9807</v>
      </c>
      <c r="H33" s="31">
        <v>25729</v>
      </c>
      <c r="I33" s="31">
        <v>45749</v>
      </c>
      <c r="J33" s="30">
        <f t="shared" si="5"/>
        <v>71478</v>
      </c>
      <c r="K33" s="30">
        <f t="shared" si="6"/>
        <v>51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31">
        <v>21918500</v>
      </c>
      <c r="E34" s="31">
        <v>5922845</v>
      </c>
      <c r="F34" s="30">
        <f t="shared" si="0"/>
        <v>27841345</v>
      </c>
      <c r="G34" s="30">
        <f t="shared" si="1"/>
        <v>10168</v>
      </c>
      <c r="H34" s="31">
        <v>25766</v>
      </c>
      <c r="I34" s="31">
        <v>45781</v>
      </c>
      <c r="J34" s="30">
        <f t="shared" si="5"/>
        <v>71547</v>
      </c>
      <c r="K34" s="30">
        <f t="shared" si="6"/>
        <v>69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31">
        <v>21926240</v>
      </c>
      <c r="E35" s="31">
        <v>5925554</v>
      </c>
      <c r="F35" s="30">
        <f t="shared" si="0"/>
        <v>27851794</v>
      </c>
      <c r="G35" s="30">
        <f t="shared" si="1"/>
        <v>10449</v>
      </c>
      <c r="H35" s="31">
        <v>25787</v>
      </c>
      <c r="I35" s="31">
        <v>45799</v>
      </c>
      <c r="J35" s="30">
        <f t="shared" si="5"/>
        <v>71586</v>
      </c>
      <c r="K35" s="30">
        <f t="shared" si="6"/>
        <v>39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31">
        <v>21934526</v>
      </c>
      <c r="E36" s="31">
        <v>5928278</v>
      </c>
      <c r="F36" s="30">
        <f t="shared" si="0"/>
        <v>27862804</v>
      </c>
      <c r="G36" s="30">
        <f t="shared" si="1"/>
        <v>11010</v>
      </c>
      <c r="H36" s="31">
        <v>25803</v>
      </c>
      <c r="I36" s="31">
        <v>45814</v>
      </c>
      <c r="J36" s="30">
        <f t="shared" si="5"/>
        <v>71617</v>
      </c>
      <c r="K36" s="30">
        <f t="shared" si="6"/>
        <v>31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>
        <v>21942972</v>
      </c>
      <c r="E37" s="31">
        <v>5930962</v>
      </c>
      <c r="F37" s="30">
        <f t="shared" si="0"/>
        <v>27873934</v>
      </c>
      <c r="G37" s="30">
        <f t="shared" si="1"/>
        <v>11130</v>
      </c>
      <c r="H37" s="31">
        <v>25834</v>
      </c>
      <c r="I37" s="31">
        <v>45839</v>
      </c>
      <c r="J37" s="30">
        <f>H37+I37</f>
        <v>71673</v>
      </c>
      <c r="K37" s="30">
        <f t="shared" si="6"/>
        <v>56</v>
      </c>
      <c r="L37" s="35"/>
      <c r="M37" s="32"/>
      <c r="N37" s="4"/>
    </row>
    <row r="38" spans="1:14" ht="18.75">
      <c r="A38" s="28">
        <v>31</v>
      </c>
      <c r="B38" s="29"/>
      <c r="C38" s="30"/>
      <c r="D38" s="31">
        <v>21952105</v>
      </c>
      <c r="E38" s="31">
        <v>5933720</v>
      </c>
      <c r="F38" s="30">
        <f t="shared" si="0"/>
        <v>27885825</v>
      </c>
      <c r="G38" s="30">
        <f t="shared" si="1"/>
        <v>11891</v>
      </c>
      <c r="H38" s="31">
        <v>25853</v>
      </c>
      <c r="I38" s="31">
        <v>45851</v>
      </c>
      <c r="J38" s="30">
        <f>H38+I38</f>
        <v>71704</v>
      </c>
      <c r="K38" s="30">
        <f t="shared" si="6"/>
        <v>31</v>
      </c>
      <c r="L38" s="35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2025-04-03T16:27:04Z</dcterms:modified>
</cp:coreProperties>
</file>