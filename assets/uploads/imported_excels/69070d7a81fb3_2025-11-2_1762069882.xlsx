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332" documentId="13_ncr:1_{8027EAD1-DC56-4BBD-8010-B3D3F446A8B0}" xr6:coauthVersionLast="47" xr6:coauthVersionMax="47" xr10:uidLastSave="{ED1135C3-D644-4F88-87DE-F45B6FC8944F}"/>
  <bookViews>
    <workbookView xWindow="-108" yWindow="-108" windowWidth="23256" windowHeight="13896" tabRatio="783" firstSheet="1" xr2:uid="{00000000-000D-0000-FFFF-FFFF00000000}"/>
  </bookViews>
  <sheets>
    <sheet name="Total" sheetId="15" r:id="rId1"/>
    <sheet name="BAN-L Electrical &amp; Water " sheetId="14" r:id="rId2"/>
  </sheets>
  <externalReferences>
    <externalReference r:id="rId3"/>
  </externalReferences>
  <definedNames>
    <definedName name="_xlnm.Print_Area" localSheetId="1">'BAN-L Electrical &amp; Water '!$C$1:$U$35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4" l="1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30" i="14"/>
  <c r="R31" i="14"/>
  <c r="R32" i="14"/>
  <c r="R33" i="14"/>
  <c r="R34" i="14"/>
  <c r="R35" i="14"/>
  <c r="R36" i="14"/>
  <c r="R37" i="14"/>
  <c r="R7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30" i="14"/>
  <c r="P31" i="14"/>
  <c r="P32" i="14"/>
  <c r="P33" i="14"/>
  <c r="P34" i="14"/>
  <c r="P35" i="14"/>
  <c r="P36" i="14"/>
  <c r="P37" i="14"/>
  <c r="P6" i="14"/>
  <c r="D7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J15" i="14"/>
  <c r="T37" i="14"/>
  <c r="T36" i="14"/>
  <c r="T35" i="14"/>
  <c r="T34" i="14"/>
  <c r="T33" i="14"/>
  <c r="T32" i="14"/>
  <c r="T31" i="14"/>
  <c r="T30" i="14"/>
  <c r="T29" i="14"/>
  <c r="T28" i="14"/>
  <c r="T27" i="14"/>
  <c r="T26" i="14"/>
  <c r="T25" i="14"/>
  <c r="T24" i="14"/>
  <c r="T23" i="14"/>
  <c r="T22" i="14"/>
  <c r="T21" i="14"/>
  <c r="T20" i="14"/>
  <c r="T19" i="14"/>
  <c r="T18" i="14"/>
  <c r="T17" i="14"/>
  <c r="T16" i="14"/>
  <c r="T15" i="14"/>
  <c r="T14" i="14"/>
  <c r="T13" i="14"/>
  <c r="T12" i="14"/>
  <c r="T11" i="14"/>
  <c r="T10" i="14"/>
  <c r="T9" i="14"/>
  <c r="T8" i="14"/>
  <c r="T7" i="14"/>
  <c r="R38" i="14"/>
  <c r="N37" i="14"/>
  <c r="N38" i="14" s="1"/>
  <c r="L37" i="14"/>
  <c r="L38" i="14" s="1"/>
  <c r="N36" i="14"/>
  <c r="L36" i="14"/>
  <c r="N35" i="14"/>
  <c r="L35" i="14"/>
  <c r="N34" i="14"/>
  <c r="L34" i="14"/>
  <c r="N33" i="14"/>
  <c r="L33" i="14"/>
  <c r="N32" i="14"/>
  <c r="L32" i="14"/>
  <c r="N31" i="14"/>
  <c r="L31" i="14"/>
  <c r="N30" i="14"/>
  <c r="L30" i="14"/>
  <c r="N23" i="14"/>
  <c r="L23" i="14"/>
  <c r="N22" i="14"/>
  <c r="L22" i="14"/>
  <c r="N21" i="14"/>
  <c r="L21" i="14"/>
  <c r="N20" i="14"/>
  <c r="L20" i="14"/>
  <c r="N19" i="14"/>
  <c r="L19" i="14"/>
  <c r="N18" i="14"/>
  <c r="L18" i="14"/>
  <c r="N17" i="14"/>
  <c r="L17" i="14"/>
  <c r="N16" i="14"/>
  <c r="L16" i="14"/>
  <c r="N15" i="14"/>
  <c r="L15" i="14"/>
  <c r="N14" i="14"/>
  <c r="L14" i="14"/>
  <c r="N13" i="14"/>
  <c r="L13" i="14"/>
  <c r="N12" i="14"/>
  <c r="L12" i="14"/>
  <c r="N11" i="14"/>
  <c r="L11" i="14"/>
  <c r="N10" i="14"/>
  <c r="L10" i="14"/>
  <c r="N9" i="14"/>
  <c r="L9" i="14"/>
  <c r="N8" i="14"/>
  <c r="L8" i="14"/>
  <c r="N7" i="14"/>
  <c r="L7" i="14"/>
  <c r="J37" i="14"/>
  <c r="J38" i="14" s="1"/>
  <c r="J36" i="14"/>
  <c r="J35" i="14"/>
  <c r="J34" i="14"/>
  <c r="J33" i="14"/>
  <c r="J32" i="14"/>
  <c r="J31" i="14"/>
  <c r="J30" i="14"/>
  <c r="J23" i="14"/>
  <c r="J22" i="14"/>
  <c r="J21" i="14"/>
  <c r="J20" i="14"/>
  <c r="J19" i="14"/>
  <c r="J18" i="14"/>
  <c r="J17" i="14"/>
  <c r="J16" i="14"/>
  <c r="J14" i="14"/>
  <c r="J13" i="14"/>
  <c r="J12" i="14"/>
  <c r="J11" i="14"/>
  <c r="J10" i="14"/>
  <c r="J9" i="14"/>
  <c r="J8" i="14"/>
  <c r="J7" i="14"/>
  <c r="H37" i="14"/>
  <c r="H36" i="14"/>
  <c r="H35" i="14"/>
  <c r="H34" i="14"/>
  <c r="H33" i="14"/>
  <c r="H32" i="14"/>
  <c r="H31" i="14"/>
  <c r="H30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T38" i="14" l="1"/>
  <c r="H38" i="14"/>
  <c r="D13" i="14"/>
  <c r="F37" i="14" l="1"/>
  <c r="F38" i="14" s="1"/>
  <c r="D37" i="14"/>
  <c r="F36" i="14"/>
  <c r="D36" i="14"/>
  <c r="E31" i="15" s="1"/>
  <c r="F35" i="14"/>
  <c r="D35" i="14"/>
  <c r="E30" i="15" s="1"/>
  <c r="F34" i="14"/>
  <c r="D34" i="14"/>
  <c r="E29" i="15" s="1"/>
  <c r="F33" i="14"/>
  <c r="D33" i="14"/>
  <c r="E28" i="15" s="1"/>
  <c r="F32" i="14"/>
  <c r="D32" i="14"/>
  <c r="E27" i="15" s="1"/>
  <c r="F31" i="14"/>
  <c r="D31" i="14"/>
  <c r="E26" i="15" s="1"/>
  <c r="F30" i="14"/>
  <c r="D30" i="14"/>
  <c r="E25" i="15" s="1"/>
  <c r="E24" i="15"/>
  <c r="E23" i="15"/>
  <c r="E22" i="15"/>
  <c r="E21" i="15"/>
  <c r="E20" i="15"/>
  <c r="E19" i="15"/>
  <c r="F23" i="14"/>
  <c r="D23" i="14"/>
  <c r="E18" i="15" s="1"/>
  <c r="F22" i="14"/>
  <c r="D22" i="14"/>
  <c r="E17" i="15" s="1"/>
  <c r="F21" i="14"/>
  <c r="D21" i="14"/>
  <c r="E16" i="15" s="1"/>
  <c r="F20" i="14"/>
  <c r="D20" i="14"/>
  <c r="E15" i="15" s="1"/>
  <c r="F19" i="14"/>
  <c r="D19" i="14"/>
  <c r="E14" i="15" s="1"/>
  <c r="F18" i="14"/>
  <c r="D18" i="14"/>
  <c r="E13" i="15" s="1"/>
  <c r="F17" i="14"/>
  <c r="D17" i="14"/>
  <c r="E12" i="15" s="1"/>
  <c r="F16" i="14"/>
  <c r="D16" i="14"/>
  <c r="E11" i="15" s="1"/>
  <c r="F15" i="14"/>
  <c r="D15" i="14"/>
  <c r="E10" i="15" s="1"/>
  <c r="F14" i="14"/>
  <c r="D14" i="14"/>
  <c r="E9" i="15" s="1"/>
  <c r="F13" i="14"/>
  <c r="E8" i="15" s="1"/>
  <c r="F12" i="14"/>
  <c r="D12" i="14"/>
  <c r="E7" i="15" s="1"/>
  <c r="F11" i="14"/>
  <c r="D11" i="14"/>
  <c r="E6" i="15" s="1"/>
  <c r="F10" i="14"/>
  <c r="D10" i="14"/>
  <c r="E5" i="15" s="1"/>
  <c r="F9" i="14"/>
  <c r="D9" i="14"/>
  <c r="E4" i="15" s="1"/>
  <c r="F8" i="14"/>
  <c r="D8" i="14"/>
  <c r="E3" i="15" s="1"/>
  <c r="F7" i="14"/>
  <c r="E2" i="15"/>
  <c r="D38" i="14" l="1"/>
  <c r="E32" i="15"/>
  <c r="I2" i="15"/>
  <c r="P38" i="14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" i="15"/>
</calcChain>
</file>

<file path=xl/sharedStrings.xml><?xml version="1.0" encoding="utf-8"?>
<sst xmlns="http://schemas.openxmlformats.org/spreadsheetml/2006/main" count="93" uniqueCount="40">
  <si>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</si>
  <si>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</si>
  <si>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</si>
  <si>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</si>
  <si>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</si>
  <si>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</si>
  <si>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</si>
  <si>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</si>
  <si>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(USG) USG</t>
  </si>
  <si>
    <t>Water Utility Supply (USG) $/USG</t>
  </si>
  <si>
    <t>Irrigation Water (USG) USG</t>
  </si>
  <si>
    <t>Irrigation water  $/USG</t>
  </si>
  <si>
    <t xml:space="preserve">Room Nights </t>
  </si>
  <si>
    <t xml:space="preserve">Total Guests </t>
  </si>
  <si>
    <t>Bateen Liwa</t>
  </si>
  <si>
    <t xml:space="preserve">BAN- Bateen Liwa Utility Readings </t>
  </si>
  <si>
    <t>TYPE</t>
  </si>
  <si>
    <t>Time</t>
  </si>
  <si>
    <t xml:space="preserve">BAN- Bateen Liwa Block 01 </t>
  </si>
  <si>
    <t xml:space="preserve">Daily Consumptions </t>
  </si>
  <si>
    <t>BAN- Bateen Liwa Block 02</t>
  </si>
  <si>
    <t>BAN- Bateen Liwa Block 03</t>
  </si>
  <si>
    <t>BAN- Bateen Liwa Block 04</t>
  </si>
  <si>
    <t>BAN- Bateen Liwa Arrival Building</t>
  </si>
  <si>
    <t>BAN- Bateen Liwa Main Building</t>
  </si>
  <si>
    <t>BAN- Bateen Arrival Readings -Irrigation Water 01. 80W KF-24532212</t>
  </si>
  <si>
    <t>BAN- Bateen Arrival Readings -Irrigation Water 02. 50W KF-23510667</t>
  </si>
  <si>
    <t>BAN- Bateen Liwa Arrival Readings - Sweet Water.                   100W KF-24542604</t>
  </si>
  <si>
    <t xml:space="preserve">Remarks </t>
  </si>
  <si>
    <t>Meter</t>
  </si>
  <si>
    <t>AC No 15T20D000097</t>
  </si>
  <si>
    <t>AC N0 15T20D000022</t>
  </si>
  <si>
    <t>AC No 15T20D000062</t>
  </si>
  <si>
    <t>AC No 15T20D000064</t>
  </si>
  <si>
    <t>AC No 15T20D000174</t>
  </si>
  <si>
    <t>AC N0 15T20D000177</t>
  </si>
  <si>
    <t>DATE</t>
  </si>
  <si>
    <t>Electricity (kWH)</t>
  </si>
  <si>
    <t>KWH</t>
  </si>
  <si>
    <t>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</si>
</sst>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2"/>
      <color rgb="FF000000"/>
      <name val="Calibri"/>
      <family val="2"/>
    </font>
    <font>
      <b/>
      <sz val="16"/>
      <color rgb="FF00B050"/>
      <name val="Calibri"/>
      <family val="2"/>
    </font>
    <font>
      <b/>
      <sz val="14"/>
      <color rgb="FF00B05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5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9" fillId="0" borderId="0" xfId="1" applyNumberFormat="1" applyAlignment="1">
      <alignment horizontal="center"/>
    </xf>
    <xf numFmtId="2" fontId="10" fillId="0" borderId="0" xfId="1" applyNumberFormat="1" applyFont="1" applyAlignment="1">
      <alignment horizont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1" fillId="0" borderId="0" xfId="1" applyFont="1"/>
    <xf numFmtId="0" fontId="9" fillId="0" borderId="0" xfId="1"/>
    <xf numFmtId="0" fontId="13" fillId="7" borderId="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8" borderId="2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7" fillId="8" borderId="6" xfId="0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center"/>
    </xf>
  </cellXfs>
  <cellStyles count="2">
    <cellStyle name="Normal" xfId="0" builtinId="0"/>
    <cellStyle name="Normal 5" xfId="1" xr:uid="{71D4A9FB-96CC-4ACF-A867-2973552E91BF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'!$D$6:$D$35</c:f>
              <c:numCache>
                <c:formatCode>General</c:formatCode>
                <c:ptCount val="30"/>
                <c:pt idx="0">
                  <c:v>1934</c:v>
                </c:pt>
                <c:pt idx="1">
                  <c:v>1429216</c:v>
                </c:pt>
                <c:pt idx="2">
                  <c:v>1697</c:v>
                </c:pt>
                <c:pt idx="3">
                  <c:v>1617</c:v>
                </c:pt>
                <c:pt idx="4">
                  <c:v>1788</c:v>
                </c:pt>
                <c:pt idx="5">
                  <c:v>1754</c:v>
                </c:pt>
                <c:pt idx="6">
                  <c:v>1633</c:v>
                </c:pt>
                <c:pt idx="7">
                  <c:v>1634</c:v>
                </c:pt>
                <c:pt idx="8">
                  <c:v>1624</c:v>
                </c:pt>
                <c:pt idx="9">
                  <c:v>1670</c:v>
                </c:pt>
                <c:pt idx="10">
                  <c:v>1448</c:v>
                </c:pt>
                <c:pt idx="11">
                  <c:v>1628</c:v>
                </c:pt>
                <c:pt idx="12">
                  <c:v>1493</c:v>
                </c:pt>
                <c:pt idx="13">
                  <c:v>1457</c:v>
                </c:pt>
                <c:pt idx="14">
                  <c:v>1483</c:v>
                </c:pt>
                <c:pt idx="15">
                  <c:v>1424</c:v>
                </c:pt>
                <c:pt idx="16">
                  <c:v>1405</c:v>
                </c:pt>
                <c:pt idx="17">
                  <c:v>1505</c:v>
                </c:pt>
                <c:pt idx="18">
                  <c:v>1514</c:v>
                </c:pt>
                <c:pt idx="19">
                  <c:v>1479</c:v>
                </c:pt>
                <c:pt idx="20">
                  <c:v>1345</c:v>
                </c:pt>
                <c:pt idx="21">
                  <c:v>1458</c:v>
                </c:pt>
                <c:pt idx="22">
                  <c:v>1362</c:v>
                </c:pt>
                <c:pt idx="23">
                  <c:v>1456</c:v>
                </c:pt>
                <c:pt idx="24">
                  <c:v>1445</c:v>
                </c:pt>
                <c:pt idx="25">
                  <c:v>1334</c:v>
                </c:pt>
                <c:pt idx="26">
                  <c:v>1413</c:v>
                </c:pt>
                <c:pt idx="27">
                  <c:v>1319</c:v>
                </c:pt>
                <c:pt idx="28">
                  <c:v>1156</c:v>
                </c:pt>
                <c:pt idx="29">
                  <c:v>1333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'BAN-L Electrical &amp; Water '!$P$6:$P$35</c:f>
              <c:numCache>
                <c:formatCode>General</c:formatCode>
                <c:ptCount val="30"/>
                <c:pt idx="0">
                  <c:v>7007</c:v>
                </c:pt>
                <c:pt idx="1">
                  <c:v>127</c:v>
                </c:pt>
                <c:pt idx="2">
                  <c:v>104</c:v>
                </c:pt>
                <c:pt idx="3">
                  <c:v>96</c:v>
                </c:pt>
                <c:pt idx="4">
                  <c:v>84</c:v>
                </c:pt>
                <c:pt idx="5">
                  <c:v>143</c:v>
                </c:pt>
                <c:pt idx="6">
                  <c:v>116</c:v>
                </c:pt>
                <c:pt idx="7">
                  <c:v>121</c:v>
                </c:pt>
                <c:pt idx="8">
                  <c:v>101</c:v>
                </c:pt>
                <c:pt idx="9">
                  <c:v>108</c:v>
                </c:pt>
                <c:pt idx="10">
                  <c:v>109</c:v>
                </c:pt>
                <c:pt idx="11">
                  <c:v>104</c:v>
                </c:pt>
                <c:pt idx="12">
                  <c:v>115</c:v>
                </c:pt>
                <c:pt idx="13">
                  <c:v>122</c:v>
                </c:pt>
                <c:pt idx="14">
                  <c:v>116</c:v>
                </c:pt>
                <c:pt idx="15">
                  <c:v>133</c:v>
                </c:pt>
                <c:pt idx="16">
                  <c:v>121</c:v>
                </c:pt>
                <c:pt idx="17">
                  <c:v>123</c:v>
                </c:pt>
                <c:pt idx="18">
                  <c:v>123</c:v>
                </c:pt>
                <c:pt idx="19">
                  <c:v>114</c:v>
                </c:pt>
                <c:pt idx="20">
                  <c:v>112</c:v>
                </c:pt>
                <c:pt idx="21">
                  <c:v>122</c:v>
                </c:pt>
                <c:pt idx="22">
                  <c:v>115</c:v>
                </c:pt>
                <c:pt idx="23">
                  <c:v>106</c:v>
                </c:pt>
                <c:pt idx="24">
                  <c:v>99</c:v>
                </c:pt>
                <c:pt idx="25">
                  <c:v>123</c:v>
                </c:pt>
                <c:pt idx="26">
                  <c:v>114</c:v>
                </c:pt>
                <c:pt idx="27">
                  <c:v>127</c:v>
                </c:pt>
                <c:pt idx="28">
                  <c:v>137</c:v>
                </c:pt>
                <c:pt idx="29">
                  <c:v>137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550407</xdr:colOff>
      <xdr:row>5</xdr:row>
      <xdr:rowOff>149678</xdr:rowOff>
    </xdr:from>
    <xdr:to>
      <xdr:col>37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530998</xdr:colOff>
      <xdr:row>14</xdr:row>
      <xdr:rowOff>176891</xdr:rowOff>
    </xdr:from>
    <xdr:to>
      <xdr:col>37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  <a:ext uri="{147F2762-F138-4A5C-976F-8EAC2B608ADB}">
              <a16:predDERef xmlns:a16="http://schemas.microsoft.com/office/drawing/2014/main" pre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550689</xdr:colOff>
      <xdr:row>23</xdr:row>
      <xdr:rowOff>248929</xdr:rowOff>
    </xdr:from>
    <xdr:to>
      <xdr:col>37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  <a:ext uri="{147F2762-F138-4A5C-976F-8EAC2B608ADB}">
              <a16:predDERef xmlns:a16="http://schemas.microsoft.com/office/drawing/2014/main" pre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0</xdr:row>
      <xdr:rowOff>124240</xdr:rowOff>
    </xdr:from>
    <xdr:to>
      <xdr:col>20</xdr:col>
      <xdr:colOff>2470978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7AF2-46CC-4711-AABD-FCF3E7855600}">
  <dimension ref="A1:Z33"/>
  <sheetViews>
    <sheetView tabSelected="1" workbookViewId="0">
      <selection activeCell="E16" sqref="E16"/>
    </sheetView>
  </sheetViews>
  <sheetFormatPr defaultColWidth="11.5703125" defaultRowHeight="14.45"/>
  <cols>
    <col min="1" max="1" width="29.140625" style="28" bestFit="1" customWidth="1"/>
    <col min="2" max="3" width="11.5703125" style="23"/>
    <col min="4" max="4" width="13.42578125" style="23" customWidth="1"/>
    <col min="5" max="5" width="12.5703125" style="26" customWidth="1"/>
    <col min="6" max="6" width="12.5703125" style="25" customWidth="1"/>
    <col min="7" max="7" width="11.5703125" style="26"/>
    <col min="8" max="8" width="11.5703125" style="25"/>
    <col min="9" max="9" width="11.5703125" style="26"/>
    <col min="10" max="10" width="11.5703125" style="27"/>
    <col min="11" max="11" width="11.5703125" style="26"/>
    <col min="12" max="12" width="11.5703125" style="27"/>
    <col min="13" max="26" width="11.5703125" style="26"/>
    <col min="27" max="16384" width="11.5703125" style="29"/>
  </cols>
  <sheetData>
    <row r="1" spans="1:14" s="21" customFormat="1" ht="43.1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8" t="s">
        <v>6</v>
      </c>
      <c r="H1" s="19" t="s">
        <v>7</v>
      </c>
      <c r="I1" s="18" t="s">
        <v>8</v>
      </c>
      <c r="J1" s="20" t="s">
        <v>9</v>
      </c>
      <c r="K1" s="18" t="s">
        <v>10</v>
      </c>
      <c r="L1" s="20" t="s">
        <v>11</v>
      </c>
      <c r="M1" s="18" t="s">
        <v>12</v>
      </c>
      <c r="N1" s="18" t="s">
        <v>13</v>
      </c>
    </row>
    <row r="2" spans="1:14" ht="15">
      <c r="A2" s="22" t="s">
        <v>14</v>
      </c>
      <c r="B2" s="23">
        <v>1</v>
      </c>
      <c r="C2" s="23">
        <v>10</v>
      </c>
      <c r="D2" s="23">
        <v>2025</v>
      </c>
      <c r="E2" s="24">
        <f>IF('BAN-L Electrical &amp; Water '!D7+'BAN-L Electrical &amp; Water '!F7+'BAN-L Electrical &amp; Water '!H7+'BAN-L Electrical &amp; Water '!J7+'BAN-L Electrical &amp; Water '!L7+'BAN-L Electrical &amp; Water '!N7&gt;0,'BAN-L Electrical &amp; Water '!D7+'BAN-L Electrical &amp; Water '!F7+'BAN-L Electrical &amp; Water '!H7+'BAN-L Electrical &amp; Water '!J7+'BAN-L Electrical &amp; Water '!L7+'BAN-L Electrical &amp; Water '!N7,0)</f>
        <v>13264970</v>
      </c>
      <c r="F2" s="25">
        <v>0.2</v>
      </c>
      <c r="G2" s="24"/>
      <c r="H2" s="25">
        <v>5.42</v>
      </c>
      <c r="I2" s="24">
        <f>IF('BAN-L Electrical &amp; Water '!P7+'BAN-L Electrical &amp; Water '!R7+'BAN-L Electrical &amp; Water '!T7&gt;0,'BAN-L Electrical &amp; Water '!P7+'BAN-L Electrical &amp; Water '!R7+'BAN-L Electrical &amp; Water '!T7,0)</f>
        <v>6820</v>
      </c>
      <c r="J2" s="25">
        <v>7.84</v>
      </c>
      <c r="K2" s="24"/>
      <c r="L2" s="25">
        <v>7.84</v>
      </c>
      <c r="M2" s="49">
        <v>44</v>
      </c>
      <c r="N2" s="49">
        <v>100</v>
      </c>
    </row>
    <row r="3" spans="1:14" ht="15">
      <c r="A3" s="22" t="s">
        <v>14</v>
      </c>
      <c r="B3" s="23">
        <f>B2+1</f>
        <v>2</v>
      </c>
      <c r="C3" s="23">
        <v>10</v>
      </c>
      <c r="D3" s="23">
        <v>2025</v>
      </c>
      <c r="E3" s="24">
        <f>IF('BAN-L Electrical &amp; Water '!D8+'BAN-L Electrical &amp; Water '!F8+'BAN-L Electrical &amp; Water '!H8+'BAN-L Electrical &amp; Water '!J8+'BAN-L Electrical &amp; Water '!L8+'BAN-L Electrical &amp; Water '!N8&gt;0,'BAN-L Electrical &amp; Water '!D8+'BAN-L Electrical &amp; Water '!F8+'BAN-L Electrical &amp; Water '!H8+'BAN-L Electrical &amp; Water '!J8+'BAN-L Electrical &amp; Water '!L8+'BAN-L Electrical &amp; Water '!N8,0)</f>
        <v>14556</v>
      </c>
      <c r="F3" s="25">
        <v>0.2</v>
      </c>
      <c r="G3" s="24"/>
      <c r="H3" s="25">
        <v>5.42</v>
      </c>
      <c r="I3" s="24">
        <f>IF('BAN-L Electrical &amp; Water '!P8+'BAN-L Electrical &amp; Water '!R8+'BAN-L Electrical &amp; Water '!T8&gt;0,'BAN-L Electrical &amp; Water '!P8+'BAN-L Electrical &amp; Water '!R8+'BAN-L Electrical &amp; Water '!T8,0)</f>
        <v>223</v>
      </c>
      <c r="J3" s="25">
        <v>7.84</v>
      </c>
      <c r="K3" s="24"/>
      <c r="L3" s="25">
        <v>7.84</v>
      </c>
      <c r="M3" s="49">
        <v>40</v>
      </c>
      <c r="N3" s="49">
        <v>96</v>
      </c>
    </row>
    <row r="4" spans="1:14" ht="15">
      <c r="A4" s="22" t="s">
        <v>14</v>
      </c>
      <c r="B4" s="23">
        <f t="shared" ref="B4:B32" si="0">B3+1</f>
        <v>3</v>
      </c>
      <c r="C4" s="23">
        <v>10</v>
      </c>
      <c r="D4" s="23">
        <v>2025</v>
      </c>
      <c r="E4" s="24">
        <f>IF('BAN-L Electrical &amp; Water '!D9+'BAN-L Electrical &amp; Water '!F9+'BAN-L Electrical &amp; Water '!H9+'BAN-L Electrical &amp; Water '!J9+'BAN-L Electrical &amp; Water '!L9+'BAN-L Electrical &amp; Water '!N9&gt;0,'BAN-L Electrical &amp; Water '!D9+'BAN-L Electrical &amp; Water '!F9+'BAN-L Electrical &amp; Water '!H9+'BAN-L Electrical &amp; Water '!J9+'BAN-L Electrical &amp; Water '!L9+'BAN-L Electrical &amp; Water '!N9,0)</f>
        <v>13211</v>
      </c>
      <c r="F4" s="25">
        <v>0.2</v>
      </c>
      <c r="G4" s="24"/>
      <c r="H4" s="25">
        <v>5.42</v>
      </c>
      <c r="I4" s="24">
        <f>IF('BAN-L Electrical &amp; Water '!P9+'BAN-L Electrical &amp; Water '!R9+'BAN-L Electrical &amp; Water '!T9&gt;0,'BAN-L Electrical &amp; Water '!P9+'BAN-L Electrical &amp; Water '!R9+'BAN-L Electrical &amp; Water '!T9,0)</f>
        <v>231</v>
      </c>
      <c r="J4" s="25">
        <v>7.84</v>
      </c>
      <c r="K4" s="24"/>
      <c r="L4" s="25">
        <v>7.84</v>
      </c>
      <c r="M4" s="49">
        <v>45</v>
      </c>
      <c r="N4" s="49">
        <v>107</v>
      </c>
    </row>
    <row r="5" spans="1:14" ht="15">
      <c r="A5" s="22" t="s">
        <v>14</v>
      </c>
      <c r="B5" s="23">
        <f t="shared" si="0"/>
        <v>4</v>
      </c>
      <c r="C5" s="23">
        <v>10</v>
      </c>
      <c r="D5" s="23">
        <v>2025</v>
      </c>
      <c r="E5" s="24">
        <f>IF('BAN-L Electrical &amp; Water '!D10+'BAN-L Electrical &amp; Water '!F10+'BAN-L Electrical &amp; Water '!H10+'BAN-L Electrical &amp; Water '!J10+'BAN-L Electrical &amp; Water '!L10+'BAN-L Electrical &amp; Water '!N10&gt;0,'BAN-L Electrical &amp; Water '!D10+'BAN-L Electrical &amp; Water '!F10+'BAN-L Electrical &amp; Water '!H10+'BAN-L Electrical &amp; Water '!J10+'BAN-L Electrical &amp; Water '!L10+'BAN-L Electrical &amp; Water '!N10,0)</f>
        <v>14254</v>
      </c>
      <c r="F5" s="25">
        <v>0.2</v>
      </c>
      <c r="G5" s="24"/>
      <c r="H5" s="25">
        <v>5.42</v>
      </c>
      <c r="I5" s="24">
        <f>IF('BAN-L Electrical &amp; Water '!P10+'BAN-L Electrical &amp; Water '!R10+'BAN-L Electrical &amp; Water '!T10&gt;0,'BAN-L Electrical &amp; Water '!P10+'BAN-L Electrical &amp; Water '!R10+'BAN-L Electrical &amp; Water '!T10,0)</f>
        <v>205</v>
      </c>
      <c r="J5" s="25">
        <v>7.84</v>
      </c>
      <c r="K5" s="24"/>
      <c r="L5" s="25">
        <v>7.84</v>
      </c>
      <c r="M5" s="49">
        <v>47</v>
      </c>
      <c r="N5" s="49">
        <v>113</v>
      </c>
    </row>
    <row r="6" spans="1:14" ht="15">
      <c r="A6" s="22" t="s">
        <v>14</v>
      </c>
      <c r="B6" s="23">
        <f t="shared" si="0"/>
        <v>5</v>
      </c>
      <c r="C6" s="23">
        <v>10</v>
      </c>
      <c r="D6" s="23">
        <v>2025</v>
      </c>
      <c r="E6" s="24">
        <f>IF('BAN-L Electrical &amp; Water '!D11+'BAN-L Electrical &amp; Water '!F11+'BAN-L Electrical &amp; Water '!H11+'BAN-L Electrical &amp; Water '!J11+'BAN-L Electrical &amp; Water '!L11+'BAN-L Electrical &amp; Water '!N11&gt;0,'BAN-L Electrical &amp; Water '!D11+'BAN-L Electrical &amp; Water '!F11+'BAN-L Electrical &amp; Water '!H11+'BAN-L Electrical &amp; Water '!J11+'BAN-L Electrical &amp; Water '!L11+'BAN-L Electrical &amp; Water '!N11,0)</f>
        <v>14103</v>
      </c>
      <c r="F6" s="25">
        <v>0.2</v>
      </c>
      <c r="G6" s="24"/>
      <c r="H6" s="25">
        <v>5.42</v>
      </c>
      <c r="I6" s="24">
        <f>IF('BAN-L Electrical &amp; Water '!P11+'BAN-L Electrical &amp; Water '!R11+'BAN-L Electrical &amp; Water '!T11&gt;0,'BAN-L Electrical &amp; Water '!P11+'BAN-L Electrical &amp; Water '!R11+'BAN-L Electrical &amp; Water '!T11,0)</f>
        <v>252</v>
      </c>
      <c r="J6" s="25">
        <v>7.84</v>
      </c>
      <c r="K6" s="24"/>
      <c r="L6" s="25">
        <v>7.84</v>
      </c>
      <c r="M6" s="49">
        <v>52</v>
      </c>
      <c r="N6" s="49">
        <v>139</v>
      </c>
    </row>
    <row r="7" spans="1:14" ht="15">
      <c r="A7" s="22" t="s">
        <v>14</v>
      </c>
      <c r="B7" s="23">
        <f t="shared" si="0"/>
        <v>6</v>
      </c>
      <c r="C7" s="23">
        <v>10</v>
      </c>
      <c r="D7" s="23">
        <v>2025</v>
      </c>
      <c r="E7" s="24">
        <f>IF('BAN-L Electrical &amp; Water '!D12+'BAN-L Electrical &amp; Water '!F12+'BAN-L Electrical &amp; Water '!H12+'BAN-L Electrical &amp; Water '!J12+'BAN-L Electrical &amp; Water '!L12+'BAN-L Electrical &amp; Water '!N12&gt;0,'BAN-L Electrical &amp; Water '!D12+'BAN-L Electrical &amp; Water '!F12+'BAN-L Electrical &amp; Water '!H12+'BAN-L Electrical &amp; Water '!J12+'BAN-L Electrical &amp; Water '!L12+'BAN-L Electrical &amp; Water '!N12,0)</f>
        <v>13249</v>
      </c>
      <c r="F7" s="25">
        <v>0.2</v>
      </c>
      <c r="G7" s="24"/>
      <c r="H7" s="25">
        <v>5.42</v>
      </c>
      <c r="I7" s="24">
        <f>IF('BAN-L Electrical &amp; Water '!P12+'BAN-L Electrical &amp; Water '!R12+'BAN-L Electrical &amp; Water '!T12&gt;0,'BAN-L Electrical &amp; Water '!P12+'BAN-L Electrical &amp; Water '!R12+'BAN-L Electrical &amp; Water '!T12,0)</f>
        <v>248</v>
      </c>
      <c r="J7" s="25">
        <v>7.84</v>
      </c>
      <c r="K7" s="24"/>
      <c r="L7" s="25">
        <v>7.84</v>
      </c>
      <c r="M7" s="49">
        <v>50</v>
      </c>
      <c r="N7" s="49">
        <v>126</v>
      </c>
    </row>
    <row r="8" spans="1:14" ht="15">
      <c r="A8" s="22" t="s">
        <v>14</v>
      </c>
      <c r="B8" s="23">
        <f t="shared" si="0"/>
        <v>7</v>
      </c>
      <c r="C8" s="23">
        <v>10</v>
      </c>
      <c r="D8" s="23">
        <v>2025</v>
      </c>
      <c r="E8" s="24">
        <f>IF('BAN-L Electrical &amp; Water '!D13+'BAN-L Electrical &amp; Water '!F13+'BAN-L Electrical &amp; Water '!H13+'BAN-L Electrical &amp; Water '!J13+'BAN-L Electrical &amp; Water '!L13+'BAN-L Electrical &amp; Water '!N13&gt;0,'BAN-L Electrical &amp; Water '!D13+'BAN-L Electrical &amp; Water '!F13+'BAN-L Electrical &amp; Water '!H13+'BAN-L Electrical &amp; Water '!J13+'BAN-L Electrical &amp; Water '!L13+'BAN-L Electrical &amp; Water '!N13,0)</f>
        <v>13223</v>
      </c>
      <c r="F8" s="25">
        <v>0.2</v>
      </c>
      <c r="G8" s="24"/>
      <c r="H8" s="25">
        <v>5.42</v>
      </c>
      <c r="I8" s="24">
        <f>IF('BAN-L Electrical &amp; Water '!P13+'BAN-L Electrical &amp; Water '!R13+'BAN-L Electrical &amp; Water '!T13&gt;0,'BAN-L Electrical &amp; Water '!P13+'BAN-L Electrical &amp; Water '!R13+'BAN-L Electrical &amp; Water '!T13,0)</f>
        <v>267</v>
      </c>
      <c r="J8" s="25">
        <v>7.84</v>
      </c>
      <c r="K8" s="24"/>
      <c r="L8" s="25">
        <v>7.84</v>
      </c>
      <c r="M8" s="49">
        <v>41</v>
      </c>
      <c r="N8" s="49">
        <v>87</v>
      </c>
    </row>
    <row r="9" spans="1:14" ht="15">
      <c r="A9" s="22" t="s">
        <v>14</v>
      </c>
      <c r="B9" s="23">
        <f t="shared" si="0"/>
        <v>8</v>
      </c>
      <c r="C9" s="23">
        <v>10</v>
      </c>
      <c r="D9" s="23">
        <v>2025</v>
      </c>
      <c r="E9" s="24">
        <f>IF('BAN-L Electrical &amp; Water '!D14+'BAN-L Electrical &amp; Water '!F14+'BAN-L Electrical &amp; Water '!H14+'BAN-L Electrical &amp; Water '!J14+'BAN-L Electrical &amp; Water '!L14+'BAN-L Electrical &amp; Water '!N14&gt;0,'BAN-L Electrical &amp; Water '!D14+'BAN-L Electrical &amp; Water '!F14+'BAN-L Electrical &amp; Water '!H14+'BAN-L Electrical &amp; Water '!J14+'BAN-L Electrical &amp; Water '!L14+'BAN-L Electrical &amp; Water '!N14,0)</f>
        <v>14134</v>
      </c>
      <c r="F9" s="25">
        <v>0.2</v>
      </c>
      <c r="G9" s="24"/>
      <c r="H9" s="25">
        <v>5.42</v>
      </c>
      <c r="I9" s="24">
        <f>IF('BAN-L Electrical &amp; Water '!P14+'BAN-L Electrical &amp; Water '!R14+'BAN-L Electrical &amp; Water '!T14&gt;0,'BAN-L Electrical &amp; Water '!P14+'BAN-L Electrical &amp; Water '!R14+'BAN-L Electrical &amp; Water '!T14,0)</f>
        <v>227</v>
      </c>
      <c r="J9" s="25">
        <v>7.84</v>
      </c>
      <c r="K9" s="24"/>
      <c r="L9" s="25">
        <v>7.84</v>
      </c>
      <c r="M9" s="49">
        <v>47</v>
      </c>
      <c r="N9" s="49">
        <v>104</v>
      </c>
    </row>
    <row r="10" spans="1:14" ht="15">
      <c r="A10" s="22" t="s">
        <v>14</v>
      </c>
      <c r="B10" s="23">
        <f t="shared" si="0"/>
        <v>9</v>
      </c>
      <c r="C10" s="23">
        <v>10</v>
      </c>
      <c r="D10" s="23">
        <v>2025</v>
      </c>
      <c r="E10" s="24">
        <f>IF('BAN-L Electrical &amp; Water '!D15+'BAN-L Electrical &amp; Water '!F15+'BAN-L Electrical &amp; Water '!H15+'BAN-L Electrical &amp; Water '!J15+'BAN-L Electrical &amp; Water '!L15+'BAN-L Electrical &amp; Water '!N15&gt;0,'BAN-L Electrical &amp; Water '!D15+'BAN-L Electrical &amp; Water '!F15+'BAN-L Electrical &amp; Water '!H15+'BAN-L Electrical &amp; Water '!J15+'BAN-L Electrical &amp; Water '!L15+'BAN-L Electrical &amp; Water '!N15,0)</f>
        <v>13940</v>
      </c>
      <c r="F10" s="25">
        <v>0.2</v>
      </c>
      <c r="G10" s="24"/>
      <c r="H10" s="25">
        <v>5.42</v>
      </c>
      <c r="I10" s="24">
        <f>IF('BAN-L Electrical &amp; Water '!P15+'BAN-L Electrical &amp; Water '!R15+'BAN-L Electrical &amp; Water '!T15&gt;0,'BAN-L Electrical &amp; Water '!P15+'BAN-L Electrical &amp; Water '!R15+'BAN-L Electrical &amp; Water '!T15,0)</f>
        <v>237</v>
      </c>
      <c r="J10" s="25">
        <v>7.84</v>
      </c>
      <c r="K10" s="24"/>
      <c r="L10" s="25">
        <v>7.84</v>
      </c>
      <c r="M10" s="49">
        <v>40</v>
      </c>
      <c r="N10" s="49">
        <v>90</v>
      </c>
    </row>
    <row r="11" spans="1:14" ht="15">
      <c r="A11" s="22" t="s">
        <v>14</v>
      </c>
      <c r="B11" s="23">
        <f t="shared" si="0"/>
        <v>10</v>
      </c>
      <c r="C11" s="23">
        <v>10</v>
      </c>
      <c r="D11" s="23">
        <v>2025</v>
      </c>
      <c r="E11" s="24">
        <f>IF('BAN-L Electrical &amp; Water '!D16+'BAN-L Electrical &amp; Water '!F16+'BAN-L Electrical &amp; Water '!H16+'BAN-L Electrical &amp; Water '!J16+'BAN-L Electrical &amp; Water '!L16+'BAN-L Electrical &amp; Water '!N16&gt;0,'BAN-L Electrical &amp; Water '!D16+'BAN-L Electrical &amp; Water '!F16+'BAN-L Electrical &amp; Water '!H16+'BAN-L Electrical &amp; Water '!J16+'BAN-L Electrical &amp; Water '!L16+'BAN-L Electrical &amp; Water '!N16,0)</f>
        <v>13468</v>
      </c>
      <c r="F11" s="25">
        <v>0.2</v>
      </c>
      <c r="G11" s="24"/>
      <c r="H11" s="25">
        <v>5.42</v>
      </c>
      <c r="I11" s="24">
        <f>IF('BAN-L Electrical &amp; Water '!P16+'BAN-L Electrical &amp; Water '!R16+'BAN-L Electrical &amp; Water '!T16&gt;0,'BAN-L Electrical &amp; Water '!P16+'BAN-L Electrical &amp; Water '!R16+'BAN-L Electrical &amp; Water '!T16,0)</f>
        <v>248</v>
      </c>
      <c r="J11" s="25">
        <v>7.84</v>
      </c>
      <c r="K11" s="24"/>
      <c r="L11" s="25">
        <v>7.84</v>
      </c>
      <c r="M11" s="49">
        <v>23</v>
      </c>
      <c r="N11" s="49">
        <v>62</v>
      </c>
    </row>
    <row r="12" spans="1:14" ht="15">
      <c r="A12" s="22" t="s">
        <v>14</v>
      </c>
      <c r="B12" s="23">
        <f t="shared" si="0"/>
        <v>11</v>
      </c>
      <c r="C12" s="23">
        <v>10</v>
      </c>
      <c r="D12" s="23">
        <v>2025</v>
      </c>
      <c r="E12" s="24">
        <f>IF('BAN-L Electrical &amp; Water '!D17+'BAN-L Electrical &amp; Water '!F17+'BAN-L Electrical &amp; Water '!H17+'BAN-L Electrical &amp; Water '!J17+'BAN-L Electrical &amp; Water '!L17+'BAN-L Electrical &amp; Water '!N17&gt;0,'BAN-L Electrical &amp; Water '!D17+'BAN-L Electrical &amp; Water '!F17+'BAN-L Electrical &amp; Water '!H17+'BAN-L Electrical &amp; Water '!J17+'BAN-L Electrical &amp; Water '!L17+'BAN-L Electrical &amp; Water '!N17,0)</f>
        <v>14156</v>
      </c>
      <c r="F12" s="25">
        <v>0.2</v>
      </c>
      <c r="G12" s="24"/>
      <c r="H12" s="25">
        <v>5.42</v>
      </c>
      <c r="I12" s="24">
        <f>IF('BAN-L Electrical &amp; Water '!P17+'BAN-L Electrical &amp; Water '!R17+'BAN-L Electrical &amp; Water '!T17&gt;0,'BAN-L Electrical &amp; Water '!P17+'BAN-L Electrical &amp; Water '!R17+'BAN-L Electrical &amp; Water '!T17,0)</f>
        <v>230</v>
      </c>
      <c r="J12" s="25">
        <v>7.84</v>
      </c>
      <c r="K12" s="24"/>
      <c r="L12" s="25">
        <v>7.84</v>
      </c>
      <c r="M12" s="49">
        <v>34</v>
      </c>
      <c r="N12" s="49">
        <v>81</v>
      </c>
    </row>
    <row r="13" spans="1:14" ht="15">
      <c r="A13" s="22" t="s">
        <v>14</v>
      </c>
      <c r="B13" s="23">
        <f t="shared" si="0"/>
        <v>12</v>
      </c>
      <c r="C13" s="23">
        <v>10</v>
      </c>
      <c r="D13" s="23">
        <v>2025</v>
      </c>
      <c r="E13" s="24">
        <f>IF('BAN-L Electrical &amp; Water '!D18+'BAN-L Electrical &amp; Water '!F18+'BAN-L Electrical &amp; Water '!H18+'BAN-L Electrical &amp; Water '!J18+'BAN-L Electrical &amp; Water '!L18+'BAN-L Electrical &amp; Water '!N18&gt;0,'BAN-L Electrical &amp; Water '!D18+'BAN-L Electrical &amp; Water '!F18+'BAN-L Electrical &amp; Water '!H18+'BAN-L Electrical &amp; Water '!J18+'BAN-L Electrical &amp; Water '!L18+'BAN-L Electrical &amp; Water '!N18,0)</f>
        <v>12878</v>
      </c>
      <c r="F13" s="25">
        <v>0.2</v>
      </c>
      <c r="G13" s="24"/>
      <c r="H13" s="25">
        <v>5.42</v>
      </c>
      <c r="I13" s="24">
        <f>IF('BAN-L Electrical &amp; Water '!P18+'BAN-L Electrical &amp; Water '!R18+'BAN-L Electrical &amp; Water '!T18&gt;0,'BAN-L Electrical &amp; Water '!P18+'BAN-L Electrical &amp; Water '!R18+'BAN-L Electrical &amp; Water '!T18,0)</f>
        <v>219</v>
      </c>
      <c r="J13" s="25">
        <v>7.84</v>
      </c>
      <c r="K13" s="24"/>
      <c r="L13" s="25">
        <v>7.84</v>
      </c>
      <c r="M13" s="49">
        <v>26</v>
      </c>
      <c r="N13" s="49">
        <v>64</v>
      </c>
    </row>
    <row r="14" spans="1:14" ht="15">
      <c r="A14" s="22" t="s">
        <v>14</v>
      </c>
      <c r="B14" s="23">
        <f t="shared" si="0"/>
        <v>13</v>
      </c>
      <c r="C14" s="23">
        <v>10</v>
      </c>
      <c r="D14" s="23">
        <v>2025</v>
      </c>
      <c r="E14" s="24">
        <f>IF('BAN-L Electrical &amp; Water '!D19+'BAN-L Electrical &amp; Water '!F19+'BAN-L Electrical &amp; Water '!H19+'BAN-L Electrical &amp; Water '!J19+'BAN-L Electrical &amp; Water '!L19+'BAN-L Electrical &amp; Water '!N19&gt;0,'BAN-L Electrical &amp; Water '!D19+'BAN-L Electrical &amp; Water '!F19+'BAN-L Electrical &amp; Water '!H19+'BAN-L Electrical &amp; Water '!J19+'BAN-L Electrical &amp; Water '!L19+'BAN-L Electrical &amp; Water '!N19,0)</f>
        <v>12904</v>
      </c>
      <c r="F14" s="25">
        <v>0.2</v>
      </c>
      <c r="G14" s="24"/>
      <c r="H14" s="25">
        <v>5.42</v>
      </c>
      <c r="I14" s="24">
        <f>IF('BAN-L Electrical &amp; Water '!P19+'BAN-L Electrical &amp; Water '!R19+'BAN-L Electrical &amp; Water '!T19&gt;0,'BAN-L Electrical &amp; Water '!P19+'BAN-L Electrical &amp; Water '!R19+'BAN-L Electrical &amp; Water '!T19,0)</f>
        <v>235</v>
      </c>
      <c r="J14" s="25">
        <v>7.84</v>
      </c>
      <c r="K14" s="24"/>
      <c r="L14" s="25">
        <v>7.84</v>
      </c>
      <c r="M14" s="49">
        <v>31</v>
      </c>
      <c r="N14" s="49">
        <v>68</v>
      </c>
    </row>
    <row r="15" spans="1:14" ht="15">
      <c r="A15" s="22" t="s">
        <v>14</v>
      </c>
      <c r="B15" s="23">
        <f t="shared" si="0"/>
        <v>14</v>
      </c>
      <c r="C15" s="23">
        <v>10</v>
      </c>
      <c r="D15" s="23">
        <v>2025</v>
      </c>
      <c r="E15" s="24">
        <f>IF('BAN-L Electrical &amp; Water '!D20+'BAN-L Electrical &amp; Water '!F20+'BAN-L Electrical &amp; Water '!H20+'BAN-L Electrical &amp; Water '!J20+'BAN-L Electrical &amp; Water '!L20+'BAN-L Electrical &amp; Water '!N20&gt;0,'BAN-L Electrical &amp; Water '!D20+'BAN-L Electrical &amp; Water '!F20+'BAN-L Electrical &amp; Water '!H20+'BAN-L Electrical &amp; Water '!J20+'BAN-L Electrical &amp; Water '!L20+'BAN-L Electrical &amp; Water '!N20,0)</f>
        <v>0</v>
      </c>
      <c r="F15" s="25">
        <v>0.2</v>
      </c>
      <c r="G15" s="24"/>
      <c r="H15" s="25">
        <v>5.42</v>
      </c>
      <c r="I15" s="24">
        <f>IF('BAN-L Electrical &amp; Water '!P20+'BAN-L Electrical &amp; Water '!R20+'BAN-L Electrical &amp; Water '!T20&gt;0,'BAN-L Electrical &amp; Water '!P20+'BAN-L Electrical &amp; Water '!R20+'BAN-L Electrical &amp; Water '!T20,0)</f>
        <v>240</v>
      </c>
      <c r="J15" s="25">
        <v>7.84</v>
      </c>
      <c r="K15" s="24"/>
      <c r="L15" s="25">
        <v>7.84</v>
      </c>
      <c r="M15" s="49">
        <v>33</v>
      </c>
      <c r="N15" s="49">
        <v>68</v>
      </c>
    </row>
    <row r="16" spans="1:14" ht="15">
      <c r="A16" s="22" t="s">
        <v>14</v>
      </c>
      <c r="B16" s="23">
        <f t="shared" si="0"/>
        <v>15</v>
      </c>
      <c r="C16" s="23">
        <v>10</v>
      </c>
      <c r="D16" s="23">
        <v>2025</v>
      </c>
      <c r="E16" s="24">
        <f>IF('BAN-L Electrical &amp; Water '!D21+'BAN-L Electrical &amp; Water '!F21+'BAN-L Electrical &amp; Water '!H21+'BAN-L Electrical &amp; Water '!J21+'BAN-L Electrical &amp; Water '!L21+'BAN-L Electrical &amp; Water '!N21&gt;0,'BAN-L Electrical &amp; Water '!D21+'BAN-L Electrical &amp; Water '!F21+'BAN-L Electrical &amp; Water '!H21+'BAN-L Electrical &amp; Water '!J21+'BAN-L Electrical &amp; Water '!L21+'BAN-L Electrical &amp; Water '!N21,0)</f>
        <v>4327372</v>
      </c>
      <c r="F16" s="25">
        <v>0.2</v>
      </c>
      <c r="G16" s="24"/>
      <c r="H16" s="25">
        <v>5.42</v>
      </c>
      <c r="I16" s="24">
        <f>IF('BAN-L Electrical &amp; Water '!P21+'BAN-L Electrical &amp; Water '!R21+'BAN-L Electrical &amp; Water '!T21&gt;0,'BAN-L Electrical &amp; Water '!P21+'BAN-L Electrical &amp; Water '!R21+'BAN-L Electrical &amp; Water '!T21,0)</f>
        <v>239</v>
      </c>
      <c r="J16" s="25">
        <v>7.84</v>
      </c>
      <c r="K16" s="24"/>
      <c r="L16" s="25">
        <v>7.84</v>
      </c>
      <c r="M16" s="49">
        <v>31</v>
      </c>
      <c r="N16" s="49">
        <v>65</v>
      </c>
    </row>
    <row r="17" spans="1:14" ht="15">
      <c r="A17" s="22" t="s">
        <v>14</v>
      </c>
      <c r="B17" s="23">
        <f t="shared" si="0"/>
        <v>16</v>
      </c>
      <c r="C17" s="23">
        <v>10</v>
      </c>
      <c r="D17" s="23">
        <v>2025</v>
      </c>
      <c r="E17" s="24">
        <f>IF('BAN-L Electrical &amp; Water '!D22+'BAN-L Electrical &amp; Water '!F22+'BAN-L Electrical &amp; Water '!H22+'BAN-L Electrical &amp; Water '!J22+'BAN-L Electrical &amp; Water '!L22+'BAN-L Electrical &amp; Water '!N22&gt;0,'BAN-L Electrical &amp; Water '!D22+'BAN-L Electrical &amp; Water '!F22+'BAN-L Electrical &amp; Water '!H22+'BAN-L Electrical &amp; Water '!J22+'BAN-L Electrical &amp; Water '!L22+'BAN-L Electrical &amp; Water '!N22,0)</f>
        <v>12396</v>
      </c>
      <c r="F17" s="25">
        <v>0.2</v>
      </c>
      <c r="G17" s="24"/>
      <c r="H17" s="25">
        <v>5.42</v>
      </c>
      <c r="I17" s="24">
        <f>IF('BAN-L Electrical &amp; Water '!P22+'BAN-L Electrical &amp; Water '!R22+'BAN-L Electrical &amp; Water '!T22&gt;0,'BAN-L Electrical &amp; Water '!P22+'BAN-L Electrical &amp; Water '!R22+'BAN-L Electrical &amp; Water '!T22,0)</f>
        <v>237</v>
      </c>
      <c r="J17" s="25">
        <v>7.84</v>
      </c>
      <c r="K17" s="24"/>
      <c r="L17" s="25">
        <v>7.84</v>
      </c>
      <c r="M17" s="49">
        <v>34</v>
      </c>
      <c r="N17" s="49">
        <v>79</v>
      </c>
    </row>
    <row r="18" spans="1:14" ht="15">
      <c r="A18" s="22" t="s">
        <v>14</v>
      </c>
      <c r="B18" s="23">
        <f t="shared" si="0"/>
        <v>17</v>
      </c>
      <c r="C18" s="23">
        <v>10</v>
      </c>
      <c r="D18" s="23">
        <v>2025</v>
      </c>
      <c r="E18" s="24">
        <f>IF('BAN-L Electrical &amp; Water '!D23+'BAN-L Electrical &amp; Water '!F23+'BAN-L Electrical &amp; Water '!H23+'BAN-L Electrical &amp; Water '!J23+'BAN-L Electrical &amp; Water '!L23+'BAN-L Electrical &amp; Water '!N23&gt;0,'BAN-L Electrical &amp; Water '!D23+'BAN-L Electrical &amp; Water '!F23+'BAN-L Electrical &amp; Water '!H23+'BAN-L Electrical &amp; Water '!J23+'BAN-L Electrical &amp; Water '!L23+'BAN-L Electrical &amp; Water '!N23,0)</f>
        <v>12865</v>
      </c>
      <c r="F18" s="25">
        <v>0.2</v>
      </c>
      <c r="G18" s="24"/>
      <c r="H18" s="25">
        <v>5.42</v>
      </c>
      <c r="I18" s="24">
        <f>IF('BAN-L Electrical &amp; Water '!P23+'BAN-L Electrical &amp; Water '!R23+'BAN-L Electrical &amp; Water '!T23&gt;0,'BAN-L Electrical &amp; Water '!P23+'BAN-L Electrical &amp; Water '!R23+'BAN-L Electrical &amp; Water '!T23,0)</f>
        <v>253</v>
      </c>
      <c r="J18" s="25">
        <v>7.84</v>
      </c>
      <c r="K18" s="24"/>
      <c r="L18" s="25">
        <v>7.84</v>
      </c>
      <c r="M18" s="49">
        <v>40</v>
      </c>
      <c r="N18" s="49">
        <v>86</v>
      </c>
    </row>
    <row r="19" spans="1:14" ht="15">
      <c r="A19" s="22" t="s">
        <v>14</v>
      </c>
      <c r="B19" s="23">
        <f t="shared" si="0"/>
        <v>18</v>
      </c>
      <c r="C19" s="23">
        <v>10</v>
      </c>
      <c r="D19" s="23">
        <v>2025</v>
      </c>
      <c r="E19" s="24">
        <f>IF('BAN-L Electrical &amp; Water '!D24+'BAN-L Electrical &amp; Water '!F24+'BAN-L Electrical &amp; Water '!H24+'BAN-L Electrical &amp; Water '!J24+'BAN-L Electrical &amp; Water '!L24+'BAN-L Electrical &amp; Water '!N24&gt;0,'BAN-L Electrical &amp; Water '!D24+'BAN-L Electrical &amp; Water '!F24+'BAN-L Electrical &amp; Water '!H24+'BAN-L Electrical &amp; Water '!J24+'BAN-L Electrical &amp; Water '!L24+'BAN-L Electrical &amp; Water '!N24,0)</f>
        <v>12806</v>
      </c>
      <c r="F19" s="25">
        <v>0.2</v>
      </c>
      <c r="G19" s="24"/>
      <c r="H19" s="25">
        <v>5.42</v>
      </c>
      <c r="I19" s="24">
        <f>IF('BAN-L Electrical &amp; Water '!P24+'BAN-L Electrical &amp; Water '!R24+'BAN-L Electrical &amp; Water '!T24&gt;0,'BAN-L Electrical &amp; Water '!P24+'BAN-L Electrical &amp; Water '!R24+'BAN-L Electrical &amp; Water '!T24,0)</f>
        <v>261</v>
      </c>
      <c r="J19" s="25">
        <v>7.84</v>
      </c>
      <c r="K19" s="24"/>
      <c r="L19" s="25">
        <v>7.84</v>
      </c>
      <c r="M19" s="49">
        <v>47</v>
      </c>
      <c r="N19" s="49">
        <v>113</v>
      </c>
    </row>
    <row r="20" spans="1:14" ht="15">
      <c r="A20" s="22" t="s">
        <v>14</v>
      </c>
      <c r="B20" s="23">
        <f t="shared" si="0"/>
        <v>19</v>
      </c>
      <c r="C20" s="23">
        <v>10</v>
      </c>
      <c r="D20" s="23">
        <v>2025</v>
      </c>
      <c r="E20" s="24">
        <f>IF('BAN-L Electrical &amp; Water '!D25+'BAN-L Electrical &amp; Water '!F25+'BAN-L Electrical &amp; Water '!H25+'BAN-L Electrical &amp; Water '!J25+'BAN-L Electrical &amp; Water '!L25+'BAN-L Electrical &amp; Water '!N25&gt;0,'BAN-L Electrical &amp; Water '!D25+'BAN-L Electrical &amp; Water '!F25+'BAN-L Electrical &amp; Water '!H25+'BAN-L Electrical &amp; Water '!J25+'BAN-L Electrical &amp; Water '!L25+'BAN-L Electrical &amp; Water '!N25,0)</f>
        <v>13025</v>
      </c>
      <c r="F20" s="25">
        <v>0.2</v>
      </c>
      <c r="G20" s="24"/>
      <c r="H20" s="25">
        <v>5.42</v>
      </c>
      <c r="I20" s="24">
        <f>IF('BAN-L Electrical &amp; Water '!P25+'BAN-L Electrical &amp; Water '!R25+'BAN-L Electrical &amp; Water '!T25&gt;0,'BAN-L Electrical &amp; Water '!P25+'BAN-L Electrical &amp; Water '!R25+'BAN-L Electrical &amp; Water '!T25,0)</f>
        <v>236</v>
      </c>
      <c r="J20" s="25">
        <v>7.84</v>
      </c>
      <c r="K20" s="24"/>
      <c r="L20" s="25">
        <v>7.84</v>
      </c>
      <c r="M20" s="49">
        <v>17</v>
      </c>
      <c r="N20" s="49">
        <v>40</v>
      </c>
    </row>
    <row r="21" spans="1:14" ht="15">
      <c r="A21" s="22" t="s">
        <v>14</v>
      </c>
      <c r="B21" s="23">
        <f t="shared" si="0"/>
        <v>20</v>
      </c>
      <c r="C21" s="23">
        <v>10</v>
      </c>
      <c r="D21" s="23">
        <v>2025</v>
      </c>
      <c r="E21" s="24">
        <f>IF('BAN-L Electrical &amp; Water '!D26+'BAN-L Electrical &amp; Water '!F26+'BAN-L Electrical &amp; Water '!H26+'BAN-L Electrical &amp; Water '!J26+'BAN-L Electrical &amp; Water '!L26+'BAN-L Electrical &amp; Water '!N26&gt;0,'BAN-L Electrical &amp; Water '!D26+'BAN-L Electrical &amp; Water '!F26+'BAN-L Electrical &amp; Water '!H26+'BAN-L Electrical &amp; Water '!J26+'BAN-L Electrical &amp; Water '!L26+'BAN-L Electrical &amp; Water '!N26,0)</f>
        <v>12401</v>
      </c>
      <c r="F21" s="25">
        <v>0.2</v>
      </c>
      <c r="G21" s="24"/>
      <c r="H21" s="25">
        <v>5.42</v>
      </c>
      <c r="I21" s="24">
        <f>IF('BAN-L Electrical &amp; Water '!P26+'BAN-L Electrical &amp; Water '!R26+'BAN-L Electrical &amp; Water '!T26&gt;0,'BAN-L Electrical &amp; Water '!P26+'BAN-L Electrical &amp; Water '!R26+'BAN-L Electrical &amp; Water '!T26,0)</f>
        <v>268</v>
      </c>
      <c r="J21" s="25">
        <v>7.84</v>
      </c>
      <c r="K21" s="24"/>
      <c r="L21" s="25">
        <v>7.84</v>
      </c>
      <c r="M21" s="49">
        <v>19</v>
      </c>
      <c r="N21" s="49">
        <v>44</v>
      </c>
    </row>
    <row r="22" spans="1:14" ht="15">
      <c r="A22" s="22" t="s">
        <v>14</v>
      </c>
      <c r="B22" s="23">
        <f t="shared" si="0"/>
        <v>21</v>
      </c>
      <c r="C22" s="23">
        <v>10</v>
      </c>
      <c r="D22" s="23">
        <v>2025</v>
      </c>
      <c r="E22" s="24">
        <f>IF('BAN-L Electrical &amp; Water '!D27+'BAN-L Electrical &amp; Water '!F27+'BAN-L Electrical &amp; Water '!H27+'BAN-L Electrical &amp; Water '!J27+'BAN-L Electrical &amp; Water '!L27+'BAN-L Electrical &amp; Water '!N27&gt;0,'BAN-L Electrical &amp; Water '!D27+'BAN-L Electrical &amp; Water '!F27+'BAN-L Electrical &amp; Water '!H27+'BAN-L Electrical &amp; Water '!J27+'BAN-L Electrical &amp; Water '!L27+'BAN-L Electrical &amp; Water '!N27,0)</f>
        <v>12426</v>
      </c>
      <c r="F22" s="25">
        <v>0.2</v>
      </c>
      <c r="G22" s="24"/>
      <c r="H22" s="25">
        <v>5.42</v>
      </c>
      <c r="I22" s="24">
        <f>IF('BAN-L Electrical &amp; Water '!P27+'BAN-L Electrical &amp; Water '!R27+'BAN-L Electrical &amp; Water '!T27&gt;0,'BAN-L Electrical &amp; Water '!P27+'BAN-L Electrical &amp; Water '!R27+'BAN-L Electrical &amp; Water '!T27,0)</f>
        <v>261</v>
      </c>
      <c r="J22" s="25">
        <v>7.84</v>
      </c>
      <c r="K22" s="24"/>
      <c r="L22" s="25">
        <v>7.84</v>
      </c>
      <c r="M22" s="49">
        <v>21</v>
      </c>
      <c r="N22" s="49">
        <v>50</v>
      </c>
    </row>
    <row r="23" spans="1:14" ht="15">
      <c r="A23" s="22" t="s">
        <v>14</v>
      </c>
      <c r="B23" s="23">
        <f t="shared" si="0"/>
        <v>22</v>
      </c>
      <c r="C23" s="23">
        <v>10</v>
      </c>
      <c r="D23" s="23">
        <v>2025</v>
      </c>
      <c r="E23" s="24">
        <f>IF('BAN-L Electrical &amp; Water '!D28+'BAN-L Electrical &amp; Water '!F28+'BAN-L Electrical &amp; Water '!H28+'BAN-L Electrical &amp; Water '!J28+'BAN-L Electrical &amp; Water '!L28+'BAN-L Electrical &amp; Water '!N28&gt;0,'BAN-L Electrical &amp; Water '!D28+'BAN-L Electrical &amp; Water '!F28+'BAN-L Electrical &amp; Water '!H28+'BAN-L Electrical &amp; Water '!J28+'BAN-L Electrical &amp; Water '!L28+'BAN-L Electrical &amp; Water '!N28,0)</f>
        <v>12182</v>
      </c>
      <c r="F23" s="25">
        <v>0.2</v>
      </c>
      <c r="G23" s="24"/>
      <c r="H23" s="25">
        <v>5.42</v>
      </c>
      <c r="I23" s="24">
        <f>IF('BAN-L Electrical &amp; Water '!P28+'BAN-L Electrical &amp; Water '!R28+'BAN-L Electrical &amp; Water '!T28&gt;0,'BAN-L Electrical &amp; Water '!P28+'BAN-L Electrical &amp; Water '!R28+'BAN-L Electrical &amp; Water '!T28,0)</f>
        <v>227</v>
      </c>
      <c r="J23" s="25">
        <v>7.84</v>
      </c>
      <c r="K23" s="24"/>
      <c r="L23" s="25">
        <v>7.84</v>
      </c>
      <c r="M23" s="49">
        <v>23</v>
      </c>
      <c r="N23" s="49">
        <v>48</v>
      </c>
    </row>
    <row r="24" spans="1:14" ht="15">
      <c r="A24" s="22" t="s">
        <v>14</v>
      </c>
      <c r="B24" s="23">
        <f t="shared" si="0"/>
        <v>23</v>
      </c>
      <c r="C24" s="23">
        <v>10</v>
      </c>
      <c r="D24" s="23">
        <v>2025</v>
      </c>
      <c r="E24" s="24">
        <f>IF('BAN-L Electrical &amp; Water '!D29+'BAN-L Electrical &amp; Water '!F29+'BAN-L Electrical &amp; Water '!H29+'BAN-L Electrical &amp; Water '!J29+'BAN-L Electrical &amp; Water '!L29+'BAN-L Electrical &amp; Water '!N29&gt;0,'BAN-L Electrical &amp; Water '!D29+'BAN-L Electrical &amp; Water '!F29+'BAN-L Electrical &amp; Water '!H29+'BAN-L Electrical &amp; Water '!J29+'BAN-L Electrical &amp; Water '!L29+'BAN-L Electrical &amp; Water '!N29,0)</f>
        <v>12428</v>
      </c>
      <c r="F24" s="25">
        <v>0.2</v>
      </c>
      <c r="G24" s="24"/>
      <c r="H24" s="25">
        <v>5.42</v>
      </c>
      <c r="I24" s="24">
        <f>IF('BAN-L Electrical &amp; Water '!P29+'BAN-L Electrical &amp; Water '!R29+'BAN-L Electrical &amp; Water '!T29&gt;0,'BAN-L Electrical &amp; Water '!P29+'BAN-L Electrical &amp; Water '!R29+'BAN-L Electrical &amp; Water '!T29,0)</f>
        <v>239</v>
      </c>
      <c r="J24" s="25">
        <v>7.84</v>
      </c>
      <c r="K24" s="24"/>
      <c r="L24" s="25">
        <v>7.84</v>
      </c>
      <c r="M24" s="49">
        <v>18</v>
      </c>
      <c r="N24" s="49">
        <v>38</v>
      </c>
    </row>
    <row r="25" spans="1:14" ht="15">
      <c r="A25" s="22" t="s">
        <v>14</v>
      </c>
      <c r="B25" s="23">
        <f t="shared" si="0"/>
        <v>24</v>
      </c>
      <c r="C25" s="23">
        <v>10</v>
      </c>
      <c r="D25" s="23">
        <v>2025</v>
      </c>
      <c r="E25" s="24">
        <f>IF('BAN-L Electrical &amp; Water '!D30+'BAN-L Electrical &amp; Water '!F30+'BAN-L Electrical &amp; Water '!H30+'BAN-L Electrical &amp; Water '!J30+'BAN-L Electrical &amp; Water '!L30+'BAN-L Electrical &amp; Water '!N30&gt;0,'BAN-L Electrical &amp; Water '!D30+'BAN-L Electrical &amp; Water '!F30+'BAN-L Electrical &amp; Water '!H30+'BAN-L Electrical &amp; Water '!J30+'BAN-L Electrical &amp; Water '!L30+'BAN-L Electrical &amp; Water '!N30,0)</f>
        <v>12320</v>
      </c>
      <c r="F25" s="25">
        <v>0.2</v>
      </c>
      <c r="G25" s="24"/>
      <c r="H25" s="25">
        <v>5.42</v>
      </c>
      <c r="I25" s="24">
        <f>IF('BAN-L Electrical &amp; Water '!P30+'BAN-L Electrical &amp; Water '!R30+'BAN-L Electrical &amp; Water '!T30&gt;0,'BAN-L Electrical &amp; Water '!P30+'BAN-L Electrical &amp; Water '!R30+'BAN-L Electrical &amp; Water '!T30,0)</f>
        <v>225</v>
      </c>
      <c r="J25" s="25">
        <v>7.84</v>
      </c>
      <c r="K25" s="24"/>
      <c r="L25" s="25">
        <v>7.84</v>
      </c>
      <c r="M25" s="49">
        <v>40</v>
      </c>
      <c r="N25" s="49">
        <v>103</v>
      </c>
    </row>
    <row r="26" spans="1:14" ht="15">
      <c r="A26" s="22" t="s">
        <v>14</v>
      </c>
      <c r="B26" s="23">
        <f>B25+1</f>
        <v>25</v>
      </c>
      <c r="C26" s="23">
        <v>10</v>
      </c>
      <c r="D26" s="23">
        <v>2025</v>
      </c>
      <c r="E26" s="24">
        <f>IF('BAN-L Electrical &amp; Water '!D31+'BAN-L Electrical &amp; Water '!F31+'BAN-L Electrical &amp; Water '!H31+'BAN-L Electrical &amp; Water '!J31+'BAN-L Electrical &amp; Water '!L31+'BAN-L Electrical &amp; Water '!N31&gt;0,'BAN-L Electrical &amp; Water '!D31+'BAN-L Electrical &amp; Water '!F31+'BAN-L Electrical &amp; Water '!H31+'BAN-L Electrical &amp; Water '!J31+'BAN-L Electrical &amp; Water '!L31+'BAN-L Electrical &amp; Water '!N31,0)</f>
        <v>11932</v>
      </c>
      <c r="F26" s="25">
        <v>0.2</v>
      </c>
      <c r="G26" s="24"/>
      <c r="H26" s="25">
        <v>5.42</v>
      </c>
      <c r="I26" s="24">
        <f>IF('BAN-L Electrical &amp; Water '!P31+'BAN-L Electrical &amp; Water '!R31+'BAN-L Electrical &amp; Water '!T31&gt;0,'BAN-L Electrical &amp; Water '!P31+'BAN-L Electrical &amp; Water '!R31+'BAN-L Electrical &amp; Water '!T31,0)</f>
        <v>248</v>
      </c>
      <c r="J26" s="25">
        <v>7.84</v>
      </c>
      <c r="K26" s="24"/>
      <c r="L26" s="25">
        <v>7.84</v>
      </c>
      <c r="M26" s="49">
        <v>52</v>
      </c>
      <c r="N26" s="49">
        <v>128</v>
      </c>
    </row>
    <row r="27" spans="1:14" ht="15">
      <c r="A27" s="22" t="s">
        <v>14</v>
      </c>
      <c r="B27" s="23">
        <f t="shared" si="0"/>
        <v>26</v>
      </c>
      <c r="C27" s="23">
        <v>10</v>
      </c>
      <c r="D27" s="23">
        <v>2025</v>
      </c>
      <c r="E27" s="24">
        <f>IF('BAN-L Electrical &amp; Water '!D32+'BAN-L Electrical &amp; Water '!F32+'BAN-L Electrical &amp; Water '!H32+'BAN-L Electrical &amp; Water '!J32+'BAN-L Electrical &amp; Water '!L32+'BAN-L Electrical &amp; Water '!N32&gt;0,'BAN-L Electrical &amp; Water '!D32+'BAN-L Electrical &amp; Water '!F32+'BAN-L Electrical &amp; Water '!H32+'BAN-L Electrical &amp; Water '!J32+'BAN-L Electrical &amp; Water '!L32+'BAN-L Electrical &amp; Water '!N32,0)</f>
        <v>12180</v>
      </c>
      <c r="F27" s="25">
        <v>0.2</v>
      </c>
      <c r="G27" s="24"/>
      <c r="H27" s="25">
        <v>5.42</v>
      </c>
      <c r="I27" s="24">
        <f>IF('BAN-L Electrical &amp; Water '!P32+'BAN-L Electrical &amp; Water '!R32+'BAN-L Electrical &amp; Water '!T32&gt;0,'BAN-L Electrical &amp; Water '!P32+'BAN-L Electrical &amp; Water '!R32+'BAN-L Electrical &amp; Water '!T32,0)</f>
        <v>246</v>
      </c>
      <c r="J27" s="25">
        <v>7.84</v>
      </c>
      <c r="K27" s="24"/>
      <c r="L27" s="25">
        <v>7.84</v>
      </c>
      <c r="M27" s="49">
        <v>42</v>
      </c>
      <c r="N27" s="49">
        <v>105</v>
      </c>
    </row>
    <row r="28" spans="1:14" ht="15">
      <c r="A28" s="22" t="s">
        <v>14</v>
      </c>
      <c r="B28" s="23">
        <f t="shared" si="0"/>
        <v>27</v>
      </c>
      <c r="C28" s="23">
        <v>10</v>
      </c>
      <c r="D28" s="23">
        <v>2025</v>
      </c>
      <c r="E28" s="24">
        <f>IF('BAN-L Electrical &amp; Water '!D33+'BAN-L Electrical &amp; Water '!F33+'BAN-L Electrical &amp; Water '!H33+'BAN-L Electrical &amp; Water '!J33+'BAN-L Electrical &amp; Water '!L33+'BAN-L Electrical &amp; Water '!N33&gt;0,'BAN-L Electrical &amp; Water '!D33+'BAN-L Electrical &amp; Water '!F33+'BAN-L Electrical &amp; Water '!H33+'BAN-L Electrical &amp; Water '!J33+'BAN-L Electrical &amp; Water '!L33+'BAN-L Electrical &amp; Water '!N33,0)</f>
        <v>11730</v>
      </c>
      <c r="F28" s="25">
        <v>0.2</v>
      </c>
      <c r="G28" s="24"/>
      <c r="H28" s="25">
        <v>5.42</v>
      </c>
      <c r="I28" s="24">
        <f>IF('BAN-L Electrical &amp; Water '!P33+'BAN-L Electrical &amp; Water '!R33+'BAN-L Electrical &amp; Water '!T33&gt;0,'BAN-L Electrical &amp; Water '!P33+'BAN-L Electrical &amp; Water '!R33+'BAN-L Electrical &amp; Water '!T33,0)</f>
        <v>265</v>
      </c>
      <c r="J28" s="25">
        <v>7.84</v>
      </c>
      <c r="K28" s="24"/>
      <c r="L28" s="25">
        <v>7.84</v>
      </c>
      <c r="M28" s="49">
        <v>41</v>
      </c>
      <c r="N28" s="49">
        <v>91</v>
      </c>
    </row>
    <row r="29" spans="1:14" ht="15">
      <c r="A29" s="22" t="s">
        <v>14</v>
      </c>
      <c r="B29" s="23">
        <f t="shared" si="0"/>
        <v>28</v>
      </c>
      <c r="C29" s="23">
        <v>10</v>
      </c>
      <c r="D29" s="23">
        <v>2025</v>
      </c>
      <c r="E29" s="24">
        <f>IF('BAN-L Electrical &amp; Water '!D34+'BAN-L Electrical &amp; Water '!F34+'BAN-L Electrical &amp; Water '!H34+'BAN-L Electrical &amp; Water '!J34+'BAN-L Electrical &amp; Water '!L34+'BAN-L Electrical &amp; Water '!N34&gt;0,'BAN-L Electrical &amp; Water '!D34+'BAN-L Electrical &amp; Water '!F34+'BAN-L Electrical &amp; Water '!H34+'BAN-L Electrical &amp; Water '!J34+'BAN-L Electrical &amp; Water '!L34+'BAN-L Electrical &amp; Water '!N34,0)</f>
        <v>11322</v>
      </c>
      <c r="F29" s="25">
        <v>0.2</v>
      </c>
      <c r="G29" s="24"/>
      <c r="H29" s="25">
        <v>5.42</v>
      </c>
      <c r="I29" s="24">
        <f>IF('BAN-L Electrical &amp; Water '!P34+'BAN-L Electrical &amp; Water '!R34+'BAN-L Electrical &amp; Water '!T34&gt;0,'BAN-L Electrical &amp; Water '!P34+'BAN-L Electrical &amp; Water '!R34+'BAN-L Electrical &amp; Water '!T34,0)</f>
        <v>278</v>
      </c>
      <c r="J29" s="25">
        <v>7.84</v>
      </c>
      <c r="K29" s="24"/>
      <c r="L29" s="25">
        <v>7.84</v>
      </c>
      <c r="M29" s="49">
        <v>40</v>
      </c>
      <c r="N29" s="49">
        <v>88</v>
      </c>
    </row>
    <row r="30" spans="1:14" ht="15">
      <c r="A30" s="22" t="s">
        <v>14</v>
      </c>
      <c r="B30" s="23">
        <f t="shared" si="0"/>
        <v>29</v>
      </c>
      <c r="C30" s="23">
        <v>10</v>
      </c>
      <c r="D30" s="23">
        <v>2025</v>
      </c>
      <c r="E30" s="24">
        <f>IF('BAN-L Electrical &amp; Water '!D35+'BAN-L Electrical &amp; Water '!F35+'BAN-L Electrical &amp; Water '!H35+'BAN-L Electrical &amp; Water '!J35+'BAN-L Electrical &amp; Water '!L35+'BAN-L Electrical &amp; Water '!N35&gt;0,'BAN-L Electrical &amp; Water '!D35+'BAN-L Electrical &amp; Water '!F35+'BAN-L Electrical &amp; Water '!H35+'BAN-L Electrical &amp; Water '!J35+'BAN-L Electrical &amp; Water '!L35+'BAN-L Electrical &amp; Water '!N35,0)</f>
        <v>11222</v>
      </c>
      <c r="F30" s="25">
        <v>0.2</v>
      </c>
      <c r="G30" s="24"/>
      <c r="H30" s="25">
        <v>5.42</v>
      </c>
      <c r="I30" s="24">
        <f>IF('BAN-L Electrical &amp; Water '!P35+'BAN-L Electrical &amp; Water '!R35+'BAN-L Electrical &amp; Water '!T35&gt;0,'BAN-L Electrical &amp; Water '!P35+'BAN-L Electrical &amp; Water '!R35+'BAN-L Electrical &amp; Water '!T35,0)</f>
        <v>247</v>
      </c>
      <c r="J30" s="25">
        <v>7.84</v>
      </c>
      <c r="K30" s="24"/>
      <c r="L30" s="25">
        <v>7.84</v>
      </c>
      <c r="M30" s="49">
        <v>24</v>
      </c>
      <c r="N30" s="49">
        <v>55</v>
      </c>
    </row>
    <row r="31" spans="1:14" ht="15">
      <c r="A31" s="22" t="s">
        <v>14</v>
      </c>
      <c r="B31" s="23">
        <f t="shared" si="0"/>
        <v>30</v>
      </c>
      <c r="C31" s="23">
        <v>10</v>
      </c>
      <c r="D31" s="23">
        <v>2025</v>
      </c>
      <c r="E31" s="24">
        <f>IF('BAN-L Electrical &amp; Water '!D36+'BAN-L Electrical &amp; Water '!F36+'BAN-L Electrical &amp; Water '!H36+'BAN-L Electrical &amp; Water '!J36+'BAN-L Electrical &amp; Water '!L36+'BAN-L Electrical &amp; Water '!N36&gt;0,'BAN-L Electrical &amp; Water '!D36+'BAN-L Electrical &amp; Water '!F36+'BAN-L Electrical &amp; Water '!H36+'BAN-L Electrical &amp; Water '!J36+'BAN-L Electrical &amp; Water '!L36+'BAN-L Electrical &amp; Water '!N36,0)</f>
        <v>11517</v>
      </c>
      <c r="F31" s="25">
        <v>0.2</v>
      </c>
      <c r="G31" s="24"/>
      <c r="H31" s="25">
        <v>5.42</v>
      </c>
      <c r="I31" s="24">
        <f>IF('BAN-L Electrical &amp; Water '!P36+'BAN-L Electrical &amp; Water '!R36+'BAN-L Electrical &amp; Water '!T36&gt;0,'BAN-L Electrical &amp; Water '!P36+'BAN-L Electrical &amp; Water '!R36+'BAN-L Electrical &amp; Water '!T36,0)</f>
        <v>266</v>
      </c>
      <c r="J31" s="25">
        <v>7.84</v>
      </c>
      <c r="K31" s="24"/>
      <c r="L31" s="25">
        <v>7.84</v>
      </c>
      <c r="M31" s="49">
        <v>26</v>
      </c>
      <c r="N31" s="49">
        <v>59</v>
      </c>
    </row>
    <row r="32" spans="1:14" ht="15">
      <c r="A32" s="22" t="s">
        <v>14</v>
      </c>
      <c r="B32" s="23">
        <f t="shared" si="0"/>
        <v>31</v>
      </c>
      <c r="C32" s="23">
        <v>10</v>
      </c>
      <c r="D32" s="23">
        <v>2025</v>
      </c>
      <c r="E32" s="24">
        <f>IF('BAN-L Electrical &amp; Water '!D37+'BAN-L Electrical &amp; Water '!F37+'BAN-L Electrical &amp; Water '!H37+'BAN-L Electrical &amp; Water '!J37+'BAN-L Electrical &amp; Water '!L37+'BAN-L Electrical &amp; Water '!N37&gt;0,'BAN-L Electrical &amp; Water '!D37+'BAN-L Electrical &amp; Water '!F37+'BAN-L Electrical &amp; Water '!H37+'BAN-L Electrical &amp; Water '!J37+'BAN-L Electrical &amp; Water '!L37+'BAN-L Electrical &amp; Water '!N37,0)</f>
        <v>11704</v>
      </c>
      <c r="F32" s="25">
        <v>0.2</v>
      </c>
      <c r="G32" s="24"/>
      <c r="H32" s="25">
        <v>5.42</v>
      </c>
      <c r="I32" s="24">
        <f>IF('BAN-L Electrical &amp; Water '!P37+'BAN-L Electrical &amp; Water '!R37+'BAN-L Electrical &amp; Water '!T37&gt;0,'BAN-L Electrical &amp; Water '!P37+'BAN-L Electrical &amp; Water '!R37+'BAN-L Electrical &amp; Water '!T37,0)</f>
        <v>0</v>
      </c>
      <c r="J32" s="25">
        <v>7.84</v>
      </c>
      <c r="K32" s="24"/>
      <c r="L32" s="25">
        <v>7.84</v>
      </c>
      <c r="M32" s="49">
        <v>33</v>
      </c>
      <c r="N32" s="49">
        <v>96</v>
      </c>
    </row>
    <row r="33" spans="7:9">
      <c r="G33" s="24"/>
      <c r="I33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X38"/>
  <sheetViews>
    <sheetView topLeftCell="A18" zoomScale="60" zoomScaleNormal="60" zoomScaleSheetLayoutView="90" zoomScalePageLayoutView="52" workbookViewId="0">
      <selection activeCell="D20" sqref="D20"/>
    </sheetView>
  </sheetViews>
  <sheetFormatPr defaultRowHeight="14.45"/>
  <cols>
    <col min="1" max="2" width="21.42578125" customWidth="1"/>
    <col min="3" max="3" width="30.42578125" style="1" bestFit="1" customWidth="1"/>
    <col min="4" max="4" width="31.140625" style="1" customWidth="1"/>
    <col min="5" max="5" width="33.28515625" style="1" customWidth="1"/>
    <col min="6" max="6" width="31.140625" style="1" customWidth="1"/>
    <col min="7" max="7" width="30.42578125" style="1" bestFit="1" customWidth="1"/>
    <col min="8" max="8" width="31.140625" style="1" customWidth="1"/>
    <col min="9" max="9" width="30.42578125" style="1" bestFit="1" customWidth="1"/>
    <col min="10" max="10" width="31.140625" style="1" customWidth="1"/>
    <col min="11" max="11" width="30.42578125" style="1" bestFit="1" customWidth="1"/>
    <col min="12" max="12" width="31.140625" style="1" customWidth="1"/>
    <col min="13" max="13" width="33.28515625" style="1" customWidth="1"/>
    <col min="14" max="14" width="31.140625" style="1" customWidth="1"/>
    <col min="15" max="15" width="30.85546875" style="5" customWidth="1"/>
    <col min="16" max="16" width="30.42578125" style="5" customWidth="1"/>
    <col min="17" max="17" width="30.85546875" style="5" customWidth="1"/>
    <col min="18" max="18" width="30.42578125" style="5" customWidth="1"/>
    <col min="19" max="19" width="30.85546875" style="5" customWidth="1"/>
    <col min="20" max="20" width="30.42578125" style="5" customWidth="1"/>
    <col min="21" max="21" width="55.7109375" style="1" bestFit="1" customWidth="1"/>
  </cols>
  <sheetData>
    <row r="1" spans="1:24" ht="95.1" customHeight="1" thickBot="1">
      <c r="C1" s="46" t="s">
        <v>15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X1" s="2"/>
    </row>
    <row r="2" spans="1:24" s="1" customFormat="1" ht="54.75" customHeight="1" thickBot="1">
      <c r="A2" s="8" t="s">
        <v>16</v>
      </c>
      <c r="B2" s="45" t="s">
        <v>17</v>
      </c>
      <c r="C2" s="11" t="s">
        <v>18</v>
      </c>
      <c r="D2" s="44" t="s">
        <v>19</v>
      </c>
      <c r="E2" s="11" t="s">
        <v>20</v>
      </c>
      <c r="F2" s="44" t="s">
        <v>19</v>
      </c>
      <c r="G2" s="11" t="s">
        <v>21</v>
      </c>
      <c r="H2" s="44" t="s">
        <v>19</v>
      </c>
      <c r="I2" s="11" t="s">
        <v>22</v>
      </c>
      <c r="J2" s="44" t="s">
        <v>19</v>
      </c>
      <c r="K2" s="11" t="s">
        <v>23</v>
      </c>
      <c r="L2" s="44" t="s">
        <v>19</v>
      </c>
      <c r="M2" s="11" t="s">
        <v>24</v>
      </c>
      <c r="N2" s="44" t="s">
        <v>19</v>
      </c>
      <c r="O2" s="43" t="s">
        <v>25</v>
      </c>
      <c r="P2" s="43" t="s">
        <v>19</v>
      </c>
      <c r="Q2" s="43" t="s">
        <v>26</v>
      </c>
      <c r="R2" s="43" t="s">
        <v>19</v>
      </c>
      <c r="S2" s="43" t="s">
        <v>27</v>
      </c>
      <c r="T2" s="43" t="s">
        <v>19</v>
      </c>
      <c r="U2" s="48" t="s">
        <v>28</v>
      </c>
    </row>
    <row r="3" spans="1:24" ht="60" customHeight="1" thickBot="1">
      <c r="A3" s="8" t="s">
        <v>29</v>
      </c>
      <c r="B3" s="45"/>
      <c r="C3" s="14" t="s">
        <v>30</v>
      </c>
      <c r="D3" s="44"/>
      <c r="E3" s="14" t="s">
        <v>31</v>
      </c>
      <c r="F3" s="44"/>
      <c r="G3" s="14" t="s">
        <v>32</v>
      </c>
      <c r="H3" s="44"/>
      <c r="I3" s="14" t="s">
        <v>33</v>
      </c>
      <c r="J3" s="44"/>
      <c r="K3" s="14" t="s">
        <v>34</v>
      </c>
      <c r="L3" s="44"/>
      <c r="M3" s="14" t="s">
        <v>35</v>
      </c>
      <c r="N3" s="44"/>
      <c r="O3" s="43"/>
      <c r="P3" s="43"/>
      <c r="Q3" s="43"/>
      <c r="R3" s="43"/>
      <c r="S3" s="43"/>
      <c r="T3" s="43"/>
      <c r="U3" s="48"/>
    </row>
    <row r="4" spans="1:24" ht="46.5" customHeight="1" thickBot="1">
      <c r="A4" s="45" t="s">
        <v>36</v>
      </c>
      <c r="B4" s="45"/>
      <c r="C4" s="44" t="s">
        <v>37</v>
      </c>
      <c r="D4" s="44"/>
      <c r="E4" s="44" t="s">
        <v>37</v>
      </c>
      <c r="F4" s="44"/>
      <c r="G4" s="44" t="s">
        <v>37</v>
      </c>
      <c r="H4" s="44"/>
      <c r="I4" s="44" t="s">
        <v>37</v>
      </c>
      <c r="J4" s="44"/>
      <c r="K4" s="44" t="s">
        <v>37</v>
      </c>
      <c r="L4" s="44"/>
      <c r="M4" s="44" t="s">
        <v>37</v>
      </c>
      <c r="N4" s="44"/>
      <c r="O4" s="43"/>
      <c r="P4" s="43"/>
      <c r="Q4" s="43"/>
      <c r="R4" s="43"/>
      <c r="S4" s="43"/>
      <c r="T4" s="43"/>
      <c r="U4" s="48"/>
    </row>
    <row r="5" spans="1:24" ht="24.95" customHeight="1" thickBot="1">
      <c r="A5" s="45"/>
      <c r="B5" s="45"/>
      <c r="C5" s="44"/>
      <c r="D5" s="12" t="s">
        <v>38</v>
      </c>
      <c r="E5" s="44"/>
      <c r="F5" s="12" t="s">
        <v>38</v>
      </c>
      <c r="G5" s="44"/>
      <c r="H5" s="12" t="s">
        <v>38</v>
      </c>
      <c r="I5" s="44"/>
      <c r="J5" s="12" t="s">
        <v>38</v>
      </c>
      <c r="K5" s="44"/>
      <c r="L5" s="12" t="s">
        <v>38</v>
      </c>
      <c r="M5" s="44"/>
      <c r="N5" s="12" t="s">
        <v>38</v>
      </c>
      <c r="O5" s="13" t="s">
        <v>39</v>
      </c>
      <c r="P5" s="13" t="s">
        <v>39</v>
      </c>
      <c r="Q5" s="13" t="s">
        <v>39</v>
      </c>
      <c r="R5" s="13" t="s">
        <v>39</v>
      </c>
      <c r="S5" s="13" t="s">
        <v>39</v>
      </c>
      <c r="T5" s="13" t="s">
        <v>39</v>
      </c>
      <c r="U5" s="48"/>
    </row>
    <row r="6" spans="1:24" ht="39" customHeight="1">
      <c r="A6" s="6">
        <v>45930</v>
      </c>
      <c r="B6" s="15">
        <v>0.375</v>
      </c>
      <c r="C6" s="30"/>
      <c r="D6" s="31">
        <v>1934</v>
      </c>
      <c r="E6" s="31"/>
      <c r="F6" s="31">
        <v>1443</v>
      </c>
      <c r="G6" s="31"/>
      <c r="H6" s="31">
        <v>2148</v>
      </c>
      <c r="I6" s="31"/>
      <c r="J6" s="31">
        <v>2643</v>
      </c>
      <c r="K6" s="31"/>
      <c r="L6" s="31">
        <v>3075</v>
      </c>
      <c r="M6" s="31"/>
      <c r="N6" s="31">
        <v>6633</v>
      </c>
      <c r="O6" s="32"/>
      <c r="P6" s="32">
        <f>O7-O6</f>
        <v>7007</v>
      </c>
      <c r="Q6" s="32"/>
      <c r="R6" s="32">
        <v>42</v>
      </c>
      <c r="S6" s="32"/>
      <c r="T6" s="9">
        <v>0</v>
      </c>
      <c r="U6" s="7"/>
    </row>
    <row r="7" spans="1:24" ht="39" customHeight="1">
      <c r="A7" s="6">
        <v>45931</v>
      </c>
      <c r="B7" s="16">
        <v>0.22916666666666666</v>
      </c>
      <c r="C7" s="30">
        <v>1429216</v>
      </c>
      <c r="D7" s="4">
        <f t="shared" ref="D7:D35" si="0">C7-C6</f>
        <v>1429216</v>
      </c>
      <c r="E7" s="30">
        <v>1253922</v>
      </c>
      <c r="F7" s="4">
        <f>E7-E6</f>
        <v>1253922</v>
      </c>
      <c r="G7" s="30">
        <v>1666508</v>
      </c>
      <c r="H7" s="4">
        <f>G7-G6</f>
        <v>1666508</v>
      </c>
      <c r="I7" s="30">
        <v>2019659</v>
      </c>
      <c r="J7" s="4">
        <f>I7-I6</f>
        <v>2019659</v>
      </c>
      <c r="K7" s="30">
        <v>2161633</v>
      </c>
      <c r="L7" s="4">
        <f>K7-K6</f>
        <v>2161633</v>
      </c>
      <c r="M7" s="30">
        <v>4734032</v>
      </c>
      <c r="N7" s="4">
        <f>M7-M6</f>
        <v>4734032</v>
      </c>
      <c r="O7" s="35">
        <v>7007</v>
      </c>
      <c r="P7" s="32">
        <f t="shared" ref="P7:P37" si="1">O8-O7</f>
        <v>127</v>
      </c>
      <c r="Q7" s="32">
        <v>2680</v>
      </c>
      <c r="R7" s="10">
        <f>Q7-Q6</f>
        <v>2680</v>
      </c>
      <c r="S7" s="32">
        <v>4013</v>
      </c>
      <c r="T7" s="10">
        <f>S7-S6</f>
        <v>4013</v>
      </c>
      <c r="U7" s="3"/>
    </row>
    <row r="8" spans="1:24" ht="39" customHeight="1">
      <c r="A8" s="6">
        <v>45932</v>
      </c>
      <c r="B8" s="16">
        <v>0.2638888888888889</v>
      </c>
      <c r="C8" s="33">
        <v>1430913</v>
      </c>
      <c r="D8" s="4">
        <f t="shared" si="0"/>
        <v>1697</v>
      </c>
      <c r="E8" s="33">
        <v>1255192</v>
      </c>
      <c r="F8" s="4">
        <f t="shared" ref="F8:F35" si="2">E8-E7</f>
        <v>1270</v>
      </c>
      <c r="G8" s="33">
        <v>1668989</v>
      </c>
      <c r="H8" s="4">
        <f t="shared" ref="H8:H35" si="3">G8-G7</f>
        <v>2481</v>
      </c>
      <c r="I8" s="33">
        <v>2021589</v>
      </c>
      <c r="J8" s="4">
        <f t="shared" ref="J8:J35" si="4">I8-I7</f>
        <v>1930</v>
      </c>
      <c r="K8" s="33">
        <v>2164247</v>
      </c>
      <c r="L8" s="4">
        <f t="shared" ref="L8:L30" si="5">K8-K7</f>
        <v>2614</v>
      </c>
      <c r="M8" s="33">
        <v>4738596</v>
      </c>
      <c r="N8" s="4">
        <f t="shared" ref="N8:N35" si="6">M8-M7</f>
        <v>4564</v>
      </c>
      <c r="O8" s="36">
        <v>7134</v>
      </c>
      <c r="P8" s="32">
        <f t="shared" si="1"/>
        <v>104</v>
      </c>
      <c r="Q8" s="37">
        <v>2725</v>
      </c>
      <c r="R8" s="10">
        <f t="shared" ref="R8:R37" si="7">Q8-Q7</f>
        <v>45</v>
      </c>
      <c r="S8" s="37">
        <v>4087</v>
      </c>
      <c r="T8" s="10">
        <f t="shared" ref="T8:T35" si="8">S8-S7</f>
        <v>74</v>
      </c>
      <c r="U8" s="3"/>
    </row>
    <row r="9" spans="1:24" ht="39" customHeight="1">
      <c r="A9" s="6">
        <v>45933</v>
      </c>
      <c r="B9" s="16">
        <v>0.21527777777777779</v>
      </c>
      <c r="C9" s="33">
        <v>1432530</v>
      </c>
      <c r="D9" s="4">
        <f t="shared" si="0"/>
        <v>1617</v>
      </c>
      <c r="E9" s="33">
        <v>1256381</v>
      </c>
      <c r="F9" s="4">
        <f t="shared" si="2"/>
        <v>1189</v>
      </c>
      <c r="G9" s="33">
        <v>1670158</v>
      </c>
      <c r="H9" s="4">
        <f t="shared" si="3"/>
        <v>1169</v>
      </c>
      <c r="I9" s="33">
        <v>2023439</v>
      </c>
      <c r="J9" s="4">
        <f t="shared" si="4"/>
        <v>1850</v>
      </c>
      <c r="K9" s="33">
        <v>2166938</v>
      </c>
      <c r="L9" s="4">
        <f t="shared" si="5"/>
        <v>2691</v>
      </c>
      <c r="M9" s="33">
        <v>4743291</v>
      </c>
      <c r="N9" s="4">
        <f t="shared" si="6"/>
        <v>4695</v>
      </c>
      <c r="O9" s="36">
        <v>7238</v>
      </c>
      <c r="P9" s="32">
        <f t="shared" si="1"/>
        <v>96</v>
      </c>
      <c r="Q9" s="37">
        <v>2776</v>
      </c>
      <c r="R9" s="10">
        <f t="shared" si="7"/>
        <v>51</v>
      </c>
      <c r="S9" s="37">
        <v>4171</v>
      </c>
      <c r="T9" s="10">
        <f t="shared" si="8"/>
        <v>84</v>
      </c>
      <c r="U9" s="3"/>
    </row>
    <row r="10" spans="1:24" ht="39" customHeight="1">
      <c r="A10" s="6">
        <v>45934</v>
      </c>
      <c r="B10" s="16">
        <v>0.22222222222222221</v>
      </c>
      <c r="C10" s="33">
        <v>1434318</v>
      </c>
      <c r="D10" s="4">
        <f t="shared" si="0"/>
        <v>1788</v>
      </c>
      <c r="E10" s="33">
        <v>1257721</v>
      </c>
      <c r="F10" s="4">
        <f t="shared" si="2"/>
        <v>1340</v>
      </c>
      <c r="G10" s="33">
        <v>1672048</v>
      </c>
      <c r="H10" s="4">
        <f t="shared" si="3"/>
        <v>1890</v>
      </c>
      <c r="I10" s="33">
        <v>2025188</v>
      </c>
      <c r="J10" s="4">
        <f t="shared" si="4"/>
        <v>1749</v>
      </c>
      <c r="K10" s="33">
        <v>2169520</v>
      </c>
      <c r="L10" s="4">
        <f t="shared" si="5"/>
        <v>2582</v>
      </c>
      <c r="M10" s="33">
        <v>4748196</v>
      </c>
      <c r="N10" s="4">
        <f t="shared" si="6"/>
        <v>4905</v>
      </c>
      <c r="O10" s="36">
        <v>7334</v>
      </c>
      <c r="P10" s="32">
        <f t="shared" si="1"/>
        <v>84</v>
      </c>
      <c r="Q10" s="37">
        <v>2825</v>
      </c>
      <c r="R10" s="10">
        <f t="shared" si="7"/>
        <v>49</v>
      </c>
      <c r="S10" s="37">
        <v>4243</v>
      </c>
      <c r="T10" s="10">
        <f t="shared" si="8"/>
        <v>72</v>
      </c>
      <c r="U10" s="3"/>
    </row>
    <row r="11" spans="1:24" ht="39" customHeight="1">
      <c r="A11" s="6">
        <v>45935</v>
      </c>
      <c r="B11" s="16">
        <v>0.23611111111111113</v>
      </c>
      <c r="C11" s="33">
        <v>1436072</v>
      </c>
      <c r="D11" s="4">
        <f t="shared" si="0"/>
        <v>1754</v>
      </c>
      <c r="E11" s="33">
        <v>1258952</v>
      </c>
      <c r="F11" s="4">
        <f t="shared" si="2"/>
        <v>1231</v>
      </c>
      <c r="G11" s="33">
        <v>1673951</v>
      </c>
      <c r="H11" s="4">
        <f t="shared" si="3"/>
        <v>1903</v>
      </c>
      <c r="I11" s="33">
        <v>2026939</v>
      </c>
      <c r="J11" s="4">
        <f t="shared" si="4"/>
        <v>1751</v>
      </c>
      <c r="K11" s="33">
        <v>2172035</v>
      </c>
      <c r="L11" s="4">
        <f t="shared" si="5"/>
        <v>2515</v>
      </c>
      <c r="M11" s="33">
        <v>4753145</v>
      </c>
      <c r="N11" s="4">
        <f t="shared" si="6"/>
        <v>4949</v>
      </c>
      <c r="O11" s="36">
        <v>7418</v>
      </c>
      <c r="P11" s="32">
        <f t="shared" si="1"/>
        <v>143</v>
      </c>
      <c r="Q11" s="37">
        <v>2850</v>
      </c>
      <c r="R11" s="10">
        <f t="shared" si="7"/>
        <v>25</v>
      </c>
      <c r="S11" s="37">
        <v>4327</v>
      </c>
      <c r="T11" s="10">
        <f t="shared" si="8"/>
        <v>84</v>
      </c>
      <c r="U11" s="3"/>
    </row>
    <row r="12" spans="1:24" ht="39" customHeight="1">
      <c r="A12" s="6">
        <v>45936</v>
      </c>
      <c r="B12" s="16">
        <v>0.22916666666666666</v>
      </c>
      <c r="C12" s="33">
        <v>1437705</v>
      </c>
      <c r="D12" s="4">
        <f t="shared" si="0"/>
        <v>1633</v>
      </c>
      <c r="E12" s="33">
        <v>1260112</v>
      </c>
      <c r="F12" s="4">
        <f t="shared" si="2"/>
        <v>1160</v>
      </c>
      <c r="G12" s="33">
        <v>1675751</v>
      </c>
      <c r="H12" s="4">
        <f t="shared" si="3"/>
        <v>1800</v>
      </c>
      <c r="I12" s="33">
        <v>2028669</v>
      </c>
      <c r="J12" s="4">
        <f t="shared" si="4"/>
        <v>1730</v>
      </c>
      <c r="K12" s="33">
        <v>2174469</v>
      </c>
      <c r="L12" s="4">
        <f t="shared" si="5"/>
        <v>2434</v>
      </c>
      <c r="M12" s="33">
        <v>4757637</v>
      </c>
      <c r="N12" s="4">
        <f t="shared" si="6"/>
        <v>4492</v>
      </c>
      <c r="O12" s="36">
        <v>7561</v>
      </c>
      <c r="P12" s="32">
        <f t="shared" si="1"/>
        <v>116</v>
      </c>
      <c r="Q12" s="37">
        <v>2907</v>
      </c>
      <c r="R12" s="10">
        <f t="shared" si="7"/>
        <v>57</v>
      </c>
      <c r="S12" s="37">
        <v>4402</v>
      </c>
      <c r="T12" s="10">
        <f t="shared" si="8"/>
        <v>75</v>
      </c>
      <c r="U12" s="3"/>
    </row>
    <row r="13" spans="1:24" ht="39" customHeight="1">
      <c r="A13" s="6">
        <v>45937</v>
      </c>
      <c r="B13" s="16">
        <v>0.24305555555555555</v>
      </c>
      <c r="C13" s="33">
        <v>1439339</v>
      </c>
      <c r="D13" s="4">
        <f t="shared" si="0"/>
        <v>1634</v>
      </c>
      <c r="E13" s="33">
        <v>1261232</v>
      </c>
      <c r="F13" s="4">
        <f t="shared" si="2"/>
        <v>1120</v>
      </c>
      <c r="G13" s="33">
        <v>1677451</v>
      </c>
      <c r="H13" s="4">
        <f t="shared" si="3"/>
        <v>1700</v>
      </c>
      <c r="I13" s="33">
        <v>2030387</v>
      </c>
      <c r="J13" s="4">
        <f t="shared" si="4"/>
        <v>1718</v>
      </c>
      <c r="K13" s="33">
        <v>2177089</v>
      </c>
      <c r="L13" s="4">
        <f t="shared" si="5"/>
        <v>2620</v>
      </c>
      <c r="M13" s="33">
        <v>4762068</v>
      </c>
      <c r="N13" s="4">
        <f t="shared" si="6"/>
        <v>4431</v>
      </c>
      <c r="O13" s="36">
        <v>7677</v>
      </c>
      <c r="P13" s="32">
        <f t="shared" si="1"/>
        <v>121</v>
      </c>
      <c r="Q13" s="37">
        <v>2975</v>
      </c>
      <c r="R13" s="10">
        <f t="shared" si="7"/>
        <v>68</v>
      </c>
      <c r="S13" s="37">
        <v>4480</v>
      </c>
      <c r="T13" s="10">
        <f t="shared" si="8"/>
        <v>78</v>
      </c>
      <c r="U13" s="3"/>
    </row>
    <row r="14" spans="1:24" ht="39" customHeight="1">
      <c r="A14" s="6">
        <v>45938</v>
      </c>
      <c r="B14" s="16">
        <v>0.22222222222222221</v>
      </c>
      <c r="C14" s="33">
        <v>1440963</v>
      </c>
      <c r="D14" s="4">
        <f t="shared" si="0"/>
        <v>1624</v>
      </c>
      <c r="E14" s="33">
        <v>1262424</v>
      </c>
      <c r="F14" s="4">
        <f t="shared" si="2"/>
        <v>1192</v>
      </c>
      <c r="G14" s="33">
        <v>1679241</v>
      </c>
      <c r="H14" s="4">
        <f t="shared" si="3"/>
        <v>1790</v>
      </c>
      <c r="I14" s="33">
        <v>2032255</v>
      </c>
      <c r="J14" s="4">
        <f t="shared" si="4"/>
        <v>1868</v>
      </c>
      <c r="K14" s="33">
        <v>2179668</v>
      </c>
      <c r="L14" s="4">
        <f t="shared" si="5"/>
        <v>2579</v>
      </c>
      <c r="M14" s="33">
        <v>4767149</v>
      </c>
      <c r="N14" s="4">
        <f t="shared" si="6"/>
        <v>5081</v>
      </c>
      <c r="O14" s="36">
        <v>7798</v>
      </c>
      <c r="P14" s="32">
        <f t="shared" si="1"/>
        <v>101</v>
      </c>
      <c r="Q14" s="37">
        <v>3035</v>
      </c>
      <c r="R14" s="10">
        <f t="shared" si="7"/>
        <v>60</v>
      </c>
      <c r="S14" s="37">
        <v>4546</v>
      </c>
      <c r="T14" s="10">
        <f t="shared" si="8"/>
        <v>66</v>
      </c>
      <c r="U14" s="3"/>
    </row>
    <row r="15" spans="1:24" ht="39" customHeight="1">
      <c r="A15" s="6">
        <v>45939</v>
      </c>
      <c r="B15" s="16">
        <v>0.21875</v>
      </c>
      <c r="C15" s="33">
        <v>1442633</v>
      </c>
      <c r="D15" s="4">
        <f t="shared" si="0"/>
        <v>1670</v>
      </c>
      <c r="E15" s="33">
        <v>1263636</v>
      </c>
      <c r="F15" s="4">
        <f t="shared" si="2"/>
        <v>1212</v>
      </c>
      <c r="G15" s="33">
        <v>1681067</v>
      </c>
      <c r="H15" s="4">
        <f t="shared" si="3"/>
        <v>1826</v>
      </c>
      <c r="I15" s="33">
        <v>2034100</v>
      </c>
      <c r="J15" s="4">
        <f>I15-I14</f>
        <v>1845</v>
      </c>
      <c r="K15" s="33">
        <v>2182246</v>
      </c>
      <c r="L15" s="4">
        <f t="shared" si="5"/>
        <v>2578</v>
      </c>
      <c r="M15" s="33">
        <v>4771958</v>
      </c>
      <c r="N15" s="4">
        <f t="shared" si="6"/>
        <v>4809</v>
      </c>
      <c r="O15" s="36">
        <v>7899</v>
      </c>
      <c r="P15" s="32">
        <f t="shared" si="1"/>
        <v>108</v>
      </c>
      <c r="Q15" s="37">
        <v>3093</v>
      </c>
      <c r="R15" s="10">
        <f t="shared" si="7"/>
        <v>58</v>
      </c>
      <c r="S15" s="37">
        <v>4617</v>
      </c>
      <c r="T15" s="10">
        <f t="shared" si="8"/>
        <v>71</v>
      </c>
      <c r="U15" s="3"/>
    </row>
    <row r="16" spans="1:24" ht="39" customHeight="1">
      <c r="A16" s="6">
        <v>45940</v>
      </c>
      <c r="B16" s="16">
        <v>0.22916666666666666</v>
      </c>
      <c r="C16" s="33">
        <v>1444081</v>
      </c>
      <c r="D16" s="4">
        <f t="shared" si="0"/>
        <v>1448</v>
      </c>
      <c r="E16" s="33">
        <v>1264819</v>
      </c>
      <c r="F16" s="4">
        <f t="shared" si="2"/>
        <v>1183</v>
      </c>
      <c r="G16" s="33">
        <v>1682828</v>
      </c>
      <c r="H16" s="4">
        <f t="shared" si="3"/>
        <v>1761</v>
      </c>
      <c r="I16" s="33">
        <v>2035922</v>
      </c>
      <c r="J16" s="4">
        <f t="shared" si="4"/>
        <v>1822</v>
      </c>
      <c r="K16" s="33">
        <v>2184854</v>
      </c>
      <c r="L16" s="4">
        <f t="shared" si="5"/>
        <v>2608</v>
      </c>
      <c r="M16" s="33">
        <v>4776604</v>
      </c>
      <c r="N16" s="4">
        <f t="shared" si="6"/>
        <v>4646</v>
      </c>
      <c r="O16" s="36">
        <v>8007</v>
      </c>
      <c r="P16" s="32">
        <f t="shared" si="1"/>
        <v>109</v>
      </c>
      <c r="Q16" s="37">
        <v>3146</v>
      </c>
      <c r="R16" s="10">
        <f t="shared" si="7"/>
        <v>53</v>
      </c>
      <c r="S16" s="37">
        <v>4703</v>
      </c>
      <c r="T16" s="10">
        <f t="shared" si="8"/>
        <v>86</v>
      </c>
      <c r="U16" s="3"/>
    </row>
    <row r="17" spans="1:21" ht="39" customHeight="1">
      <c r="A17" s="6">
        <v>45941</v>
      </c>
      <c r="B17" s="16">
        <v>0.23611111111111113</v>
      </c>
      <c r="C17" s="33">
        <v>1445709</v>
      </c>
      <c r="D17" s="4">
        <f t="shared" si="0"/>
        <v>1628</v>
      </c>
      <c r="E17" s="33">
        <v>1266022</v>
      </c>
      <c r="F17" s="4">
        <f t="shared" si="2"/>
        <v>1203</v>
      </c>
      <c r="G17" s="33">
        <v>1684813</v>
      </c>
      <c r="H17" s="4">
        <f t="shared" si="3"/>
        <v>1985</v>
      </c>
      <c r="I17" s="33">
        <v>2037868</v>
      </c>
      <c r="J17" s="4">
        <f t="shared" si="4"/>
        <v>1946</v>
      </c>
      <c r="K17" s="33">
        <v>2187507</v>
      </c>
      <c r="L17" s="4">
        <f t="shared" si="5"/>
        <v>2653</v>
      </c>
      <c r="M17" s="33">
        <v>4781345</v>
      </c>
      <c r="N17" s="4">
        <f t="shared" si="6"/>
        <v>4741</v>
      </c>
      <c r="O17" s="36">
        <v>8116</v>
      </c>
      <c r="P17" s="32">
        <f t="shared" si="1"/>
        <v>104</v>
      </c>
      <c r="Q17" s="37">
        <v>3201</v>
      </c>
      <c r="R17" s="10">
        <f t="shared" si="7"/>
        <v>55</v>
      </c>
      <c r="S17" s="37">
        <v>4774</v>
      </c>
      <c r="T17" s="10">
        <f t="shared" si="8"/>
        <v>71</v>
      </c>
      <c r="U17" s="3"/>
    </row>
    <row r="18" spans="1:21" ht="39" customHeight="1">
      <c r="A18" s="6">
        <v>45942</v>
      </c>
      <c r="B18" s="16">
        <v>0.27083333333333331</v>
      </c>
      <c r="C18" s="33">
        <v>1447202</v>
      </c>
      <c r="D18" s="4">
        <f t="shared" si="0"/>
        <v>1493</v>
      </c>
      <c r="E18" s="33">
        <v>1267220</v>
      </c>
      <c r="F18" s="4">
        <f t="shared" si="2"/>
        <v>1198</v>
      </c>
      <c r="G18" s="33">
        <v>1686375</v>
      </c>
      <c r="H18" s="4">
        <f t="shared" si="3"/>
        <v>1562</v>
      </c>
      <c r="I18" s="33">
        <v>2039561</v>
      </c>
      <c r="J18" s="4">
        <f t="shared" si="4"/>
        <v>1693</v>
      </c>
      <c r="K18" s="33">
        <v>2189954</v>
      </c>
      <c r="L18" s="4">
        <f t="shared" si="5"/>
        <v>2447</v>
      </c>
      <c r="M18" s="33">
        <v>4785830</v>
      </c>
      <c r="N18" s="4">
        <f t="shared" si="6"/>
        <v>4485</v>
      </c>
      <c r="O18" s="36">
        <v>8220</v>
      </c>
      <c r="P18" s="32">
        <f t="shared" si="1"/>
        <v>115</v>
      </c>
      <c r="Q18" s="37">
        <v>3243</v>
      </c>
      <c r="R18" s="10">
        <f t="shared" si="7"/>
        <v>42</v>
      </c>
      <c r="S18" s="37">
        <v>4836</v>
      </c>
      <c r="T18" s="10">
        <f t="shared" si="8"/>
        <v>62</v>
      </c>
      <c r="U18" s="3"/>
    </row>
    <row r="19" spans="1:21" ht="39" customHeight="1">
      <c r="A19" s="6">
        <v>45943</v>
      </c>
      <c r="B19" s="16">
        <v>0.22916666666666666</v>
      </c>
      <c r="C19" s="33">
        <v>1448659</v>
      </c>
      <c r="D19" s="4">
        <f t="shared" si="0"/>
        <v>1457</v>
      </c>
      <c r="E19" s="33">
        <v>1268356</v>
      </c>
      <c r="F19" s="4">
        <f t="shared" si="2"/>
        <v>1136</v>
      </c>
      <c r="G19" s="33">
        <v>1687992</v>
      </c>
      <c r="H19" s="4">
        <f t="shared" si="3"/>
        <v>1617</v>
      </c>
      <c r="I19" s="33">
        <v>2041253</v>
      </c>
      <c r="J19" s="4">
        <f t="shared" si="4"/>
        <v>1692</v>
      </c>
      <c r="K19" s="33">
        <v>2192314</v>
      </c>
      <c r="L19" s="4">
        <f t="shared" si="5"/>
        <v>2360</v>
      </c>
      <c r="M19" s="33">
        <v>4790472</v>
      </c>
      <c r="N19" s="4">
        <f t="shared" si="6"/>
        <v>4642</v>
      </c>
      <c r="O19" s="36">
        <v>8335</v>
      </c>
      <c r="P19" s="32">
        <f t="shared" si="1"/>
        <v>122</v>
      </c>
      <c r="Q19" s="37">
        <v>3292</v>
      </c>
      <c r="R19" s="10">
        <f t="shared" si="7"/>
        <v>49</v>
      </c>
      <c r="S19" s="37">
        <v>4900</v>
      </c>
      <c r="T19" s="10">
        <f t="shared" si="8"/>
        <v>64</v>
      </c>
      <c r="U19" s="3"/>
    </row>
    <row r="20" spans="1:21" ht="39" customHeight="1">
      <c r="A20" s="6">
        <v>45944</v>
      </c>
      <c r="B20" s="16">
        <v>0.21875</v>
      </c>
      <c r="C20" s="33">
        <v>1450142</v>
      </c>
      <c r="D20" s="4">
        <f t="shared" si="0"/>
        <v>1483</v>
      </c>
      <c r="E20" s="33">
        <v>1269513</v>
      </c>
      <c r="F20" s="4">
        <f t="shared" si="2"/>
        <v>1157</v>
      </c>
      <c r="G20" s="33">
        <v>1689601</v>
      </c>
      <c r="H20" s="4">
        <f t="shared" si="3"/>
        <v>1609</v>
      </c>
      <c r="I20" s="33">
        <v>2042947</v>
      </c>
      <c r="J20" s="4">
        <f t="shared" si="4"/>
        <v>1694</v>
      </c>
      <c r="K20" s="33">
        <v>2194869</v>
      </c>
      <c r="L20" s="4">
        <f t="shared" si="5"/>
        <v>2555</v>
      </c>
      <c r="M20" s="33">
        <v>479488</v>
      </c>
      <c r="N20" s="4">
        <f t="shared" si="6"/>
        <v>-4310984</v>
      </c>
      <c r="O20" s="36">
        <v>8457</v>
      </c>
      <c r="P20" s="32">
        <f t="shared" si="1"/>
        <v>116</v>
      </c>
      <c r="Q20" s="37">
        <v>3341</v>
      </c>
      <c r="R20" s="10">
        <f t="shared" si="7"/>
        <v>49</v>
      </c>
      <c r="S20" s="37">
        <v>4975</v>
      </c>
      <c r="T20" s="10">
        <f t="shared" si="8"/>
        <v>75</v>
      </c>
      <c r="U20" s="3"/>
    </row>
    <row r="21" spans="1:21" ht="39" customHeight="1">
      <c r="A21" s="6">
        <v>45945</v>
      </c>
      <c r="B21" s="16">
        <v>0.20833333333333334</v>
      </c>
      <c r="C21" s="33">
        <v>1451566</v>
      </c>
      <c r="D21" s="4">
        <f t="shared" si="0"/>
        <v>1424</v>
      </c>
      <c r="E21" s="33">
        <v>1270555</v>
      </c>
      <c r="F21" s="4">
        <f t="shared" si="2"/>
        <v>1042</v>
      </c>
      <c r="G21" s="33">
        <v>1691090</v>
      </c>
      <c r="H21" s="4">
        <f t="shared" si="3"/>
        <v>1489</v>
      </c>
      <c r="I21" s="33">
        <v>2044557</v>
      </c>
      <c r="J21" s="4">
        <f t="shared" si="4"/>
        <v>1610</v>
      </c>
      <c r="K21" s="33">
        <v>2197207</v>
      </c>
      <c r="L21" s="4">
        <f t="shared" si="5"/>
        <v>2338</v>
      </c>
      <c r="M21" s="33">
        <v>4798957</v>
      </c>
      <c r="N21" s="4">
        <f t="shared" si="6"/>
        <v>4319469</v>
      </c>
      <c r="O21" s="36">
        <v>8573</v>
      </c>
      <c r="P21" s="32">
        <f t="shared" si="1"/>
        <v>133</v>
      </c>
      <c r="Q21" s="37">
        <v>3392</v>
      </c>
      <c r="R21" s="10">
        <f t="shared" si="7"/>
        <v>51</v>
      </c>
      <c r="S21" s="37">
        <v>5030</v>
      </c>
      <c r="T21" s="10">
        <f t="shared" si="8"/>
        <v>55</v>
      </c>
      <c r="U21" s="3"/>
    </row>
    <row r="22" spans="1:21" ht="39" customHeight="1">
      <c r="A22" s="6">
        <v>45946</v>
      </c>
      <c r="B22" s="16">
        <v>0.20138888888888887</v>
      </c>
      <c r="C22" s="33">
        <v>1452971</v>
      </c>
      <c r="D22" s="4">
        <f t="shared" si="0"/>
        <v>1405</v>
      </c>
      <c r="E22" s="33">
        <v>1271609</v>
      </c>
      <c r="F22" s="4">
        <f t="shared" si="2"/>
        <v>1054</v>
      </c>
      <c r="G22" s="33">
        <v>1692619</v>
      </c>
      <c r="H22" s="4">
        <f t="shared" si="3"/>
        <v>1529</v>
      </c>
      <c r="I22" s="33">
        <v>2046092</v>
      </c>
      <c r="J22" s="4">
        <f t="shared" si="4"/>
        <v>1535</v>
      </c>
      <c r="K22" s="33">
        <v>2199578</v>
      </c>
      <c r="L22" s="4">
        <f t="shared" si="5"/>
        <v>2371</v>
      </c>
      <c r="M22" s="33">
        <v>4803459</v>
      </c>
      <c r="N22" s="4">
        <f t="shared" si="6"/>
        <v>4502</v>
      </c>
      <c r="O22" s="36">
        <v>8706</v>
      </c>
      <c r="P22" s="32">
        <f t="shared" si="1"/>
        <v>121</v>
      </c>
      <c r="Q22" s="37">
        <v>3449</v>
      </c>
      <c r="R22" s="10">
        <f t="shared" si="7"/>
        <v>57</v>
      </c>
      <c r="S22" s="37">
        <v>5089</v>
      </c>
      <c r="T22" s="10">
        <f t="shared" si="8"/>
        <v>59</v>
      </c>
      <c r="U22" s="3"/>
    </row>
    <row r="23" spans="1:21" ht="39" customHeight="1">
      <c r="A23" s="6">
        <v>45947</v>
      </c>
      <c r="B23" s="16">
        <v>0.21527777777777779</v>
      </c>
      <c r="C23" s="33">
        <v>1454476</v>
      </c>
      <c r="D23" s="4">
        <f t="shared" si="0"/>
        <v>1505</v>
      </c>
      <c r="E23" s="33">
        <v>1272874</v>
      </c>
      <c r="F23" s="4">
        <f t="shared" si="2"/>
        <v>1265</v>
      </c>
      <c r="G23" s="33">
        <v>1694171</v>
      </c>
      <c r="H23" s="4">
        <f t="shared" si="3"/>
        <v>1552</v>
      </c>
      <c r="I23" s="33">
        <v>2047758</v>
      </c>
      <c r="J23" s="4">
        <f t="shared" si="4"/>
        <v>1666</v>
      </c>
      <c r="K23" s="33">
        <v>2202020</v>
      </c>
      <c r="L23" s="4">
        <f t="shared" si="5"/>
        <v>2442</v>
      </c>
      <c r="M23" s="33">
        <v>4807894</v>
      </c>
      <c r="N23" s="4">
        <f t="shared" si="6"/>
        <v>4435</v>
      </c>
      <c r="O23" s="36">
        <v>8827</v>
      </c>
      <c r="P23" s="32">
        <f t="shared" si="1"/>
        <v>123</v>
      </c>
      <c r="Q23" s="37">
        <v>3514</v>
      </c>
      <c r="R23" s="10">
        <f t="shared" si="7"/>
        <v>65</v>
      </c>
      <c r="S23" s="37">
        <v>5154</v>
      </c>
      <c r="T23" s="10">
        <f t="shared" si="8"/>
        <v>65</v>
      </c>
      <c r="U23" s="3"/>
    </row>
    <row r="24" spans="1:21" ht="39" customHeight="1">
      <c r="A24" s="6">
        <v>45948</v>
      </c>
      <c r="B24" s="16">
        <v>0.22916666666666666</v>
      </c>
      <c r="C24" s="30">
        <v>1455990</v>
      </c>
      <c r="D24" s="31">
        <v>1514</v>
      </c>
      <c r="E24" s="31">
        <v>1273962</v>
      </c>
      <c r="F24" s="31">
        <v>1088</v>
      </c>
      <c r="G24" s="31">
        <v>1695804</v>
      </c>
      <c r="H24" s="31">
        <v>1633</v>
      </c>
      <c r="I24" s="31">
        <v>2049386</v>
      </c>
      <c r="J24" s="31">
        <v>1628</v>
      </c>
      <c r="K24" s="31">
        <v>2204476</v>
      </c>
      <c r="L24" s="31">
        <v>2456</v>
      </c>
      <c r="M24" s="31">
        <v>4812381</v>
      </c>
      <c r="N24" s="31">
        <v>4487</v>
      </c>
      <c r="O24" s="32">
        <v>8950</v>
      </c>
      <c r="P24" s="32">
        <v>123</v>
      </c>
      <c r="Q24" s="32">
        <v>3576</v>
      </c>
      <c r="R24" s="32">
        <v>62</v>
      </c>
      <c r="S24" s="32">
        <v>5230</v>
      </c>
      <c r="T24" s="10">
        <f t="shared" si="8"/>
        <v>76</v>
      </c>
      <c r="U24" s="3"/>
    </row>
    <row r="25" spans="1:21" ht="39" customHeight="1">
      <c r="A25" s="6">
        <v>45949</v>
      </c>
      <c r="B25" s="16">
        <v>0.23958333333333334</v>
      </c>
      <c r="C25" s="33">
        <v>1457469</v>
      </c>
      <c r="D25" s="41">
        <v>1479</v>
      </c>
      <c r="E25" s="41">
        <v>1274974</v>
      </c>
      <c r="F25" s="41">
        <v>1012</v>
      </c>
      <c r="G25" s="41">
        <v>1697551</v>
      </c>
      <c r="H25" s="41">
        <v>1747</v>
      </c>
      <c r="I25" s="41">
        <v>2050999</v>
      </c>
      <c r="J25" s="41">
        <v>1613</v>
      </c>
      <c r="K25" s="41">
        <v>2206848</v>
      </c>
      <c r="L25" s="41">
        <v>2372</v>
      </c>
      <c r="M25" s="41">
        <v>4817183</v>
      </c>
      <c r="N25" s="41">
        <v>4802</v>
      </c>
      <c r="O25" s="37">
        <v>9064</v>
      </c>
      <c r="P25" s="37">
        <v>114</v>
      </c>
      <c r="Q25" s="37">
        <v>3636</v>
      </c>
      <c r="R25" s="37">
        <v>60</v>
      </c>
      <c r="S25" s="37">
        <v>5292</v>
      </c>
      <c r="T25" s="10">
        <f t="shared" si="8"/>
        <v>62</v>
      </c>
      <c r="U25" s="3"/>
    </row>
    <row r="26" spans="1:21" ht="39" customHeight="1">
      <c r="A26" s="6">
        <v>45950</v>
      </c>
      <c r="B26" s="16">
        <v>0.24652777777777779</v>
      </c>
      <c r="C26" s="33">
        <v>1458814</v>
      </c>
      <c r="D26" s="41">
        <v>1345</v>
      </c>
      <c r="E26" s="41">
        <v>1276104</v>
      </c>
      <c r="F26" s="41">
        <v>1130</v>
      </c>
      <c r="G26" s="41">
        <v>1699208</v>
      </c>
      <c r="H26" s="41">
        <v>1657</v>
      </c>
      <c r="I26" s="41">
        <v>2052488</v>
      </c>
      <c r="J26" s="41">
        <v>1489</v>
      </c>
      <c r="K26" s="41">
        <v>2209195</v>
      </c>
      <c r="L26" s="41">
        <v>2347</v>
      </c>
      <c r="M26" s="41">
        <v>4821616</v>
      </c>
      <c r="N26" s="41">
        <v>4433</v>
      </c>
      <c r="O26" s="37">
        <v>9176</v>
      </c>
      <c r="P26" s="37">
        <v>112</v>
      </c>
      <c r="Q26" s="37">
        <v>3712</v>
      </c>
      <c r="R26" s="37">
        <v>76</v>
      </c>
      <c r="S26" s="37">
        <v>5372</v>
      </c>
      <c r="T26" s="10">
        <f t="shared" si="8"/>
        <v>80</v>
      </c>
      <c r="U26" s="3"/>
    </row>
    <row r="27" spans="1:21" ht="39" customHeight="1">
      <c r="A27" s="6">
        <v>45951</v>
      </c>
      <c r="B27" s="16">
        <v>0.20833333333333334</v>
      </c>
      <c r="C27" s="33">
        <v>1460272</v>
      </c>
      <c r="D27" s="41">
        <v>1458</v>
      </c>
      <c r="E27" s="41">
        <v>1277210</v>
      </c>
      <c r="F27" s="41">
        <v>1106</v>
      </c>
      <c r="G27" s="41">
        <v>1700694</v>
      </c>
      <c r="H27" s="41">
        <v>1486</v>
      </c>
      <c r="I27" s="41">
        <v>2053945</v>
      </c>
      <c r="J27" s="41">
        <v>1457</v>
      </c>
      <c r="K27" s="41">
        <v>2211581</v>
      </c>
      <c r="L27" s="41">
        <v>2386</v>
      </c>
      <c r="M27" s="41">
        <v>4826149</v>
      </c>
      <c r="N27" s="41">
        <v>4533</v>
      </c>
      <c r="O27" s="38">
        <v>9298</v>
      </c>
      <c r="P27" s="37">
        <v>122</v>
      </c>
      <c r="Q27" s="38">
        <v>3778</v>
      </c>
      <c r="R27" s="37">
        <v>66</v>
      </c>
      <c r="S27" s="38">
        <v>5445</v>
      </c>
      <c r="T27" s="10">
        <f t="shared" si="8"/>
        <v>73</v>
      </c>
      <c r="U27" s="3"/>
    </row>
    <row r="28" spans="1:21" ht="39" customHeight="1">
      <c r="A28" s="6">
        <v>45952</v>
      </c>
      <c r="B28" s="16">
        <v>0.27083333333333331</v>
      </c>
      <c r="C28" s="34">
        <v>1461634</v>
      </c>
      <c r="D28" s="41">
        <v>1362</v>
      </c>
      <c r="E28" s="41">
        <v>1278307</v>
      </c>
      <c r="F28" s="41">
        <v>1097</v>
      </c>
      <c r="G28" s="42">
        <v>1702204</v>
      </c>
      <c r="H28" s="41">
        <v>1510</v>
      </c>
      <c r="I28" s="42">
        <v>2055496</v>
      </c>
      <c r="J28" s="41">
        <v>1551</v>
      </c>
      <c r="K28" s="42">
        <v>2213795</v>
      </c>
      <c r="L28" s="41">
        <v>2214</v>
      </c>
      <c r="M28" s="41">
        <v>4830597</v>
      </c>
      <c r="N28" s="41">
        <v>4448</v>
      </c>
      <c r="O28" s="40">
        <v>9413</v>
      </c>
      <c r="P28" s="37">
        <v>115</v>
      </c>
      <c r="Q28" s="40">
        <v>3843</v>
      </c>
      <c r="R28" s="37">
        <v>65</v>
      </c>
      <c r="S28" s="40">
        <v>5492</v>
      </c>
      <c r="T28" s="10">
        <f t="shared" si="8"/>
        <v>47</v>
      </c>
      <c r="U28" s="3"/>
    </row>
    <row r="29" spans="1:21" ht="39" customHeight="1">
      <c r="A29" s="6">
        <v>45953</v>
      </c>
      <c r="B29" s="16">
        <v>0.20833333333333334</v>
      </c>
      <c r="C29" s="34">
        <v>1463090</v>
      </c>
      <c r="D29" s="41">
        <v>1456</v>
      </c>
      <c r="E29" s="41">
        <v>1279346</v>
      </c>
      <c r="F29" s="41">
        <v>1039</v>
      </c>
      <c r="G29" s="42">
        <v>1703843</v>
      </c>
      <c r="H29" s="41">
        <v>1639</v>
      </c>
      <c r="I29" s="42">
        <v>2056896</v>
      </c>
      <c r="J29" s="41">
        <v>1400</v>
      </c>
      <c r="K29" s="42">
        <v>2216129</v>
      </c>
      <c r="L29" s="41">
        <v>2334</v>
      </c>
      <c r="M29" s="41">
        <v>4835157</v>
      </c>
      <c r="N29" s="41">
        <v>4560</v>
      </c>
      <c r="O29" s="40">
        <v>9519</v>
      </c>
      <c r="P29" s="37">
        <v>106</v>
      </c>
      <c r="Q29" s="40">
        <v>3898</v>
      </c>
      <c r="R29" s="37">
        <v>55</v>
      </c>
      <c r="S29" s="40">
        <v>5570</v>
      </c>
      <c r="T29" s="10">
        <f t="shared" si="8"/>
        <v>78</v>
      </c>
      <c r="U29" s="3"/>
    </row>
    <row r="30" spans="1:21" ht="39" customHeight="1">
      <c r="A30" s="6">
        <v>45954</v>
      </c>
      <c r="B30" s="16">
        <v>0.1875</v>
      </c>
      <c r="C30" s="34">
        <v>1464535</v>
      </c>
      <c r="D30" s="4">
        <f t="shared" si="0"/>
        <v>1445</v>
      </c>
      <c r="E30" s="33">
        <v>1280384</v>
      </c>
      <c r="F30" s="4">
        <f t="shared" si="2"/>
        <v>1038</v>
      </c>
      <c r="G30" s="34">
        <v>1705516</v>
      </c>
      <c r="H30" s="4">
        <f t="shared" si="3"/>
        <v>1673</v>
      </c>
      <c r="I30" s="34">
        <v>2058417</v>
      </c>
      <c r="J30" s="4">
        <f t="shared" si="4"/>
        <v>1521</v>
      </c>
      <c r="K30" s="34">
        <v>2218368</v>
      </c>
      <c r="L30" s="4">
        <f t="shared" si="5"/>
        <v>2239</v>
      </c>
      <c r="M30" s="33">
        <v>4839561</v>
      </c>
      <c r="N30" s="4">
        <f t="shared" si="6"/>
        <v>4404</v>
      </c>
      <c r="O30" s="39">
        <v>9661</v>
      </c>
      <c r="P30" s="32">
        <f t="shared" si="1"/>
        <v>99</v>
      </c>
      <c r="Q30" s="40">
        <v>3960</v>
      </c>
      <c r="R30" s="10">
        <f t="shared" si="7"/>
        <v>62</v>
      </c>
      <c r="S30" s="40">
        <v>5634</v>
      </c>
      <c r="T30" s="10">
        <f t="shared" si="8"/>
        <v>64</v>
      </c>
      <c r="U30" s="3"/>
    </row>
    <row r="31" spans="1:21" ht="39" customHeight="1">
      <c r="A31" s="6">
        <v>45955</v>
      </c>
      <c r="B31" s="16">
        <v>0.27083333333333331</v>
      </c>
      <c r="C31" s="34">
        <v>1465869</v>
      </c>
      <c r="D31" s="4">
        <f t="shared" si="0"/>
        <v>1334</v>
      </c>
      <c r="E31" s="33">
        <v>1281506</v>
      </c>
      <c r="F31" s="4">
        <f t="shared" si="2"/>
        <v>1122</v>
      </c>
      <c r="G31" s="34">
        <v>1707036</v>
      </c>
      <c r="H31" s="4">
        <f t="shared" si="3"/>
        <v>1520</v>
      </c>
      <c r="I31" s="34">
        <v>2059984</v>
      </c>
      <c r="J31" s="4">
        <f t="shared" si="4"/>
        <v>1567</v>
      </c>
      <c r="K31" s="34">
        <v>2220500</v>
      </c>
      <c r="L31" s="4">
        <f t="shared" ref="L31:L37" si="9">K31-K30</f>
        <v>2132</v>
      </c>
      <c r="M31" s="33">
        <v>4843818</v>
      </c>
      <c r="N31" s="4">
        <f t="shared" si="6"/>
        <v>4257</v>
      </c>
      <c r="O31" s="36">
        <v>9760</v>
      </c>
      <c r="P31" s="32">
        <f t="shared" si="1"/>
        <v>123</v>
      </c>
      <c r="Q31" s="37">
        <v>4021</v>
      </c>
      <c r="R31" s="10">
        <f t="shared" si="7"/>
        <v>61</v>
      </c>
      <c r="S31" s="37">
        <v>5698</v>
      </c>
      <c r="T31" s="10">
        <f t="shared" si="8"/>
        <v>64</v>
      </c>
      <c r="U31" s="3"/>
    </row>
    <row r="32" spans="1:21" ht="39" customHeight="1">
      <c r="A32" s="6">
        <v>45956</v>
      </c>
      <c r="B32" s="16">
        <v>0.25</v>
      </c>
      <c r="C32" s="33">
        <v>1467282</v>
      </c>
      <c r="D32" s="4">
        <f t="shared" si="0"/>
        <v>1413</v>
      </c>
      <c r="E32" s="33">
        <v>1282529</v>
      </c>
      <c r="F32" s="4">
        <f t="shared" si="2"/>
        <v>1023</v>
      </c>
      <c r="G32" s="33">
        <v>1708453</v>
      </c>
      <c r="H32" s="4">
        <f t="shared" si="3"/>
        <v>1417</v>
      </c>
      <c r="I32" s="33">
        <v>2061521</v>
      </c>
      <c r="J32" s="4">
        <f t="shared" si="4"/>
        <v>1537</v>
      </c>
      <c r="K32" s="33">
        <v>2222785</v>
      </c>
      <c r="L32" s="4">
        <f t="shared" si="9"/>
        <v>2285</v>
      </c>
      <c r="M32" s="33">
        <v>4848323</v>
      </c>
      <c r="N32" s="4">
        <f t="shared" si="6"/>
        <v>4505</v>
      </c>
      <c r="O32" s="36">
        <v>9883</v>
      </c>
      <c r="P32" s="32">
        <f t="shared" si="1"/>
        <v>114</v>
      </c>
      <c r="Q32" s="37">
        <v>4074</v>
      </c>
      <c r="R32" s="10">
        <f t="shared" si="7"/>
        <v>53</v>
      </c>
      <c r="S32" s="37">
        <v>5777</v>
      </c>
      <c r="T32" s="10">
        <f t="shared" si="8"/>
        <v>79</v>
      </c>
      <c r="U32" s="3"/>
    </row>
    <row r="33" spans="1:21" ht="39" customHeight="1">
      <c r="A33" s="6">
        <v>45957</v>
      </c>
      <c r="B33" s="16">
        <v>0.25694444444444448</v>
      </c>
      <c r="C33" s="33">
        <v>1468601</v>
      </c>
      <c r="D33" s="4">
        <f t="shared" si="0"/>
        <v>1319</v>
      </c>
      <c r="E33" s="33">
        <v>1283575</v>
      </c>
      <c r="F33" s="4">
        <f t="shared" si="2"/>
        <v>1046</v>
      </c>
      <c r="G33" s="33">
        <v>1709835</v>
      </c>
      <c r="H33" s="4">
        <f t="shared" si="3"/>
        <v>1382</v>
      </c>
      <c r="I33" s="33">
        <v>2063024</v>
      </c>
      <c r="J33" s="4">
        <f t="shared" si="4"/>
        <v>1503</v>
      </c>
      <c r="K33" s="33">
        <v>2224916</v>
      </c>
      <c r="L33" s="4">
        <f t="shared" si="9"/>
        <v>2131</v>
      </c>
      <c r="M33" s="33">
        <v>4852672</v>
      </c>
      <c r="N33" s="4">
        <f t="shared" si="6"/>
        <v>4349</v>
      </c>
      <c r="O33" s="36">
        <v>9997</v>
      </c>
      <c r="P33" s="32">
        <f t="shared" si="1"/>
        <v>127</v>
      </c>
      <c r="Q33" s="37">
        <v>4139</v>
      </c>
      <c r="R33" s="10">
        <f t="shared" si="7"/>
        <v>65</v>
      </c>
      <c r="S33" s="37">
        <v>5850</v>
      </c>
      <c r="T33" s="10">
        <f t="shared" si="8"/>
        <v>73</v>
      </c>
      <c r="U33" s="3"/>
    </row>
    <row r="34" spans="1:21" ht="39" customHeight="1">
      <c r="A34" s="6">
        <v>45958</v>
      </c>
      <c r="B34" s="16">
        <v>0.2638888888888889</v>
      </c>
      <c r="C34" s="33">
        <v>1469757</v>
      </c>
      <c r="D34" s="4">
        <f t="shared" si="0"/>
        <v>1156</v>
      </c>
      <c r="E34" s="33">
        <v>1284581</v>
      </c>
      <c r="F34" s="4">
        <f t="shared" si="2"/>
        <v>1006</v>
      </c>
      <c r="G34" s="33">
        <v>1711236</v>
      </c>
      <c r="H34" s="4">
        <f t="shared" si="3"/>
        <v>1401</v>
      </c>
      <c r="I34" s="33">
        <v>2064473</v>
      </c>
      <c r="J34" s="4">
        <f t="shared" si="4"/>
        <v>1449</v>
      </c>
      <c r="K34" s="33">
        <v>2227052</v>
      </c>
      <c r="L34" s="4">
        <f t="shared" si="9"/>
        <v>2136</v>
      </c>
      <c r="M34" s="33">
        <v>4856846</v>
      </c>
      <c r="N34" s="4">
        <f t="shared" si="6"/>
        <v>4174</v>
      </c>
      <c r="O34" s="36">
        <v>10124</v>
      </c>
      <c r="P34" s="32">
        <f t="shared" si="1"/>
        <v>137</v>
      </c>
      <c r="Q34" s="37">
        <v>4205</v>
      </c>
      <c r="R34" s="10">
        <f t="shared" si="7"/>
        <v>66</v>
      </c>
      <c r="S34" s="37">
        <v>5925</v>
      </c>
      <c r="T34" s="10">
        <f t="shared" si="8"/>
        <v>75</v>
      </c>
      <c r="U34" s="3"/>
    </row>
    <row r="35" spans="1:21" ht="39" customHeight="1">
      <c r="A35" s="6">
        <v>45959</v>
      </c>
      <c r="B35" s="16">
        <v>0.24652777777777779</v>
      </c>
      <c r="C35" s="33">
        <v>1471090</v>
      </c>
      <c r="D35" s="4">
        <f t="shared" si="0"/>
        <v>1333</v>
      </c>
      <c r="E35" s="33">
        <v>1285542</v>
      </c>
      <c r="F35" s="4">
        <f t="shared" si="2"/>
        <v>961</v>
      </c>
      <c r="G35" s="33">
        <v>1712475</v>
      </c>
      <c r="H35" s="4">
        <f t="shared" si="3"/>
        <v>1239</v>
      </c>
      <c r="I35" s="33">
        <v>2065933</v>
      </c>
      <c r="J35" s="4">
        <f t="shared" si="4"/>
        <v>1460</v>
      </c>
      <c r="K35" s="33">
        <v>2229235</v>
      </c>
      <c r="L35" s="4">
        <f t="shared" si="9"/>
        <v>2183</v>
      </c>
      <c r="M35" s="33">
        <v>4860892</v>
      </c>
      <c r="N35" s="4">
        <f t="shared" si="6"/>
        <v>4046</v>
      </c>
      <c r="O35" s="36">
        <v>10261</v>
      </c>
      <c r="P35" s="32">
        <f t="shared" si="1"/>
        <v>137</v>
      </c>
      <c r="Q35" s="37">
        <v>4257</v>
      </c>
      <c r="R35" s="10">
        <f t="shared" si="7"/>
        <v>52</v>
      </c>
      <c r="S35" s="37">
        <v>5983</v>
      </c>
      <c r="T35" s="10">
        <f t="shared" si="8"/>
        <v>58</v>
      </c>
      <c r="U35" s="3"/>
    </row>
    <row r="36" spans="1:21" ht="39" customHeight="1">
      <c r="A36" s="6">
        <v>45960</v>
      </c>
      <c r="B36" s="16">
        <v>0.25694444444444448</v>
      </c>
      <c r="C36" s="33">
        <v>1472378</v>
      </c>
      <c r="D36" s="4">
        <f>C36-C35</f>
        <v>1288</v>
      </c>
      <c r="E36" s="33">
        <v>1286469</v>
      </c>
      <c r="F36" s="4">
        <f>E36-E35</f>
        <v>927</v>
      </c>
      <c r="G36" s="33">
        <v>1713808</v>
      </c>
      <c r="H36" s="4">
        <f>G36-G35</f>
        <v>1333</v>
      </c>
      <c r="I36" s="33">
        <v>2067468</v>
      </c>
      <c r="J36" s="4">
        <f>I36-I35</f>
        <v>1535</v>
      </c>
      <c r="K36" s="33">
        <v>2231410</v>
      </c>
      <c r="L36" s="4">
        <f t="shared" si="9"/>
        <v>2175</v>
      </c>
      <c r="M36" s="33">
        <v>4865151</v>
      </c>
      <c r="N36" s="4">
        <f>M36-M35</f>
        <v>4259</v>
      </c>
      <c r="O36" s="36">
        <v>10398</v>
      </c>
      <c r="P36" s="32">
        <f t="shared" si="1"/>
        <v>136</v>
      </c>
      <c r="Q36" s="37">
        <v>4324</v>
      </c>
      <c r="R36" s="10">
        <f t="shared" si="7"/>
        <v>67</v>
      </c>
      <c r="S36" s="37">
        <v>6046</v>
      </c>
      <c r="T36" s="10">
        <f>S36-S35</f>
        <v>63</v>
      </c>
      <c r="U36" s="3"/>
    </row>
    <row r="37" spans="1:21" ht="39" customHeight="1">
      <c r="A37" s="6">
        <v>45961</v>
      </c>
      <c r="B37" s="16">
        <v>0.2638888888888889</v>
      </c>
      <c r="C37" s="33">
        <v>1473658</v>
      </c>
      <c r="D37" s="4">
        <f>C37-C36</f>
        <v>1280</v>
      </c>
      <c r="E37" s="4">
        <v>1287501</v>
      </c>
      <c r="F37" s="4">
        <f>E37-E36</f>
        <v>1032</v>
      </c>
      <c r="G37" s="4">
        <v>1715259</v>
      </c>
      <c r="H37" s="4">
        <f>G37-G36</f>
        <v>1451</v>
      </c>
      <c r="I37" s="4">
        <v>2069010</v>
      </c>
      <c r="J37" s="4">
        <f>I37-I36</f>
        <v>1542</v>
      </c>
      <c r="K37" s="4">
        <v>2233645</v>
      </c>
      <c r="L37" s="4">
        <f t="shared" si="9"/>
        <v>2235</v>
      </c>
      <c r="M37" s="4">
        <v>4869315</v>
      </c>
      <c r="N37" s="4">
        <f>M37-M36</f>
        <v>4164</v>
      </c>
      <c r="O37" s="10">
        <v>10534</v>
      </c>
      <c r="P37" s="32">
        <f t="shared" si="1"/>
        <v>-10534</v>
      </c>
      <c r="Q37" s="10">
        <v>4391</v>
      </c>
      <c r="R37" s="10">
        <f t="shared" si="7"/>
        <v>67</v>
      </c>
      <c r="S37" s="10">
        <v>6117</v>
      </c>
      <c r="T37" s="10">
        <f>S37-S36</f>
        <v>71</v>
      </c>
      <c r="U37" s="3"/>
    </row>
    <row r="38" spans="1:21">
      <c r="D38" s="1">
        <f>D37-D6</f>
        <v>-654</v>
      </c>
      <c r="F38" s="1">
        <f>F37-F6</f>
        <v>-411</v>
      </c>
      <c r="H38" s="1">
        <f>H37-H6</f>
        <v>-697</v>
      </c>
      <c r="J38" s="1">
        <f>J37-J6</f>
        <v>-1101</v>
      </c>
      <c r="L38" s="1">
        <f>L37-L6</f>
        <v>-840</v>
      </c>
      <c r="N38" s="1">
        <f>N37-N6</f>
        <v>-2469</v>
      </c>
      <c r="P38" s="1">
        <f>P37-P6</f>
        <v>-17541</v>
      </c>
      <c r="R38" s="1">
        <f>R37-R6</f>
        <v>25</v>
      </c>
      <c r="T38" s="1">
        <f>T37-T6</f>
        <v>71</v>
      </c>
    </row>
  </sheetData>
  <mergeCells count="22">
    <mergeCell ref="A4:A5"/>
    <mergeCell ref="C1:U1"/>
    <mergeCell ref="D2:D4"/>
    <mergeCell ref="P2:P4"/>
    <mergeCell ref="U2:U5"/>
    <mergeCell ref="F2:F4"/>
    <mergeCell ref="O2:O4"/>
    <mergeCell ref="Q2:Q4"/>
    <mergeCell ref="B2:B5"/>
    <mergeCell ref="C4:C5"/>
    <mergeCell ref="E4:E5"/>
    <mergeCell ref="H2:H4"/>
    <mergeCell ref="G4:G5"/>
    <mergeCell ref="J2:J4"/>
    <mergeCell ref="I4:I5"/>
    <mergeCell ref="S2:S4"/>
    <mergeCell ref="T2:T4"/>
    <mergeCell ref="L2:L4"/>
    <mergeCell ref="N2:N4"/>
    <mergeCell ref="K4:K5"/>
    <mergeCell ref="M4:M5"/>
    <mergeCell ref="R2:R4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29D9069525B4A8C299D6D6E4D9842" ma:contentTypeVersion="16" ma:contentTypeDescription="Create a new document." ma:contentTypeScope="" ma:versionID="e54e0c0dea70299338c727cec1b8bdef">
  <xsd:schema xmlns:xsd="http://www.w3.org/2001/XMLSchema" xmlns:xs="http://www.w3.org/2001/XMLSchema" xmlns:p="http://schemas.microsoft.com/office/2006/metadata/properties" xmlns:ns3="bdac2669-c29b-4eee-91c8-439ba055a508" xmlns:ns4="8ab914d0-83cb-4256-bfab-90cf244784c7" targetNamespace="http://schemas.microsoft.com/office/2006/metadata/properties" ma:root="true" ma:fieldsID="75e53a7030d9167bdcea465d4aad9651" ns3:_="" ns4:_="">
    <xsd:import namespace="bdac2669-c29b-4eee-91c8-439ba055a508"/>
    <xsd:import namespace="8ab914d0-83cb-4256-bfab-90cf244784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ac2669-c29b-4eee-91c8-439ba055a5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b914d0-83cb-4256-bfab-90cf244784c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dac2669-c29b-4eee-91c8-439ba055a508" xsi:nil="true"/>
  </documentManagement>
</p:properties>
</file>

<file path=customXml/itemProps1.xml><?xml version="1.0" encoding="utf-8"?>
<ds:datastoreItem xmlns:ds="http://schemas.openxmlformats.org/officeDocument/2006/customXml" ds:itemID="{F1509642-2593-4443-9081-B746EEEC7E73}"/>
</file>

<file path=customXml/itemProps2.xml><?xml version="1.0" encoding="utf-8"?>
<ds:datastoreItem xmlns:ds="http://schemas.openxmlformats.org/officeDocument/2006/customXml" ds:itemID="{A1EE0889-3C7D-4A1D-8F6C-CBC732B8015E}"/>
</file>

<file path=customXml/itemProps3.xml><?xml version="1.0" encoding="utf-8"?>
<ds:datastoreItem xmlns:ds="http://schemas.openxmlformats.org/officeDocument/2006/customXml" ds:itemID="{D1688C7A-5E58-4F59-8DB0-1F93F20E5B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Guest User</cp:lastModifiedBy>
  <cp:revision/>
  <dcterms:created xsi:type="dcterms:W3CDTF">2018-12-27T05:07:34Z</dcterms:created>
  <dcterms:modified xsi:type="dcterms:W3CDTF">2025-11-01T12:33:01Z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  <property fmtid="{D5CDD505-2E9C-101B-9397-08002B2CF9AE}" pid="9" name="ContentTypeId">
    <vt:lpwstr>0x01010005129D9069525B4A8C299D6D6E4D9842</vt:lpwstr>
  </property>
</Properties>
</file>