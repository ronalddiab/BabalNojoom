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0/"/>
    </mc:Choice>
  </mc:AlternateContent>
  <xr:revisionPtr revIDLastSave="809" documentId="8_{8847650D-614C-4264-8C87-30D8B5EB4252}" xr6:coauthVersionLast="47" xr6:coauthVersionMax="47" xr10:uidLastSave="{F82C211B-224B-4078-AF1E-A4E17257A135}"/>
  <bookViews>
    <workbookView xWindow="-108" yWindow="-108" windowWidth="23256" windowHeight="12456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4" i="5" l="1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H6" i="5"/>
  <c r="AG6" i="5"/>
  <c r="AF6" i="5"/>
  <c r="AE6" i="5"/>
  <c r="AD6" i="5"/>
  <c r="AC6" i="5"/>
  <c r="AB6" i="5"/>
  <c r="AA6" i="5"/>
  <c r="Z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C4" i="6"/>
  <c r="G2" i="2" s="1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21" i="3" l="1"/>
  <c r="AG21" i="3"/>
  <c r="AH21" i="3"/>
  <c r="C35" i="6" l="1"/>
  <c r="AE15" i="5" l="1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F5" authorId="0" shapeId="0" xr:uid="{942F44C8-A774-49F0-A5DF-ACC81D41ED69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Reading taken at 09:45 PM because of painyin work</t>
        </r>
      </text>
    </comment>
    <comment ref="G5" authorId="0" shapeId="0" xr:uid="{E72DBA10-AC4C-4C6E-A490-5F456E7DF098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Reading taken at 12:00am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" authorId="0" shapeId="0" xr:uid="{CF6BEED8-DDD7-4AFF-B4EA-91E729761A66}">
      <text>
        <r>
          <rPr>
            <b/>
            <sz val="9"/>
            <color indexed="81"/>
            <rFont val="Tahoma"/>
            <family val="2"/>
          </rPr>
          <t>As per Jose No display</t>
        </r>
      </text>
    </comment>
    <comment ref="F11" authorId="0" shapeId="0" xr:uid="{BF3A8C53-B157-464C-9363-051223BF1410}">
      <text>
        <r>
          <rPr>
            <b/>
            <sz val="9"/>
            <color indexed="81"/>
            <rFont val="Tahoma"/>
            <family val="2"/>
          </rPr>
          <t>As per Jose No display</t>
        </r>
      </text>
    </comment>
    <comment ref="G11" authorId="0" shapeId="0" xr:uid="{033BBCBF-AD71-4F1F-8686-544970DA066B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</t>
        </r>
      </text>
    </comment>
    <comment ref="H11" authorId="0" shapeId="0" xr:uid="{D44A899E-96A5-455F-AF4B-3926CB33C99F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</t>
        </r>
      </text>
    </comment>
    <comment ref="I11" authorId="0" shapeId="0" xr:uid="{BC27611B-F299-437A-96E4-259BC815DF3C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</t>
        </r>
      </text>
    </comment>
    <comment ref="J11" authorId="0" shapeId="0" xr:uid="{FD924E45-7C89-442D-872A-11008E99FEAF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</t>
        </r>
      </text>
    </comment>
    <comment ref="K11" authorId="0" shapeId="0" xr:uid="{430BB93A-0312-4ABC-B08B-B7A42EF37524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</t>
        </r>
      </text>
    </comment>
    <comment ref="L11" authorId="0" shapeId="0" xr:uid="{8956033D-6ECA-401A-9473-769A2B1548FE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</t>
        </r>
      </text>
    </comment>
    <comment ref="M11" authorId="0" shapeId="0" xr:uid="{A00E8E53-F4D8-4088-B741-F05F551541EF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
</t>
        </r>
      </text>
    </comment>
    <comment ref="N11" authorId="0" shapeId="0" xr:uid="{DC97A3C4-1B3B-4F40-BDD5-2A92DD1F01AD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
</t>
        </r>
      </text>
    </comment>
    <comment ref="O11" authorId="0" shapeId="0" xr:uid="{391C79E4-844F-43C3-B469-9E70862CB24A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
</t>
        </r>
      </text>
    </comment>
    <comment ref="P11" authorId="0" shapeId="0" xr:uid="{8560BE76-E965-4C10-970E-99E0B0CB80AF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daplay as per jose</t>
        </r>
      </text>
    </comment>
    <comment ref="Q11" authorId="0" shapeId="0" xr:uid="{DA2D9A16-BF8F-436B-89DC-9FEE47A3F624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daplay as per jose</t>
        </r>
      </text>
    </comment>
    <comment ref="R11" authorId="0" shapeId="0" xr:uid="{73F41BA0-FE8E-4208-818D-24F0F73B95B8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
</t>
        </r>
      </text>
    </comment>
    <comment ref="S11" authorId="0" shapeId="0" xr:uid="{1867CCEC-4B48-4022-9F8C-6B854790F960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
</t>
        </r>
      </text>
    </comment>
    <comment ref="T11" authorId="0" shapeId="0" xr:uid="{55D5DB52-1B03-4C85-AFAE-58810364EBC2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
</t>
        </r>
      </text>
    </comment>
    <comment ref="U11" authorId="0" shapeId="0" xr:uid="{92FD9246-9410-4295-A1A2-153FBFEAE8BC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
As of June 17, 2020 Informed ADDC
</t>
        </r>
      </text>
    </comment>
    <comment ref="V11" authorId="0" shapeId="0" xr:uid="{3FDB4546-F885-416B-B29B-55159A2DBB14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
As of June 17, 2020 Informed ADDC
</t>
        </r>
      </text>
    </comment>
    <comment ref="W11" authorId="0" shapeId="0" xr:uid="{0D9B4D26-2094-4E09-959E-455962A1598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
As of June 17, 2020 Informed ADDC
</t>
        </r>
      </text>
    </comment>
    <comment ref="X11" authorId="0" shapeId="0" xr:uid="{5BAC1010-DAD9-4568-A4CF-64AF851702D6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
As of June 17, 2020 Informed ADDC
</t>
        </r>
      </text>
    </comment>
    <comment ref="Y11" authorId="0" shapeId="0" xr:uid="{CB129296-1C50-41F3-9C0C-E1B23DCCB370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
As of June 17, 2020 Informed ADDC
</t>
        </r>
      </text>
    </comment>
    <comment ref="Z11" authorId="0" shapeId="0" xr:uid="{9003F173-B473-40A5-8F51-2F15F981287E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
As of June 17, 2020 Informed ADDC
</t>
        </r>
      </text>
    </comment>
    <comment ref="AA11" authorId="0" shapeId="0" xr:uid="{7646BE31-060B-43FB-87A8-46DB463CD860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
As of June 17, 2020 Informed ADDC
</t>
        </r>
      </text>
    </comment>
    <comment ref="AB11" authorId="0" shapeId="0" xr:uid="{F155E1E2-FE47-4113-86DD-3C8D138DDE5F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
As of June 17, 2020 Informed ADDC
</t>
        </r>
      </text>
    </comment>
    <comment ref="AC11" authorId="0" shapeId="0" xr:uid="{9423A648-C1DB-43C1-B468-05498DEF20D6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
As of June 17, 2020 Informed ADDC
</t>
        </r>
      </text>
    </comment>
    <comment ref="AD11" authorId="0" shapeId="0" xr:uid="{B0525774-0844-452A-BDDD-BB869B696CEA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
As of June 17, 2020 Informed ADDC
</t>
        </r>
      </text>
    </comment>
    <comment ref="AE11" authorId="0" shapeId="0" xr:uid="{940DC8CB-23B8-4149-BF93-B6B8EB8D8D70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
As of June 17, 2020 Informed ADDC
</t>
        </r>
      </text>
    </comment>
    <comment ref="AF11" authorId="0" shapeId="0" xr:uid="{B2ECD54A-2A77-461B-84DA-F7F70ED9B93E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 - 17-june already informed ADDC</t>
        </r>
      </text>
    </comment>
    <comment ref="AG11" authorId="0" shapeId="0" xr:uid="{9420DE73-3687-4FD9-9EF5-B313CED775DC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 - 17-june already informed ADDC</t>
        </r>
      </text>
    </comment>
    <comment ref="AH11" authorId="0" shapeId="0" xr:uid="{87B532F8-DC28-4EF0-B728-CEC7C5E5DC6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No display as per jose - 17-june already informed ADDC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<sst xmlns="http://schemas.openxmlformats.org/spreadsheetml/2006/main" count="122" uniqueCount="87">
  <si>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</si>
  <si>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</si>
  <si>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</si>
  <si>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</si>
  <si>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</si>
  <si>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</si>
  <si>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</si>
  <si>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</si>
  <si>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</si>
  <si>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</si>
  <si>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</si>
  <si>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</si>
  <si>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</si>
  <si>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</si>
  <si>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</si>
  <si>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</si>
  <si>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</si>
  <si>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</si>
  <si>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</si>
  <si>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</si>
  <si>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</si>
  <si>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</si>
  <si>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</si>
  <si>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</si>
  <si>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</si>
  <si>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</si>
  <si>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</si>
  <si>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</si>
  <si>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</si>
  <si>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</si>
  <si>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</si>
  <si>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</si>
  <si>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</si>
  <si>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</si>
  <si>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</si>
  <si>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</si>
  <si>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</si>
  <si>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</si>
  <si>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</si>
  <si>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</si>
  <si>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</si>
  <si>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</si>
  <si>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</si>
  <si>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</si>
  <si>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</si>
  <si>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</si>
  <si>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</si>
  <si>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</si>
  <si>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</si>
  <si>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</si>
  <si>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</si>
  <si>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</si>
  <si>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</si>
  <si>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</si>
  <si>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</si>
  <si>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</si>
  <si>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</si>
  <si>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</si>
  <si>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</si>
  <si>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</si>
  <si>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</si>
  <si>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</si>
  <si>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</si>
  <si>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</si>
  <si>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</si>
  <si>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</si>
  <si>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</si>
  <si>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</si>
  <si>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</si>
  <si>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</si>
  <si>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</si>
  <si>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</si>
  <si>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</si>
  <si>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</si>
  <si>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</si>
  <si>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</si>
  <si>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</si>
  <si>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 xml:space="preserve">                                       </t>
  </si>
  <si>
    <t>TOTAL Consumption</t>
  </si>
  <si>
    <t>Date</t>
  </si>
  <si>
    <t>Occupied</t>
  </si>
  <si>
    <t># Guest</t>
  </si>
  <si>
    <t>TOTAL MTD</t>
  </si>
  <si>
    <t>DAILY ELECTRICITY METER READINGS &amp; CONSUMPTION JUNE 2020</t>
  </si>
  <si>
    <r>
      <t>DAILY WATER METER READINGS &amp; CONSUMPTION (m</t>
    </r>
    <r>
      <rPr>
        <b/>
        <vertAlign val="superscript"/>
        <sz val="20"/>
        <color rgb="FF000000"/>
        <rFont val="Calibri"/>
      </rPr>
      <t>3</t>
    </r>
    <r>
      <rPr>
        <b/>
        <sz val="20"/>
        <color rgb="FF000000"/>
        <rFont val="Calibri"/>
      </rPr>
      <t>) JUNE  2020</t>
    </r>
  </si>
  <si>
    <t>DAILY GAS METER READINGS &amp; CONSUMPTION (Liters) JUNE 2020</t>
  </si>
  <si>
    <t>Occupied Room &amp; Number of Guest
June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</si>
</sst>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  <numFmt numFmtId="168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Tahoma"/>
      <family val="2"/>
    </font>
    <font>
      <b/>
      <sz val="20"/>
      <color rgb="FF000000"/>
      <name val="Calibri"/>
    </font>
    <font>
      <b/>
      <vertAlign val="superscript"/>
      <sz val="20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9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9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1" fillId="11" borderId="0" xfId="1" applyNumberFormat="1" applyFont="1" applyFill="1"/>
    <xf numFmtId="4" fontId="21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7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3" fontId="14" fillId="11" borderId="0" xfId="0" applyNumberFormat="1" applyFont="1" applyFill="1" applyAlignment="1">
      <alignment horizontal="center" vertical="center"/>
    </xf>
    <xf numFmtId="3" fontId="21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" fillId="0" borderId="0" xfId="0" applyNumberFormat="1" applyFont="1"/>
    <xf numFmtId="3" fontId="0" fillId="0" borderId="0" xfId="0" applyNumberFormat="1"/>
    <xf numFmtId="168" fontId="26" fillId="0" borderId="21" xfId="1" applyNumberFormat="1" applyFont="1" applyFill="1" applyBorder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4" fontId="21" fillId="11" borderId="0" xfId="1" applyNumberFormat="1" applyFont="1" applyFill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4" fontId="21" fillId="11" borderId="13" xfId="1" applyNumberFormat="1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4" fontId="23" fillId="11" borderId="13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6" borderId="12" xfId="0" quotePrefix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4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H2" sqref="H2:H32"/>
    </sheetView>
  </sheetViews>
  <sheetFormatPr defaultColWidth="11.5546875" defaultRowHeight="14.4" x14ac:dyDescent="0.3"/>
  <cols>
    <col min="1" max="1" width="29.109375" style="2" bestFit="1" customWidth="1"/>
    <col min="2" max="3" width="11.5546875" style="10"/>
    <col min="4" max="4" width="13.44140625" style="10" customWidth="1"/>
    <col min="5" max="5" width="12.5546875" style="3" customWidth="1"/>
    <col min="6" max="6" width="12.5546875" style="11" customWidth="1"/>
    <col min="7" max="7" width="11.5546875" style="3"/>
    <col min="8" max="8" width="11.5546875" style="11"/>
    <col min="9" max="9" width="11.5546875" style="3"/>
    <col min="10" max="10" width="11.5546875" style="12"/>
    <col min="11" max="24" width="11.5546875" style="3"/>
  </cols>
  <sheetData>
    <row r="1" spans="1:12" s="8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</row>
    <row r="2" spans="1:12" x14ac:dyDescent="0.3">
      <c r="A2" s="9" t="s">
        <v>12</v>
      </c>
      <c r="B2" s="10">
        <v>1</v>
      </c>
      <c r="C2" s="10">
        <v>6</v>
      </c>
      <c r="D2" s="10">
        <v>2020</v>
      </c>
      <c r="E2" s="4" cm="1">
        <f t="array" ref="E2:E32">TRANSPOSE(Electricity!E21:AI21)</f>
        <v>34879</v>
      </c>
      <c r="F2" s="11">
        <v>0.2</v>
      </c>
      <c r="G2" s="4">
        <f>LPG!C4</f>
        <v>2052.6886666666669</v>
      </c>
      <c r="H2" s="11">
        <v>1.0700000617076855</v>
      </c>
      <c r="I2" s="4" cm="1">
        <f t="array" ref="I2:I32">TRANSPOSE(Water!E15:AI15)</f>
        <v>396.38500000001079</v>
      </c>
      <c r="J2" s="11">
        <v>7.84</v>
      </c>
      <c r="K2" s="4">
        <f>'Occupied &amp; No. of Guest'!B3</f>
        <v>239</v>
      </c>
      <c r="L2" s="4">
        <f>'Occupied &amp; No. of Guest'!C3</f>
        <v>541</v>
      </c>
    </row>
    <row r="3" spans="1:12" x14ac:dyDescent="0.3">
      <c r="A3" s="9" t="s">
        <v>12</v>
      </c>
      <c r="B3" s="10">
        <f>B2+1</f>
        <v>2</v>
      </c>
      <c r="C3" s="10">
        <v>6</v>
      </c>
      <c r="D3" s="10">
        <v>2020</v>
      </c>
      <c r="E3" s="4">
        <v>33183</v>
      </c>
      <c r="F3" s="11">
        <v>0.2</v>
      </c>
      <c r="G3" s="4">
        <f>LPG!C5</f>
        <v>2052.6886666666669</v>
      </c>
      <c r="H3" s="11">
        <v>1.0700000617076855</v>
      </c>
      <c r="I3" s="4">
        <v>395.02500000000003</v>
      </c>
      <c r="J3" s="11">
        <v>7.84</v>
      </c>
      <c r="K3" s="4">
        <f>'Occupied &amp; No. of Guest'!B4</f>
        <v>243</v>
      </c>
      <c r="L3" s="4">
        <f>'Occupied &amp; No. of Guest'!C4</f>
        <v>547</v>
      </c>
    </row>
    <row r="4" spans="1:12" x14ac:dyDescent="0.3">
      <c r="A4" s="9" t="s">
        <v>12</v>
      </c>
      <c r="B4" s="10">
        <f t="shared" ref="B4:B32" si="0">B3+1</f>
        <v>3</v>
      </c>
      <c r="C4" s="10">
        <v>6</v>
      </c>
      <c r="D4" s="10">
        <v>2020</v>
      </c>
      <c r="E4" s="4">
        <v>37272</v>
      </c>
      <c r="F4" s="11">
        <v>0.2</v>
      </c>
      <c r="G4" s="4">
        <f>LPG!C6</f>
        <v>2052.6886666666669</v>
      </c>
      <c r="H4" s="11">
        <v>1.0700000617076855</v>
      </c>
      <c r="I4" s="4">
        <v>395.00599999998337</v>
      </c>
      <c r="J4" s="11">
        <v>7.84</v>
      </c>
      <c r="K4" s="4">
        <f>'Occupied &amp; No. of Guest'!B5</f>
        <v>246</v>
      </c>
      <c r="L4" s="4">
        <f>'Occupied &amp; No. of Guest'!C5</f>
        <v>549</v>
      </c>
    </row>
    <row r="5" spans="1:12" x14ac:dyDescent="0.3">
      <c r="A5" s="9" t="s">
        <v>12</v>
      </c>
      <c r="B5" s="10">
        <f t="shared" si="0"/>
        <v>4</v>
      </c>
      <c r="C5" s="10">
        <v>6</v>
      </c>
      <c r="D5" s="10">
        <v>2020</v>
      </c>
      <c r="E5" s="4">
        <v>34875</v>
      </c>
      <c r="F5" s="11">
        <v>0.2</v>
      </c>
      <c r="G5" s="4">
        <f>LPG!C7</f>
        <v>2052.6886666666669</v>
      </c>
      <c r="H5" s="11">
        <v>1.0700000617076855</v>
      </c>
      <c r="I5" s="4">
        <v>382.30700000000201</v>
      </c>
      <c r="J5" s="11">
        <v>7.84</v>
      </c>
      <c r="K5" s="4">
        <f>'Occupied &amp; No. of Guest'!B6</f>
        <v>251</v>
      </c>
      <c r="L5" s="4">
        <f>'Occupied &amp; No. of Guest'!C6</f>
        <v>556</v>
      </c>
    </row>
    <row r="6" spans="1:12" x14ac:dyDescent="0.3">
      <c r="A6" s="9" t="s">
        <v>12</v>
      </c>
      <c r="B6" s="10">
        <f t="shared" si="0"/>
        <v>5</v>
      </c>
      <c r="C6" s="10">
        <v>6</v>
      </c>
      <c r="D6" s="10">
        <v>2020</v>
      </c>
      <c r="E6" s="4">
        <v>37676</v>
      </c>
      <c r="F6" s="11">
        <v>0.2</v>
      </c>
      <c r="G6" s="4">
        <f>LPG!C8</f>
        <v>2052.6886666666669</v>
      </c>
      <c r="H6" s="11">
        <v>1.0700000617076855</v>
      </c>
      <c r="I6" s="4">
        <v>281.18700000000047</v>
      </c>
      <c r="J6" s="11">
        <v>7.84</v>
      </c>
      <c r="K6" s="4">
        <f>'Occupied &amp; No. of Guest'!B7</f>
        <v>250</v>
      </c>
      <c r="L6" s="4">
        <f>'Occupied &amp; No. of Guest'!C7</f>
        <v>555</v>
      </c>
    </row>
    <row r="7" spans="1:12" x14ac:dyDescent="0.3">
      <c r="A7" s="9" t="s">
        <v>12</v>
      </c>
      <c r="B7" s="10">
        <f t="shared" si="0"/>
        <v>6</v>
      </c>
      <c r="C7" s="10">
        <v>6</v>
      </c>
      <c r="D7" s="10">
        <v>2020</v>
      </c>
      <c r="E7" s="4">
        <v>36873</v>
      </c>
      <c r="F7" s="11">
        <v>0.2</v>
      </c>
      <c r="G7" s="4">
        <f>LPG!C9</f>
        <v>2052.6886666666669</v>
      </c>
      <c r="H7" s="11">
        <v>1.0700000617076855</v>
      </c>
      <c r="I7" s="4">
        <v>377.88200000000927</v>
      </c>
      <c r="J7" s="11">
        <v>7.84</v>
      </c>
      <c r="K7" s="4">
        <f>'Occupied &amp; No. of Guest'!B8</f>
        <v>263</v>
      </c>
      <c r="L7" s="4">
        <f>'Occupied &amp; No. of Guest'!C8</f>
        <v>569</v>
      </c>
    </row>
    <row r="8" spans="1:12" x14ac:dyDescent="0.3">
      <c r="A8" s="9" t="s">
        <v>12</v>
      </c>
      <c r="B8" s="10">
        <f t="shared" si="0"/>
        <v>7</v>
      </c>
      <c r="C8" s="10">
        <v>6</v>
      </c>
      <c r="D8" s="10">
        <v>2020</v>
      </c>
      <c r="E8" s="4">
        <v>37279</v>
      </c>
      <c r="F8" s="11">
        <v>0.2</v>
      </c>
      <c r="G8" s="4">
        <f>LPG!C10</f>
        <v>2052.6886666666669</v>
      </c>
      <c r="H8" s="11">
        <v>1.0700000617076855</v>
      </c>
      <c r="I8" s="4">
        <v>398.72899999998208</v>
      </c>
      <c r="J8" s="11">
        <v>7.84</v>
      </c>
      <c r="K8" s="4">
        <f>'Occupied &amp; No. of Guest'!B9</f>
        <v>236</v>
      </c>
      <c r="L8" s="4">
        <f>'Occupied &amp; No. of Guest'!C9</f>
        <v>535</v>
      </c>
    </row>
    <row r="9" spans="1:12" x14ac:dyDescent="0.3">
      <c r="A9" s="9" t="s">
        <v>12</v>
      </c>
      <c r="B9" s="10">
        <f t="shared" si="0"/>
        <v>8</v>
      </c>
      <c r="C9" s="10">
        <v>6</v>
      </c>
      <c r="D9" s="10">
        <v>2020</v>
      </c>
      <c r="E9" s="4">
        <v>35279</v>
      </c>
      <c r="F9" s="11">
        <v>0.2</v>
      </c>
      <c r="G9" s="4">
        <f>LPG!C11</f>
        <v>2052.6886666666669</v>
      </c>
      <c r="H9" s="11">
        <v>1.0700000617076855</v>
      </c>
      <c r="I9" s="4">
        <v>374.20599999999996</v>
      </c>
      <c r="J9" s="11">
        <v>7.84</v>
      </c>
      <c r="K9" s="4">
        <f>'Occupied &amp; No. of Guest'!B10</f>
        <v>239</v>
      </c>
      <c r="L9" s="4">
        <f>'Occupied &amp; No. of Guest'!C10</f>
        <v>540</v>
      </c>
    </row>
    <row r="10" spans="1:12" x14ac:dyDescent="0.3">
      <c r="A10" s="9" t="s">
        <v>12</v>
      </c>
      <c r="B10" s="10">
        <f t="shared" si="0"/>
        <v>9</v>
      </c>
      <c r="C10" s="10">
        <v>6</v>
      </c>
      <c r="D10" s="10">
        <v>2020</v>
      </c>
      <c r="E10" s="4">
        <v>36476</v>
      </c>
      <c r="F10" s="11">
        <v>0.2</v>
      </c>
      <c r="G10" s="4">
        <f>LPG!C12</f>
        <v>2052.6886666666669</v>
      </c>
      <c r="H10" s="11">
        <v>1.0700000617076855</v>
      </c>
      <c r="I10" s="4">
        <v>349.60000000001492</v>
      </c>
      <c r="J10" s="11">
        <v>7.84</v>
      </c>
      <c r="K10" s="4">
        <f>'Occupied &amp; No. of Guest'!B11</f>
        <v>242</v>
      </c>
      <c r="L10" s="4">
        <f>'Occupied &amp; No. of Guest'!C11</f>
        <v>540</v>
      </c>
    </row>
    <row r="11" spans="1:12" x14ac:dyDescent="0.3">
      <c r="A11" s="9" t="s">
        <v>12</v>
      </c>
      <c r="B11" s="10">
        <f t="shared" si="0"/>
        <v>10</v>
      </c>
      <c r="C11" s="10">
        <v>6</v>
      </c>
      <c r="D11" s="10">
        <v>2020</v>
      </c>
      <c r="E11" s="4">
        <v>39075</v>
      </c>
      <c r="F11" s="11">
        <v>0.2</v>
      </c>
      <c r="G11" s="4">
        <f>LPG!C13</f>
        <v>2052.6886666666669</v>
      </c>
      <c r="H11" s="11">
        <v>1.0700000617076855</v>
      </c>
      <c r="I11" s="4">
        <v>392.13799999998827</v>
      </c>
      <c r="J11" s="11">
        <v>7.84</v>
      </c>
      <c r="K11" s="4">
        <f>'Occupied &amp; No. of Guest'!B12</f>
        <v>231</v>
      </c>
      <c r="L11" s="4">
        <f>'Occupied &amp; No. of Guest'!C12</f>
        <v>522</v>
      </c>
    </row>
    <row r="12" spans="1:12" x14ac:dyDescent="0.3">
      <c r="A12" s="9" t="s">
        <v>12</v>
      </c>
      <c r="B12" s="10">
        <f t="shared" si="0"/>
        <v>11</v>
      </c>
      <c r="C12" s="10">
        <v>6</v>
      </c>
      <c r="D12" s="10">
        <v>2020</v>
      </c>
      <c r="E12" s="4">
        <v>35878</v>
      </c>
      <c r="F12" s="11">
        <v>0.2</v>
      </c>
      <c r="G12" s="4">
        <f>LPG!C14</f>
        <v>2052.6886666666669</v>
      </c>
      <c r="H12" s="11">
        <v>1.0700000617076855</v>
      </c>
      <c r="I12" s="4">
        <v>390.02200000001159</v>
      </c>
      <c r="J12" s="11">
        <v>7.84</v>
      </c>
      <c r="K12" s="4">
        <f>'Occupied &amp; No. of Guest'!B13</f>
        <v>235</v>
      </c>
      <c r="L12" s="4">
        <f>'Occupied &amp; No. of Guest'!C13</f>
        <v>525</v>
      </c>
    </row>
    <row r="13" spans="1:12" x14ac:dyDescent="0.3">
      <c r="A13" s="9" t="s">
        <v>12</v>
      </c>
      <c r="B13" s="10">
        <f t="shared" si="0"/>
        <v>12</v>
      </c>
      <c r="C13" s="10">
        <v>6</v>
      </c>
      <c r="D13" s="10">
        <v>2020</v>
      </c>
      <c r="E13" s="4">
        <v>34876</v>
      </c>
      <c r="F13" s="11">
        <v>0.2</v>
      </c>
      <c r="G13" s="4">
        <f>LPG!C15</f>
        <v>2052.6886666666669</v>
      </c>
      <c r="H13" s="11">
        <v>1.0700000617076855</v>
      </c>
      <c r="I13" s="4">
        <v>271.80800000000602</v>
      </c>
      <c r="J13" s="11">
        <v>7.84</v>
      </c>
      <c r="K13" s="4">
        <f>'Occupied &amp; No. of Guest'!B14</f>
        <v>236</v>
      </c>
      <c r="L13" s="4">
        <f>'Occupied &amp; No. of Guest'!C14</f>
        <v>525</v>
      </c>
    </row>
    <row r="14" spans="1:12" x14ac:dyDescent="0.3">
      <c r="A14" s="9" t="s">
        <v>12</v>
      </c>
      <c r="B14" s="10">
        <f t="shared" si="0"/>
        <v>13</v>
      </c>
      <c r="C14" s="10">
        <v>6</v>
      </c>
      <c r="D14" s="10">
        <v>2020</v>
      </c>
      <c r="E14" s="4">
        <v>38674</v>
      </c>
      <c r="F14" s="11">
        <v>0.2</v>
      </c>
      <c r="G14" s="4">
        <f>LPG!C16</f>
        <v>2052.6886666666669</v>
      </c>
      <c r="H14" s="11">
        <v>1.0700000617076855</v>
      </c>
      <c r="I14" s="4">
        <v>394.33399999999199</v>
      </c>
      <c r="J14" s="11">
        <v>7.84</v>
      </c>
      <c r="K14" s="4">
        <f>'Occupied &amp; No. of Guest'!B15</f>
        <v>282</v>
      </c>
      <c r="L14" s="4">
        <f>'Occupied &amp; No. of Guest'!C15</f>
        <v>589</v>
      </c>
    </row>
    <row r="15" spans="1:12" x14ac:dyDescent="0.3">
      <c r="A15" s="9" t="s">
        <v>12</v>
      </c>
      <c r="B15" s="10">
        <f t="shared" si="0"/>
        <v>14</v>
      </c>
      <c r="C15" s="10">
        <v>6</v>
      </c>
      <c r="D15" s="10">
        <v>2020</v>
      </c>
      <c r="E15" s="4">
        <v>38480</v>
      </c>
      <c r="F15" s="11">
        <v>0.2</v>
      </c>
      <c r="G15" s="4">
        <f>LPG!C17</f>
        <v>2052.6886666666669</v>
      </c>
      <c r="H15" s="11">
        <v>1.0700000617076855</v>
      </c>
      <c r="I15" s="4">
        <v>416.10899999998475</v>
      </c>
      <c r="J15" s="11">
        <v>7.84</v>
      </c>
      <c r="K15" s="4">
        <f>'Occupied &amp; No. of Guest'!B16</f>
        <v>283</v>
      </c>
      <c r="L15" s="4">
        <f>'Occupied &amp; No. of Guest'!C16</f>
        <v>591</v>
      </c>
    </row>
    <row r="16" spans="1:12" x14ac:dyDescent="0.3">
      <c r="A16" s="9" t="s">
        <v>12</v>
      </c>
      <c r="B16" s="10">
        <f t="shared" si="0"/>
        <v>15</v>
      </c>
      <c r="C16" s="10">
        <v>6</v>
      </c>
      <c r="D16" s="10">
        <v>2020</v>
      </c>
      <c r="E16" s="4">
        <v>39476</v>
      </c>
      <c r="F16" s="11">
        <v>0.2</v>
      </c>
      <c r="G16" s="4">
        <f>LPG!C18</f>
        <v>2052.6886666666669</v>
      </c>
      <c r="H16" s="11">
        <v>1.0700000617076855</v>
      </c>
      <c r="I16" s="4">
        <v>402.05300000002279</v>
      </c>
      <c r="J16" s="11">
        <v>7.84</v>
      </c>
      <c r="K16" s="4">
        <f>'Occupied &amp; No. of Guest'!B17</f>
        <v>280</v>
      </c>
      <c r="L16" s="4">
        <f>'Occupied &amp; No. of Guest'!C17</f>
        <v>584</v>
      </c>
    </row>
    <row r="17" spans="1:12" x14ac:dyDescent="0.3">
      <c r="A17" s="9" t="s">
        <v>12</v>
      </c>
      <c r="B17" s="10">
        <f t="shared" si="0"/>
        <v>16</v>
      </c>
      <c r="C17" s="10">
        <v>6</v>
      </c>
      <c r="D17" s="10">
        <v>2020</v>
      </c>
      <c r="E17" s="4">
        <v>35693</v>
      </c>
      <c r="F17" s="11">
        <v>0.2</v>
      </c>
      <c r="G17" s="4">
        <f>LPG!C19</f>
        <v>2052.6886666666669</v>
      </c>
      <c r="H17" s="11">
        <v>1.0700000617076855</v>
      </c>
      <c r="I17" s="4">
        <v>435.54399999999424</v>
      </c>
      <c r="J17" s="11">
        <v>7.84</v>
      </c>
      <c r="K17" s="4">
        <f>'Occupied &amp; No. of Guest'!B18</f>
        <v>279</v>
      </c>
      <c r="L17" s="4">
        <f>'Occupied &amp; No. of Guest'!C18</f>
        <v>582</v>
      </c>
    </row>
    <row r="18" spans="1:12" x14ac:dyDescent="0.3">
      <c r="A18" s="9" t="s">
        <v>12</v>
      </c>
      <c r="B18" s="10">
        <f t="shared" si="0"/>
        <v>17</v>
      </c>
      <c r="C18" s="10">
        <v>6</v>
      </c>
      <c r="D18" s="10">
        <v>2020</v>
      </c>
      <c r="E18" s="4">
        <v>40079</v>
      </c>
      <c r="F18" s="11">
        <v>0.2</v>
      </c>
      <c r="G18" s="4">
        <f>LPG!C20</f>
        <v>2052.6886666666669</v>
      </c>
      <c r="H18" s="11">
        <v>1.0700000617076855</v>
      </c>
      <c r="I18" s="4">
        <v>446.33499999998219</v>
      </c>
      <c r="J18" s="11">
        <v>7.84</v>
      </c>
      <c r="K18" s="4">
        <f>'Occupied &amp; No. of Guest'!B19</f>
        <v>278</v>
      </c>
      <c r="L18" s="4">
        <f>'Occupied &amp; No. of Guest'!C19</f>
        <v>588</v>
      </c>
    </row>
    <row r="19" spans="1:12" x14ac:dyDescent="0.3">
      <c r="A19" s="9" t="s">
        <v>12</v>
      </c>
      <c r="B19" s="10">
        <f t="shared" si="0"/>
        <v>18</v>
      </c>
      <c r="C19" s="10">
        <v>6</v>
      </c>
      <c r="D19" s="10">
        <v>2020</v>
      </c>
      <c r="E19" s="4">
        <v>36069</v>
      </c>
      <c r="F19" s="11">
        <v>0.2</v>
      </c>
      <c r="G19" s="4">
        <f>LPG!C21</f>
        <v>2052.6886666666669</v>
      </c>
      <c r="H19" s="11">
        <v>1.0700000617076855</v>
      </c>
      <c r="I19" s="4">
        <v>349.8680000000013</v>
      </c>
      <c r="J19" s="11">
        <v>7.84</v>
      </c>
      <c r="K19" s="4">
        <f>'Occupied &amp; No. of Guest'!B20</f>
        <v>271</v>
      </c>
      <c r="L19" s="4">
        <f>'Occupied &amp; No. of Guest'!C20</f>
        <v>579</v>
      </c>
    </row>
    <row r="20" spans="1:12" x14ac:dyDescent="0.3">
      <c r="A20" s="9" t="s">
        <v>12</v>
      </c>
      <c r="B20" s="10">
        <f t="shared" si="0"/>
        <v>19</v>
      </c>
      <c r="C20" s="10">
        <v>6</v>
      </c>
      <c r="D20" s="10">
        <v>2020</v>
      </c>
      <c r="E20" s="4">
        <v>36671</v>
      </c>
      <c r="F20" s="11">
        <v>0.2</v>
      </c>
      <c r="G20" s="4">
        <f>LPG!C22</f>
        <v>2052.6886666666669</v>
      </c>
      <c r="H20" s="11">
        <v>1.0700000617076855</v>
      </c>
      <c r="I20" s="4">
        <v>288.38800000001027</v>
      </c>
      <c r="J20" s="11">
        <v>7.84</v>
      </c>
      <c r="K20" s="4">
        <f>'Occupied &amp; No. of Guest'!B21</f>
        <v>242</v>
      </c>
      <c r="L20" s="4">
        <f>'Occupied &amp; No. of Guest'!C21</f>
        <v>549</v>
      </c>
    </row>
    <row r="21" spans="1:12" x14ac:dyDescent="0.3">
      <c r="A21" s="9" t="s">
        <v>12</v>
      </c>
      <c r="B21" s="10">
        <f t="shared" si="0"/>
        <v>20</v>
      </c>
      <c r="C21" s="10">
        <v>6</v>
      </c>
      <c r="D21" s="10">
        <v>2020</v>
      </c>
      <c r="E21" s="4">
        <v>37872</v>
      </c>
      <c r="F21" s="11">
        <v>0.2</v>
      </c>
      <c r="G21" s="4">
        <f>LPG!C23</f>
        <v>2052.6886666666669</v>
      </c>
      <c r="H21" s="11">
        <v>1.0700000617076855</v>
      </c>
      <c r="I21" s="4">
        <v>424.83900000000415</v>
      </c>
      <c r="J21" s="11">
        <v>7.84</v>
      </c>
      <c r="K21" s="4">
        <f>'Occupied &amp; No. of Guest'!B22</f>
        <v>220</v>
      </c>
      <c r="L21" s="4">
        <f>'Occupied &amp; No. of Guest'!C22</f>
        <v>531</v>
      </c>
    </row>
    <row r="22" spans="1:12" x14ac:dyDescent="0.3">
      <c r="A22" s="9" t="s">
        <v>12</v>
      </c>
      <c r="B22" s="10">
        <f t="shared" si="0"/>
        <v>21</v>
      </c>
      <c r="C22" s="10">
        <v>6</v>
      </c>
      <c r="D22" s="10">
        <v>2020</v>
      </c>
      <c r="E22" s="4">
        <v>37271</v>
      </c>
      <c r="F22" s="11">
        <v>0.2</v>
      </c>
      <c r="G22" s="4">
        <f>LPG!C24</f>
        <v>2052.6886666666669</v>
      </c>
      <c r="H22" s="11">
        <v>1.0700000617076855</v>
      </c>
      <c r="I22" s="4">
        <v>368.17100000000238</v>
      </c>
      <c r="J22" s="11">
        <v>7.84</v>
      </c>
      <c r="K22" s="4">
        <f>'Occupied &amp; No. of Guest'!B23</f>
        <v>220</v>
      </c>
      <c r="L22" s="4">
        <f>'Occupied &amp; No. of Guest'!C23</f>
        <v>519</v>
      </c>
    </row>
    <row r="23" spans="1:12" x14ac:dyDescent="0.3">
      <c r="A23" s="9" t="s">
        <v>12</v>
      </c>
      <c r="B23" s="10">
        <f t="shared" si="0"/>
        <v>22</v>
      </c>
      <c r="C23" s="10">
        <v>6</v>
      </c>
      <c r="D23" s="10">
        <v>2020</v>
      </c>
      <c r="E23" s="4">
        <v>35870</v>
      </c>
      <c r="F23" s="11">
        <v>0.2</v>
      </c>
      <c r="G23" s="4">
        <f>LPG!C25</f>
        <v>2052.6886666666669</v>
      </c>
      <c r="H23" s="11">
        <v>1.0700000617076855</v>
      </c>
      <c r="I23" s="4">
        <v>435.20999999998276</v>
      </c>
      <c r="J23" s="11">
        <v>7.84</v>
      </c>
      <c r="K23" s="4">
        <f>'Occupied &amp; No. of Guest'!B24</f>
        <v>211</v>
      </c>
      <c r="L23" s="4">
        <f>'Occupied &amp; No. of Guest'!C24</f>
        <v>510</v>
      </c>
    </row>
    <row r="24" spans="1:12" x14ac:dyDescent="0.3">
      <c r="A24" s="9" t="s">
        <v>12</v>
      </c>
      <c r="B24" s="10">
        <f t="shared" si="0"/>
        <v>23</v>
      </c>
      <c r="C24" s="10">
        <v>6</v>
      </c>
      <c r="D24" s="10">
        <v>2020</v>
      </c>
      <c r="E24" s="4">
        <v>36269</v>
      </c>
      <c r="F24" s="11">
        <v>0.2</v>
      </c>
      <c r="G24" s="4">
        <f>LPG!C26</f>
        <v>2052.6886666666669</v>
      </c>
      <c r="H24" s="11">
        <v>1.0700000617076855</v>
      </c>
      <c r="I24" s="4">
        <v>426.19200000002547</v>
      </c>
      <c r="J24" s="11">
        <v>7.84</v>
      </c>
      <c r="K24" s="4">
        <f>'Occupied &amp; No. of Guest'!B25</f>
        <v>206</v>
      </c>
      <c r="L24" s="4">
        <f>'Occupied &amp; No. of Guest'!C25</f>
        <v>491</v>
      </c>
    </row>
    <row r="25" spans="1:12" x14ac:dyDescent="0.3">
      <c r="A25" s="9" t="s">
        <v>12</v>
      </c>
      <c r="B25" s="10">
        <f t="shared" si="0"/>
        <v>24</v>
      </c>
      <c r="C25" s="10">
        <v>6</v>
      </c>
      <c r="D25" s="10">
        <v>2020</v>
      </c>
      <c r="E25" s="4">
        <v>37271</v>
      </c>
      <c r="F25" s="11">
        <v>0.2</v>
      </c>
      <c r="G25" s="4">
        <f>LPG!C27</f>
        <v>2052.6886666666669</v>
      </c>
      <c r="H25" s="11">
        <v>1.0700000617076855</v>
      </c>
      <c r="I25" s="4">
        <v>409.91699999996911</v>
      </c>
      <c r="J25" s="11">
        <v>7.84</v>
      </c>
      <c r="K25" s="4">
        <f>'Occupied &amp; No. of Guest'!B26</f>
        <v>207</v>
      </c>
      <c r="L25" s="4">
        <f>'Occupied &amp; No. of Guest'!C26</f>
        <v>493</v>
      </c>
    </row>
    <row r="26" spans="1:12" x14ac:dyDescent="0.3">
      <c r="A26" s="9" t="s">
        <v>12</v>
      </c>
      <c r="B26" s="10">
        <f>B25+1</f>
        <v>25</v>
      </c>
      <c r="C26" s="10">
        <v>6</v>
      </c>
      <c r="D26" s="10">
        <v>2020</v>
      </c>
      <c r="E26" s="4">
        <v>39869</v>
      </c>
      <c r="F26" s="11">
        <v>0.2</v>
      </c>
      <c r="G26" s="4">
        <f>LPG!C28</f>
        <v>2052.6886666666669</v>
      </c>
      <c r="H26" s="11">
        <v>1.0700000617076855</v>
      </c>
      <c r="I26" s="4">
        <v>373.82499999999931</v>
      </c>
      <c r="J26" s="11">
        <v>7.84</v>
      </c>
      <c r="K26" s="4">
        <f>'Occupied &amp; No. of Guest'!B27</f>
        <v>204</v>
      </c>
      <c r="L26" s="4">
        <f>'Occupied &amp; No. of Guest'!C27</f>
        <v>492</v>
      </c>
    </row>
    <row r="27" spans="1:12" x14ac:dyDescent="0.3">
      <c r="A27" s="9" t="s">
        <v>12</v>
      </c>
      <c r="B27" s="10">
        <f t="shared" si="0"/>
        <v>26</v>
      </c>
      <c r="C27" s="10">
        <v>6</v>
      </c>
      <c r="D27" s="10">
        <v>2020</v>
      </c>
      <c r="E27" s="4">
        <v>40274</v>
      </c>
      <c r="F27" s="11">
        <v>0.2</v>
      </c>
      <c r="G27" s="4">
        <f>LPG!C29</f>
        <v>2052.6886666666669</v>
      </c>
      <c r="H27" s="11">
        <v>1.0700000617076855</v>
      </c>
      <c r="I27" s="4">
        <v>276.79100000001142</v>
      </c>
      <c r="J27" s="11">
        <v>7.84</v>
      </c>
      <c r="K27" s="4">
        <f>'Occupied &amp; No. of Guest'!B28</f>
        <v>206</v>
      </c>
      <c r="L27" s="4">
        <f>'Occupied &amp; No. of Guest'!C28</f>
        <v>493</v>
      </c>
    </row>
    <row r="28" spans="1:12" x14ac:dyDescent="0.3">
      <c r="A28" s="9" t="s">
        <v>12</v>
      </c>
      <c r="B28" s="10">
        <f t="shared" si="0"/>
        <v>27</v>
      </c>
      <c r="C28" s="10">
        <v>6</v>
      </c>
      <c r="D28" s="10">
        <v>2020</v>
      </c>
      <c r="E28" s="4">
        <v>39670</v>
      </c>
      <c r="F28" s="11">
        <v>0.2</v>
      </c>
      <c r="G28" s="4">
        <f>LPG!C30</f>
        <v>2052.6886666666669</v>
      </c>
      <c r="H28" s="11">
        <v>1.0700000617076855</v>
      </c>
      <c r="I28" s="4">
        <v>406.61400000000049</v>
      </c>
      <c r="J28" s="11">
        <v>7.84</v>
      </c>
      <c r="K28" s="4">
        <f>'Occupied &amp; No. of Guest'!B29</f>
        <v>205</v>
      </c>
      <c r="L28" s="4">
        <f>'Occupied &amp; No. of Guest'!C29</f>
        <v>490</v>
      </c>
    </row>
    <row r="29" spans="1:12" x14ac:dyDescent="0.3">
      <c r="A29" s="9" t="s">
        <v>12</v>
      </c>
      <c r="B29" s="10">
        <f t="shared" si="0"/>
        <v>28</v>
      </c>
      <c r="C29" s="10">
        <v>6</v>
      </c>
      <c r="D29" s="10">
        <v>2020</v>
      </c>
      <c r="E29" s="4">
        <v>39870</v>
      </c>
      <c r="F29" s="11">
        <v>0.2</v>
      </c>
      <c r="G29" s="4">
        <f>LPG!C31</f>
        <v>2052.6886666666669</v>
      </c>
      <c r="H29" s="11">
        <v>1.0700000617076855</v>
      </c>
      <c r="I29" s="4">
        <v>411.91600000000818</v>
      </c>
      <c r="J29" s="11">
        <v>7.84</v>
      </c>
      <c r="K29" s="4">
        <f>'Occupied &amp; No. of Guest'!B30</f>
        <v>206</v>
      </c>
      <c r="L29" s="4">
        <f>'Occupied &amp; No. of Guest'!C30</f>
        <v>484</v>
      </c>
    </row>
    <row r="30" spans="1:12" x14ac:dyDescent="0.3">
      <c r="A30" s="9" t="s">
        <v>12</v>
      </c>
      <c r="B30" s="10">
        <f t="shared" si="0"/>
        <v>29</v>
      </c>
      <c r="C30" s="10">
        <v>6</v>
      </c>
      <c r="D30" s="10">
        <v>2020</v>
      </c>
      <c r="E30" s="4">
        <v>37868</v>
      </c>
      <c r="F30" s="11">
        <v>0.2</v>
      </c>
      <c r="G30" s="4">
        <f>LPG!C32</f>
        <v>2052.6886666666669</v>
      </c>
      <c r="H30" s="11">
        <v>1.0700000617076855</v>
      </c>
      <c r="I30" s="4">
        <v>292.71100000000916</v>
      </c>
      <c r="J30" s="11">
        <v>7.84</v>
      </c>
      <c r="K30" s="4">
        <f>'Occupied &amp; No. of Guest'!B31</f>
        <v>203</v>
      </c>
      <c r="L30" s="4">
        <f>'Occupied &amp; No. of Guest'!C31</f>
        <v>479</v>
      </c>
    </row>
    <row r="31" spans="1:12" x14ac:dyDescent="0.3">
      <c r="A31" s="9" t="s">
        <v>12</v>
      </c>
      <c r="B31" s="10">
        <f t="shared" si="0"/>
        <v>30</v>
      </c>
      <c r="C31" s="10">
        <v>6</v>
      </c>
      <c r="D31" s="10">
        <v>2020</v>
      </c>
      <c r="E31" s="4">
        <v>38273</v>
      </c>
      <c r="F31" s="11">
        <v>0.2</v>
      </c>
      <c r="G31" s="4">
        <f>LPG!C33</f>
        <v>2052.6886666666669</v>
      </c>
      <c r="H31" s="11">
        <v>1.0700000617076855</v>
      </c>
      <c r="I31" s="4">
        <v>257.41799999997949</v>
      </c>
      <c r="J31" s="11">
        <v>7.84</v>
      </c>
      <c r="K31" s="4">
        <f>'Occupied &amp; No. of Guest'!B32</f>
        <v>207</v>
      </c>
      <c r="L31" s="4">
        <f>'Occupied &amp; No. of Guest'!C32</f>
        <v>478</v>
      </c>
    </row>
    <row r="32" spans="1:12" x14ac:dyDescent="0.3">
      <c r="A32" s="9" t="s">
        <v>12</v>
      </c>
      <c r="B32" s="10">
        <f t="shared" si="0"/>
        <v>31</v>
      </c>
      <c r="C32" s="10">
        <v>6</v>
      </c>
      <c r="D32" s="10">
        <v>2020</v>
      </c>
      <c r="E32" s="4">
        <v>0</v>
      </c>
      <c r="F32" s="11">
        <v>0.2</v>
      </c>
      <c r="G32" s="4">
        <f>LPG!C34</f>
        <v>0</v>
      </c>
      <c r="H32" s="11">
        <v>1.0700000617076855</v>
      </c>
      <c r="I32" s="4">
        <v>0</v>
      </c>
      <c r="J32" s="11">
        <v>7.84</v>
      </c>
      <c r="K32" s="4">
        <f>'Occupied &amp; No. of Guest'!B33</f>
        <v>0</v>
      </c>
      <c r="L32" s="4">
        <f>'Occupied &amp; No. of Guest'!C33</f>
        <v>0</v>
      </c>
    </row>
    <row r="33" spans="7:7" x14ac:dyDescent="0.3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16" activePane="bottomRight" state="frozen"/>
      <selection pane="topRight" activeCell="E1" sqref="E1"/>
      <selection pane="bottomLeft" activeCell="A5" sqref="A5"/>
      <selection pane="bottomRight" activeCell="E22" sqref="E22"/>
    </sheetView>
  </sheetViews>
  <sheetFormatPr defaultColWidth="9.109375" defaultRowHeight="27" customHeight="1" x14ac:dyDescent="0.3"/>
  <cols>
    <col min="1" max="1" width="5.6640625" style="13" customWidth="1"/>
    <col min="2" max="2" width="17.33203125" style="26" customWidth="1"/>
    <col min="3" max="3" width="21.44140625" style="26" customWidth="1"/>
    <col min="4" max="4" width="10.5546875" style="13" customWidth="1"/>
    <col min="5" max="6" width="15" style="14" customWidth="1"/>
    <col min="7" max="35" width="15" style="13" customWidth="1"/>
    <col min="36" max="16384" width="9.109375" style="13"/>
  </cols>
  <sheetData>
    <row r="1" spans="1:67" ht="29.25" customHeight="1" x14ac:dyDescent="0.3">
      <c r="B1" s="13"/>
      <c r="C1" s="14"/>
      <c r="D1" s="14"/>
      <c r="G1" s="14"/>
    </row>
    <row r="2" spans="1:67" s="14" customFormat="1" ht="29.25" customHeight="1" x14ac:dyDescent="0.3">
      <c r="A2" s="66" t="s">
        <v>83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1:67" s="14" customFormat="1" ht="29.25" customHeight="1" thickBot="1" x14ac:dyDescent="0.35"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</row>
    <row r="4" spans="1:67" ht="42" thickBot="1" x14ac:dyDescent="0.35">
      <c r="A4" s="15" t="s">
        <v>13</v>
      </c>
      <c r="B4" s="16" t="s">
        <v>14</v>
      </c>
      <c r="C4" s="17" t="s">
        <v>15</v>
      </c>
      <c r="D4" s="18" t="s">
        <v>16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/>
    </row>
    <row r="5" spans="1:67" ht="26.25" customHeight="1" x14ac:dyDescent="0.3">
      <c r="A5" s="68">
        <v>1</v>
      </c>
      <c r="B5" s="20" t="s">
        <v>17</v>
      </c>
      <c r="C5" s="70" t="s">
        <v>18</v>
      </c>
      <c r="D5" s="21">
        <v>72215</v>
      </c>
      <c r="E5" s="21">
        <v>72233</v>
      </c>
      <c r="F5" s="21">
        <v>72250</v>
      </c>
      <c r="G5" s="21">
        <v>72270</v>
      </c>
      <c r="H5" s="21">
        <v>72288</v>
      </c>
      <c r="I5" s="21">
        <v>72306</v>
      </c>
      <c r="J5" s="21">
        <v>72324</v>
      </c>
      <c r="K5" s="21">
        <v>72342</v>
      </c>
      <c r="L5" s="21">
        <v>72360</v>
      </c>
      <c r="M5" s="21">
        <v>72378</v>
      </c>
      <c r="N5" s="21">
        <v>72397</v>
      </c>
      <c r="O5" s="21">
        <v>72414</v>
      </c>
      <c r="P5" s="21">
        <v>72432</v>
      </c>
      <c r="Q5" s="21">
        <v>72451</v>
      </c>
      <c r="R5" s="21">
        <v>72469</v>
      </c>
      <c r="S5" s="21">
        <v>72488</v>
      </c>
      <c r="T5" s="21">
        <v>72506</v>
      </c>
      <c r="U5" s="21">
        <v>72526</v>
      </c>
      <c r="V5" s="21">
        <v>72544</v>
      </c>
      <c r="W5" s="21">
        <v>72563</v>
      </c>
      <c r="X5" s="21">
        <v>72582</v>
      </c>
      <c r="Y5" s="21">
        <v>72600</v>
      </c>
      <c r="Z5" s="21">
        <v>72619</v>
      </c>
      <c r="AA5" s="21">
        <v>72638</v>
      </c>
      <c r="AB5" s="21">
        <v>72656</v>
      </c>
      <c r="AC5" s="21">
        <v>72675</v>
      </c>
      <c r="AD5" s="21">
        <v>72694</v>
      </c>
      <c r="AE5" s="21">
        <v>72712</v>
      </c>
      <c r="AF5" s="21">
        <v>72731</v>
      </c>
      <c r="AG5" s="21">
        <v>72750</v>
      </c>
      <c r="AH5" s="21">
        <v>72769</v>
      </c>
    </row>
    <row r="6" spans="1:67" s="24" customFormat="1" ht="21.75" customHeight="1" x14ac:dyDescent="0.3">
      <c r="A6" s="69"/>
      <c r="B6" s="22"/>
      <c r="C6" s="71"/>
      <c r="D6" s="23"/>
      <c r="E6" s="23">
        <f>(E5-D5)*1000</f>
        <v>18000</v>
      </c>
      <c r="F6" s="23">
        <f t="shared" ref="F6:AH6" si="0">(F5-E5)*1000</f>
        <v>17000</v>
      </c>
      <c r="G6" s="23">
        <f t="shared" si="0"/>
        <v>20000</v>
      </c>
      <c r="H6" s="23">
        <f t="shared" si="0"/>
        <v>18000</v>
      </c>
      <c r="I6" s="23">
        <f t="shared" si="0"/>
        <v>18000</v>
      </c>
      <c r="J6" s="23">
        <f t="shared" si="0"/>
        <v>18000</v>
      </c>
      <c r="K6" s="23">
        <f t="shared" si="0"/>
        <v>18000</v>
      </c>
      <c r="L6" s="23">
        <f t="shared" si="0"/>
        <v>18000</v>
      </c>
      <c r="M6" s="23">
        <f t="shared" si="0"/>
        <v>18000</v>
      </c>
      <c r="N6" s="23">
        <f t="shared" si="0"/>
        <v>19000</v>
      </c>
      <c r="O6" s="23">
        <f t="shared" si="0"/>
        <v>17000</v>
      </c>
      <c r="P6" s="23">
        <f t="shared" si="0"/>
        <v>18000</v>
      </c>
      <c r="Q6" s="23">
        <f t="shared" si="0"/>
        <v>19000</v>
      </c>
      <c r="R6" s="23">
        <f t="shared" si="0"/>
        <v>18000</v>
      </c>
      <c r="S6" s="23">
        <f t="shared" si="0"/>
        <v>19000</v>
      </c>
      <c r="T6" s="23">
        <f t="shared" si="0"/>
        <v>18000</v>
      </c>
      <c r="U6" s="23">
        <f t="shared" si="0"/>
        <v>20000</v>
      </c>
      <c r="V6" s="23">
        <f t="shared" si="0"/>
        <v>18000</v>
      </c>
      <c r="W6" s="23">
        <f t="shared" si="0"/>
        <v>19000</v>
      </c>
      <c r="X6" s="23">
        <f t="shared" si="0"/>
        <v>19000</v>
      </c>
      <c r="Y6" s="23">
        <f t="shared" si="0"/>
        <v>18000</v>
      </c>
      <c r="Z6" s="23">
        <f t="shared" si="0"/>
        <v>19000</v>
      </c>
      <c r="AA6" s="23">
        <f t="shared" si="0"/>
        <v>19000</v>
      </c>
      <c r="AB6" s="23">
        <f t="shared" si="0"/>
        <v>18000</v>
      </c>
      <c r="AC6" s="23">
        <f t="shared" si="0"/>
        <v>19000</v>
      </c>
      <c r="AD6" s="23">
        <f t="shared" si="0"/>
        <v>19000</v>
      </c>
      <c r="AE6" s="23">
        <f t="shared" si="0"/>
        <v>18000</v>
      </c>
      <c r="AF6" s="23">
        <f t="shared" si="0"/>
        <v>19000</v>
      </c>
      <c r="AG6" s="23">
        <f t="shared" si="0"/>
        <v>19000</v>
      </c>
      <c r="AH6" s="23">
        <f t="shared" si="0"/>
        <v>19000</v>
      </c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3">
      <c r="A7" s="72">
        <v>2</v>
      </c>
      <c r="B7" s="25" t="s">
        <v>19</v>
      </c>
      <c r="C7" s="74" t="s">
        <v>20</v>
      </c>
      <c r="D7" s="21">
        <v>29383</v>
      </c>
      <c r="E7" s="21">
        <v>29383</v>
      </c>
      <c r="F7" s="21">
        <v>29383</v>
      </c>
      <c r="G7" s="21">
        <v>29383</v>
      </c>
      <c r="H7" s="21">
        <v>29383</v>
      </c>
      <c r="I7" s="21">
        <v>29383</v>
      </c>
      <c r="J7" s="21">
        <v>29383</v>
      </c>
      <c r="K7" s="21">
        <v>29383</v>
      </c>
      <c r="L7" s="21">
        <v>29383</v>
      </c>
      <c r="M7" s="21">
        <v>29383</v>
      </c>
      <c r="N7" s="21">
        <v>29383</v>
      </c>
      <c r="O7" s="21">
        <v>29383</v>
      </c>
      <c r="P7" s="21">
        <v>29383</v>
      </c>
      <c r="Q7" s="21">
        <v>29383</v>
      </c>
      <c r="R7" s="21">
        <v>29383</v>
      </c>
      <c r="S7" s="21">
        <v>29383</v>
      </c>
      <c r="T7" s="21">
        <v>29383</v>
      </c>
      <c r="U7" s="21">
        <v>29383</v>
      </c>
      <c r="V7" s="21">
        <v>29383</v>
      </c>
      <c r="W7" s="21">
        <v>29383</v>
      </c>
      <c r="X7" s="21">
        <v>29383</v>
      </c>
      <c r="Y7" s="21">
        <v>29383</v>
      </c>
      <c r="Z7" s="21">
        <v>29383</v>
      </c>
      <c r="AA7" s="21">
        <v>29383</v>
      </c>
      <c r="AB7" s="21">
        <v>29383</v>
      </c>
      <c r="AC7" s="21">
        <v>29383</v>
      </c>
      <c r="AD7" s="21">
        <v>29383</v>
      </c>
      <c r="AE7" s="21">
        <v>29383</v>
      </c>
      <c r="AF7" s="21">
        <v>29383</v>
      </c>
      <c r="AG7" s="21">
        <v>29383</v>
      </c>
      <c r="AH7" s="21">
        <v>29383</v>
      </c>
    </row>
    <row r="8" spans="1:67" s="24" customFormat="1" ht="21.75" customHeight="1" x14ac:dyDescent="0.3">
      <c r="A8" s="73"/>
      <c r="B8" s="22"/>
      <c r="C8" s="71"/>
      <c r="D8" s="23"/>
      <c r="E8" s="23">
        <f>(E7-D7)*1000</f>
        <v>0</v>
      </c>
      <c r="F8" s="23">
        <f t="shared" ref="F8" si="1">(F7-E7)*1000</f>
        <v>0</v>
      </c>
      <c r="G8" s="23">
        <f t="shared" ref="G8" si="2">(G7-F7)*1000</f>
        <v>0</v>
      </c>
      <c r="H8" s="23">
        <f t="shared" ref="H8" si="3">(H7-G7)*1000</f>
        <v>0</v>
      </c>
      <c r="I8" s="23">
        <f t="shared" ref="I8" si="4">(I7-H7)*1000</f>
        <v>0</v>
      </c>
      <c r="J8" s="23">
        <f t="shared" ref="J8" si="5">(J7-I7)*1000</f>
        <v>0</v>
      </c>
      <c r="K8" s="23">
        <f t="shared" ref="K8" si="6">(K7-J7)*1000</f>
        <v>0</v>
      </c>
      <c r="L8" s="23">
        <f t="shared" ref="L8" si="7">(L7-K7)*1000</f>
        <v>0</v>
      </c>
      <c r="M8" s="23">
        <f t="shared" ref="M8" si="8">(M7-L7)*1000</f>
        <v>0</v>
      </c>
      <c r="N8" s="23">
        <f t="shared" ref="N8" si="9">(N7-M7)*1000</f>
        <v>0</v>
      </c>
      <c r="O8" s="23">
        <f t="shared" ref="O8" si="10">(O7-N7)*1000</f>
        <v>0</v>
      </c>
      <c r="P8" s="23">
        <f t="shared" ref="P8" si="11">(P7-O7)*1000</f>
        <v>0</v>
      </c>
      <c r="Q8" s="23">
        <f t="shared" ref="Q8" si="12">(Q7-P7)*1000</f>
        <v>0</v>
      </c>
      <c r="R8" s="23">
        <f t="shared" ref="R8" si="13">(R7-Q7)*1000</f>
        <v>0</v>
      </c>
      <c r="S8" s="23">
        <f t="shared" ref="S8" si="14">(S7-R7)*1000</f>
        <v>0</v>
      </c>
      <c r="T8" s="23">
        <f t="shared" ref="T8" si="15">(T7-S7)*1000</f>
        <v>0</v>
      </c>
      <c r="U8" s="23">
        <f t="shared" ref="U8" si="16">(U7-T7)*1000</f>
        <v>0</v>
      </c>
      <c r="V8" s="23">
        <f t="shared" ref="V8" si="17">(V7-U7)*1000</f>
        <v>0</v>
      </c>
      <c r="W8" s="23">
        <f t="shared" ref="W8" si="18">(W7-V7)*1000</f>
        <v>0</v>
      </c>
      <c r="X8" s="23">
        <f t="shared" ref="X8" si="19">(X7-W7)*1000</f>
        <v>0</v>
      </c>
      <c r="Y8" s="23">
        <f t="shared" ref="Y8" si="20">(Y7-X7)*1000</f>
        <v>0</v>
      </c>
      <c r="Z8" s="23">
        <f t="shared" ref="Z8" si="21">(Z7-Y7)*1000</f>
        <v>0</v>
      </c>
      <c r="AA8" s="23">
        <f t="shared" ref="AA8" si="22">(AA7-Z7)*1000</f>
        <v>0</v>
      </c>
      <c r="AB8" s="23">
        <f t="shared" ref="AB8" si="23">(AB7-AA7)*1000</f>
        <v>0</v>
      </c>
      <c r="AC8" s="23">
        <f t="shared" ref="AC8" si="24">(AC7-AB7)*1000</f>
        <v>0</v>
      </c>
      <c r="AD8" s="23">
        <f t="shared" ref="AD8" si="25">(AD7-AC7)*1000</f>
        <v>0</v>
      </c>
      <c r="AE8" s="23">
        <f t="shared" ref="AE8" si="26">(AE7-AD7)*1000</f>
        <v>0</v>
      </c>
      <c r="AF8" s="23">
        <f t="shared" ref="AF8" si="27">(AF7-AE7)*1000</f>
        <v>0</v>
      </c>
      <c r="AG8" s="23">
        <f t="shared" ref="AG8" si="28">(AG7-AF7)*1000</f>
        <v>0</v>
      </c>
      <c r="AH8" s="23">
        <f t="shared" ref="AH8" si="29">(AH7-AG7)*1000</f>
        <v>0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3">
      <c r="A9" s="79">
        <v>3</v>
      </c>
      <c r="B9" s="36" t="s">
        <v>21</v>
      </c>
      <c r="C9" s="81" t="s">
        <v>22</v>
      </c>
      <c r="D9" s="21">
        <v>86474</v>
      </c>
      <c r="E9" s="21">
        <v>86492</v>
      </c>
      <c r="F9" s="21">
        <v>86510</v>
      </c>
      <c r="G9" s="21">
        <v>86528</v>
      </c>
      <c r="H9" s="21">
        <v>86545</v>
      </c>
      <c r="I9" s="21">
        <v>86563</v>
      </c>
      <c r="J9" s="21">
        <v>86582</v>
      </c>
      <c r="K9" s="21">
        <v>86601</v>
      </c>
      <c r="L9" s="21">
        <v>86620</v>
      </c>
      <c r="M9" s="21">
        <v>86642</v>
      </c>
      <c r="N9" s="21">
        <v>86661</v>
      </c>
      <c r="O9" s="21">
        <v>86680</v>
      </c>
      <c r="P9" s="21">
        <v>86699</v>
      </c>
      <c r="Q9" s="21">
        <v>86718</v>
      </c>
      <c r="R9" s="21">
        <v>86737</v>
      </c>
      <c r="S9" s="21">
        <v>86758</v>
      </c>
      <c r="T9" s="21">
        <v>86779</v>
      </c>
      <c r="U9" s="21">
        <v>86801</v>
      </c>
      <c r="V9" s="21">
        <v>86823</v>
      </c>
      <c r="W9" s="21">
        <v>86844</v>
      </c>
      <c r="X9" s="21">
        <v>86865</v>
      </c>
      <c r="Y9" s="21">
        <v>86885</v>
      </c>
      <c r="Z9" s="21">
        <v>86905</v>
      </c>
      <c r="AA9" s="21">
        <v>86926</v>
      </c>
      <c r="AB9" s="21">
        <v>86947</v>
      </c>
      <c r="AC9" s="21">
        <v>86968</v>
      </c>
      <c r="AD9" s="21">
        <v>86990</v>
      </c>
      <c r="AE9" s="21">
        <v>87012</v>
      </c>
      <c r="AF9" s="21">
        <v>87034</v>
      </c>
      <c r="AG9" s="21">
        <v>87056</v>
      </c>
      <c r="AH9" s="21">
        <v>87075</v>
      </c>
    </row>
    <row r="10" spans="1:67" s="24" customFormat="1" ht="21.75" customHeight="1" x14ac:dyDescent="0.3">
      <c r="A10" s="80"/>
      <c r="B10" s="37"/>
      <c r="C10" s="78"/>
      <c r="D10" s="23"/>
      <c r="E10" s="23">
        <f>(E9-D9)*1000</f>
        <v>18000</v>
      </c>
      <c r="F10" s="23">
        <f t="shared" ref="F10" si="30">(F9-E9)*1000</f>
        <v>18000</v>
      </c>
      <c r="G10" s="23">
        <f t="shared" ref="G10" si="31">(G9-F9)*1000</f>
        <v>18000</v>
      </c>
      <c r="H10" s="23">
        <f t="shared" ref="H10" si="32">(H9-G9)*1000</f>
        <v>17000</v>
      </c>
      <c r="I10" s="23">
        <f t="shared" ref="I10" si="33">(I9-H9)*1000</f>
        <v>18000</v>
      </c>
      <c r="J10" s="23">
        <f t="shared" ref="J10" si="34">(J9-I9)*1000</f>
        <v>19000</v>
      </c>
      <c r="K10" s="23">
        <f t="shared" ref="K10" si="35">(K9-J9)*1000</f>
        <v>19000</v>
      </c>
      <c r="L10" s="23">
        <f t="shared" ref="L10" si="36">(L9-K9)*1000</f>
        <v>19000</v>
      </c>
      <c r="M10" s="23">
        <f t="shared" ref="M10" si="37">(M9-L9)*1000</f>
        <v>22000</v>
      </c>
      <c r="N10" s="23">
        <f t="shared" ref="N10" si="38">(N9-M9)*1000</f>
        <v>19000</v>
      </c>
      <c r="O10" s="23">
        <f t="shared" ref="O10" si="39">(O9-N9)*1000</f>
        <v>19000</v>
      </c>
      <c r="P10" s="23">
        <f t="shared" ref="P10" si="40">(P9-O9)*1000</f>
        <v>19000</v>
      </c>
      <c r="Q10" s="23">
        <f t="shared" ref="Q10" si="41">(Q9-P9)*1000</f>
        <v>19000</v>
      </c>
      <c r="R10" s="23">
        <f t="shared" ref="R10" si="42">(R9-Q9)*1000</f>
        <v>19000</v>
      </c>
      <c r="S10" s="23">
        <f t="shared" ref="S10" si="43">(S9-R9)*1000</f>
        <v>21000</v>
      </c>
      <c r="T10" s="23">
        <f t="shared" ref="T10" si="44">(T9-S9)*1000</f>
        <v>21000</v>
      </c>
      <c r="U10" s="23">
        <f t="shared" ref="U10" si="45">(U9-T9)*1000</f>
        <v>22000</v>
      </c>
      <c r="V10" s="23">
        <f t="shared" ref="V10" si="46">(V9-U9)*1000</f>
        <v>22000</v>
      </c>
      <c r="W10" s="23">
        <f t="shared" ref="W10" si="47">(W9-V9)*1000</f>
        <v>21000</v>
      </c>
      <c r="X10" s="23">
        <f t="shared" ref="X10" si="48">(X9-W9)*1000</f>
        <v>21000</v>
      </c>
      <c r="Y10" s="23">
        <f t="shared" ref="Y10" si="49">(Y9-X9)*1000</f>
        <v>20000</v>
      </c>
      <c r="Z10" s="23">
        <f t="shared" ref="Z10" si="50">(Z9-Y9)*1000</f>
        <v>20000</v>
      </c>
      <c r="AA10" s="23">
        <f t="shared" ref="AA10" si="51">(AA9-Z9)*1000</f>
        <v>21000</v>
      </c>
      <c r="AB10" s="23">
        <f t="shared" ref="AB10" si="52">(AB9-AA9)*1000</f>
        <v>21000</v>
      </c>
      <c r="AC10" s="23">
        <f t="shared" ref="AC10" si="53">(AC9-AB9)*1000</f>
        <v>21000</v>
      </c>
      <c r="AD10" s="23">
        <f t="shared" ref="AD10" si="54">(AD9-AC9)*1000</f>
        <v>22000</v>
      </c>
      <c r="AE10" s="23">
        <f t="shared" ref="AE10" si="55">(AE9-AD9)*1000</f>
        <v>22000</v>
      </c>
      <c r="AF10" s="23">
        <f t="shared" ref="AF10" si="56">(AF9-AE9)*1000</f>
        <v>22000</v>
      </c>
      <c r="AG10" s="23">
        <f t="shared" ref="AG10" si="57">(AG9-AF9)*1000</f>
        <v>22000</v>
      </c>
      <c r="AH10" s="23">
        <f t="shared" ref="AH10" si="58">(AH9-AG9)*1000</f>
        <v>19000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3">
      <c r="A11" s="75">
        <v>4</v>
      </c>
      <c r="B11" s="36" t="s">
        <v>23</v>
      </c>
      <c r="C11" s="81" t="s">
        <v>24</v>
      </c>
      <c r="D11" s="21">
        <v>72507</v>
      </c>
      <c r="E11" s="21">
        <v>72531</v>
      </c>
      <c r="F11" s="21">
        <v>72553</v>
      </c>
      <c r="G11" s="21">
        <v>72578</v>
      </c>
      <c r="H11" s="21">
        <v>72603</v>
      </c>
      <c r="I11" s="21">
        <v>72634</v>
      </c>
      <c r="J11" s="21">
        <v>72662</v>
      </c>
      <c r="K11" s="21">
        <v>72691</v>
      </c>
      <c r="L11" s="21">
        <v>72715</v>
      </c>
      <c r="M11" s="21">
        <v>72739</v>
      </c>
      <c r="N11" s="21">
        <v>72770</v>
      </c>
      <c r="O11" s="21">
        <v>72798</v>
      </c>
      <c r="P11" s="21">
        <v>72821</v>
      </c>
      <c r="Q11" s="21">
        <v>72851</v>
      </c>
      <c r="R11" s="21">
        <v>72883</v>
      </c>
      <c r="S11" s="21">
        <v>72913</v>
      </c>
      <c r="T11" s="21">
        <v>72936</v>
      </c>
      <c r="U11" s="21">
        <v>72964</v>
      </c>
      <c r="V11" s="21">
        <v>72987</v>
      </c>
      <c r="W11" s="21">
        <v>73010</v>
      </c>
      <c r="X11" s="21">
        <v>73036</v>
      </c>
      <c r="Y11" s="21">
        <v>73064</v>
      </c>
      <c r="Z11" s="21">
        <v>73086</v>
      </c>
      <c r="AA11" s="21">
        <v>73108</v>
      </c>
      <c r="AB11" s="21">
        <v>73135</v>
      </c>
      <c r="AC11" s="21">
        <v>73166</v>
      </c>
      <c r="AD11" s="21">
        <v>73197</v>
      </c>
      <c r="AE11" s="21">
        <v>73229</v>
      </c>
      <c r="AF11" s="21">
        <v>73259</v>
      </c>
      <c r="AG11" s="21">
        <v>73284</v>
      </c>
      <c r="AH11" s="21">
        <v>73313</v>
      </c>
    </row>
    <row r="12" spans="1:67" s="38" customFormat="1" ht="21.75" customHeight="1" x14ac:dyDescent="0.3">
      <c r="A12" s="76"/>
      <c r="B12" s="37"/>
      <c r="C12" s="78"/>
      <c r="D12" s="23"/>
      <c r="E12" s="23">
        <f>(E11-D11)*1000</f>
        <v>24000</v>
      </c>
      <c r="F12" s="23">
        <f t="shared" ref="F12" si="59">(F11-E11)*1000</f>
        <v>22000</v>
      </c>
      <c r="G12" s="23">
        <f t="shared" ref="G12" si="60">(G11-F11)*1000</f>
        <v>25000</v>
      </c>
      <c r="H12" s="23">
        <f t="shared" ref="H12" si="61">(H11-G11)*1000</f>
        <v>25000</v>
      </c>
      <c r="I12" s="23">
        <f t="shared" ref="I12" si="62">(I11-H11)*1000</f>
        <v>31000</v>
      </c>
      <c r="J12" s="23">
        <f t="shared" ref="J12" si="63">(J11-I11)*1000</f>
        <v>28000</v>
      </c>
      <c r="K12" s="23">
        <f t="shared" ref="K12" si="64">(K11-J11)*1000</f>
        <v>29000</v>
      </c>
      <c r="L12" s="23">
        <f t="shared" ref="L12" si="65">(L11-K11)*1000</f>
        <v>24000</v>
      </c>
      <c r="M12" s="23">
        <f t="shared" ref="M12" si="66">(M11-L11)*1000</f>
        <v>24000</v>
      </c>
      <c r="N12" s="23">
        <f t="shared" ref="N12" si="67">(N11-M11)*1000</f>
        <v>31000</v>
      </c>
      <c r="O12" s="23">
        <f t="shared" ref="O12" si="68">(O11-N11)*1000</f>
        <v>28000</v>
      </c>
      <c r="P12" s="23">
        <f t="shared" ref="P12" si="69">(P11-O11)*1000</f>
        <v>23000</v>
      </c>
      <c r="Q12" s="23">
        <f t="shared" ref="Q12" si="70">(Q11-P11)*1000</f>
        <v>30000</v>
      </c>
      <c r="R12" s="23">
        <f t="shared" ref="R12" si="71">(R11-Q11)*1000</f>
        <v>32000</v>
      </c>
      <c r="S12" s="23">
        <f t="shared" ref="S12" si="72">(S11-R11)*1000</f>
        <v>30000</v>
      </c>
      <c r="T12" s="23">
        <f t="shared" ref="T12" si="73">(T11-S11)*1000</f>
        <v>23000</v>
      </c>
      <c r="U12" s="23">
        <f t="shared" ref="U12" si="74">(U11-T11)*1000</f>
        <v>28000</v>
      </c>
      <c r="V12" s="23">
        <f t="shared" ref="V12" si="75">(V11-U11)*1000</f>
        <v>23000</v>
      </c>
      <c r="W12" s="23">
        <f t="shared" ref="W12" si="76">(W11-V11)*1000</f>
        <v>23000</v>
      </c>
      <c r="X12" s="23">
        <f t="shared" ref="X12" si="77">(X11-W11)*1000</f>
        <v>26000</v>
      </c>
      <c r="Y12" s="23">
        <f t="shared" ref="Y12" si="78">(Y11-X11)*1000</f>
        <v>28000</v>
      </c>
      <c r="Z12" s="23">
        <f t="shared" ref="Z12" si="79">(Z11-Y11)*1000</f>
        <v>22000</v>
      </c>
      <c r="AA12" s="23">
        <f t="shared" ref="AA12" si="80">(AA11-Z11)*1000</f>
        <v>22000</v>
      </c>
      <c r="AB12" s="23">
        <f t="shared" ref="AB12" si="81">(AB11-AA11)*1000</f>
        <v>27000</v>
      </c>
      <c r="AC12" s="23">
        <f t="shared" ref="AC12" si="82">(AC11-AB11)*1000</f>
        <v>31000</v>
      </c>
      <c r="AD12" s="23">
        <f t="shared" ref="AD12" si="83">(AD11-AC11)*1000</f>
        <v>31000</v>
      </c>
      <c r="AE12" s="23">
        <f t="shared" ref="AE12" si="84">(AE11-AD11)*1000</f>
        <v>32000</v>
      </c>
      <c r="AF12" s="23">
        <f t="shared" ref="AF12" si="85">(AF11-AE11)*1000</f>
        <v>30000</v>
      </c>
      <c r="AG12" s="23">
        <f t="shared" ref="AG12" si="86">(AG11-AF11)*1000</f>
        <v>25000</v>
      </c>
      <c r="AH12" s="23">
        <f t="shared" ref="AH12" si="87">(AH11-AG11)*1000</f>
        <v>29000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3">
      <c r="A13" s="79">
        <v>7</v>
      </c>
      <c r="B13" s="39" t="s">
        <v>25</v>
      </c>
      <c r="C13" s="77" t="s">
        <v>26</v>
      </c>
      <c r="D13" s="40">
        <v>2955</v>
      </c>
      <c r="E13" s="40">
        <v>2955</v>
      </c>
      <c r="F13" s="40">
        <v>2955</v>
      </c>
      <c r="G13" s="40">
        <v>2955</v>
      </c>
      <c r="H13" s="40">
        <v>2955</v>
      </c>
      <c r="I13" s="40">
        <v>2955</v>
      </c>
      <c r="J13" s="40">
        <v>2955</v>
      </c>
      <c r="K13" s="40">
        <v>2955</v>
      </c>
      <c r="L13" s="40">
        <v>2955</v>
      </c>
      <c r="M13" s="40">
        <v>2955</v>
      </c>
      <c r="N13" s="40">
        <v>2955</v>
      </c>
      <c r="O13" s="40">
        <v>2955</v>
      </c>
      <c r="P13" s="40">
        <v>2955</v>
      </c>
      <c r="Q13" s="40">
        <v>2955</v>
      </c>
      <c r="R13" s="40">
        <v>2955</v>
      </c>
      <c r="S13" s="40">
        <v>2955</v>
      </c>
      <c r="T13" s="40">
        <v>2972</v>
      </c>
      <c r="U13" s="40">
        <v>2972</v>
      </c>
      <c r="V13" s="40">
        <v>2972</v>
      </c>
      <c r="W13" s="40">
        <v>2972</v>
      </c>
      <c r="X13" s="40">
        <v>2972</v>
      </c>
      <c r="Y13" s="40">
        <v>2972</v>
      </c>
      <c r="Z13" s="40">
        <v>2972</v>
      </c>
      <c r="AA13" s="40">
        <v>2972</v>
      </c>
      <c r="AB13" s="40">
        <v>2972</v>
      </c>
      <c r="AC13" s="40">
        <v>2972</v>
      </c>
      <c r="AD13" s="40">
        <v>2972</v>
      </c>
      <c r="AE13" s="40">
        <v>2972</v>
      </c>
      <c r="AF13" s="40">
        <v>2972</v>
      </c>
      <c r="AG13" s="40">
        <v>2972</v>
      </c>
      <c r="AH13" s="40">
        <v>2972</v>
      </c>
      <c r="AI13" s="40"/>
    </row>
    <row r="14" spans="1:67" s="24" customFormat="1" ht="21.75" customHeight="1" x14ac:dyDescent="0.3">
      <c r="A14" s="80"/>
      <c r="B14" s="41"/>
      <c r="C14" s="78"/>
      <c r="D14" s="42"/>
      <c r="E14" s="42">
        <f t="shared" ref="E14:AH14" si="88">E13-D13</f>
        <v>0</v>
      </c>
      <c r="F14" s="42">
        <f t="shared" si="88"/>
        <v>0</v>
      </c>
      <c r="G14" s="42">
        <f t="shared" si="88"/>
        <v>0</v>
      </c>
      <c r="H14" s="42">
        <f t="shared" si="88"/>
        <v>0</v>
      </c>
      <c r="I14" s="42">
        <f t="shared" si="88"/>
        <v>0</v>
      </c>
      <c r="J14" s="42">
        <f t="shared" si="88"/>
        <v>0</v>
      </c>
      <c r="K14" s="42">
        <f t="shared" si="88"/>
        <v>0</v>
      </c>
      <c r="L14" s="42">
        <f t="shared" si="88"/>
        <v>0</v>
      </c>
      <c r="M14" s="42">
        <f t="shared" si="88"/>
        <v>0</v>
      </c>
      <c r="N14" s="42">
        <f t="shared" si="88"/>
        <v>0</v>
      </c>
      <c r="O14" s="42">
        <f t="shared" si="88"/>
        <v>0</v>
      </c>
      <c r="P14" s="42">
        <f t="shared" si="88"/>
        <v>0</v>
      </c>
      <c r="Q14" s="42">
        <f t="shared" si="88"/>
        <v>0</v>
      </c>
      <c r="R14" s="42">
        <f t="shared" si="88"/>
        <v>0</v>
      </c>
      <c r="S14" s="42">
        <f t="shared" si="88"/>
        <v>0</v>
      </c>
      <c r="T14" s="42">
        <f t="shared" si="88"/>
        <v>17</v>
      </c>
      <c r="U14" s="42">
        <f t="shared" si="88"/>
        <v>0</v>
      </c>
      <c r="V14" s="42">
        <f t="shared" si="88"/>
        <v>0</v>
      </c>
      <c r="W14" s="42">
        <f t="shared" si="88"/>
        <v>0</v>
      </c>
      <c r="X14" s="42">
        <f t="shared" si="88"/>
        <v>0</v>
      </c>
      <c r="Y14" s="42">
        <f t="shared" si="88"/>
        <v>0</v>
      </c>
      <c r="Z14" s="42">
        <f t="shared" si="88"/>
        <v>0</v>
      </c>
      <c r="AA14" s="42">
        <f t="shared" si="88"/>
        <v>0</v>
      </c>
      <c r="AB14" s="42">
        <f t="shared" si="88"/>
        <v>0</v>
      </c>
      <c r="AC14" s="42">
        <f t="shared" si="88"/>
        <v>0</v>
      </c>
      <c r="AD14" s="42">
        <f t="shared" si="88"/>
        <v>0</v>
      </c>
      <c r="AE14" s="42">
        <f t="shared" si="88"/>
        <v>0</v>
      </c>
      <c r="AF14" s="42">
        <f t="shared" si="88"/>
        <v>0</v>
      </c>
      <c r="AG14" s="42">
        <f t="shared" si="88"/>
        <v>0</v>
      </c>
      <c r="AH14" s="42">
        <f t="shared" si="88"/>
        <v>0</v>
      </c>
      <c r="AI14" s="42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3">
      <c r="A15" s="75">
        <v>8</v>
      </c>
      <c r="B15" s="39" t="s">
        <v>27</v>
      </c>
      <c r="C15" s="77" t="s">
        <v>28</v>
      </c>
      <c r="D15" s="40">
        <v>306</v>
      </c>
      <c r="E15" s="40">
        <v>306</v>
      </c>
      <c r="F15" s="40">
        <v>306</v>
      </c>
      <c r="G15" s="40">
        <v>306</v>
      </c>
      <c r="H15" s="40">
        <v>306</v>
      </c>
      <c r="I15" s="40">
        <v>306</v>
      </c>
      <c r="J15" s="40">
        <v>306</v>
      </c>
      <c r="K15" s="40">
        <v>306</v>
      </c>
      <c r="L15" s="40">
        <v>307</v>
      </c>
      <c r="M15" s="40">
        <v>307</v>
      </c>
      <c r="N15" s="40">
        <v>307</v>
      </c>
      <c r="O15" s="40">
        <v>307</v>
      </c>
      <c r="P15" s="40">
        <v>307</v>
      </c>
      <c r="Q15" s="40">
        <v>307</v>
      </c>
      <c r="R15" s="40">
        <v>309</v>
      </c>
      <c r="S15" s="40">
        <v>309</v>
      </c>
      <c r="T15" s="40">
        <v>309</v>
      </c>
      <c r="U15" s="40">
        <v>309</v>
      </c>
      <c r="V15" s="40">
        <v>309</v>
      </c>
      <c r="W15" s="40">
        <v>309</v>
      </c>
      <c r="X15" s="40">
        <v>309</v>
      </c>
      <c r="Y15" s="40">
        <v>309</v>
      </c>
      <c r="Z15" s="40">
        <v>309</v>
      </c>
      <c r="AA15" s="40">
        <v>309</v>
      </c>
      <c r="AB15" s="40">
        <v>309</v>
      </c>
      <c r="AC15" s="40">
        <v>309</v>
      </c>
      <c r="AD15" s="40">
        <v>309</v>
      </c>
      <c r="AE15" s="40">
        <v>309</v>
      </c>
      <c r="AF15" s="40">
        <v>309</v>
      </c>
      <c r="AG15" s="40">
        <v>309</v>
      </c>
      <c r="AH15" s="40">
        <v>310</v>
      </c>
      <c r="AI15" s="40"/>
    </row>
    <row r="16" spans="1:67" s="24" customFormat="1" ht="21.75" customHeight="1" x14ac:dyDescent="0.3">
      <c r="A16" s="76"/>
      <c r="B16" s="41"/>
      <c r="C16" s="78"/>
      <c r="D16" s="42"/>
      <c r="E16" s="42">
        <f t="shared" ref="E16:AH16" si="89">E15-D15</f>
        <v>0</v>
      </c>
      <c r="F16" s="42">
        <f t="shared" si="89"/>
        <v>0</v>
      </c>
      <c r="G16" s="42">
        <f t="shared" si="89"/>
        <v>0</v>
      </c>
      <c r="H16" s="42">
        <f t="shared" si="89"/>
        <v>0</v>
      </c>
      <c r="I16" s="42">
        <f t="shared" si="89"/>
        <v>0</v>
      </c>
      <c r="J16" s="42">
        <f t="shared" si="89"/>
        <v>0</v>
      </c>
      <c r="K16" s="42">
        <f t="shared" si="89"/>
        <v>0</v>
      </c>
      <c r="L16" s="42">
        <f t="shared" si="89"/>
        <v>1</v>
      </c>
      <c r="M16" s="42">
        <f t="shared" si="89"/>
        <v>0</v>
      </c>
      <c r="N16" s="42">
        <f t="shared" si="89"/>
        <v>0</v>
      </c>
      <c r="O16" s="42">
        <f t="shared" si="89"/>
        <v>0</v>
      </c>
      <c r="P16" s="42">
        <f t="shared" si="89"/>
        <v>0</v>
      </c>
      <c r="Q16" s="42">
        <f t="shared" si="89"/>
        <v>0</v>
      </c>
      <c r="R16" s="42">
        <f t="shared" si="89"/>
        <v>2</v>
      </c>
      <c r="S16" s="42">
        <f t="shared" si="89"/>
        <v>0</v>
      </c>
      <c r="T16" s="42">
        <f t="shared" si="89"/>
        <v>0</v>
      </c>
      <c r="U16" s="42">
        <f t="shared" si="89"/>
        <v>0</v>
      </c>
      <c r="V16" s="42">
        <f t="shared" si="89"/>
        <v>0</v>
      </c>
      <c r="W16" s="42">
        <f t="shared" si="89"/>
        <v>0</v>
      </c>
      <c r="X16" s="42">
        <f t="shared" si="89"/>
        <v>0</v>
      </c>
      <c r="Y16" s="42">
        <f t="shared" si="89"/>
        <v>0</v>
      </c>
      <c r="Z16" s="42">
        <f t="shared" si="89"/>
        <v>0</v>
      </c>
      <c r="AA16" s="42">
        <f t="shared" si="89"/>
        <v>0</v>
      </c>
      <c r="AB16" s="42">
        <f t="shared" si="89"/>
        <v>0</v>
      </c>
      <c r="AC16" s="42">
        <f t="shared" si="89"/>
        <v>0</v>
      </c>
      <c r="AD16" s="42">
        <f t="shared" si="89"/>
        <v>0</v>
      </c>
      <c r="AE16" s="42">
        <f t="shared" si="89"/>
        <v>0</v>
      </c>
      <c r="AF16" s="42">
        <f t="shared" si="89"/>
        <v>0</v>
      </c>
      <c r="AG16" s="42">
        <f t="shared" si="89"/>
        <v>0</v>
      </c>
      <c r="AH16" s="42">
        <f t="shared" si="89"/>
        <v>1</v>
      </c>
      <c r="AI16" s="42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3">
      <c r="A17" s="75">
        <v>13</v>
      </c>
      <c r="B17" s="39" t="s">
        <v>29</v>
      </c>
      <c r="C17" s="77" t="s">
        <v>30</v>
      </c>
      <c r="D17" s="40">
        <v>1081637</v>
      </c>
      <c r="E17" s="40">
        <v>1081677</v>
      </c>
      <c r="F17" s="40">
        <v>1081822</v>
      </c>
      <c r="G17" s="40">
        <v>1081859</v>
      </c>
      <c r="H17" s="40">
        <v>1081897</v>
      </c>
      <c r="I17" s="40">
        <v>1081936</v>
      </c>
      <c r="J17" s="40">
        <v>1081973</v>
      </c>
      <c r="K17" s="40">
        <v>1082013</v>
      </c>
      <c r="L17" s="40">
        <v>1082052</v>
      </c>
      <c r="M17" s="40">
        <v>1082090</v>
      </c>
      <c r="N17" s="40">
        <v>1082127</v>
      </c>
      <c r="O17" s="40">
        <v>1082166</v>
      </c>
      <c r="P17" s="40">
        <v>1082204</v>
      </c>
      <c r="Q17" s="40">
        <v>1082241</v>
      </c>
      <c r="R17" s="40">
        <v>1082279</v>
      </c>
      <c r="S17" s="40">
        <v>1082317</v>
      </c>
      <c r="T17" s="40">
        <v>1082355</v>
      </c>
      <c r="U17" s="40">
        <v>1082396</v>
      </c>
      <c r="V17" s="40">
        <v>1082433</v>
      </c>
      <c r="W17" s="40">
        <v>1082471</v>
      </c>
      <c r="X17" s="40">
        <v>1082509</v>
      </c>
      <c r="Y17" s="40">
        <v>1082547</v>
      </c>
      <c r="Z17" s="40">
        <v>1082585</v>
      </c>
      <c r="AA17" s="40">
        <v>1082623</v>
      </c>
      <c r="AB17" s="40">
        <v>1082661</v>
      </c>
      <c r="AC17" s="40">
        <v>1082698</v>
      </c>
      <c r="AD17" s="40">
        <v>1082738</v>
      </c>
      <c r="AE17" s="40">
        <v>1082775</v>
      </c>
      <c r="AF17" s="40">
        <v>1082813</v>
      </c>
      <c r="AG17" s="40">
        <v>1082850</v>
      </c>
      <c r="AH17" s="40">
        <v>1082889</v>
      </c>
      <c r="AI17" s="40"/>
    </row>
    <row r="18" spans="1:35" ht="21.75" customHeight="1" x14ac:dyDescent="0.3">
      <c r="A18" s="83"/>
      <c r="B18" s="43"/>
      <c r="C18" s="84"/>
      <c r="D18" s="42"/>
      <c r="E18" s="42">
        <f t="shared" ref="E18:AH18" si="90">E17-D17</f>
        <v>40</v>
      </c>
      <c r="F18" s="42">
        <f t="shared" si="90"/>
        <v>145</v>
      </c>
      <c r="G18" s="42">
        <f t="shared" si="90"/>
        <v>37</v>
      </c>
      <c r="H18" s="42">
        <f t="shared" si="90"/>
        <v>38</v>
      </c>
      <c r="I18" s="42">
        <f t="shared" si="90"/>
        <v>39</v>
      </c>
      <c r="J18" s="42">
        <f t="shared" si="90"/>
        <v>37</v>
      </c>
      <c r="K18" s="42">
        <f t="shared" si="90"/>
        <v>40</v>
      </c>
      <c r="L18" s="42">
        <f t="shared" si="90"/>
        <v>39</v>
      </c>
      <c r="M18" s="42">
        <f t="shared" si="90"/>
        <v>38</v>
      </c>
      <c r="N18" s="42">
        <f t="shared" si="90"/>
        <v>37</v>
      </c>
      <c r="O18" s="42">
        <f t="shared" si="90"/>
        <v>39</v>
      </c>
      <c r="P18" s="42">
        <f t="shared" si="90"/>
        <v>38</v>
      </c>
      <c r="Q18" s="42">
        <f t="shared" si="90"/>
        <v>37</v>
      </c>
      <c r="R18" s="42">
        <f t="shared" si="90"/>
        <v>38</v>
      </c>
      <c r="S18" s="42">
        <f t="shared" si="90"/>
        <v>38</v>
      </c>
      <c r="T18" s="42">
        <f t="shared" si="90"/>
        <v>38</v>
      </c>
      <c r="U18" s="42">
        <f t="shared" si="90"/>
        <v>41</v>
      </c>
      <c r="V18" s="42">
        <f t="shared" si="90"/>
        <v>37</v>
      </c>
      <c r="W18" s="42">
        <f t="shared" si="90"/>
        <v>38</v>
      </c>
      <c r="X18" s="42">
        <f t="shared" si="90"/>
        <v>38</v>
      </c>
      <c r="Y18" s="42">
        <f t="shared" si="90"/>
        <v>38</v>
      </c>
      <c r="Z18" s="42">
        <f t="shared" si="90"/>
        <v>38</v>
      </c>
      <c r="AA18" s="42">
        <f t="shared" si="90"/>
        <v>38</v>
      </c>
      <c r="AB18" s="42">
        <f t="shared" si="90"/>
        <v>38</v>
      </c>
      <c r="AC18" s="42">
        <f t="shared" si="90"/>
        <v>37</v>
      </c>
      <c r="AD18" s="42">
        <f t="shared" si="90"/>
        <v>40</v>
      </c>
      <c r="AE18" s="42">
        <f t="shared" si="90"/>
        <v>37</v>
      </c>
      <c r="AF18" s="42">
        <f t="shared" si="90"/>
        <v>38</v>
      </c>
      <c r="AG18" s="42">
        <f t="shared" si="90"/>
        <v>37</v>
      </c>
      <c r="AH18" s="42">
        <f t="shared" si="90"/>
        <v>39</v>
      </c>
      <c r="AI18" s="42"/>
    </row>
    <row r="19" spans="1:35" ht="21.75" customHeight="1" x14ac:dyDescent="0.3">
      <c r="A19" s="85">
        <v>14</v>
      </c>
      <c r="B19" s="39" t="s">
        <v>31</v>
      </c>
      <c r="C19" s="77" t="s">
        <v>32</v>
      </c>
      <c r="D19" s="40">
        <v>316112</v>
      </c>
      <c r="E19" s="40">
        <v>316151</v>
      </c>
      <c r="F19" s="40">
        <v>316189</v>
      </c>
      <c r="G19" s="40">
        <v>316224</v>
      </c>
      <c r="H19" s="40">
        <v>316261</v>
      </c>
      <c r="I19" s="40">
        <v>316298</v>
      </c>
      <c r="J19" s="40">
        <v>316334</v>
      </c>
      <c r="K19" s="40">
        <v>316373</v>
      </c>
      <c r="L19" s="40">
        <v>316412</v>
      </c>
      <c r="M19" s="40">
        <v>316450</v>
      </c>
      <c r="N19" s="40">
        <v>316488</v>
      </c>
      <c r="O19" s="40">
        <v>316527</v>
      </c>
      <c r="P19" s="40">
        <v>316565</v>
      </c>
      <c r="Q19" s="40">
        <v>316602</v>
      </c>
      <c r="R19" s="40">
        <v>316642</v>
      </c>
      <c r="S19" s="40">
        <v>316680</v>
      </c>
      <c r="T19" s="40">
        <v>316718</v>
      </c>
      <c r="U19" s="40">
        <v>316756</v>
      </c>
      <c r="V19" s="40">
        <v>316788</v>
      </c>
      <c r="W19" s="40">
        <v>316821</v>
      </c>
      <c r="X19" s="40">
        <v>316855</v>
      </c>
      <c r="Y19" s="40">
        <v>316888</v>
      </c>
      <c r="Z19" s="40">
        <v>316920</v>
      </c>
      <c r="AA19" s="40">
        <v>316951</v>
      </c>
      <c r="AB19" s="40">
        <v>316984</v>
      </c>
      <c r="AC19" s="40">
        <v>317016</v>
      </c>
      <c r="AD19" s="40">
        <v>317050</v>
      </c>
      <c r="AE19" s="40">
        <v>317083</v>
      </c>
      <c r="AF19" s="40">
        <v>317115</v>
      </c>
      <c r="AG19" s="40">
        <v>317146</v>
      </c>
      <c r="AH19" s="40">
        <v>317179</v>
      </c>
      <c r="AI19" s="40"/>
    </row>
    <row r="20" spans="1:35" ht="21.75" customHeight="1" x14ac:dyDescent="0.3">
      <c r="A20" s="80"/>
      <c r="B20" s="43"/>
      <c r="C20" s="84"/>
      <c r="D20" s="42"/>
      <c r="E20" s="42">
        <f t="shared" ref="E20:AH20" si="91">E19-D19</f>
        <v>39</v>
      </c>
      <c r="F20" s="42">
        <f t="shared" si="91"/>
        <v>38</v>
      </c>
      <c r="G20" s="42">
        <f t="shared" si="91"/>
        <v>35</v>
      </c>
      <c r="H20" s="42">
        <f t="shared" si="91"/>
        <v>37</v>
      </c>
      <c r="I20" s="42">
        <f t="shared" si="91"/>
        <v>37</v>
      </c>
      <c r="J20" s="42">
        <f t="shared" si="91"/>
        <v>36</v>
      </c>
      <c r="K20" s="42">
        <f t="shared" si="91"/>
        <v>39</v>
      </c>
      <c r="L20" s="42">
        <f t="shared" si="91"/>
        <v>39</v>
      </c>
      <c r="M20" s="42">
        <f t="shared" si="91"/>
        <v>38</v>
      </c>
      <c r="N20" s="42">
        <f t="shared" si="91"/>
        <v>38</v>
      </c>
      <c r="O20" s="42">
        <f t="shared" si="91"/>
        <v>39</v>
      </c>
      <c r="P20" s="42">
        <f t="shared" si="91"/>
        <v>38</v>
      </c>
      <c r="Q20" s="42">
        <f t="shared" si="91"/>
        <v>37</v>
      </c>
      <c r="R20" s="42">
        <f t="shared" si="91"/>
        <v>40</v>
      </c>
      <c r="S20" s="42">
        <f t="shared" si="91"/>
        <v>38</v>
      </c>
      <c r="T20" s="42">
        <f t="shared" si="91"/>
        <v>38</v>
      </c>
      <c r="U20" s="42">
        <f t="shared" si="91"/>
        <v>38</v>
      </c>
      <c r="V20" s="42">
        <f t="shared" si="91"/>
        <v>32</v>
      </c>
      <c r="W20" s="42">
        <f t="shared" si="91"/>
        <v>33</v>
      </c>
      <c r="X20" s="42">
        <f t="shared" si="91"/>
        <v>34</v>
      </c>
      <c r="Y20" s="42">
        <f t="shared" si="91"/>
        <v>33</v>
      </c>
      <c r="Z20" s="42">
        <f t="shared" si="91"/>
        <v>32</v>
      </c>
      <c r="AA20" s="42">
        <f t="shared" si="91"/>
        <v>31</v>
      </c>
      <c r="AB20" s="42">
        <f t="shared" si="91"/>
        <v>33</v>
      </c>
      <c r="AC20" s="42">
        <f t="shared" si="91"/>
        <v>32</v>
      </c>
      <c r="AD20" s="42">
        <f t="shared" si="91"/>
        <v>34</v>
      </c>
      <c r="AE20" s="42">
        <f t="shared" si="91"/>
        <v>33</v>
      </c>
      <c r="AF20" s="42">
        <f t="shared" si="91"/>
        <v>32</v>
      </c>
      <c r="AG20" s="42">
        <f t="shared" si="91"/>
        <v>31</v>
      </c>
      <c r="AH20" s="42">
        <f t="shared" si="91"/>
        <v>33</v>
      </c>
      <c r="AI20" s="42"/>
    </row>
    <row r="21" spans="1:35" ht="27" customHeight="1" x14ac:dyDescent="0.3">
      <c r="B21" s="86" t="s">
        <v>33</v>
      </c>
      <c r="C21" s="86"/>
      <c r="D21" s="44"/>
      <c r="E21" s="58">
        <f>((E6+E8)+((E10+E12)*40%)+(E14+E16+E18+E20))</f>
        <v>34879</v>
      </c>
      <c r="F21" s="58">
        <f t="shared" ref="F21:AH21" si="92">((F6+F8)+((F10+F12)*40%)+(F14+F16+F18+F20))</f>
        <v>33183</v>
      </c>
      <c r="G21" s="58">
        <f t="shared" si="92"/>
        <v>37272</v>
      </c>
      <c r="H21" s="58">
        <f t="shared" si="92"/>
        <v>34875</v>
      </c>
      <c r="I21" s="58">
        <f t="shared" si="92"/>
        <v>37676</v>
      </c>
      <c r="J21" s="58">
        <f t="shared" si="92"/>
        <v>36873</v>
      </c>
      <c r="K21" s="58">
        <f t="shared" si="92"/>
        <v>37279</v>
      </c>
      <c r="L21" s="58">
        <f t="shared" si="92"/>
        <v>35279</v>
      </c>
      <c r="M21" s="58">
        <f t="shared" si="92"/>
        <v>36476</v>
      </c>
      <c r="N21" s="58">
        <f t="shared" si="92"/>
        <v>39075</v>
      </c>
      <c r="O21" s="58">
        <f t="shared" si="92"/>
        <v>35878</v>
      </c>
      <c r="P21" s="58">
        <f t="shared" si="92"/>
        <v>34876</v>
      </c>
      <c r="Q21" s="58">
        <f t="shared" si="92"/>
        <v>38674</v>
      </c>
      <c r="R21" s="58">
        <f t="shared" si="92"/>
        <v>38480</v>
      </c>
      <c r="S21" s="58">
        <f t="shared" si="92"/>
        <v>39476</v>
      </c>
      <c r="T21" s="58">
        <f t="shared" si="92"/>
        <v>35693</v>
      </c>
      <c r="U21" s="58">
        <f t="shared" si="92"/>
        <v>40079</v>
      </c>
      <c r="V21" s="58">
        <f t="shared" si="92"/>
        <v>36069</v>
      </c>
      <c r="W21" s="58">
        <f t="shared" si="92"/>
        <v>36671</v>
      </c>
      <c r="X21" s="58">
        <f t="shared" si="92"/>
        <v>37872</v>
      </c>
      <c r="Y21" s="58">
        <f t="shared" si="92"/>
        <v>37271</v>
      </c>
      <c r="Z21" s="58">
        <f t="shared" si="92"/>
        <v>35870</v>
      </c>
      <c r="AA21" s="58">
        <f t="shared" si="92"/>
        <v>36269</v>
      </c>
      <c r="AB21" s="58">
        <f t="shared" si="92"/>
        <v>37271</v>
      </c>
      <c r="AC21" s="58">
        <f t="shared" si="92"/>
        <v>39869</v>
      </c>
      <c r="AD21" s="58">
        <f t="shared" si="92"/>
        <v>40274</v>
      </c>
      <c r="AE21" s="58">
        <f t="shared" si="92"/>
        <v>39670</v>
      </c>
      <c r="AF21" s="58">
        <f t="shared" si="92"/>
        <v>39870</v>
      </c>
      <c r="AG21" s="58">
        <f t="shared" si="92"/>
        <v>37868</v>
      </c>
      <c r="AH21" s="58">
        <f t="shared" si="92"/>
        <v>38273</v>
      </c>
      <c r="AI21" s="58"/>
    </row>
    <row r="22" spans="1:35" ht="27" customHeight="1" x14ac:dyDescent="0.3">
      <c r="B22" s="82" t="s">
        <v>34</v>
      </c>
      <c r="C22" s="82"/>
      <c r="D22" s="44"/>
      <c r="E22" s="58">
        <f>SUM(E21:AI21)</f>
        <v>1119140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B22:C22"/>
    <mergeCell ref="A17:A18"/>
    <mergeCell ref="C17:C18"/>
    <mergeCell ref="A19:A20"/>
    <mergeCell ref="C19:C20"/>
    <mergeCell ref="B21:C21"/>
    <mergeCell ref="A15:A16"/>
    <mergeCell ref="C15:C16"/>
    <mergeCell ref="A9:A10"/>
    <mergeCell ref="C9:C10"/>
    <mergeCell ref="A11:A12"/>
    <mergeCell ref="C11:C12"/>
    <mergeCell ref="A13:A14"/>
    <mergeCell ref="C13:C14"/>
    <mergeCell ref="A2:AI2"/>
    <mergeCell ref="C3:AI3"/>
    <mergeCell ref="A5:A6"/>
    <mergeCell ref="C5:C6"/>
    <mergeCell ref="A7:A8"/>
    <mergeCell ref="C7:C8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topLeftCell="A5" zoomScale="115" zoomScaleNormal="115" workbookViewId="0">
      <selection activeCell="E16" sqref="E16"/>
    </sheetView>
  </sheetViews>
  <sheetFormatPr defaultColWidth="9.109375" defaultRowHeight="70.5" customHeight="1" x14ac:dyDescent="0.3"/>
  <cols>
    <col min="1" max="1" width="5.6640625" style="2" customWidth="1"/>
    <col min="2" max="2" width="21.88671875" style="8" customWidth="1"/>
    <col min="3" max="3" width="23" style="35" customWidth="1"/>
    <col min="4" max="6" width="10.109375" style="8" customWidth="1"/>
    <col min="7" max="35" width="10.109375" style="2" customWidth="1"/>
    <col min="36" max="16384" width="9.109375" style="2"/>
  </cols>
  <sheetData>
    <row r="2" spans="1:42" s="8" customFormat="1" ht="25.65" customHeight="1" x14ac:dyDescent="0.5">
      <c r="B2" s="89" t="s">
        <v>84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</row>
    <row r="3" spans="1:42" s="8" customFormat="1" ht="30" customHeight="1" thickBot="1" x14ac:dyDescent="0.35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42" s="30" customFormat="1" ht="57.75" customHeight="1" thickBot="1" x14ac:dyDescent="0.35">
      <c r="A4" s="15" t="s">
        <v>13</v>
      </c>
      <c r="B4" s="27" t="s">
        <v>35</v>
      </c>
      <c r="C4" s="27" t="s">
        <v>15</v>
      </c>
      <c r="D4" s="28" t="s">
        <v>36</v>
      </c>
      <c r="E4" s="29" t="s">
        <v>37</v>
      </c>
      <c r="F4" s="29" t="s">
        <v>38</v>
      </c>
      <c r="G4" s="29" t="s">
        <v>39</v>
      </c>
      <c r="H4" s="29" t="s">
        <v>40</v>
      </c>
      <c r="I4" s="29" t="s">
        <v>41</v>
      </c>
      <c r="J4" s="29" t="s">
        <v>42</v>
      </c>
      <c r="K4" s="29" t="s">
        <v>43</v>
      </c>
      <c r="L4" s="29" t="s">
        <v>44</v>
      </c>
      <c r="M4" s="29" t="s">
        <v>45</v>
      </c>
      <c r="N4" s="29" t="s">
        <v>46</v>
      </c>
      <c r="O4" s="29" t="s">
        <v>47</v>
      </c>
      <c r="P4" s="29" t="s">
        <v>48</v>
      </c>
      <c r="Q4" s="29" t="s">
        <v>49</v>
      </c>
      <c r="R4" s="29" t="s">
        <v>50</v>
      </c>
      <c r="S4" s="29" t="s">
        <v>51</v>
      </c>
      <c r="T4" s="29" t="s">
        <v>52</v>
      </c>
      <c r="U4" s="29" t="s">
        <v>53</v>
      </c>
      <c r="V4" s="29" t="s">
        <v>54</v>
      </c>
      <c r="W4" s="29" t="s">
        <v>55</v>
      </c>
      <c r="X4" s="29" t="s">
        <v>56</v>
      </c>
      <c r="Y4" s="29" t="s">
        <v>57</v>
      </c>
      <c r="Z4" s="29" t="s">
        <v>58</v>
      </c>
      <c r="AA4" s="29" t="s">
        <v>59</v>
      </c>
      <c r="AB4" s="29" t="s">
        <v>60</v>
      </c>
      <c r="AC4" s="29" t="s">
        <v>61</v>
      </c>
      <c r="AD4" s="29" t="s">
        <v>62</v>
      </c>
      <c r="AE4" s="29" t="s">
        <v>63</v>
      </c>
      <c r="AF4" s="29" t="s">
        <v>64</v>
      </c>
      <c r="AG4" s="29" t="s">
        <v>65</v>
      </c>
      <c r="AH4" s="29" t="s">
        <v>66</v>
      </c>
      <c r="AI4" s="29"/>
    </row>
    <row r="5" spans="1:42" s="8" customFormat="1" ht="40.5" customHeight="1" x14ac:dyDescent="0.3">
      <c r="A5" s="92" t="s">
        <v>37</v>
      </c>
      <c r="B5" s="27" t="s">
        <v>67</v>
      </c>
      <c r="C5" s="94" t="s">
        <v>68</v>
      </c>
      <c r="D5" s="31">
        <v>154791.1</v>
      </c>
      <c r="E5" s="31">
        <v>154911.70000000001</v>
      </c>
      <c r="F5" s="31">
        <v>155067.20000000001</v>
      </c>
      <c r="G5" s="31">
        <v>155226</v>
      </c>
      <c r="H5" s="31">
        <v>155378</v>
      </c>
      <c r="I5" s="31">
        <v>155537</v>
      </c>
      <c r="J5" s="31">
        <v>155683.20000000001</v>
      </c>
      <c r="K5" s="31">
        <v>155837.79999999999</v>
      </c>
      <c r="L5" s="31">
        <v>155991.29999999999</v>
      </c>
      <c r="M5" s="31">
        <v>156152.1</v>
      </c>
      <c r="N5" s="31">
        <v>156302.9</v>
      </c>
      <c r="O5" s="31">
        <v>156456.70000000001</v>
      </c>
      <c r="P5" s="31">
        <v>156616.70000000001</v>
      </c>
      <c r="Q5" s="31">
        <v>156781.70000000001</v>
      </c>
      <c r="R5" s="31">
        <v>156954.4</v>
      </c>
      <c r="S5" s="31">
        <v>157106.20000000001</v>
      </c>
      <c r="T5" s="31">
        <v>157304.6</v>
      </c>
      <c r="U5" s="31">
        <v>157501.79999999999</v>
      </c>
      <c r="V5" s="31">
        <v>157618.4</v>
      </c>
      <c r="W5" s="31">
        <v>157793</v>
      </c>
      <c r="X5" s="31">
        <v>157987.20000000001</v>
      </c>
      <c r="Y5" s="31">
        <v>158187.20000000001</v>
      </c>
      <c r="Z5" s="31">
        <v>158389.4</v>
      </c>
      <c r="AA5" s="31">
        <v>158577.70000000001</v>
      </c>
      <c r="AB5" s="31">
        <v>158754.79999999999</v>
      </c>
      <c r="AC5" s="31">
        <v>158878.79999999999</v>
      </c>
      <c r="AD5" s="31">
        <v>159029.9</v>
      </c>
      <c r="AE5" s="31">
        <v>159190.9</v>
      </c>
      <c r="AF5" s="31">
        <v>159350.5</v>
      </c>
      <c r="AG5" s="31">
        <v>159494.20000000001</v>
      </c>
      <c r="AH5" s="31">
        <v>159632.9</v>
      </c>
      <c r="AI5" s="31"/>
    </row>
    <row r="6" spans="1:42" s="34" customFormat="1" ht="25.65" customHeight="1" x14ac:dyDescent="0.3">
      <c r="A6" s="93"/>
      <c r="B6" s="32"/>
      <c r="C6" s="94"/>
      <c r="D6" s="33"/>
      <c r="E6" s="33">
        <f t="shared" ref="E6:AH6" si="0">E5-D5</f>
        <v>120.60000000000582</v>
      </c>
      <c r="F6" s="33">
        <f t="shared" si="0"/>
        <v>155.5</v>
      </c>
      <c r="G6" s="33">
        <f t="shared" si="0"/>
        <v>158.79999999998836</v>
      </c>
      <c r="H6" s="33">
        <f t="shared" si="0"/>
        <v>152</v>
      </c>
      <c r="I6" s="33">
        <f t="shared" si="0"/>
        <v>159</v>
      </c>
      <c r="J6" s="33">
        <f t="shared" si="0"/>
        <v>146.20000000001164</v>
      </c>
      <c r="K6" s="33">
        <f t="shared" si="0"/>
        <v>154.59999999997672</v>
      </c>
      <c r="L6" s="33">
        <f t="shared" si="0"/>
        <v>153.5</v>
      </c>
      <c r="M6" s="33">
        <f t="shared" si="0"/>
        <v>160.80000000001746</v>
      </c>
      <c r="N6" s="33">
        <f t="shared" si="0"/>
        <v>150.79999999998836</v>
      </c>
      <c r="O6" s="33">
        <f t="shared" si="0"/>
        <v>153.80000000001746</v>
      </c>
      <c r="P6" s="33">
        <f t="shared" si="0"/>
        <v>160</v>
      </c>
      <c r="Q6" s="33">
        <f t="shared" si="0"/>
        <v>165</v>
      </c>
      <c r="R6" s="33">
        <f t="shared" si="0"/>
        <v>172.69999999998254</v>
      </c>
      <c r="S6" s="33">
        <f t="shared" si="0"/>
        <v>151.80000000001746</v>
      </c>
      <c r="T6" s="33">
        <f t="shared" si="0"/>
        <v>198.39999999999418</v>
      </c>
      <c r="U6" s="33">
        <f t="shared" si="0"/>
        <v>197.19999999998254</v>
      </c>
      <c r="V6" s="33">
        <f t="shared" si="0"/>
        <v>116.60000000000582</v>
      </c>
      <c r="W6" s="33">
        <f t="shared" si="0"/>
        <v>174.60000000000582</v>
      </c>
      <c r="X6" s="33">
        <f t="shared" si="0"/>
        <v>194.20000000001164</v>
      </c>
      <c r="Y6" s="33">
        <v>137.95500000000001</v>
      </c>
      <c r="Z6" s="33">
        <f t="shared" si="0"/>
        <v>202.19999999998254</v>
      </c>
      <c r="AA6" s="33">
        <f>AA5-Z5</f>
        <v>188.30000000001746</v>
      </c>
      <c r="AB6" s="33">
        <f t="shared" si="0"/>
        <v>177.09999999997672</v>
      </c>
      <c r="AC6" s="33">
        <f t="shared" si="0"/>
        <v>124</v>
      </c>
      <c r="AD6" s="33">
        <f t="shared" si="0"/>
        <v>151.10000000000582</v>
      </c>
      <c r="AE6" s="33">
        <f t="shared" si="0"/>
        <v>161</v>
      </c>
      <c r="AF6" s="33">
        <f t="shared" si="0"/>
        <v>159.60000000000582</v>
      </c>
      <c r="AG6" s="33">
        <f t="shared" si="0"/>
        <v>143.70000000001164</v>
      </c>
      <c r="AH6" s="33">
        <f t="shared" si="0"/>
        <v>138.69999999998254</v>
      </c>
      <c r="AI6" s="33"/>
      <c r="AJ6" s="8"/>
      <c r="AK6" s="8"/>
      <c r="AL6" s="8"/>
      <c r="AM6" s="8"/>
      <c r="AN6" s="8"/>
      <c r="AO6" s="8"/>
      <c r="AP6" s="8"/>
    </row>
    <row r="7" spans="1:42" s="8" customFormat="1" ht="39.75" customHeight="1" x14ac:dyDescent="0.3">
      <c r="A7" s="92" t="s">
        <v>39</v>
      </c>
      <c r="B7" s="49" t="s">
        <v>69</v>
      </c>
      <c r="C7" s="94" t="s">
        <v>70</v>
      </c>
      <c r="D7" s="31">
        <v>187266.5</v>
      </c>
      <c r="E7" s="31">
        <v>187679.2</v>
      </c>
      <c r="F7" s="31">
        <v>188067.7</v>
      </c>
      <c r="G7" s="31">
        <v>188452.5</v>
      </c>
      <c r="H7" s="31">
        <v>188820.1</v>
      </c>
      <c r="I7" s="31">
        <v>189089.6</v>
      </c>
      <c r="J7" s="31">
        <v>189469</v>
      </c>
      <c r="K7" s="31">
        <v>189871.2</v>
      </c>
      <c r="L7" s="31">
        <v>190235.2</v>
      </c>
      <c r="M7" s="31">
        <v>190563.1</v>
      </c>
      <c r="N7" s="31">
        <v>190963.1</v>
      </c>
      <c r="O7" s="31">
        <v>191358.4</v>
      </c>
      <c r="P7" s="31">
        <v>191604.1</v>
      </c>
      <c r="Q7" s="31">
        <v>191985.8</v>
      </c>
      <c r="R7" s="31">
        <v>192380.9</v>
      </c>
      <c r="S7" s="31">
        <v>192818.6</v>
      </c>
      <c r="T7" s="31">
        <v>193211.1</v>
      </c>
      <c r="U7" s="31">
        <v>193621.1</v>
      </c>
      <c r="V7" s="31">
        <v>194000.9</v>
      </c>
      <c r="W7" s="31">
        <v>194251.6</v>
      </c>
      <c r="X7" s="31">
        <v>194629.8</v>
      </c>
      <c r="Y7" s="31">
        <v>195007.4</v>
      </c>
      <c r="Z7" s="31">
        <v>195386.9</v>
      </c>
      <c r="AA7" s="31">
        <v>195774.2</v>
      </c>
      <c r="AB7" s="31">
        <v>196157.4</v>
      </c>
      <c r="AC7" s="31">
        <v>196570.9</v>
      </c>
      <c r="AD7" s="31">
        <v>196850.1</v>
      </c>
      <c r="AE7" s="31">
        <v>197263.6</v>
      </c>
      <c r="AF7" s="31">
        <v>197685.2</v>
      </c>
      <c r="AG7" s="31">
        <v>197981.6</v>
      </c>
      <c r="AH7" s="31">
        <v>198244.5</v>
      </c>
      <c r="AI7" s="31"/>
    </row>
    <row r="8" spans="1:42" s="34" customFormat="1" ht="25.65" customHeight="1" x14ac:dyDescent="0.3">
      <c r="A8" s="93"/>
      <c r="B8" s="47"/>
      <c r="C8" s="94"/>
      <c r="D8" s="33"/>
      <c r="E8" s="33">
        <f t="shared" ref="E8:AG10" si="1">E7-D7</f>
        <v>412.70000000001164</v>
      </c>
      <c r="F8" s="33">
        <f t="shared" si="1"/>
        <v>388.5</v>
      </c>
      <c r="G8" s="33">
        <f t="shared" si="1"/>
        <v>384.79999999998836</v>
      </c>
      <c r="H8" s="33">
        <f t="shared" si="1"/>
        <v>367.60000000000582</v>
      </c>
      <c r="I8" s="33">
        <f t="shared" si="1"/>
        <v>269.5</v>
      </c>
      <c r="J8" s="33">
        <f t="shared" si="1"/>
        <v>379.39999999999418</v>
      </c>
      <c r="K8" s="33">
        <f t="shared" si="1"/>
        <v>402.20000000001164</v>
      </c>
      <c r="L8" s="33">
        <f t="shared" si="1"/>
        <v>364</v>
      </c>
      <c r="M8" s="33">
        <f t="shared" si="1"/>
        <v>327.89999999999418</v>
      </c>
      <c r="N8" s="33">
        <f t="shared" si="1"/>
        <v>400</v>
      </c>
      <c r="O8" s="33">
        <f t="shared" si="1"/>
        <v>395.29999999998836</v>
      </c>
      <c r="P8" s="33">
        <f t="shared" si="1"/>
        <v>245.70000000001164</v>
      </c>
      <c r="Q8" s="33">
        <f t="shared" si="1"/>
        <v>381.69999999998254</v>
      </c>
      <c r="R8" s="33">
        <f t="shared" si="1"/>
        <v>395.10000000000582</v>
      </c>
      <c r="S8" s="33">
        <f t="shared" si="1"/>
        <v>437.70000000001164</v>
      </c>
      <c r="T8" s="33">
        <f t="shared" si="1"/>
        <v>392.5</v>
      </c>
      <c r="U8" s="33">
        <f t="shared" si="1"/>
        <v>410</v>
      </c>
      <c r="V8" s="33">
        <f t="shared" si="1"/>
        <v>379.79999999998836</v>
      </c>
      <c r="W8" s="33">
        <f t="shared" si="1"/>
        <v>250.70000000001164</v>
      </c>
      <c r="X8" s="33">
        <f t="shared" si="1"/>
        <v>378.19999999998254</v>
      </c>
      <c r="Y8" s="33">
        <f t="shared" si="1"/>
        <v>377.60000000000582</v>
      </c>
      <c r="Z8" s="33">
        <f t="shared" si="1"/>
        <v>379.5</v>
      </c>
      <c r="AA8" s="33">
        <f>AA7-Z7</f>
        <v>387.30000000001746</v>
      </c>
      <c r="AB8" s="33">
        <f t="shared" si="1"/>
        <v>383.19999999998254</v>
      </c>
      <c r="AC8" s="33">
        <f t="shared" si="1"/>
        <v>413.5</v>
      </c>
      <c r="AD8" s="33">
        <f t="shared" si="1"/>
        <v>279.20000000001164</v>
      </c>
      <c r="AE8" s="33">
        <f t="shared" si="1"/>
        <v>413.5</v>
      </c>
      <c r="AF8" s="33">
        <f t="shared" si="1"/>
        <v>421.60000000000582</v>
      </c>
      <c r="AG8" s="33">
        <f t="shared" si="1"/>
        <v>296.39999999999418</v>
      </c>
      <c r="AH8" s="33">
        <f>AH7-AG7</f>
        <v>262.89999999999418</v>
      </c>
      <c r="AI8" s="33"/>
      <c r="AJ8" s="8"/>
      <c r="AK8" s="8"/>
      <c r="AL8" s="8"/>
      <c r="AM8" s="8"/>
      <c r="AN8" s="8"/>
      <c r="AO8" s="8"/>
      <c r="AP8" s="8"/>
    </row>
    <row r="9" spans="1:42" s="8" customFormat="1" ht="25.65" customHeight="1" x14ac:dyDescent="0.3">
      <c r="A9" s="92">
        <v>4</v>
      </c>
      <c r="B9" s="46" t="s">
        <v>71</v>
      </c>
      <c r="C9" s="94" t="s">
        <v>72</v>
      </c>
      <c r="D9" s="31">
        <v>52850</v>
      </c>
      <c r="E9" s="31">
        <v>53050</v>
      </c>
      <c r="F9" s="31">
        <v>53191</v>
      </c>
      <c r="G9" s="31">
        <v>53331</v>
      </c>
      <c r="H9" s="31">
        <v>53474</v>
      </c>
      <c r="I9" s="31">
        <v>53475</v>
      </c>
      <c r="J9" s="31">
        <v>53610</v>
      </c>
      <c r="K9" s="31">
        <v>53750</v>
      </c>
      <c r="L9" s="31">
        <v>53875</v>
      </c>
      <c r="M9" s="31">
        <v>53966</v>
      </c>
      <c r="N9" s="31">
        <v>54102</v>
      </c>
      <c r="O9" s="31">
        <v>54231</v>
      </c>
      <c r="P9" s="31">
        <v>54233</v>
      </c>
      <c r="Q9" s="31">
        <v>54360</v>
      </c>
      <c r="R9" s="31">
        <v>54505</v>
      </c>
      <c r="S9" s="31">
        <v>54623</v>
      </c>
      <c r="T9" s="31">
        <v>54757</v>
      </c>
      <c r="U9" s="31">
        <v>54899</v>
      </c>
      <c r="V9" s="31">
        <v>55037</v>
      </c>
      <c r="W9" s="31">
        <v>55038</v>
      </c>
      <c r="X9" s="31">
        <v>55172</v>
      </c>
      <c r="Y9" s="31">
        <v>55304</v>
      </c>
      <c r="Z9" s="31">
        <v>55442</v>
      </c>
      <c r="AA9" s="31">
        <v>55583</v>
      </c>
      <c r="AB9" s="31">
        <v>55717</v>
      </c>
      <c r="AC9" s="31">
        <v>55858</v>
      </c>
      <c r="AD9" s="31">
        <v>55858</v>
      </c>
      <c r="AE9" s="31">
        <v>55987</v>
      </c>
      <c r="AF9" s="31">
        <v>56123</v>
      </c>
      <c r="AG9" s="31">
        <v>56157</v>
      </c>
      <c r="AH9" s="31">
        <v>56157</v>
      </c>
      <c r="AI9" s="31"/>
    </row>
    <row r="10" spans="1:42" s="34" customFormat="1" ht="25.65" customHeight="1" x14ac:dyDescent="0.3">
      <c r="A10" s="93"/>
      <c r="B10" s="47"/>
      <c r="C10" s="94"/>
      <c r="D10" s="33"/>
      <c r="E10" s="33">
        <f t="shared" ref="E10:H10" si="2">E9-D9</f>
        <v>200</v>
      </c>
      <c r="F10" s="33">
        <f t="shared" si="2"/>
        <v>141</v>
      </c>
      <c r="G10" s="33">
        <f t="shared" si="2"/>
        <v>140</v>
      </c>
      <c r="H10" s="33">
        <f t="shared" si="2"/>
        <v>143</v>
      </c>
      <c r="I10" s="33">
        <f t="shared" si="1"/>
        <v>1</v>
      </c>
      <c r="J10" s="33">
        <f t="shared" si="1"/>
        <v>135</v>
      </c>
      <c r="K10" s="33">
        <f t="shared" si="1"/>
        <v>140</v>
      </c>
      <c r="L10" s="33">
        <f t="shared" si="1"/>
        <v>125</v>
      </c>
      <c r="M10" s="33">
        <f t="shared" si="1"/>
        <v>91</v>
      </c>
      <c r="N10" s="33">
        <f t="shared" si="1"/>
        <v>136</v>
      </c>
      <c r="O10" s="33">
        <f t="shared" si="1"/>
        <v>129</v>
      </c>
      <c r="P10" s="33">
        <f t="shared" si="1"/>
        <v>2</v>
      </c>
      <c r="Q10" s="33">
        <f t="shared" si="1"/>
        <v>127</v>
      </c>
      <c r="R10" s="33">
        <f t="shared" si="1"/>
        <v>145</v>
      </c>
      <c r="S10" s="33">
        <f t="shared" si="1"/>
        <v>118</v>
      </c>
      <c r="T10" s="33">
        <f t="shared" si="1"/>
        <v>134</v>
      </c>
      <c r="U10" s="33">
        <f t="shared" si="1"/>
        <v>142</v>
      </c>
      <c r="V10" s="33">
        <f t="shared" si="1"/>
        <v>138</v>
      </c>
      <c r="W10" s="33">
        <f t="shared" si="1"/>
        <v>1</v>
      </c>
      <c r="X10" s="33">
        <f t="shared" si="1"/>
        <v>134</v>
      </c>
      <c r="Y10" s="33">
        <f t="shared" si="1"/>
        <v>132</v>
      </c>
      <c r="Z10" s="33">
        <f t="shared" si="1"/>
        <v>138</v>
      </c>
      <c r="AA10" s="33">
        <f>AA9-Z9</f>
        <v>141</v>
      </c>
      <c r="AB10" s="33">
        <f t="shared" si="1"/>
        <v>134</v>
      </c>
      <c r="AC10" s="33">
        <f t="shared" si="1"/>
        <v>141</v>
      </c>
      <c r="AD10" s="33">
        <f>AD9-AC9</f>
        <v>0</v>
      </c>
      <c r="AE10" s="33">
        <f>AE9-AD9</f>
        <v>129</v>
      </c>
      <c r="AF10" s="33">
        <f t="shared" ref="AF10:AH10" si="3">AF9-AE9</f>
        <v>136</v>
      </c>
      <c r="AG10" s="33">
        <f t="shared" si="3"/>
        <v>34</v>
      </c>
      <c r="AH10" s="33">
        <f t="shared" si="3"/>
        <v>0</v>
      </c>
      <c r="AI10" s="33"/>
      <c r="AJ10" s="8"/>
      <c r="AK10" s="8"/>
      <c r="AL10" s="8"/>
      <c r="AM10" s="8"/>
      <c r="AN10" s="8"/>
      <c r="AO10" s="8"/>
      <c r="AP10" s="8"/>
    </row>
    <row r="11" spans="1:42" s="8" customFormat="1" ht="25.65" customHeight="1" x14ac:dyDescent="0.3">
      <c r="A11" s="95">
        <v>5</v>
      </c>
      <c r="B11" s="27">
        <v>68864837</v>
      </c>
      <c r="C11" s="94" t="s">
        <v>73</v>
      </c>
      <c r="D11" s="31">
        <v>4508.2290000000003</v>
      </c>
      <c r="E11" s="31">
        <v>4508.2290000000003</v>
      </c>
      <c r="F11" s="31">
        <v>4508.2290000000003</v>
      </c>
      <c r="G11" s="31">
        <v>4508.2290000000003</v>
      </c>
      <c r="H11" s="31">
        <v>4508.2290000000003</v>
      </c>
      <c r="I11" s="31">
        <v>4508.2290000000003</v>
      </c>
      <c r="J11" s="31">
        <v>4508.2290000000003</v>
      </c>
      <c r="K11" s="31">
        <v>4508.2290000000003</v>
      </c>
      <c r="L11" s="31">
        <v>4508.2290000000003</v>
      </c>
      <c r="M11" s="31">
        <v>4508.2290000000003</v>
      </c>
      <c r="N11" s="31">
        <v>4508.2290000000003</v>
      </c>
      <c r="O11" s="31">
        <v>4508.2290000000003</v>
      </c>
      <c r="P11" s="31">
        <v>4508.2290000000003</v>
      </c>
      <c r="Q11" s="31">
        <v>4508.2290000000003</v>
      </c>
      <c r="R11" s="31">
        <v>4508.2290000000003</v>
      </c>
      <c r="S11" s="31">
        <v>4508.2290000000003</v>
      </c>
      <c r="T11" s="31">
        <v>4508.2290000000003</v>
      </c>
      <c r="U11" s="31">
        <v>4508.2290000000003</v>
      </c>
      <c r="V11" s="31">
        <v>4508.2290000000003</v>
      </c>
      <c r="W11" s="31">
        <v>4508.2290000000003</v>
      </c>
      <c r="X11" s="31">
        <v>4508.2290000000003</v>
      </c>
      <c r="Y11" s="31">
        <v>4508.2290000000003</v>
      </c>
      <c r="Z11" s="31">
        <v>4508.2290000000003</v>
      </c>
      <c r="AA11" s="31">
        <v>4508.2290000000003</v>
      </c>
      <c r="AB11" s="31">
        <v>4508.2290000000003</v>
      </c>
      <c r="AC11" s="31">
        <v>4508.2290000000003</v>
      </c>
      <c r="AD11" s="31">
        <v>4508.2290000000003</v>
      </c>
      <c r="AE11" s="31">
        <v>4508.2290000000003</v>
      </c>
      <c r="AF11" s="31">
        <v>4508.2290000000003</v>
      </c>
      <c r="AG11" s="31">
        <v>4508.2290000000003</v>
      </c>
      <c r="AH11" s="31">
        <v>4508.2290000000003</v>
      </c>
      <c r="AI11" s="31"/>
    </row>
    <row r="12" spans="1:42" s="8" customFormat="1" ht="25.65" customHeight="1" x14ac:dyDescent="0.3">
      <c r="A12" s="96"/>
      <c r="B12" s="48"/>
      <c r="C12" s="94"/>
      <c r="D12" s="33"/>
      <c r="E12" s="33">
        <f t="shared" ref="E12:AH12" si="4">E11-D11</f>
        <v>0</v>
      </c>
      <c r="F12" s="33">
        <f t="shared" si="4"/>
        <v>0</v>
      </c>
      <c r="G12" s="33">
        <f t="shared" si="4"/>
        <v>0</v>
      </c>
      <c r="H12" s="33">
        <f t="shared" si="4"/>
        <v>0</v>
      </c>
      <c r="I12" s="33">
        <f t="shared" si="4"/>
        <v>0</v>
      </c>
      <c r="J12" s="33">
        <f t="shared" si="4"/>
        <v>0</v>
      </c>
      <c r="K12" s="33">
        <f t="shared" si="4"/>
        <v>0</v>
      </c>
      <c r="L12" s="33">
        <f t="shared" si="4"/>
        <v>0</v>
      </c>
      <c r="M12" s="33">
        <f t="shared" si="4"/>
        <v>0</v>
      </c>
      <c r="N12" s="33">
        <f t="shared" si="4"/>
        <v>0</v>
      </c>
      <c r="O12" s="33">
        <f t="shared" si="4"/>
        <v>0</v>
      </c>
      <c r="P12" s="33">
        <f t="shared" si="4"/>
        <v>0</v>
      </c>
      <c r="Q12" s="33">
        <f t="shared" si="4"/>
        <v>0</v>
      </c>
      <c r="R12" s="33">
        <f t="shared" si="4"/>
        <v>0</v>
      </c>
      <c r="S12" s="33">
        <f t="shared" si="4"/>
        <v>0</v>
      </c>
      <c r="T12" s="33">
        <f t="shared" si="4"/>
        <v>0</v>
      </c>
      <c r="U12" s="33">
        <f t="shared" si="4"/>
        <v>0</v>
      </c>
      <c r="V12" s="33">
        <f t="shared" si="4"/>
        <v>0</v>
      </c>
      <c r="W12" s="33">
        <f t="shared" si="4"/>
        <v>0</v>
      </c>
      <c r="X12" s="33">
        <f t="shared" si="4"/>
        <v>0</v>
      </c>
      <c r="Y12" s="33">
        <f t="shared" si="4"/>
        <v>0</v>
      </c>
      <c r="Z12" s="33">
        <f t="shared" si="4"/>
        <v>0</v>
      </c>
      <c r="AA12" s="33">
        <f t="shared" si="4"/>
        <v>0</v>
      </c>
      <c r="AB12" s="33">
        <f t="shared" si="4"/>
        <v>0</v>
      </c>
      <c r="AC12" s="33">
        <f t="shared" si="4"/>
        <v>0</v>
      </c>
      <c r="AD12" s="33">
        <f t="shared" si="4"/>
        <v>0</v>
      </c>
      <c r="AE12" s="33">
        <f t="shared" si="4"/>
        <v>0</v>
      </c>
      <c r="AF12" s="33">
        <f t="shared" si="4"/>
        <v>0</v>
      </c>
      <c r="AG12" s="33">
        <f t="shared" si="4"/>
        <v>0</v>
      </c>
      <c r="AH12" s="33">
        <f t="shared" si="4"/>
        <v>0</v>
      </c>
      <c r="AI12" s="33"/>
    </row>
    <row r="13" spans="1:42" s="8" customFormat="1" ht="25.65" customHeight="1" x14ac:dyDescent="0.3">
      <c r="A13" s="95">
        <v>6</v>
      </c>
      <c r="B13" s="27">
        <v>65296485</v>
      </c>
      <c r="C13" s="94" t="s">
        <v>74</v>
      </c>
      <c r="D13" s="31">
        <v>7759.8850000000002</v>
      </c>
      <c r="E13" s="31">
        <v>7759.9549999999999</v>
      </c>
      <c r="F13" s="31">
        <v>7761.2049999999999</v>
      </c>
      <c r="G13" s="31">
        <v>7761.2510000000002</v>
      </c>
      <c r="H13" s="31">
        <v>7761.7879999999996</v>
      </c>
      <c r="I13" s="31">
        <v>7762.25</v>
      </c>
      <c r="J13" s="31">
        <v>7762.4520000000002</v>
      </c>
      <c r="K13" s="31">
        <v>7762.5910000000003</v>
      </c>
      <c r="L13" s="31">
        <v>7763.2470000000003</v>
      </c>
      <c r="M13" s="31">
        <v>7763.5420000000004</v>
      </c>
      <c r="N13" s="31">
        <v>7763.68</v>
      </c>
      <c r="O13" s="31">
        <v>7763.9669999999996</v>
      </c>
      <c r="P13" s="31">
        <v>7764.31</v>
      </c>
      <c r="Q13" s="31">
        <v>7764.7290000000003</v>
      </c>
      <c r="R13" s="31">
        <v>7765.0929999999998</v>
      </c>
      <c r="S13" s="31">
        <v>7765.2809999999999</v>
      </c>
      <c r="T13" s="31">
        <v>7765.5</v>
      </c>
      <c r="U13" s="31">
        <v>7766.2349999999997</v>
      </c>
      <c r="V13" s="31">
        <v>7766.4930000000004</v>
      </c>
      <c r="W13" s="31">
        <v>7767.0159999999996</v>
      </c>
      <c r="X13" s="31">
        <v>7767.165</v>
      </c>
      <c r="Y13" s="31">
        <v>7768.0609999999997</v>
      </c>
      <c r="Z13" s="31">
        <v>7768.1959999999999</v>
      </c>
      <c r="AA13" s="31">
        <v>7768.3530000000001</v>
      </c>
      <c r="AB13" s="31">
        <v>7768.43</v>
      </c>
      <c r="AC13" s="31">
        <v>7768.73</v>
      </c>
      <c r="AD13" s="31">
        <v>7768.7809999999999</v>
      </c>
      <c r="AE13" s="31">
        <v>7770.27</v>
      </c>
      <c r="AF13" s="31">
        <v>7771.6660000000002</v>
      </c>
      <c r="AG13" s="31">
        <v>7771.9970000000003</v>
      </c>
      <c r="AH13" s="31">
        <v>7772.41</v>
      </c>
      <c r="AI13" s="31"/>
    </row>
    <row r="14" spans="1:42" s="8" customFormat="1" ht="25.65" customHeight="1" x14ac:dyDescent="0.3">
      <c r="A14" s="96"/>
      <c r="B14" s="48"/>
      <c r="C14" s="94"/>
      <c r="D14" s="33"/>
      <c r="E14" s="33">
        <f t="shared" ref="E14:AH14" si="5">E13-D13</f>
        <v>6.9999999999708962E-2</v>
      </c>
      <c r="F14" s="33">
        <f t="shared" si="5"/>
        <v>1.25</v>
      </c>
      <c r="G14" s="33">
        <f t="shared" si="5"/>
        <v>4.6000000000276486E-2</v>
      </c>
      <c r="H14" s="33">
        <f t="shared" si="5"/>
        <v>0.53699999999935244</v>
      </c>
      <c r="I14" s="33">
        <f t="shared" si="5"/>
        <v>0.46200000000044383</v>
      </c>
      <c r="J14" s="33">
        <f t="shared" si="5"/>
        <v>0.20200000000022555</v>
      </c>
      <c r="K14" s="33">
        <f t="shared" si="5"/>
        <v>0.13900000000012369</v>
      </c>
      <c r="L14" s="33">
        <f t="shared" si="5"/>
        <v>0.65599999999994907</v>
      </c>
      <c r="M14" s="33">
        <f t="shared" si="5"/>
        <v>0.29500000000007276</v>
      </c>
      <c r="N14" s="33">
        <f t="shared" si="5"/>
        <v>0.13799999999991996</v>
      </c>
      <c r="O14" s="33">
        <f t="shared" si="5"/>
        <v>0.28699999999935244</v>
      </c>
      <c r="P14" s="33">
        <f t="shared" si="5"/>
        <v>0.3430000000007567</v>
      </c>
      <c r="Q14" s="33">
        <f t="shared" si="5"/>
        <v>0.41899999999986903</v>
      </c>
      <c r="R14" s="33">
        <f t="shared" si="5"/>
        <v>0.36399999999957799</v>
      </c>
      <c r="S14" s="33">
        <f t="shared" si="5"/>
        <v>0.18800000000010186</v>
      </c>
      <c r="T14" s="33">
        <f t="shared" si="5"/>
        <v>0.21900000000005093</v>
      </c>
      <c r="U14" s="33">
        <f t="shared" si="5"/>
        <v>0.73499999999967258</v>
      </c>
      <c r="V14" s="33">
        <f t="shared" si="5"/>
        <v>0.25800000000072032</v>
      </c>
      <c r="W14" s="33">
        <f t="shared" si="5"/>
        <v>0.52299999999922875</v>
      </c>
      <c r="X14" s="33">
        <f t="shared" si="5"/>
        <v>0.14900000000034197</v>
      </c>
      <c r="Y14" s="33">
        <f t="shared" si="5"/>
        <v>0.89599999999973079</v>
      </c>
      <c r="Z14" s="33">
        <f t="shared" si="5"/>
        <v>0.13500000000021828</v>
      </c>
      <c r="AA14" s="33">
        <f t="shared" si="5"/>
        <v>0.1570000000001528</v>
      </c>
      <c r="AB14" s="33">
        <f t="shared" si="5"/>
        <v>7.7000000000225555E-2</v>
      </c>
      <c r="AC14" s="33">
        <f t="shared" si="5"/>
        <v>0.2999999999992724</v>
      </c>
      <c r="AD14" s="33">
        <f t="shared" si="5"/>
        <v>5.1000000000385626E-2</v>
      </c>
      <c r="AE14" s="33">
        <f t="shared" si="5"/>
        <v>1.4890000000004875</v>
      </c>
      <c r="AF14" s="33">
        <f t="shared" si="5"/>
        <v>1.3959999999997308</v>
      </c>
      <c r="AG14" s="33">
        <f t="shared" si="5"/>
        <v>0.33100000000013097</v>
      </c>
      <c r="AH14" s="33">
        <f t="shared" si="5"/>
        <v>0.41299999999955617</v>
      </c>
      <c r="AI14" s="33"/>
      <c r="AJ14" s="2"/>
      <c r="AK14" s="2"/>
      <c r="AL14" s="2"/>
      <c r="AM14" s="2"/>
      <c r="AN14" s="2"/>
      <c r="AO14" s="2"/>
      <c r="AP14" s="2"/>
    </row>
    <row r="15" spans="1:42" ht="33" customHeight="1" x14ac:dyDescent="0.3">
      <c r="B15" s="88" t="s">
        <v>75</v>
      </c>
      <c r="C15" s="88"/>
      <c r="D15" s="50"/>
      <c r="E15" s="57">
        <f>E6+((E8*45%)+(E10*45%)+(E12+E14))</f>
        <v>396.38500000001079</v>
      </c>
      <c r="F15" s="57">
        <f t="shared" ref="F15:AH15" si="6">F6+((F8*45%)+(F10*45%)+(F12+F14))</f>
        <v>395.02500000000003</v>
      </c>
      <c r="G15" s="57">
        <f t="shared" si="6"/>
        <v>395.00599999998337</v>
      </c>
      <c r="H15" s="57">
        <f t="shared" si="6"/>
        <v>382.30700000000201</v>
      </c>
      <c r="I15" s="57">
        <f t="shared" si="6"/>
        <v>281.18700000000047</v>
      </c>
      <c r="J15" s="57">
        <f t="shared" si="6"/>
        <v>377.88200000000927</v>
      </c>
      <c r="K15" s="57">
        <f t="shared" si="6"/>
        <v>398.72899999998208</v>
      </c>
      <c r="L15" s="57">
        <f t="shared" si="6"/>
        <v>374.20599999999996</v>
      </c>
      <c r="M15" s="57">
        <f t="shared" si="6"/>
        <v>349.60000000001492</v>
      </c>
      <c r="N15" s="57">
        <f t="shared" si="6"/>
        <v>392.13799999998827</v>
      </c>
      <c r="O15" s="57">
        <f t="shared" si="6"/>
        <v>390.02200000001159</v>
      </c>
      <c r="P15" s="57">
        <f t="shared" si="6"/>
        <v>271.80800000000602</v>
      </c>
      <c r="Q15" s="57">
        <f t="shared" si="6"/>
        <v>394.33399999999199</v>
      </c>
      <c r="R15" s="57">
        <f t="shared" si="6"/>
        <v>416.10899999998475</v>
      </c>
      <c r="S15" s="57">
        <f t="shared" si="6"/>
        <v>402.05300000002279</v>
      </c>
      <c r="T15" s="57">
        <f t="shared" si="6"/>
        <v>435.54399999999424</v>
      </c>
      <c r="U15" s="57">
        <f t="shared" si="6"/>
        <v>446.33499999998219</v>
      </c>
      <c r="V15" s="57">
        <f t="shared" si="6"/>
        <v>349.8680000000013</v>
      </c>
      <c r="W15" s="57">
        <f t="shared" si="6"/>
        <v>288.38800000001027</v>
      </c>
      <c r="X15" s="57">
        <f t="shared" si="6"/>
        <v>424.83900000000415</v>
      </c>
      <c r="Y15" s="57">
        <f t="shared" si="6"/>
        <v>368.17100000000238</v>
      </c>
      <c r="Z15" s="57">
        <f t="shared" si="6"/>
        <v>435.20999999998276</v>
      </c>
      <c r="AA15" s="57">
        <f t="shared" si="6"/>
        <v>426.19200000002547</v>
      </c>
      <c r="AB15" s="57">
        <f t="shared" si="6"/>
        <v>409.91699999996911</v>
      </c>
      <c r="AC15" s="57">
        <f t="shared" si="6"/>
        <v>373.82499999999931</v>
      </c>
      <c r="AD15" s="57">
        <f t="shared" si="6"/>
        <v>276.79100000001142</v>
      </c>
      <c r="AE15" s="57">
        <f t="shared" si="6"/>
        <v>406.61400000000049</v>
      </c>
      <c r="AF15" s="57">
        <f t="shared" si="6"/>
        <v>411.91600000000818</v>
      </c>
      <c r="AG15" s="57">
        <f t="shared" si="6"/>
        <v>292.71100000000916</v>
      </c>
      <c r="AH15" s="57">
        <f t="shared" si="6"/>
        <v>257.41799999997949</v>
      </c>
      <c r="AI15" s="57"/>
    </row>
    <row r="16" spans="1:42" ht="33" customHeight="1" x14ac:dyDescent="0.3">
      <c r="B16" s="87" t="s">
        <v>76</v>
      </c>
      <c r="C16" s="87"/>
      <c r="D16" s="50"/>
      <c r="E16" s="57">
        <f>SUM(E15:AI15)</f>
        <v>11220.529999999986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3"/>
    <row r="22" s="2" customFormat="1" ht="70.5" customHeight="1" x14ac:dyDescent="0.3"/>
    <row r="23" s="2" customFormat="1" ht="70.5" customHeight="1" x14ac:dyDescent="0.3"/>
    <row r="24" s="2" customFormat="1" ht="70.5" customHeight="1" x14ac:dyDescent="0.3"/>
    <row r="25" s="2" customFormat="1" ht="70.5" customHeight="1" x14ac:dyDescent="0.3"/>
    <row r="26" s="2" customFormat="1" ht="70.5" customHeight="1" x14ac:dyDescent="0.3"/>
    <row r="27" s="2" customFormat="1" ht="70.5" customHeight="1" x14ac:dyDescent="0.3"/>
    <row r="28" s="2" customFormat="1" ht="70.5" customHeight="1" x14ac:dyDescent="0.3"/>
    <row r="29" s="2" customFormat="1" ht="70.5" customHeight="1" x14ac:dyDescent="0.3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5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6"/>
  <sheetViews>
    <sheetView zoomScaleNormal="100" workbookViewId="0">
      <pane ySplit="3" topLeftCell="A27" activePane="bottomLeft" state="frozen"/>
      <selection pane="bottomLeft" activeCell="C5" sqref="C5:C33"/>
    </sheetView>
  </sheetViews>
  <sheetFormatPr defaultRowHeight="14.4" x14ac:dyDescent="0.3"/>
  <cols>
    <col min="1" max="1" width="9.6640625" customWidth="1"/>
    <col min="2" max="2" width="10.6640625" customWidth="1"/>
    <col min="3" max="3" width="12.33203125" bestFit="1" customWidth="1"/>
  </cols>
  <sheetData>
    <row r="1" spans="1:7" ht="73.5" customHeight="1" x14ac:dyDescent="0.3">
      <c r="A1" s="98" t="s">
        <v>85</v>
      </c>
      <c r="B1" s="98"/>
      <c r="C1" s="98"/>
    </row>
    <row r="3" spans="1:7" ht="48" x14ac:dyDescent="0.3">
      <c r="A3" s="51" t="s">
        <v>36</v>
      </c>
      <c r="B3" s="52">
        <v>61580.66</v>
      </c>
      <c r="C3" s="53"/>
    </row>
    <row r="4" spans="1:7" ht="28.5" customHeight="1" x14ac:dyDescent="0.3">
      <c r="A4" s="54">
        <v>1</v>
      </c>
      <c r="B4" s="52"/>
      <c r="C4" s="53">
        <f>B3/30</f>
        <v>2052.6886666666669</v>
      </c>
    </row>
    <row r="5" spans="1:7" ht="28.5" customHeight="1" x14ac:dyDescent="0.3">
      <c r="A5" s="54">
        <v>2</v>
      </c>
      <c r="B5" s="52"/>
      <c r="C5" s="53">
        <v>2052.6886666666669</v>
      </c>
    </row>
    <row r="6" spans="1:7" ht="28.5" customHeight="1" x14ac:dyDescent="0.3">
      <c r="A6" s="55">
        <v>3</v>
      </c>
      <c r="B6" s="52"/>
      <c r="C6" s="53">
        <v>2052.6886666666669</v>
      </c>
    </row>
    <row r="7" spans="1:7" ht="28.5" customHeight="1" x14ac:dyDescent="0.3">
      <c r="A7" s="54">
        <v>4</v>
      </c>
      <c r="B7" s="52"/>
      <c r="C7" s="53">
        <v>2052.6886666666669</v>
      </c>
    </row>
    <row r="8" spans="1:7" ht="28.5" customHeight="1" x14ac:dyDescent="0.3">
      <c r="A8" s="54">
        <v>5</v>
      </c>
      <c r="B8" s="52"/>
      <c r="C8" s="53">
        <v>2052.6886666666669</v>
      </c>
    </row>
    <row r="9" spans="1:7" ht="28.5" customHeight="1" x14ac:dyDescent="0.3">
      <c r="A9" s="54">
        <v>6</v>
      </c>
      <c r="B9" s="52"/>
      <c r="C9" s="53">
        <v>2052.6886666666669</v>
      </c>
      <c r="G9" t="s">
        <v>77</v>
      </c>
    </row>
    <row r="10" spans="1:7" ht="28.5" customHeight="1" x14ac:dyDescent="0.3">
      <c r="A10" s="54">
        <v>7</v>
      </c>
      <c r="B10" s="52"/>
      <c r="C10" s="53">
        <v>2052.6886666666669</v>
      </c>
    </row>
    <row r="11" spans="1:7" ht="28.5" customHeight="1" x14ac:dyDescent="0.3">
      <c r="A11" s="54">
        <v>8</v>
      </c>
      <c r="B11" s="52"/>
      <c r="C11" s="53">
        <v>2052.6886666666669</v>
      </c>
    </row>
    <row r="12" spans="1:7" ht="28.5" customHeight="1" x14ac:dyDescent="0.3">
      <c r="A12" s="54">
        <v>9</v>
      </c>
      <c r="B12" s="52"/>
      <c r="C12" s="53">
        <v>2052.6886666666669</v>
      </c>
    </row>
    <row r="13" spans="1:7" ht="28.5" customHeight="1" x14ac:dyDescent="0.3">
      <c r="A13" s="54">
        <v>10</v>
      </c>
      <c r="B13" s="52"/>
      <c r="C13" s="53">
        <v>2052.6886666666669</v>
      </c>
    </row>
    <row r="14" spans="1:7" ht="28.5" customHeight="1" x14ac:dyDescent="0.3">
      <c r="A14" s="54">
        <v>11</v>
      </c>
      <c r="B14" s="52"/>
      <c r="C14" s="53">
        <v>2052.6886666666669</v>
      </c>
    </row>
    <row r="15" spans="1:7" ht="28.5" customHeight="1" x14ac:dyDescent="0.3">
      <c r="A15" s="54">
        <v>12</v>
      </c>
      <c r="B15" s="52"/>
      <c r="C15" s="53">
        <v>2052.6886666666669</v>
      </c>
    </row>
    <row r="16" spans="1:7" ht="28.5" customHeight="1" x14ac:dyDescent="0.3">
      <c r="A16" s="54">
        <v>13</v>
      </c>
      <c r="B16" s="52"/>
      <c r="C16" s="53">
        <v>2052.6886666666669</v>
      </c>
    </row>
    <row r="17" spans="1:4" ht="28.5" customHeight="1" x14ac:dyDescent="0.3">
      <c r="A17" s="54">
        <v>14</v>
      </c>
      <c r="B17" s="52"/>
      <c r="C17" s="53">
        <v>2052.6886666666669</v>
      </c>
    </row>
    <row r="18" spans="1:4" ht="28.5" customHeight="1" x14ac:dyDescent="0.3">
      <c r="A18" s="54">
        <v>15</v>
      </c>
      <c r="B18" s="52"/>
      <c r="C18" s="53">
        <v>2052.6886666666669</v>
      </c>
    </row>
    <row r="19" spans="1:4" ht="28.5" customHeight="1" x14ac:dyDescent="0.3">
      <c r="A19" s="54">
        <v>16</v>
      </c>
      <c r="B19" s="52"/>
      <c r="C19" s="53">
        <v>2052.6886666666669</v>
      </c>
    </row>
    <row r="20" spans="1:4" ht="28.5" customHeight="1" x14ac:dyDescent="0.3">
      <c r="A20" s="54">
        <v>17</v>
      </c>
      <c r="B20" s="52"/>
      <c r="C20" s="53">
        <v>2052.6886666666669</v>
      </c>
    </row>
    <row r="21" spans="1:4" ht="28.5" customHeight="1" x14ac:dyDescent="0.3">
      <c r="A21" s="54">
        <v>18</v>
      </c>
      <c r="B21" s="52"/>
      <c r="C21" s="53">
        <v>2052.6886666666669</v>
      </c>
    </row>
    <row r="22" spans="1:4" ht="28.5" customHeight="1" x14ac:dyDescent="0.3">
      <c r="A22" s="54">
        <v>19</v>
      </c>
      <c r="B22" s="52"/>
      <c r="C22" s="53">
        <v>2052.6886666666669</v>
      </c>
    </row>
    <row r="23" spans="1:4" ht="28.5" customHeight="1" x14ac:dyDescent="0.3">
      <c r="A23" s="54">
        <v>20</v>
      </c>
      <c r="B23" s="52"/>
      <c r="C23" s="53">
        <v>2052.6886666666669</v>
      </c>
    </row>
    <row r="24" spans="1:4" ht="28.5" customHeight="1" x14ac:dyDescent="0.3">
      <c r="A24" s="54">
        <v>21</v>
      </c>
      <c r="B24" s="52"/>
      <c r="C24" s="53">
        <v>2052.6886666666669</v>
      </c>
    </row>
    <row r="25" spans="1:4" ht="28.5" customHeight="1" x14ac:dyDescent="0.3">
      <c r="A25" s="54">
        <v>22</v>
      </c>
      <c r="B25" s="52"/>
      <c r="C25" s="53">
        <v>2052.6886666666669</v>
      </c>
    </row>
    <row r="26" spans="1:4" ht="28.5" customHeight="1" x14ac:dyDescent="0.3">
      <c r="A26" s="54">
        <v>23</v>
      </c>
      <c r="B26" s="52"/>
      <c r="C26" s="53">
        <v>2052.6886666666669</v>
      </c>
    </row>
    <row r="27" spans="1:4" ht="28.5" customHeight="1" x14ac:dyDescent="0.3">
      <c r="A27" s="54">
        <v>24</v>
      </c>
      <c r="B27" s="52"/>
      <c r="C27" s="53">
        <v>2052.6886666666669</v>
      </c>
    </row>
    <row r="28" spans="1:4" ht="28.5" customHeight="1" x14ac:dyDescent="0.3">
      <c r="A28" s="54">
        <v>25</v>
      </c>
      <c r="B28" s="52"/>
      <c r="C28" s="53">
        <v>2052.6886666666669</v>
      </c>
      <c r="D28" s="56"/>
    </row>
    <row r="29" spans="1:4" ht="28.5" customHeight="1" x14ac:dyDescent="0.3">
      <c r="A29" s="54">
        <v>26</v>
      </c>
      <c r="B29" s="52"/>
      <c r="C29" s="53">
        <v>2052.6886666666669</v>
      </c>
      <c r="D29" s="56"/>
    </row>
    <row r="30" spans="1:4" ht="28.5" customHeight="1" x14ac:dyDescent="0.3">
      <c r="A30" s="54">
        <v>27</v>
      </c>
      <c r="B30" s="52"/>
      <c r="C30" s="53">
        <v>2052.6886666666669</v>
      </c>
    </row>
    <row r="31" spans="1:4" ht="28.5" customHeight="1" x14ac:dyDescent="0.3">
      <c r="A31" s="54">
        <v>28</v>
      </c>
      <c r="B31" s="52"/>
      <c r="C31" s="53">
        <v>2052.6886666666669</v>
      </c>
    </row>
    <row r="32" spans="1:4" ht="28.5" customHeight="1" x14ac:dyDescent="0.3">
      <c r="A32" s="54">
        <v>29</v>
      </c>
      <c r="B32" s="52"/>
      <c r="C32" s="53">
        <v>2052.6886666666669</v>
      </c>
    </row>
    <row r="33" spans="1:3" ht="28.5" customHeight="1" x14ac:dyDescent="0.3">
      <c r="A33" s="54">
        <v>30</v>
      </c>
      <c r="B33" s="52"/>
      <c r="C33" s="53">
        <v>2052.6886666666669</v>
      </c>
    </row>
    <row r="34" spans="1:3" ht="28.5" customHeight="1" x14ac:dyDescent="0.3">
      <c r="A34" s="54"/>
      <c r="B34" s="52"/>
      <c r="C34" s="53"/>
    </row>
    <row r="35" spans="1:3" x14ac:dyDescent="0.3">
      <c r="A35" s="97" t="s">
        <v>78</v>
      </c>
      <c r="B35" s="97"/>
      <c r="C35" s="63">
        <f>SUM(C4:C34)</f>
        <v>61580.660000000047</v>
      </c>
    </row>
    <row r="36" spans="1:3" x14ac:dyDescent="0.3">
      <c r="C36" s="64"/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13" zoomScaleNormal="100" workbookViewId="0">
      <selection activeCell="D32" sqref="D32"/>
    </sheetView>
  </sheetViews>
  <sheetFormatPr defaultRowHeight="14.4" x14ac:dyDescent="0.3"/>
  <cols>
    <col min="1" max="1" width="12.6640625" customWidth="1"/>
    <col min="2" max="2" width="17.44140625" customWidth="1"/>
    <col min="3" max="3" width="18" customWidth="1"/>
  </cols>
  <sheetData>
    <row r="1" spans="1:3" ht="35.25" customHeight="1" x14ac:dyDescent="0.3">
      <c r="A1" s="98" t="s">
        <v>86</v>
      </c>
      <c r="B1" s="98"/>
      <c r="C1" s="98"/>
    </row>
    <row r="2" spans="1:3" ht="24.9" customHeight="1" x14ac:dyDescent="0.3">
      <c r="A2" s="59" t="s">
        <v>79</v>
      </c>
      <c r="B2" s="59" t="s">
        <v>80</v>
      </c>
      <c r="C2" s="59" t="s">
        <v>81</v>
      </c>
    </row>
    <row r="3" spans="1:3" ht="24.9" customHeight="1" x14ac:dyDescent="0.3">
      <c r="A3" s="60">
        <v>43983</v>
      </c>
      <c r="B3" s="65">
        <v>239</v>
      </c>
      <c r="C3" s="65">
        <v>541</v>
      </c>
    </row>
    <row r="4" spans="1:3" ht="24.9" customHeight="1" x14ac:dyDescent="0.3">
      <c r="A4" s="60">
        <v>43984</v>
      </c>
      <c r="B4" s="65">
        <v>243</v>
      </c>
      <c r="C4" s="65">
        <v>547</v>
      </c>
    </row>
    <row r="5" spans="1:3" ht="24.9" customHeight="1" x14ac:dyDescent="0.3">
      <c r="A5" s="60">
        <v>43985</v>
      </c>
      <c r="B5" s="65">
        <v>246</v>
      </c>
      <c r="C5" s="65">
        <v>549</v>
      </c>
    </row>
    <row r="6" spans="1:3" ht="24.9" customHeight="1" x14ac:dyDescent="0.3">
      <c r="A6" s="60">
        <v>43986</v>
      </c>
      <c r="B6" s="65">
        <v>251</v>
      </c>
      <c r="C6" s="65">
        <v>556</v>
      </c>
    </row>
    <row r="7" spans="1:3" ht="24.9" customHeight="1" x14ac:dyDescent="0.3">
      <c r="A7" s="60">
        <v>43987</v>
      </c>
      <c r="B7" s="65">
        <v>250</v>
      </c>
      <c r="C7" s="65">
        <v>555</v>
      </c>
    </row>
    <row r="8" spans="1:3" ht="24.9" customHeight="1" x14ac:dyDescent="0.3">
      <c r="A8" s="60">
        <v>43988</v>
      </c>
      <c r="B8" s="65">
        <v>263</v>
      </c>
      <c r="C8" s="65">
        <v>569</v>
      </c>
    </row>
    <row r="9" spans="1:3" ht="24.9" customHeight="1" x14ac:dyDescent="0.3">
      <c r="A9" s="60">
        <v>43989</v>
      </c>
      <c r="B9" s="65">
        <v>236</v>
      </c>
      <c r="C9" s="65">
        <v>535</v>
      </c>
    </row>
    <row r="10" spans="1:3" ht="24.9" customHeight="1" x14ac:dyDescent="0.3">
      <c r="A10" s="60">
        <v>43990</v>
      </c>
      <c r="B10" s="65">
        <v>239</v>
      </c>
      <c r="C10" s="65">
        <v>540</v>
      </c>
    </row>
    <row r="11" spans="1:3" ht="24.9" customHeight="1" x14ac:dyDescent="0.3">
      <c r="A11" s="60">
        <v>43991</v>
      </c>
      <c r="B11" s="65">
        <v>242</v>
      </c>
      <c r="C11" s="65">
        <v>540</v>
      </c>
    </row>
    <row r="12" spans="1:3" ht="24.9" customHeight="1" x14ac:dyDescent="0.3">
      <c r="A12" s="60">
        <v>43992</v>
      </c>
      <c r="B12" s="65">
        <v>231</v>
      </c>
      <c r="C12" s="65">
        <v>522</v>
      </c>
    </row>
    <row r="13" spans="1:3" ht="24.9" customHeight="1" x14ac:dyDescent="0.3">
      <c r="A13" s="60">
        <v>43993</v>
      </c>
      <c r="B13" s="65">
        <v>235</v>
      </c>
      <c r="C13" s="65">
        <v>525</v>
      </c>
    </row>
    <row r="14" spans="1:3" ht="24.9" customHeight="1" x14ac:dyDescent="0.3">
      <c r="A14" s="60">
        <v>43994</v>
      </c>
      <c r="B14" s="65">
        <v>236</v>
      </c>
      <c r="C14" s="65">
        <v>525</v>
      </c>
    </row>
    <row r="15" spans="1:3" ht="24.9" customHeight="1" x14ac:dyDescent="0.3">
      <c r="A15" s="60">
        <v>43995</v>
      </c>
      <c r="B15" s="65">
        <v>282</v>
      </c>
      <c r="C15" s="65">
        <v>589</v>
      </c>
    </row>
    <row r="16" spans="1:3" ht="24.9" customHeight="1" x14ac:dyDescent="0.3">
      <c r="A16" s="60">
        <v>43996</v>
      </c>
      <c r="B16" s="65">
        <v>283</v>
      </c>
      <c r="C16" s="65">
        <v>591</v>
      </c>
    </row>
    <row r="17" spans="1:3" ht="24.9" customHeight="1" x14ac:dyDescent="0.3">
      <c r="A17" s="60">
        <v>43997</v>
      </c>
      <c r="B17" s="65">
        <v>280</v>
      </c>
      <c r="C17" s="65">
        <v>584</v>
      </c>
    </row>
    <row r="18" spans="1:3" ht="24.9" customHeight="1" x14ac:dyDescent="0.3">
      <c r="A18" s="60">
        <v>43998</v>
      </c>
      <c r="B18" s="65">
        <v>279</v>
      </c>
      <c r="C18" s="65">
        <v>582</v>
      </c>
    </row>
    <row r="19" spans="1:3" ht="24.9" customHeight="1" x14ac:dyDescent="0.3">
      <c r="A19" s="60">
        <v>43999</v>
      </c>
      <c r="B19" s="65">
        <v>278</v>
      </c>
      <c r="C19" s="65">
        <v>588</v>
      </c>
    </row>
    <row r="20" spans="1:3" ht="24.9" customHeight="1" x14ac:dyDescent="0.3">
      <c r="A20" s="60">
        <v>44000</v>
      </c>
      <c r="B20" s="65">
        <v>271</v>
      </c>
      <c r="C20" s="65">
        <v>579</v>
      </c>
    </row>
    <row r="21" spans="1:3" ht="24.9" customHeight="1" x14ac:dyDescent="0.3">
      <c r="A21" s="60">
        <v>44001</v>
      </c>
      <c r="B21" s="65">
        <v>242</v>
      </c>
      <c r="C21" s="65">
        <v>549</v>
      </c>
    </row>
    <row r="22" spans="1:3" ht="24.9" customHeight="1" x14ac:dyDescent="0.3">
      <c r="A22" s="60">
        <v>44002</v>
      </c>
      <c r="B22" s="65">
        <v>220</v>
      </c>
      <c r="C22" s="65">
        <v>531</v>
      </c>
    </row>
    <row r="23" spans="1:3" ht="24.9" customHeight="1" x14ac:dyDescent="0.3">
      <c r="A23" s="60">
        <v>44003</v>
      </c>
      <c r="B23" s="65">
        <v>220</v>
      </c>
      <c r="C23" s="65">
        <v>519</v>
      </c>
    </row>
    <row r="24" spans="1:3" ht="24.9" customHeight="1" x14ac:dyDescent="0.3">
      <c r="A24" s="60">
        <v>44004</v>
      </c>
      <c r="B24" s="65">
        <v>211</v>
      </c>
      <c r="C24" s="65">
        <v>510</v>
      </c>
    </row>
    <row r="25" spans="1:3" ht="24.9" customHeight="1" x14ac:dyDescent="0.3">
      <c r="A25" s="60">
        <v>44005</v>
      </c>
      <c r="B25" s="65">
        <v>206</v>
      </c>
      <c r="C25" s="65">
        <v>491</v>
      </c>
    </row>
    <row r="26" spans="1:3" ht="24.9" customHeight="1" x14ac:dyDescent="0.3">
      <c r="A26" s="60">
        <v>44006</v>
      </c>
      <c r="B26" s="65">
        <v>207</v>
      </c>
      <c r="C26" s="65">
        <v>493</v>
      </c>
    </row>
    <row r="27" spans="1:3" ht="24.9" customHeight="1" x14ac:dyDescent="0.3">
      <c r="A27" s="60">
        <v>44007</v>
      </c>
      <c r="B27" s="65">
        <v>204</v>
      </c>
      <c r="C27" s="65">
        <v>492</v>
      </c>
    </row>
    <row r="28" spans="1:3" ht="24.9" customHeight="1" x14ac:dyDescent="0.3">
      <c r="A28" s="60">
        <v>44008</v>
      </c>
      <c r="B28" s="65">
        <v>206</v>
      </c>
      <c r="C28" s="65">
        <v>493</v>
      </c>
    </row>
    <row r="29" spans="1:3" ht="24.9" customHeight="1" x14ac:dyDescent="0.3">
      <c r="A29" s="60">
        <v>44009</v>
      </c>
      <c r="B29" s="65">
        <v>205</v>
      </c>
      <c r="C29" s="65">
        <v>490</v>
      </c>
    </row>
    <row r="30" spans="1:3" ht="24.9" customHeight="1" x14ac:dyDescent="0.3">
      <c r="A30" s="60">
        <v>44010</v>
      </c>
      <c r="B30" s="65">
        <v>206</v>
      </c>
      <c r="C30" s="65">
        <v>484</v>
      </c>
    </row>
    <row r="31" spans="1:3" ht="24.9" customHeight="1" x14ac:dyDescent="0.3">
      <c r="A31" s="60">
        <v>44011</v>
      </c>
      <c r="B31" s="65">
        <v>203</v>
      </c>
      <c r="C31" s="65">
        <v>479</v>
      </c>
    </row>
    <row r="32" spans="1:3" ht="24.9" customHeight="1" x14ac:dyDescent="0.3">
      <c r="A32" s="60">
        <v>44012</v>
      </c>
      <c r="B32" s="65">
        <v>207</v>
      </c>
      <c r="C32" s="65">
        <v>478</v>
      </c>
    </row>
    <row r="33" spans="1:3" ht="24.9" customHeight="1" x14ac:dyDescent="0.3">
      <c r="A33" s="60"/>
      <c r="B33" s="61"/>
      <c r="C33" s="61"/>
    </row>
    <row r="34" spans="1:3" ht="30.75" customHeight="1" x14ac:dyDescent="0.3">
      <c r="A34" s="59" t="s">
        <v>82</v>
      </c>
      <c r="B34" s="62">
        <f>SUM(B3:B33)</f>
        <v>7121</v>
      </c>
      <c r="C34" s="62">
        <f>SUM(C3:C33)</f>
        <v>16026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dcterms:created xsi:type="dcterms:W3CDTF">2019-05-13T11:08:30Z</dcterms:created>
  <dcterms:modified xsi:type="dcterms:W3CDTF">2025-03-20T18:44:24Z</dcterms:modified>
  <cp:category/>
  <cp:contentStatus/>
</cp:coreProperties>
</file>