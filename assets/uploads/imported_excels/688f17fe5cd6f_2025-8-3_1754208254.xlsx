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37607FA8-85C0-473B-963D-9A96F7B85F7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F37" i="1" l="1"/>
  <c r="F38" i="1"/>
  <c r="G38" i="1" s="1"/>
  <c r="F28" i="1" l="1"/>
  <c r="F29" i="1"/>
  <c r="F30" i="1"/>
  <c r="F31" i="1"/>
  <c r="F32" i="1"/>
  <c r="J20" i="1"/>
  <c r="J21" i="1"/>
  <c r="J37" i="1"/>
  <c r="I32" i="2"/>
  <c r="B32" i="2"/>
  <c r="K20" i="1" l="1"/>
  <c r="K21" i="1"/>
  <c r="I2" i="2"/>
  <c r="J38" i="1"/>
  <c r="K38" i="1" s="1"/>
  <c r="J36" i="1"/>
  <c r="K36" i="1" s="1"/>
  <c r="F36" i="1"/>
  <c r="J35" i="1"/>
  <c r="F35" i="1"/>
  <c r="J34" i="1"/>
  <c r="K34" i="1" s="1"/>
  <c r="F34" i="1"/>
  <c r="G34" i="1" s="1"/>
  <c r="J33" i="1"/>
  <c r="K33" i="1" s="1"/>
  <c r="F33" i="1"/>
  <c r="G33" i="1" s="1"/>
  <c r="C33" i="1"/>
  <c r="J32" i="1"/>
  <c r="C32" i="1"/>
  <c r="J31" i="1"/>
  <c r="K31" i="1" s="1"/>
  <c r="C31" i="1"/>
  <c r="J30" i="1"/>
  <c r="C30" i="1"/>
  <c r="J29" i="1"/>
  <c r="K29" i="1" s="1"/>
  <c r="C29" i="1"/>
  <c r="J28" i="1"/>
  <c r="C28" i="1"/>
  <c r="J27" i="1"/>
  <c r="K27" i="1" s="1"/>
  <c r="F27" i="1"/>
  <c r="C27" i="1"/>
  <c r="J26" i="1"/>
  <c r="K26" i="1" s="1"/>
  <c r="F26" i="1"/>
  <c r="C26" i="1"/>
  <c r="J25" i="1"/>
  <c r="F25" i="1"/>
  <c r="C25" i="1"/>
  <c r="J24" i="1"/>
  <c r="K24" i="1" s="1"/>
  <c r="F24" i="1"/>
  <c r="C24" i="1"/>
  <c r="J23" i="1"/>
  <c r="K23" i="1" s="1"/>
  <c r="F23" i="1"/>
  <c r="C23" i="1"/>
  <c r="J22" i="1"/>
  <c r="K22" i="1" s="1"/>
  <c r="F22" i="1"/>
  <c r="C22" i="1"/>
  <c r="F21" i="1"/>
  <c r="C21" i="1"/>
  <c r="F20" i="1"/>
  <c r="C20" i="1"/>
  <c r="J19" i="1"/>
  <c r="F19" i="1"/>
  <c r="C19" i="1"/>
  <c r="J18" i="1"/>
  <c r="K18" i="1" s="1"/>
  <c r="F18" i="1"/>
  <c r="C18" i="1"/>
  <c r="J17" i="1"/>
  <c r="K17" i="1" s="1"/>
  <c r="F17" i="1"/>
  <c r="C17" i="1"/>
  <c r="J16" i="1"/>
  <c r="K16" i="1" s="1"/>
  <c r="F16" i="1"/>
  <c r="C16" i="1"/>
  <c r="J15" i="1"/>
  <c r="F15" i="1"/>
  <c r="C15" i="1"/>
  <c r="J14" i="1"/>
  <c r="K14" i="1" s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5" i="1" l="1"/>
  <c r="K15" i="1"/>
  <c r="I9" i="2" s="1"/>
  <c r="K19" i="1"/>
  <c r="K25" i="1"/>
  <c r="K28" i="1"/>
  <c r="K30" i="1"/>
  <c r="I24" i="2" s="1"/>
  <c r="K32" i="1"/>
  <c r="K37" i="1"/>
  <c r="I31" i="2" s="1"/>
  <c r="G35" i="1"/>
  <c r="G36" i="1"/>
  <c r="G37" i="1"/>
  <c r="E31" i="2" s="1"/>
  <c r="G19" i="1"/>
  <c r="E13" i="2" s="1"/>
  <c r="G18" i="1"/>
  <c r="G17" i="1"/>
  <c r="E11" i="2" s="1"/>
  <c r="G31" i="1"/>
  <c r="E25" i="2" s="1"/>
  <c r="I26" i="2"/>
  <c r="G32" i="1"/>
  <c r="E26" i="2" s="1"/>
  <c r="E29" i="2"/>
  <c r="I30" i="2"/>
  <c r="E28" i="2"/>
  <c r="E32" i="2"/>
  <c r="I27" i="2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E12" i="2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E30" i="2"/>
  <c r="I28" i="2"/>
  <c r="K9" i="1"/>
  <c r="I3" i="2" s="1"/>
  <c r="K10" i="1"/>
  <c r="I4" i="2" s="1"/>
  <c r="K11" i="1"/>
  <c r="I5" i="2" s="1"/>
  <c r="K12" i="1"/>
  <c r="I6" i="2" s="1"/>
  <c r="K13" i="1"/>
  <c r="I7" i="2" s="1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5" i="2"/>
  <c r="E27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<sst xmlns="http://schemas.openxmlformats.org/spreadsheetml/2006/main" count="65" uniqueCount="31">
  <si>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</si>
  <si>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</si>
  <si>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</si>
  <si>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</si>
  <si>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</si>
  <si>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</si>
  <si>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</si>
  <si>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Consum</t>
  </si>
  <si>
    <t>Water     (M³)</t>
  </si>
  <si>
    <t>%</t>
  </si>
  <si>
    <t>Room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</si>
  <si>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</si>
  <si>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</si>
  <si>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</si>
  <si>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</si>
  <si>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</si>
  <si>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</si>
  <si>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</si>
  <si>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</si>
  <si>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</si>
  <si>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</si>
  <si>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</si>
  <si>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</si>
  <si>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</si>
  <si>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</si>
  <si>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</si>
  <si>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July-2025          </t>
  </si>
  <si>
    <t>I5TD001355</t>
  </si>
  <si>
    <t>I5TD001358</t>
  </si>
  <si>
    <t>H4019D64240084</t>
  </si>
  <si>
    <t>H4021D72713735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</si>
</sst>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1" fontId="11" fillId="4" borderId="6" xfId="0" applyNumberFormat="1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>
      <alignment horizontal="center" vertical="center" wrapText="1"/>
    </xf>
    <xf numFmtId="1" fontId="11" fillId="4" borderId="7" xfId="0" applyNumberFormat="1" applyFont="1" applyFill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1" fillId="4" borderId="9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tabSelected="1" workbookViewId="0">
      <selection activeCell="N8" sqref="N8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12</v>
      </c>
      <c r="B1" s="6" t="s">
        <v>13</v>
      </c>
      <c r="C1" s="6" t="s">
        <v>14</v>
      </c>
      <c r="D1" s="6" t="s">
        <v>15</v>
      </c>
      <c r="E1" s="7" t="s">
        <v>16</v>
      </c>
      <c r="F1" s="8" t="s">
        <v>17</v>
      </c>
      <c r="G1" s="7" t="s">
        <v>18</v>
      </c>
      <c r="H1" s="8" t="s">
        <v>19</v>
      </c>
      <c r="I1" s="7" t="s">
        <v>20</v>
      </c>
      <c r="J1" s="9" t="s">
        <v>21</v>
      </c>
      <c r="K1" s="7" t="s">
        <v>22</v>
      </c>
      <c r="L1" s="7" t="s">
        <v>23</v>
      </c>
    </row>
    <row r="2" spans="1:12">
      <c r="A2" s="11" t="s">
        <v>24</v>
      </c>
      <c r="B2" s="12">
        <v>1</v>
      </c>
      <c r="C2" s="12">
        <v>8</v>
      </c>
      <c r="D2" s="12">
        <v>2025</v>
      </c>
      <c r="E2" s="13">
        <f>'Consum.'!G8</f>
        <v>18789</v>
      </c>
      <c r="F2" s="14">
        <v>0.2</v>
      </c>
      <c r="G2" s="13"/>
      <c r="I2" s="13">
        <f>'Consum.'!K8</f>
        <v>67</v>
      </c>
      <c r="J2" s="15">
        <v>7.84</v>
      </c>
      <c r="K2" s="13">
        <v>208</v>
      </c>
      <c r="L2" s="13">
        <v>271</v>
      </c>
    </row>
    <row r="3" spans="1:12">
      <c r="A3" s="11" t="s">
        <v>24</v>
      </c>
      <c r="B3" s="12">
        <f>B2+1</f>
        <v>2</v>
      </c>
      <c r="C3" s="12">
        <v>8</v>
      </c>
      <c r="D3" s="12">
        <v>2025</v>
      </c>
      <c r="E3" s="13">
        <f>'Consum.'!G9</f>
        <v>17234</v>
      </c>
      <c r="F3" s="14">
        <v>0.2</v>
      </c>
      <c r="G3" s="13"/>
      <c r="I3" s="13">
        <f>'Consum.'!K9</f>
        <v>52</v>
      </c>
      <c r="J3" s="15">
        <v>7.84</v>
      </c>
      <c r="K3" s="13"/>
      <c r="L3" s="13"/>
    </row>
    <row r="4" spans="1:12">
      <c r="A4" s="11" t="s">
        <v>24</v>
      </c>
      <c r="B4" s="12">
        <f t="shared" ref="B4:B32" si="0">B3+1</f>
        <v>3</v>
      </c>
      <c r="C4" s="12">
        <v>8</v>
      </c>
      <c r="D4" s="12">
        <v>2025</v>
      </c>
      <c r="E4" s="13">
        <f>'Consum.'!G10</f>
        <v>-29641200</v>
      </c>
      <c r="F4" s="14">
        <v>0.2</v>
      </c>
      <c r="G4" s="13"/>
      <c r="I4" s="13">
        <f>'Consum.'!K10</f>
        <v>-78632</v>
      </c>
      <c r="J4" s="15">
        <v>7.84</v>
      </c>
      <c r="K4" s="13"/>
      <c r="L4" s="13"/>
    </row>
    <row r="5" spans="1:12">
      <c r="A5" s="11" t="s">
        <v>24</v>
      </c>
      <c r="B5" s="12">
        <f t="shared" si="0"/>
        <v>4</v>
      </c>
      <c r="C5" s="12">
        <v>8</v>
      </c>
      <c r="D5" s="12">
        <v>2025</v>
      </c>
      <c r="E5" s="13">
        <f>'Consum.'!G11</f>
        <v>0</v>
      </c>
      <c r="F5" s="14">
        <v>0.2</v>
      </c>
      <c r="G5" s="13"/>
      <c r="I5" s="13">
        <f>'Consum.'!K11</f>
        <v>0</v>
      </c>
      <c r="J5" s="15">
        <v>7.84</v>
      </c>
      <c r="K5" s="13"/>
      <c r="L5" s="13"/>
    </row>
    <row r="6" spans="1:12">
      <c r="A6" s="11" t="s">
        <v>24</v>
      </c>
      <c r="B6" s="12">
        <f t="shared" si="0"/>
        <v>5</v>
      </c>
      <c r="C6" s="12">
        <v>8</v>
      </c>
      <c r="D6" s="12">
        <v>2025</v>
      </c>
      <c r="E6" s="13">
        <f>'Consum.'!G12</f>
        <v>0</v>
      </c>
      <c r="F6" s="14">
        <v>0.2</v>
      </c>
      <c r="G6" s="13"/>
      <c r="I6" s="13">
        <f>'Consum.'!K12</f>
        <v>0</v>
      </c>
      <c r="J6" s="15">
        <v>7.84</v>
      </c>
      <c r="K6" s="13"/>
      <c r="L6" s="13"/>
    </row>
    <row r="7" spans="1:12">
      <c r="A7" s="11" t="s">
        <v>24</v>
      </c>
      <c r="B7" s="12">
        <f t="shared" si="0"/>
        <v>6</v>
      </c>
      <c r="C7" s="12">
        <v>8</v>
      </c>
      <c r="D7" s="12">
        <v>2025</v>
      </c>
      <c r="E7" s="13">
        <f>'Consum.'!G13</f>
        <v>0</v>
      </c>
      <c r="F7" s="14">
        <v>0.2</v>
      </c>
      <c r="G7" s="13"/>
      <c r="I7" s="13">
        <f>'Consum.'!K13</f>
        <v>0</v>
      </c>
      <c r="J7" s="15">
        <v>7.84</v>
      </c>
      <c r="K7" s="13"/>
      <c r="L7" s="13"/>
    </row>
    <row r="8" spans="1:12">
      <c r="A8" s="11" t="s">
        <v>24</v>
      </c>
      <c r="B8" s="12">
        <f t="shared" si="0"/>
        <v>7</v>
      </c>
      <c r="C8" s="12">
        <v>8</v>
      </c>
      <c r="D8" s="12">
        <v>2025</v>
      </c>
      <c r="E8" s="13">
        <f>'Consum.'!G14</f>
        <v>0</v>
      </c>
      <c r="F8" s="14">
        <v>0.2</v>
      </c>
      <c r="G8" s="13"/>
      <c r="I8" s="13">
        <f>'Consum.'!K14</f>
        <v>0</v>
      </c>
      <c r="J8" s="15">
        <v>7.84</v>
      </c>
      <c r="K8" s="13"/>
      <c r="L8" s="13"/>
    </row>
    <row r="9" spans="1:12">
      <c r="A9" s="11" t="s">
        <v>24</v>
      </c>
      <c r="B9" s="12">
        <f t="shared" si="0"/>
        <v>8</v>
      </c>
      <c r="C9" s="12">
        <v>8</v>
      </c>
      <c r="D9" s="12">
        <v>2025</v>
      </c>
      <c r="E9" s="13">
        <f>'Consum.'!G15</f>
        <v>0</v>
      </c>
      <c r="F9" s="14">
        <v>0.2</v>
      </c>
      <c r="G9" s="13"/>
      <c r="I9" s="13">
        <f>'Consum.'!K15</f>
        <v>0</v>
      </c>
      <c r="J9" s="15">
        <v>7.84</v>
      </c>
      <c r="K9" s="13"/>
      <c r="L9" s="13"/>
    </row>
    <row r="10" spans="1:12">
      <c r="A10" s="11" t="s">
        <v>24</v>
      </c>
      <c r="B10" s="12">
        <f t="shared" si="0"/>
        <v>9</v>
      </c>
      <c r="C10" s="12">
        <v>8</v>
      </c>
      <c r="D10" s="12">
        <v>2025</v>
      </c>
      <c r="E10" s="13">
        <f>'Consum.'!G16</f>
        <v>0</v>
      </c>
      <c r="F10" s="14">
        <v>0.2</v>
      </c>
      <c r="G10" s="13"/>
      <c r="I10" s="13">
        <f>'Consum.'!K16</f>
        <v>0</v>
      </c>
      <c r="J10" s="15">
        <v>7.84</v>
      </c>
      <c r="K10" s="13"/>
      <c r="L10" s="13"/>
    </row>
    <row r="11" spans="1:12">
      <c r="A11" s="11" t="s">
        <v>24</v>
      </c>
      <c r="B11" s="12">
        <f t="shared" si="0"/>
        <v>10</v>
      </c>
      <c r="C11" s="12">
        <v>8</v>
      </c>
      <c r="D11" s="12">
        <v>2025</v>
      </c>
      <c r="E11" s="13">
        <f>'Consum.'!G17</f>
        <v>0</v>
      </c>
      <c r="F11" s="14">
        <v>0.2</v>
      </c>
      <c r="G11" s="13"/>
      <c r="I11" s="13">
        <f>'Consum.'!K17</f>
        <v>0</v>
      </c>
      <c r="J11" s="15">
        <v>7.84</v>
      </c>
      <c r="K11" s="13"/>
      <c r="L11" s="13"/>
    </row>
    <row r="12" spans="1:12">
      <c r="A12" s="11" t="s">
        <v>24</v>
      </c>
      <c r="B12" s="12">
        <f t="shared" si="0"/>
        <v>11</v>
      </c>
      <c r="C12" s="12">
        <v>8</v>
      </c>
      <c r="D12" s="12">
        <v>2025</v>
      </c>
      <c r="E12" s="13">
        <f>'Consum.'!G18</f>
        <v>0</v>
      </c>
      <c r="F12" s="14">
        <v>0.2</v>
      </c>
      <c r="G12" s="13"/>
      <c r="I12" s="13">
        <f>'Consum.'!K18</f>
        <v>0</v>
      </c>
      <c r="J12" s="15">
        <v>7.84</v>
      </c>
      <c r="K12" s="13"/>
      <c r="L12" s="13"/>
    </row>
    <row r="13" spans="1:12">
      <c r="A13" s="11" t="s">
        <v>24</v>
      </c>
      <c r="B13" s="12">
        <f t="shared" si="0"/>
        <v>12</v>
      </c>
      <c r="C13" s="12">
        <v>8</v>
      </c>
      <c r="D13" s="12">
        <v>2025</v>
      </c>
      <c r="E13" s="13">
        <f>'Consum.'!G19</f>
        <v>0</v>
      </c>
      <c r="F13" s="14">
        <v>0.2</v>
      </c>
      <c r="G13" s="13"/>
      <c r="I13" s="13">
        <f>'Consum.'!K19</f>
        <v>0</v>
      </c>
      <c r="J13" s="15">
        <v>7.84</v>
      </c>
      <c r="K13" s="13"/>
      <c r="L13" s="13"/>
    </row>
    <row r="14" spans="1:12">
      <c r="A14" s="11" t="s">
        <v>24</v>
      </c>
      <c r="B14" s="12">
        <f t="shared" si="0"/>
        <v>13</v>
      </c>
      <c r="C14" s="12">
        <v>8</v>
      </c>
      <c r="D14" s="12">
        <v>2025</v>
      </c>
      <c r="E14" s="13">
        <f>'Consum.'!G20</f>
        <v>0</v>
      </c>
      <c r="F14" s="14">
        <v>0.2</v>
      </c>
      <c r="G14" s="13"/>
      <c r="I14" s="13">
        <f>'Consum.'!K20</f>
        <v>0</v>
      </c>
      <c r="J14" s="15">
        <v>7.84</v>
      </c>
      <c r="K14" s="13"/>
      <c r="L14" s="13"/>
    </row>
    <row r="15" spans="1:12">
      <c r="A15" s="11" t="s">
        <v>24</v>
      </c>
      <c r="B15" s="12">
        <f t="shared" si="0"/>
        <v>14</v>
      </c>
      <c r="C15" s="12">
        <v>8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/>
      <c r="L15" s="13"/>
    </row>
    <row r="16" spans="1:12">
      <c r="A16" s="11" t="s">
        <v>24</v>
      </c>
      <c r="B16" s="12">
        <f t="shared" si="0"/>
        <v>15</v>
      </c>
      <c r="C16" s="12">
        <v>8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/>
      <c r="L16" s="13"/>
    </row>
    <row r="17" spans="1:12">
      <c r="A17" s="11" t="s">
        <v>24</v>
      </c>
      <c r="B17" s="12">
        <f t="shared" si="0"/>
        <v>16</v>
      </c>
      <c r="C17" s="12">
        <v>8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/>
      <c r="L17" s="13"/>
    </row>
    <row r="18" spans="1:12">
      <c r="A18" s="11" t="s">
        <v>24</v>
      </c>
      <c r="B18" s="12">
        <f t="shared" si="0"/>
        <v>17</v>
      </c>
      <c r="C18" s="12">
        <v>8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/>
      <c r="L18" s="13"/>
    </row>
    <row r="19" spans="1:12">
      <c r="A19" s="11" t="s">
        <v>24</v>
      </c>
      <c r="B19" s="12">
        <f t="shared" si="0"/>
        <v>18</v>
      </c>
      <c r="C19" s="12">
        <v>8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/>
      <c r="L19" s="13"/>
    </row>
    <row r="20" spans="1:12">
      <c r="A20" s="11" t="s">
        <v>24</v>
      </c>
      <c r="B20" s="12">
        <f t="shared" si="0"/>
        <v>19</v>
      </c>
      <c r="C20" s="12">
        <v>8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/>
      <c r="L20" s="13"/>
    </row>
    <row r="21" spans="1:12">
      <c r="A21" s="11" t="s">
        <v>24</v>
      </c>
      <c r="B21" s="12">
        <f t="shared" si="0"/>
        <v>20</v>
      </c>
      <c r="C21" s="12">
        <v>8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24</v>
      </c>
      <c r="B22" s="12">
        <f t="shared" si="0"/>
        <v>21</v>
      </c>
      <c r="C22" s="12">
        <v>8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24</v>
      </c>
      <c r="B23" s="12">
        <f t="shared" si="0"/>
        <v>22</v>
      </c>
      <c r="C23" s="12">
        <v>8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24</v>
      </c>
      <c r="B24" s="12">
        <f t="shared" si="0"/>
        <v>23</v>
      </c>
      <c r="C24" s="12">
        <v>8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24</v>
      </c>
      <c r="B25" s="12">
        <f t="shared" si="0"/>
        <v>24</v>
      </c>
      <c r="C25" s="12">
        <v>8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24</v>
      </c>
      <c r="B26" s="12">
        <f>B25+1</f>
        <v>25</v>
      </c>
      <c r="C26" s="12">
        <v>8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24</v>
      </c>
      <c r="B27" s="12">
        <f t="shared" si="0"/>
        <v>26</v>
      </c>
      <c r="C27" s="12">
        <v>8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24</v>
      </c>
      <c r="B28" s="12">
        <f t="shared" si="0"/>
        <v>27</v>
      </c>
      <c r="C28" s="12">
        <v>8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24</v>
      </c>
      <c r="B29" s="12">
        <f t="shared" si="0"/>
        <v>28</v>
      </c>
      <c r="C29" s="12">
        <v>8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24</v>
      </c>
      <c r="B30" s="12">
        <f t="shared" si="0"/>
        <v>29</v>
      </c>
      <c r="C30" s="12">
        <v>8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24</v>
      </c>
      <c r="B31" s="12">
        <f t="shared" si="0"/>
        <v>30</v>
      </c>
      <c r="C31" s="12">
        <v>8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/>
      <c r="L31" s="13"/>
    </row>
    <row r="32" spans="1:12">
      <c r="A32" s="11" t="s">
        <v>24</v>
      </c>
      <c r="B32" s="12">
        <f t="shared" si="0"/>
        <v>31</v>
      </c>
      <c r="C32" s="12">
        <v>8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'Consum.'!K39</f>
        <v>0</v>
      </c>
      <c r="J32" s="15">
        <v>7.84</v>
      </c>
      <c r="K32" s="13"/>
      <c r="L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zoomScale="70" zoomScaleNormal="70" zoomScaleSheetLayoutView="100" workbookViewId="0">
      <selection activeCell="J9" sqref="J9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47" t="s">
        <v>11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4" ht="96.75" customHeight="1">
      <c r="A2" s="46" t="s">
        <v>26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4" s="5" customFormat="1" ht="15.2" customHeight="1">
      <c r="A3" s="20" t="s">
        <v>0</v>
      </c>
      <c r="B3" s="43" t="s">
        <v>1</v>
      </c>
      <c r="C3" s="43"/>
      <c r="D3" s="44" t="s">
        <v>3</v>
      </c>
      <c r="E3" s="44"/>
      <c r="F3" s="44"/>
      <c r="G3" s="44"/>
      <c r="H3" s="45" t="s">
        <v>8</v>
      </c>
      <c r="I3" s="45"/>
      <c r="J3" s="45"/>
      <c r="K3" s="45"/>
      <c r="L3" s="24" t="s">
        <v>5</v>
      </c>
      <c r="M3" s="24" t="s">
        <v>5</v>
      </c>
    </row>
    <row r="4" spans="1:14" s="5" customFormat="1" ht="15" customHeight="1">
      <c r="A4" s="20"/>
      <c r="B4" s="43"/>
      <c r="C4" s="43"/>
      <c r="D4" s="44"/>
      <c r="E4" s="44"/>
      <c r="F4" s="44"/>
      <c r="G4" s="44"/>
      <c r="H4" s="45"/>
      <c r="I4" s="45"/>
      <c r="J4" s="45"/>
      <c r="K4" s="45"/>
      <c r="L4" s="24" t="s">
        <v>6</v>
      </c>
      <c r="M4" s="24" t="s">
        <v>25</v>
      </c>
    </row>
    <row r="5" spans="1:14" s="5" customFormat="1">
      <c r="A5" s="25"/>
      <c r="B5" s="21" t="s">
        <v>9</v>
      </c>
      <c r="C5" s="26" t="s">
        <v>10</v>
      </c>
      <c r="D5" s="22" t="s">
        <v>27</v>
      </c>
      <c r="E5" s="22" t="s">
        <v>28</v>
      </c>
      <c r="F5" s="22" t="s">
        <v>2</v>
      </c>
      <c r="G5" s="22" t="s">
        <v>7</v>
      </c>
      <c r="H5" s="23" t="s">
        <v>30</v>
      </c>
      <c r="I5" s="23" t="s">
        <v>29</v>
      </c>
      <c r="J5" s="23" t="s">
        <v>2</v>
      </c>
      <c r="K5" s="23" t="s">
        <v>7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28">
        <v>31</v>
      </c>
      <c r="B7" s="29"/>
      <c r="C7" s="30"/>
      <c r="D7" s="39">
        <v>23343033</v>
      </c>
      <c r="E7" s="38">
        <v>6262144</v>
      </c>
      <c r="F7" s="30">
        <f t="shared" ref="F7" si="0">(D7+E7)</f>
        <v>29605177</v>
      </c>
      <c r="G7" s="30">
        <f t="shared" ref="G7" si="1">(F7-F6)</f>
        <v>29605177</v>
      </c>
      <c r="H7" s="39">
        <v>29656</v>
      </c>
      <c r="I7" s="38">
        <v>48867</v>
      </c>
      <c r="J7" s="30">
        <f>H7+I7</f>
        <v>78523</v>
      </c>
      <c r="K7" s="30">
        <f t="shared" ref="K7" si="2">(J7-J6)</f>
        <v>78523</v>
      </c>
      <c r="L7" s="35"/>
      <c r="M7" s="32"/>
      <c r="N7" s="4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23359022</v>
      </c>
      <c r="E8" s="31">
        <v>6264944</v>
      </c>
      <c r="F8" s="30">
        <f t="shared" ref="F8:F38" si="4">(D8+E8)</f>
        <v>29623966</v>
      </c>
      <c r="G8" s="30">
        <f t="shared" ref="G8:G38" si="5">(F8-F7)</f>
        <v>18789</v>
      </c>
      <c r="H8" s="33">
        <v>29691</v>
      </c>
      <c r="I8" s="33">
        <v>48889</v>
      </c>
      <c r="J8" s="30">
        <f>H8+I8</f>
        <v>78580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23373630</v>
      </c>
      <c r="E9" s="34">
        <v>6267570</v>
      </c>
      <c r="F9" s="30">
        <f t="shared" si="4"/>
        <v>29641200</v>
      </c>
      <c r="G9" s="30">
        <f t="shared" si="5"/>
        <v>17234</v>
      </c>
      <c r="H9" s="31">
        <v>29719</v>
      </c>
      <c r="I9" s="31">
        <v>48913</v>
      </c>
      <c r="J9" s="30">
        <f t="shared" ref="J9:J36" si="6">H9+I9</f>
        <v>78632</v>
      </c>
      <c r="K9" s="30">
        <f t="shared" ref="K9:K38" si="7">(J9-J8)</f>
        <v>52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/>
      <c r="E10" s="31"/>
      <c r="F10" s="30">
        <f t="shared" si="4"/>
        <v>0</v>
      </c>
      <c r="G10" s="30">
        <f t="shared" si="5"/>
        <v>-29641200</v>
      </c>
      <c r="H10" s="31"/>
      <c r="I10" s="31"/>
      <c r="J10" s="30">
        <f t="shared" si="6"/>
        <v>0</v>
      </c>
      <c r="K10" s="30">
        <f t="shared" si="7"/>
        <v>-78632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/>
      <c r="E11" s="31"/>
      <c r="F11" s="30">
        <f t="shared" si="4"/>
        <v>0</v>
      </c>
      <c r="G11" s="30">
        <f t="shared" si="5"/>
        <v>0</v>
      </c>
      <c r="H11" s="31"/>
      <c r="I11" s="31"/>
      <c r="J11" s="30">
        <f t="shared" si="6"/>
        <v>0</v>
      </c>
      <c r="K11" s="30">
        <f t="shared" si="7"/>
        <v>0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/>
      <c r="E12" s="31"/>
      <c r="F12" s="30">
        <f t="shared" si="4"/>
        <v>0</v>
      </c>
      <c r="G12" s="30">
        <f t="shared" si="5"/>
        <v>0</v>
      </c>
      <c r="H12" s="31"/>
      <c r="I12" s="31"/>
      <c r="J12" s="30">
        <f t="shared" si="6"/>
        <v>0</v>
      </c>
      <c r="K12" s="30">
        <f t="shared" si="7"/>
        <v>0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/>
      <c r="E13" s="31"/>
      <c r="F13" s="30">
        <f t="shared" si="4"/>
        <v>0</v>
      </c>
      <c r="G13" s="30">
        <f t="shared" si="5"/>
        <v>0</v>
      </c>
      <c r="H13" s="31"/>
      <c r="I13" s="31"/>
      <c r="J13" s="30">
        <f t="shared" si="6"/>
        <v>0</v>
      </c>
      <c r="K13" s="30">
        <f t="shared" si="7"/>
        <v>0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/>
      <c r="E14" s="31"/>
      <c r="F14" s="30">
        <f t="shared" si="4"/>
        <v>0</v>
      </c>
      <c r="G14" s="30">
        <f t="shared" si="5"/>
        <v>0</v>
      </c>
      <c r="H14" s="31"/>
      <c r="I14" s="31"/>
      <c r="J14" s="30">
        <f t="shared" si="6"/>
        <v>0</v>
      </c>
      <c r="K14" s="30">
        <f t="shared" si="7"/>
        <v>0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/>
      <c r="E15" s="31"/>
      <c r="F15" s="30">
        <f t="shared" si="4"/>
        <v>0</v>
      </c>
      <c r="G15" s="30">
        <f t="shared" si="5"/>
        <v>0</v>
      </c>
      <c r="H15" s="31"/>
      <c r="I15" s="31"/>
      <c r="J15" s="30">
        <f t="shared" si="6"/>
        <v>0</v>
      </c>
      <c r="K15" s="30">
        <f t="shared" si="7"/>
        <v>0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/>
      <c r="E16" s="31"/>
      <c r="F16" s="30">
        <f t="shared" si="4"/>
        <v>0</v>
      </c>
      <c r="G16" s="30">
        <f t="shared" si="5"/>
        <v>0</v>
      </c>
      <c r="H16" s="31"/>
      <c r="I16" s="31"/>
      <c r="J16" s="30">
        <f t="shared" si="6"/>
        <v>0</v>
      </c>
      <c r="K16" s="30">
        <f t="shared" si="7"/>
        <v>0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/>
      <c r="E17" s="31"/>
      <c r="F17" s="30">
        <f t="shared" si="4"/>
        <v>0</v>
      </c>
      <c r="G17" s="30">
        <f t="shared" si="5"/>
        <v>0</v>
      </c>
      <c r="H17" s="31"/>
      <c r="I17" s="31"/>
      <c r="J17" s="30">
        <f t="shared" si="6"/>
        <v>0</v>
      </c>
      <c r="K17" s="30">
        <f t="shared" si="7"/>
        <v>0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/>
      <c r="E18" s="31"/>
      <c r="F18" s="30">
        <f t="shared" si="4"/>
        <v>0</v>
      </c>
      <c r="G18" s="30">
        <f t="shared" si="5"/>
        <v>0</v>
      </c>
      <c r="H18" s="31"/>
      <c r="I18" s="31"/>
      <c r="J18" s="30">
        <f t="shared" si="6"/>
        <v>0</v>
      </c>
      <c r="K18" s="30">
        <f t="shared" si="7"/>
        <v>0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/>
      <c r="E19" s="31"/>
      <c r="F19" s="30">
        <f t="shared" si="4"/>
        <v>0</v>
      </c>
      <c r="G19" s="30">
        <f t="shared" si="5"/>
        <v>0</v>
      </c>
      <c r="H19" s="31"/>
      <c r="I19" s="31"/>
      <c r="J19" s="30">
        <f t="shared" si="6"/>
        <v>0</v>
      </c>
      <c r="K19" s="30">
        <f t="shared" si="7"/>
        <v>0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0</v>
      </c>
      <c r="H20" s="31"/>
      <c r="I20" s="31"/>
      <c r="J20" s="30">
        <f t="shared" si="6"/>
        <v>0</v>
      </c>
      <c r="K20" s="30">
        <f t="shared" si="7"/>
        <v>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ref="J22:J29" si="8">H22+I21</f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8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8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8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8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8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8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42"/>
      <c r="J29" s="30">
        <f t="shared" si="8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 t="shared" si="7"/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8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9"/>
      <c r="E33" s="38"/>
      <c r="F33" s="30">
        <f>(D33+E32)</f>
        <v>0</v>
      </c>
      <c r="G33" s="30">
        <f t="shared" si="5"/>
        <v>0</v>
      </c>
      <c r="H33" s="39"/>
      <c r="I33" s="38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9"/>
      <c r="E34" s="38"/>
      <c r="F34" s="30">
        <f>(D34+E33)</f>
        <v>0</v>
      </c>
      <c r="G34" s="30">
        <f t="shared" si="5"/>
        <v>0</v>
      </c>
      <c r="H34" s="39"/>
      <c r="I34" s="38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9"/>
      <c r="E35" s="41"/>
      <c r="F35" s="30">
        <f>(D35+E34)</f>
        <v>0</v>
      </c>
      <c r="G35" s="30">
        <f t="shared" si="5"/>
        <v>0</v>
      </c>
      <c r="H35" s="39"/>
      <c r="I35" s="38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9"/>
      <c r="E36" s="38"/>
      <c r="F36" s="30">
        <f t="shared" si="4"/>
        <v>0</v>
      </c>
      <c r="G36" s="30">
        <f t="shared" si="5"/>
        <v>0</v>
      </c>
      <c r="H36" s="39"/>
      <c r="I36" s="40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 ht="15" customHeight="1">
      <c r="A38" s="28">
        <v>31</v>
      </c>
      <c r="B38" s="29"/>
      <c r="C38" s="30"/>
      <c r="D38" s="39"/>
      <c r="E38" s="38"/>
      <c r="F38" s="30">
        <f t="shared" si="4"/>
        <v>0</v>
      </c>
      <c r="G38" s="30">
        <f t="shared" si="5"/>
        <v>0</v>
      </c>
      <c r="H38" s="39"/>
      <c r="I38" s="38"/>
      <c r="J38" s="30">
        <f>H38+I38</f>
        <v>0</v>
      </c>
      <c r="K38" s="30">
        <f t="shared" si="7"/>
        <v>0</v>
      </c>
      <c r="L38" s="35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2025-08-03T07:51:40Z</dcterms:modified>
</cp:coreProperties>
</file>