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muhammad_waseem_babalnojoum_com/Documents/Desktop/HEP 2025 - Liwa &amp; Mugheria/Mugheria/Al Mugheirah HEP 2026/"/>
    </mc:Choice>
  </mc:AlternateContent>
  <xr:revisionPtr revIDLastSave="710" documentId="13_ncr:1_{F8A65060-722C-4A64-99D8-EF71068E6823}" xr6:coauthVersionLast="47" xr6:coauthVersionMax="47" xr10:uidLastSave="{970CC36F-F8EA-4D76-9F10-E8FC09313177}"/>
  <bookViews>
    <workbookView xWindow="-120" yWindow="-120" windowWidth="29040" windowHeight="15720" tabRatio="783" xr2:uid="{00000000-000D-0000-FFFF-FFFF00000000}"/>
  </bookViews>
  <sheets>
    <sheet name="Total" sheetId="15" r:id="rId1"/>
    <sheet name="BAN-M Electrical &amp; Water Dec25" sheetId="14" r:id="rId2"/>
  </sheets>
  <definedNames>
    <definedName name="_xlnm.Print_Area" localSheetId="1">'BAN-M Electrical &amp; Water Dec25'!$C$1:$K$35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4" l="1"/>
  <c r="D37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H34" i="14"/>
  <c r="D13" i="14" l="1"/>
  <c r="J37" i="14" l="1"/>
  <c r="H37" i="14"/>
  <c r="F37" i="14"/>
  <c r="J36" i="14"/>
  <c r="H36" i="14"/>
  <c r="F36" i="14"/>
  <c r="D36" i="14"/>
  <c r="J34" i="14"/>
  <c r="G29" i="15" s="1"/>
  <c r="F34" i="14"/>
  <c r="E29" i="15" s="1"/>
  <c r="D34" i="14"/>
  <c r="J33" i="14"/>
  <c r="H33" i="14"/>
  <c r="G28" i="15" s="1"/>
  <c r="F33" i="14"/>
  <c r="E28" i="15" s="1"/>
  <c r="D33" i="14"/>
  <c r="J32" i="14"/>
  <c r="H32" i="14"/>
  <c r="G27" i="15" s="1"/>
  <c r="F32" i="14"/>
  <c r="E27" i="15" s="1"/>
  <c r="D32" i="14"/>
  <c r="J31" i="14"/>
  <c r="H31" i="14"/>
  <c r="G26" i="15" s="1"/>
  <c r="F31" i="14"/>
  <c r="E26" i="15" s="1"/>
  <c r="D31" i="14"/>
  <c r="J30" i="14"/>
  <c r="H30" i="14"/>
  <c r="F30" i="14"/>
  <c r="E25" i="15" s="1"/>
  <c r="D30" i="14"/>
  <c r="J29" i="14"/>
  <c r="H29" i="14"/>
  <c r="G24" i="15" s="1"/>
  <c r="F29" i="14"/>
  <c r="E24" i="15" s="1"/>
  <c r="D29" i="14"/>
  <c r="J28" i="14"/>
  <c r="H28" i="14"/>
  <c r="G23" i="15" s="1"/>
  <c r="F28" i="14"/>
  <c r="E23" i="15" s="1"/>
  <c r="D28" i="14"/>
  <c r="J27" i="14"/>
  <c r="H27" i="14"/>
  <c r="G22" i="15" s="1"/>
  <c r="F27" i="14"/>
  <c r="E22" i="15" s="1"/>
  <c r="D27" i="14"/>
  <c r="J26" i="14"/>
  <c r="H26" i="14"/>
  <c r="G21" i="15" s="1"/>
  <c r="F26" i="14"/>
  <c r="E21" i="15" s="1"/>
  <c r="D26" i="14"/>
  <c r="J25" i="14"/>
  <c r="H25" i="14"/>
  <c r="G20" i="15" s="1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G17" i="15" s="1"/>
  <c r="F22" i="14"/>
  <c r="E17" i="15" s="1"/>
  <c r="D22" i="14"/>
  <c r="J21" i="14"/>
  <c r="H21" i="14"/>
  <c r="G16" i="15" s="1"/>
  <c r="F21" i="14"/>
  <c r="E16" i="15" s="1"/>
  <c r="D21" i="14"/>
  <c r="J20" i="14"/>
  <c r="H20" i="14"/>
  <c r="G15" i="15" s="1"/>
  <c r="F20" i="14"/>
  <c r="E15" i="15" s="1"/>
  <c r="D20" i="14"/>
  <c r="J19" i="14"/>
  <c r="H19" i="14"/>
  <c r="G14" i="15" s="1"/>
  <c r="F19" i="14"/>
  <c r="E14" i="15" s="1"/>
  <c r="D19" i="14"/>
  <c r="J18" i="14"/>
  <c r="H18" i="14"/>
  <c r="G13" i="15" s="1"/>
  <c r="F18" i="14"/>
  <c r="E13" i="15" s="1"/>
  <c r="D18" i="14"/>
  <c r="J17" i="14"/>
  <c r="H17" i="14"/>
  <c r="G12" i="15" s="1"/>
  <c r="F17" i="14"/>
  <c r="E12" i="15" s="1"/>
  <c r="D17" i="14"/>
  <c r="J16" i="14"/>
  <c r="H16" i="14"/>
  <c r="F16" i="14"/>
  <c r="E11" i="15" s="1"/>
  <c r="D16" i="14"/>
  <c r="J15" i="14"/>
  <c r="H15" i="14"/>
  <c r="G10" i="15" s="1"/>
  <c r="F15" i="14"/>
  <c r="E10" i="15" s="1"/>
  <c r="D15" i="14"/>
  <c r="J14" i="14"/>
  <c r="H14" i="14"/>
  <c r="G9" i="15" s="1"/>
  <c r="F14" i="14"/>
  <c r="E9" i="15" s="1"/>
  <c r="D14" i="14"/>
  <c r="J13" i="14"/>
  <c r="H13" i="14"/>
  <c r="G8" i="15" s="1"/>
  <c r="F13" i="14"/>
  <c r="E8" i="15" s="1"/>
  <c r="J12" i="14"/>
  <c r="H12" i="14"/>
  <c r="G7" i="15" s="1"/>
  <c r="F12" i="14"/>
  <c r="E7" i="15" s="1"/>
  <c r="D12" i="14"/>
  <c r="J11" i="14"/>
  <c r="H11" i="14"/>
  <c r="G6" i="15" s="1"/>
  <c r="F11" i="14"/>
  <c r="E6" i="15" s="1"/>
  <c r="D11" i="14"/>
  <c r="J10" i="14"/>
  <c r="H10" i="14"/>
  <c r="G5" i="15" s="1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J7" i="14"/>
  <c r="H7" i="14"/>
  <c r="G2" i="15" s="1"/>
  <c r="F7" i="14"/>
  <c r="E2" i="15" s="1"/>
  <c r="D7" i="14"/>
  <c r="J38" i="14" l="1"/>
  <c r="D38" i="14"/>
  <c r="H38" i="14"/>
  <c r="F38" i="14"/>
  <c r="G11" i="15"/>
  <c r="G18" i="15"/>
  <c r="G25" i="15"/>
</calcChain>
</file>

<file path=xl/sharedStrings.xml><?xml version="1.0" encoding="utf-8"?>
<sst xmlns="http://schemas.openxmlformats.org/spreadsheetml/2006/main" count="62" uniqueCount="26">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</sst>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0" fontId="16" fillId="8" borderId="0" xfId="0" applyFont="1" applyFill="1"/>
    <xf numFmtId="1" fontId="12" fillId="7" borderId="0" xfId="1" applyNumberFormat="1" applyFill="1"/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Dec25'!$D$6:$D$35</c:f>
              <c:numCache>
                <c:formatCode>General</c:formatCode>
                <c:ptCount val="30"/>
                <c:pt idx="0">
                  <c:v>0</c:v>
                </c:pt>
                <c:pt idx="1">
                  <c:v>1199</c:v>
                </c:pt>
                <c:pt idx="2">
                  <c:v>1145</c:v>
                </c:pt>
                <c:pt idx="3">
                  <c:v>1193</c:v>
                </c:pt>
                <c:pt idx="4">
                  <c:v>1178</c:v>
                </c:pt>
                <c:pt idx="5">
                  <c:v>1197</c:v>
                </c:pt>
                <c:pt idx="6">
                  <c:v>1368</c:v>
                </c:pt>
                <c:pt idx="7">
                  <c:v>1256</c:v>
                </c:pt>
                <c:pt idx="8">
                  <c:v>1344</c:v>
                </c:pt>
                <c:pt idx="9">
                  <c:v>1366</c:v>
                </c:pt>
                <c:pt idx="10">
                  <c:v>1246</c:v>
                </c:pt>
                <c:pt idx="11">
                  <c:v>1276</c:v>
                </c:pt>
                <c:pt idx="12">
                  <c:v>1323</c:v>
                </c:pt>
                <c:pt idx="13">
                  <c:v>1444</c:v>
                </c:pt>
                <c:pt idx="14">
                  <c:v>1372</c:v>
                </c:pt>
                <c:pt idx="15">
                  <c:v>1342</c:v>
                </c:pt>
                <c:pt idx="16">
                  <c:v>1392</c:v>
                </c:pt>
                <c:pt idx="17">
                  <c:v>1370</c:v>
                </c:pt>
                <c:pt idx="18">
                  <c:v>1407</c:v>
                </c:pt>
                <c:pt idx="19">
                  <c:v>1345</c:v>
                </c:pt>
                <c:pt idx="20">
                  <c:v>1407</c:v>
                </c:pt>
                <c:pt idx="21">
                  <c:v>1476</c:v>
                </c:pt>
                <c:pt idx="22">
                  <c:v>1439</c:v>
                </c:pt>
                <c:pt idx="23">
                  <c:v>1271</c:v>
                </c:pt>
                <c:pt idx="24">
                  <c:v>1364</c:v>
                </c:pt>
                <c:pt idx="25">
                  <c:v>1302</c:v>
                </c:pt>
                <c:pt idx="26">
                  <c:v>1337</c:v>
                </c:pt>
                <c:pt idx="27">
                  <c:v>1274</c:v>
                </c:pt>
                <c:pt idx="28">
                  <c:v>1216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Dec25'!$H$6:$H$35</c:f>
              <c:numCache>
                <c:formatCode>General</c:formatCode>
                <c:ptCount val="30"/>
                <c:pt idx="0">
                  <c:v>0</c:v>
                </c:pt>
                <c:pt idx="1">
                  <c:v>51</c:v>
                </c:pt>
                <c:pt idx="2">
                  <c:v>49</c:v>
                </c:pt>
                <c:pt idx="3">
                  <c:v>45</c:v>
                </c:pt>
                <c:pt idx="4">
                  <c:v>44</c:v>
                </c:pt>
                <c:pt idx="5">
                  <c:v>77</c:v>
                </c:pt>
                <c:pt idx="6">
                  <c:v>29</c:v>
                </c:pt>
                <c:pt idx="7">
                  <c:v>52</c:v>
                </c:pt>
                <c:pt idx="8">
                  <c:v>65</c:v>
                </c:pt>
                <c:pt idx="9">
                  <c:v>65</c:v>
                </c:pt>
                <c:pt idx="10">
                  <c:v>54</c:v>
                </c:pt>
                <c:pt idx="11">
                  <c:v>47</c:v>
                </c:pt>
                <c:pt idx="12">
                  <c:v>34</c:v>
                </c:pt>
                <c:pt idx="13">
                  <c:v>65</c:v>
                </c:pt>
                <c:pt idx="14">
                  <c:v>57</c:v>
                </c:pt>
                <c:pt idx="15">
                  <c:v>52</c:v>
                </c:pt>
                <c:pt idx="16">
                  <c:v>60</c:v>
                </c:pt>
                <c:pt idx="17">
                  <c:v>54</c:v>
                </c:pt>
                <c:pt idx="18">
                  <c:v>44</c:v>
                </c:pt>
                <c:pt idx="19">
                  <c:v>40</c:v>
                </c:pt>
                <c:pt idx="20">
                  <c:v>47</c:v>
                </c:pt>
                <c:pt idx="21">
                  <c:v>39</c:v>
                </c:pt>
                <c:pt idx="22">
                  <c:v>51</c:v>
                </c:pt>
                <c:pt idx="23">
                  <c:v>41</c:v>
                </c:pt>
                <c:pt idx="24">
                  <c:v>40</c:v>
                </c:pt>
                <c:pt idx="25">
                  <c:v>34</c:v>
                </c:pt>
                <c:pt idx="26">
                  <c:v>37</c:v>
                </c:pt>
                <c:pt idx="27">
                  <c:v>35</c:v>
                </c:pt>
                <c:pt idx="28">
                  <c:v>46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workbookViewId="0">
      <selection activeCell="F33" sqref="F33"/>
    </sheetView>
  </sheetViews>
  <sheetFormatPr defaultColWidth="11.5703125" defaultRowHeight="15" x14ac:dyDescent="0.25"/>
  <cols>
    <col min="1" max="1" width="29.140625" style="32" bestFit="1" customWidth="1"/>
    <col min="2" max="3" width="11.5703125" style="27"/>
    <col min="4" max="4" width="13.42578125" style="27" customWidth="1"/>
    <col min="5" max="5" width="12.5703125" style="30" customWidth="1"/>
    <col min="6" max="6" width="12.5703125" style="29" customWidth="1"/>
    <col min="7" max="7" width="11.5703125" style="30"/>
    <col min="8" max="8" width="11.5703125" style="31"/>
    <col min="9" max="22" width="11.5703125" style="30"/>
    <col min="23" max="16384" width="11.5703125" style="33"/>
  </cols>
  <sheetData>
    <row r="1" spans="1:10" s="25" customFormat="1" ht="60" x14ac:dyDescent="0.2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2" t="s">
        <v>6</v>
      </c>
      <c r="H1" s="24" t="s">
        <v>7</v>
      </c>
      <c r="I1" s="22" t="s">
        <v>8</v>
      </c>
      <c r="J1" s="22" t="s">
        <v>9</v>
      </c>
    </row>
    <row r="2" spans="1:10" x14ac:dyDescent="0.25">
      <c r="A2" s="26" t="s">
        <v>10</v>
      </c>
      <c r="B2" s="27">
        <v>1</v>
      </c>
      <c r="C2" s="27">
        <v>2</v>
      </c>
      <c r="D2" s="27">
        <v>2026</v>
      </c>
      <c r="E2" s="28">
        <f>IF('BAN-M Electrical &amp; Water Dec25'!F7&gt;0,'BAN-M Electrical &amp; Water Dec25'!F7,0)</f>
        <v>1864</v>
      </c>
      <c r="F2" s="29">
        <v>0.2</v>
      </c>
      <c r="G2" s="28">
        <f>IF('BAN-M Electrical &amp; Water Dec25'!H7+'BAN-M Electrical &amp; Water Dec25'!J7&gt;0,'BAN-M Electrical &amp; Water Dec25'!H7+'BAN-M Electrical &amp; Water Dec25'!J7,0)</f>
        <v>51</v>
      </c>
      <c r="H2" s="29">
        <v>7.84</v>
      </c>
      <c r="I2" s="34">
        <v>22</v>
      </c>
      <c r="J2" s="34">
        <v>43</v>
      </c>
    </row>
    <row r="3" spans="1:10" x14ac:dyDescent="0.25">
      <c r="A3" s="26" t="s">
        <v>10</v>
      </c>
      <c r="B3" s="27">
        <f>B2+1</f>
        <v>2</v>
      </c>
      <c r="C3" s="27">
        <v>2</v>
      </c>
      <c r="D3" s="27">
        <v>2026</v>
      </c>
      <c r="E3" s="28">
        <f>IF('BAN-M Electrical &amp; Water Dec25'!F8&gt;0,'BAN-M Electrical &amp; Water Dec25'!F8,0)</f>
        <v>1740</v>
      </c>
      <c r="F3" s="29">
        <v>0.2</v>
      </c>
      <c r="G3" s="28">
        <f>IF('BAN-M Electrical &amp; Water Dec25'!H8+'BAN-M Electrical &amp; Water Dec25'!J8&gt;0,'BAN-M Electrical &amp; Water Dec25'!H8+'BAN-M Electrical &amp; Water Dec25'!J8,0)</f>
        <v>155</v>
      </c>
      <c r="H3" s="29">
        <v>7.84</v>
      </c>
      <c r="I3" s="34">
        <v>15</v>
      </c>
      <c r="J3" s="34">
        <v>26</v>
      </c>
    </row>
    <row r="4" spans="1:10" x14ac:dyDescent="0.25">
      <c r="A4" s="26" t="s">
        <v>10</v>
      </c>
      <c r="B4" s="27">
        <f t="shared" ref="B4:B29" si="0">B3+1</f>
        <v>3</v>
      </c>
      <c r="C4" s="27">
        <v>2</v>
      </c>
      <c r="D4" s="27">
        <v>2026</v>
      </c>
      <c r="E4" s="28">
        <f>IF('BAN-M Electrical &amp; Water Dec25'!F9&gt;0,'BAN-M Electrical &amp; Water Dec25'!F9,0)</f>
        <v>1729</v>
      </c>
      <c r="F4" s="29">
        <v>0.2</v>
      </c>
      <c r="G4" s="28">
        <f>IF('BAN-M Electrical &amp; Water Dec25'!H9+'BAN-M Electrical &amp; Water Dec25'!J9&gt;0,'BAN-M Electrical &amp; Water Dec25'!H9+'BAN-M Electrical &amp; Water Dec25'!J9,0)</f>
        <v>45</v>
      </c>
      <c r="H4" s="29">
        <v>7.84</v>
      </c>
      <c r="I4" s="34">
        <v>17</v>
      </c>
      <c r="J4" s="34">
        <v>31</v>
      </c>
    </row>
    <row r="5" spans="1:10" x14ac:dyDescent="0.25">
      <c r="A5" s="26" t="s">
        <v>10</v>
      </c>
      <c r="B5" s="27">
        <f t="shared" si="0"/>
        <v>4</v>
      </c>
      <c r="C5" s="27">
        <v>2</v>
      </c>
      <c r="D5" s="27">
        <v>2026</v>
      </c>
      <c r="E5" s="28">
        <f>IF('BAN-M Electrical &amp; Water Dec25'!F10&gt;0,'BAN-M Electrical &amp; Water Dec25'!F10,0)</f>
        <v>1742</v>
      </c>
      <c r="F5" s="29">
        <v>0.2</v>
      </c>
      <c r="G5" s="28">
        <f>IF('BAN-M Electrical &amp; Water Dec25'!H10+'BAN-M Electrical &amp; Water Dec25'!J10&gt;0,'BAN-M Electrical &amp; Water Dec25'!H10+'BAN-M Electrical &amp; Water Dec25'!J10,0)</f>
        <v>45</v>
      </c>
      <c r="H5" s="29">
        <v>7.84</v>
      </c>
      <c r="I5" s="34">
        <v>27</v>
      </c>
      <c r="J5" s="34">
        <v>53</v>
      </c>
    </row>
    <row r="6" spans="1:10" x14ac:dyDescent="0.25">
      <c r="A6" s="26" t="s">
        <v>10</v>
      </c>
      <c r="B6" s="27">
        <f t="shared" si="0"/>
        <v>5</v>
      </c>
      <c r="C6" s="27">
        <v>2</v>
      </c>
      <c r="D6" s="27">
        <v>2026</v>
      </c>
      <c r="E6" s="28">
        <f>IF('BAN-M Electrical &amp; Water Dec25'!F11&gt;0,'BAN-M Electrical &amp; Water Dec25'!F11,0)</f>
        <v>1830</v>
      </c>
      <c r="F6" s="29">
        <v>0.2</v>
      </c>
      <c r="G6" s="28">
        <f>IF('BAN-M Electrical &amp; Water Dec25'!H11+'BAN-M Electrical &amp; Water Dec25'!J11&gt;0,'BAN-M Electrical &amp; Water Dec25'!H11+'BAN-M Electrical &amp; Water Dec25'!J11,0)</f>
        <v>54</v>
      </c>
      <c r="H6" s="29">
        <v>7.84</v>
      </c>
      <c r="I6" s="34">
        <v>30</v>
      </c>
      <c r="J6" s="34">
        <v>57</v>
      </c>
    </row>
    <row r="7" spans="1:10" x14ac:dyDescent="0.25">
      <c r="A7" s="26" t="s">
        <v>10</v>
      </c>
      <c r="B7" s="27">
        <f t="shared" si="0"/>
        <v>6</v>
      </c>
      <c r="C7" s="27">
        <v>2</v>
      </c>
      <c r="D7" s="27">
        <v>2026</v>
      </c>
      <c r="E7" s="28">
        <f>IF('BAN-M Electrical &amp; Water Dec25'!F12&gt;0,'BAN-M Electrical &amp; Water Dec25'!F12,0)</f>
        <v>1980</v>
      </c>
      <c r="F7" s="29">
        <v>0.2</v>
      </c>
      <c r="G7" s="28">
        <f>IF('BAN-M Electrical &amp; Water Dec25'!H12+'BAN-M Electrical &amp; Water Dec25'!J12&gt;0,'BAN-M Electrical &amp; Water Dec25'!H12+'BAN-M Electrical &amp; Water Dec25'!J12,0)</f>
        <v>159</v>
      </c>
      <c r="H7" s="29">
        <v>7.84</v>
      </c>
      <c r="I7" s="34">
        <v>36</v>
      </c>
      <c r="J7" s="34">
        <v>72</v>
      </c>
    </row>
    <row r="8" spans="1:10" x14ac:dyDescent="0.25">
      <c r="A8" s="26" t="s">
        <v>10</v>
      </c>
      <c r="B8" s="27">
        <f t="shared" si="0"/>
        <v>7</v>
      </c>
      <c r="C8" s="27">
        <v>2</v>
      </c>
      <c r="D8" s="27">
        <v>2026</v>
      </c>
      <c r="E8" s="28">
        <f>IF('BAN-M Electrical &amp; Water Dec25'!F13&gt;0,'BAN-M Electrical &amp; Water Dec25'!F13,0)</f>
        <v>1842</v>
      </c>
      <c r="F8" s="29">
        <v>0.2</v>
      </c>
      <c r="G8" s="28">
        <f>IF('BAN-M Electrical &amp; Water Dec25'!H13+'BAN-M Electrical &amp; Water Dec25'!J13&gt;0,'BAN-M Electrical &amp; Water Dec25'!H13+'BAN-M Electrical &amp; Water Dec25'!J13,0)</f>
        <v>85</v>
      </c>
      <c r="H8" s="29">
        <v>7.84</v>
      </c>
      <c r="I8" s="34">
        <v>36</v>
      </c>
      <c r="J8" s="34">
        <v>74</v>
      </c>
    </row>
    <row r="9" spans="1:10" x14ac:dyDescent="0.25">
      <c r="A9" s="26" t="s">
        <v>10</v>
      </c>
      <c r="B9" s="27">
        <f t="shared" si="0"/>
        <v>8</v>
      </c>
      <c r="C9" s="27">
        <v>2</v>
      </c>
      <c r="D9" s="27">
        <v>2026</v>
      </c>
      <c r="E9" s="28">
        <f>IF('BAN-M Electrical &amp; Water Dec25'!F14&gt;0,'BAN-M Electrical &amp; Water Dec25'!F14,0)</f>
        <v>1971</v>
      </c>
      <c r="F9" s="29">
        <v>0.2</v>
      </c>
      <c r="G9" s="28">
        <f>IF('BAN-M Electrical &amp; Water Dec25'!H14+'BAN-M Electrical &amp; Water Dec25'!J14&gt;0,'BAN-M Electrical &amp; Water Dec25'!H14+'BAN-M Electrical &amp; Water Dec25'!J14,0)</f>
        <v>70</v>
      </c>
      <c r="H9" s="29">
        <v>7.84</v>
      </c>
      <c r="I9" s="34">
        <v>27</v>
      </c>
      <c r="J9" s="34">
        <v>55</v>
      </c>
    </row>
    <row r="10" spans="1:10" x14ac:dyDescent="0.25">
      <c r="A10" s="26" t="s">
        <v>10</v>
      </c>
      <c r="B10" s="27">
        <f t="shared" si="0"/>
        <v>9</v>
      </c>
      <c r="C10" s="27">
        <v>2</v>
      </c>
      <c r="D10" s="27">
        <v>2026</v>
      </c>
      <c r="E10" s="28">
        <f>IF('BAN-M Electrical &amp; Water Dec25'!F15&gt;0,'BAN-M Electrical &amp; Water Dec25'!F15,0)</f>
        <v>2024</v>
      </c>
      <c r="F10" s="29">
        <v>0.2</v>
      </c>
      <c r="G10" s="28">
        <f>IF('BAN-M Electrical &amp; Water Dec25'!H15+'BAN-M Electrical &amp; Water Dec25'!J15&gt;0,'BAN-M Electrical &amp; Water Dec25'!H15+'BAN-M Electrical &amp; Water Dec25'!J15,0)</f>
        <v>117</v>
      </c>
      <c r="H10" s="29">
        <v>7.84</v>
      </c>
      <c r="I10" s="34">
        <v>25</v>
      </c>
      <c r="J10" s="34">
        <v>43</v>
      </c>
    </row>
    <row r="11" spans="1:10" x14ac:dyDescent="0.25">
      <c r="A11" s="26" t="s">
        <v>10</v>
      </c>
      <c r="B11" s="27">
        <f t="shared" si="0"/>
        <v>10</v>
      </c>
      <c r="C11" s="27">
        <v>2</v>
      </c>
      <c r="D11" s="27">
        <v>2026</v>
      </c>
      <c r="E11" s="28">
        <f>IF('BAN-M Electrical &amp; Water Dec25'!F16&gt;0,'BAN-M Electrical &amp; Water Dec25'!F16,0)</f>
        <v>1947</v>
      </c>
      <c r="F11" s="29">
        <v>0.2</v>
      </c>
      <c r="G11" s="28">
        <f>IF('BAN-M Electrical &amp; Water Dec25'!H16+'BAN-M Electrical &amp; Water Dec25'!J16&gt;0,'BAN-M Electrical &amp; Water Dec25'!H16+'BAN-M Electrical &amp; Water Dec25'!J16,0)</f>
        <v>90</v>
      </c>
      <c r="H11" s="29">
        <v>7.84</v>
      </c>
      <c r="I11" s="34">
        <v>28</v>
      </c>
      <c r="J11" s="34">
        <v>49</v>
      </c>
    </row>
    <row r="12" spans="1:10" x14ac:dyDescent="0.25">
      <c r="A12" s="26" t="s">
        <v>10</v>
      </c>
      <c r="B12" s="27">
        <f t="shared" si="0"/>
        <v>11</v>
      </c>
      <c r="C12" s="27">
        <v>2</v>
      </c>
      <c r="D12" s="27">
        <v>2026</v>
      </c>
      <c r="E12" s="28">
        <f>IF('BAN-M Electrical &amp; Water Dec25'!F17&gt;0,'BAN-M Electrical &amp; Water Dec25'!F17,0)</f>
        <v>1819</v>
      </c>
      <c r="F12" s="29">
        <v>0.2</v>
      </c>
      <c r="G12" s="28">
        <f>IF('BAN-M Electrical &amp; Water Dec25'!H17+'BAN-M Electrical &amp; Water Dec25'!J17&gt;0,'BAN-M Electrical &amp; Water Dec25'!H17+'BAN-M Electrical &amp; Water Dec25'!J17,0)</f>
        <v>113</v>
      </c>
      <c r="H12" s="29">
        <v>7.84</v>
      </c>
      <c r="I12" s="34">
        <v>30</v>
      </c>
      <c r="J12" s="34">
        <v>62</v>
      </c>
    </row>
    <row r="13" spans="1:10" x14ac:dyDescent="0.25">
      <c r="A13" s="26" t="s">
        <v>10</v>
      </c>
      <c r="B13" s="27">
        <f t="shared" si="0"/>
        <v>12</v>
      </c>
      <c r="C13" s="27">
        <v>2</v>
      </c>
      <c r="D13" s="27">
        <v>2026</v>
      </c>
      <c r="E13" s="28">
        <f>IF('BAN-M Electrical &amp; Water Dec25'!F18&gt;0,'BAN-M Electrical &amp; Water Dec25'!F18,0)</f>
        <v>1849</v>
      </c>
      <c r="F13" s="29">
        <v>0.2</v>
      </c>
      <c r="G13" s="28">
        <f>IF('BAN-M Electrical &amp; Water Dec25'!H18+'BAN-M Electrical &amp; Water Dec25'!J18&gt;0,'BAN-M Electrical &amp; Water Dec25'!H18+'BAN-M Electrical &amp; Water Dec25'!J18,0)</f>
        <v>54</v>
      </c>
      <c r="H13" s="29">
        <v>7.84</v>
      </c>
      <c r="I13" s="34">
        <v>34</v>
      </c>
      <c r="J13" s="34">
        <v>70</v>
      </c>
    </row>
    <row r="14" spans="1:10" x14ac:dyDescent="0.25">
      <c r="A14" s="26" t="s">
        <v>10</v>
      </c>
      <c r="B14" s="27">
        <f t="shared" si="0"/>
        <v>13</v>
      </c>
      <c r="C14" s="27">
        <v>2</v>
      </c>
      <c r="D14" s="27">
        <v>2026</v>
      </c>
      <c r="E14" s="28">
        <f>IF('BAN-M Electrical &amp; Water Dec25'!F19&gt;0,'BAN-M Electrical &amp; Water Dec25'!F19,0)</f>
        <v>1965</v>
      </c>
      <c r="F14" s="29">
        <v>0.2</v>
      </c>
      <c r="G14" s="28">
        <f>IF('BAN-M Electrical &amp; Water Dec25'!H19+'BAN-M Electrical &amp; Water Dec25'!J19&gt;0,'BAN-M Electrical &amp; Water Dec25'!H19+'BAN-M Electrical &amp; Water Dec25'!J19,0)</f>
        <v>85</v>
      </c>
      <c r="H14" s="29">
        <v>7.84</v>
      </c>
      <c r="I14" s="34">
        <v>35</v>
      </c>
      <c r="J14" s="34">
        <v>75</v>
      </c>
    </row>
    <row r="15" spans="1:10" x14ac:dyDescent="0.25">
      <c r="A15" s="26" t="s">
        <v>10</v>
      </c>
      <c r="B15" s="27">
        <f t="shared" si="0"/>
        <v>14</v>
      </c>
      <c r="C15" s="27">
        <v>2</v>
      </c>
      <c r="D15" s="27">
        <v>2026</v>
      </c>
      <c r="E15" s="28">
        <f>IF('BAN-M Electrical &amp; Water Dec25'!F20&gt;0,'BAN-M Electrical &amp; Water Dec25'!F20,0)</f>
        <v>2231</v>
      </c>
      <c r="F15" s="29">
        <v>0.2</v>
      </c>
      <c r="G15" s="28">
        <f>IF('BAN-M Electrical &amp; Water Dec25'!H20+'BAN-M Electrical &amp; Water Dec25'!J20&gt;0,'BAN-M Electrical &amp; Water Dec25'!H20+'BAN-M Electrical &amp; Water Dec25'!J20,0)</f>
        <v>102</v>
      </c>
      <c r="H15" s="29">
        <v>7.84</v>
      </c>
      <c r="I15" s="34">
        <v>34</v>
      </c>
      <c r="J15" s="34">
        <v>76</v>
      </c>
    </row>
    <row r="16" spans="1:10" x14ac:dyDescent="0.25">
      <c r="A16" s="26" t="s">
        <v>10</v>
      </c>
      <c r="B16" s="27">
        <f t="shared" si="0"/>
        <v>15</v>
      </c>
      <c r="C16" s="27">
        <v>2</v>
      </c>
      <c r="D16" s="27">
        <v>2026</v>
      </c>
      <c r="E16" s="28">
        <f>IF('BAN-M Electrical &amp; Water Dec25'!F21&gt;0,'BAN-M Electrical &amp; Water Dec25'!F21,0)</f>
        <v>2152</v>
      </c>
      <c r="F16" s="29">
        <v>0.2</v>
      </c>
      <c r="G16" s="28">
        <f>IF('BAN-M Electrical &amp; Water Dec25'!H21+'BAN-M Electrical &amp; Water Dec25'!J21&gt;0,'BAN-M Electrical &amp; Water Dec25'!H21+'BAN-M Electrical &amp; Water Dec25'!J21,0)</f>
        <v>52</v>
      </c>
      <c r="H16" s="29">
        <v>7.84</v>
      </c>
      <c r="I16" s="34">
        <v>33</v>
      </c>
      <c r="J16" s="34">
        <v>73</v>
      </c>
    </row>
    <row r="17" spans="1:10" x14ac:dyDescent="0.25">
      <c r="A17" s="26" t="s">
        <v>10</v>
      </c>
      <c r="B17" s="27">
        <f t="shared" si="0"/>
        <v>16</v>
      </c>
      <c r="C17" s="27">
        <v>2</v>
      </c>
      <c r="D17" s="27">
        <v>2026</v>
      </c>
      <c r="E17" s="28">
        <f>IF('BAN-M Electrical &amp; Water Dec25'!F22&gt;0,'BAN-M Electrical &amp; Water Dec25'!F22,0)</f>
        <v>1972</v>
      </c>
      <c r="F17" s="29">
        <v>0.2</v>
      </c>
      <c r="G17" s="28">
        <f>IF('BAN-M Electrical &amp; Water Dec25'!H22+'BAN-M Electrical &amp; Water Dec25'!J22&gt;0,'BAN-M Electrical &amp; Water Dec25'!H22+'BAN-M Electrical &amp; Water Dec25'!J22,0)</f>
        <v>112</v>
      </c>
      <c r="H17" s="29">
        <v>7.84</v>
      </c>
      <c r="I17" s="34">
        <v>33</v>
      </c>
      <c r="J17" s="34">
        <v>64</v>
      </c>
    </row>
    <row r="18" spans="1:10" x14ac:dyDescent="0.25">
      <c r="A18" s="26" t="s">
        <v>10</v>
      </c>
      <c r="B18" s="27">
        <f t="shared" si="0"/>
        <v>17</v>
      </c>
      <c r="C18" s="27">
        <v>2</v>
      </c>
      <c r="D18" s="27">
        <v>2026</v>
      </c>
      <c r="E18" s="28">
        <f>IF('BAN-M Electrical &amp; Water Dec25'!F23&gt;0,'BAN-M Electrical &amp; Water Dec25'!F23,0)</f>
        <v>2081</v>
      </c>
      <c r="F18" s="29">
        <v>0.2</v>
      </c>
      <c r="G18" s="28">
        <f>IF('BAN-M Electrical &amp; Water Dec25'!H23+'BAN-M Electrical &amp; Water Dec25'!J23&gt;0,'BAN-M Electrical &amp; Water Dec25'!H23+'BAN-M Electrical &amp; Water Dec25'!J23,0)</f>
        <v>54</v>
      </c>
      <c r="H18" s="29">
        <v>7.84</v>
      </c>
      <c r="I18" s="34">
        <v>19</v>
      </c>
      <c r="J18" s="34">
        <v>42</v>
      </c>
    </row>
    <row r="19" spans="1:10" x14ac:dyDescent="0.25">
      <c r="A19" s="26" t="s">
        <v>10</v>
      </c>
      <c r="B19" s="27">
        <f t="shared" si="0"/>
        <v>18</v>
      </c>
      <c r="C19" s="27">
        <v>2</v>
      </c>
      <c r="D19" s="27">
        <v>2026</v>
      </c>
      <c r="E19" s="28">
        <f>IF('BAN-M Electrical &amp; Water Dec25'!F24&gt;0,'BAN-M Electrical &amp; Water Dec25'!F24,0)</f>
        <v>2242</v>
      </c>
      <c r="F19" s="29">
        <v>0.2</v>
      </c>
      <c r="G19" s="28">
        <f>IF('BAN-M Electrical &amp; Water Dec25'!H24+'BAN-M Electrical &amp; Water Dec25'!J24&gt;0,'BAN-M Electrical &amp; Water Dec25'!H24+'BAN-M Electrical &amp; Water Dec25'!J24,0)</f>
        <v>94</v>
      </c>
      <c r="H19" s="29">
        <v>7.84</v>
      </c>
      <c r="I19" s="34">
        <v>16</v>
      </c>
      <c r="J19" s="34">
        <v>31</v>
      </c>
    </row>
    <row r="20" spans="1:10" x14ac:dyDescent="0.25">
      <c r="A20" s="26" t="s">
        <v>10</v>
      </c>
      <c r="B20" s="27">
        <f t="shared" si="0"/>
        <v>19</v>
      </c>
      <c r="C20" s="27">
        <v>2</v>
      </c>
      <c r="D20" s="27">
        <v>2026</v>
      </c>
      <c r="E20" s="28">
        <f>IF('BAN-M Electrical &amp; Water Dec25'!F25&gt;0,'BAN-M Electrical &amp; Water Dec25'!F25,0)</f>
        <v>2121</v>
      </c>
      <c r="F20" s="29">
        <v>0.2</v>
      </c>
      <c r="G20" s="28">
        <f>IF('BAN-M Electrical &amp; Water Dec25'!H25+'BAN-M Electrical &amp; Water Dec25'!J25&gt;0,'BAN-M Electrical &amp; Water Dec25'!H25+'BAN-M Electrical &amp; Water Dec25'!J25,0)</f>
        <v>40</v>
      </c>
      <c r="H20" s="29">
        <v>7.84</v>
      </c>
      <c r="I20" s="34">
        <v>15</v>
      </c>
      <c r="J20" s="34">
        <v>26</v>
      </c>
    </row>
    <row r="21" spans="1:10" x14ac:dyDescent="0.25">
      <c r="A21" s="26" t="s">
        <v>10</v>
      </c>
      <c r="B21" s="27">
        <f t="shared" si="0"/>
        <v>20</v>
      </c>
      <c r="C21" s="27">
        <v>2</v>
      </c>
      <c r="D21" s="27">
        <v>2026</v>
      </c>
      <c r="E21" s="28">
        <f>IF('BAN-M Electrical &amp; Water Dec25'!F26&gt;0,'BAN-M Electrical &amp; Water Dec25'!F26,0)</f>
        <v>1979</v>
      </c>
      <c r="F21" s="29">
        <v>0.2</v>
      </c>
      <c r="G21" s="28">
        <f>IF('BAN-M Electrical &amp; Water Dec25'!H26+'BAN-M Electrical &amp; Water Dec25'!J26&gt;0,'BAN-M Electrical &amp; Water Dec25'!H26+'BAN-M Electrical &amp; Water Dec25'!J26,0)</f>
        <v>92</v>
      </c>
      <c r="H21" s="29">
        <v>7.84</v>
      </c>
      <c r="I21" s="34">
        <v>21</v>
      </c>
      <c r="J21" s="34">
        <v>35</v>
      </c>
    </row>
    <row r="22" spans="1:10" x14ac:dyDescent="0.25">
      <c r="A22" s="26" t="s">
        <v>10</v>
      </c>
      <c r="B22" s="27">
        <f t="shared" si="0"/>
        <v>21</v>
      </c>
      <c r="C22" s="27">
        <v>2</v>
      </c>
      <c r="D22" s="27">
        <v>2026</v>
      </c>
      <c r="E22" s="28">
        <f>IF('BAN-M Electrical &amp; Water Dec25'!F27&gt;0,'BAN-M Electrical &amp; Water Dec25'!F27,0)</f>
        <v>1972</v>
      </c>
      <c r="F22" s="29">
        <v>0.2</v>
      </c>
      <c r="G22" s="28">
        <f>IF('BAN-M Electrical &amp; Water Dec25'!H27+'BAN-M Electrical &amp; Water Dec25'!J27&gt;0,'BAN-M Electrical &amp; Water Dec25'!H27+'BAN-M Electrical &amp; Water Dec25'!J27,0)</f>
        <v>39</v>
      </c>
      <c r="H22" s="29">
        <v>7.84</v>
      </c>
      <c r="I22" s="34">
        <v>34</v>
      </c>
      <c r="J22" s="34">
        <v>63</v>
      </c>
    </row>
    <row r="23" spans="1:10" x14ac:dyDescent="0.25">
      <c r="A23" s="26" t="s">
        <v>10</v>
      </c>
      <c r="B23" s="27">
        <f t="shared" si="0"/>
        <v>22</v>
      </c>
      <c r="C23" s="27">
        <v>2</v>
      </c>
      <c r="D23" s="27">
        <v>2026</v>
      </c>
      <c r="E23" s="28">
        <f>IF('BAN-M Electrical &amp; Water Dec25'!F28&gt;0,'BAN-M Electrical &amp; Water Dec25'!F28,0)</f>
        <v>1838</v>
      </c>
      <c r="F23" s="29">
        <v>0.2</v>
      </c>
      <c r="G23" s="28">
        <f>IF('BAN-M Electrical &amp; Water Dec25'!H28+'BAN-M Electrical &amp; Water Dec25'!J28&gt;0,'BAN-M Electrical &amp; Water Dec25'!H28+'BAN-M Electrical &amp; Water Dec25'!J28,0)</f>
        <v>52</v>
      </c>
      <c r="H23" s="29">
        <v>7.84</v>
      </c>
      <c r="I23" s="34">
        <v>15</v>
      </c>
      <c r="J23" s="34">
        <v>28</v>
      </c>
    </row>
    <row r="24" spans="1:10" x14ac:dyDescent="0.25">
      <c r="A24" s="26" t="s">
        <v>10</v>
      </c>
      <c r="B24" s="27">
        <f t="shared" si="0"/>
        <v>23</v>
      </c>
      <c r="C24" s="27">
        <v>2</v>
      </c>
      <c r="D24" s="27">
        <v>2026</v>
      </c>
      <c r="E24" s="28">
        <f>IF('BAN-M Electrical &amp; Water Dec25'!F29&gt;0,'BAN-M Electrical &amp; Water Dec25'!F29,0)</f>
        <v>1845</v>
      </c>
      <c r="F24" s="29">
        <v>0.2</v>
      </c>
      <c r="G24" s="28">
        <f>IF('BAN-M Electrical &amp; Water Dec25'!H29+'BAN-M Electrical &amp; Water Dec25'!J29&gt;0,'BAN-M Electrical &amp; Water Dec25'!H29+'BAN-M Electrical &amp; Water Dec25'!J29,0)</f>
        <v>41</v>
      </c>
      <c r="H24" s="29">
        <v>7.84</v>
      </c>
      <c r="I24" s="34">
        <v>14</v>
      </c>
      <c r="J24" s="34">
        <v>23</v>
      </c>
    </row>
    <row r="25" spans="1:10" x14ac:dyDescent="0.25">
      <c r="A25" s="26" t="s">
        <v>10</v>
      </c>
      <c r="B25" s="27">
        <f t="shared" si="0"/>
        <v>24</v>
      </c>
      <c r="C25" s="27">
        <v>2</v>
      </c>
      <c r="D25" s="27">
        <v>2026</v>
      </c>
      <c r="E25" s="28">
        <f>IF('BAN-M Electrical &amp; Water Dec25'!F30&gt;0,'BAN-M Electrical &amp; Water Dec25'!F30,0)</f>
        <v>1964</v>
      </c>
      <c r="F25" s="29">
        <v>0.2</v>
      </c>
      <c r="G25" s="28">
        <f>IF('BAN-M Electrical &amp; Water Dec25'!H30+'BAN-M Electrical &amp; Water Dec25'!J30&gt;0,'BAN-M Electrical &amp; Water Dec25'!H30+'BAN-M Electrical &amp; Water Dec25'!J30,0)</f>
        <v>47</v>
      </c>
      <c r="H25" s="29">
        <v>7.84</v>
      </c>
      <c r="I25" s="34">
        <v>8</v>
      </c>
      <c r="J25" s="34">
        <v>11</v>
      </c>
    </row>
    <row r="26" spans="1:10" x14ac:dyDescent="0.25">
      <c r="A26" s="26" t="s">
        <v>10</v>
      </c>
      <c r="B26" s="27">
        <f>B25+1</f>
        <v>25</v>
      </c>
      <c r="C26" s="27">
        <v>2</v>
      </c>
      <c r="D26" s="27">
        <v>2026</v>
      </c>
      <c r="E26" s="28">
        <f>IF('BAN-M Electrical &amp; Water Dec25'!F31&gt;0,'BAN-M Electrical &amp; Water Dec25'!F31,0)</f>
        <v>1523</v>
      </c>
      <c r="F26" s="29">
        <v>0.2</v>
      </c>
      <c r="G26" s="28">
        <f>IF('BAN-M Electrical &amp; Water Dec25'!H31+'BAN-M Electrical &amp; Water Dec25'!J31&gt;0,'BAN-M Electrical &amp; Water Dec25'!H31+'BAN-M Electrical &amp; Water Dec25'!J31,0)</f>
        <v>78</v>
      </c>
      <c r="H26" s="29">
        <v>7.84</v>
      </c>
      <c r="I26" s="34">
        <v>10</v>
      </c>
      <c r="J26" s="34">
        <v>14</v>
      </c>
    </row>
    <row r="27" spans="1:10" x14ac:dyDescent="0.25">
      <c r="A27" s="26" t="s">
        <v>10</v>
      </c>
      <c r="B27" s="27">
        <f t="shared" si="0"/>
        <v>26</v>
      </c>
      <c r="C27" s="27">
        <v>2</v>
      </c>
      <c r="D27" s="27">
        <v>2026</v>
      </c>
      <c r="E27" s="28">
        <f>IF('BAN-M Electrical &amp; Water Dec25'!F32&gt;0,'BAN-M Electrical &amp; Water Dec25'!F32,0)</f>
        <v>1880</v>
      </c>
      <c r="F27" s="29">
        <v>0.2</v>
      </c>
      <c r="G27" s="28">
        <f>IF('BAN-M Electrical &amp; Water Dec25'!H32+'BAN-M Electrical &amp; Water Dec25'!J32&gt;0,'BAN-M Electrical &amp; Water Dec25'!H32+'BAN-M Electrical &amp; Water Dec25'!J32,0)</f>
        <v>88</v>
      </c>
      <c r="H27" s="29">
        <v>7.84</v>
      </c>
      <c r="I27" s="34">
        <v>9</v>
      </c>
      <c r="J27" s="34">
        <v>24</v>
      </c>
    </row>
    <row r="28" spans="1:10" x14ac:dyDescent="0.25">
      <c r="A28" s="26" t="s">
        <v>10</v>
      </c>
      <c r="B28" s="27">
        <f t="shared" si="0"/>
        <v>27</v>
      </c>
      <c r="C28" s="27">
        <v>2</v>
      </c>
      <c r="D28" s="27">
        <v>2026</v>
      </c>
      <c r="E28" s="28">
        <f>IF('BAN-M Electrical &amp; Water Dec25'!F33&gt;0,'BAN-M Electrical &amp; Water Dec25'!F33,0)</f>
        <v>1788</v>
      </c>
      <c r="F28" s="29">
        <v>0.2</v>
      </c>
      <c r="G28" s="28">
        <f>IF('BAN-M Electrical &amp; Water Dec25'!H33+'BAN-M Electrical &amp; Water Dec25'!J33&gt;0,'BAN-M Electrical &amp; Water Dec25'!H33+'BAN-M Electrical &amp; Water Dec25'!J33,0)</f>
        <v>87</v>
      </c>
      <c r="H28" s="29">
        <v>7.84</v>
      </c>
      <c r="I28" s="34">
        <v>22</v>
      </c>
      <c r="J28" s="34">
        <v>41</v>
      </c>
    </row>
    <row r="29" spans="1:10" x14ac:dyDescent="0.25">
      <c r="A29" s="26" t="s">
        <v>10</v>
      </c>
      <c r="B29" s="27">
        <f t="shared" si="0"/>
        <v>28</v>
      </c>
      <c r="C29" s="27">
        <v>2</v>
      </c>
      <c r="D29" s="27">
        <v>2026</v>
      </c>
      <c r="E29" s="28">
        <f>IF('BAN-M Electrical &amp; Water Dec25'!F34&gt;0,'BAN-M Electrical &amp; Water Dec25'!F34,0)</f>
        <v>1603</v>
      </c>
      <c r="F29" s="29">
        <v>0.2</v>
      </c>
      <c r="G29" s="28">
        <f>IF('BAN-M Electrical &amp; Water Dec25'!H34+'BAN-M Electrical &amp; Water Dec25'!J34&gt;0,'BAN-M Electrical &amp; Water Dec25'!H34+'BAN-M Electrical &amp; Water Dec25'!J34,0)</f>
        <v>83</v>
      </c>
      <c r="H29" s="29">
        <v>7.84</v>
      </c>
      <c r="I29" s="34">
        <v>31</v>
      </c>
      <c r="J29" s="34">
        <v>63</v>
      </c>
    </row>
    <row r="30" spans="1:10" x14ac:dyDescent="0.25">
      <c r="A30" s="26"/>
      <c r="E30" s="28"/>
      <c r="G30" s="28"/>
      <c r="H30" s="29"/>
      <c r="I30" s="34">
        <v>676</v>
      </c>
      <c r="J30" s="34">
        <v>1324</v>
      </c>
    </row>
    <row r="31" spans="1:10" x14ac:dyDescent="0.25">
      <c r="A31" s="26"/>
      <c r="E31" s="28"/>
      <c r="G31" s="28"/>
      <c r="H31" s="29"/>
      <c r="I31" s="34"/>
      <c r="J31" s="34"/>
    </row>
    <row r="32" spans="1:10" x14ac:dyDescent="0.25">
      <c r="A32" s="26"/>
      <c r="E32" s="28"/>
      <c r="G32" s="28"/>
      <c r="H32" s="29"/>
      <c r="I32" s="35"/>
      <c r="J32" s="35"/>
    </row>
    <row r="33" spans="7:10" x14ac:dyDescent="0.25">
      <c r="G33" s="28"/>
      <c r="I33" s="35"/>
      <c r="J33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zoomScale="60" zoomScaleNormal="60" zoomScaleSheetLayoutView="90" zoomScalePageLayoutView="52" workbookViewId="0">
      <selection activeCell="K26" sqref="K26"/>
    </sheetView>
  </sheetViews>
  <sheetFormatPr defaultRowHeight="15" x14ac:dyDescent="0.2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 x14ac:dyDescent="0.3">
      <c r="C1" s="37" t="s">
        <v>11</v>
      </c>
      <c r="D1" s="38"/>
      <c r="E1" s="38"/>
      <c r="F1" s="38"/>
      <c r="G1" s="38"/>
      <c r="H1" s="38"/>
      <c r="I1" s="38"/>
      <c r="J1" s="38"/>
      <c r="K1" s="38"/>
      <c r="N1" s="2"/>
    </row>
    <row r="2" spans="1:14" s="1" customFormat="1" ht="54.75" customHeight="1" thickBot="1" x14ac:dyDescent="0.3">
      <c r="A2" s="9" t="s">
        <v>12</v>
      </c>
      <c r="B2" s="36" t="s">
        <v>13</v>
      </c>
      <c r="C2" s="14" t="s">
        <v>14</v>
      </c>
      <c r="D2" s="39" t="s">
        <v>15</v>
      </c>
      <c r="E2" s="14" t="s">
        <v>14</v>
      </c>
      <c r="F2" s="39" t="s">
        <v>15</v>
      </c>
      <c r="G2" s="40" t="s">
        <v>16</v>
      </c>
      <c r="H2" s="40" t="s">
        <v>15</v>
      </c>
      <c r="I2" s="40" t="s">
        <v>17</v>
      </c>
      <c r="J2" s="40" t="s">
        <v>15</v>
      </c>
      <c r="K2" s="41" t="s">
        <v>18</v>
      </c>
    </row>
    <row r="3" spans="1:14" ht="60" customHeight="1" thickBot="1" x14ac:dyDescent="0.3">
      <c r="A3" s="9" t="s">
        <v>19</v>
      </c>
      <c r="B3" s="36"/>
      <c r="C3" s="17" t="s">
        <v>20</v>
      </c>
      <c r="D3" s="39"/>
      <c r="E3" s="17" t="s">
        <v>21</v>
      </c>
      <c r="F3" s="39"/>
      <c r="G3" s="40"/>
      <c r="H3" s="40"/>
      <c r="I3" s="40"/>
      <c r="J3" s="40"/>
      <c r="K3" s="41"/>
    </row>
    <row r="4" spans="1:14" ht="46.5" customHeight="1" thickBot="1" x14ac:dyDescent="0.3">
      <c r="A4" s="36" t="s">
        <v>22</v>
      </c>
      <c r="B4" s="36"/>
      <c r="C4" s="39" t="s">
        <v>23</v>
      </c>
      <c r="D4" s="39"/>
      <c r="E4" s="39" t="s">
        <v>23</v>
      </c>
      <c r="F4" s="39"/>
      <c r="G4" s="40"/>
      <c r="H4" s="40"/>
      <c r="I4" s="40"/>
      <c r="J4" s="40"/>
      <c r="K4" s="41"/>
    </row>
    <row r="5" spans="1:14" ht="24.95" customHeight="1" thickBot="1" x14ac:dyDescent="0.3">
      <c r="A5" s="36"/>
      <c r="B5" s="36"/>
      <c r="C5" s="39"/>
      <c r="D5" s="15" t="s">
        <v>24</v>
      </c>
      <c r="E5" s="39"/>
      <c r="F5" s="15" t="s">
        <v>24</v>
      </c>
      <c r="G5" s="16" t="s">
        <v>25</v>
      </c>
      <c r="H5" s="16" t="s">
        <v>25</v>
      </c>
      <c r="I5" s="16" t="s">
        <v>25</v>
      </c>
      <c r="J5" s="16" t="s">
        <v>25</v>
      </c>
      <c r="K5" s="41"/>
    </row>
    <row r="6" spans="1:14" ht="39" customHeight="1" x14ac:dyDescent="0.25">
      <c r="A6" s="7">
        <v>46053</v>
      </c>
      <c r="B6" s="19">
        <v>0.21875</v>
      </c>
      <c r="C6" s="4">
        <v>3085312</v>
      </c>
      <c r="D6" s="4">
        <v>0</v>
      </c>
      <c r="E6" s="4">
        <v>2623093</v>
      </c>
      <c r="F6" s="4">
        <v>0</v>
      </c>
      <c r="G6" s="11">
        <v>7716</v>
      </c>
      <c r="H6" s="10">
        <v>0</v>
      </c>
      <c r="I6" s="11">
        <v>7464</v>
      </c>
      <c r="J6" s="10">
        <v>0</v>
      </c>
      <c r="K6" s="8"/>
    </row>
    <row r="7" spans="1:14" ht="39" customHeight="1" x14ac:dyDescent="0.25">
      <c r="A7" s="7">
        <v>46054</v>
      </c>
      <c r="B7" s="20">
        <v>0.99930555555555556</v>
      </c>
      <c r="C7" s="4">
        <v>3086511</v>
      </c>
      <c r="D7" s="4">
        <f>C7-C6</f>
        <v>1199</v>
      </c>
      <c r="E7" s="4">
        <v>2624957</v>
      </c>
      <c r="F7" s="4">
        <f>E7-E6</f>
        <v>1864</v>
      </c>
      <c r="G7" s="11">
        <v>7767</v>
      </c>
      <c r="H7" s="11">
        <f>G7-G6</f>
        <v>51</v>
      </c>
      <c r="I7" s="11">
        <v>7464</v>
      </c>
      <c r="J7" s="11">
        <f>I7-I6</f>
        <v>0</v>
      </c>
      <c r="K7" s="3"/>
    </row>
    <row r="8" spans="1:14" ht="39" customHeight="1" x14ac:dyDescent="0.25">
      <c r="A8" s="7">
        <v>46055</v>
      </c>
      <c r="B8" s="20">
        <v>0.28472222222222221</v>
      </c>
      <c r="C8" s="4">
        <v>3087656</v>
      </c>
      <c r="D8" s="4">
        <f>C8-C7</f>
        <v>1145</v>
      </c>
      <c r="E8" s="4">
        <v>2626697</v>
      </c>
      <c r="F8" s="4">
        <f t="shared" ref="F8:F35" si="0">E8-E7</f>
        <v>1740</v>
      </c>
      <c r="G8" s="11">
        <v>7816</v>
      </c>
      <c r="H8" s="11">
        <f t="shared" ref="H8:H35" si="1">G8-G7</f>
        <v>49</v>
      </c>
      <c r="I8" s="11">
        <v>7570</v>
      </c>
      <c r="J8" s="11">
        <f t="shared" ref="J8:J35" si="2">I8-I7</f>
        <v>106</v>
      </c>
      <c r="K8" s="3"/>
    </row>
    <row r="9" spans="1:14" ht="39" customHeight="1" x14ac:dyDescent="0.25">
      <c r="A9" s="7">
        <v>46056</v>
      </c>
      <c r="B9" s="20">
        <v>0.20833333333333334</v>
      </c>
      <c r="C9" s="4">
        <v>3088849</v>
      </c>
      <c r="D9" s="4">
        <f t="shared" ref="D9:D35" si="3">C9-C8</f>
        <v>1193</v>
      </c>
      <c r="E9" s="4">
        <v>2628426</v>
      </c>
      <c r="F9" s="4">
        <f t="shared" si="0"/>
        <v>1729</v>
      </c>
      <c r="G9" s="11">
        <v>7861</v>
      </c>
      <c r="H9" s="11">
        <f t="shared" si="1"/>
        <v>45</v>
      </c>
      <c r="I9" s="11">
        <v>7570</v>
      </c>
      <c r="J9" s="11">
        <f t="shared" si="2"/>
        <v>0</v>
      </c>
      <c r="K9" s="3"/>
    </row>
    <row r="10" spans="1:14" ht="39" customHeight="1" x14ac:dyDescent="0.25">
      <c r="A10" s="7">
        <v>46057</v>
      </c>
      <c r="B10" s="20">
        <v>0.21875</v>
      </c>
      <c r="C10" s="4">
        <v>3090027</v>
      </c>
      <c r="D10" s="4">
        <f t="shared" si="3"/>
        <v>1178</v>
      </c>
      <c r="E10" s="4">
        <v>2630168</v>
      </c>
      <c r="F10" s="4">
        <f t="shared" si="0"/>
        <v>1742</v>
      </c>
      <c r="G10" s="11">
        <v>7905</v>
      </c>
      <c r="H10" s="11">
        <f t="shared" si="1"/>
        <v>44</v>
      </c>
      <c r="I10" s="11">
        <v>7571</v>
      </c>
      <c r="J10" s="11">
        <f t="shared" si="2"/>
        <v>1</v>
      </c>
      <c r="K10" s="3"/>
    </row>
    <row r="11" spans="1:14" ht="39" customHeight="1" x14ac:dyDescent="0.25">
      <c r="A11" s="7">
        <v>46058</v>
      </c>
      <c r="B11" s="20">
        <v>0.20833333333333334</v>
      </c>
      <c r="C11" s="4">
        <v>3091224</v>
      </c>
      <c r="D11" s="4">
        <f t="shared" si="3"/>
        <v>1197</v>
      </c>
      <c r="E11" s="4">
        <v>2631998</v>
      </c>
      <c r="F11" s="4">
        <f t="shared" si="0"/>
        <v>1830</v>
      </c>
      <c r="G11" s="11">
        <v>7982</v>
      </c>
      <c r="H11" s="11">
        <f t="shared" si="1"/>
        <v>77</v>
      </c>
      <c r="I11" s="11">
        <v>7548</v>
      </c>
      <c r="J11" s="11">
        <f t="shared" si="2"/>
        <v>-23</v>
      </c>
      <c r="K11" s="3"/>
    </row>
    <row r="12" spans="1:14" ht="39" customHeight="1" x14ac:dyDescent="0.25">
      <c r="A12" s="7">
        <v>46059</v>
      </c>
      <c r="B12" s="20">
        <v>0.25</v>
      </c>
      <c r="C12" s="4">
        <v>3092592</v>
      </c>
      <c r="D12" s="4">
        <f t="shared" si="3"/>
        <v>1368</v>
      </c>
      <c r="E12" s="4">
        <v>2633978</v>
      </c>
      <c r="F12" s="4">
        <f t="shared" si="0"/>
        <v>1980</v>
      </c>
      <c r="G12" s="11">
        <v>8011</v>
      </c>
      <c r="H12" s="11">
        <f t="shared" si="1"/>
        <v>29</v>
      </c>
      <c r="I12" s="11">
        <v>7678</v>
      </c>
      <c r="J12" s="11">
        <f t="shared" si="2"/>
        <v>130</v>
      </c>
      <c r="K12" s="3"/>
    </row>
    <row r="13" spans="1:14" ht="39" customHeight="1" x14ac:dyDescent="0.25">
      <c r="A13" s="7">
        <v>46060</v>
      </c>
      <c r="B13" s="20">
        <v>0.21527777777777779</v>
      </c>
      <c r="C13" s="4">
        <v>3093848</v>
      </c>
      <c r="D13" s="4">
        <f t="shared" si="3"/>
        <v>1256</v>
      </c>
      <c r="E13" s="4">
        <v>2635820</v>
      </c>
      <c r="F13" s="4">
        <f t="shared" si="0"/>
        <v>1842</v>
      </c>
      <c r="G13" s="11">
        <v>8063</v>
      </c>
      <c r="H13" s="11">
        <f t="shared" si="1"/>
        <v>52</v>
      </c>
      <c r="I13" s="11">
        <v>7711</v>
      </c>
      <c r="J13" s="11">
        <f t="shared" si="2"/>
        <v>33</v>
      </c>
      <c r="K13" s="3"/>
    </row>
    <row r="14" spans="1:14" ht="39" customHeight="1" x14ac:dyDescent="0.25">
      <c r="A14" s="7">
        <v>46061</v>
      </c>
      <c r="B14" s="20">
        <v>0.22222222222222221</v>
      </c>
      <c r="C14" s="4">
        <v>3095192</v>
      </c>
      <c r="D14" s="4">
        <f t="shared" si="3"/>
        <v>1344</v>
      </c>
      <c r="E14" s="4">
        <v>2637791</v>
      </c>
      <c r="F14" s="4">
        <f t="shared" si="0"/>
        <v>1971</v>
      </c>
      <c r="G14" s="11">
        <v>8128</v>
      </c>
      <c r="H14" s="11">
        <f t="shared" si="1"/>
        <v>65</v>
      </c>
      <c r="I14" s="11">
        <v>7716</v>
      </c>
      <c r="J14" s="11">
        <f t="shared" si="2"/>
        <v>5</v>
      </c>
      <c r="K14" s="3"/>
    </row>
    <row r="15" spans="1:14" ht="39" customHeight="1" x14ac:dyDescent="0.25">
      <c r="A15" s="7">
        <v>46062</v>
      </c>
      <c r="B15" s="20">
        <v>0.20833333333333334</v>
      </c>
      <c r="C15" s="4">
        <v>3096558</v>
      </c>
      <c r="D15" s="4">
        <f t="shared" si="3"/>
        <v>1366</v>
      </c>
      <c r="E15" s="4">
        <v>2639815</v>
      </c>
      <c r="F15" s="4">
        <f t="shared" si="0"/>
        <v>2024</v>
      </c>
      <c r="G15" s="11">
        <v>8193</v>
      </c>
      <c r="H15" s="11">
        <f t="shared" si="1"/>
        <v>65</v>
      </c>
      <c r="I15" s="11">
        <v>7768</v>
      </c>
      <c r="J15" s="11">
        <f t="shared" si="2"/>
        <v>52</v>
      </c>
      <c r="K15" s="3"/>
    </row>
    <row r="16" spans="1:14" ht="39" customHeight="1" x14ac:dyDescent="0.25">
      <c r="A16" s="7">
        <v>46063</v>
      </c>
      <c r="B16" s="20">
        <v>0.22222222222222221</v>
      </c>
      <c r="C16" s="4">
        <v>3097804</v>
      </c>
      <c r="D16" s="4">
        <f t="shared" si="3"/>
        <v>1246</v>
      </c>
      <c r="E16" s="4">
        <v>2641762</v>
      </c>
      <c r="F16" s="4">
        <f t="shared" si="0"/>
        <v>1947</v>
      </c>
      <c r="G16" s="11">
        <v>8247</v>
      </c>
      <c r="H16" s="11">
        <f t="shared" si="1"/>
        <v>54</v>
      </c>
      <c r="I16" s="11">
        <v>7804</v>
      </c>
      <c r="J16" s="11">
        <f t="shared" si="2"/>
        <v>36</v>
      </c>
      <c r="K16" s="3"/>
    </row>
    <row r="17" spans="1:11" ht="39" customHeight="1" x14ac:dyDescent="0.25">
      <c r="A17" s="7">
        <v>46064</v>
      </c>
      <c r="B17" s="20">
        <v>0.21875</v>
      </c>
      <c r="C17" s="4">
        <v>3099080</v>
      </c>
      <c r="D17" s="4">
        <f t="shared" si="3"/>
        <v>1276</v>
      </c>
      <c r="E17" s="4">
        <v>2643581</v>
      </c>
      <c r="F17" s="4">
        <f t="shared" si="0"/>
        <v>1819</v>
      </c>
      <c r="G17" s="11">
        <v>8294</v>
      </c>
      <c r="H17" s="11">
        <f t="shared" si="1"/>
        <v>47</v>
      </c>
      <c r="I17" s="11">
        <v>7870</v>
      </c>
      <c r="J17" s="11">
        <f t="shared" si="2"/>
        <v>66</v>
      </c>
      <c r="K17" s="3"/>
    </row>
    <row r="18" spans="1:11" ht="39" customHeight="1" x14ac:dyDescent="0.25">
      <c r="A18" s="7">
        <v>46065</v>
      </c>
      <c r="B18" s="20">
        <v>0.20833333333333334</v>
      </c>
      <c r="C18" s="4">
        <v>3100403</v>
      </c>
      <c r="D18" s="4">
        <f t="shared" si="3"/>
        <v>1323</v>
      </c>
      <c r="E18" s="4">
        <v>2645430</v>
      </c>
      <c r="F18" s="4">
        <f t="shared" si="0"/>
        <v>1849</v>
      </c>
      <c r="G18" s="11">
        <v>8328</v>
      </c>
      <c r="H18" s="11">
        <f t="shared" si="1"/>
        <v>34</v>
      </c>
      <c r="I18" s="11">
        <v>7890</v>
      </c>
      <c r="J18" s="11">
        <f t="shared" si="2"/>
        <v>20</v>
      </c>
      <c r="K18" s="3"/>
    </row>
    <row r="19" spans="1:11" ht="39" customHeight="1" x14ac:dyDescent="0.25">
      <c r="A19" s="7">
        <v>46066</v>
      </c>
      <c r="B19" s="20">
        <v>0.21527777777777779</v>
      </c>
      <c r="C19" s="4">
        <v>3101847</v>
      </c>
      <c r="D19" s="4">
        <f t="shared" si="3"/>
        <v>1444</v>
      </c>
      <c r="E19" s="4">
        <v>2647395</v>
      </c>
      <c r="F19" s="4">
        <f t="shared" si="0"/>
        <v>1965</v>
      </c>
      <c r="G19" s="11">
        <v>8393</v>
      </c>
      <c r="H19" s="11">
        <f t="shared" si="1"/>
        <v>65</v>
      </c>
      <c r="I19" s="11">
        <v>7910</v>
      </c>
      <c r="J19" s="11">
        <f t="shared" si="2"/>
        <v>20</v>
      </c>
      <c r="K19" s="3"/>
    </row>
    <row r="20" spans="1:11" ht="39" customHeight="1" x14ac:dyDescent="0.25">
      <c r="A20" s="7">
        <v>46067</v>
      </c>
      <c r="B20" s="20">
        <v>0.20833333333333334</v>
      </c>
      <c r="C20" s="4">
        <v>3103219</v>
      </c>
      <c r="D20" s="4">
        <f t="shared" si="3"/>
        <v>1372</v>
      </c>
      <c r="E20" s="4">
        <v>2649626</v>
      </c>
      <c r="F20" s="4">
        <f t="shared" si="0"/>
        <v>2231</v>
      </c>
      <c r="G20" s="11">
        <v>8450</v>
      </c>
      <c r="H20" s="11">
        <f t="shared" si="1"/>
        <v>57</v>
      </c>
      <c r="I20" s="11">
        <v>7955</v>
      </c>
      <c r="J20" s="11">
        <f t="shared" si="2"/>
        <v>45</v>
      </c>
      <c r="K20" s="3"/>
    </row>
    <row r="21" spans="1:11" ht="39" customHeight="1" x14ac:dyDescent="0.25">
      <c r="A21" s="7">
        <v>46068</v>
      </c>
      <c r="B21" s="20">
        <v>0.22222222222222221</v>
      </c>
      <c r="C21" s="4">
        <v>3104561</v>
      </c>
      <c r="D21" s="4">
        <f t="shared" si="3"/>
        <v>1342</v>
      </c>
      <c r="E21" s="4">
        <v>2651778</v>
      </c>
      <c r="F21" s="4">
        <f t="shared" si="0"/>
        <v>2152</v>
      </c>
      <c r="G21" s="11">
        <v>8502</v>
      </c>
      <c r="H21" s="11">
        <f t="shared" si="1"/>
        <v>52</v>
      </c>
      <c r="I21" s="11">
        <v>7955</v>
      </c>
      <c r="J21" s="11">
        <f t="shared" si="2"/>
        <v>0</v>
      </c>
      <c r="K21" s="3"/>
    </row>
    <row r="22" spans="1:11" ht="39" customHeight="1" x14ac:dyDescent="0.25">
      <c r="A22" s="7">
        <v>46069</v>
      </c>
      <c r="B22" s="20">
        <v>0.20833333333333334</v>
      </c>
      <c r="C22" s="4">
        <v>3105953</v>
      </c>
      <c r="D22" s="4">
        <f t="shared" si="3"/>
        <v>1392</v>
      </c>
      <c r="E22" s="4">
        <v>2653750</v>
      </c>
      <c r="F22" s="4">
        <f t="shared" si="0"/>
        <v>1972</v>
      </c>
      <c r="G22" s="11">
        <v>8562</v>
      </c>
      <c r="H22" s="11">
        <f t="shared" si="1"/>
        <v>60</v>
      </c>
      <c r="I22" s="11">
        <v>8007</v>
      </c>
      <c r="J22" s="11">
        <f t="shared" si="2"/>
        <v>52</v>
      </c>
      <c r="K22" s="3"/>
    </row>
    <row r="23" spans="1:11" ht="39" customHeight="1" x14ac:dyDescent="0.25">
      <c r="A23" s="7">
        <v>46070</v>
      </c>
      <c r="B23" s="20">
        <v>0.22222222222222221</v>
      </c>
      <c r="C23" s="4">
        <v>3107323</v>
      </c>
      <c r="D23" s="4">
        <f t="shared" si="3"/>
        <v>1370</v>
      </c>
      <c r="E23" s="4">
        <v>2655831</v>
      </c>
      <c r="F23" s="4">
        <f t="shared" si="0"/>
        <v>2081</v>
      </c>
      <c r="G23" s="11">
        <v>8616</v>
      </c>
      <c r="H23" s="11">
        <f t="shared" si="1"/>
        <v>54</v>
      </c>
      <c r="I23" s="11">
        <v>8007</v>
      </c>
      <c r="J23" s="11">
        <f t="shared" si="2"/>
        <v>0</v>
      </c>
      <c r="K23" s="3"/>
    </row>
    <row r="24" spans="1:11" ht="39" customHeight="1" x14ac:dyDescent="0.25">
      <c r="A24" s="7">
        <v>46071</v>
      </c>
      <c r="B24" s="20">
        <v>0.20833333333333334</v>
      </c>
      <c r="C24" s="4">
        <v>3108730</v>
      </c>
      <c r="D24" s="4">
        <f t="shared" si="3"/>
        <v>1407</v>
      </c>
      <c r="E24" s="4">
        <v>2658073</v>
      </c>
      <c r="F24" s="4">
        <f t="shared" si="0"/>
        <v>2242</v>
      </c>
      <c r="G24" s="11">
        <v>8660</v>
      </c>
      <c r="H24" s="11">
        <f t="shared" si="1"/>
        <v>44</v>
      </c>
      <c r="I24" s="11">
        <v>8057</v>
      </c>
      <c r="J24" s="11">
        <f t="shared" si="2"/>
        <v>50</v>
      </c>
      <c r="K24" s="3"/>
    </row>
    <row r="25" spans="1:11" ht="39" customHeight="1" x14ac:dyDescent="0.25">
      <c r="A25" s="7">
        <v>46072</v>
      </c>
      <c r="B25" s="20">
        <v>0.22222222222222221</v>
      </c>
      <c r="C25" s="4">
        <v>3110075</v>
      </c>
      <c r="D25" s="4">
        <f t="shared" si="3"/>
        <v>1345</v>
      </c>
      <c r="E25" s="4">
        <v>2660194</v>
      </c>
      <c r="F25" s="4">
        <f t="shared" si="0"/>
        <v>2121</v>
      </c>
      <c r="G25" s="11">
        <v>8700</v>
      </c>
      <c r="H25" s="11">
        <f t="shared" si="1"/>
        <v>40</v>
      </c>
      <c r="I25" s="11">
        <v>8057</v>
      </c>
      <c r="J25" s="11">
        <f t="shared" si="2"/>
        <v>0</v>
      </c>
      <c r="K25" s="3"/>
    </row>
    <row r="26" spans="1:11" ht="39" customHeight="1" x14ac:dyDescent="0.25">
      <c r="A26" s="7">
        <v>46073</v>
      </c>
      <c r="B26" s="20">
        <v>0.20833333333333334</v>
      </c>
      <c r="C26" s="4">
        <v>3111482</v>
      </c>
      <c r="D26" s="4">
        <f t="shared" si="3"/>
        <v>1407</v>
      </c>
      <c r="E26" s="4">
        <v>2662173</v>
      </c>
      <c r="F26" s="4">
        <f t="shared" si="0"/>
        <v>1979</v>
      </c>
      <c r="G26" s="11">
        <v>8747</v>
      </c>
      <c r="H26" s="11">
        <f t="shared" si="1"/>
        <v>47</v>
      </c>
      <c r="I26" s="11">
        <v>8102</v>
      </c>
      <c r="J26" s="11">
        <f t="shared" si="2"/>
        <v>45</v>
      </c>
      <c r="K26" s="3"/>
    </row>
    <row r="27" spans="1:11" ht="39" customHeight="1" x14ac:dyDescent="0.35">
      <c r="A27" s="7">
        <v>46074</v>
      </c>
      <c r="B27" s="20">
        <v>0.21875</v>
      </c>
      <c r="C27" s="4">
        <v>3112958</v>
      </c>
      <c r="D27" s="4">
        <f t="shared" si="3"/>
        <v>1476</v>
      </c>
      <c r="E27" s="4">
        <v>2664145</v>
      </c>
      <c r="F27" s="4">
        <f t="shared" si="0"/>
        <v>1972</v>
      </c>
      <c r="G27" s="12">
        <v>8786</v>
      </c>
      <c r="H27" s="11">
        <f t="shared" si="1"/>
        <v>39</v>
      </c>
      <c r="I27" s="11">
        <v>8102</v>
      </c>
      <c r="J27" s="11">
        <f t="shared" si="2"/>
        <v>0</v>
      </c>
      <c r="K27" s="3"/>
    </row>
    <row r="28" spans="1:11" ht="39" customHeight="1" x14ac:dyDescent="0.3">
      <c r="A28" s="7">
        <v>46075</v>
      </c>
      <c r="B28" s="20">
        <v>0.20833333333333334</v>
      </c>
      <c r="C28" s="5">
        <v>3114397</v>
      </c>
      <c r="D28" s="4">
        <f t="shared" si="3"/>
        <v>1439</v>
      </c>
      <c r="E28" s="4">
        <v>2665983</v>
      </c>
      <c r="F28" s="4">
        <f t="shared" si="0"/>
        <v>1838</v>
      </c>
      <c r="G28" s="13">
        <v>8837</v>
      </c>
      <c r="H28" s="11">
        <f t="shared" si="1"/>
        <v>51</v>
      </c>
      <c r="I28" s="11">
        <v>8103</v>
      </c>
      <c r="J28" s="11">
        <f t="shared" si="2"/>
        <v>1</v>
      </c>
      <c r="K28" s="3"/>
    </row>
    <row r="29" spans="1:11" ht="39" customHeight="1" x14ac:dyDescent="0.3">
      <c r="A29" s="7">
        <v>46076</v>
      </c>
      <c r="B29" s="20">
        <v>0.21666666666666667</v>
      </c>
      <c r="C29" s="5">
        <v>3115668</v>
      </c>
      <c r="D29" s="4">
        <f t="shared" si="3"/>
        <v>1271</v>
      </c>
      <c r="E29" s="4">
        <v>2667828</v>
      </c>
      <c r="F29" s="4">
        <f t="shared" si="0"/>
        <v>1845</v>
      </c>
      <c r="G29" s="13">
        <v>8878</v>
      </c>
      <c r="H29" s="11">
        <f t="shared" si="1"/>
        <v>41</v>
      </c>
      <c r="I29" s="11">
        <v>8103</v>
      </c>
      <c r="J29" s="11">
        <f t="shared" si="2"/>
        <v>0</v>
      </c>
      <c r="K29" s="3"/>
    </row>
    <row r="30" spans="1:11" ht="39" customHeight="1" x14ac:dyDescent="0.3">
      <c r="A30" s="7">
        <v>46077</v>
      </c>
      <c r="B30" s="20">
        <v>0.20833333333333334</v>
      </c>
      <c r="C30" s="5">
        <v>3117032</v>
      </c>
      <c r="D30" s="4">
        <f t="shared" si="3"/>
        <v>1364</v>
      </c>
      <c r="E30" s="4">
        <v>2669792</v>
      </c>
      <c r="F30" s="4">
        <f t="shared" si="0"/>
        <v>1964</v>
      </c>
      <c r="G30" s="13">
        <v>8918</v>
      </c>
      <c r="H30" s="11">
        <f t="shared" si="1"/>
        <v>40</v>
      </c>
      <c r="I30" s="11">
        <v>8110</v>
      </c>
      <c r="J30" s="11">
        <f t="shared" si="2"/>
        <v>7</v>
      </c>
      <c r="K30" s="3"/>
    </row>
    <row r="31" spans="1:11" ht="39" customHeight="1" x14ac:dyDescent="0.25">
      <c r="A31" s="7">
        <v>46078</v>
      </c>
      <c r="B31" s="20">
        <v>0.22222222222222221</v>
      </c>
      <c r="C31" s="5">
        <v>3118334</v>
      </c>
      <c r="D31" s="4">
        <f t="shared" si="3"/>
        <v>1302</v>
      </c>
      <c r="E31" s="4">
        <v>2671315</v>
      </c>
      <c r="F31" s="4">
        <f t="shared" si="0"/>
        <v>1523</v>
      </c>
      <c r="G31" s="11">
        <v>8952</v>
      </c>
      <c r="H31" s="11">
        <f t="shared" si="1"/>
        <v>34</v>
      </c>
      <c r="I31" s="11">
        <v>8154</v>
      </c>
      <c r="J31" s="11">
        <f t="shared" si="2"/>
        <v>44</v>
      </c>
      <c r="K31" s="3"/>
    </row>
    <row r="32" spans="1:11" ht="39" customHeight="1" x14ac:dyDescent="0.25">
      <c r="A32" s="7">
        <v>46079</v>
      </c>
      <c r="B32" s="20">
        <v>0.21527777777777779</v>
      </c>
      <c r="C32" s="4">
        <v>3119671</v>
      </c>
      <c r="D32" s="4">
        <f t="shared" si="3"/>
        <v>1337</v>
      </c>
      <c r="E32" s="4">
        <v>2673195</v>
      </c>
      <c r="F32" s="4">
        <f t="shared" si="0"/>
        <v>1880</v>
      </c>
      <c r="G32" s="11">
        <v>8989</v>
      </c>
      <c r="H32" s="11">
        <f t="shared" si="1"/>
        <v>37</v>
      </c>
      <c r="I32" s="11">
        <v>8205</v>
      </c>
      <c r="J32" s="11">
        <f t="shared" si="2"/>
        <v>51</v>
      </c>
      <c r="K32" s="3"/>
    </row>
    <row r="33" spans="1:11" ht="39" customHeight="1" x14ac:dyDescent="0.25">
      <c r="A33" s="7">
        <v>46080</v>
      </c>
      <c r="B33" s="20">
        <v>0.22916666666666666</v>
      </c>
      <c r="C33" s="4">
        <v>3120945</v>
      </c>
      <c r="D33" s="4">
        <f t="shared" si="3"/>
        <v>1274</v>
      </c>
      <c r="E33" s="4">
        <v>2674983</v>
      </c>
      <c r="F33" s="4">
        <f t="shared" si="0"/>
        <v>1788</v>
      </c>
      <c r="G33" s="11">
        <v>9024</v>
      </c>
      <c r="H33" s="11">
        <f t="shared" si="1"/>
        <v>35</v>
      </c>
      <c r="I33" s="11">
        <v>8257</v>
      </c>
      <c r="J33" s="11">
        <f t="shared" si="2"/>
        <v>52</v>
      </c>
      <c r="K33" s="3"/>
    </row>
    <row r="34" spans="1:11" ht="39" customHeight="1" x14ac:dyDescent="0.25">
      <c r="A34" s="7">
        <v>46081</v>
      </c>
      <c r="B34" s="20">
        <v>0.20833333333333334</v>
      </c>
      <c r="C34" s="4">
        <v>3122161</v>
      </c>
      <c r="D34" s="4">
        <f t="shared" si="3"/>
        <v>1216</v>
      </c>
      <c r="E34" s="4">
        <v>2676586</v>
      </c>
      <c r="F34" s="4">
        <f t="shared" si="0"/>
        <v>1603</v>
      </c>
      <c r="G34" s="11">
        <v>9070</v>
      </c>
      <c r="H34" s="11">
        <f t="shared" si="1"/>
        <v>46</v>
      </c>
      <c r="I34" s="11">
        <v>8294</v>
      </c>
      <c r="J34" s="11">
        <f t="shared" si="2"/>
        <v>37</v>
      </c>
      <c r="K34" s="3"/>
    </row>
    <row r="35" spans="1:11" ht="39" customHeight="1" x14ac:dyDescent="0.25">
      <c r="A35" s="7"/>
      <c r="B35" s="20"/>
      <c r="C35" s="4"/>
      <c r="D35" s="4"/>
      <c r="E35" s="4"/>
      <c r="F35" s="4"/>
      <c r="G35" s="11"/>
      <c r="H35" s="11"/>
      <c r="I35" s="11"/>
      <c r="J35" s="11"/>
      <c r="K35" s="3"/>
    </row>
    <row r="36" spans="1:11" ht="39" customHeight="1" x14ac:dyDescent="0.25">
      <c r="A36" s="7"/>
      <c r="B36" s="20"/>
      <c r="C36" s="4"/>
      <c r="D36" s="4">
        <f>C36-C35</f>
        <v>0</v>
      </c>
      <c r="E36" s="4"/>
      <c r="F36" s="4">
        <f>E36-E35</f>
        <v>0</v>
      </c>
      <c r="G36" s="11"/>
      <c r="H36" s="11">
        <f>G36-G35</f>
        <v>0</v>
      </c>
      <c r="I36" s="11"/>
      <c r="J36" s="11">
        <f>I36-I35</f>
        <v>0</v>
      </c>
      <c r="K36" s="3"/>
    </row>
    <row r="37" spans="1:11" ht="39" customHeight="1" x14ac:dyDescent="0.25">
      <c r="A37" s="7"/>
      <c r="B37" s="18"/>
      <c r="C37" s="4"/>
      <c r="D37" s="4">
        <f>C37-C36</f>
        <v>0</v>
      </c>
      <c r="E37" s="4"/>
      <c r="F37" s="4">
        <f>E37-E36</f>
        <v>0</v>
      </c>
      <c r="G37" s="11"/>
      <c r="H37" s="11">
        <f>G37-G36</f>
        <v>0</v>
      </c>
      <c r="I37" s="11"/>
      <c r="J37" s="11">
        <f>I37-I36</f>
        <v>0</v>
      </c>
      <c r="K37" s="3"/>
    </row>
    <row r="38" spans="1:11" x14ac:dyDescent="0.25">
      <c r="D38" s="1">
        <f>SUM(D6:D37)</f>
        <v>36849</v>
      </c>
      <c r="F38" s="1">
        <f>SUM(F6:F37)</f>
        <v>53493</v>
      </c>
      <c r="H38" s="1">
        <f>SUM(H6:H37)</f>
        <v>1354</v>
      </c>
      <c r="J38" s="1">
        <f>SUM(J6:J37)</f>
        <v>830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BAN-M Electrical &amp; Water Dec25</vt:lpstr>
      <vt:lpstr>'BAN-M Electrical &amp; Water Dec25'!Print_Area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Muhammad Waseem</cp:lastModifiedBy>
  <cp:revision/>
  <dcterms:created xsi:type="dcterms:W3CDTF">2018-12-27T05:07:34Z</dcterms:created>
  <dcterms:modified xsi:type="dcterms:W3CDTF">2026-03-12T06:18:22Z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