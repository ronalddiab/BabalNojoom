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filterPrivacy="1" defaultThemeVersion="124226"/>
  <xr:revisionPtr revIDLastSave="13" documentId="8_{CD873CB2-9243-4B07-8C28-02ACCA939A79}" xr6:coauthVersionLast="47" xr6:coauthVersionMax="47" xr10:uidLastSave="{DFB9BBDC-50F4-43B0-8C45-CF88104A3A69}"/>
  <bookViews>
    <workbookView xWindow="-98" yWindow="-98" windowWidth="19396" windowHeight="10276" xr2:uid="{00000000-000D-0000-FFFF-FFFF00000000}"/>
  </bookViews>
  <sheets>
    <sheet name="Total" sheetId="4" r:id="rId1"/>
    <sheet name="Submetering" sheetId="5" r:id="rId2"/>
    <sheet name="Mar 2023" sheetId="3" r:id="rId3"/>
  </sheets>
  <definedNames>
    <definedName name="_xlnm.Print_Area" localSheetId="2">'Mar 2023'!$A$1:$AC$44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2" i="4"/>
  <c r="B58" i="3"/>
  <c r="G58" i="3" s="1"/>
  <c r="L58" i="3" s="1"/>
  <c r="B57" i="3"/>
  <c r="G57" i="3" s="1"/>
  <c r="L57" i="3" s="1"/>
  <c r="G56" i="3"/>
  <c r="L56" i="3" s="1"/>
  <c r="B56" i="3"/>
  <c r="B55" i="3"/>
  <c r="B59" i="3" s="1"/>
  <c r="R50" i="3"/>
  <c r="B50" i="3"/>
  <c r="G50" i="3" s="1"/>
  <c r="B49" i="3"/>
  <c r="B51" i="3" s="1"/>
  <c r="R48" i="3"/>
  <c r="B48" i="3"/>
  <c r="G48" i="3" s="1"/>
  <c r="AG47" i="3"/>
  <c r="AG44" i="3" s="1"/>
  <c r="Z44" i="3" s="1"/>
  <c r="G47" i="3"/>
  <c r="R47" i="3" s="1"/>
  <c r="B47" i="3"/>
  <c r="AG46" i="3"/>
  <c r="I45" i="3"/>
  <c r="V44" i="3"/>
  <c r="T44" i="3"/>
  <c r="O44" i="3"/>
  <c r="M44" i="3"/>
  <c r="J44" i="3"/>
  <c r="G44" i="3"/>
  <c r="AG43" i="3"/>
  <c r="Z43" i="3" s="1"/>
  <c r="V43" i="3"/>
  <c r="T43" i="3"/>
  <c r="O43" i="3"/>
  <c r="M43" i="3"/>
  <c r="J43" i="3"/>
  <c r="G43" i="3"/>
  <c r="V42" i="3"/>
  <c r="O42" i="3"/>
  <c r="J42" i="3"/>
  <c r="AG41" i="3"/>
  <c r="Z41" i="3" s="1"/>
  <c r="V41" i="3"/>
  <c r="T41" i="3"/>
  <c r="O41" i="3"/>
  <c r="M41" i="3"/>
  <c r="J41" i="3"/>
  <c r="G41" i="3"/>
  <c r="AG40" i="3"/>
  <c r="Z40" i="3"/>
  <c r="V40" i="3"/>
  <c r="T40" i="3"/>
  <c r="O40" i="3"/>
  <c r="M40" i="3"/>
  <c r="J40" i="3"/>
  <c r="G40" i="3"/>
  <c r="V39" i="3"/>
  <c r="O39" i="3"/>
  <c r="J39" i="3"/>
  <c r="AE36" i="3"/>
  <c r="AD36" i="3"/>
  <c r="AC35" i="3"/>
  <c r="Z35" i="3"/>
  <c r="W35" i="3"/>
  <c r="X35" i="3" s="1"/>
  <c r="Y35" i="3" s="1"/>
  <c r="AA35" i="3" s="1"/>
  <c r="S35" i="3"/>
  <c r="T35" i="3" s="1"/>
  <c r="U35" i="3" s="1"/>
  <c r="P35" i="3"/>
  <c r="Q35" i="3" s="1"/>
  <c r="N35" i="3"/>
  <c r="K35" i="3"/>
  <c r="L35" i="3" s="1"/>
  <c r="G35" i="3"/>
  <c r="E35" i="3"/>
  <c r="H35" i="3" s="1"/>
  <c r="I35" i="3" s="1"/>
  <c r="C35" i="3"/>
  <c r="AC34" i="3"/>
  <c r="Z34" i="3"/>
  <c r="Y34" i="3"/>
  <c r="AA34" i="3" s="1"/>
  <c r="X34" i="3"/>
  <c r="W34" i="3"/>
  <c r="T34" i="3"/>
  <c r="U34" i="3" s="1"/>
  <c r="S34" i="3"/>
  <c r="P34" i="3"/>
  <c r="J31" i="5" s="1"/>
  <c r="N34" i="3"/>
  <c r="K34" i="3"/>
  <c r="L34" i="3" s="1"/>
  <c r="H34" i="3"/>
  <c r="I34" i="3" s="1"/>
  <c r="G34" i="3"/>
  <c r="E34" i="3"/>
  <c r="C34" i="3"/>
  <c r="AC33" i="3"/>
  <c r="Z33" i="3"/>
  <c r="Y33" i="3"/>
  <c r="W33" i="3"/>
  <c r="X33" i="3" s="1"/>
  <c r="S33" i="3"/>
  <c r="T33" i="3" s="1"/>
  <c r="U33" i="3" s="1"/>
  <c r="Q33" i="3"/>
  <c r="P33" i="3"/>
  <c r="N33" i="3"/>
  <c r="L33" i="3"/>
  <c r="K33" i="3"/>
  <c r="H33" i="3"/>
  <c r="I33" i="3" s="1"/>
  <c r="G33" i="3"/>
  <c r="E33" i="3"/>
  <c r="C33" i="3"/>
  <c r="AC32" i="3"/>
  <c r="Z32" i="3"/>
  <c r="W32" i="3"/>
  <c r="X32" i="3" s="1"/>
  <c r="Y32" i="3" s="1"/>
  <c r="AA32" i="3" s="1"/>
  <c r="S32" i="3"/>
  <c r="T32" i="3" s="1"/>
  <c r="U32" i="3" s="1"/>
  <c r="P32" i="3"/>
  <c r="N32" i="3"/>
  <c r="Q32" i="3" s="1"/>
  <c r="K32" i="3"/>
  <c r="L32" i="3" s="1"/>
  <c r="G32" i="3"/>
  <c r="E32" i="3"/>
  <c r="C32" i="3"/>
  <c r="H32" i="3" s="1"/>
  <c r="I32" i="3" s="1"/>
  <c r="AC31" i="3"/>
  <c r="Z31" i="3"/>
  <c r="W31" i="3"/>
  <c r="X31" i="3" s="1"/>
  <c r="Y31" i="3" s="1"/>
  <c r="AA31" i="3" s="1"/>
  <c r="U31" i="3"/>
  <c r="T31" i="3"/>
  <c r="S31" i="3"/>
  <c r="P31" i="3"/>
  <c r="N31" i="3"/>
  <c r="Q31" i="3" s="1"/>
  <c r="K31" i="3"/>
  <c r="L31" i="3" s="1"/>
  <c r="G31" i="3"/>
  <c r="E31" i="3"/>
  <c r="C31" i="3"/>
  <c r="H31" i="3" s="1"/>
  <c r="I31" i="3" s="1"/>
  <c r="AC30" i="3"/>
  <c r="Z30" i="3"/>
  <c r="W30" i="3"/>
  <c r="X30" i="3" s="1"/>
  <c r="Y30" i="3" s="1"/>
  <c r="AA30" i="3" s="1"/>
  <c r="U30" i="3"/>
  <c r="S30" i="3"/>
  <c r="T30" i="3" s="1"/>
  <c r="P30" i="3"/>
  <c r="N30" i="3"/>
  <c r="Q30" i="3" s="1"/>
  <c r="L30" i="3"/>
  <c r="K30" i="3"/>
  <c r="G30" i="3"/>
  <c r="E30" i="3"/>
  <c r="C30" i="3"/>
  <c r="H30" i="3" s="1"/>
  <c r="I30" i="3" s="1"/>
  <c r="AC29" i="3"/>
  <c r="Z29" i="3"/>
  <c r="X29" i="3"/>
  <c r="Y29" i="3" s="1"/>
  <c r="AA29" i="3" s="1"/>
  <c r="W29" i="3"/>
  <c r="S29" i="3"/>
  <c r="T29" i="3" s="1"/>
  <c r="U29" i="3" s="1"/>
  <c r="P29" i="3"/>
  <c r="J26" i="5" s="1"/>
  <c r="N29" i="3"/>
  <c r="Q29" i="3" s="1"/>
  <c r="K29" i="3"/>
  <c r="L29" i="3" s="1"/>
  <c r="G29" i="3"/>
  <c r="H29" i="3" s="1"/>
  <c r="I29" i="3" s="1"/>
  <c r="E29" i="3"/>
  <c r="C29" i="3"/>
  <c r="AC28" i="3"/>
  <c r="Z28" i="3"/>
  <c r="X28" i="3"/>
  <c r="Y28" i="3" s="1"/>
  <c r="AA28" i="3" s="1"/>
  <c r="W28" i="3"/>
  <c r="S28" i="3"/>
  <c r="T28" i="3" s="1"/>
  <c r="U28" i="3" s="1"/>
  <c r="Q28" i="3"/>
  <c r="P28" i="3"/>
  <c r="N28" i="3"/>
  <c r="K28" i="3"/>
  <c r="L28" i="3" s="1"/>
  <c r="H28" i="3"/>
  <c r="I28" i="3" s="1"/>
  <c r="G28" i="3"/>
  <c r="E28" i="3"/>
  <c r="C28" i="3"/>
  <c r="AC27" i="3"/>
  <c r="Z27" i="3"/>
  <c r="W27" i="3"/>
  <c r="X27" i="3" s="1"/>
  <c r="Y27" i="3" s="1"/>
  <c r="AA27" i="3" s="1"/>
  <c r="S27" i="3"/>
  <c r="T27" i="3" s="1"/>
  <c r="U27" i="3" s="1"/>
  <c r="Q27" i="3"/>
  <c r="P27" i="3"/>
  <c r="N27" i="3"/>
  <c r="K27" i="3"/>
  <c r="L27" i="3" s="1"/>
  <c r="G27" i="3"/>
  <c r="E27" i="3"/>
  <c r="C27" i="3"/>
  <c r="H27" i="3" s="1"/>
  <c r="I27" i="3" s="1"/>
  <c r="AC26" i="3"/>
  <c r="Z26" i="3"/>
  <c r="AA26" i="3" s="1"/>
  <c r="W26" i="3"/>
  <c r="X26" i="3" s="1"/>
  <c r="Y26" i="3" s="1"/>
  <c r="T26" i="3"/>
  <c r="U26" i="3" s="1"/>
  <c r="S26" i="3"/>
  <c r="P26" i="3"/>
  <c r="N26" i="3"/>
  <c r="Q26" i="3" s="1"/>
  <c r="K26" i="3"/>
  <c r="L26" i="3" s="1"/>
  <c r="G26" i="3"/>
  <c r="E26" i="3"/>
  <c r="C26" i="3"/>
  <c r="H26" i="3" s="1"/>
  <c r="I26" i="3" s="1"/>
  <c r="AC25" i="3"/>
  <c r="Z25" i="3"/>
  <c r="X25" i="3"/>
  <c r="Y25" i="3" s="1"/>
  <c r="AA25" i="3" s="1"/>
  <c r="W25" i="3"/>
  <c r="T25" i="3"/>
  <c r="U25" i="3" s="1"/>
  <c r="S25" i="3"/>
  <c r="P25" i="3"/>
  <c r="N25" i="3"/>
  <c r="I22" i="5" s="1"/>
  <c r="L25" i="3"/>
  <c r="K25" i="3"/>
  <c r="G25" i="3"/>
  <c r="E25" i="3"/>
  <c r="C25" i="3"/>
  <c r="H25" i="3" s="1"/>
  <c r="I25" i="3" s="1"/>
  <c r="AC24" i="3"/>
  <c r="Z24" i="3"/>
  <c r="W24" i="3"/>
  <c r="X24" i="3" s="1"/>
  <c r="Y24" i="3" s="1"/>
  <c r="AA24" i="3" s="1"/>
  <c r="S24" i="3"/>
  <c r="T24" i="3" s="1"/>
  <c r="U24" i="3" s="1"/>
  <c r="P24" i="3"/>
  <c r="N24" i="3"/>
  <c r="Q24" i="3" s="1"/>
  <c r="L24" i="3"/>
  <c r="K24" i="3"/>
  <c r="G24" i="3"/>
  <c r="E24" i="3"/>
  <c r="C24" i="3"/>
  <c r="H24" i="3" s="1"/>
  <c r="I24" i="3" s="1"/>
  <c r="AC23" i="3"/>
  <c r="Z23" i="3"/>
  <c r="W23" i="3"/>
  <c r="X23" i="3" s="1"/>
  <c r="Y23" i="3" s="1"/>
  <c r="AA23" i="3" s="1"/>
  <c r="S23" i="3"/>
  <c r="T23" i="3" s="1"/>
  <c r="U23" i="3" s="1"/>
  <c r="P23" i="3"/>
  <c r="Q23" i="3" s="1"/>
  <c r="N23" i="3"/>
  <c r="K23" i="3"/>
  <c r="L23" i="3" s="1"/>
  <c r="G23" i="3"/>
  <c r="E23" i="3"/>
  <c r="H23" i="3" s="1"/>
  <c r="I23" i="3" s="1"/>
  <c r="C23" i="3"/>
  <c r="AC22" i="3"/>
  <c r="Z22" i="3"/>
  <c r="Y22" i="3"/>
  <c r="AA22" i="3" s="1"/>
  <c r="X22" i="3"/>
  <c r="W22" i="3"/>
  <c r="T22" i="3"/>
  <c r="U22" i="3" s="1"/>
  <c r="S22" i="3"/>
  <c r="P22" i="3"/>
  <c r="J19" i="5" s="1"/>
  <c r="N22" i="3"/>
  <c r="K22" i="3"/>
  <c r="L22" i="3" s="1"/>
  <c r="H22" i="3"/>
  <c r="I22" i="3" s="1"/>
  <c r="G22" i="3"/>
  <c r="E22" i="3"/>
  <c r="C22" i="3"/>
  <c r="AC21" i="3"/>
  <c r="Z21" i="3"/>
  <c r="W21" i="3"/>
  <c r="X21" i="3" s="1"/>
  <c r="Y21" i="3" s="1"/>
  <c r="AA21" i="3" s="1"/>
  <c r="S21" i="3"/>
  <c r="T21" i="3" s="1"/>
  <c r="U21" i="3" s="1"/>
  <c r="Q21" i="3"/>
  <c r="P21" i="3"/>
  <c r="N21" i="3"/>
  <c r="L21" i="3"/>
  <c r="K21" i="3"/>
  <c r="H21" i="3"/>
  <c r="I21" i="3" s="1"/>
  <c r="G21" i="3"/>
  <c r="E21" i="3"/>
  <c r="C21" i="3"/>
  <c r="AC20" i="3"/>
  <c r="Z20" i="3"/>
  <c r="W20" i="3"/>
  <c r="X20" i="3" s="1"/>
  <c r="Y20" i="3" s="1"/>
  <c r="AA20" i="3" s="1"/>
  <c r="S20" i="3"/>
  <c r="T20" i="3" s="1"/>
  <c r="U20" i="3" s="1"/>
  <c r="P20" i="3"/>
  <c r="N20" i="3"/>
  <c r="I17" i="5" s="1"/>
  <c r="K20" i="3"/>
  <c r="L20" i="3" s="1"/>
  <c r="G20" i="3"/>
  <c r="E20" i="3"/>
  <c r="C20" i="3"/>
  <c r="H20" i="3" s="1"/>
  <c r="I20" i="3" s="1"/>
  <c r="AC19" i="3"/>
  <c r="AA19" i="3"/>
  <c r="Z19" i="3"/>
  <c r="W19" i="3"/>
  <c r="X19" i="3" s="1"/>
  <c r="Y19" i="3" s="1"/>
  <c r="U19" i="3"/>
  <c r="T19" i="3"/>
  <c r="S19" i="3"/>
  <c r="P19" i="3"/>
  <c r="N19" i="3"/>
  <c r="Q19" i="3" s="1"/>
  <c r="K19" i="3"/>
  <c r="L19" i="3" s="1"/>
  <c r="G19" i="3"/>
  <c r="E19" i="3"/>
  <c r="C19" i="3"/>
  <c r="AC18" i="3"/>
  <c r="Z18" i="3"/>
  <c r="W18" i="3"/>
  <c r="X18" i="3" s="1"/>
  <c r="Y18" i="3" s="1"/>
  <c r="AA18" i="3" s="1"/>
  <c r="U18" i="3"/>
  <c r="S18" i="3"/>
  <c r="T18" i="3" s="1"/>
  <c r="P18" i="3"/>
  <c r="N18" i="3"/>
  <c r="Q18" i="3" s="1"/>
  <c r="L18" i="3"/>
  <c r="K18" i="3"/>
  <c r="G18" i="3"/>
  <c r="E18" i="3"/>
  <c r="C18" i="3"/>
  <c r="AC17" i="3"/>
  <c r="Z17" i="3"/>
  <c r="X17" i="3"/>
  <c r="Y17" i="3" s="1"/>
  <c r="AA17" i="3" s="1"/>
  <c r="W17" i="3"/>
  <c r="S17" i="3"/>
  <c r="T17" i="3" s="1"/>
  <c r="U17" i="3" s="1"/>
  <c r="P17" i="3"/>
  <c r="J14" i="5" s="1"/>
  <c r="N17" i="3"/>
  <c r="Q17" i="3" s="1"/>
  <c r="K17" i="3"/>
  <c r="L17" i="3" s="1"/>
  <c r="G17" i="3"/>
  <c r="H17" i="3" s="1"/>
  <c r="I17" i="3" s="1"/>
  <c r="E17" i="3"/>
  <c r="C17" i="3"/>
  <c r="AC16" i="3"/>
  <c r="Z16" i="3"/>
  <c r="Y16" i="3"/>
  <c r="AA16" i="3" s="1"/>
  <c r="X16" i="3"/>
  <c r="W16" i="3"/>
  <c r="S16" i="3"/>
  <c r="T16" i="3" s="1"/>
  <c r="U16" i="3" s="1"/>
  <c r="Q16" i="3"/>
  <c r="P16" i="3"/>
  <c r="N16" i="3"/>
  <c r="K16" i="3"/>
  <c r="L16" i="3" s="1"/>
  <c r="G16" i="3"/>
  <c r="H16" i="3" s="1"/>
  <c r="I16" i="3" s="1"/>
  <c r="E16" i="3"/>
  <c r="C16" i="3"/>
  <c r="AC15" i="3"/>
  <c r="Z15" i="3"/>
  <c r="W15" i="3"/>
  <c r="X15" i="3" s="1"/>
  <c r="Y15" i="3" s="1"/>
  <c r="AA15" i="3" s="1"/>
  <c r="S15" i="3"/>
  <c r="T15" i="3" s="1"/>
  <c r="U15" i="3" s="1"/>
  <c r="Q15" i="3"/>
  <c r="P15" i="3"/>
  <c r="N15" i="3"/>
  <c r="K15" i="3"/>
  <c r="L15" i="3" s="1"/>
  <c r="G15" i="3"/>
  <c r="E15" i="3"/>
  <c r="C15" i="3"/>
  <c r="H15" i="3" s="1"/>
  <c r="I15" i="3" s="1"/>
  <c r="AC14" i="3"/>
  <c r="Z14" i="3"/>
  <c r="W14" i="3"/>
  <c r="X14" i="3" s="1"/>
  <c r="Y14" i="3" s="1"/>
  <c r="AA14" i="3" s="1"/>
  <c r="U14" i="3"/>
  <c r="T14" i="3"/>
  <c r="S14" i="3"/>
  <c r="P14" i="3"/>
  <c r="N14" i="3"/>
  <c r="Q14" i="3" s="1"/>
  <c r="K14" i="3"/>
  <c r="L14" i="3" s="1"/>
  <c r="I14" i="3"/>
  <c r="G14" i="3"/>
  <c r="E14" i="3"/>
  <c r="C14" i="3"/>
  <c r="H14" i="3" s="1"/>
  <c r="AC13" i="3"/>
  <c r="Z13" i="3"/>
  <c r="X13" i="3"/>
  <c r="Y13" i="3" s="1"/>
  <c r="AA13" i="3" s="1"/>
  <c r="W13" i="3"/>
  <c r="U13" i="3"/>
  <c r="T13" i="3"/>
  <c r="S13" i="3"/>
  <c r="P13" i="3"/>
  <c r="N13" i="3"/>
  <c r="L13" i="3"/>
  <c r="K13" i="3"/>
  <c r="G13" i="3"/>
  <c r="E13" i="3"/>
  <c r="C13" i="3"/>
  <c r="H13" i="3" s="1"/>
  <c r="I13" i="3" s="1"/>
  <c r="AC12" i="3"/>
  <c r="Z12" i="3"/>
  <c r="X12" i="3"/>
  <c r="Y12" i="3" s="1"/>
  <c r="AA12" i="3" s="1"/>
  <c r="W12" i="3"/>
  <c r="S12" i="3"/>
  <c r="T12" i="3" s="1"/>
  <c r="U12" i="3" s="1"/>
  <c r="P12" i="3"/>
  <c r="N12" i="3"/>
  <c r="I9" i="5" s="1"/>
  <c r="L12" i="3"/>
  <c r="K12" i="3"/>
  <c r="G12" i="3"/>
  <c r="E12" i="3"/>
  <c r="C12" i="3"/>
  <c r="H12" i="3" s="1"/>
  <c r="I12" i="3" s="1"/>
  <c r="AC11" i="3"/>
  <c r="Z11" i="3"/>
  <c r="W11" i="3"/>
  <c r="X11" i="3" s="1"/>
  <c r="Y11" i="3" s="1"/>
  <c r="AA11" i="3" s="1"/>
  <c r="S11" i="3"/>
  <c r="T11" i="3" s="1"/>
  <c r="U11" i="3" s="1"/>
  <c r="P11" i="3"/>
  <c r="Q11" i="3" s="1"/>
  <c r="N11" i="3"/>
  <c r="K11" i="3"/>
  <c r="L11" i="3" s="1"/>
  <c r="G11" i="3"/>
  <c r="E11" i="3"/>
  <c r="H11" i="3" s="1"/>
  <c r="I11" i="3" s="1"/>
  <c r="C11" i="3"/>
  <c r="AC10" i="3"/>
  <c r="Z10" i="3"/>
  <c r="Y10" i="3"/>
  <c r="AA10" i="3" s="1"/>
  <c r="X10" i="3"/>
  <c r="W10" i="3"/>
  <c r="T10" i="3"/>
  <c r="U10" i="3" s="1"/>
  <c r="S10" i="3"/>
  <c r="P10" i="3"/>
  <c r="J7" i="5" s="1"/>
  <c r="N10" i="3"/>
  <c r="K10" i="3"/>
  <c r="L10" i="3" s="1"/>
  <c r="H10" i="3"/>
  <c r="I10" i="3" s="1"/>
  <c r="G10" i="3"/>
  <c r="E10" i="3"/>
  <c r="C10" i="3"/>
  <c r="AC9" i="3"/>
  <c r="Z9" i="3"/>
  <c r="W9" i="3"/>
  <c r="X9" i="3" s="1"/>
  <c r="Y9" i="3" s="1"/>
  <c r="AA9" i="3" s="1"/>
  <c r="S9" i="3"/>
  <c r="T9" i="3" s="1"/>
  <c r="U9" i="3" s="1"/>
  <c r="Q9" i="3"/>
  <c r="P9" i="3"/>
  <c r="N9" i="3"/>
  <c r="L9" i="3"/>
  <c r="K9" i="3"/>
  <c r="H9" i="3"/>
  <c r="I9" i="3" s="1"/>
  <c r="G9" i="3"/>
  <c r="E9" i="3"/>
  <c r="C9" i="3"/>
  <c r="AC8" i="3"/>
  <c r="AA8" i="3"/>
  <c r="Z8" i="3"/>
  <c r="W8" i="3"/>
  <c r="X8" i="3" s="1"/>
  <c r="Y8" i="3" s="1"/>
  <c r="T8" i="3"/>
  <c r="U8" i="3" s="1"/>
  <c r="S8" i="3"/>
  <c r="P8" i="3"/>
  <c r="J5" i="5" s="1"/>
  <c r="N8" i="3"/>
  <c r="I5" i="5" s="1"/>
  <c r="K8" i="3"/>
  <c r="L8" i="3" s="1"/>
  <c r="G8" i="3"/>
  <c r="E8" i="3"/>
  <c r="C8" i="3"/>
  <c r="H8" i="3" s="1"/>
  <c r="I8" i="3" s="1"/>
  <c r="AC7" i="3"/>
  <c r="AC36" i="3" s="1"/>
  <c r="AD39" i="3" s="1"/>
  <c r="AA7" i="3"/>
  <c r="Z7" i="3"/>
  <c r="W7" i="3"/>
  <c r="X7" i="3" s="1"/>
  <c r="Y7" i="3" s="1"/>
  <c r="U7" i="3"/>
  <c r="T7" i="3"/>
  <c r="S7" i="3"/>
  <c r="P7" i="3"/>
  <c r="Q7" i="3" s="1"/>
  <c r="N7" i="3"/>
  <c r="K7" i="3"/>
  <c r="L7" i="3" s="1"/>
  <c r="G7" i="3"/>
  <c r="E7" i="3"/>
  <c r="C7" i="3"/>
  <c r="H7" i="3" s="1"/>
  <c r="I7" i="3" s="1"/>
  <c r="AC6" i="3"/>
  <c r="Z6" i="3"/>
  <c r="W6" i="3"/>
  <c r="X6" i="3" s="1"/>
  <c r="Y6" i="3" s="1"/>
  <c r="AA6" i="3" s="1"/>
  <c r="S6" i="3"/>
  <c r="P6" i="3"/>
  <c r="J3" i="5" s="1"/>
  <c r="N6" i="3"/>
  <c r="L6" i="3"/>
  <c r="K6" i="3"/>
  <c r="H6" i="3"/>
  <c r="G6" i="3"/>
  <c r="E6" i="3"/>
  <c r="E36" i="3" s="1"/>
  <c r="C6" i="3"/>
  <c r="Z5" i="3"/>
  <c r="X5" i="3"/>
  <c r="U5" i="3"/>
  <c r="T5" i="3"/>
  <c r="Q5" i="3"/>
  <c r="L5" i="3"/>
  <c r="I5" i="3"/>
  <c r="H5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G31" i="4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J6" i="5"/>
  <c r="J8" i="5"/>
  <c r="J9" i="5"/>
  <c r="J10" i="5"/>
  <c r="J11" i="5"/>
  <c r="J12" i="5"/>
  <c r="J13" i="5"/>
  <c r="J15" i="5"/>
  <c r="J16" i="5"/>
  <c r="J17" i="5"/>
  <c r="J18" i="5"/>
  <c r="J21" i="5"/>
  <c r="J22" i="5"/>
  <c r="J23" i="5"/>
  <c r="J24" i="5"/>
  <c r="J25" i="5"/>
  <c r="J27" i="5"/>
  <c r="J28" i="5"/>
  <c r="J29" i="5"/>
  <c r="J30" i="5"/>
  <c r="J32" i="5"/>
  <c r="J2" i="5"/>
  <c r="I3" i="5"/>
  <c r="I4" i="5"/>
  <c r="I6" i="5"/>
  <c r="I7" i="5"/>
  <c r="I8" i="5"/>
  <c r="I12" i="5"/>
  <c r="I13" i="5"/>
  <c r="I16" i="5"/>
  <c r="I18" i="5"/>
  <c r="I19" i="5"/>
  <c r="I20" i="5"/>
  <c r="I21" i="5"/>
  <c r="I24" i="5"/>
  <c r="I25" i="5"/>
  <c r="I28" i="5"/>
  <c r="I29" i="5"/>
  <c r="I30" i="5"/>
  <c r="I31" i="5"/>
  <c r="I32" i="5"/>
  <c r="I2" i="5"/>
  <c r="J20" i="5" l="1"/>
  <c r="J4" i="5"/>
  <c r="Q10" i="3"/>
  <c r="K36" i="3"/>
  <c r="G32" i="4"/>
  <c r="Q6" i="3"/>
  <c r="I15" i="5"/>
  <c r="G15" i="4" s="1"/>
  <c r="T36" i="3"/>
  <c r="T39" i="3" s="1"/>
  <c r="S36" i="3"/>
  <c r="I10" i="5"/>
  <c r="Q13" i="3"/>
  <c r="N36" i="3"/>
  <c r="I14" i="5"/>
  <c r="U36" i="3"/>
  <c r="Q12" i="3"/>
  <c r="W36" i="3"/>
  <c r="G36" i="3"/>
  <c r="Z36" i="3"/>
  <c r="H18" i="3"/>
  <c r="I18" i="3" s="1"/>
  <c r="H19" i="3"/>
  <c r="I19" i="3" s="1"/>
  <c r="Q34" i="3"/>
  <c r="I6" i="3"/>
  <c r="I26" i="5"/>
  <c r="G26" i="4" s="1"/>
  <c r="P36" i="3"/>
  <c r="Y5" i="3"/>
  <c r="X36" i="3"/>
  <c r="Z39" i="3" s="1"/>
  <c r="I27" i="5"/>
  <c r="G27" i="4" s="1"/>
  <c r="C36" i="3"/>
  <c r="Q22" i="3"/>
  <c r="AA33" i="3"/>
  <c r="Q25" i="3"/>
  <c r="G55" i="3"/>
  <c r="L55" i="3" s="1"/>
  <c r="I23" i="5"/>
  <c r="G23" i="4" s="1"/>
  <c r="I11" i="5"/>
  <c r="G11" i="4" s="1"/>
  <c r="T6" i="3"/>
  <c r="U6" i="3" s="1"/>
  <c r="Q8" i="3"/>
  <c r="Q20" i="3"/>
  <c r="G49" i="3"/>
  <c r="R49" i="3" s="1"/>
  <c r="R51" i="3" s="1"/>
  <c r="E3" i="4"/>
  <c r="E10" i="4"/>
  <c r="E14" i="4"/>
  <c r="E15" i="4"/>
  <c r="E22" i="4"/>
  <c r="E26" i="4"/>
  <c r="E27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2" i="5"/>
  <c r="E3" i="5"/>
  <c r="F3" i="5"/>
  <c r="G3" i="5"/>
  <c r="E4" i="5"/>
  <c r="E4" i="4" s="1"/>
  <c r="F4" i="5"/>
  <c r="G4" i="5"/>
  <c r="E5" i="5"/>
  <c r="E5" i="4" s="1"/>
  <c r="F5" i="5"/>
  <c r="G5" i="5"/>
  <c r="E6" i="5"/>
  <c r="F6" i="5"/>
  <c r="E6" i="4" s="1"/>
  <c r="G6" i="5"/>
  <c r="E7" i="5"/>
  <c r="E7" i="4" s="1"/>
  <c r="F7" i="5"/>
  <c r="G7" i="5"/>
  <c r="E8" i="5"/>
  <c r="E8" i="4" s="1"/>
  <c r="F8" i="5"/>
  <c r="G8" i="5"/>
  <c r="E9" i="5"/>
  <c r="E9" i="4" s="1"/>
  <c r="F9" i="5"/>
  <c r="G9" i="5"/>
  <c r="E10" i="5"/>
  <c r="F10" i="5"/>
  <c r="G10" i="5"/>
  <c r="E11" i="5"/>
  <c r="E11" i="4" s="1"/>
  <c r="F11" i="5"/>
  <c r="G11" i="5"/>
  <c r="E12" i="5"/>
  <c r="E12" i="4" s="1"/>
  <c r="F12" i="5"/>
  <c r="G12" i="5"/>
  <c r="E13" i="5"/>
  <c r="E13" i="4" s="1"/>
  <c r="F13" i="5"/>
  <c r="G13" i="5"/>
  <c r="E14" i="5"/>
  <c r="F14" i="5"/>
  <c r="G14" i="5"/>
  <c r="E15" i="5"/>
  <c r="F15" i="5"/>
  <c r="G15" i="5"/>
  <c r="E16" i="5"/>
  <c r="E16" i="4" s="1"/>
  <c r="F16" i="5"/>
  <c r="G16" i="5"/>
  <c r="E17" i="5"/>
  <c r="E17" i="4" s="1"/>
  <c r="F17" i="5"/>
  <c r="G17" i="5"/>
  <c r="E18" i="5"/>
  <c r="F18" i="5"/>
  <c r="E18" i="4" s="1"/>
  <c r="G18" i="5"/>
  <c r="E19" i="5"/>
  <c r="E19" i="4" s="1"/>
  <c r="F19" i="5"/>
  <c r="G19" i="5"/>
  <c r="E20" i="5"/>
  <c r="E20" i="4" s="1"/>
  <c r="F20" i="5"/>
  <c r="G20" i="5"/>
  <c r="E21" i="5"/>
  <c r="E21" i="4" s="1"/>
  <c r="F21" i="5"/>
  <c r="G21" i="5"/>
  <c r="E22" i="5"/>
  <c r="F22" i="5"/>
  <c r="G22" i="5"/>
  <c r="E23" i="5"/>
  <c r="E23" i="4" s="1"/>
  <c r="F23" i="5"/>
  <c r="G23" i="5"/>
  <c r="E24" i="5"/>
  <c r="E24" i="4" s="1"/>
  <c r="F24" i="5"/>
  <c r="G24" i="5"/>
  <c r="E25" i="5"/>
  <c r="E25" i="4" s="1"/>
  <c r="F25" i="5"/>
  <c r="G25" i="5"/>
  <c r="E26" i="5"/>
  <c r="F26" i="5"/>
  <c r="G26" i="5"/>
  <c r="E27" i="5"/>
  <c r="F27" i="5"/>
  <c r="G27" i="5"/>
  <c r="E28" i="5"/>
  <c r="E28" i="4" s="1"/>
  <c r="F28" i="5"/>
  <c r="G28" i="5"/>
  <c r="E29" i="5"/>
  <c r="E29" i="4" s="1"/>
  <c r="F29" i="5"/>
  <c r="G29" i="5"/>
  <c r="E30" i="5"/>
  <c r="F30" i="5"/>
  <c r="E30" i="4" s="1"/>
  <c r="G30" i="5"/>
  <c r="E31" i="5"/>
  <c r="F31" i="5"/>
  <c r="G31" i="5"/>
  <c r="E32" i="5"/>
  <c r="E32" i="4" s="1"/>
  <c r="F32" i="5"/>
  <c r="G32" i="5"/>
  <c r="G2" i="5"/>
  <c r="F2" i="5"/>
  <c r="E2" i="5"/>
  <c r="E2" i="4" s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0" i="4"/>
  <c r="G29" i="4"/>
  <c r="G28" i="4"/>
  <c r="G25" i="4"/>
  <c r="G24" i="4"/>
  <c r="G22" i="4"/>
  <c r="G21" i="4"/>
  <c r="G20" i="4"/>
  <c r="G19" i="4"/>
  <c r="G18" i="4"/>
  <c r="G17" i="4"/>
  <c r="G16" i="4"/>
  <c r="G14" i="4"/>
  <c r="G13" i="4"/>
  <c r="G12" i="4"/>
  <c r="G10" i="4"/>
  <c r="G9" i="4"/>
  <c r="G8" i="4"/>
  <c r="G7" i="4"/>
  <c r="G6" i="4"/>
  <c r="G5" i="4"/>
  <c r="B5" i="5"/>
  <c r="B6" i="5" s="1"/>
  <c r="B7" i="5" s="1"/>
  <c r="G4" i="4"/>
  <c r="B4" i="5"/>
  <c r="G3" i="4"/>
  <c r="B3" i="5"/>
  <c r="G2" i="4"/>
  <c r="AA5" i="3" l="1"/>
  <c r="AA36" i="3" s="1"/>
  <c r="Y36" i="3"/>
  <c r="Q36" i="3"/>
  <c r="L59" i="3"/>
  <c r="L36" i="3"/>
  <c r="M39" i="3"/>
  <c r="Y49" i="3"/>
  <c r="H36" i="3"/>
  <c r="I36" i="3" s="1"/>
  <c r="L49" i="3"/>
  <c r="Z57" i="3" s="1"/>
  <c r="R39" i="3"/>
  <c r="R42" i="3" s="1"/>
  <c r="T42" i="3" s="1"/>
  <c r="W49" i="3"/>
  <c r="R57" i="3" s="1"/>
  <c r="W57" i="3" s="1"/>
  <c r="E31" i="4"/>
  <c r="AE39" i="3"/>
  <c r="W47" i="3" l="1"/>
  <c r="D39" i="3"/>
  <c r="L47" i="3"/>
  <c r="Z55" i="3" s="1"/>
  <c r="W50" i="3"/>
  <c r="L50" i="3"/>
  <c r="Z58" i="3" s="1"/>
  <c r="X39" i="3"/>
  <c r="X42" i="3" s="1"/>
  <c r="AG42" i="3" s="1"/>
  <c r="Z42" i="3" s="1"/>
  <c r="AD57" i="3"/>
  <c r="AA57" i="3"/>
  <c r="AE57" i="3" s="1"/>
  <c r="L39" i="3"/>
  <c r="L42" i="3" s="1"/>
  <c r="M42" i="3" s="1"/>
  <c r="W48" i="3"/>
  <c r="L48" i="3"/>
  <c r="Z56" i="3" s="1"/>
  <c r="R56" i="3" l="1"/>
  <c r="W56" i="3" s="1"/>
  <c r="Y48" i="3"/>
  <c r="AD56" i="3"/>
  <c r="AA56" i="3"/>
  <c r="AE56" i="3" s="1"/>
  <c r="AA58" i="3"/>
  <c r="AE58" i="3" s="1"/>
  <c r="AD58" i="3"/>
  <c r="R58" i="3"/>
  <c r="W58" i="3" s="1"/>
  <c r="Y50" i="3"/>
  <c r="AA55" i="3"/>
  <c r="AD55" i="3"/>
  <c r="AD59" i="3" s="1"/>
  <c r="Z59" i="3"/>
  <c r="G39" i="3"/>
  <c r="D42" i="3"/>
  <c r="G42" i="3" s="1"/>
  <c r="W51" i="3"/>
  <c r="Y47" i="3"/>
  <c r="R55" i="3"/>
  <c r="AE55" i="3" l="1"/>
  <c r="AE59" i="3" s="1"/>
  <c r="AA59" i="3"/>
  <c r="R59" i="3"/>
  <c r="X60" i="3" s="1"/>
  <c r="B60" i="3" s="1"/>
  <c r="W55" i="3"/>
  <c r="W59" i="3" s="1"/>
  <c r="X52" i="3"/>
  <c r="B52" i="3" s="1"/>
  <c r="Y51" i="3"/>
</calcChain>
</file>

<file path=xl/sharedStrings.xml><?xml version="1.0" encoding="utf-8"?>
<sst xmlns="http://schemas.openxmlformats.org/spreadsheetml/2006/main" count="270" uniqueCount="90">
  <si>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</si>
  <si>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</si>
  <si>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</si>
  <si>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</si>
  <si>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</si>
  <si>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</si>
  <si>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</si>
  <si>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</si>
  <si>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</si>
  <si>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</si>
  <si>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</si>
  <si>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</si>
  <si>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</si>
  <si>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</si>
  <si>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</si>
  <si>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</si>
  <si>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</si>
  <si>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</si>
  <si>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</si>
  <si>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</si>
  <si>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</si>
  <si>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</si>
  <si>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</si>
  <si>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</si>
  <si>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</si>
  <si>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</si>
  <si>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</si>
  <si>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</si>
  <si>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</si>
  <si>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</si>
  <si>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</si>
  <si>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</si>
  <si>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</si>
  <si>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</si>
  <si>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</si>
  <si>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</si>
  <si>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</si>
  <si>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</si>
  <si>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</si>
  <si>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</si>
  <si>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</si>
  <si>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</si>
  <si>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</si>
  <si>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</si>
  <si>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</si>
  <si>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</si>
  <si>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</si>
  <si>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</si>
  <si>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</si>
  <si>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</si>
  <si>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</si>
  <si>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CHW Fixed Charges YTD 2022</t>
  </si>
  <si>
    <t>Actual YTD 2023</t>
  </si>
  <si>
    <t>CHW Fixed Charges YTD 2023</t>
  </si>
  <si>
    <t>CHW Consumption Charges (Budgeted 2023 MTD)</t>
  </si>
  <si>
    <t>CHW Consumption Charges (Actual 2022 MTD)</t>
  </si>
  <si>
    <t>CHW Consumption Charges (Actual 2023 YTD)</t>
  </si>
  <si>
    <t>CHW Consumption Charges (Budgeted 2023 YTD)</t>
  </si>
  <si>
    <t>CHW Consumption Charges (Actual 2022 YTD)</t>
  </si>
  <si>
    <t xml:space="preserve"> </t>
  </si>
  <si>
    <t>Actual March 2023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</si>
  <si>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</si>
  <si>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</si>
  <si>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</si>
  <si>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</si>
  <si>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</si>
  <si>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</si>
  <si>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</si>
  <si>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</si>
  <si>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</si>
  <si>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</si>
  <si>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</si>
  <si>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</si>
  <si>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</si>
  <si>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</si>
  <si>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</si>
  <si>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</si>
  <si>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</si>
  <si>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</si>
  <si>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</si>
  <si>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</si>
  <si>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</si>
  <si>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</si>
  <si>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</si>
  <si>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PEARL ROTANA CAPITAL CENTRE UTILITIES CONSUMPTION MARCH 2023</t>
  </si>
  <si>
    <t>Hotel Occupancy %</t>
  </si>
  <si>
    <t>Budget March 2023</t>
  </si>
  <si>
    <t>Actual March 2022</t>
  </si>
  <si>
    <t>Budget YTD 2023</t>
  </si>
  <si>
    <t>Actual YTD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</si>
</sst>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.000"/>
    <numFmt numFmtId="168" formatCode="#,##0.000000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8" fillId="0" borderId="0" applyBorder="0"/>
  </cellStyleXfs>
  <cellXfs count="26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14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19" fillId="0" borderId="0" xfId="0" applyNumberFormat="1" applyFont="1"/>
    <xf numFmtId="0" fontId="22" fillId="0" borderId="0" xfId="0" applyFont="1"/>
    <xf numFmtId="164" fontId="21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right"/>
    </xf>
    <xf numFmtId="164" fontId="19" fillId="0" borderId="0" xfId="0" applyNumberFormat="1" applyFont="1"/>
    <xf numFmtId="166" fontId="21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6" fillId="0" borderId="38" xfId="0" applyFont="1" applyBorder="1" applyAlignment="1">
      <alignment vertical="center"/>
    </xf>
    <xf numFmtId="165" fontId="18" fillId="0" borderId="39" xfId="18" applyNumberFormat="1" applyFont="1" applyBorder="1" applyAlignment="1">
      <alignment vertical="center"/>
    </xf>
    <xf numFmtId="0" fontId="16" fillId="0" borderId="40" xfId="0" applyFont="1" applyBorder="1" applyAlignment="1">
      <alignment vertical="center"/>
    </xf>
    <xf numFmtId="164" fontId="18" fillId="0" borderId="41" xfId="18" applyFont="1" applyBorder="1" applyAlignment="1">
      <alignment vertical="center"/>
    </xf>
    <xf numFmtId="164" fontId="20" fillId="0" borderId="39" xfId="18" applyFont="1" applyBorder="1" applyAlignment="1">
      <alignment horizontal="center" vertical="center"/>
    </xf>
    <xf numFmtId="166" fontId="20" fillId="0" borderId="39" xfId="20" applyNumberFormat="1" applyFont="1" applyBorder="1" applyAlignment="1">
      <alignment horizontal="center" vertical="center"/>
    </xf>
    <xf numFmtId="166" fontId="20" fillId="0" borderId="41" xfId="20" applyNumberFormat="1" applyFont="1" applyBorder="1" applyAlignment="1">
      <alignment horizontal="center" vertical="center"/>
    </xf>
    <xf numFmtId="4" fontId="19" fillId="0" borderId="38" xfId="0" applyNumberFormat="1" applyFont="1" applyBorder="1" applyAlignment="1">
      <alignment horizontal="center" vertical="center"/>
    </xf>
    <xf numFmtId="4" fontId="19" fillId="0" borderId="39" xfId="0" applyNumberFormat="1" applyFont="1" applyBorder="1" applyAlignment="1">
      <alignment horizontal="center" vertical="center"/>
    </xf>
    <xf numFmtId="4" fontId="19" fillId="0" borderId="40" xfId="0" applyNumberFormat="1" applyFont="1" applyBorder="1" applyAlignment="1">
      <alignment horizontal="center" vertical="center"/>
    </xf>
    <xf numFmtId="4" fontId="19" fillId="0" borderId="41" xfId="0" applyNumberFormat="1" applyFont="1" applyBorder="1" applyAlignment="1">
      <alignment horizontal="center" vertical="center"/>
    </xf>
    <xf numFmtId="4" fontId="19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0" fontId="8" fillId="0" borderId="0" xfId="0" applyFont="1"/>
    <xf numFmtId="2" fontId="3" fillId="0" borderId="26" xfId="0" applyNumberFormat="1" applyFont="1" applyBorder="1" applyAlignment="1">
      <alignment horizontal="center" vertical="center"/>
    </xf>
    <xf numFmtId="2" fontId="3" fillId="6" borderId="26" xfId="0" applyNumberFormat="1" applyFont="1" applyFill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3" fillId="0" borderId="5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3" borderId="23" xfId="0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14" fontId="0" fillId="0" borderId="58" xfId="0" applyNumberFormat="1" applyBorder="1" applyAlignment="1">
      <alignment horizontal="center" vertical="center"/>
    </xf>
    <xf numFmtId="1" fontId="26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43" fontId="19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3" fillId="6" borderId="0" xfId="0" applyFont="1" applyFill="1" applyAlignment="1">
      <alignment vertical="center"/>
    </xf>
    <xf numFmtId="0" fontId="8" fillId="6" borderId="0" xfId="0" applyFont="1" applyFill="1"/>
    <xf numFmtId="0" fontId="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4" fontId="23" fillId="6" borderId="26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2" fontId="20" fillId="0" borderId="39" xfId="20" applyNumberFormat="1" applyFont="1" applyBorder="1" applyAlignment="1">
      <alignment horizontal="right" vertical="center"/>
    </xf>
    <xf numFmtId="166" fontId="20" fillId="0" borderId="39" xfId="20" applyNumberFormat="1" applyFont="1" applyBorder="1" applyAlignment="1">
      <alignment horizontal="right" vertical="center"/>
    </xf>
    <xf numFmtId="166" fontId="20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20" fillId="0" borderId="41" xfId="18" applyFont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7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7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9" fontId="0" fillId="0" borderId="65" xfId="1" applyFont="1" applyBorder="1" applyAlignment="1">
      <alignment horizontal="center" vertical="center"/>
    </xf>
    <xf numFmtId="9" fontId="0" fillId="0" borderId="25" xfId="0" applyNumberFormat="1" applyBorder="1" applyAlignment="1">
      <alignment horizontal="center" vertical="center"/>
    </xf>
    <xf numFmtId="9" fontId="0" fillId="0" borderId="25" xfId="1" applyFont="1" applyBorder="1" applyAlignment="1">
      <alignment horizontal="center" vertical="center"/>
    </xf>
    <xf numFmtId="9" fontId="27" fillId="0" borderId="25" xfId="0" applyNumberFormat="1" applyFont="1" applyBorder="1" applyAlignment="1">
      <alignment horizontal="center" vertical="center"/>
    </xf>
    <xf numFmtId="9" fontId="0" fillId="6" borderId="25" xfId="0" applyNumberForma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14" fontId="2" fillId="0" borderId="70" xfId="0" applyNumberFormat="1" applyFont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3" fillId="0" borderId="12" xfId="0" applyFont="1" applyBorder="1" applyAlignment="1">
      <alignment vertical="center"/>
    </xf>
    <xf numFmtId="0" fontId="0" fillId="0" borderId="62" xfId="0" applyBorder="1"/>
    <xf numFmtId="168" fontId="8" fillId="0" borderId="62" xfId="0" applyNumberFormat="1" applyFont="1" applyBorder="1"/>
    <xf numFmtId="0" fontId="8" fillId="6" borderId="62" xfId="0" applyFont="1" applyFill="1" applyBorder="1"/>
    <xf numFmtId="0" fontId="0" fillId="0" borderId="62" xfId="0" applyBorder="1" applyAlignment="1">
      <alignment horizontal="center"/>
    </xf>
    <xf numFmtId="43" fontId="19" fillId="0" borderId="64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6" fillId="0" borderId="40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164" fontId="20" fillId="0" borderId="43" xfId="18" applyFont="1" applyBorder="1" applyAlignment="1">
      <alignment horizontal="center" vertical="center"/>
    </xf>
    <xf numFmtId="164" fontId="20" fillId="0" borderId="41" xfId="18" applyFont="1" applyBorder="1" applyAlignment="1">
      <alignment horizontal="center" vertical="center"/>
    </xf>
    <xf numFmtId="164" fontId="18" fillId="0" borderId="43" xfId="18" applyFont="1" applyBorder="1" applyAlignment="1">
      <alignment horizontal="center" vertical="center"/>
    </xf>
    <xf numFmtId="164" fontId="18" fillId="0" borderId="41" xfId="18" applyFont="1" applyBorder="1" applyAlignment="1">
      <alignment horizontal="center" vertical="center"/>
    </xf>
    <xf numFmtId="3" fontId="19" fillId="0" borderId="0" xfId="0" applyNumberFormat="1" applyFont="1" applyAlignment="1">
      <alignment horizontal="right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3" fontId="8" fillId="0" borderId="26" xfId="0" applyNumberFormat="1" applyFont="1" applyBorder="1" applyAlignment="1">
      <alignment horizontal="center" vertical="center"/>
    </xf>
    <xf numFmtId="3" fontId="8" fillId="0" borderId="27" xfId="0" applyNumberFormat="1" applyFont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/>
    </xf>
    <xf numFmtId="164" fontId="18" fillId="0" borderId="26" xfId="18" applyFont="1" applyBorder="1" applyAlignment="1">
      <alignment horizontal="center" vertical="center"/>
    </xf>
    <xf numFmtId="164" fontId="18" fillId="0" borderId="39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164" fontId="20" fillId="0" borderId="31" xfId="18" applyFont="1" applyBorder="1" applyAlignment="1">
      <alignment horizontal="center" vertical="center"/>
    </xf>
    <xf numFmtId="164" fontId="20" fillId="0" borderId="48" xfId="18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164" fontId="20" fillId="0" borderId="26" xfId="18" applyFont="1" applyBorder="1" applyAlignment="1">
      <alignment horizontal="center" vertical="center"/>
    </xf>
    <xf numFmtId="164" fontId="20" fillId="0" borderId="39" xfId="18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14" fontId="17" fillId="0" borderId="36" xfId="0" applyNumberFormat="1" applyFont="1" applyBorder="1" applyAlignment="1">
      <alignment horizontal="center" vertical="center"/>
    </xf>
    <xf numFmtId="14" fontId="17" fillId="0" borderId="42" xfId="0" applyNumberFormat="1" applyFont="1" applyBorder="1" applyAlignment="1">
      <alignment horizontal="center" vertical="center"/>
    </xf>
    <xf numFmtId="14" fontId="17" fillId="0" borderId="37" xfId="0" applyNumberFormat="1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4" fillId="4" borderId="22" xfId="0" applyFont="1" applyFill="1" applyBorder="1" applyAlignment="1">
      <alignment horizontal="center" vertical="center"/>
    </xf>
    <xf numFmtId="0" fontId="24" fillId="4" borderId="23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4" fontId="8" fillId="6" borderId="26" xfId="0" applyNumberFormat="1" applyFont="1" applyFill="1" applyBorder="1" applyAlignment="1">
      <alignment horizontal="center" vertical="center"/>
    </xf>
    <xf numFmtId="4" fontId="23" fillId="6" borderId="26" xfId="0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3" fillId="6" borderId="26" xfId="18" applyNumberFormat="1" applyFont="1" applyFill="1" applyBorder="1" applyAlignment="1">
      <alignment horizontal="center" vertical="center"/>
    </xf>
    <xf numFmtId="0" fontId="24" fillId="4" borderId="2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6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4" fontId="8" fillId="6" borderId="29" xfId="0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164" fontId="20" fillId="0" borderId="56" xfId="18" applyFont="1" applyBorder="1" applyAlignment="1">
      <alignment horizontal="center" vertical="center"/>
    </xf>
    <xf numFmtId="164" fontId="20" fillId="0" borderId="57" xfId="18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14" fontId="0" fillId="0" borderId="0" xfId="0" applyNumberFormat="1" applyAlignment="1">
      <alignment horizontal="right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4" fillId="3" borderId="24" xfId="0" applyFont="1" applyFill="1" applyBorder="1" applyAlignment="1">
      <alignment horizontal="center" vertical="center"/>
    </xf>
    <xf numFmtId="0" fontId="24" fillId="7" borderId="22" xfId="0" applyFont="1" applyFill="1" applyBorder="1" applyAlignment="1">
      <alignment horizontal="center" vertical="center"/>
    </xf>
    <xf numFmtId="0" fontId="24" fillId="7" borderId="23" xfId="0" applyFont="1" applyFill="1" applyBorder="1" applyAlignment="1">
      <alignment horizontal="center" vertical="center"/>
    </xf>
    <xf numFmtId="14" fontId="29" fillId="6" borderId="21" xfId="0" applyNumberFormat="1" applyFont="1" applyFill="1" applyBorder="1" applyAlignment="1">
      <alignment horizontal="center" vertical="center"/>
    </xf>
    <xf numFmtId="14" fontId="30" fillId="6" borderId="16" xfId="0" applyNumberFormat="1" applyFont="1" applyFill="1" applyBorder="1" applyAlignment="1">
      <alignment horizontal="center" vertical="center"/>
    </xf>
    <xf numFmtId="14" fontId="30" fillId="6" borderId="17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4" fillId="7" borderId="24" xfId="0" applyFont="1" applyFill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topLeftCell="C24" workbookViewId="0">
      <selection activeCell="J2" sqref="J2:J32"/>
    </sheetView>
  </sheetViews>
  <sheetFormatPr defaultColWidth="11.59765625" defaultRowHeight="14.25" x14ac:dyDescent="0.45"/>
  <cols>
    <col min="1" max="1" width="23" style="2" customWidth="1"/>
    <col min="2" max="2" width="11.59765625" style="2"/>
    <col min="3" max="3" width="11.59765625" style="115"/>
    <col min="4" max="4" width="13.3984375" style="2" customWidth="1"/>
    <col min="5" max="5" width="12.59765625" style="2" customWidth="1"/>
    <col min="6" max="6" width="12.59765625" style="119" customWidth="1"/>
    <col min="7" max="7" width="11.59765625" style="2"/>
    <col min="8" max="8" width="11.59765625" style="119"/>
    <col min="9" max="9" width="11.59765625" style="2"/>
    <col min="10" max="10" width="11.59765625" style="116"/>
    <col min="11" max="11" width="11.59765625" style="118"/>
    <col min="12" max="12" width="11.59765625" style="116"/>
    <col min="13" max="13" width="11.59765625" style="9"/>
    <col min="14" max="16384" width="11.59765625" style="2"/>
  </cols>
  <sheetData>
    <row r="1" spans="1:15" s="114" customFormat="1" ht="57.4" thickBot="1" x14ac:dyDescent="0.5">
      <c r="A1" s="152" t="s">
        <v>61</v>
      </c>
      <c r="B1" s="152" t="s">
        <v>62</v>
      </c>
      <c r="C1" s="153" t="s">
        <v>63</v>
      </c>
      <c r="D1" s="152" t="s">
        <v>64</v>
      </c>
      <c r="E1" s="126" t="s">
        <v>65</v>
      </c>
      <c r="F1" s="127" t="s">
        <v>66</v>
      </c>
      <c r="G1" s="126" t="s">
        <v>82</v>
      </c>
      <c r="H1" s="127" t="s">
        <v>83</v>
      </c>
      <c r="I1" s="128" t="s">
        <v>80</v>
      </c>
      <c r="J1" s="129" t="s">
        <v>81</v>
      </c>
      <c r="K1" s="130" t="s">
        <v>67</v>
      </c>
      <c r="L1" s="131" t="s">
        <v>68</v>
      </c>
      <c r="M1" s="132" t="s">
        <v>69</v>
      </c>
      <c r="N1" s="126" t="s">
        <v>70</v>
      </c>
    </row>
    <row r="2" spans="1:15" x14ac:dyDescent="0.45">
      <c r="A2" s="125" t="s">
        <v>71</v>
      </c>
      <c r="B2" s="2">
        <v>1</v>
      </c>
      <c r="C2" s="115">
        <v>3</v>
      </c>
      <c r="D2" s="2">
        <v>2023</v>
      </c>
      <c r="E2" s="9">
        <f>Submetering!E2+Submetering!F2+Submetering!G2</f>
        <v>15740</v>
      </c>
      <c r="F2" s="116">
        <v>0.2</v>
      </c>
      <c r="G2" s="9">
        <f>Submetering!I2+Submetering!J2</f>
        <v>25</v>
      </c>
      <c r="H2" s="117">
        <v>12.61</v>
      </c>
      <c r="I2" s="9">
        <f>Submetering!H2</f>
        <v>79</v>
      </c>
      <c r="J2" s="116">
        <v>7.84</v>
      </c>
      <c r="K2" s="118">
        <f>Submetering!K2</f>
        <v>6539.9350000000004</v>
      </c>
      <c r="L2" s="116">
        <v>1.1399999999999999</v>
      </c>
      <c r="M2" s="9">
        <f>'Mar 2023'!AD5*315</f>
        <v>235.99799999999999</v>
      </c>
      <c r="N2" s="2" t="s">
        <v>59</v>
      </c>
      <c r="O2" s="114"/>
    </row>
    <row r="3" spans="1:15" x14ac:dyDescent="0.45">
      <c r="A3" s="125" t="s">
        <v>71</v>
      </c>
      <c r="B3" s="2">
        <f t="shared" ref="B3:B32" si="0">B2+1</f>
        <v>2</v>
      </c>
      <c r="C3" s="115">
        <v>3</v>
      </c>
      <c r="D3" s="2">
        <v>2023</v>
      </c>
      <c r="E3" s="9">
        <f>Submetering!E3+Submetering!F3+Submetering!G3</f>
        <v>16086</v>
      </c>
      <c r="F3" s="116">
        <v>0.2</v>
      </c>
      <c r="G3" s="9">
        <f>Submetering!I3+Submetering!J3</f>
        <v>29</v>
      </c>
      <c r="H3" s="117">
        <v>12.61</v>
      </c>
      <c r="I3" s="9">
        <f>Submetering!H3</f>
        <v>101</v>
      </c>
      <c r="J3" s="116">
        <v>7.84</v>
      </c>
      <c r="K3" s="118">
        <f>Submetering!K3</f>
        <v>6824.2800000000007</v>
      </c>
      <c r="L3" s="116">
        <v>1.1399999999999999</v>
      </c>
      <c r="M3" s="9">
        <f>'Mar 2023'!AD6*315</f>
        <v>257.00849999999997</v>
      </c>
      <c r="N3" s="2" t="s">
        <v>59</v>
      </c>
      <c r="O3" s="114"/>
    </row>
    <row r="4" spans="1:15" x14ac:dyDescent="0.45">
      <c r="A4" s="125" t="s">
        <v>71</v>
      </c>
      <c r="B4" s="2">
        <f t="shared" si="0"/>
        <v>3</v>
      </c>
      <c r="C4" s="115">
        <v>3</v>
      </c>
      <c r="D4" s="2">
        <v>2023</v>
      </c>
      <c r="E4" s="9">
        <f>Submetering!E4+Submetering!F4+Submetering!G4</f>
        <v>16145</v>
      </c>
      <c r="F4" s="116">
        <v>0.2</v>
      </c>
      <c r="G4" s="9">
        <f>Submetering!I4+Submetering!J4</f>
        <v>30</v>
      </c>
      <c r="H4" s="117">
        <v>12.61</v>
      </c>
      <c r="I4" s="9">
        <f>Submetering!H4</f>
        <v>97</v>
      </c>
      <c r="J4" s="116">
        <v>7.84</v>
      </c>
      <c r="K4" s="118">
        <f>Submetering!K4</f>
        <v>6824.2800000000007</v>
      </c>
      <c r="L4" s="116">
        <v>1.1399999999999999</v>
      </c>
      <c r="M4" s="9">
        <f>'Mar 2023'!AD7*315</f>
        <v>315</v>
      </c>
      <c r="N4" s="2" t="s">
        <v>59</v>
      </c>
      <c r="O4" s="114"/>
    </row>
    <row r="5" spans="1:15" x14ac:dyDescent="0.45">
      <c r="A5" s="125" t="s">
        <v>71</v>
      </c>
      <c r="B5" s="2">
        <f t="shared" si="0"/>
        <v>4</v>
      </c>
      <c r="C5" s="115">
        <v>3</v>
      </c>
      <c r="D5" s="2">
        <v>2023</v>
      </c>
      <c r="E5" s="9">
        <f>Submetering!E5+Submetering!F5+Submetering!G5</f>
        <v>16352</v>
      </c>
      <c r="F5" s="116">
        <v>0.2</v>
      </c>
      <c r="G5" s="9">
        <f>Submetering!I5+Submetering!J5</f>
        <v>28</v>
      </c>
      <c r="H5" s="117">
        <v>12.61</v>
      </c>
      <c r="I5" s="9">
        <f>Submetering!H5</f>
        <v>96</v>
      </c>
      <c r="J5" s="116">
        <v>7.84</v>
      </c>
      <c r="K5" s="118">
        <f>Submetering!K5</f>
        <v>6824.2800000000007</v>
      </c>
      <c r="L5" s="116">
        <v>1.1399999999999999</v>
      </c>
      <c r="M5" s="9">
        <f>'Mar 2023'!AD8*315</f>
        <v>315</v>
      </c>
      <c r="N5" s="2" t="s">
        <v>59</v>
      </c>
      <c r="O5" s="114"/>
    </row>
    <row r="6" spans="1:15" x14ac:dyDescent="0.45">
      <c r="A6" s="125" t="s">
        <v>71</v>
      </c>
      <c r="B6" s="2">
        <f t="shared" si="0"/>
        <v>5</v>
      </c>
      <c r="C6" s="115">
        <v>3</v>
      </c>
      <c r="D6" s="2">
        <v>2023</v>
      </c>
      <c r="E6" s="9">
        <f>Submetering!E6+Submetering!F6+Submetering!G6</f>
        <v>15573</v>
      </c>
      <c r="F6" s="116">
        <v>0.2</v>
      </c>
      <c r="G6" s="9">
        <f>Submetering!I6+Submetering!J6</f>
        <v>26</v>
      </c>
      <c r="H6" s="117">
        <v>12.61</v>
      </c>
      <c r="I6" s="9">
        <f>Submetering!H6</f>
        <v>126</v>
      </c>
      <c r="J6" s="116">
        <v>7.84</v>
      </c>
      <c r="K6" s="118">
        <f>Submetering!K6</f>
        <v>6255.59</v>
      </c>
      <c r="L6" s="116">
        <v>1.1399999999999999</v>
      </c>
      <c r="M6" s="9">
        <f>'Mar 2023'!AD9*315</f>
        <v>285.98849999999999</v>
      </c>
      <c r="N6" s="2" t="s">
        <v>59</v>
      </c>
      <c r="O6" s="114"/>
    </row>
    <row r="7" spans="1:15" x14ac:dyDescent="0.45">
      <c r="A7" s="125" t="s">
        <v>71</v>
      </c>
      <c r="B7" s="2">
        <f t="shared" si="0"/>
        <v>6</v>
      </c>
      <c r="C7" s="115">
        <v>3</v>
      </c>
      <c r="D7" s="2">
        <v>2023</v>
      </c>
      <c r="E7" s="9">
        <f>Submetering!E7+Submetering!F7+Submetering!G7</f>
        <v>16431</v>
      </c>
      <c r="F7" s="116">
        <v>0.2</v>
      </c>
      <c r="G7" s="9">
        <f>Submetering!I7+Submetering!J7</f>
        <v>28</v>
      </c>
      <c r="H7" s="117">
        <v>12.61</v>
      </c>
      <c r="I7" s="9">
        <f>Submetering!H7</f>
        <v>93</v>
      </c>
      <c r="J7" s="116">
        <v>7.84</v>
      </c>
      <c r="K7" s="118">
        <f>Submetering!K7</f>
        <v>6255.59</v>
      </c>
      <c r="L7" s="116">
        <v>1.1399999999999999</v>
      </c>
      <c r="M7" s="9">
        <f>'Mar 2023'!AD10*315</f>
        <v>246.01500000000001</v>
      </c>
      <c r="N7" s="2" t="s">
        <v>59</v>
      </c>
    </row>
    <row r="8" spans="1:15" x14ac:dyDescent="0.45">
      <c r="A8" s="125" t="s">
        <v>71</v>
      </c>
      <c r="B8" s="2">
        <f t="shared" si="0"/>
        <v>7</v>
      </c>
      <c r="C8" s="115">
        <v>3</v>
      </c>
      <c r="D8" s="2">
        <v>2023</v>
      </c>
      <c r="E8" s="9">
        <f>Submetering!E8+Submetering!F8+Submetering!G8</f>
        <v>15717</v>
      </c>
      <c r="F8" s="116">
        <v>0.2</v>
      </c>
      <c r="G8" s="9">
        <f>Submetering!I8+Submetering!J8</f>
        <v>27</v>
      </c>
      <c r="H8" s="117">
        <v>12.61</v>
      </c>
      <c r="I8" s="9">
        <f>Submetering!H8</f>
        <v>108</v>
      </c>
      <c r="J8" s="116">
        <v>7.84</v>
      </c>
      <c r="K8" s="118">
        <f>Submetering!K8</f>
        <v>5971.2450000000008</v>
      </c>
      <c r="L8" s="116">
        <v>1.1399999999999999</v>
      </c>
      <c r="M8" s="9">
        <f>'Mar 2023'!AD11*315</f>
        <v>253.9845</v>
      </c>
      <c r="N8" s="2" t="s">
        <v>59</v>
      </c>
    </row>
    <row r="9" spans="1:15" x14ac:dyDescent="0.45">
      <c r="A9" s="125" t="s">
        <v>71</v>
      </c>
      <c r="B9" s="2">
        <f t="shared" si="0"/>
        <v>8</v>
      </c>
      <c r="C9" s="115">
        <v>3</v>
      </c>
      <c r="D9" s="2">
        <v>2023</v>
      </c>
      <c r="E9" s="9">
        <f>Submetering!E9+Submetering!F9+Submetering!G9</f>
        <v>16114</v>
      </c>
      <c r="F9" s="116">
        <v>0.2</v>
      </c>
      <c r="G9" s="9">
        <f>Submetering!I9+Submetering!J9</f>
        <v>28</v>
      </c>
      <c r="H9" s="117">
        <v>12.61</v>
      </c>
      <c r="I9" s="9">
        <f>Submetering!H9</f>
        <v>92</v>
      </c>
      <c r="J9" s="116">
        <v>7.84</v>
      </c>
      <c r="K9" s="118">
        <f>Submetering!K9</f>
        <v>6539.9350000000004</v>
      </c>
      <c r="L9" s="116">
        <v>1.1399999999999999</v>
      </c>
      <c r="M9" s="9">
        <f>'Mar 2023'!AD12*315</f>
        <v>253.00800000000001</v>
      </c>
      <c r="N9" s="2" t="s">
        <v>59</v>
      </c>
    </row>
    <row r="10" spans="1:15" x14ac:dyDescent="0.45">
      <c r="A10" s="125" t="s">
        <v>71</v>
      </c>
      <c r="B10" s="2">
        <f t="shared" si="0"/>
        <v>9</v>
      </c>
      <c r="C10" s="115">
        <v>3</v>
      </c>
      <c r="D10" s="2">
        <v>2023</v>
      </c>
      <c r="E10" s="9">
        <f>Submetering!E10+Submetering!F10+Submetering!G10</f>
        <v>16308</v>
      </c>
      <c r="F10" s="116">
        <v>0.2</v>
      </c>
      <c r="G10" s="9">
        <f>Submetering!I10+Submetering!J10</f>
        <v>33</v>
      </c>
      <c r="H10" s="117">
        <v>12.61</v>
      </c>
      <c r="I10" s="9">
        <f>Submetering!H10</f>
        <v>89</v>
      </c>
      <c r="J10" s="116">
        <v>7.84</v>
      </c>
      <c r="K10" s="118">
        <f>Submetering!K10</f>
        <v>6539.9350000000004</v>
      </c>
      <c r="L10" s="116">
        <v>1.1399999999999999</v>
      </c>
      <c r="M10" s="9">
        <f>'Mar 2023'!AD13*315</f>
        <v>219.99600000000001</v>
      </c>
      <c r="N10" s="2" t="s">
        <v>59</v>
      </c>
    </row>
    <row r="11" spans="1:15" x14ac:dyDescent="0.45">
      <c r="A11" s="125" t="s">
        <v>71</v>
      </c>
      <c r="B11" s="2">
        <f t="shared" si="0"/>
        <v>10</v>
      </c>
      <c r="C11" s="115">
        <v>3</v>
      </c>
      <c r="D11" s="2">
        <v>2023</v>
      </c>
      <c r="E11" s="9">
        <f>Submetering!E11+Submetering!F11+Submetering!G11</f>
        <v>16082</v>
      </c>
      <c r="F11" s="116">
        <v>0.2</v>
      </c>
      <c r="G11" s="9">
        <f>Submetering!I11+Submetering!J11</f>
        <v>29</v>
      </c>
      <c r="H11" s="117">
        <v>12.61</v>
      </c>
      <c r="I11" s="9">
        <f>Submetering!H11</f>
        <v>90</v>
      </c>
      <c r="J11" s="116">
        <v>7.84</v>
      </c>
      <c r="K11" s="118">
        <f>Submetering!K11</f>
        <v>6539.9350000000004</v>
      </c>
      <c r="L11" s="116">
        <v>1.1399999999999999</v>
      </c>
      <c r="M11" s="9">
        <f>'Mar 2023'!AD14*315</f>
        <v>211.995</v>
      </c>
      <c r="N11" s="2" t="s">
        <v>59</v>
      </c>
    </row>
    <row r="12" spans="1:15" x14ac:dyDescent="0.45">
      <c r="A12" s="125" t="s">
        <v>71</v>
      </c>
      <c r="B12" s="2">
        <f t="shared" si="0"/>
        <v>11</v>
      </c>
      <c r="C12" s="115">
        <v>3</v>
      </c>
      <c r="D12" s="2">
        <v>2023</v>
      </c>
      <c r="E12" s="9">
        <f>Submetering!E12+Submetering!F12+Submetering!G12</f>
        <v>15602</v>
      </c>
      <c r="F12" s="116">
        <v>0.2</v>
      </c>
      <c r="G12" s="9">
        <f>Submetering!I12+Submetering!J12</f>
        <v>26</v>
      </c>
      <c r="H12" s="117">
        <v>12.61</v>
      </c>
      <c r="I12" s="9">
        <f>Submetering!H12</f>
        <v>94</v>
      </c>
      <c r="J12" s="116">
        <v>7.84</v>
      </c>
      <c r="K12" s="118">
        <f>Submetering!K12</f>
        <v>6539.9350000000004</v>
      </c>
      <c r="L12" s="116">
        <v>1.1399999999999999</v>
      </c>
      <c r="M12" s="9">
        <f>'Mar 2023'!AD15*315</f>
        <v>213.00300000000001</v>
      </c>
      <c r="N12" s="2" t="s">
        <v>59</v>
      </c>
    </row>
    <row r="13" spans="1:15" x14ac:dyDescent="0.45">
      <c r="A13" s="125" t="s">
        <v>71</v>
      </c>
      <c r="B13" s="2">
        <f t="shared" si="0"/>
        <v>12</v>
      </c>
      <c r="C13" s="115">
        <v>3</v>
      </c>
      <c r="D13" s="2">
        <v>2023</v>
      </c>
      <c r="E13" s="9">
        <f>Submetering!E13+Submetering!F13+Submetering!G13</f>
        <v>15391</v>
      </c>
      <c r="F13" s="116">
        <v>0.2</v>
      </c>
      <c r="G13" s="9">
        <f>Submetering!I13+Submetering!J13</f>
        <v>26</v>
      </c>
      <c r="H13" s="117">
        <v>12.61</v>
      </c>
      <c r="I13" s="9">
        <f>Submetering!H13</f>
        <v>103</v>
      </c>
      <c r="J13" s="116">
        <v>7.84</v>
      </c>
      <c r="K13" s="118">
        <f>Submetering!K13</f>
        <v>6539.9350000000004</v>
      </c>
      <c r="L13" s="116">
        <v>1.1399999999999999</v>
      </c>
      <c r="M13" s="9">
        <f>'Mar 2023'!AD16*315</f>
        <v>215.99549999999999</v>
      </c>
      <c r="N13" s="2" t="s">
        <v>59</v>
      </c>
    </row>
    <row r="14" spans="1:15" x14ac:dyDescent="0.45">
      <c r="A14" s="125" t="s">
        <v>71</v>
      </c>
      <c r="B14" s="2">
        <f t="shared" si="0"/>
        <v>13</v>
      </c>
      <c r="C14" s="115">
        <v>3</v>
      </c>
      <c r="D14" s="2">
        <v>2023</v>
      </c>
      <c r="E14" s="9">
        <f>Submetering!E14+Submetering!F14+Submetering!G14</f>
        <v>15959</v>
      </c>
      <c r="F14" s="116">
        <v>0.2</v>
      </c>
      <c r="G14" s="9">
        <f>Submetering!I14+Submetering!J14</f>
        <v>28</v>
      </c>
      <c r="H14" s="117">
        <v>12.61</v>
      </c>
      <c r="I14" s="9">
        <f>Submetering!H14</f>
        <v>103</v>
      </c>
      <c r="J14" s="116">
        <v>7.84</v>
      </c>
      <c r="K14" s="118">
        <f>Submetering!K14</f>
        <v>6824.2800000000007</v>
      </c>
      <c r="L14" s="116">
        <v>1.1399999999999999</v>
      </c>
      <c r="M14" s="9">
        <f>'Mar 2023'!AD17*315</f>
        <v>269.01</v>
      </c>
      <c r="N14" s="2" t="s">
        <v>59</v>
      </c>
    </row>
    <row r="15" spans="1:15" x14ac:dyDescent="0.45">
      <c r="A15" s="125" t="s">
        <v>71</v>
      </c>
      <c r="B15" s="2">
        <f t="shared" si="0"/>
        <v>14</v>
      </c>
      <c r="C15" s="115">
        <v>3</v>
      </c>
      <c r="D15" s="2">
        <v>2023</v>
      </c>
      <c r="E15" s="9">
        <f>Submetering!E15+Submetering!F15+Submetering!G15</f>
        <v>15659</v>
      </c>
      <c r="F15" s="116">
        <v>0.2</v>
      </c>
      <c r="G15" s="9">
        <f>Submetering!I15+Submetering!J15</f>
        <v>27</v>
      </c>
      <c r="H15" s="117">
        <v>12.61</v>
      </c>
      <c r="I15" s="9">
        <f>Submetering!H15</f>
        <v>99</v>
      </c>
      <c r="J15" s="116">
        <v>7.84</v>
      </c>
      <c r="K15" s="118">
        <f>Submetering!K15</f>
        <v>7392.9700000000012</v>
      </c>
      <c r="L15" s="116">
        <v>1.1399999999999999</v>
      </c>
      <c r="M15" s="9">
        <f>'Mar 2023'!AD18*315</f>
        <v>280.00350000000003</v>
      </c>
      <c r="N15" s="2" t="s">
        <v>59</v>
      </c>
    </row>
    <row r="16" spans="1:15" x14ac:dyDescent="0.45">
      <c r="A16" s="125" t="s">
        <v>71</v>
      </c>
      <c r="B16" s="2">
        <f t="shared" si="0"/>
        <v>15</v>
      </c>
      <c r="C16" s="115">
        <v>3</v>
      </c>
      <c r="D16" s="2">
        <v>2023</v>
      </c>
      <c r="E16" s="9">
        <f>Submetering!E16+Submetering!F16+Submetering!G16</f>
        <v>15594</v>
      </c>
      <c r="F16" s="116">
        <v>0.2</v>
      </c>
      <c r="G16" s="9">
        <f>Submetering!I16+Submetering!J16</f>
        <v>28</v>
      </c>
      <c r="H16" s="117">
        <v>12.61</v>
      </c>
      <c r="I16" s="9">
        <f>Submetering!H16</f>
        <v>98</v>
      </c>
      <c r="J16" s="116">
        <v>7.84</v>
      </c>
      <c r="K16" s="118">
        <f>Submetering!K16</f>
        <v>7392.9700000000012</v>
      </c>
      <c r="L16" s="116">
        <v>1.1399999999999999</v>
      </c>
      <c r="M16" s="9">
        <f>'Mar 2023'!AD19*315</f>
        <v>282.99599999999998</v>
      </c>
      <c r="N16" s="2" t="s">
        <v>59</v>
      </c>
    </row>
    <row r="17" spans="1:14" x14ac:dyDescent="0.45">
      <c r="A17" s="125" t="s">
        <v>71</v>
      </c>
      <c r="B17" s="2">
        <f t="shared" si="0"/>
        <v>16</v>
      </c>
      <c r="C17" s="115">
        <v>3</v>
      </c>
      <c r="D17" s="2">
        <v>2023</v>
      </c>
      <c r="E17" s="9">
        <f>Submetering!E17+Submetering!F17+Submetering!G17</f>
        <v>15597</v>
      </c>
      <c r="F17" s="116">
        <v>0.2</v>
      </c>
      <c r="G17" s="9">
        <f>Submetering!I17+Submetering!J17</f>
        <v>30</v>
      </c>
      <c r="H17" s="117">
        <v>12.61</v>
      </c>
      <c r="I17" s="9">
        <f>Submetering!H17</f>
        <v>106</v>
      </c>
      <c r="J17" s="116">
        <v>7.84</v>
      </c>
      <c r="K17" s="118">
        <f>Submetering!K17</f>
        <v>7108.6250000000009</v>
      </c>
      <c r="L17" s="116">
        <v>1.1399999999999999</v>
      </c>
      <c r="M17" s="9">
        <f>'Mar 2023'!AD20*315</f>
        <v>264.00149999999996</v>
      </c>
      <c r="N17" s="2" t="s">
        <v>59</v>
      </c>
    </row>
    <row r="18" spans="1:14" x14ac:dyDescent="0.45">
      <c r="A18" s="125" t="s">
        <v>71</v>
      </c>
      <c r="B18" s="2">
        <f t="shared" si="0"/>
        <v>17</v>
      </c>
      <c r="C18" s="115">
        <v>3</v>
      </c>
      <c r="D18" s="2">
        <v>2023</v>
      </c>
      <c r="E18" s="9">
        <f>Submetering!E18+Submetering!F18+Submetering!G18</f>
        <v>15972</v>
      </c>
      <c r="F18" s="116">
        <v>0.2</v>
      </c>
      <c r="G18" s="9">
        <f>Submetering!I18+Submetering!J18</f>
        <v>30</v>
      </c>
      <c r="H18" s="117">
        <v>12.61</v>
      </c>
      <c r="I18" s="9">
        <f>Submetering!H18</f>
        <v>113</v>
      </c>
      <c r="J18" s="116">
        <v>7.84</v>
      </c>
      <c r="K18" s="118">
        <f>Submetering!K18</f>
        <v>6824.2800000000007</v>
      </c>
      <c r="L18" s="116">
        <v>1.1399999999999999</v>
      </c>
      <c r="M18" s="9">
        <f>'Mar 2023'!AD21*315</f>
        <v>179.0145</v>
      </c>
      <c r="N18" s="2" t="s">
        <v>59</v>
      </c>
    </row>
    <row r="19" spans="1:14" x14ac:dyDescent="0.45">
      <c r="A19" s="125" t="s">
        <v>71</v>
      </c>
      <c r="B19" s="2">
        <f t="shared" si="0"/>
        <v>18</v>
      </c>
      <c r="C19" s="115">
        <v>3</v>
      </c>
      <c r="D19" s="2">
        <v>2023</v>
      </c>
      <c r="E19" s="9">
        <f>Submetering!E19+Submetering!F19+Submetering!G19</f>
        <v>15699</v>
      </c>
      <c r="F19" s="116">
        <v>0.2</v>
      </c>
      <c r="G19" s="9">
        <f>Submetering!I19+Submetering!J19</f>
        <v>29</v>
      </c>
      <c r="H19" s="117">
        <v>12.61</v>
      </c>
      <c r="I19" s="9">
        <f>Submetering!H19</f>
        <v>76</v>
      </c>
      <c r="J19" s="116">
        <v>7.84</v>
      </c>
      <c r="K19" s="118">
        <f>Submetering!K19</f>
        <v>6255.59</v>
      </c>
      <c r="L19" s="116">
        <v>1.1399999999999999</v>
      </c>
      <c r="M19" s="9">
        <f>'Mar 2023'!AD22*315</f>
        <v>167.98949999999999</v>
      </c>
      <c r="N19" s="2" t="s">
        <v>59</v>
      </c>
    </row>
    <row r="20" spans="1:14" x14ac:dyDescent="0.45">
      <c r="A20" s="125" t="s">
        <v>71</v>
      </c>
      <c r="B20" s="2">
        <f t="shared" si="0"/>
        <v>19</v>
      </c>
      <c r="C20" s="115">
        <v>3</v>
      </c>
      <c r="D20" s="2">
        <v>2023</v>
      </c>
      <c r="E20" s="9">
        <f>Submetering!E20+Submetering!F20+Submetering!G20</f>
        <v>15331</v>
      </c>
      <c r="F20" s="116">
        <v>0.2</v>
      </c>
      <c r="G20" s="9">
        <f>Submetering!I20+Submetering!J20</f>
        <v>26</v>
      </c>
      <c r="H20" s="117">
        <v>12.61</v>
      </c>
      <c r="I20" s="9">
        <f>Submetering!H20</f>
        <v>84</v>
      </c>
      <c r="J20" s="116">
        <v>7.84</v>
      </c>
      <c r="K20" s="118">
        <f>Submetering!K20</f>
        <v>5686.9000000000005</v>
      </c>
      <c r="L20" s="116">
        <v>1.1399999999999999</v>
      </c>
      <c r="M20" s="9">
        <f>'Mar 2023'!AD23*315</f>
        <v>160.9965</v>
      </c>
      <c r="N20" s="2" t="s">
        <v>59</v>
      </c>
    </row>
    <row r="21" spans="1:14" x14ac:dyDescent="0.45">
      <c r="A21" s="125" t="s">
        <v>71</v>
      </c>
      <c r="B21" s="2">
        <f t="shared" si="0"/>
        <v>20</v>
      </c>
      <c r="C21" s="115">
        <v>3</v>
      </c>
      <c r="D21" s="2">
        <v>2023</v>
      </c>
      <c r="E21" s="9">
        <f>Submetering!E21+Submetering!F21+Submetering!G21</f>
        <v>15193</v>
      </c>
      <c r="F21" s="116">
        <v>0.2</v>
      </c>
      <c r="G21" s="9">
        <f>Submetering!I21+Submetering!J21</f>
        <v>28</v>
      </c>
      <c r="H21" s="117">
        <v>12.61</v>
      </c>
      <c r="I21" s="9">
        <f>Submetering!H21</f>
        <v>82</v>
      </c>
      <c r="J21" s="116">
        <v>7.84</v>
      </c>
      <c r="K21" s="118">
        <f>Submetering!K21</f>
        <v>6255.59</v>
      </c>
      <c r="L21" s="116">
        <v>1.1399999999999999</v>
      </c>
      <c r="M21" s="9">
        <f>'Mar 2023'!AD24*315</f>
        <v>203.99399999999997</v>
      </c>
      <c r="N21" s="2" t="s">
        <v>59</v>
      </c>
    </row>
    <row r="22" spans="1:14" x14ac:dyDescent="0.45">
      <c r="A22" s="125" t="s">
        <v>71</v>
      </c>
      <c r="B22" s="2">
        <f t="shared" si="0"/>
        <v>21</v>
      </c>
      <c r="C22" s="115">
        <v>3</v>
      </c>
      <c r="D22" s="2">
        <v>2023</v>
      </c>
      <c r="E22" s="9">
        <f>Submetering!E22+Submetering!F22+Submetering!G22</f>
        <v>15706</v>
      </c>
      <c r="F22" s="116">
        <v>0.2</v>
      </c>
      <c r="G22" s="9">
        <f>Submetering!I22+Submetering!J22</f>
        <v>31</v>
      </c>
      <c r="H22" s="117">
        <v>12.61</v>
      </c>
      <c r="I22" s="9">
        <f>Submetering!H22</f>
        <v>89</v>
      </c>
      <c r="J22" s="116">
        <v>7.84</v>
      </c>
      <c r="K22" s="118">
        <f>Submetering!K22</f>
        <v>6539.9350000000004</v>
      </c>
      <c r="L22" s="116">
        <v>1.1399999999999999</v>
      </c>
      <c r="M22" s="9">
        <f>'Mar 2023'!AD25*315</f>
        <v>214.98750000000001</v>
      </c>
      <c r="N22" s="2" t="s">
        <v>59</v>
      </c>
    </row>
    <row r="23" spans="1:14" x14ac:dyDescent="0.45">
      <c r="A23" s="125" t="s">
        <v>71</v>
      </c>
      <c r="B23" s="2">
        <f t="shared" si="0"/>
        <v>22</v>
      </c>
      <c r="C23" s="115">
        <v>3</v>
      </c>
      <c r="D23" s="2">
        <v>2023</v>
      </c>
      <c r="E23" s="9">
        <f>Submetering!E23+Submetering!F23+Submetering!G23</f>
        <v>16216</v>
      </c>
      <c r="F23" s="116">
        <v>0.2</v>
      </c>
      <c r="G23" s="9">
        <f>Submetering!I23+Submetering!J23</f>
        <v>27</v>
      </c>
      <c r="H23" s="117">
        <v>12.61</v>
      </c>
      <c r="I23" s="9">
        <f>Submetering!H23</f>
        <v>120</v>
      </c>
      <c r="J23" s="116">
        <v>7.84</v>
      </c>
      <c r="K23" s="118">
        <f>Submetering!K23</f>
        <v>5686.9000000000005</v>
      </c>
      <c r="L23" s="116">
        <v>1.1399999999999999</v>
      </c>
      <c r="M23" s="9">
        <f>'Mar 2023'!AD26*315</f>
        <v>159.98850000000002</v>
      </c>
      <c r="N23" s="2" t="s">
        <v>59</v>
      </c>
    </row>
    <row r="24" spans="1:14" x14ac:dyDescent="0.45">
      <c r="A24" s="125" t="s">
        <v>71</v>
      </c>
      <c r="B24" s="2">
        <f t="shared" si="0"/>
        <v>23</v>
      </c>
      <c r="C24" s="115">
        <v>3</v>
      </c>
      <c r="D24" s="2">
        <v>2023</v>
      </c>
      <c r="E24" s="9">
        <f>Submetering!E24+Submetering!F24+Submetering!G24</f>
        <v>15682</v>
      </c>
      <c r="F24" s="116">
        <v>0.2</v>
      </c>
      <c r="G24" s="9">
        <f>Submetering!I24+Submetering!J24</f>
        <v>30</v>
      </c>
      <c r="H24" s="117">
        <v>12.61</v>
      </c>
      <c r="I24" s="9">
        <f>Submetering!H24</f>
        <v>59</v>
      </c>
      <c r="J24" s="116">
        <v>7.84</v>
      </c>
      <c r="K24" s="118">
        <f>Submetering!K24</f>
        <v>4833.8650000000007</v>
      </c>
      <c r="L24" s="116">
        <v>1.1399999999999999</v>
      </c>
      <c r="M24" s="9">
        <f>'Mar 2023'!AD27*315</f>
        <v>95.003999999999991</v>
      </c>
      <c r="N24" s="2" t="s">
        <v>59</v>
      </c>
    </row>
    <row r="25" spans="1:14" x14ac:dyDescent="0.45">
      <c r="A25" s="125" t="s">
        <v>71</v>
      </c>
      <c r="B25" s="2">
        <f t="shared" si="0"/>
        <v>24</v>
      </c>
      <c r="C25" s="115">
        <v>3</v>
      </c>
      <c r="D25" s="2">
        <v>2023</v>
      </c>
      <c r="E25" s="9">
        <f>Submetering!E25+Submetering!F25+Submetering!G25</f>
        <v>15298</v>
      </c>
      <c r="F25" s="116">
        <v>0.2</v>
      </c>
      <c r="G25" s="9">
        <f>Submetering!I25+Submetering!J25</f>
        <v>29</v>
      </c>
      <c r="H25" s="117">
        <v>12.61</v>
      </c>
      <c r="I25" s="9">
        <f>Submetering!H25</f>
        <v>53</v>
      </c>
      <c r="J25" s="116">
        <v>7.84</v>
      </c>
      <c r="K25" s="118">
        <f>Submetering!K25</f>
        <v>4833.8650000000007</v>
      </c>
      <c r="L25" s="116">
        <v>1.1399999999999999</v>
      </c>
      <c r="M25" s="9">
        <f>'Mar 2023'!AD28*315</f>
        <v>83.002499999999998</v>
      </c>
      <c r="N25" s="2" t="s">
        <v>59</v>
      </c>
    </row>
    <row r="26" spans="1:14" x14ac:dyDescent="0.45">
      <c r="A26" s="125" t="s">
        <v>71</v>
      </c>
      <c r="B26" s="2">
        <f t="shared" si="0"/>
        <v>25</v>
      </c>
      <c r="C26" s="115">
        <v>3</v>
      </c>
      <c r="D26" s="2">
        <v>2023</v>
      </c>
      <c r="E26" s="9">
        <f>Submetering!E26+Submetering!F26+Submetering!G26</f>
        <v>14908</v>
      </c>
      <c r="F26" s="116">
        <v>0.2</v>
      </c>
      <c r="G26" s="9">
        <f>Submetering!I26+Submetering!J26</f>
        <v>29</v>
      </c>
      <c r="H26" s="117">
        <v>12.61</v>
      </c>
      <c r="I26" s="9">
        <f>Submetering!H26</f>
        <v>78</v>
      </c>
      <c r="J26" s="116">
        <v>7.84</v>
      </c>
      <c r="K26" s="118">
        <f>Submetering!K26</f>
        <v>5402.5550000000003</v>
      </c>
      <c r="L26" s="116">
        <v>1.1399999999999999</v>
      </c>
      <c r="M26" s="9">
        <f>'Mar 2023'!AD29*315</f>
        <v>87.003</v>
      </c>
      <c r="N26" s="2" t="s">
        <v>59</v>
      </c>
    </row>
    <row r="27" spans="1:14" x14ac:dyDescent="0.45">
      <c r="A27" s="125" t="s">
        <v>71</v>
      </c>
      <c r="B27" s="2">
        <f t="shared" si="0"/>
        <v>26</v>
      </c>
      <c r="C27" s="115">
        <v>3</v>
      </c>
      <c r="D27" s="2">
        <v>2023</v>
      </c>
      <c r="E27" s="9">
        <f>Submetering!E27+Submetering!F27+Submetering!G27</f>
        <v>14956</v>
      </c>
      <c r="F27" s="116">
        <v>0.2</v>
      </c>
      <c r="G27" s="9">
        <f>Submetering!I27+Submetering!J27</f>
        <v>27</v>
      </c>
      <c r="H27" s="117">
        <v>12.61</v>
      </c>
      <c r="I27" s="9">
        <f>Submetering!H27</f>
        <v>69</v>
      </c>
      <c r="J27" s="116">
        <v>7.84</v>
      </c>
      <c r="K27" s="118">
        <f>Submetering!K27</f>
        <v>5686.9000000000005</v>
      </c>
      <c r="L27" s="116">
        <v>1.1399999999999999</v>
      </c>
      <c r="M27" s="9">
        <f>'Mar 2023'!AD30*315</f>
        <v>116.991</v>
      </c>
      <c r="N27" s="2" t="s">
        <v>59</v>
      </c>
    </row>
    <row r="28" spans="1:14" x14ac:dyDescent="0.45">
      <c r="A28" s="125" t="s">
        <v>71</v>
      </c>
      <c r="B28" s="2">
        <f t="shared" si="0"/>
        <v>27</v>
      </c>
      <c r="C28" s="115">
        <v>3</v>
      </c>
      <c r="D28" s="2">
        <v>2023</v>
      </c>
      <c r="E28" s="9">
        <f>Submetering!E28+Submetering!F28+Submetering!G28</f>
        <v>15234</v>
      </c>
      <c r="F28" s="116">
        <v>0.2</v>
      </c>
      <c r="G28" s="9">
        <f>Submetering!I28+Submetering!J28</f>
        <v>33</v>
      </c>
      <c r="H28" s="117">
        <v>12.61</v>
      </c>
      <c r="I28" s="9">
        <f>Submetering!H28</f>
        <v>59</v>
      </c>
      <c r="J28" s="116">
        <v>7.84</v>
      </c>
      <c r="K28" s="118">
        <f>Submetering!K28</f>
        <v>6255.59</v>
      </c>
      <c r="L28" s="116">
        <v>1.1399999999999999</v>
      </c>
      <c r="M28" s="9">
        <f>'Mar 2023'!AD31*315</f>
        <v>131.0085</v>
      </c>
      <c r="N28" s="2" t="s">
        <v>59</v>
      </c>
    </row>
    <row r="29" spans="1:14" x14ac:dyDescent="0.45">
      <c r="A29" s="125" t="s">
        <v>71</v>
      </c>
      <c r="B29" s="2">
        <f t="shared" si="0"/>
        <v>28</v>
      </c>
      <c r="C29" s="115">
        <v>3</v>
      </c>
      <c r="D29" s="2">
        <v>2023</v>
      </c>
      <c r="E29" s="9">
        <f>Submetering!E29+Submetering!F29+Submetering!G29</f>
        <v>15574</v>
      </c>
      <c r="F29" s="116">
        <v>0.2</v>
      </c>
      <c r="G29" s="9">
        <f>Submetering!I29+Submetering!J29</f>
        <v>28</v>
      </c>
      <c r="H29" s="117">
        <v>12.61</v>
      </c>
      <c r="I29" s="9">
        <f>Submetering!H29</f>
        <v>92</v>
      </c>
      <c r="J29" s="116">
        <v>7.84</v>
      </c>
      <c r="K29" s="118">
        <f>Submetering!K29</f>
        <v>6255.59</v>
      </c>
      <c r="L29" s="116">
        <v>1.1399999999999999</v>
      </c>
      <c r="M29" s="9">
        <f>'Mar 2023'!AD32*315</f>
        <v>144.99449999999999</v>
      </c>
      <c r="N29" s="2" t="s">
        <v>59</v>
      </c>
    </row>
    <row r="30" spans="1:14" x14ac:dyDescent="0.45">
      <c r="A30" s="125" t="s">
        <v>71</v>
      </c>
      <c r="B30" s="2">
        <f t="shared" si="0"/>
        <v>29</v>
      </c>
      <c r="C30" s="115">
        <v>3</v>
      </c>
      <c r="D30" s="2">
        <v>2023</v>
      </c>
      <c r="E30" s="9">
        <f>Submetering!E30+Submetering!F30+Submetering!G30</f>
        <v>16700</v>
      </c>
      <c r="F30" s="116">
        <v>0.2</v>
      </c>
      <c r="G30" s="9">
        <f>Submetering!I30+Submetering!J30</f>
        <v>27</v>
      </c>
      <c r="H30" s="117">
        <v>12.61</v>
      </c>
      <c r="I30" s="9">
        <f>Submetering!H30</f>
        <v>125</v>
      </c>
      <c r="J30" s="116">
        <v>7.84</v>
      </c>
      <c r="K30" s="118">
        <f>Submetering!K30</f>
        <v>5686.9000000000005</v>
      </c>
      <c r="L30" s="116">
        <v>1.1399999999999999</v>
      </c>
      <c r="M30" s="9">
        <f>'Mar 2023'!AD33*315</f>
        <v>150.00300000000001</v>
      </c>
      <c r="N30" s="2" t="s">
        <v>59</v>
      </c>
    </row>
    <row r="31" spans="1:14" x14ac:dyDescent="0.45">
      <c r="A31" s="125" t="s">
        <v>71</v>
      </c>
      <c r="B31" s="2">
        <f t="shared" si="0"/>
        <v>30</v>
      </c>
      <c r="C31" s="115">
        <v>3</v>
      </c>
      <c r="D31" s="2">
        <v>2023</v>
      </c>
      <c r="E31" s="9">
        <f>Submetering!E31+Submetering!F31+Submetering!G31</f>
        <v>15773</v>
      </c>
      <c r="F31" s="116">
        <v>1.2</v>
      </c>
      <c r="G31" s="9">
        <f>Submetering!I31+Submetering!J31</f>
        <v>29</v>
      </c>
      <c r="H31" s="117">
        <v>12.61</v>
      </c>
      <c r="I31" s="9">
        <f>Submetering!H31</f>
        <v>112</v>
      </c>
      <c r="J31" s="116">
        <v>7.84</v>
      </c>
      <c r="K31" s="118">
        <f>Submetering!K31</f>
        <v>5686.9000000000005</v>
      </c>
      <c r="L31" s="116">
        <v>1.1399999999999999</v>
      </c>
      <c r="M31" s="9">
        <f>'Mar 2023'!AD34*315</f>
        <v>131.98499999999999</v>
      </c>
    </row>
    <row r="32" spans="1:14" x14ac:dyDescent="0.45">
      <c r="A32" s="125" t="s">
        <v>71</v>
      </c>
      <c r="B32" s="2">
        <f t="shared" si="0"/>
        <v>31</v>
      </c>
      <c r="C32" s="115">
        <v>3</v>
      </c>
      <c r="D32" s="2">
        <v>2023</v>
      </c>
      <c r="E32" s="9">
        <f>Submetering!E32+Submetering!F32+Submetering!G32</f>
        <v>15087</v>
      </c>
      <c r="F32" s="116">
        <v>2.2000000000000002</v>
      </c>
      <c r="G32" s="9">
        <f>Submetering!I32+Submetering!J32</f>
        <v>29</v>
      </c>
      <c r="H32" s="117">
        <v>12.61</v>
      </c>
      <c r="I32" s="9">
        <f>Submetering!H32</f>
        <v>69</v>
      </c>
      <c r="J32" s="116">
        <v>7.84</v>
      </c>
      <c r="K32" s="118">
        <f>Submetering!K32</f>
        <v>5686.9000000000005</v>
      </c>
      <c r="L32" s="116">
        <v>1.1399999999999999</v>
      </c>
      <c r="M32" s="9">
        <f>'Mar 2023'!AD35*315</f>
        <v>113.99849999999999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topLeftCell="C1" workbookViewId="0">
      <selection activeCell="H2" sqref="H2"/>
    </sheetView>
  </sheetViews>
  <sheetFormatPr defaultColWidth="11.59765625" defaultRowHeight="14.25" x14ac:dyDescent="0.45"/>
  <cols>
    <col min="1" max="1" width="23" style="2" customWidth="1"/>
    <col min="2" max="2" width="11.59765625" style="2"/>
    <col min="3" max="3" width="11.59765625" style="115"/>
    <col min="4" max="4" width="13.3984375" style="2" customWidth="1"/>
    <col min="5" max="5" width="12.59765625" style="2" customWidth="1"/>
    <col min="6" max="6" width="12.59765625" style="119" customWidth="1"/>
    <col min="7" max="8" width="11.59765625" style="2"/>
    <col min="9" max="9" width="11.59765625" style="119"/>
    <col min="10" max="13" width="11.59765625" style="2"/>
    <col min="14" max="14" width="11.59765625" style="9"/>
    <col min="15" max="15" width="11.59765625" style="2"/>
  </cols>
  <sheetData>
    <row r="1" spans="1:15" s="124" customFormat="1" ht="42.75" x14ac:dyDescent="0.45">
      <c r="A1" s="114" t="s">
        <v>61</v>
      </c>
      <c r="B1" s="114" t="s">
        <v>62</v>
      </c>
      <c r="C1" s="120" t="s">
        <v>63</v>
      </c>
      <c r="D1" s="114" t="s">
        <v>64</v>
      </c>
      <c r="E1" s="121" t="s">
        <v>72</v>
      </c>
      <c r="F1" s="122" t="s">
        <v>73</v>
      </c>
      <c r="G1" s="121" t="s">
        <v>74</v>
      </c>
      <c r="H1" s="121" t="s">
        <v>75</v>
      </c>
      <c r="I1" s="122" t="s">
        <v>76</v>
      </c>
      <c r="J1" s="122" t="s">
        <v>77</v>
      </c>
      <c r="K1" s="123" t="s">
        <v>2</v>
      </c>
      <c r="L1" s="123" t="s">
        <v>78</v>
      </c>
      <c r="M1" s="121" t="s">
        <v>79</v>
      </c>
      <c r="N1" s="123" t="s">
        <v>69</v>
      </c>
      <c r="O1" s="121" t="s">
        <v>70</v>
      </c>
    </row>
    <row r="2" spans="1:15" x14ac:dyDescent="0.45">
      <c r="A2" s="125" t="s">
        <v>71</v>
      </c>
      <c r="B2" s="2">
        <v>1</v>
      </c>
      <c r="C2" s="115">
        <v>3</v>
      </c>
      <c r="D2" s="2">
        <v>2023</v>
      </c>
      <c r="E2" s="9">
        <f>'Mar 2023'!C5</f>
        <v>7814</v>
      </c>
      <c r="F2" s="9">
        <f>'Mar 2023'!E5</f>
        <v>7814</v>
      </c>
      <c r="G2" s="9">
        <f>'Mar 2023'!G5</f>
        <v>112</v>
      </c>
      <c r="H2" s="9">
        <f>'Mar 2023'!K5</f>
        <v>79</v>
      </c>
      <c r="I2" s="9">
        <f>'Mar 2023'!N5</f>
        <v>16</v>
      </c>
      <c r="J2" s="9">
        <f>'Mar 2023'!P5</f>
        <v>9</v>
      </c>
      <c r="K2" s="9">
        <f>'Mar 2023'!X5</f>
        <v>6539.9350000000004</v>
      </c>
      <c r="L2" s="9">
        <f>'Mar 2023'!AC5</f>
        <v>7008</v>
      </c>
      <c r="M2" s="9">
        <f>'Mar 2023'!AP5</f>
        <v>0</v>
      </c>
      <c r="N2" s="9">
        <f>'Mar 2023'!AD5*315</f>
        <v>235.99799999999999</v>
      </c>
      <c r="O2" s="2" t="s">
        <v>59</v>
      </c>
    </row>
    <row r="3" spans="1:15" x14ac:dyDescent="0.45">
      <c r="A3" s="125" t="s">
        <v>71</v>
      </c>
      <c r="B3" s="2">
        <f t="shared" ref="B3:B32" si="0">B2+1</f>
        <v>2</v>
      </c>
      <c r="C3" s="115">
        <v>3</v>
      </c>
      <c r="D3" s="2">
        <v>2023</v>
      </c>
      <c r="E3" s="9">
        <f>'Mar 2023'!C6</f>
        <v>8287</v>
      </c>
      <c r="F3" s="9">
        <f>'Mar 2023'!E6</f>
        <v>7684</v>
      </c>
      <c r="G3" s="9">
        <f>'Mar 2023'!G6</f>
        <v>115</v>
      </c>
      <c r="H3" s="9">
        <f>'Mar 2023'!K6</f>
        <v>101</v>
      </c>
      <c r="I3" s="9">
        <f>'Mar 2023'!N6</f>
        <v>17</v>
      </c>
      <c r="J3" s="9">
        <f>'Mar 2023'!P6</f>
        <v>12</v>
      </c>
      <c r="K3" s="9">
        <f>'Mar 2023'!X6</f>
        <v>6824.2800000000007</v>
      </c>
      <c r="L3" s="9">
        <f>'Mar 2023'!AC6</f>
        <v>7095</v>
      </c>
      <c r="M3" s="9">
        <f>'Mar 2023'!AP6</f>
        <v>0</v>
      </c>
      <c r="N3" s="9">
        <f>'Mar 2023'!AD6*315</f>
        <v>257.00849999999997</v>
      </c>
      <c r="O3" s="2" t="s">
        <v>59</v>
      </c>
    </row>
    <row r="4" spans="1:15" x14ac:dyDescent="0.45">
      <c r="A4" s="125" t="s">
        <v>71</v>
      </c>
      <c r="B4" s="2">
        <f t="shared" si="0"/>
        <v>3</v>
      </c>
      <c r="C4" s="115">
        <v>3</v>
      </c>
      <c r="D4" s="2">
        <v>2023</v>
      </c>
      <c r="E4" s="9">
        <f>'Mar 2023'!C7</f>
        <v>8411</v>
      </c>
      <c r="F4" s="9">
        <f>'Mar 2023'!E7</f>
        <v>7613</v>
      </c>
      <c r="G4" s="9">
        <f>'Mar 2023'!G7</f>
        <v>121</v>
      </c>
      <c r="H4" s="9">
        <f>'Mar 2023'!K7</f>
        <v>97</v>
      </c>
      <c r="I4" s="9">
        <f>'Mar 2023'!N7</f>
        <v>18</v>
      </c>
      <c r="J4" s="9">
        <f>'Mar 2023'!P7</f>
        <v>12</v>
      </c>
      <c r="K4" s="9">
        <f>'Mar 2023'!X7</f>
        <v>6824.2800000000007</v>
      </c>
      <c r="L4" s="9">
        <f>'Mar 2023'!AC7</f>
        <v>7406</v>
      </c>
      <c r="M4" s="9">
        <f>'Mar 2023'!AP7</f>
        <v>0</v>
      </c>
      <c r="N4" s="9">
        <f>'Mar 2023'!AD7*315</f>
        <v>315</v>
      </c>
      <c r="O4" s="2" t="s">
        <v>59</v>
      </c>
    </row>
    <row r="5" spans="1:15" x14ac:dyDescent="0.45">
      <c r="A5" s="125" t="s">
        <v>71</v>
      </c>
      <c r="B5" s="2">
        <f t="shared" si="0"/>
        <v>4</v>
      </c>
      <c r="C5" s="115">
        <v>3</v>
      </c>
      <c r="D5" s="2">
        <v>2023</v>
      </c>
      <c r="E5" s="9">
        <f>'Mar 2023'!C8</f>
        <v>8595</v>
      </c>
      <c r="F5" s="9">
        <f>'Mar 2023'!E8</f>
        <v>7644</v>
      </c>
      <c r="G5" s="9">
        <f>'Mar 2023'!G8</f>
        <v>113</v>
      </c>
      <c r="H5" s="9">
        <f>'Mar 2023'!K8</f>
        <v>96</v>
      </c>
      <c r="I5" s="9">
        <f>'Mar 2023'!N8</f>
        <v>17</v>
      </c>
      <c r="J5" s="9">
        <f>'Mar 2023'!P8</f>
        <v>11</v>
      </c>
      <c r="K5" s="9">
        <f>'Mar 2023'!X8</f>
        <v>6824.2800000000007</v>
      </c>
      <c r="L5" s="9">
        <f>'Mar 2023'!AC8</f>
        <v>6608</v>
      </c>
      <c r="M5" s="9">
        <f>'Mar 2023'!AP8</f>
        <v>0</v>
      </c>
      <c r="N5" s="9">
        <f>'Mar 2023'!AD8*315</f>
        <v>315</v>
      </c>
      <c r="O5" s="2" t="s">
        <v>59</v>
      </c>
    </row>
    <row r="6" spans="1:15" x14ac:dyDescent="0.45">
      <c r="A6" s="125" t="s">
        <v>71</v>
      </c>
      <c r="B6" s="2">
        <f t="shared" si="0"/>
        <v>5</v>
      </c>
      <c r="C6" s="115">
        <v>3</v>
      </c>
      <c r="D6" s="2">
        <v>2023</v>
      </c>
      <c r="E6" s="9">
        <f>'Mar 2023'!C9</f>
        <v>8013</v>
      </c>
      <c r="F6" s="9">
        <f>'Mar 2023'!E9</f>
        <v>7433</v>
      </c>
      <c r="G6" s="9">
        <f>'Mar 2023'!G9</f>
        <v>127</v>
      </c>
      <c r="H6" s="9">
        <f>'Mar 2023'!K9</f>
        <v>126</v>
      </c>
      <c r="I6" s="9">
        <f>'Mar 2023'!N9</f>
        <v>16</v>
      </c>
      <c r="J6" s="9">
        <f>'Mar 2023'!P9</f>
        <v>10</v>
      </c>
      <c r="K6" s="9">
        <f>'Mar 2023'!X9</f>
        <v>6255.59</v>
      </c>
      <c r="L6" s="9">
        <f>'Mar 2023'!AC9</f>
        <v>6085</v>
      </c>
      <c r="M6" s="9">
        <f>'Mar 2023'!AP9</f>
        <v>0</v>
      </c>
      <c r="N6" s="9">
        <f>'Mar 2023'!AD9*315</f>
        <v>285.98849999999999</v>
      </c>
      <c r="O6" s="2" t="s">
        <v>59</v>
      </c>
    </row>
    <row r="7" spans="1:15" x14ac:dyDescent="0.45">
      <c r="A7" s="125" t="s">
        <v>71</v>
      </c>
      <c r="B7" s="2">
        <f t="shared" si="0"/>
        <v>6</v>
      </c>
      <c r="C7" s="115">
        <v>3</v>
      </c>
      <c r="D7" s="2">
        <v>2023</v>
      </c>
      <c r="E7" s="9">
        <f>'Mar 2023'!C10</f>
        <v>8618</v>
      </c>
      <c r="F7" s="9">
        <f>'Mar 2023'!E10</f>
        <v>7683</v>
      </c>
      <c r="G7" s="9">
        <f>'Mar 2023'!G10</f>
        <v>130</v>
      </c>
      <c r="H7" s="9">
        <f>'Mar 2023'!K10</f>
        <v>93</v>
      </c>
      <c r="I7" s="9">
        <f>'Mar 2023'!N10</f>
        <v>16</v>
      </c>
      <c r="J7" s="9">
        <f>'Mar 2023'!P10</f>
        <v>12</v>
      </c>
      <c r="K7" s="9">
        <f>'Mar 2023'!X10</f>
        <v>6255.59</v>
      </c>
      <c r="L7" s="9">
        <f>'Mar 2023'!AC10</f>
        <v>6814</v>
      </c>
      <c r="M7" s="9">
        <f>'Mar 2023'!AP10</f>
        <v>0</v>
      </c>
      <c r="N7" s="9">
        <f>'Mar 2023'!AD10*315</f>
        <v>246.01500000000001</v>
      </c>
      <c r="O7" s="2" t="s">
        <v>59</v>
      </c>
    </row>
    <row r="8" spans="1:15" x14ac:dyDescent="0.45">
      <c r="A8" s="125" t="s">
        <v>71</v>
      </c>
      <c r="B8" s="2">
        <f t="shared" si="0"/>
        <v>7</v>
      </c>
      <c r="C8" s="115">
        <v>3</v>
      </c>
      <c r="D8" s="2">
        <v>2023</v>
      </c>
      <c r="E8" s="9">
        <f>'Mar 2023'!C11</f>
        <v>8234</v>
      </c>
      <c r="F8" s="9">
        <f>'Mar 2023'!E11</f>
        <v>7360</v>
      </c>
      <c r="G8" s="9">
        <f>'Mar 2023'!G11</f>
        <v>123</v>
      </c>
      <c r="H8" s="9">
        <f>'Mar 2023'!K11</f>
        <v>108</v>
      </c>
      <c r="I8" s="9">
        <f>'Mar 2023'!N11</f>
        <v>15</v>
      </c>
      <c r="J8" s="9">
        <f>'Mar 2023'!P11</f>
        <v>12</v>
      </c>
      <c r="K8" s="9">
        <f>'Mar 2023'!X11</f>
        <v>5971.2450000000008</v>
      </c>
      <c r="L8" s="9">
        <f>'Mar 2023'!AC11</f>
        <v>6566</v>
      </c>
      <c r="M8" s="9">
        <f>'Mar 2023'!AP11</f>
        <v>0</v>
      </c>
      <c r="N8" s="9">
        <f>'Mar 2023'!AD11*315</f>
        <v>253.9845</v>
      </c>
      <c r="O8" s="2" t="s">
        <v>59</v>
      </c>
    </row>
    <row r="9" spans="1:15" x14ac:dyDescent="0.45">
      <c r="A9" s="125" t="s">
        <v>71</v>
      </c>
      <c r="B9" s="2">
        <f t="shared" si="0"/>
        <v>8</v>
      </c>
      <c r="C9" s="115">
        <v>3</v>
      </c>
      <c r="D9" s="2">
        <v>2023</v>
      </c>
      <c r="E9" s="9">
        <f>'Mar 2023'!C12</f>
        <v>8433</v>
      </c>
      <c r="F9" s="9">
        <f>'Mar 2023'!E12</f>
        <v>7563</v>
      </c>
      <c r="G9" s="9">
        <f>'Mar 2023'!G12</f>
        <v>118</v>
      </c>
      <c r="H9" s="9">
        <f>'Mar 2023'!K12</f>
        <v>92</v>
      </c>
      <c r="I9" s="9">
        <f>'Mar 2023'!N12</f>
        <v>16</v>
      </c>
      <c r="J9" s="9">
        <f>'Mar 2023'!P12</f>
        <v>12</v>
      </c>
      <c r="K9" s="9">
        <f>'Mar 2023'!X12</f>
        <v>6539.9350000000004</v>
      </c>
      <c r="L9" s="9">
        <f>'Mar 2023'!AC12</f>
        <v>6978</v>
      </c>
      <c r="M9" s="9">
        <f>'Mar 2023'!AP12</f>
        <v>0</v>
      </c>
      <c r="N9" s="9">
        <f>'Mar 2023'!AD12*315</f>
        <v>253.00800000000001</v>
      </c>
      <c r="O9" s="2" t="s">
        <v>59</v>
      </c>
    </row>
    <row r="10" spans="1:15" x14ac:dyDescent="0.45">
      <c r="A10" s="125" t="s">
        <v>71</v>
      </c>
      <c r="B10" s="2">
        <f t="shared" si="0"/>
        <v>9</v>
      </c>
      <c r="C10" s="115">
        <v>3</v>
      </c>
      <c r="D10" s="2">
        <v>2023</v>
      </c>
      <c r="E10" s="9">
        <f>'Mar 2023'!C13</f>
        <v>8357</v>
      </c>
      <c r="F10" s="9">
        <f>'Mar 2023'!E13</f>
        <v>7823</v>
      </c>
      <c r="G10" s="9">
        <f>'Mar 2023'!G13</f>
        <v>128</v>
      </c>
      <c r="H10" s="9">
        <f>'Mar 2023'!K13</f>
        <v>89</v>
      </c>
      <c r="I10" s="9">
        <f>'Mar 2023'!N13</f>
        <v>17</v>
      </c>
      <c r="J10" s="9">
        <f>'Mar 2023'!P13</f>
        <v>16</v>
      </c>
      <c r="K10" s="9">
        <f>'Mar 2023'!X13</f>
        <v>6539.9350000000004</v>
      </c>
      <c r="L10" s="9">
        <f>'Mar 2023'!AC13</f>
        <v>7113</v>
      </c>
      <c r="M10" s="9">
        <f>'Mar 2023'!AP13</f>
        <v>0</v>
      </c>
      <c r="N10" s="9">
        <f>'Mar 2023'!AD13*315</f>
        <v>219.99600000000001</v>
      </c>
      <c r="O10" s="2" t="s">
        <v>59</v>
      </c>
    </row>
    <row r="11" spans="1:15" x14ac:dyDescent="0.45">
      <c r="A11" s="125" t="s">
        <v>71</v>
      </c>
      <c r="B11" s="2">
        <f t="shared" si="0"/>
        <v>10</v>
      </c>
      <c r="C11" s="115">
        <v>3</v>
      </c>
      <c r="D11" s="2">
        <v>2023</v>
      </c>
      <c r="E11" s="9">
        <f>'Mar 2023'!C14</f>
        <v>8199</v>
      </c>
      <c r="F11" s="9">
        <f>'Mar 2023'!E14</f>
        <v>7756</v>
      </c>
      <c r="G11" s="9">
        <f>'Mar 2023'!G14</f>
        <v>127</v>
      </c>
      <c r="H11" s="9">
        <f>'Mar 2023'!K14</f>
        <v>90</v>
      </c>
      <c r="I11" s="9">
        <f>'Mar 2023'!N14</f>
        <v>16</v>
      </c>
      <c r="J11" s="9">
        <f>'Mar 2023'!P14</f>
        <v>13</v>
      </c>
      <c r="K11" s="9">
        <f>'Mar 2023'!X14</f>
        <v>6539.9350000000004</v>
      </c>
      <c r="L11" s="9">
        <f>'Mar 2023'!AC14</f>
        <v>7097</v>
      </c>
      <c r="M11" s="9">
        <f>'Mar 2023'!AP14</f>
        <v>0</v>
      </c>
      <c r="N11" s="9">
        <f>'Mar 2023'!AD14*315</f>
        <v>211.995</v>
      </c>
      <c r="O11" s="2" t="s">
        <v>59</v>
      </c>
    </row>
    <row r="12" spans="1:15" x14ac:dyDescent="0.45">
      <c r="A12" s="125" t="s">
        <v>71</v>
      </c>
      <c r="B12" s="2">
        <f t="shared" si="0"/>
        <v>11</v>
      </c>
      <c r="C12" s="115">
        <v>3</v>
      </c>
      <c r="D12" s="2">
        <v>2023</v>
      </c>
      <c r="E12" s="9">
        <f>'Mar 2023'!C15</f>
        <v>8249</v>
      </c>
      <c r="F12" s="9">
        <f>'Mar 2023'!E15</f>
        <v>7226</v>
      </c>
      <c r="G12" s="9">
        <f>'Mar 2023'!G15</f>
        <v>127</v>
      </c>
      <c r="H12" s="9">
        <f>'Mar 2023'!K15</f>
        <v>94</v>
      </c>
      <c r="I12" s="9">
        <f>'Mar 2023'!N15</f>
        <v>17</v>
      </c>
      <c r="J12" s="9">
        <f>'Mar 2023'!P15</f>
        <v>9</v>
      </c>
      <c r="K12" s="9">
        <f>'Mar 2023'!X15</f>
        <v>6539.9350000000004</v>
      </c>
      <c r="L12" s="9">
        <f>'Mar 2023'!AC15</f>
        <v>6808</v>
      </c>
      <c r="M12" s="9">
        <f>'Mar 2023'!AP15</f>
        <v>0</v>
      </c>
      <c r="N12" s="9">
        <f>'Mar 2023'!AD15*315</f>
        <v>213.00300000000001</v>
      </c>
      <c r="O12" s="2" t="s">
        <v>59</v>
      </c>
    </row>
    <row r="13" spans="1:15" x14ac:dyDescent="0.45">
      <c r="A13" s="125" t="s">
        <v>71</v>
      </c>
      <c r="B13" s="2">
        <f t="shared" si="0"/>
        <v>12</v>
      </c>
      <c r="C13" s="115">
        <v>3</v>
      </c>
      <c r="D13" s="2">
        <v>2023</v>
      </c>
      <c r="E13" s="9">
        <f>'Mar 2023'!C16</f>
        <v>8146</v>
      </c>
      <c r="F13" s="9">
        <f>'Mar 2023'!E16</f>
        <v>7117</v>
      </c>
      <c r="G13" s="9">
        <f>'Mar 2023'!G16</f>
        <v>128</v>
      </c>
      <c r="H13" s="9">
        <f>'Mar 2023'!K16</f>
        <v>103</v>
      </c>
      <c r="I13" s="9">
        <f>'Mar 2023'!N16</f>
        <v>15</v>
      </c>
      <c r="J13" s="9">
        <f>'Mar 2023'!P16</f>
        <v>11</v>
      </c>
      <c r="K13" s="9">
        <f>'Mar 2023'!X16</f>
        <v>6539.9350000000004</v>
      </c>
      <c r="L13" s="9">
        <f>'Mar 2023'!AC16</f>
        <v>6732</v>
      </c>
      <c r="M13" s="9">
        <f>'Mar 2023'!AP16</f>
        <v>0</v>
      </c>
      <c r="N13" s="9">
        <f>'Mar 2023'!AD16*315</f>
        <v>215.99549999999999</v>
      </c>
      <c r="O13" s="2" t="s">
        <v>59</v>
      </c>
    </row>
    <row r="14" spans="1:15" x14ac:dyDescent="0.45">
      <c r="A14" s="125" t="s">
        <v>71</v>
      </c>
      <c r="B14" s="2">
        <f t="shared" si="0"/>
        <v>13</v>
      </c>
      <c r="C14" s="115">
        <v>3</v>
      </c>
      <c r="D14" s="2">
        <v>2023</v>
      </c>
      <c r="E14" s="9">
        <f>'Mar 2023'!C17</f>
        <v>8144</v>
      </c>
      <c r="F14" s="9">
        <f>'Mar 2023'!E17</f>
        <v>7699</v>
      </c>
      <c r="G14" s="9">
        <f>'Mar 2023'!G17</f>
        <v>116</v>
      </c>
      <c r="H14" s="9">
        <f>'Mar 2023'!K17</f>
        <v>103</v>
      </c>
      <c r="I14" s="9">
        <f>'Mar 2023'!N17</f>
        <v>15</v>
      </c>
      <c r="J14" s="9">
        <f>'Mar 2023'!P17</f>
        <v>13</v>
      </c>
      <c r="K14" s="9">
        <f>'Mar 2023'!X17</f>
        <v>6824.2800000000007</v>
      </c>
      <c r="L14" s="9">
        <f>'Mar 2023'!AC17</f>
        <v>7260</v>
      </c>
      <c r="M14" s="9">
        <f>'Mar 2023'!AP17</f>
        <v>0</v>
      </c>
      <c r="N14" s="9">
        <f>'Mar 2023'!AD17*315</f>
        <v>269.01</v>
      </c>
      <c r="O14" s="2" t="s">
        <v>59</v>
      </c>
    </row>
    <row r="15" spans="1:15" x14ac:dyDescent="0.45">
      <c r="A15" s="125" t="s">
        <v>71</v>
      </c>
      <c r="B15" s="2">
        <f t="shared" si="0"/>
        <v>14</v>
      </c>
      <c r="C15" s="115">
        <v>3</v>
      </c>
      <c r="D15" s="2">
        <v>2023</v>
      </c>
      <c r="E15" s="9">
        <f>'Mar 2023'!C18</f>
        <v>8193</v>
      </c>
      <c r="F15" s="9">
        <f>'Mar 2023'!E18</f>
        <v>7344</v>
      </c>
      <c r="G15" s="9">
        <f>'Mar 2023'!G18</f>
        <v>122</v>
      </c>
      <c r="H15" s="9">
        <f>'Mar 2023'!K18</f>
        <v>99</v>
      </c>
      <c r="I15" s="9">
        <f>'Mar 2023'!N18</f>
        <v>16</v>
      </c>
      <c r="J15" s="9">
        <f>'Mar 2023'!P18</f>
        <v>11</v>
      </c>
      <c r="K15" s="9">
        <f>'Mar 2023'!X18</f>
        <v>7392.9700000000012</v>
      </c>
      <c r="L15" s="9">
        <f>'Mar 2023'!AC18</f>
        <v>7874</v>
      </c>
      <c r="M15" s="9">
        <f>'Mar 2023'!AP18</f>
        <v>0</v>
      </c>
      <c r="N15" s="9">
        <f>'Mar 2023'!AD18*315</f>
        <v>280.00350000000003</v>
      </c>
      <c r="O15" s="2" t="s">
        <v>59</v>
      </c>
    </row>
    <row r="16" spans="1:15" x14ac:dyDescent="0.45">
      <c r="A16" s="125" t="s">
        <v>71</v>
      </c>
      <c r="B16" s="2">
        <f t="shared" si="0"/>
        <v>15</v>
      </c>
      <c r="C16" s="115">
        <v>3</v>
      </c>
      <c r="D16" s="2">
        <v>2023</v>
      </c>
      <c r="E16" s="9">
        <f>'Mar 2023'!C19</f>
        <v>8346</v>
      </c>
      <c r="F16" s="9">
        <f>'Mar 2023'!E19</f>
        <v>7123</v>
      </c>
      <c r="G16" s="9">
        <f>'Mar 2023'!G19</f>
        <v>125</v>
      </c>
      <c r="H16" s="9">
        <f>'Mar 2023'!K19</f>
        <v>98</v>
      </c>
      <c r="I16" s="9">
        <f>'Mar 2023'!N19</f>
        <v>16</v>
      </c>
      <c r="J16" s="9">
        <f>'Mar 2023'!P19</f>
        <v>12</v>
      </c>
      <c r="K16" s="9">
        <f>'Mar 2023'!X19</f>
        <v>7392.9700000000012</v>
      </c>
      <c r="L16" s="9">
        <f>'Mar 2023'!AC19</f>
        <v>7905</v>
      </c>
      <c r="M16" s="9">
        <f>'Mar 2023'!AP19</f>
        <v>0</v>
      </c>
      <c r="N16" s="9">
        <f>'Mar 2023'!AD19*315</f>
        <v>282.99599999999998</v>
      </c>
      <c r="O16" s="2" t="s">
        <v>59</v>
      </c>
    </row>
    <row r="17" spans="1:15" x14ac:dyDescent="0.45">
      <c r="A17" s="125" t="s">
        <v>71</v>
      </c>
      <c r="B17" s="2">
        <f t="shared" si="0"/>
        <v>16</v>
      </c>
      <c r="C17" s="115">
        <v>3</v>
      </c>
      <c r="D17" s="2">
        <v>2023</v>
      </c>
      <c r="E17" s="9">
        <f>'Mar 2023'!C20</f>
        <v>8186</v>
      </c>
      <c r="F17" s="9">
        <f>'Mar 2023'!E20</f>
        <v>7283</v>
      </c>
      <c r="G17" s="9">
        <f>'Mar 2023'!G20</f>
        <v>128</v>
      </c>
      <c r="H17" s="9">
        <f>'Mar 2023'!K20</f>
        <v>106</v>
      </c>
      <c r="I17" s="9">
        <f>'Mar 2023'!N20</f>
        <v>16</v>
      </c>
      <c r="J17" s="9">
        <f>'Mar 2023'!P20</f>
        <v>14</v>
      </c>
      <c r="K17" s="9">
        <f>'Mar 2023'!X20</f>
        <v>7108.6250000000009</v>
      </c>
      <c r="L17" s="9">
        <f>'Mar 2023'!AC20</f>
        <v>7821</v>
      </c>
      <c r="M17" s="9">
        <f>'Mar 2023'!AP20</f>
        <v>0</v>
      </c>
      <c r="N17" s="9">
        <f>'Mar 2023'!AD20*315</f>
        <v>264.00149999999996</v>
      </c>
      <c r="O17" s="2" t="s">
        <v>59</v>
      </c>
    </row>
    <row r="18" spans="1:15" x14ac:dyDescent="0.45">
      <c r="A18" s="125" t="s">
        <v>71</v>
      </c>
      <c r="B18" s="2">
        <f t="shared" si="0"/>
        <v>17</v>
      </c>
      <c r="C18" s="115">
        <v>3</v>
      </c>
      <c r="D18" s="2">
        <v>2023</v>
      </c>
      <c r="E18" s="9">
        <f>'Mar 2023'!C21</f>
        <v>8104</v>
      </c>
      <c r="F18" s="9">
        <f>'Mar 2023'!E21</f>
        <v>7745</v>
      </c>
      <c r="G18" s="9">
        <f>'Mar 2023'!G21</f>
        <v>123</v>
      </c>
      <c r="H18" s="9">
        <f>'Mar 2023'!K21</f>
        <v>113</v>
      </c>
      <c r="I18" s="9">
        <f>'Mar 2023'!N21</f>
        <v>17</v>
      </c>
      <c r="J18" s="9">
        <f>'Mar 2023'!P21</f>
        <v>13</v>
      </c>
      <c r="K18" s="9">
        <f>'Mar 2023'!X21</f>
        <v>6824.2800000000007</v>
      </c>
      <c r="L18" s="9">
        <f>'Mar 2023'!AC21</f>
        <v>7292</v>
      </c>
      <c r="M18" s="9">
        <f>'Mar 2023'!AP21</f>
        <v>0</v>
      </c>
      <c r="N18" s="9">
        <f>'Mar 2023'!AD21*315</f>
        <v>179.0145</v>
      </c>
      <c r="O18" s="2" t="s">
        <v>59</v>
      </c>
    </row>
    <row r="19" spans="1:15" x14ac:dyDescent="0.45">
      <c r="A19" s="125" t="s">
        <v>71</v>
      </c>
      <c r="B19" s="2">
        <f t="shared" si="0"/>
        <v>18</v>
      </c>
      <c r="C19" s="115">
        <v>3</v>
      </c>
      <c r="D19" s="2">
        <v>2023</v>
      </c>
      <c r="E19" s="9">
        <f>'Mar 2023'!C22</f>
        <v>7922</v>
      </c>
      <c r="F19" s="9">
        <f>'Mar 2023'!E22</f>
        <v>7649</v>
      </c>
      <c r="G19" s="9">
        <f>'Mar 2023'!G22</f>
        <v>128</v>
      </c>
      <c r="H19" s="9">
        <f>'Mar 2023'!K22</f>
        <v>76</v>
      </c>
      <c r="I19" s="9">
        <f>'Mar 2023'!N22</f>
        <v>19</v>
      </c>
      <c r="J19" s="9">
        <f>'Mar 2023'!P22</f>
        <v>10</v>
      </c>
      <c r="K19" s="9">
        <f>'Mar 2023'!X22</f>
        <v>6255.59</v>
      </c>
      <c r="L19" s="9">
        <f>'Mar 2023'!AC22</f>
        <v>6532</v>
      </c>
      <c r="M19" s="9">
        <f>'Mar 2023'!AP22</f>
        <v>0</v>
      </c>
      <c r="N19" s="9">
        <f>'Mar 2023'!AD22*315</f>
        <v>167.98949999999999</v>
      </c>
      <c r="O19" s="2" t="s">
        <v>59</v>
      </c>
    </row>
    <row r="20" spans="1:15" x14ac:dyDescent="0.45">
      <c r="A20" s="125" t="s">
        <v>71</v>
      </c>
      <c r="B20" s="2">
        <f t="shared" si="0"/>
        <v>19</v>
      </c>
      <c r="C20" s="115">
        <v>3</v>
      </c>
      <c r="D20" s="2">
        <v>2023</v>
      </c>
      <c r="E20" s="9">
        <f>'Mar 2023'!C23</f>
        <v>7732</v>
      </c>
      <c r="F20" s="9">
        <f>'Mar 2023'!E23</f>
        <v>7474</v>
      </c>
      <c r="G20" s="9">
        <f>'Mar 2023'!G23</f>
        <v>125</v>
      </c>
      <c r="H20" s="9">
        <f>'Mar 2023'!K23</f>
        <v>84</v>
      </c>
      <c r="I20" s="9">
        <f>'Mar 2023'!N23</f>
        <v>16</v>
      </c>
      <c r="J20" s="9">
        <f>'Mar 2023'!P23</f>
        <v>10</v>
      </c>
      <c r="K20" s="9">
        <f>'Mar 2023'!X23</f>
        <v>5686.9000000000005</v>
      </c>
      <c r="L20" s="9">
        <f>'Mar 2023'!AC23</f>
        <v>6084</v>
      </c>
      <c r="M20" s="9">
        <f>'Mar 2023'!AP23</f>
        <v>0</v>
      </c>
      <c r="N20" s="9">
        <f>'Mar 2023'!AD23*315</f>
        <v>160.9965</v>
      </c>
      <c r="O20" s="2" t="s">
        <v>59</v>
      </c>
    </row>
    <row r="21" spans="1:15" x14ac:dyDescent="0.45">
      <c r="A21" s="125" t="s">
        <v>71</v>
      </c>
      <c r="B21" s="2">
        <f t="shared" si="0"/>
        <v>20</v>
      </c>
      <c r="C21" s="115">
        <v>3</v>
      </c>
      <c r="D21" s="2">
        <v>2023</v>
      </c>
      <c r="E21" s="9">
        <f>'Mar 2023'!C24</f>
        <v>7906</v>
      </c>
      <c r="F21" s="9">
        <f>'Mar 2023'!E24</f>
        <v>7158</v>
      </c>
      <c r="G21" s="9">
        <f>'Mar 2023'!G24</f>
        <v>129</v>
      </c>
      <c r="H21" s="9">
        <f>'Mar 2023'!K24</f>
        <v>82</v>
      </c>
      <c r="I21" s="9">
        <f>'Mar 2023'!N24</f>
        <v>16</v>
      </c>
      <c r="J21" s="9">
        <f>'Mar 2023'!P24</f>
        <v>12</v>
      </c>
      <c r="K21" s="9">
        <f>'Mar 2023'!X24</f>
        <v>6255.59</v>
      </c>
      <c r="L21" s="9">
        <f>'Mar 2023'!AC24</f>
        <v>6796</v>
      </c>
      <c r="M21" s="9">
        <f>'Mar 2023'!AP24</f>
        <v>0</v>
      </c>
      <c r="N21" s="9">
        <f>'Mar 2023'!AD24*315</f>
        <v>203.99399999999997</v>
      </c>
      <c r="O21" s="2" t="s">
        <v>59</v>
      </c>
    </row>
    <row r="22" spans="1:15" x14ac:dyDescent="0.45">
      <c r="A22" s="125" t="s">
        <v>71</v>
      </c>
      <c r="B22" s="2">
        <f t="shared" si="0"/>
        <v>21</v>
      </c>
      <c r="C22" s="115">
        <v>3</v>
      </c>
      <c r="D22" s="2">
        <v>2023</v>
      </c>
      <c r="E22" s="9">
        <f>'Mar 2023'!C25</f>
        <v>7870</v>
      </c>
      <c r="F22" s="9">
        <f>'Mar 2023'!E25</f>
        <v>7711</v>
      </c>
      <c r="G22" s="9">
        <f>'Mar 2023'!G25</f>
        <v>125</v>
      </c>
      <c r="H22" s="9">
        <f>'Mar 2023'!K25</f>
        <v>89</v>
      </c>
      <c r="I22" s="9">
        <f>'Mar 2023'!N25</f>
        <v>16</v>
      </c>
      <c r="J22" s="9">
        <f>'Mar 2023'!P25</f>
        <v>15</v>
      </c>
      <c r="K22" s="9">
        <f>'Mar 2023'!X25</f>
        <v>6539.9350000000004</v>
      </c>
      <c r="L22" s="9">
        <f>'Mar 2023'!AC25</f>
        <v>6951</v>
      </c>
      <c r="M22" s="9">
        <f>'Mar 2023'!AP25</f>
        <v>0</v>
      </c>
      <c r="N22" s="9">
        <f>'Mar 2023'!AD25*315</f>
        <v>214.98750000000001</v>
      </c>
      <c r="O22" s="2" t="s">
        <v>59</v>
      </c>
    </row>
    <row r="23" spans="1:15" x14ac:dyDescent="0.45">
      <c r="A23" s="125" t="s">
        <v>71</v>
      </c>
      <c r="B23" s="2">
        <f t="shared" si="0"/>
        <v>22</v>
      </c>
      <c r="C23" s="115">
        <v>3</v>
      </c>
      <c r="D23" s="2">
        <v>2023</v>
      </c>
      <c r="E23" s="9">
        <f>'Mar 2023'!C26</f>
        <v>8404</v>
      </c>
      <c r="F23" s="9">
        <f>'Mar 2023'!E26</f>
        <v>7683</v>
      </c>
      <c r="G23" s="9">
        <f>'Mar 2023'!G26</f>
        <v>129</v>
      </c>
      <c r="H23" s="9">
        <f>'Mar 2023'!K26</f>
        <v>120</v>
      </c>
      <c r="I23" s="9">
        <f>'Mar 2023'!N26</f>
        <v>15</v>
      </c>
      <c r="J23" s="9">
        <f>'Mar 2023'!P26</f>
        <v>12</v>
      </c>
      <c r="K23" s="9">
        <f>'Mar 2023'!X26</f>
        <v>5686.9000000000005</v>
      </c>
      <c r="L23" s="9">
        <f>'Mar 2023'!AC26</f>
        <v>6025</v>
      </c>
      <c r="M23" s="9">
        <f>'Mar 2023'!AP26</f>
        <v>0</v>
      </c>
      <c r="N23" s="9">
        <f>'Mar 2023'!AD26*315</f>
        <v>159.98850000000002</v>
      </c>
      <c r="O23" s="2" t="s">
        <v>59</v>
      </c>
    </row>
    <row r="24" spans="1:15" x14ac:dyDescent="0.45">
      <c r="A24" s="125" t="s">
        <v>71</v>
      </c>
      <c r="B24" s="2">
        <f t="shared" si="0"/>
        <v>23</v>
      </c>
      <c r="C24" s="115">
        <v>3</v>
      </c>
      <c r="D24" s="2">
        <v>2023</v>
      </c>
      <c r="E24" s="9">
        <f>'Mar 2023'!C27</f>
        <v>7756</v>
      </c>
      <c r="F24" s="9">
        <f>'Mar 2023'!E27</f>
        <v>7800</v>
      </c>
      <c r="G24" s="9">
        <f>'Mar 2023'!G27</f>
        <v>126</v>
      </c>
      <c r="H24" s="9">
        <f>'Mar 2023'!K27</f>
        <v>59</v>
      </c>
      <c r="I24" s="9">
        <f>'Mar 2023'!N27</f>
        <v>15</v>
      </c>
      <c r="J24" s="9">
        <f>'Mar 2023'!P27</f>
        <v>15</v>
      </c>
      <c r="K24" s="9">
        <f>'Mar 2023'!X27</f>
        <v>4833.8650000000007</v>
      </c>
      <c r="L24" s="9">
        <f>'Mar 2023'!AC27</f>
        <v>5257</v>
      </c>
      <c r="M24" s="9">
        <f>'Mar 2023'!AP27</f>
        <v>0</v>
      </c>
      <c r="N24" s="9">
        <f>'Mar 2023'!AD27*315</f>
        <v>95.003999999999991</v>
      </c>
      <c r="O24" s="2" t="s">
        <v>59</v>
      </c>
    </row>
    <row r="25" spans="1:15" x14ac:dyDescent="0.45">
      <c r="A25" s="125" t="s">
        <v>71</v>
      </c>
      <c r="B25" s="2">
        <f t="shared" si="0"/>
        <v>24</v>
      </c>
      <c r="C25" s="115">
        <v>3</v>
      </c>
      <c r="D25" s="2">
        <v>2023</v>
      </c>
      <c r="E25" s="9">
        <f>'Mar 2023'!C28</f>
        <v>7542</v>
      </c>
      <c r="F25" s="9">
        <f>'Mar 2023'!E28</f>
        <v>7636</v>
      </c>
      <c r="G25" s="9">
        <f>'Mar 2023'!G28</f>
        <v>120</v>
      </c>
      <c r="H25" s="9">
        <f>'Mar 2023'!K28</f>
        <v>53</v>
      </c>
      <c r="I25" s="9">
        <f>'Mar 2023'!N28</f>
        <v>17</v>
      </c>
      <c r="J25" s="9">
        <f>'Mar 2023'!P28</f>
        <v>12</v>
      </c>
      <c r="K25" s="9">
        <f>'Mar 2023'!X28</f>
        <v>4833.8650000000007</v>
      </c>
      <c r="L25" s="9">
        <f>'Mar 2023'!AC28</f>
        <v>5167</v>
      </c>
      <c r="M25" s="9">
        <f>'Mar 2023'!AP28</f>
        <v>0</v>
      </c>
      <c r="N25" s="9">
        <f>'Mar 2023'!AD28*315</f>
        <v>83.002499999999998</v>
      </c>
      <c r="O25" s="2" t="s">
        <v>59</v>
      </c>
    </row>
    <row r="26" spans="1:15" x14ac:dyDescent="0.45">
      <c r="A26" s="125" t="s">
        <v>71</v>
      </c>
      <c r="B26" s="2">
        <f t="shared" si="0"/>
        <v>25</v>
      </c>
      <c r="C26" s="115">
        <v>3</v>
      </c>
      <c r="D26" s="2">
        <v>2023</v>
      </c>
      <c r="E26" s="9">
        <f>'Mar 2023'!C29</f>
        <v>7495</v>
      </c>
      <c r="F26" s="9">
        <f>'Mar 2023'!E29</f>
        <v>7312</v>
      </c>
      <c r="G26" s="9">
        <f>'Mar 2023'!G29</f>
        <v>101</v>
      </c>
      <c r="H26" s="9">
        <f>'Mar 2023'!K29</f>
        <v>78</v>
      </c>
      <c r="I26" s="9">
        <f>'Mar 2023'!N29</f>
        <v>16</v>
      </c>
      <c r="J26" s="9">
        <f>'Mar 2023'!P29</f>
        <v>13</v>
      </c>
      <c r="K26" s="9">
        <f>'Mar 2023'!X29</f>
        <v>5402.5550000000003</v>
      </c>
      <c r="L26" s="9">
        <f>'Mar 2023'!AC29</f>
        <v>5298</v>
      </c>
      <c r="M26" s="9">
        <f>'Mar 2023'!AP29</f>
        <v>0</v>
      </c>
      <c r="N26" s="9">
        <f>'Mar 2023'!AD29*315</f>
        <v>87.003</v>
      </c>
      <c r="O26" s="2" t="s">
        <v>59</v>
      </c>
    </row>
    <row r="27" spans="1:15" x14ac:dyDescent="0.45">
      <c r="A27" s="125" t="s">
        <v>71</v>
      </c>
      <c r="B27" s="2">
        <f t="shared" si="0"/>
        <v>26</v>
      </c>
      <c r="C27" s="115">
        <v>3</v>
      </c>
      <c r="D27" s="2">
        <v>2023</v>
      </c>
      <c r="E27" s="9">
        <f>'Mar 2023'!C30</f>
        <v>7639</v>
      </c>
      <c r="F27" s="9">
        <f>'Mar 2023'!E30</f>
        <v>7198</v>
      </c>
      <c r="G27" s="9">
        <f>'Mar 2023'!G30</f>
        <v>119</v>
      </c>
      <c r="H27" s="9">
        <f>'Mar 2023'!K30</f>
        <v>69</v>
      </c>
      <c r="I27" s="9">
        <f>'Mar 2023'!N30</f>
        <v>15</v>
      </c>
      <c r="J27" s="9">
        <f>'Mar 2023'!P30</f>
        <v>12</v>
      </c>
      <c r="K27" s="9">
        <f>'Mar 2023'!X30</f>
        <v>5686.9000000000005</v>
      </c>
      <c r="L27" s="9">
        <f>'Mar 2023'!AC30</f>
        <v>5900</v>
      </c>
      <c r="M27" s="9">
        <f>'Mar 2023'!AP30</f>
        <v>0</v>
      </c>
      <c r="N27" s="9">
        <f>'Mar 2023'!AD30*315</f>
        <v>116.991</v>
      </c>
      <c r="O27" s="2" t="s">
        <v>59</v>
      </c>
    </row>
    <row r="28" spans="1:15" x14ac:dyDescent="0.45">
      <c r="A28" s="125" t="s">
        <v>71</v>
      </c>
      <c r="B28" s="2">
        <f t="shared" si="0"/>
        <v>27</v>
      </c>
      <c r="C28" s="115">
        <v>3</v>
      </c>
      <c r="D28" s="2">
        <v>2023</v>
      </c>
      <c r="E28" s="9">
        <f>'Mar 2023'!C31</f>
        <v>7690</v>
      </c>
      <c r="F28" s="9">
        <f>'Mar 2023'!E31</f>
        <v>7425</v>
      </c>
      <c r="G28" s="9">
        <f>'Mar 2023'!G31</f>
        <v>119</v>
      </c>
      <c r="H28" s="9">
        <f>'Mar 2023'!K31</f>
        <v>59</v>
      </c>
      <c r="I28" s="9">
        <f>'Mar 2023'!N31</f>
        <v>17</v>
      </c>
      <c r="J28" s="9">
        <f>'Mar 2023'!P31</f>
        <v>16</v>
      </c>
      <c r="K28" s="9">
        <f>'Mar 2023'!X31</f>
        <v>6255.59</v>
      </c>
      <c r="L28" s="9">
        <f>'Mar 2023'!AC31</f>
        <v>6805</v>
      </c>
      <c r="M28" s="9">
        <f>'Mar 2023'!AP31</f>
        <v>0</v>
      </c>
      <c r="N28" s="9">
        <f>'Mar 2023'!AD31*315</f>
        <v>131.0085</v>
      </c>
      <c r="O28" s="2" t="s">
        <v>59</v>
      </c>
    </row>
    <row r="29" spans="1:15" x14ac:dyDescent="0.45">
      <c r="A29" s="125" t="s">
        <v>71</v>
      </c>
      <c r="B29" s="2">
        <f t="shared" si="0"/>
        <v>28</v>
      </c>
      <c r="C29" s="115">
        <v>3</v>
      </c>
      <c r="D29" s="2">
        <v>2023</v>
      </c>
      <c r="E29" s="9">
        <f>'Mar 2023'!C32</f>
        <v>8085</v>
      </c>
      <c r="F29" s="9">
        <f>'Mar 2023'!E32</f>
        <v>7361</v>
      </c>
      <c r="G29" s="9">
        <f>'Mar 2023'!G32</f>
        <v>128</v>
      </c>
      <c r="H29" s="9">
        <f>'Mar 2023'!K32</f>
        <v>92</v>
      </c>
      <c r="I29" s="9">
        <f>'Mar 2023'!N32</f>
        <v>15</v>
      </c>
      <c r="J29" s="9">
        <f>'Mar 2023'!P32</f>
        <v>13</v>
      </c>
      <c r="K29" s="9">
        <f>'Mar 2023'!X32</f>
        <v>6255.59</v>
      </c>
      <c r="L29" s="9">
        <f>'Mar 2023'!AC32</f>
        <v>6745</v>
      </c>
      <c r="M29" s="9">
        <f>'Mar 2023'!AP32</f>
        <v>0</v>
      </c>
      <c r="N29" s="9">
        <f>'Mar 2023'!AD32*315</f>
        <v>144.99449999999999</v>
      </c>
      <c r="O29" s="2" t="s">
        <v>59</v>
      </c>
    </row>
    <row r="30" spans="1:15" x14ac:dyDescent="0.45">
      <c r="A30" s="125" t="s">
        <v>71</v>
      </c>
      <c r="B30" s="2">
        <f t="shared" si="0"/>
        <v>29</v>
      </c>
      <c r="C30" s="115">
        <v>3</v>
      </c>
      <c r="D30" s="2">
        <v>2023</v>
      </c>
      <c r="E30" s="9">
        <f>'Mar 2023'!C33</f>
        <v>8591</v>
      </c>
      <c r="F30" s="9">
        <f>'Mar 2023'!E33</f>
        <v>7981</v>
      </c>
      <c r="G30" s="9">
        <f>'Mar 2023'!G33</f>
        <v>128</v>
      </c>
      <c r="H30" s="9">
        <f>'Mar 2023'!K33</f>
        <v>125</v>
      </c>
      <c r="I30" s="9">
        <f>'Mar 2023'!N33</f>
        <v>16</v>
      </c>
      <c r="J30" s="9">
        <f>'Mar 2023'!P33</f>
        <v>11</v>
      </c>
      <c r="K30" s="9">
        <f>'Mar 2023'!X33</f>
        <v>5686.9000000000005</v>
      </c>
      <c r="L30" s="9">
        <f>'Mar 2023'!AC33</f>
        <v>6074</v>
      </c>
      <c r="M30" s="9">
        <f>'Mar 2023'!AP33</f>
        <v>0</v>
      </c>
      <c r="N30" s="9">
        <f>'Mar 2023'!AD33*315</f>
        <v>150.00300000000001</v>
      </c>
      <c r="O30" s="2" t="s">
        <v>59</v>
      </c>
    </row>
    <row r="31" spans="1:15" x14ac:dyDescent="0.45">
      <c r="A31" s="125" t="s">
        <v>71</v>
      </c>
      <c r="B31" s="2">
        <f t="shared" si="0"/>
        <v>30</v>
      </c>
      <c r="C31" s="115">
        <v>3</v>
      </c>
      <c r="D31" s="2">
        <v>2023</v>
      </c>
      <c r="E31" s="9">
        <f>'Mar 2023'!C34</f>
        <v>8184</v>
      </c>
      <c r="F31" s="9">
        <f>'Mar 2023'!E34</f>
        <v>7472</v>
      </c>
      <c r="G31" s="9">
        <f>'Mar 2023'!G34</f>
        <v>117</v>
      </c>
      <c r="H31" s="9">
        <f>'Mar 2023'!K34</f>
        <v>112</v>
      </c>
      <c r="I31" s="9">
        <f>'Mar 2023'!N34</f>
        <v>16</v>
      </c>
      <c r="J31" s="9">
        <f>'Mar 2023'!P34</f>
        <v>13</v>
      </c>
      <c r="K31" s="9">
        <f>'Mar 2023'!X34</f>
        <v>5686.9000000000005</v>
      </c>
      <c r="L31" s="9">
        <f>'Mar 2023'!AC34</f>
        <v>6037</v>
      </c>
      <c r="M31" s="9">
        <f>'Mar 2023'!AP34</f>
        <v>0</v>
      </c>
      <c r="N31" s="9">
        <f>'Mar 2023'!AD34*315</f>
        <v>131.98499999999999</v>
      </c>
    </row>
    <row r="32" spans="1:15" x14ac:dyDescent="0.45">
      <c r="A32" s="125" t="s">
        <v>71</v>
      </c>
      <c r="B32" s="2">
        <f t="shared" si="0"/>
        <v>31</v>
      </c>
      <c r="C32" s="115">
        <v>3</v>
      </c>
      <c r="D32" s="2">
        <v>2023</v>
      </c>
      <c r="E32" s="9">
        <f>'Mar 2023'!C35</f>
        <v>7847</v>
      </c>
      <c r="F32" s="9">
        <f>'Mar 2023'!E35</f>
        <v>7119</v>
      </c>
      <c r="G32" s="9">
        <f>'Mar 2023'!G35</f>
        <v>121</v>
      </c>
      <c r="H32" s="9">
        <f>'Mar 2023'!K35</f>
        <v>69</v>
      </c>
      <c r="I32" s="9">
        <f>'Mar 2023'!N35</f>
        <v>17</v>
      </c>
      <c r="J32" s="9">
        <f>'Mar 2023'!P35</f>
        <v>12</v>
      </c>
      <c r="K32" s="9">
        <f>'Mar 2023'!X35</f>
        <v>5686.9000000000005</v>
      </c>
      <c r="L32" s="9">
        <f>'Mar 2023'!AC35</f>
        <v>6050</v>
      </c>
      <c r="M32" s="9">
        <f>'Mar 2023'!AP35</f>
        <v>0</v>
      </c>
      <c r="N32" s="9">
        <f>'Mar 2023'!AD35*315</f>
        <v>113.99849999999999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E69F-F891-4980-BFFE-F3A50C8424FE}">
  <sheetPr>
    <tabColor rgb="FF00B050"/>
    <pageSetUpPr fitToPage="1"/>
  </sheetPr>
  <dimension ref="A1:EA77"/>
  <sheetViews>
    <sheetView topLeftCell="I1" zoomScale="80" zoomScaleNormal="80" zoomScaleSheetLayoutView="80" workbookViewId="0">
      <pane ySplit="4" topLeftCell="A5" activePane="bottomLeft" state="frozen"/>
      <selection pane="bottomLeft" activeCell="M10" sqref="M10"/>
    </sheetView>
  </sheetViews>
  <sheetFormatPr defaultColWidth="9.1328125" defaultRowHeight="14.25" x14ac:dyDescent="0.45"/>
  <cols>
    <col min="1" max="1" width="12.73046875" customWidth="1"/>
    <col min="2" max="2" width="15.265625" customWidth="1"/>
    <col min="3" max="3" width="9.1328125" customWidth="1"/>
    <col min="4" max="4" width="12.73046875" customWidth="1"/>
    <col min="5" max="5" width="8.59765625" customWidth="1"/>
    <col min="6" max="6" width="11" customWidth="1"/>
    <col min="7" max="7" width="14" style="1" customWidth="1"/>
    <col min="8" max="8" width="11.3984375" style="1" customWidth="1"/>
    <col min="9" max="9" width="13.73046875" style="1" customWidth="1"/>
    <col min="10" max="10" width="11.3984375" style="1" bestFit="1" customWidth="1"/>
    <col min="11" max="11" width="12.73046875" style="1" customWidth="1"/>
    <col min="12" max="12" width="15" style="1" bestFit="1" customWidth="1"/>
    <col min="13" max="13" width="8.3984375" style="1" bestFit="1" customWidth="1"/>
    <col min="14" max="14" width="6.73046875" style="1" customWidth="1"/>
    <col min="15" max="15" width="8.1328125" style="1" bestFit="1" customWidth="1"/>
    <col min="16" max="16" width="8.1328125" style="1" customWidth="1"/>
    <col min="17" max="17" width="9.265625" style="1" customWidth="1"/>
    <col min="18" max="18" width="10" style="1" customWidth="1"/>
    <col min="19" max="19" width="8.1328125" style="1" customWidth="1"/>
    <col min="20" max="20" width="8.86328125" style="1" customWidth="1"/>
    <col min="21" max="21" width="12.1328125" style="1" customWidth="1"/>
    <col min="22" max="22" width="16" style="1" bestFit="1" customWidth="1"/>
    <col min="23" max="23" width="9" style="1" customWidth="1"/>
    <col min="24" max="24" width="11" style="1" customWidth="1"/>
    <col min="25" max="25" width="12.3984375" style="1" customWidth="1"/>
    <col min="26" max="26" width="13.59765625" style="2" bestFit="1" customWidth="1"/>
    <col min="27" max="27" width="13" style="2" customWidth="1"/>
    <col min="28" max="29" width="16.73046875" style="2" customWidth="1"/>
    <col min="30" max="30" width="13.265625" style="2" customWidth="1"/>
    <col min="31" max="31" width="12.73046875" style="2" bestFit="1" customWidth="1"/>
    <col min="32" max="32" width="19.73046875" style="2" customWidth="1"/>
    <col min="33" max="33" width="24.86328125" style="2" customWidth="1"/>
    <col min="34" max="34" width="12.3984375" style="2" customWidth="1"/>
    <col min="35" max="35" width="13.73046875" customWidth="1"/>
    <col min="36" max="36" width="10.73046875" customWidth="1"/>
    <col min="37" max="37" width="14.86328125" customWidth="1"/>
    <col min="38" max="38" width="13.86328125" bestFit="1" customWidth="1"/>
    <col min="39" max="39" width="12.59765625" bestFit="1" customWidth="1"/>
    <col min="40" max="40" width="11.86328125" customWidth="1"/>
    <col min="41" max="41" width="12.265625" customWidth="1"/>
    <col min="42" max="42" width="13.3984375" customWidth="1"/>
    <col min="43" max="43" width="12.73046875" customWidth="1"/>
    <col min="44" max="44" width="12.59765625" customWidth="1"/>
    <col min="45" max="46" width="9.1328125" customWidth="1"/>
    <col min="47" max="47" width="16.1328125" customWidth="1"/>
    <col min="48" max="144" width="9.1328125" customWidth="1"/>
  </cols>
  <sheetData>
    <row r="1" spans="1:31" s="4" customFormat="1" ht="24.95" customHeight="1" thickBot="1" x14ac:dyDescent="0.5">
      <c r="A1" s="266" t="s">
        <v>84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67"/>
      <c r="W1" s="267"/>
      <c r="X1" s="267"/>
      <c r="Y1" s="267"/>
      <c r="Z1" s="267"/>
      <c r="AA1" s="267"/>
      <c r="AB1" s="267"/>
      <c r="AC1" s="267"/>
      <c r="AD1" s="267"/>
      <c r="AE1" s="267"/>
    </row>
    <row r="2" spans="1:31" s="6" customFormat="1" ht="24.95" customHeight="1" thickBot="1" x14ac:dyDescent="0.6">
      <c r="A2" s="246" t="s">
        <v>0</v>
      </c>
      <c r="B2" s="233" t="s">
        <v>3</v>
      </c>
      <c r="C2" s="234"/>
      <c r="D2" s="234"/>
      <c r="E2" s="234"/>
      <c r="F2" s="234"/>
      <c r="G2" s="234"/>
      <c r="H2" s="234"/>
      <c r="I2" s="234"/>
      <c r="J2" s="249" t="s">
        <v>4</v>
      </c>
      <c r="K2" s="250"/>
      <c r="L2" s="250"/>
      <c r="M2" s="251" t="s">
        <v>50</v>
      </c>
      <c r="N2" s="252"/>
      <c r="O2" s="252"/>
      <c r="P2" s="252"/>
      <c r="Q2" s="252"/>
      <c r="R2" s="252"/>
      <c r="S2" s="252"/>
      <c r="T2" s="252"/>
      <c r="U2" s="253"/>
      <c r="V2" s="261" t="s">
        <v>2</v>
      </c>
      <c r="W2" s="262"/>
      <c r="X2" s="262"/>
      <c r="Y2" s="262"/>
      <c r="Z2" s="262"/>
      <c r="AA2" s="262"/>
      <c r="AB2" s="263"/>
      <c r="AC2" s="113"/>
      <c r="AD2" s="264" t="s">
        <v>17</v>
      </c>
      <c r="AE2" s="265"/>
    </row>
    <row r="3" spans="1:31" s="5" customFormat="1" ht="36.75" customHeight="1" x14ac:dyDescent="0.45">
      <c r="A3" s="247"/>
      <c r="B3" s="228" t="s">
        <v>37</v>
      </c>
      <c r="C3" s="229"/>
      <c r="D3" s="196" t="s">
        <v>38</v>
      </c>
      <c r="E3" s="197"/>
      <c r="F3" s="196" t="s">
        <v>39</v>
      </c>
      <c r="G3" s="197"/>
      <c r="H3" s="229" t="s">
        <v>20</v>
      </c>
      <c r="I3" s="236" t="s">
        <v>7</v>
      </c>
      <c r="J3" s="238" t="s">
        <v>21</v>
      </c>
      <c r="K3" s="191" t="s">
        <v>22</v>
      </c>
      <c r="L3" s="258" t="s">
        <v>6</v>
      </c>
      <c r="M3" s="260" t="s">
        <v>35</v>
      </c>
      <c r="N3" s="254"/>
      <c r="O3" s="254" t="s">
        <v>36</v>
      </c>
      <c r="P3" s="254"/>
      <c r="Q3" s="254" t="s">
        <v>40</v>
      </c>
      <c r="R3" s="254" t="s">
        <v>33</v>
      </c>
      <c r="S3" s="254" t="s">
        <v>34</v>
      </c>
      <c r="T3" s="256" t="s">
        <v>18</v>
      </c>
      <c r="U3" s="213" t="s">
        <v>31</v>
      </c>
      <c r="V3" s="215" t="s">
        <v>23</v>
      </c>
      <c r="W3" s="217" t="s">
        <v>8</v>
      </c>
      <c r="X3" s="217" t="s">
        <v>9</v>
      </c>
      <c r="Y3" s="217" t="s">
        <v>10</v>
      </c>
      <c r="Z3" s="217" t="s">
        <v>11</v>
      </c>
      <c r="AA3" s="217" t="s">
        <v>12</v>
      </c>
      <c r="AB3" s="207" t="s">
        <v>32</v>
      </c>
      <c r="AC3" s="133"/>
      <c r="AD3" s="209" t="s">
        <v>85</v>
      </c>
      <c r="AE3" s="211" t="s">
        <v>19</v>
      </c>
    </row>
    <row r="4" spans="1:31" s="5" customFormat="1" ht="36.75" customHeight="1" thickBot="1" x14ac:dyDescent="0.5">
      <c r="A4" s="248"/>
      <c r="B4" s="83" t="s">
        <v>1</v>
      </c>
      <c r="C4" s="76" t="s">
        <v>5</v>
      </c>
      <c r="D4" s="76" t="s">
        <v>1</v>
      </c>
      <c r="E4" s="76" t="s">
        <v>5</v>
      </c>
      <c r="F4" s="76" t="s">
        <v>1</v>
      </c>
      <c r="G4" s="84" t="s">
        <v>5</v>
      </c>
      <c r="H4" s="235"/>
      <c r="I4" s="237"/>
      <c r="J4" s="239"/>
      <c r="K4" s="192"/>
      <c r="L4" s="259"/>
      <c r="M4" s="85" t="s">
        <v>1</v>
      </c>
      <c r="N4" s="86" t="s">
        <v>5</v>
      </c>
      <c r="O4" s="86" t="s">
        <v>1</v>
      </c>
      <c r="P4" s="86" t="s">
        <v>5</v>
      </c>
      <c r="Q4" s="255"/>
      <c r="R4" s="255"/>
      <c r="S4" s="255"/>
      <c r="T4" s="257"/>
      <c r="U4" s="214"/>
      <c r="V4" s="216"/>
      <c r="W4" s="218"/>
      <c r="X4" s="218"/>
      <c r="Y4" s="218"/>
      <c r="Z4" s="218"/>
      <c r="AA4" s="218"/>
      <c r="AB4" s="208"/>
      <c r="AC4" s="134"/>
      <c r="AD4" s="210"/>
      <c r="AE4" s="212"/>
    </row>
    <row r="5" spans="1:31" s="3" customFormat="1" ht="27.95" customHeight="1" x14ac:dyDescent="0.45">
      <c r="A5" s="77">
        <v>44986</v>
      </c>
      <c r="B5" s="67">
        <v>15790229</v>
      </c>
      <c r="C5" s="75">
        <v>7814</v>
      </c>
      <c r="D5" s="65">
        <v>17031258</v>
      </c>
      <c r="E5" s="75">
        <v>7814</v>
      </c>
      <c r="F5" s="65">
        <v>403487</v>
      </c>
      <c r="G5" s="75">
        <v>112</v>
      </c>
      <c r="H5" s="78">
        <f t="shared" ref="H5:H35" si="0">C5+E5+G5</f>
        <v>15740</v>
      </c>
      <c r="I5" s="79">
        <f t="shared" ref="I5:I35" si="1">H5*0.2</f>
        <v>3148</v>
      </c>
      <c r="J5" s="67">
        <v>39527</v>
      </c>
      <c r="K5" s="75">
        <v>79</v>
      </c>
      <c r="L5" s="80">
        <f t="shared" ref="L5:L35" si="2">K5*7.84</f>
        <v>619.36</v>
      </c>
      <c r="M5" s="64">
        <v>27925</v>
      </c>
      <c r="N5" s="75">
        <v>16</v>
      </c>
      <c r="O5" s="65">
        <v>15138</v>
      </c>
      <c r="P5" s="81">
        <v>9</v>
      </c>
      <c r="Q5" s="81">
        <f>N5+P5</f>
        <v>25</v>
      </c>
      <c r="R5" s="69">
        <v>39426</v>
      </c>
      <c r="S5" s="81">
        <v>24</v>
      </c>
      <c r="T5" s="81">
        <f>S5*1.0557</f>
        <v>25.336800000000004</v>
      </c>
      <c r="U5" s="79">
        <f>IF(ISBLANK(M5),"0",T5*11.05+209.677)</f>
        <v>489.64864</v>
      </c>
      <c r="V5" s="110">
        <v>55710</v>
      </c>
      <c r="W5" s="75">
        <v>23</v>
      </c>
      <c r="X5" s="111">
        <f>IF(ISBLANK(V5),"0 ",W5*284.345)</f>
        <v>6539.9350000000004</v>
      </c>
      <c r="Y5" s="70">
        <f t="shared" ref="Y5:Y11" si="3">X5*0.3435</f>
        <v>2246.4676725000004</v>
      </c>
      <c r="Z5" s="111">
        <f>IF(ISBLANK(V5),"0",1570*1487.37/12/31*0.65)</f>
        <v>4080.2717338709676</v>
      </c>
      <c r="AA5" s="112">
        <f>Y5+Z5</f>
        <v>6326.739406370968</v>
      </c>
      <c r="AB5" s="135">
        <v>2267571</v>
      </c>
      <c r="AC5" s="136">
        <v>7008</v>
      </c>
      <c r="AD5" s="137">
        <v>0.74919999999999998</v>
      </c>
      <c r="AE5" s="82">
        <v>300</v>
      </c>
    </row>
    <row r="6" spans="1:31" s="3" customFormat="1" ht="27.95" customHeight="1" x14ac:dyDescent="0.45">
      <c r="A6" s="77">
        <v>44987</v>
      </c>
      <c r="B6" s="67">
        <v>15798516</v>
      </c>
      <c r="C6" s="65">
        <f>IF(ISBLANK(B6),"0",B6-B5)</f>
        <v>8287</v>
      </c>
      <c r="D6" s="65">
        <v>17038942</v>
      </c>
      <c r="E6" s="65">
        <f>IF(ISBLANK(D6),"0",D6-D5)</f>
        <v>7684</v>
      </c>
      <c r="F6" s="65">
        <v>403602</v>
      </c>
      <c r="G6" s="65">
        <f>IF(ISBLANK(F6),"0",F6-F5)</f>
        <v>115</v>
      </c>
      <c r="H6" s="66">
        <f t="shared" si="0"/>
        <v>16086</v>
      </c>
      <c r="I6" s="89">
        <f t="shared" si="1"/>
        <v>3217.2000000000003</v>
      </c>
      <c r="J6" s="67">
        <v>39628</v>
      </c>
      <c r="K6" s="65">
        <f>IF(ISBLANK(J6),"0",J6-J5)</f>
        <v>101</v>
      </c>
      <c r="L6" s="45">
        <f t="shared" si="2"/>
        <v>791.84</v>
      </c>
      <c r="M6" s="64">
        <v>27942</v>
      </c>
      <c r="N6" s="65">
        <f>IF(ISBLANK(M6),"0",M6-M5)</f>
        <v>17</v>
      </c>
      <c r="O6" s="65">
        <v>15150</v>
      </c>
      <c r="P6" s="68">
        <f>IF(ISBLANK(O6),"0",O6-O5)</f>
        <v>12</v>
      </c>
      <c r="Q6" s="68">
        <f t="shared" ref="Q6:Q35" si="4">N6+P6</f>
        <v>29</v>
      </c>
      <c r="R6" s="69">
        <v>39453</v>
      </c>
      <c r="S6" s="68">
        <f>IF(ISBLANK(R6),"0",R6-R5)</f>
        <v>27</v>
      </c>
      <c r="T6" s="81">
        <f t="shared" ref="T6:T35" si="5">S6*1.0557</f>
        <v>28.503900000000002</v>
      </c>
      <c r="U6" s="79">
        <f t="shared" ref="U6:U35" si="6">IF(ISBLANK(M6),"0",T6*11.05+209.677)</f>
        <v>524.64509500000008</v>
      </c>
      <c r="V6" s="67">
        <v>55734</v>
      </c>
      <c r="W6" s="65">
        <f>IF(ISBLANK(V6)," ",V6-V5)</f>
        <v>24</v>
      </c>
      <c r="X6" s="70">
        <f>IF(ISBLANK(V6),"0 ",W6*284.345)</f>
        <v>6824.2800000000007</v>
      </c>
      <c r="Y6" s="70">
        <f t="shared" si="3"/>
        <v>2344.1401800000003</v>
      </c>
      <c r="Z6" s="111">
        <f t="shared" ref="Z6:Z35" si="7">IF(ISBLANK(V6),"0",1570*1487.37/12/31*0.65)</f>
        <v>4080.2717338709676</v>
      </c>
      <c r="AA6" s="43">
        <f t="shared" ref="AA6:AA35" si="8">Y6+Z6</f>
        <v>6424.4119138709684</v>
      </c>
      <c r="AB6" s="135">
        <v>2274666</v>
      </c>
      <c r="AC6" s="65">
        <f t="shared" ref="AC6:AC35" si="9">IF(ISBLANK(AB6)," ",AB6-AB5)</f>
        <v>7095</v>
      </c>
      <c r="AD6" s="138">
        <v>0.81589999999999996</v>
      </c>
      <c r="AE6" s="71">
        <v>346</v>
      </c>
    </row>
    <row r="7" spans="1:31" s="3" customFormat="1" ht="27.95" customHeight="1" x14ac:dyDescent="0.45">
      <c r="A7" s="77">
        <v>44988</v>
      </c>
      <c r="B7" s="67">
        <v>15806927</v>
      </c>
      <c r="C7" s="65">
        <f t="shared" ref="C7:C35" si="10">IF(ISBLANK(B7),"0",B7-B6)</f>
        <v>8411</v>
      </c>
      <c r="D7" s="65">
        <v>17046555</v>
      </c>
      <c r="E7" s="65">
        <f t="shared" ref="E7:E35" si="11">IF(ISBLANK(D7),"0",D7-D6)</f>
        <v>7613</v>
      </c>
      <c r="F7" s="65">
        <v>403723</v>
      </c>
      <c r="G7" s="65">
        <f t="shared" ref="G7:G35" si="12">IF(ISBLANK(F7),"0",F7-F6)</f>
        <v>121</v>
      </c>
      <c r="H7" s="66">
        <f t="shared" si="0"/>
        <v>16145</v>
      </c>
      <c r="I7" s="89">
        <f t="shared" si="1"/>
        <v>3229</v>
      </c>
      <c r="J7" s="67">
        <v>39725</v>
      </c>
      <c r="K7" s="65">
        <f t="shared" ref="K7:K35" si="13">IF(ISBLANK(J7),"0",J7-J6)</f>
        <v>97</v>
      </c>
      <c r="L7" s="45">
        <f t="shared" si="2"/>
        <v>760.48</v>
      </c>
      <c r="M7" s="64">
        <v>27960</v>
      </c>
      <c r="N7" s="65">
        <f t="shared" ref="N7:N35" si="14">IF(ISBLANK(M7),"0",M7-M6)</f>
        <v>18</v>
      </c>
      <c r="O7" s="65">
        <v>15162</v>
      </c>
      <c r="P7" s="68">
        <f t="shared" ref="P7:P35" si="15">IF(ISBLANK(O7),"0",O7-O6)</f>
        <v>12</v>
      </c>
      <c r="Q7" s="68">
        <f t="shared" si="4"/>
        <v>30</v>
      </c>
      <c r="R7" s="69">
        <v>39481</v>
      </c>
      <c r="S7" s="68">
        <f t="shared" ref="S7:S35" si="16">IF(ISBLANK(R7),"0",R7-R6)</f>
        <v>28</v>
      </c>
      <c r="T7" s="81">
        <f t="shared" si="5"/>
        <v>29.559600000000003</v>
      </c>
      <c r="U7" s="79">
        <f t="shared" si="6"/>
        <v>536.31058000000007</v>
      </c>
      <c r="V7" s="67">
        <v>55758</v>
      </c>
      <c r="W7" s="65">
        <f t="shared" ref="W7:W22" si="17">IF(ISBLANK(V7)," ",V7-V6)</f>
        <v>24</v>
      </c>
      <c r="X7" s="70">
        <f>IF(ISBLANK(V7),"0 ",W7*284.345)</f>
        <v>6824.2800000000007</v>
      </c>
      <c r="Y7" s="70">
        <f t="shared" si="3"/>
        <v>2344.1401800000003</v>
      </c>
      <c r="Z7" s="111">
        <f t="shared" si="7"/>
        <v>4080.2717338709676</v>
      </c>
      <c r="AA7" s="43">
        <f t="shared" si="8"/>
        <v>6424.4119138709684</v>
      </c>
      <c r="AB7" s="135">
        <v>2282072</v>
      </c>
      <c r="AC7" s="65">
        <f t="shared" si="9"/>
        <v>7406</v>
      </c>
      <c r="AD7" s="138">
        <v>1</v>
      </c>
      <c r="AE7" s="71">
        <v>426</v>
      </c>
    </row>
    <row r="8" spans="1:31" s="3" customFormat="1" ht="27.95" customHeight="1" x14ac:dyDescent="0.45">
      <c r="A8" s="77">
        <v>44989</v>
      </c>
      <c r="B8" s="67">
        <v>15815522</v>
      </c>
      <c r="C8" s="65">
        <f t="shared" si="10"/>
        <v>8595</v>
      </c>
      <c r="D8" s="65">
        <v>17054199</v>
      </c>
      <c r="E8" s="65">
        <f t="shared" si="11"/>
        <v>7644</v>
      </c>
      <c r="F8" s="65">
        <v>403836</v>
      </c>
      <c r="G8" s="65">
        <f t="shared" si="12"/>
        <v>113</v>
      </c>
      <c r="H8" s="66">
        <f t="shared" si="0"/>
        <v>16352</v>
      </c>
      <c r="I8" s="89">
        <f t="shared" si="1"/>
        <v>3270.4</v>
      </c>
      <c r="J8" s="67">
        <v>39821</v>
      </c>
      <c r="K8" s="65">
        <f t="shared" si="13"/>
        <v>96</v>
      </c>
      <c r="L8" s="45">
        <f t="shared" si="2"/>
        <v>752.64</v>
      </c>
      <c r="M8" s="64">
        <v>27977</v>
      </c>
      <c r="N8" s="65">
        <f t="shared" si="14"/>
        <v>17</v>
      </c>
      <c r="O8" s="65">
        <v>15173</v>
      </c>
      <c r="P8" s="68">
        <f t="shared" si="15"/>
        <v>11</v>
      </c>
      <c r="Q8" s="68">
        <f t="shared" si="4"/>
        <v>28</v>
      </c>
      <c r="R8" s="69">
        <v>39509</v>
      </c>
      <c r="S8" s="68">
        <f t="shared" si="16"/>
        <v>28</v>
      </c>
      <c r="T8" s="81">
        <f t="shared" si="5"/>
        <v>29.559600000000003</v>
      </c>
      <c r="U8" s="79">
        <f t="shared" si="6"/>
        <v>536.31058000000007</v>
      </c>
      <c r="V8" s="67">
        <v>55782</v>
      </c>
      <c r="W8" s="65">
        <f t="shared" si="17"/>
        <v>24</v>
      </c>
      <c r="X8" s="70">
        <f t="shared" ref="X8:X35" si="18">IF(ISBLANK(V8),"0 ",W8*284.345)</f>
        <v>6824.2800000000007</v>
      </c>
      <c r="Y8" s="70">
        <f t="shared" si="3"/>
        <v>2344.1401800000003</v>
      </c>
      <c r="Z8" s="111">
        <f t="shared" si="7"/>
        <v>4080.2717338709676</v>
      </c>
      <c r="AA8" s="43">
        <f t="shared" si="8"/>
        <v>6424.4119138709684</v>
      </c>
      <c r="AB8" s="135">
        <v>2288680</v>
      </c>
      <c r="AC8" s="65">
        <f t="shared" si="9"/>
        <v>6608</v>
      </c>
      <c r="AD8" s="139">
        <v>1</v>
      </c>
      <c r="AE8" s="71">
        <v>423</v>
      </c>
    </row>
    <row r="9" spans="1:31" s="3" customFormat="1" ht="27.95" customHeight="1" x14ac:dyDescent="0.45">
      <c r="A9" s="77">
        <v>44990</v>
      </c>
      <c r="B9" s="67">
        <v>15823535</v>
      </c>
      <c r="C9" s="65">
        <f t="shared" si="10"/>
        <v>8013</v>
      </c>
      <c r="D9" s="65">
        <v>17061632</v>
      </c>
      <c r="E9" s="65">
        <f t="shared" si="11"/>
        <v>7433</v>
      </c>
      <c r="F9" s="65">
        <v>403963</v>
      </c>
      <c r="G9" s="65">
        <f t="shared" si="12"/>
        <v>127</v>
      </c>
      <c r="H9" s="66">
        <f t="shared" si="0"/>
        <v>15573</v>
      </c>
      <c r="I9" s="89">
        <f t="shared" si="1"/>
        <v>3114.6000000000004</v>
      </c>
      <c r="J9" s="67">
        <v>39947</v>
      </c>
      <c r="K9" s="65">
        <f t="shared" si="13"/>
        <v>126</v>
      </c>
      <c r="L9" s="45">
        <f t="shared" si="2"/>
        <v>987.84</v>
      </c>
      <c r="M9" s="64">
        <v>27993</v>
      </c>
      <c r="N9" s="65">
        <f t="shared" si="14"/>
        <v>16</v>
      </c>
      <c r="O9" s="65">
        <v>15183</v>
      </c>
      <c r="P9" s="68">
        <f t="shared" si="15"/>
        <v>10</v>
      </c>
      <c r="Q9" s="68">
        <f t="shared" si="4"/>
        <v>26</v>
      </c>
      <c r="R9" s="69">
        <v>39534</v>
      </c>
      <c r="S9" s="68">
        <f t="shared" si="16"/>
        <v>25</v>
      </c>
      <c r="T9" s="81">
        <f t="shared" si="5"/>
        <v>26.392500000000002</v>
      </c>
      <c r="U9" s="79">
        <f t="shared" si="6"/>
        <v>501.31412499999999</v>
      </c>
      <c r="V9" s="67">
        <v>55804</v>
      </c>
      <c r="W9" s="65">
        <f t="shared" si="17"/>
        <v>22</v>
      </c>
      <c r="X9" s="70">
        <f t="shared" si="18"/>
        <v>6255.59</v>
      </c>
      <c r="Y9" s="70">
        <f t="shared" si="3"/>
        <v>2148.795165</v>
      </c>
      <c r="Z9" s="111">
        <f t="shared" si="7"/>
        <v>4080.2717338709676</v>
      </c>
      <c r="AA9" s="43">
        <f t="shared" si="8"/>
        <v>6229.0668988709676</v>
      </c>
      <c r="AB9" s="135">
        <v>2294765</v>
      </c>
      <c r="AC9" s="65">
        <f t="shared" si="9"/>
        <v>6085</v>
      </c>
      <c r="AD9" s="138">
        <v>0.90790000000000004</v>
      </c>
      <c r="AE9" s="71">
        <v>369</v>
      </c>
    </row>
    <row r="10" spans="1:31" s="3" customFormat="1" ht="27.95" customHeight="1" x14ac:dyDescent="0.45">
      <c r="A10" s="77">
        <v>44991</v>
      </c>
      <c r="B10" s="67">
        <v>15832153</v>
      </c>
      <c r="C10" s="65">
        <f t="shared" si="10"/>
        <v>8618</v>
      </c>
      <c r="D10" s="65">
        <v>17069315</v>
      </c>
      <c r="E10" s="65">
        <f t="shared" si="11"/>
        <v>7683</v>
      </c>
      <c r="F10" s="65">
        <v>404093</v>
      </c>
      <c r="G10" s="65">
        <f t="shared" si="12"/>
        <v>130</v>
      </c>
      <c r="H10" s="66">
        <f t="shared" si="0"/>
        <v>16431</v>
      </c>
      <c r="I10" s="89">
        <f t="shared" si="1"/>
        <v>3286.2000000000003</v>
      </c>
      <c r="J10" s="67">
        <v>40040</v>
      </c>
      <c r="K10" s="65">
        <f t="shared" si="13"/>
        <v>93</v>
      </c>
      <c r="L10" s="45">
        <f t="shared" si="2"/>
        <v>729.12</v>
      </c>
      <c r="M10" s="64">
        <v>28009</v>
      </c>
      <c r="N10" s="65">
        <f t="shared" si="14"/>
        <v>16</v>
      </c>
      <c r="O10" s="65">
        <v>15195</v>
      </c>
      <c r="P10" s="68">
        <f t="shared" si="15"/>
        <v>12</v>
      </c>
      <c r="Q10" s="68">
        <f t="shared" si="4"/>
        <v>28</v>
      </c>
      <c r="R10" s="69">
        <v>39561</v>
      </c>
      <c r="S10" s="68">
        <f t="shared" si="16"/>
        <v>27</v>
      </c>
      <c r="T10" s="81">
        <f t="shared" si="5"/>
        <v>28.503900000000002</v>
      </c>
      <c r="U10" s="79">
        <f t="shared" si="6"/>
        <v>524.64509500000008</v>
      </c>
      <c r="V10" s="67">
        <v>55826</v>
      </c>
      <c r="W10" s="65">
        <f t="shared" si="17"/>
        <v>22</v>
      </c>
      <c r="X10" s="70">
        <f t="shared" si="18"/>
        <v>6255.59</v>
      </c>
      <c r="Y10" s="70">
        <f t="shared" si="3"/>
        <v>2148.795165</v>
      </c>
      <c r="Z10" s="111">
        <f t="shared" si="7"/>
        <v>4080.2717338709676</v>
      </c>
      <c r="AA10" s="43">
        <f t="shared" si="8"/>
        <v>6229.0668988709676</v>
      </c>
      <c r="AB10" s="135">
        <v>2301579</v>
      </c>
      <c r="AC10" s="65">
        <f t="shared" si="9"/>
        <v>6814</v>
      </c>
      <c r="AD10" s="138">
        <v>0.78100000000000003</v>
      </c>
      <c r="AE10" s="71">
        <v>323</v>
      </c>
    </row>
    <row r="11" spans="1:31" s="3" customFormat="1" ht="27.95" customHeight="1" x14ac:dyDescent="0.45">
      <c r="A11" s="77">
        <v>44992</v>
      </c>
      <c r="B11" s="67">
        <v>15840387</v>
      </c>
      <c r="C11" s="65">
        <f t="shared" si="10"/>
        <v>8234</v>
      </c>
      <c r="D11" s="65">
        <v>17076675</v>
      </c>
      <c r="E11" s="65">
        <f t="shared" si="11"/>
        <v>7360</v>
      </c>
      <c r="F11" s="65">
        <v>404216</v>
      </c>
      <c r="G11" s="65">
        <f t="shared" si="12"/>
        <v>123</v>
      </c>
      <c r="H11" s="66">
        <f t="shared" si="0"/>
        <v>15717</v>
      </c>
      <c r="I11" s="89">
        <f t="shared" si="1"/>
        <v>3143.4</v>
      </c>
      <c r="J11" s="67">
        <v>40148</v>
      </c>
      <c r="K11" s="65">
        <f t="shared" si="13"/>
        <v>108</v>
      </c>
      <c r="L11" s="45">
        <f t="shared" si="2"/>
        <v>846.72</v>
      </c>
      <c r="M11" s="64">
        <v>28024</v>
      </c>
      <c r="N11" s="65">
        <f t="shared" si="14"/>
        <v>15</v>
      </c>
      <c r="O11" s="65">
        <v>15207</v>
      </c>
      <c r="P11" s="68">
        <f t="shared" si="15"/>
        <v>12</v>
      </c>
      <c r="Q11" s="68">
        <f t="shared" si="4"/>
        <v>27</v>
      </c>
      <c r="R11" s="69">
        <v>39587</v>
      </c>
      <c r="S11" s="68">
        <f t="shared" si="16"/>
        <v>26</v>
      </c>
      <c r="T11" s="81">
        <f t="shared" si="5"/>
        <v>27.448200000000003</v>
      </c>
      <c r="U11" s="79">
        <f t="shared" si="6"/>
        <v>512.97961000000009</v>
      </c>
      <c r="V11" s="67">
        <v>55847</v>
      </c>
      <c r="W11" s="65">
        <f t="shared" si="17"/>
        <v>21</v>
      </c>
      <c r="X11" s="70">
        <f t="shared" si="18"/>
        <v>5971.2450000000008</v>
      </c>
      <c r="Y11" s="70">
        <f t="shared" si="3"/>
        <v>2051.1226575000005</v>
      </c>
      <c r="Z11" s="111">
        <f t="shared" si="7"/>
        <v>4080.2717338709676</v>
      </c>
      <c r="AA11" s="43">
        <f t="shared" si="8"/>
        <v>6131.3943913709682</v>
      </c>
      <c r="AB11" s="135">
        <v>2308145</v>
      </c>
      <c r="AC11" s="65">
        <f t="shared" si="9"/>
        <v>6566</v>
      </c>
      <c r="AD11" s="138">
        <v>0.80630000000000002</v>
      </c>
      <c r="AE11" s="71">
        <v>330</v>
      </c>
    </row>
    <row r="12" spans="1:31" s="3" customFormat="1" ht="27.95" customHeight="1" x14ac:dyDescent="0.45">
      <c r="A12" s="77">
        <v>44993</v>
      </c>
      <c r="B12" s="67">
        <v>15848820</v>
      </c>
      <c r="C12" s="65">
        <f t="shared" si="10"/>
        <v>8433</v>
      </c>
      <c r="D12" s="65">
        <v>17084238</v>
      </c>
      <c r="E12" s="65">
        <f t="shared" si="11"/>
        <v>7563</v>
      </c>
      <c r="F12" s="65">
        <v>404334</v>
      </c>
      <c r="G12" s="65">
        <f t="shared" si="12"/>
        <v>118</v>
      </c>
      <c r="H12" s="66">
        <f t="shared" si="0"/>
        <v>16114</v>
      </c>
      <c r="I12" s="89">
        <f>H12*0.2</f>
        <v>3222.8</v>
      </c>
      <c r="J12" s="67">
        <v>40240</v>
      </c>
      <c r="K12" s="65">
        <f t="shared" si="13"/>
        <v>92</v>
      </c>
      <c r="L12" s="45">
        <f t="shared" si="2"/>
        <v>721.28</v>
      </c>
      <c r="M12" s="64">
        <v>28040</v>
      </c>
      <c r="N12" s="65">
        <f t="shared" si="14"/>
        <v>16</v>
      </c>
      <c r="O12" s="65">
        <v>15219</v>
      </c>
      <c r="P12" s="68">
        <f t="shared" si="15"/>
        <v>12</v>
      </c>
      <c r="Q12" s="68">
        <f t="shared" si="4"/>
        <v>28</v>
      </c>
      <c r="R12" s="69">
        <v>39614</v>
      </c>
      <c r="S12" s="68">
        <f t="shared" si="16"/>
        <v>27</v>
      </c>
      <c r="T12" s="81">
        <f t="shared" si="5"/>
        <v>28.503900000000002</v>
      </c>
      <c r="U12" s="79">
        <f t="shared" si="6"/>
        <v>524.64509500000008</v>
      </c>
      <c r="V12" s="67">
        <v>55870</v>
      </c>
      <c r="W12" s="65">
        <f t="shared" si="17"/>
        <v>23</v>
      </c>
      <c r="X12" s="70">
        <f t="shared" si="18"/>
        <v>6539.9350000000004</v>
      </c>
      <c r="Y12" s="70">
        <f>X12*0.3435</f>
        <v>2246.4676725000004</v>
      </c>
      <c r="Z12" s="111">
        <f t="shared" si="7"/>
        <v>4080.2717338709676</v>
      </c>
      <c r="AA12" s="43">
        <f t="shared" si="8"/>
        <v>6326.739406370968</v>
      </c>
      <c r="AB12" s="135">
        <v>2315123</v>
      </c>
      <c r="AC12" s="65">
        <f t="shared" si="9"/>
        <v>6978</v>
      </c>
      <c r="AD12" s="140">
        <v>0.80320000000000003</v>
      </c>
      <c r="AE12" s="71">
        <v>336</v>
      </c>
    </row>
    <row r="13" spans="1:31" s="3" customFormat="1" ht="27.95" customHeight="1" x14ac:dyDescent="0.45">
      <c r="A13" s="77">
        <v>44994</v>
      </c>
      <c r="B13" s="67">
        <v>15857177</v>
      </c>
      <c r="C13" s="65">
        <f t="shared" si="10"/>
        <v>8357</v>
      </c>
      <c r="D13" s="65">
        <v>17092061</v>
      </c>
      <c r="E13" s="65">
        <f t="shared" si="11"/>
        <v>7823</v>
      </c>
      <c r="F13" s="65">
        <v>404462</v>
      </c>
      <c r="G13" s="65">
        <f t="shared" si="12"/>
        <v>128</v>
      </c>
      <c r="H13" s="66">
        <f t="shared" si="0"/>
        <v>16308</v>
      </c>
      <c r="I13" s="89">
        <f t="shared" si="1"/>
        <v>3261.6000000000004</v>
      </c>
      <c r="J13" s="67">
        <v>40329</v>
      </c>
      <c r="K13" s="65">
        <f t="shared" si="13"/>
        <v>89</v>
      </c>
      <c r="L13" s="45">
        <f t="shared" si="2"/>
        <v>697.76</v>
      </c>
      <c r="M13" s="64">
        <v>28057</v>
      </c>
      <c r="N13" s="65">
        <f t="shared" si="14"/>
        <v>17</v>
      </c>
      <c r="O13" s="65">
        <v>15235</v>
      </c>
      <c r="P13" s="68">
        <f t="shared" si="15"/>
        <v>16</v>
      </c>
      <c r="Q13" s="68">
        <f t="shared" si="4"/>
        <v>33</v>
      </c>
      <c r="R13" s="69">
        <v>39646</v>
      </c>
      <c r="S13" s="68">
        <f t="shared" si="16"/>
        <v>32</v>
      </c>
      <c r="T13" s="81">
        <f t="shared" si="5"/>
        <v>33.782400000000003</v>
      </c>
      <c r="U13" s="79">
        <f t="shared" si="6"/>
        <v>582.97252000000003</v>
      </c>
      <c r="V13" s="67">
        <v>55893</v>
      </c>
      <c r="W13" s="65">
        <f t="shared" si="17"/>
        <v>23</v>
      </c>
      <c r="X13" s="70">
        <f t="shared" si="18"/>
        <v>6539.9350000000004</v>
      </c>
      <c r="Y13" s="70">
        <f t="shared" ref="Y13:Y35" si="19">X13*0.3435</f>
        <v>2246.4676725000004</v>
      </c>
      <c r="Z13" s="111">
        <f t="shared" si="7"/>
        <v>4080.2717338709676</v>
      </c>
      <c r="AA13" s="43">
        <f t="shared" si="8"/>
        <v>6326.739406370968</v>
      </c>
      <c r="AB13" s="135">
        <v>2322236</v>
      </c>
      <c r="AC13" s="65">
        <f t="shared" si="9"/>
        <v>7113</v>
      </c>
      <c r="AD13" s="138">
        <v>0.69840000000000002</v>
      </c>
      <c r="AE13" s="71">
        <v>295</v>
      </c>
    </row>
    <row r="14" spans="1:31" s="3" customFormat="1" ht="27.95" customHeight="1" x14ac:dyDescent="0.45">
      <c r="A14" s="77">
        <v>44995</v>
      </c>
      <c r="B14" s="67">
        <v>15865376</v>
      </c>
      <c r="C14" s="65">
        <f t="shared" si="10"/>
        <v>8199</v>
      </c>
      <c r="D14" s="65">
        <v>17099817</v>
      </c>
      <c r="E14" s="65">
        <f t="shared" si="11"/>
        <v>7756</v>
      </c>
      <c r="F14" s="65">
        <v>404589</v>
      </c>
      <c r="G14" s="65">
        <f t="shared" si="12"/>
        <v>127</v>
      </c>
      <c r="H14" s="66">
        <f t="shared" si="0"/>
        <v>16082</v>
      </c>
      <c r="I14" s="89">
        <f t="shared" si="1"/>
        <v>3216.4</v>
      </c>
      <c r="J14" s="67">
        <v>40419</v>
      </c>
      <c r="K14" s="65">
        <f t="shared" si="13"/>
        <v>90</v>
      </c>
      <c r="L14" s="45">
        <f t="shared" si="2"/>
        <v>705.6</v>
      </c>
      <c r="M14" s="64">
        <v>28073</v>
      </c>
      <c r="N14" s="65">
        <f t="shared" si="14"/>
        <v>16</v>
      </c>
      <c r="O14" s="65">
        <v>15248</v>
      </c>
      <c r="P14" s="68">
        <f t="shared" si="15"/>
        <v>13</v>
      </c>
      <c r="Q14" s="68">
        <f t="shared" si="4"/>
        <v>29</v>
      </c>
      <c r="R14" s="69">
        <v>39675</v>
      </c>
      <c r="S14" s="68">
        <f t="shared" si="16"/>
        <v>29</v>
      </c>
      <c r="T14" s="81">
        <f t="shared" si="5"/>
        <v>30.615300000000001</v>
      </c>
      <c r="U14" s="79">
        <f t="shared" si="6"/>
        <v>547.97606500000006</v>
      </c>
      <c r="V14" s="67">
        <v>55916</v>
      </c>
      <c r="W14" s="65">
        <f t="shared" si="17"/>
        <v>23</v>
      </c>
      <c r="X14" s="70">
        <f t="shared" si="18"/>
        <v>6539.9350000000004</v>
      </c>
      <c r="Y14" s="70">
        <f t="shared" si="19"/>
        <v>2246.4676725000004</v>
      </c>
      <c r="Z14" s="111">
        <f t="shared" si="7"/>
        <v>4080.2717338709676</v>
      </c>
      <c r="AA14" s="43">
        <f t="shared" si="8"/>
        <v>6326.739406370968</v>
      </c>
      <c r="AB14" s="135">
        <v>2329333</v>
      </c>
      <c r="AC14" s="65">
        <f t="shared" si="9"/>
        <v>7097</v>
      </c>
      <c r="AD14" s="138">
        <v>0.67300000000000004</v>
      </c>
      <c r="AE14" s="71">
        <v>316</v>
      </c>
    </row>
    <row r="15" spans="1:31" s="3" customFormat="1" ht="27.95" customHeight="1" x14ac:dyDescent="0.45">
      <c r="A15" s="77">
        <v>44996</v>
      </c>
      <c r="B15" s="67">
        <v>15873625</v>
      </c>
      <c r="C15" s="65">
        <f t="shared" si="10"/>
        <v>8249</v>
      </c>
      <c r="D15" s="65">
        <v>17107043</v>
      </c>
      <c r="E15" s="65">
        <f t="shared" si="11"/>
        <v>7226</v>
      </c>
      <c r="F15" s="65">
        <v>404716</v>
      </c>
      <c r="G15" s="65">
        <f t="shared" si="12"/>
        <v>127</v>
      </c>
      <c r="H15" s="66">
        <f t="shared" si="0"/>
        <v>15602</v>
      </c>
      <c r="I15" s="89">
        <f t="shared" si="1"/>
        <v>3120.4</v>
      </c>
      <c r="J15" s="67">
        <v>40513</v>
      </c>
      <c r="K15" s="65">
        <f t="shared" si="13"/>
        <v>94</v>
      </c>
      <c r="L15" s="45">
        <f t="shared" si="2"/>
        <v>736.96</v>
      </c>
      <c r="M15" s="64">
        <v>28090</v>
      </c>
      <c r="N15" s="65">
        <f t="shared" si="14"/>
        <v>17</v>
      </c>
      <c r="O15" s="65">
        <v>15257</v>
      </c>
      <c r="P15" s="68">
        <f t="shared" si="15"/>
        <v>9</v>
      </c>
      <c r="Q15" s="68">
        <f t="shared" si="4"/>
        <v>26</v>
      </c>
      <c r="R15" s="69">
        <v>39700</v>
      </c>
      <c r="S15" s="68">
        <f t="shared" si="16"/>
        <v>25</v>
      </c>
      <c r="T15" s="81">
        <f t="shared" si="5"/>
        <v>26.392500000000002</v>
      </c>
      <c r="U15" s="79">
        <f t="shared" si="6"/>
        <v>501.31412499999999</v>
      </c>
      <c r="V15" s="67">
        <v>55939</v>
      </c>
      <c r="W15" s="65">
        <f t="shared" si="17"/>
        <v>23</v>
      </c>
      <c r="X15" s="70">
        <f t="shared" si="18"/>
        <v>6539.9350000000004</v>
      </c>
      <c r="Y15" s="70">
        <f t="shared" si="19"/>
        <v>2246.4676725000004</v>
      </c>
      <c r="Z15" s="111">
        <f t="shared" si="7"/>
        <v>4080.2717338709676</v>
      </c>
      <c r="AA15" s="43">
        <f t="shared" si="8"/>
        <v>6326.739406370968</v>
      </c>
      <c r="AB15" s="135">
        <v>2336141</v>
      </c>
      <c r="AC15" s="65">
        <f t="shared" si="9"/>
        <v>6808</v>
      </c>
      <c r="AD15" s="138">
        <v>0.67620000000000002</v>
      </c>
      <c r="AE15" s="71">
        <v>309</v>
      </c>
    </row>
    <row r="16" spans="1:31" s="3" customFormat="1" ht="27.95" customHeight="1" x14ac:dyDescent="0.45">
      <c r="A16" s="77">
        <v>44997</v>
      </c>
      <c r="B16" s="67">
        <v>15881771</v>
      </c>
      <c r="C16" s="65">
        <f t="shared" si="10"/>
        <v>8146</v>
      </c>
      <c r="D16" s="65">
        <v>17114160</v>
      </c>
      <c r="E16" s="65">
        <f t="shared" si="11"/>
        <v>7117</v>
      </c>
      <c r="F16" s="65">
        <v>404844</v>
      </c>
      <c r="G16" s="65">
        <f t="shared" si="12"/>
        <v>128</v>
      </c>
      <c r="H16" s="66">
        <f t="shared" si="0"/>
        <v>15391</v>
      </c>
      <c r="I16" s="89">
        <f t="shared" si="1"/>
        <v>3078.2000000000003</v>
      </c>
      <c r="J16" s="67">
        <v>40616</v>
      </c>
      <c r="K16" s="65">
        <f t="shared" si="13"/>
        <v>103</v>
      </c>
      <c r="L16" s="45">
        <f t="shared" si="2"/>
        <v>807.52</v>
      </c>
      <c r="M16" s="64">
        <v>28105</v>
      </c>
      <c r="N16" s="65">
        <f t="shared" si="14"/>
        <v>15</v>
      </c>
      <c r="O16" s="65">
        <v>15268</v>
      </c>
      <c r="P16" s="68">
        <f t="shared" si="15"/>
        <v>11</v>
      </c>
      <c r="Q16" s="68">
        <f t="shared" si="4"/>
        <v>26</v>
      </c>
      <c r="R16" s="69">
        <v>39725</v>
      </c>
      <c r="S16" s="68">
        <f t="shared" si="16"/>
        <v>25</v>
      </c>
      <c r="T16" s="81">
        <f t="shared" si="5"/>
        <v>26.392500000000002</v>
      </c>
      <c r="U16" s="79">
        <f t="shared" si="6"/>
        <v>501.31412499999999</v>
      </c>
      <c r="V16" s="67">
        <v>55962</v>
      </c>
      <c r="W16" s="65">
        <f t="shared" si="17"/>
        <v>23</v>
      </c>
      <c r="X16" s="70">
        <f t="shared" si="18"/>
        <v>6539.9350000000004</v>
      </c>
      <c r="Y16" s="70">
        <f t="shared" si="19"/>
        <v>2246.4676725000004</v>
      </c>
      <c r="Z16" s="111">
        <f t="shared" si="7"/>
        <v>4080.2717338709676</v>
      </c>
      <c r="AA16" s="43">
        <f t="shared" si="8"/>
        <v>6326.739406370968</v>
      </c>
      <c r="AB16" s="135">
        <v>2342873</v>
      </c>
      <c r="AC16" s="65">
        <f t="shared" si="9"/>
        <v>6732</v>
      </c>
      <c r="AD16" s="138">
        <v>0.68569999999999998</v>
      </c>
      <c r="AE16" s="71">
        <v>298</v>
      </c>
    </row>
    <row r="17" spans="1:31" s="3" customFormat="1" ht="27.95" customHeight="1" x14ac:dyDescent="0.45">
      <c r="A17" s="77">
        <v>44998</v>
      </c>
      <c r="B17" s="67">
        <v>15889915</v>
      </c>
      <c r="C17" s="65">
        <f t="shared" si="10"/>
        <v>8144</v>
      </c>
      <c r="D17" s="65">
        <v>17121859</v>
      </c>
      <c r="E17" s="65">
        <f t="shared" si="11"/>
        <v>7699</v>
      </c>
      <c r="F17" s="65">
        <v>404960</v>
      </c>
      <c r="G17" s="65">
        <f t="shared" si="12"/>
        <v>116</v>
      </c>
      <c r="H17" s="66">
        <f t="shared" si="0"/>
        <v>15959</v>
      </c>
      <c r="I17" s="89">
        <f t="shared" si="1"/>
        <v>3191.8</v>
      </c>
      <c r="J17" s="67">
        <v>40719</v>
      </c>
      <c r="K17" s="65">
        <f t="shared" si="13"/>
        <v>103</v>
      </c>
      <c r="L17" s="45">
        <f t="shared" si="2"/>
        <v>807.52</v>
      </c>
      <c r="M17" s="64">
        <v>28120</v>
      </c>
      <c r="N17" s="65">
        <f t="shared" si="14"/>
        <v>15</v>
      </c>
      <c r="O17" s="65">
        <v>15281</v>
      </c>
      <c r="P17" s="68">
        <f t="shared" si="15"/>
        <v>13</v>
      </c>
      <c r="Q17" s="68">
        <f t="shared" si="4"/>
        <v>28</v>
      </c>
      <c r="R17" s="69">
        <v>39751</v>
      </c>
      <c r="S17" s="68">
        <f t="shared" si="16"/>
        <v>26</v>
      </c>
      <c r="T17" s="81">
        <f t="shared" si="5"/>
        <v>27.448200000000003</v>
      </c>
      <c r="U17" s="79">
        <f t="shared" si="6"/>
        <v>512.97961000000009</v>
      </c>
      <c r="V17" s="67">
        <v>55986</v>
      </c>
      <c r="W17" s="65">
        <f t="shared" si="17"/>
        <v>24</v>
      </c>
      <c r="X17" s="70">
        <f t="shared" si="18"/>
        <v>6824.2800000000007</v>
      </c>
      <c r="Y17" s="70">
        <f t="shared" si="19"/>
        <v>2344.1401800000003</v>
      </c>
      <c r="Z17" s="111">
        <f t="shared" si="7"/>
        <v>4080.2717338709676</v>
      </c>
      <c r="AA17" s="43">
        <f t="shared" si="8"/>
        <v>6424.4119138709684</v>
      </c>
      <c r="AB17" s="135">
        <v>2350133</v>
      </c>
      <c r="AC17" s="65">
        <f t="shared" si="9"/>
        <v>7260</v>
      </c>
      <c r="AD17" s="138">
        <v>0.85399999999999998</v>
      </c>
      <c r="AE17" s="71">
        <v>357</v>
      </c>
    </row>
    <row r="18" spans="1:31" s="3" customFormat="1" ht="27.95" customHeight="1" x14ac:dyDescent="0.45">
      <c r="A18" s="77">
        <v>44999</v>
      </c>
      <c r="B18" s="67">
        <v>15898108</v>
      </c>
      <c r="C18" s="65">
        <f t="shared" si="10"/>
        <v>8193</v>
      </c>
      <c r="D18" s="65">
        <v>17129203</v>
      </c>
      <c r="E18" s="65">
        <f t="shared" si="11"/>
        <v>7344</v>
      </c>
      <c r="F18" s="65">
        <v>405082</v>
      </c>
      <c r="G18" s="65">
        <f t="shared" si="12"/>
        <v>122</v>
      </c>
      <c r="H18" s="66">
        <f t="shared" si="0"/>
        <v>15659</v>
      </c>
      <c r="I18" s="89">
        <f t="shared" si="1"/>
        <v>3131.8</v>
      </c>
      <c r="J18" s="67">
        <v>40818</v>
      </c>
      <c r="K18" s="65">
        <f t="shared" si="13"/>
        <v>99</v>
      </c>
      <c r="L18" s="45">
        <f t="shared" si="2"/>
        <v>776.16</v>
      </c>
      <c r="M18" s="64">
        <v>28136</v>
      </c>
      <c r="N18" s="65">
        <f t="shared" si="14"/>
        <v>16</v>
      </c>
      <c r="O18" s="65">
        <v>15292</v>
      </c>
      <c r="P18" s="68">
        <f t="shared" si="15"/>
        <v>11</v>
      </c>
      <c r="Q18" s="68">
        <f t="shared" si="4"/>
        <v>27</v>
      </c>
      <c r="R18" s="69">
        <v>39778</v>
      </c>
      <c r="S18" s="68">
        <f t="shared" si="16"/>
        <v>27</v>
      </c>
      <c r="T18" s="81">
        <f t="shared" si="5"/>
        <v>28.503900000000002</v>
      </c>
      <c r="U18" s="79">
        <f t="shared" si="6"/>
        <v>524.64509500000008</v>
      </c>
      <c r="V18" s="67">
        <v>56012</v>
      </c>
      <c r="W18" s="65">
        <f t="shared" si="17"/>
        <v>26</v>
      </c>
      <c r="X18" s="70">
        <f t="shared" si="18"/>
        <v>7392.9700000000012</v>
      </c>
      <c r="Y18" s="70">
        <f t="shared" si="19"/>
        <v>2539.4851950000007</v>
      </c>
      <c r="Z18" s="111">
        <f t="shared" si="7"/>
        <v>4080.2717338709676</v>
      </c>
      <c r="AA18" s="43">
        <f t="shared" si="8"/>
        <v>6619.7569288709683</v>
      </c>
      <c r="AB18" s="135">
        <v>2358007</v>
      </c>
      <c r="AC18" s="65">
        <f t="shared" si="9"/>
        <v>7874</v>
      </c>
      <c r="AD18" s="138">
        <v>0.88890000000000002</v>
      </c>
      <c r="AE18" s="71">
        <v>380</v>
      </c>
    </row>
    <row r="19" spans="1:31" s="3" customFormat="1" ht="27.95" customHeight="1" x14ac:dyDescent="0.45">
      <c r="A19" s="77">
        <v>45000</v>
      </c>
      <c r="B19" s="67">
        <v>15906454</v>
      </c>
      <c r="C19" s="65">
        <f t="shared" si="10"/>
        <v>8346</v>
      </c>
      <c r="D19" s="65">
        <v>17136326</v>
      </c>
      <c r="E19" s="65">
        <f t="shared" si="11"/>
        <v>7123</v>
      </c>
      <c r="F19" s="65">
        <v>405207</v>
      </c>
      <c r="G19" s="65">
        <f t="shared" si="12"/>
        <v>125</v>
      </c>
      <c r="H19" s="66">
        <f t="shared" si="0"/>
        <v>15594</v>
      </c>
      <c r="I19" s="89">
        <f t="shared" si="1"/>
        <v>3118.8</v>
      </c>
      <c r="J19" s="67">
        <v>40916</v>
      </c>
      <c r="K19" s="65">
        <f t="shared" si="13"/>
        <v>98</v>
      </c>
      <c r="L19" s="45">
        <f t="shared" si="2"/>
        <v>768.31999999999994</v>
      </c>
      <c r="M19" s="64">
        <v>28152</v>
      </c>
      <c r="N19" s="65">
        <f t="shared" si="14"/>
        <v>16</v>
      </c>
      <c r="O19" s="65">
        <v>15304</v>
      </c>
      <c r="P19" s="68">
        <f t="shared" si="15"/>
        <v>12</v>
      </c>
      <c r="Q19" s="68">
        <f t="shared" si="4"/>
        <v>28</v>
      </c>
      <c r="R19" s="69">
        <v>39805</v>
      </c>
      <c r="S19" s="68">
        <f t="shared" si="16"/>
        <v>27</v>
      </c>
      <c r="T19" s="81">
        <f t="shared" si="5"/>
        <v>28.503900000000002</v>
      </c>
      <c r="U19" s="79">
        <f t="shared" si="6"/>
        <v>524.64509500000008</v>
      </c>
      <c r="V19" s="67">
        <v>56038</v>
      </c>
      <c r="W19" s="65">
        <f t="shared" si="17"/>
        <v>26</v>
      </c>
      <c r="X19" s="70">
        <f t="shared" si="18"/>
        <v>7392.9700000000012</v>
      </c>
      <c r="Y19" s="70">
        <f t="shared" si="19"/>
        <v>2539.4851950000007</v>
      </c>
      <c r="Z19" s="111">
        <f t="shared" si="7"/>
        <v>4080.2717338709676</v>
      </c>
      <c r="AA19" s="43">
        <f t="shared" si="8"/>
        <v>6619.7569288709683</v>
      </c>
      <c r="AB19" s="135">
        <v>2365912</v>
      </c>
      <c r="AC19" s="65">
        <f t="shared" si="9"/>
        <v>7905</v>
      </c>
      <c r="AD19" s="138">
        <v>0.89839999999999998</v>
      </c>
      <c r="AE19" s="71">
        <v>372</v>
      </c>
    </row>
    <row r="20" spans="1:31" s="3" customFormat="1" ht="27.95" customHeight="1" x14ac:dyDescent="0.45">
      <c r="A20" s="77">
        <v>45001</v>
      </c>
      <c r="B20" s="67">
        <v>15914640</v>
      </c>
      <c r="C20" s="65">
        <f t="shared" si="10"/>
        <v>8186</v>
      </c>
      <c r="D20" s="65">
        <v>17143609</v>
      </c>
      <c r="E20" s="65">
        <f t="shared" si="11"/>
        <v>7283</v>
      </c>
      <c r="F20" s="65">
        <v>405335</v>
      </c>
      <c r="G20" s="65">
        <f t="shared" si="12"/>
        <v>128</v>
      </c>
      <c r="H20" s="66">
        <f t="shared" si="0"/>
        <v>15597</v>
      </c>
      <c r="I20" s="89">
        <f t="shared" si="1"/>
        <v>3119.4</v>
      </c>
      <c r="J20" s="67">
        <v>41022</v>
      </c>
      <c r="K20" s="65">
        <f t="shared" si="13"/>
        <v>106</v>
      </c>
      <c r="L20" s="45">
        <f t="shared" si="2"/>
        <v>831.04</v>
      </c>
      <c r="M20" s="64">
        <v>28168</v>
      </c>
      <c r="N20" s="65">
        <f t="shared" si="14"/>
        <v>16</v>
      </c>
      <c r="O20" s="65">
        <v>15318</v>
      </c>
      <c r="P20" s="68">
        <f t="shared" si="15"/>
        <v>14</v>
      </c>
      <c r="Q20" s="68">
        <f t="shared" si="4"/>
        <v>30</v>
      </c>
      <c r="R20" s="69">
        <v>39834</v>
      </c>
      <c r="S20" s="68">
        <f t="shared" si="16"/>
        <v>29</v>
      </c>
      <c r="T20" s="81">
        <f t="shared" si="5"/>
        <v>30.615300000000001</v>
      </c>
      <c r="U20" s="79">
        <f t="shared" si="6"/>
        <v>547.97606500000006</v>
      </c>
      <c r="V20" s="67">
        <v>56063</v>
      </c>
      <c r="W20" s="65">
        <f t="shared" si="17"/>
        <v>25</v>
      </c>
      <c r="X20" s="70">
        <f t="shared" si="18"/>
        <v>7108.6250000000009</v>
      </c>
      <c r="Y20" s="70">
        <f t="shared" si="19"/>
        <v>2441.8126875000007</v>
      </c>
      <c r="Z20" s="111">
        <f t="shared" si="7"/>
        <v>4080.2717338709676</v>
      </c>
      <c r="AA20" s="43">
        <f t="shared" si="8"/>
        <v>6522.0844213709679</v>
      </c>
      <c r="AB20" s="135">
        <v>2373733</v>
      </c>
      <c r="AC20" s="65">
        <f t="shared" si="9"/>
        <v>7821</v>
      </c>
      <c r="AD20" s="138">
        <v>0.83809999999999996</v>
      </c>
      <c r="AE20" s="71">
        <v>363</v>
      </c>
    </row>
    <row r="21" spans="1:31" s="3" customFormat="1" ht="27.95" customHeight="1" x14ac:dyDescent="0.45">
      <c r="A21" s="77">
        <v>45002</v>
      </c>
      <c r="B21" s="67">
        <v>15922744</v>
      </c>
      <c r="C21" s="65">
        <f t="shared" si="10"/>
        <v>8104</v>
      </c>
      <c r="D21" s="65">
        <v>17151354</v>
      </c>
      <c r="E21" s="65">
        <f t="shared" si="11"/>
        <v>7745</v>
      </c>
      <c r="F21" s="65">
        <v>405458</v>
      </c>
      <c r="G21" s="65">
        <f t="shared" si="12"/>
        <v>123</v>
      </c>
      <c r="H21" s="66">
        <f t="shared" si="0"/>
        <v>15972</v>
      </c>
      <c r="I21" s="89">
        <f t="shared" si="1"/>
        <v>3194.4</v>
      </c>
      <c r="J21" s="67">
        <v>41135</v>
      </c>
      <c r="K21" s="65">
        <f t="shared" si="13"/>
        <v>113</v>
      </c>
      <c r="L21" s="45">
        <f t="shared" si="2"/>
        <v>885.92</v>
      </c>
      <c r="M21" s="64">
        <v>28185</v>
      </c>
      <c r="N21" s="65">
        <f t="shared" si="14"/>
        <v>17</v>
      </c>
      <c r="O21" s="65">
        <v>15331</v>
      </c>
      <c r="P21" s="68">
        <f t="shared" si="15"/>
        <v>13</v>
      </c>
      <c r="Q21" s="68">
        <f t="shared" si="4"/>
        <v>30</v>
      </c>
      <c r="R21" s="69">
        <v>39863</v>
      </c>
      <c r="S21" s="68">
        <f t="shared" si="16"/>
        <v>29</v>
      </c>
      <c r="T21" s="81">
        <f t="shared" si="5"/>
        <v>30.615300000000001</v>
      </c>
      <c r="U21" s="79">
        <f t="shared" si="6"/>
        <v>547.97606500000006</v>
      </c>
      <c r="V21" s="67">
        <v>56087</v>
      </c>
      <c r="W21" s="65">
        <f t="shared" si="17"/>
        <v>24</v>
      </c>
      <c r="X21" s="70">
        <f t="shared" si="18"/>
        <v>6824.2800000000007</v>
      </c>
      <c r="Y21" s="70">
        <f t="shared" si="19"/>
        <v>2344.1401800000003</v>
      </c>
      <c r="Z21" s="111">
        <f t="shared" si="7"/>
        <v>4080.2717338709676</v>
      </c>
      <c r="AA21" s="43">
        <f t="shared" si="8"/>
        <v>6424.4119138709684</v>
      </c>
      <c r="AB21" s="135">
        <v>2381025</v>
      </c>
      <c r="AC21" s="65">
        <f t="shared" si="9"/>
        <v>7292</v>
      </c>
      <c r="AD21" s="138">
        <v>0.56830000000000003</v>
      </c>
      <c r="AE21" s="71">
        <v>257</v>
      </c>
    </row>
    <row r="22" spans="1:31" s="3" customFormat="1" ht="27.95" customHeight="1" x14ac:dyDescent="0.45">
      <c r="A22" s="77">
        <v>45003</v>
      </c>
      <c r="B22" s="67">
        <v>15930666</v>
      </c>
      <c r="C22" s="65">
        <f t="shared" si="10"/>
        <v>7922</v>
      </c>
      <c r="D22" s="65">
        <v>17159003</v>
      </c>
      <c r="E22" s="65">
        <f t="shared" si="11"/>
        <v>7649</v>
      </c>
      <c r="F22" s="65">
        <v>405586</v>
      </c>
      <c r="G22" s="65">
        <f t="shared" si="12"/>
        <v>128</v>
      </c>
      <c r="H22" s="66">
        <f t="shared" si="0"/>
        <v>15699</v>
      </c>
      <c r="I22" s="89">
        <f t="shared" si="1"/>
        <v>3139.8</v>
      </c>
      <c r="J22" s="67">
        <v>41211</v>
      </c>
      <c r="K22" s="65">
        <f t="shared" si="13"/>
        <v>76</v>
      </c>
      <c r="L22" s="45">
        <f t="shared" si="2"/>
        <v>595.84</v>
      </c>
      <c r="M22" s="64">
        <v>28204</v>
      </c>
      <c r="N22" s="65">
        <f t="shared" si="14"/>
        <v>19</v>
      </c>
      <c r="O22" s="65">
        <v>15341</v>
      </c>
      <c r="P22" s="68">
        <f t="shared" si="15"/>
        <v>10</v>
      </c>
      <c r="Q22" s="68">
        <f t="shared" si="4"/>
        <v>29</v>
      </c>
      <c r="R22" s="69">
        <v>39891</v>
      </c>
      <c r="S22" s="68">
        <f t="shared" si="16"/>
        <v>28</v>
      </c>
      <c r="T22" s="81">
        <f t="shared" si="5"/>
        <v>29.559600000000003</v>
      </c>
      <c r="U22" s="79">
        <f t="shared" si="6"/>
        <v>536.31058000000007</v>
      </c>
      <c r="V22" s="67">
        <v>56109</v>
      </c>
      <c r="W22" s="65">
        <f t="shared" si="17"/>
        <v>22</v>
      </c>
      <c r="X22" s="70">
        <f t="shared" si="18"/>
        <v>6255.59</v>
      </c>
      <c r="Y22" s="70">
        <f t="shared" si="19"/>
        <v>2148.795165</v>
      </c>
      <c r="Z22" s="111">
        <f t="shared" si="7"/>
        <v>4080.2717338709676</v>
      </c>
      <c r="AA22" s="43">
        <f t="shared" si="8"/>
        <v>6229.0668988709676</v>
      </c>
      <c r="AB22" s="135">
        <v>2387557</v>
      </c>
      <c r="AC22" s="65">
        <f t="shared" si="9"/>
        <v>6532</v>
      </c>
      <c r="AD22" s="138">
        <v>0.5333</v>
      </c>
      <c r="AE22" s="71">
        <v>238</v>
      </c>
    </row>
    <row r="23" spans="1:31" s="3" customFormat="1" ht="27.95" customHeight="1" x14ac:dyDescent="0.45">
      <c r="A23" s="77">
        <v>45004</v>
      </c>
      <c r="B23" s="67">
        <v>15938398</v>
      </c>
      <c r="C23" s="65">
        <f t="shared" si="10"/>
        <v>7732</v>
      </c>
      <c r="D23" s="65">
        <v>17166477</v>
      </c>
      <c r="E23" s="65">
        <f t="shared" si="11"/>
        <v>7474</v>
      </c>
      <c r="F23" s="65">
        <v>405711</v>
      </c>
      <c r="G23" s="65">
        <f t="shared" si="12"/>
        <v>125</v>
      </c>
      <c r="H23" s="66">
        <f t="shared" si="0"/>
        <v>15331</v>
      </c>
      <c r="I23" s="89">
        <f t="shared" si="1"/>
        <v>3066.2000000000003</v>
      </c>
      <c r="J23" s="67">
        <v>41295</v>
      </c>
      <c r="K23" s="65">
        <f t="shared" si="13"/>
        <v>84</v>
      </c>
      <c r="L23" s="45">
        <f t="shared" si="2"/>
        <v>658.56</v>
      </c>
      <c r="M23" s="64">
        <v>28220</v>
      </c>
      <c r="N23" s="65">
        <f t="shared" si="14"/>
        <v>16</v>
      </c>
      <c r="O23" s="65">
        <v>15351</v>
      </c>
      <c r="P23" s="68">
        <f t="shared" si="15"/>
        <v>10</v>
      </c>
      <c r="Q23" s="68">
        <f t="shared" si="4"/>
        <v>26</v>
      </c>
      <c r="R23" s="69">
        <v>39916</v>
      </c>
      <c r="S23" s="68">
        <f t="shared" si="16"/>
        <v>25</v>
      </c>
      <c r="T23" s="81">
        <f t="shared" si="5"/>
        <v>26.392500000000002</v>
      </c>
      <c r="U23" s="79">
        <f t="shared" si="6"/>
        <v>501.31412499999999</v>
      </c>
      <c r="V23" s="67">
        <v>56129</v>
      </c>
      <c r="W23" s="65">
        <f>IF(ISBLANK(V23)," ",V23-V22)</f>
        <v>20</v>
      </c>
      <c r="X23" s="70">
        <f t="shared" si="18"/>
        <v>5686.9000000000005</v>
      </c>
      <c r="Y23" s="70">
        <f t="shared" si="19"/>
        <v>1953.4501500000003</v>
      </c>
      <c r="Z23" s="111">
        <f t="shared" si="7"/>
        <v>4080.2717338709676</v>
      </c>
      <c r="AA23" s="43">
        <f t="shared" si="8"/>
        <v>6033.7218838709678</v>
      </c>
      <c r="AB23" s="135">
        <v>2393641</v>
      </c>
      <c r="AC23" s="65">
        <f t="shared" si="9"/>
        <v>6084</v>
      </c>
      <c r="AD23" s="138">
        <v>0.5111</v>
      </c>
      <c r="AE23" s="71">
        <v>215</v>
      </c>
    </row>
    <row r="24" spans="1:31" s="3" customFormat="1" ht="27.95" customHeight="1" x14ac:dyDescent="0.45">
      <c r="A24" s="77">
        <v>45005</v>
      </c>
      <c r="B24" s="67">
        <v>15946304</v>
      </c>
      <c r="C24" s="65">
        <f t="shared" si="10"/>
        <v>7906</v>
      </c>
      <c r="D24" s="65">
        <v>17173635</v>
      </c>
      <c r="E24" s="65">
        <f t="shared" si="11"/>
        <v>7158</v>
      </c>
      <c r="F24" s="65">
        <v>405840</v>
      </c>
      <c r="G24" s="65">
        <f t="shared" si="12"/>
        <v>129</v>
      </c>
      <c r="H24" s="66">
        <f t="shared" si="0"/>
        <v>15193</v>
      </c>
      <c r="I24" s="89">
        <f t="shared" si="1"/>
        <v>3038.6000000000004</v>
      </c>
      <c r="J24" s="67">
        <v>41377</v>
      </c>
      <c r="K24" s="65">
        <f t="shared" si="13"/>
        <v>82</v>
      </c>
      <c r="L24" s="45">
        <f t="shared" si="2"/>
        <v>642.88</v>
      </c>
      <c r="M24" s="64">
        <v>28236</v>
      </c>
      <c r="N24" s="65">
        <f t="shared" si="14"/>
        <v>16</v>
      </c>
      <c r="O24" s="65">
        <v>15363</v>
      </c>
      <c r="P24" s="68">
        <f t="shared" si="15"/>
        <v>12</v>
      </c>
      <c r="Q24" s="68">
        <f t="shared" si="4"/>
        <v>28</v>
      </c>
      <c r="R24" s="69">
        <v>39943</v>
      </c>
      <c r="S24" s="68">
        <f t="shared" si="16"/>
        <v>27</v>
      </c>
      <c r="T24" s="81">
        <f t="shared" si="5"/>
        <v>28.503900000000002</v>
      </c>
      <c r="U24" s="79">
        <f t="shared" si="6"/>
        <v>524.64509500000008</v>
      </c>
      <c r="V24" s="67">
        <v>56151</v>
      </c>
      <c r="W24" s="65">
        <f t="shared" ref="W24:W35" si="20">IF(ISBLANK(V24)," ",V24-V23)</f>
        <v>22</v>
      </c>
      <c r="X24" s="70">
        <f t="shared" si="18"/>
        <v>6255.59</v>
      </c>
      <c r="Y24" s="70">
        <f t="shared" si="19"/>
        <v>2148.795165</v>
      </c>
      <c r="Z24" s="111">
        <f t="shared" si="7"/>
        <v>4080.2717338709676</v>
      </c>
      <c r="AA24" s="43">
        <f t="shared" si="8"/>
        <v>6229.0668988709676</v>
      </c>
      <c r="AB24" s="135">
        <v>2400437</v>
      </c>
      <c r="AC24" s="65">
        <f t="shared" si="9"/>
        <v>6796</v>
      </c>
      <c r="AD24" s="138">
        <v>0.64759999999999995</v>
      </c>
      <c r="AE24" s="71">
        <v>265</v>
      </c>
    </row>
    <row r="25" spans="1:31" s="7" customFormat="1" ht="27.95" customHeight="1" x14ac:dyDescent="0.45">
      <c r="A25" s="77">
        <v>45006</v>
      </c>
      <c r="B25" s="67">
        <v>15954174</v>
      </c>
      <c r="C25" s="65">
        <f t="shared" si="10"/>
        <v>7870</v>
      </c>
      <c r="D25" s="65">
        <v>17181346</v>
      </c>
      <c r="E25" s="65">
        <f t="shared" si="11"/>
        <v>7711</v>
      </c>
      <c r="F25" s="65">
        <v>405965</v>
      </c>
      <c r="G25" s="65">
        <f t="shared" si="12"/>
        <v>125</v>
      </c>
      <c r="H25" s="66">
        <f t="shared" si="0"/>
        <v>15706</v>
      </c>
      <c r="I25" s="89">
        <f t="shared" si="1"/>
        <v>3141.2000000000003</v>
      </c>
      <c r="J25" s="67">
        <v>41466</v>
      </c>
      <c r="K25" s="65">
        <f t="shared" si="13"/>
        <v>89</v>
      </c>
      <c r="L25" s="45">
        <f t="shared" si="2"/>
        <v>697.76</v>
      </c>
      <c r="M25" s="64">
        <v>28252</v>
      </c>
      <c r="N25" s="65">
        <f t="shared" si="14"/>
        <v>16</v>
      </c>
      <c r="O25" s="65">
        <v>15378</v>
      </c>
      <c r="P25" s="68">
        <f t="shared" si="15"/>
        <v>15</v>
      </c>
      <c r="Q25" s="68">
        <f t="shared" si="4"/>
        <v>31</v>
      </c>
      <c r="R25" s="69">
        <v>39973</v>
      </c>
      <c r="S25" s="68">
        <f t="shared" si="16"/>
        <v>30</v>
      </c>
      <c r="T25" s="81">
        <f>S25*1.0557</f>
        <v>31.671000000000003</v>
      </c>
      <c r="U25" s="79">
        <f t="shared" si="6"/>
        <v>559.64155000000005</v>
      </c>
      <c r="V25" s="67">
        <v>56174</v>
      </c>
      <c r="W25" s="65">
        <f t="shared" si="20"/>
        <v>23</v>
      </c>
      <c r="X25" s="70">
        <f t="shared" si="18"/>
        <v>6539.9350000000004</v>
      </c>
      <c r="Y25" s="70">
        <f t="shared" si="19"/>
        <v>2246.4676725000004</v>
      </c>
      <c r="Z25" s="111">
        <f t="shared" si="7"/>
        <v>4080.2717338709676</v>
      </c>
      <c r="AA25" s="44">
        <f t="shared" si="8"/>
        <v>6326.739406370968</v>
      </c>
      <c r="AB25" s="135">
        <v>2407388</v>
      </c>
      <c r="AC25" s="65">
        <f t="shared" si="9"/>
        <v>6951</v>
      </c>
      <c r="AD25" s="141">
        <v>0.6825</v>
      </c>
      <c r="AE25" s="142">
        <v>280</v>
      </c>
    </row>
    <row r="26" spans="1:31" s="3" customFormat="1" ht="27.95" customHeight="1" x14ac:dyDescent="0.45">
      <c r="A26" s="77">
        <v>45007</v>
      </c>
      <c r="B26" s="67">
        <v>15962578</v>
      </c>
      <c r="C26" s="65">
        <f t="shared" si="10"/>
        <v>8404</v>
      </c>
      <c r="D26" s="65">
        <v>17189029</v>
      </c>
      <c r="E26" s="65">
        <f t="shared" si="11"/>
        <v>7683</v>
      </c>
      <c r="F26" s="65">
        <v>406094</v>
      </c>
      <c r="G26" s="65">
        <f t="shared" si="12"/>
        <v>129</v>
      </c>
      <c r="H26" s="66">
        <f t="shared" si="0"/>
        <v>16216</v>
      </c>
      <c r="I26" s="89">
        <f t="shared" si="1"/>
        <v>3243.2000000000003</v>
      </c>
      <c r="J26" s="67">
        <v>41586</v>
      </c>
      <c r="K26" s="65">
        <f t="shared" si="13"/>
        <v>120</v>
      </c>
      <c r="L26" s="45">
        <f t="shared" si="2"/>
        <v>940.8</v>
      </c>
      <c r="M26" s="64">
        <v>28267</v>
      </c>
      <c r="N26" s="65">
        <f t="shared" si="14"/>
        <v>15</v>
      </c>
      <c r="O26" s="65">
        <v>15390</v>
      </c>
      <c r="P26" s="68">
        <f t="shared" si="15"/>
        <v>12</v>
      </c>
      <c r="Q26" s="68">
        <f t="shared" si="4"/>
        <v>27</v>
      </c>
      <c r="R26" s="69">
        <v>39999</v>
      </c>
      <c r="S26" s="68">
        <f t="shared" si="16"/>
        <v>26</v>
      </c>
      <c r="T26" s="81">
        <f t="shared" si="5"/>
        <v>27.448200000000003</v>
      </c>
      <c r="U26" s="79">
        <f t="shared" si="6"/>
        <v>512.97961000000009</v>
      </c>
      <c r="V26" s="67">
        <v>56194</v>
      </c>
      <c r="W26" s="65">
        <f t="shared" si="20"/>
        <v>20</v>
      </c>
      <c r="X26" s="70">
        <f t="shared" si="18"/>
        <v>5686.9000000000005</v>
      </c>
      <c r="Y26" s="70">
        <f t="shared" si="19"/>
        <v>1953.4501500000003</v>
      </c>
      <c r="Z26" s="111">
        <f t="shared" si="7"/>
        <v>4080.2717338709676</v>
      </c>
      <c r="AA26" s="43">
        <f t="shared" si="8"/>
        <v>6033.7218838709678</v>
      </c>
      <c r="AB26" s="135">
        <v>2413413</v>
      </c>
      <c r="AC26" s="65">
        <f t="shared" si="9"/>
        <v>6025</v>
      </c>
      <c r="AD26" s="138">
        <v>0.50790000000000002</v>
      </c>
      <c r="AE26" s="71">
        <v>203</v>
      </c>
    </row>
    <row r="27" spans="1:31" s="3" customFormat="1" ht="27.95" customHeight="1" x14ac:dyDescent="0.45">
      <c r="A27" s="77">
        <v>45008</v>
      </c>
      <c r="B27" s="67">
        <v>15970334</v>
      </c>
      <c r="C27" s="65">
        <f t="shared" si="10"/>
        <v>7756</v>
      </c>
      <c r="D27" s="65">
        <v>17196829</v>
      </c>
      <c r="E27" s="65">
        <f t="shared" si="11"/>
        <v>7800</v>
      </c>
      <c r="F27" s="65">
        <v>406220</v>
      </c>
      <c r="G27" s="65">
        <f t="shared" si="12"/>
        <v>126</v>
      </c>
      <c r="H27" s="66">
        <f t="shared" si="0"/>
        <v>15682</v>
      </c>
      <c r="I27" s="89">
        <f t="shared" si="1"/>
        <v>3136.4</v>
      </c>
      <c r="J27" s="67">
        <v>41645</v>
      </c>
      <c r="K27" s="65">
        <f t="shared" si="13"/>
        <v>59</v>
      </c>
      <c r="L27" s="45">
        <f t="shared" si="2"/>
        <v>462.56</v>
      </c>
      <c r="M27" s="64">
        <v>28282</v>
      </c>
      <c r="N27" s="65">
        <f t="shared" si="14"/>
        <v>15</v>
      </c>
      <c r="O27" s="65">
        <v>15405</v>
      </c>
      <c r="P27" s="68">
        <f t="shared" si="15"/>
        <v>15</v>
      </c>
      <c r="Q27" s="68">
        <f t="shared" si="4"/>
        <v>30</v>
      </c>
      <c r="R27" s="69">
        <v>40028</v>
      </c>
      <c r="S27" s="68">
        <f t="shared" si="16"/>
        <v>29</v>
      </c>
      <c r="T27" s="81">
        <f t="shared" si="5"/>
        <v>30.615300000000001</v>
      </c>
      <c r="U27" s="79">
        <f t="shared" si="6"/>
        <v>547.97606500000006</v>
      </c>
      <c r="V27" s="67">
        <v>56211</v>
      </c>
      <c r="W27" s="65">
        <f t="shared" si="20"/>
        <v>17</v>
      </c>
      <c r="X27" s="70">
        <f t="shared" si="18"/>
        <v>4833.8650000000007</v>
      </c>
      <c r="Y27" s="70">
        <f t="shared" si="19"/>
        <v>1660.4326275000003</v>
      </c>
      <c r="Z27" s="111">
        <f t="shared" si="7"/>
        <v>4080.2717338709676</v>
      </c>
      <c r="AA27" s="43">
        <f t="shared" si="8"/>
        <v>5740.7043613709684</v>
      </c>
      <c r="AB27" s="135">
        <v>2418670</v>
      </c>
      <c r="AC27" s="65">
        <f t="shared" si="9"/>
        <v>5257</v>
      </c>
      <c r="AD27" s="138">
        <v>0.30159999999999998</v>
      </c>
      <c r="AE27" s="71">
        <v>125</v>
      </c>
    </row>
    <row r="28" spans="1:31" s="3" customFormat="1" ht="27.95" customHeight="1" x14ac:dyDescent="0.45">
      <c r="A28" s="77">
        <v>45009</v>
      </c>
      <c r="B28" s="67">
        <v>15977876</v>
      </c>
      <c r="C28" s="65">
        <f t="shared" si="10"/>
        <v>7542</v>
      </c>
      <c r="D28" s="65">
        <v>17204465</v>
      </c>
      <c r="E28" s="65">
        <f t="shared" si="11"/>
        <v>7636</v>
      </c>
      <c r="F28" s="65">
        <v>406340</v>
      </c>
      <c r="G28" s="65">
        <f t="shared" si="12"/>
        <v>120</v>
      </c>
      <c r="H28" s="66">
        <f t="shared" si="0"/>
        <v>15298</v>
      </c>
      <c r="I28" s="89">
        <f t="shared" si="1"/>
        <v>3059.6000000000004</v>
      </c>
      <c r="J28" s="67">
        <v>41698</v>
      </c>
      <c r="K28" s="65">
        <f t="shared" si="13"/>
        <v>53</v>
      </c>
      <c r="L28" s="45">
        <f t="shared" si="2"/>
        <v>415.52</v>
      </c>
      <c r="M28" s="64">
        <v>28299</v>
      </c>
      <c r="N28" s="65">
        <f t="shared" si="14"/>
        <v>17</v>
      </c>
      <c r="O28" s="65">
        <v>15417</v>
      </c>
      <c r="P28" s="68">
        <f t="shared" si="15"/>
        <v>12</v>
      </c>
      <c r="Q28" s="68">
        <f t="shared" si="4"/>
        <v>29</v>
      </c>
      <c r="R28" s="69">
        <v>40055</v>
      </c>
      <c r="S28" s="68">
        <f t="shared" si="16"/>
        <v>27</v>
      </c>
      <c r="T28" s="81">
        <f t="shared" si="5"/>
        <v>28.503900000000002</v>
      </c>
      <c r="U28" s="79">
        <f t="shared" si="6"/>
        <v>524.64509500000008</v>
      </c>
      <c r="V28" s="67">
        <v>56228</v>
      </c>
      <c r="W28" s="65">
        <f t="shared" si="20"/>
        <v>17</v>
      </c>
      <c r="X28" s="70">
        <f t="shared" si="18"/>
        <v>4833.8650000000007</v>
      </c>
      <c r="Y28" s="70">
        <f t="shared" si="19"/>
        <v>1660.4326275000003</v>
      </c>
      <c r="Z28" s="111">
        <f t="shared" si="7"/>
        <v>4080.2717338709676</v>
      </c>
      <c r="AA28" s="43">
        <f t="shared" si="8"/>
        <v>5740.7043613709684</v>
      </c>
      <c r="AB28" s="135">
        <v>2423837</v>
      </c>
      <c r="AC28" s="65">
        <f t="shared" si="9"/>
        <v>5167</v>
      </c>
      <c r="AD28" s="138">
        <v>0.26350000000000001</v>
      </c>
      <c r="AE28" s="71">
        <v>111</v>
      </c>
    </row>
    <row r="29" spans="1:31" s="3" customFormat="1" ht="27.95" customHeight="1" x14ac:dyDescent="0.45">
      <c r="A29" s="77">
        <v>45010</v>
      </c>
      <c r="B29" s="67">
        <v>15985371</v>
      </c>
      <c r="C29" s="65">
        <f t="shared" si="10"/>
        <v>7495</v>
      </c>
      <c r="D29" s="65">
        <v>17211777</v>
      </c>
      <c r="E29" s="65">
        <f t="shared" si="11"/>
        <v>7312</v>
      </c>
      <c r="F29" s="65">
        <v>406441</v>
      </c>
      <c r="G29" s="65">
        <f t="shared" si="12"/>
        <v>101</v>
      </c>
      <c r="H29" s="66">
        <f t="shared" si="0"/>
        <v>14908</v>
      </c>
      <c r="I29" s="89">
        <f t="shared" si="1"/>
        <v>2981.6000000000004</v>
      </c>
      <c r="J29" s="67">
        <v>41776</v>
      </c>
      <c r="K29" s="65">
        <f t="shared" si="13"/>
        <v>78</v>
      </c>
      <c r="L29" s="45">
        <f t="shared" si="2"/>
        <v>611.52</v>
      </c>
      <c r="M29" s="64">
        <v>28315</v>
      </c>
      <c r="N29" s="65">
        <f t="shared" si="14"/>
        <v>16</v>
      </c>
      <c r="O29" s="65">
        <v>15430</v>
      </c>
      <c r="P29" s="68">
        <f t="shared" si="15"/>
        <v>13</v>
      </c>
      <c r="Q29" s="68">
        <f t="shared" si="4"/>
        <v>29</v>
      </c>
      <c r="R29" s="69">
        <v>40083</v>
      </c>
      <c r="S29" s="68">
        <f t="shared" si="16"/>
        <v>28</v>
      </c>
      <c r="T29" s="81">
        <f t="shared" si="5"/>
        <v>29.559600000000003</v>
      </c>
      <c r="U29" s="79">
        <f t="shared" si="6"/>
        <v>536.31058000000007</v>
      </c>
      <c r="V29" s="67">
        <v>56247</v>
      </c>
      <c r="W29" s="65">
        <f t="shared" si="20"/>
        <v>19</v>
      </c>
      <c r="X29" s="70">
        <f t="shared" si="18"/>
        <v>5402.5550000000003</v>
      </c>
      <c r="Y29" s="70">
        <f t="shared" si="19"/>
        <v>1855.7776425000002</v>
      </c>
      <c r="Z29" s="111">
        <f t="shared" si="7"/>
        <v>4080.2717338709676</v>
      </c>
      <c r="AA29" s="43">
        <f t="shared" si="8"/>
        <v>5936.0493763709674</v>
      </c>
      <c r="AB29" s="135">
        <v>2429135</v>
      </c>
      <c r="AC29" s="65">
        <f t="shared" si="9"/>
        <v>5298</v>
      </c>
      <c r="AD29" s="138">
        <v>0.2762</v>
      </c>
      <c r="AE29" s="71">
        <v>117</v>
      </c>
    </row>
    <row r="30" spans="1:31" s="3" customFormat="1" ht="27.95" customHeight="1" x14ac:dyDescent="0.45">
      <c r="A30" s="77">
        <v>45011</v>
      </c>
      <c r="B30" s="67">
        <v>15993010</v>
      </c>
      <c r="C30" s="65">
        <f t="shared" si="10"/>
        <v>7639</v>
      </c>
      <c r="D30" s="65">
        <v>17218975</v>
      </c>
      <c r="E30" s="65">
        <f t="shared" si="11"/>
        <v>7198</v>
      </c>
      <c r="F30" s="65">
        <v>406560</v>
      </c>
      <c r="G30" s="65">
        <f t="shared" si="12"/>
        <v>119</v>
      </c>
      <c r="H30" s="66">
        <f t="shared" si="0"/>
        <v>14956</v>
      </c>
      <c r="I30" s="89">
        <f t="shared" si="1"/>
        <v>2991.2000000000003</v>
      </c>
      <c r="J30" s="67">
        <v>41845</v>
      </c>
      <c r="K30" s="65">
        <f t="shared" si="13"/>
        <v>69</v>
      </c>
      <c r="L30" s="45">
        <f t="shared" si="2"/>
        <v>540.96</v>
      </c>
      <c r="M30" s="64">
        <v>28330</v>
      </c>
      <c r="N30" s="65">
        <f t="shared" si="14"/>
        <v>15</v>
      </c>
      <c r="O30" s="65">
        <v>15442</v>
      </c>
      <c r="P30" s="68">
        <f t="shared" si="15"/>
        <v>12</v>
      </c>
      <c r="Q30" s="68">
        <f t="shared" si="4"/>
        <v>27</v>
      </c>
      <c r="R30" s="69">
        <v>40109</v>
      </c>
      <c r="S30" s="68">
        <f t="shared" si="16"/>
        <v>26</v>
      </c>
      <c r="T30" s="81">
        <f t="shared" si="5"/>
        <v>27.448200000000003</v>
      </c>
      <c r="U30" s="79">
        <f t="shared" si="6"/>
        <v>512.97961000000009</v>
      </c>
      <c r="V30" s="67">
        <v>56267</v>
      </c>
      <c r="W30" s="65">
        <f t="shared" si="20"/>
        <v>20</v>
      </c>
      <c r="X30" s="70">
        <f t="shared" si="18"/>
        <v>5686.9000000000005</v>
      </c>
      <c r="Y30" s="70">
        <f t="shared" si="19"/>
        <v>1953.4501500000003</v>
      </c>
      <c r="Z30" s="111">
        <f t="shared" si="7"/>
        <v>4080.2717338709676</v>
      </c>
      <c r="AA30" s="43">
        <f t="shared" si="8"/>
        <v>6033.7218838709678</v>
      </c>
      <c r="AB30" s="135">
        <v>2435035</v>
      </c>
      <c r="AC30" s="65">
        <f t="shared" si="9"/>
        <v>5900</v>
      </c>
      <c r="AD30" s="138">
        <v>0.37140000000000001</v>
      </c>
      <c r="AE30" s="71">
        <v>151</v>
      </c>
    </row>
    <row r="31" spans="1:31" s="3" customFormat="1" ht="27.95" customHeight="1" x14ac:dyDescent="0.45">
      <c r="A31" s="77">
        <v>45012</v>
      </c>
      <c r="B31" s="67">
        <v>16000700</v>
      </c>
      <c r="C31" s="65">
        <f t="shared" si="10"/>
        <v>7690</v>
      </c>
      <c r="D31" s="65">
        <v>17226400</v>
      </c>
      <c r="E31" s="65">
        <f t="shared" si="11"/>
        <v>7425</v>
      </c>
      <c r="F31" s="65">
        <v>406679</v>
      </c>
      <c r="G31" s="65">
        <f t="shared" si="12"/>
        <v>119</v>
      </c>
      <c r="H31" s="66">
        <f t="shared" si="0"/>
        <v>15234</v>
      </c>
      <c r="I31" s="89">
        <f t="shared" si="1"/>
        <v>3046.8</v>
      </c>
      <c r="J31" s="67">
        <v>41904</v>
      </c>
      <c r="K31" s="65">
        <f t="shared" si="13"/>
        <v>59</v>
      </c>
      <c r="L31" s="45">
        <f t="shared" si="2"/>
        <v>462.56</v>
      </c>
      <c r="M31" s="64">
        <v>28347</v>
      </c>
      <c r="N31" s="65">
        <f t="shared" si="14"/>
        <v>17</v>
      </c>
      <c r="O31" s="65">
        <v>15458</v>
      </c>
      <c r="P31" s="68">
        <f t="shared" si="15"/>
        <v>16</v>
      </c>
      <c r="Q31" s="68">
        <f t="shared" si="4"/>
        <v>33</v>
      </c>
      <c r="R31" s="69">
        <v>40141</v>
      </c>
      <c r="S31" s="68">
        <f t="shared" si="16"/>
        <v>32</v>
      </c>
      <c r="T31" s="81">
        <f t="shared" si="5"/>
        <v>33.782400000000003</v>
      </c>
      <c r="U31" s="79">
        <f t="shared" si="6"/>
        <v>582.97252000000003</v>
      </c>
      <c r="V31" s="67">
        <v>56289</v>
      </c>
      <c r="W31" s="65">
        <f t="shared" si="20"/>
        <v>22</v>
      </c>
      <c r="X31" s="70">
        <f t="shared" si="18"/>
        <v>6255.59</v>
      </c>
      <c r="Y31" s="70">
        <f t="shared" si="19"/>
        <v>2148.795165</v>
      </c>
      <c r="Z31" s="111">
        <f t="shared" si="7"/>
        <v>4080.2717338709676</v>
      </c>
      <c r="AA31" s="43">
        <f t="shared" si="8"/>
        <v>6229.0668988709676</v>
      </c>
      <c r="AB31" s="135">
        <v>2441840</v>
      </c>
      <c r="AC31" s="65">
        <f t="shared" si="9"/>
        <v>6805</v>
      </c>
      <c r="AD31" s="138">
        <v>0.41589999999999999</v>
      </c>
      <c r="AE31" s="71">
        <v>165</v>
      </c>
    </row>
    <row r="32" spans="1:31" s="3" customFormat="1" ht="27.95" customHeight="1" x14ac:dyDescent="0.45">
      <c r="A32" s="77">
        <v>45013</v>
      </c>
      <c r="B32" s="67">
        <v>16008785</v>
      </c>
      <c r="C32" s="65">
        <f t="shared" si="10"/>
        <v>8085</v>
      </c>
      <c r="D32" s="65">
        <v>17233761</v>
      </c>
      <c r="E32" s="65">
        <f t="shared" si="11"/>
        <v>7361</v>
      </c>
      <c r="F32" s="65">
        <v>406807</v>
      </c>
      <c r="G32" s="65">
        <f t="shared" si="12"/>
        <v>128</v>
      </c>
      <c r="H32" s="66">
        <f t="shared" si="0"/>
        <v>15574</v>
      </c>
      <c r="I32" s="89">
        <f t="shared" si="1"/>
        <v>3114.8</v>
      </c>
      <c r="J32" s="67">
        <v>41996</v>
      </c>
      <c r="K32" s="65">
        <f t="shared" si="13"/>
        <v>92</v>
      </c>
      <c r="L32" s="45">
        <f t="shared" si="2"/>
        <v>721.28</v>
      </c>
      <c r="M32" s="64">
        <v>28362</v>
      </c>
      <c r="N32" s="65">
        <f t="shared" si="14"/>
        <v>15</v>
      </c>
      <c r="O32" s="65">
        <v>15471</v>
      </c>
      <c r="P32" s="68">
        <f t="shared" si="15"/>
        <v>13</v>
      </c>
      <c r="Q32" s="68">
        <f t="shared" si="4"/>
        <v>28</v>
      </c>
      <c r="R32" s="69">
        <v>40169</v>
      </c>
      <c r="S32" s="68">
        <f t="shared" si="16"/>
        <v>28</v>
      </c>
      <c r="T32" s="81">
        <f t="shared" si="5"/>
        <v>29.559600000000003</v>
      </c>
      <c r="U32" s="79">
        <f t="shared" si="6"/>
        <v>536.31058000000007</v>
      </c>
      <c r="V32" s="67">
        <v>56311</v>
      </c>
      <c r="W32" s="65">
        <f t="shared" si="20"/>
        <v>22</v>
      </c>
      <c r="X32" s="70">
        <f t="shared" si="18"/>
        <v>6255.59</v>
      </c>
      <c r="Y32" s="70">
        <f t="shared" si="19"/>
        <v>2148.795165</v>
      </c>
      <c r="Z32" s="111">
        <f t="shared" si="7"/>
        <v>4080.2717338709676</v>
      </c>
      <c r="AA32" s="43">
        <f t="shared" si="8"/>
        <v>6229.0668988709676</v>
      </c>
      <c r="AB32" s="135">
        <v>2448585</v>
      </c>
      <c r="AC32" s="65">
        <f t="shared" si="9"/>
        <v>6745</v>
      </c>
      <c r="AD32" s="138">
        <v>0.46029999999999999</v>
      </c>
      <c r="AE32" s="71">
        <v>179</v>
      </c>
    </row>
    <row r="33" spans="1:131" s="3" customFormat="1" ht="27.95" customHeight="1" x14ac:dyDescent="0.45">
      <c r="A33" s="77">
        <v>45014</v>
      </c>
      <c r="B33" s="67">
        <v>16017376</v>
      </c>
      <c r="C33" s="65">
        <f t="shared" si="10"/>
        <v>8591</v>
      </c>
      <c r="D33" s="65">
        <v>17241742</v>
      </c>
      <c r="E33" s="65">
        <f t="shared" si="11"/>
        <v>7981</v>
      </c>
      <c r="F33" s="65">
        <v>406935</v>
      </c>
      <c r="G33" s="65">
        <f t="shared" si="12"/>
        <v>128</v>
      </c>
      <c r="H33" s="66">
        <f t="shared" si="0"/>
        <v>16700</v>
      </c>
      <c r="I33" s="89">
        <f t="shared" si="1"/>
        <v>3340</v>
      </c>
      <c r="J33" s="67">
        <v>42121</v>
      </c>
      <c r="K33" s="65">
        <f t="shared" si="13"/>
        <v>125</v>
      </c>
      <c r="L33" s="45">
        <f t="shared" si="2"/>
        <v>980</v>
      </c>
      <c r="M33" s="64">
        <v>28378</v>
      </c>
      <c r="N33" s="65">
        <f t="shared" si="14"/>
        <v>16</v>
      </c>
      <c r="O33" s="65">
        <v>15482</v>
      </c>
      <c r="P33" s="68">
        <f t="shared" si="15"/>
        <v>11</v>
      </c>
      <c r="Q33" s="68">
        <f t="shared" si="4"/>
        <v>27</v>
      </c>
      <c r="R33" s="69">
        <v>40195</v>
      </c>
      <c r="S33" s="68">
        <f t="shared" si="16"/>
        <v>26</v>
      </c>
      <c r="T33" s="81">
        <f t="shared" si="5"/>
        <v>27.448200000000003</v>
      </c>
      <c r="U33" s="79">
        <f t="shared" si="6"/>
        <v>512.97961000000009</v>
      </c>
      <c r="V33" s="110">
        <v>56331</v>
      </c>
      <c r="W33" s="65">
        <f t="shared" si="20"/>
        <v>20</v>
      </c>
      <c r="X33" s="70">
        <f t="shared" si="18"/>
        <v>5686.9000000000005</v>
      </c>
      <c r="Y33" s="70">
        <f t="shared" si="19"/>
        <v>1953.4501500000003</v>
      </c>
      <c r="Z33" s="111">
        <f t="shared" si="7"/>
        <v>4080.2717338709676</v>
      </c>
      <c r="AA33" s="43">
        <f t="shared" si="8"/>
        <v>6033.7218838709678</v>
      </c>
      <c r="AB33" s="135">
        <v>2454659</v>
      </c>
      <c r="AC33" s="65">
        <f t="shared" si="9"/>
        <v>6074</v>
      </c>
      <c r="AD33" s="138">
        <v>0.47620000000000001</v>
      </c>
      <c r="AE33" s="71">
        <v>190</v>
      </c>
    </row>
    <row r="34" spans="1:131" s="3" customFormat="1" ht="27.95" customHeight="1" x14ac:dyDescent="0.45">
      <c r="A34" s="77">
        <v>45015</v>
      </c>
      <c r="B34" s="67">
        <v>16025560</v>
      </c>
      <c r="C34" s="65">
        <f t="shared" si="10"/>
        <v>8184</v>
      </c>
      <c r="D34" s="65">
        <v>17249214</v>
      </c>
      <c r="E34" s="65">
        <f t="shared" si="11"/>
        <v>7472</v>
      </c>
      <c r="F34" s="65">
        <v>407052</v>
      </c>
      <c r="G34" s="65">
        <f t="shared" si="12"/>
        <v>117</v>
      </c>
      <c r="H34" s="66">
        <f t="shared" si="0"/>
        <v>15773</v>
      </c>
      <c r="I34" s="89">
        <f t="shared" si="1"/>
        <v>3154.6000000000004</v>
      </c>
      <c r="J34" s="67">
        <v>42233</v>
      </c>
      <c r="K34" s="65">
        <f t="shared" si="13"/>
        <v>112</v>
      </c>
      <c r="L34" s="45">
        <f t="shared" si="2"/>
        <v>878.07999999999993</v>
      </c>
      <c r="M34" s="64">
        <v>28394</v>
      </c>
      <c r="N34" s="65">
        <f t="shared" si="14"/>
        <v>16</v>
      </c>
      <c r="O34" s="65">
        <v>15495</v>
      </c>
      <c r="P34" s="68">
        <f t="shared" si="15"/>
        <v>13</v>
      </c>
      <c r="Q34" s="68">
        <f t="shared" si="4"/>
        <v>29</v>
      </c>
      <c r="R34" s="69">
        <v>40223</v>
      </c>
      <c r="S34" s="68">
        <f t="shared" si="16"/>
        <v>28</v>
      </c>
      <c r="T34" s="81">
        <f t="shared" si="5"/>
        <v>29.559600000000003</v>
      </c>
      <c r="U34" s="79">
        <f t="shared" si="6"/>
        <v>536.31058000000007</v>
      </c>
      <c r="V34" s="110">
        <v>56351</v>
      </c>
      <c r="W34" s="65">
        <f t="shared" si="20"/>
        <v>20</v>
      </c>
      <c r="X34" s="70">
        <f t="shared" si="18"/>
        <v>5686.9000000000005</v>
      </c>
      <c r="Y34" s="70">
        <f t="shared" si="19"/>
        <v>1953.4501500000003</v>
      </c>
      <c r="Z34" s="111">
        <f t="shared" si="7"/>
        <v>4080.2717338709676</v>
      </c>
      <c r="AA34" s="43">
        <f t="shared" si="8"/>
        <v>6033.7218838709678</v>
      </c>
      <c r="AB34" s="135">
        <v>2460696</v>
      </c>
      <c r="AC34" s="65">
        <f t="shared" si="9"/>
        <v>6037</v>
      </c>
      <c r="AD34" s="138">
        <v>0.41899999999999998</v>
      </c>
      <c r="AE34" s="71">
        <v>165</v>
      </c>
    </row>
    <row r="35" spans="1:131" s="3" customFormat="1" ht="27.95" customHeight="1" thickBot="1" x14ac:dyDescent="0.5">
      <c r="A35" s="77">
        <v>45016</v>
      </c>
      <c r="B35" s="67">
        <v>16033407</v>
      </c>
      <c r="C35" s="65">
        <f t="shared" si="10"/>
        <v>7847</v>
      </c>
      <c r="D35" s="65">
        <v>17256333</v>
      </c>
      <c r="E35" s="65">
        <f t="shared" si="11"/>
        <v>7119</v>
      </c>
      <c r="F35" s="65">
        <v>407173</v>
      </c>
      <c r="G35" s="65">
        <f t="shared" si="12"/>
        <v>121</v>
      </c>
      <c r="H35" s="66">
        <f t="shared" si="0"/>
        <v>15087</v>
      </c>
      <c r="I35" s="89">
        <f t="shared" si="1"/>
        <v>3017.4</v>
      </c>
      <c r="J35" s="67">
        <v>42302</v>
      </c>
      <c r="K35" s="65">
        <f t="shared" si="13"/>
        <v>69</v>
      </c>
      <c r="L35" s="45">
        <f t="shared" si="2"/>
        <v>540.96</v>
      </c>
      <c r="M35" s="64">
        <v>28411</v>
      </c>
      <c r="N35" s="65">
        <f t="shared" si="14"/>
        <v>17</v>
      </c>
      <c r="O35" s="65">
        <v>15507</v>
      </c>
      <c r="P35" s="68">
        <f t="shared" si="15"/>
        <v>12</v>
      </c>
      <c r="Q35" s="68">
        <f t="shared" si="4"/>
        <v>29</v>
      </c>
      <c r="R35" s="69">
        <v>40251</v>
      </c>
      <c r="S35" s="68">
        <f t="shared" si="16"/>
        <v>28</v>
      </c>
      <c r="T35" s="81">
        <f t="shared" si="5"/>
        <v>29.559600000000003</v>
      </c>
      <c r="U35" s="79">
        <f t="shared" si="6"/>
        <v>536.31058000000007</v>
      </c>
      <c r="V35" s="110">
        <v>56371</v>
      </c>
      <c r="W35" s="65">
        <f t="shared" si="20"/>
        <v>20</v>
      </c>
      <c r="X35" s="70">
        <f t="shared" si="18"/>
        <v>5686.9000000000005</v>
      </c>
      <c r="Y35" s="70">
        <f t="shared" si="19"/>
        <v>1953.4501500000003</v>
      </c>
      <c r="Z35" s="111">
        <f t="shared" si="7"/>
        <v>4080.2717338709676</v>
      </c>
      <c r="AA35" s="43">
        <f t="shared" si="8"/>
        <v>6033.7218838709678</v>
      </c>
      <c r="AB35" s="135">
        <v>2466746</v>
      </c>
      <c r="AC35" s="65">
        <f t="shared" si="9"/>
        <v>6050</v>
      </c>
      <c r="AD35" s="138">
        <v>0.3619</v>
      </c>
      <c r="AE35" s="71">
        <v>156</v>
      </c>
    </row>
    <row r="36" spans="1:131" s="145" customFormat="1" ht="27.95" customHeight="1" thickBot="1" x14ac:dyDescent="0.5">
      <c r="A36" s="143"/>
      <c r="B36" s="46"/>
      <c r="C36" s="47">
        <f>SUM(C5:C35)</f>
        <v>250992</v>
      </c>
      <c r="D36" s="47"/>
      <c r="E36" s="47">
        <f>SUM(E5:E35)</f>
        <v>232889</v>
      </c>
      <c r="F36" s="48"/>
      <c r="G36" s="47">
        <f>SUM(G5:G35)</f>
        <v>3798</v>
      </c>
      <c r="H36" s="49">
        <f>SUM(H5:H35)</f>
        <v>487679</v>
      </c>
      <c r="I36" s="63">
        <f>H36*0.2</f>
        <v>97535.8</v>
      </c>
      <c r="J36" s="46"/>
      <c r="K36" s="47">
        <f>SUM(K5:K35)</f>
        <v>2854</v>
      </c>
      <c r="L36" s="63">
        <f>K36*7.84</f>
        <v>22375.360000000001</v>
      </c>
      <c r="M36" s="46"/>
      <c r="N36" s="49">
        <f>SUM(N5:N35)</f>
        <v>502</v>
      </c>
      <c r="O36" s="50"/>
      <c r="P36" s="49">
        <f>SUM(P5:P35)</f>
        <v>378</v>
      </c>
      <c r="Q36" s="49">
        <f>SUM(Q5:Q35)</f>
        <v>880</v>
      </c>
      <c r="R36" s="50"/>
      <c r="S36" s="50">
        <f>SUM(S5:S35)</f>
        <v>849</v>
      </c>
      <c r="T36" s="88">
        <f>SUM(T5:T35)</f>
        <v>896.28930000000059</v>
      </c>
      <c r="U36" s="62">
        <f>SUM(U5:U35)</f>
        <v>16403.983765000001</v>
      </c>
      <c r="V36" s="46"/>
      <c r="W36" s="47">
        <f>SUM(W5:W35)</f>
        <v>684</v>
      </c>
      <c r="X36" s="51">
        <f>SUM(X5:X35)</f>
        <v>194491.97999999992</v>
      </c>
      <c r="Y36" s="52">
        <f>SUM(Y5:Y35)</f>
        <v>66807.995129999996</v>
      </c>
      <c r="Z36" s="52">
        <f>SUM(Z5:Z35)</f>
        <v>126488.42374999994</v>
      </c>
      <c r="AA36" s="62">
        <f>SUM(AA5:AA35)</f>
        <v>193296.41888000007</v>
      </c>
      <c r="AB36" s="53"/>
      <c r="AC36" s="92">
        <f>SUM(AC5:AC35)</f>
        <v>206183</v>
      </c>
      <c r="AD36" s="54">
        <f>AVERAGE(AD5:AD35)</f>
        <v>0.64106129032258063</v>
      </c>
      <c r="AE36" s="144">
        <f>SUM(AE5:AE35)</f>
        <v>8360</v>
      </c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</row>
    <row r="37" spans="1:131" s="8" customFormat="1" ht="22.5" customHeight="1" thickBot="1" x14ac:dyDescent="0.5">
      <c r="A37" s="243"/>
      <c r="B37" s="244"/>
      <c r="C37" s="244"/>
      <c r="D37" s="244"/>
      <c r="E37" s="244"/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  <c r="R37" s="244"/>
      <c r="S37" s="244"/>
      <c r="T37" s="244"/>
      <c r="U37" s="245"/>
      <c r="V37" s="198" t="s">
        <v>24</v>
      </c>
      <c r="W37" s="199"/>
      <c r="X37" s="199"/>
      <c r="Y37" s="199"/>
      <c r="Z37" s="199"/>
      <c r="AA37" s="199"/>
      <c r="AB37" s="200"/>
      <c r="AC37" s="93"/>
      <c r="AD37" s="72"/>
      <c r="AE37" s="72"/>
    </row>
    <row r="38" spans="1:131" ht="27.95" customHeight="1" x14ac:dyDescent="0.45">
      <c r="A38" s="146"/>
      <c r="B38" s="193" t="s">
        <v>3</v>
      </c>
      <c r="C38" s="194"/>
      <c r="D38" s="194" t="s">
        <v>13</v>
      </c>
      <c r="E38" s="194"/>
      <c r="F38" s="194"/>
      <c r="G38" s="194" t="s">
        <v>14</v>
      </c>
      <c r="H38" s="194"/>
      <c r="I38" s="206"/>
      <c r="J38" s="230" t="s">
        <v>4</v>
      </c>
      <c r="K38" s="231"/>
      <c r="L38" s="74" t="s">
        <v>13</v>
      </c>
      <c r="M38" s="231" t="s">
        <v>49</v>
      </c>
      <c r="N38" s="240"/>
      <c r="O38" s="241" t="s">
        <v>25</v>
      </c>
      <c r="P38" s="242"/>
      <c r="Q38" s="242"/>
      <c r="R38" s="242" t="s">
        <v>13</v>
      </c>
      <c r="S38" s="242"/>
      <c r="T38" s="242" t="s">
        <v>49</v>
      </c>
      <c r="U38" s="268"/>
      <c r="V38" s="195" t="s">
        <v>15</v>
      </c>
      <c r="W38" s="172"/>
      <c r="X38" s="172" t="s">
        <v>13</v>
      </c>
      <c r="Y38" s="172"/>
      <c r="Z38" s="172" t="s">
        <v>16</v>
      </c>
      <c r="AA38" s="172"/>
      <c r="AB38" s="173"/>
      <c r="AC38" s="96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</row>
    <row r="39" spans="1:131" s="42" customFormat="1" ht="27.95" customHeight="1" x14ac:dyDescent="0.45">
      <c r="A39" s="73"/>
      <c r="B39" s="203" t="s">
        <v>60</v>
      </c>
      <c r="C39" s="204"/>
      <c r="D39" s="202">
        <f>I36</f>
        <v>97535.8</v>
      </c>
      <c r="E39" s="202"/>
      <c r="F39" s="202"/>
      <c r="G39" s="168">
        <f t="shared" ref="G39:G44" si="21">D39/0.2</f>
        <v>487679</v>
      </c>
      <c r="H39" s="168"/>
      <c r="I39" s="169"/>
      <c r="J39" s="203" t="str">
        <f>B39</f>
        <v>Actual March 2023</v>
      </c>
      <c r="K39" s="204"/>
      <c r="L39" s="102">
        <f>L36</f>
        <v>22375.360000000001</v>
      </c>
      <c r="M39" s="168">
        <f>K36</f>
        <v>2854</v>
      </c>
      <c r="N39" s="169"/>
      <c r="O39" s="203" t="str">
        <f t="shared" ref="O39:O41" si="22">B39</f>
        <v>Actual March 2023</v>
      </c>
      <c r="P39" s="204"/>
      <c r="Q39" s="204"/>
      <c r="R39" s="205">
        <f>U36</f>
        <v>16403.983765000001</v>
      </c>
      <c r="S39" s="205"/>
      <c r="T39" s="168">
        <f>T36</f>
        <v>896.28930000000059</v>
      </c>
      <c r="U39" s="169"/>
      <c r="V39" s="203" t="str">
        <f>B39</f>
        <v>Actual March 2023</v>
      </c>
      <c r="W39" s="204"/>
      <c r="X39" s="202">
        <f>AA36</f>
        <v>193296.41888000007</v>
      </c>
      <c r="Y39" s="202"/>
      <c r="Z39" s="170">
        <f>X36</f>
        <v>194491.97999999992</v>
      </c>
      <c r="AA39" s="170"/>
      <c r="AB39" s="171"/>
      <c r="AC39" s="94"/>
      <c r="AD39" s="97">
        <f>AC36</f>
        <v>206183</v>
      </c>
      <c r="AE39" s="98">
        <f>AD39-X36</f>
        <v>11691.020000000077</v>
      </c>
      <c r="AF39" s="97"/>
      <c r="AG39" s="97"/>
      <c r="AH39" s="97"/>
      <c r="AI39" s="97"/>
      <c r="AJ39" s="97"/>
      <c r="AK39" s="97"/>
      <c r="AL39" s="97"/>
      <c r="AM39" s="97"/>
      <c r="AN39" s="97"/>
      <c r="AO39" s="97"/>
    </row>
    <row r="40" spans="1:131" s="42" customFormat="1" ht="27.95" customHeight="1" x14ac:dyDescent="0.45">
      <c r="A40" s="73"/>
      <c r="B40" s="203" t="s">
        <v>86</v>
      </c>
      <c r="C40" s="204"/>
      <c r="D40" s="201">
        <v>99603</v>
      </c>
      <c r="E40" s="201"/>
      <c r="F40" s="201"/>
      <c r="G40" s="168">
        <f t="shared" si="21"/>
        <v>498015</v>
      </c>
      <c r="H40" s="168"/>
      <c r="I40" s="169"/>
      <c r="J40" s="203" t="str">
        <f t="shared" ref="J40:J41" si="23">B40</f>
        <v>Budget March 2023</v>
      </c>
      <c r="K40" s="204"/>
      <c r="L40" s="103">
        <v>23170.1138002035</v>
      </c>
      <c r="M40" s="168">
        <f>L40/7.84</f>
        <v>2955.3716581892222</v>
      </c>
      <c r="N40" s="169"/>
      <c r="O40" s="203" t="str">
        <f t="shared" si="22"/>
        <v>Budget March 2023</v>
      </c>
      <c r="P40" s="204"/>
      <c r="Q40" s="204"/>
      <c r="R40" s="176">
        <v>16700.0622817904</v>
      </c>
      <c r="S40" s="176"/>
      <c r="T40" s="168">
        <f>(R40-6500)/11.05/1.0557</f>
        <v>874.37961488874225</v>
      </c>
      <c r="U40" s="169"/>
      <c r="V40" s="203" t="str">
        <f t="shared" ref="V40:V41" si="24">B40</f>
        <v>Budget March 2023</v>
      </c>
      <c r="W40" s="204"/>
      <c r="X40" s="201">
        <v>192191.14969600001</v>
      </c>
      <c r="Y40" s="201"/>
      <c r="Z40" s="168">
        <f>AG40/0.3435</f>
        <v>191276.56388937411</v>
      </c>
      <c r="AA40" s="168"/>
      <c r="AB40" s="169"/>
      <c r="AC40" s="95"/>
      <c r="AD40" s="97"/>
      <c r="AE40" s="97"/>
      <c r="AF40" s="148"/>
      <c r="AG40" s="99">
        <f>X40-126487.65</f>
        <v>65703.499696000014</v>
      </c>
      <c r="AH40" s="97" t="s">
        <v>54</v>
      </c>
      <c r="AI40" s="97"/>
      <c r="AJ40" s="97"/>
      <c r="AK40" s="97"/>
      <c r="AL40" s="97"/>
      <c r="AM40" s="97"/>
      <c r="AN40" s="97"/>
      <c r="AO40" s="97"/>
    </row>
    <row r="41" spans="1:131" s="91" customFormat="1" ht="27.95" customHeight="1" x14ac:dyDescent="0.45">
      <c r="A41" s="90"/>
      <c r="B41" s="203" t="s">
        <v>87</v>
      </c>
      <c r="C41" s="204"/>
      <c r="D41" s="201">
        <v>99341.8</v>
      </c>
      <c r="E41" s="201"/>
      <c r="F41" s="201"/>
      <c r="G41" s="168">
        <f t="shared" si="21"/>
        <v>496709</v>
      </c>
      <c r="H41" s="168"/>
      <c r="I41" s="169"/>
      <c r="J41" s="203" t="str">
        <f t="shared" si="23"/>
        <v>Actual March 2022</v>
      </c>
      <c r="K41" s="204"/>
      <c r="L41" s="103">
        <v>20062.560000000001</v>
      </c>
      <c r="M41" s="168">
        <f>L41/7.84</f>
        <v>2559</v>
      </c>
      <c r="N41" s="169"/>
      <c r="O41" s="203" t="str">
        <f t="shared" si="22"/>
        <v>Actual March 2022</v>
      </c>
      <c r="P41" s="204"/>
      <c r="Q41" s="204"/>
      <c r="R41" s="176">
        <v>13408.61</v>
      </c>
      <c r="S41" s="176"/>
      <c r="T41" s="168">
        <f>(R41-6500)/9.05/1.0557</f>
        <v>723.10535231788288</v>
      </c>
      <c r="U41" s="169"/>
      <c r="V41" s="203" t="str">
        <f t="shared" si="24"/>
        <v>Actual March 2022</v>
      </c>
      <c r="W41" s="204"/>
      <c r="X41" s="201">
        <v>182068.16</v>
      </c>
      <c r="Y41" s="201"/>
      <c r="Z41" s="168">
        <f>AG41/0.3428</f>
        <v>176328.52975495916</v>
      </c>
      <c r="AA41" s="168"/>
      <c r="AB41" s="169"/>
      <c r="AC41" s="95"/>
      <c r="AD41" s="149"/>
      <c r="AE41" s="149"/>
      <c r="AF41" s="149"/>
      <c r="AG41" s="100">
        <f>X41-121622.74</f>
        <v>60445.42</v>
      </c>
      <c r="AH41" s="149" t="s">
        <v>55</v>
      </c>
      <c r="AI41" s="149"/>
      <c r="AJ41" s="149"/>
      <c r="AK41" s="149"/>
      <c r="AL41" s="149"/>
      <c r="AM41" s="149"/>
      <c r="AN41" s="149"/>
      <c r="AO41" s="149"/>
    </row>
    <row r="42" spans="1:131" s="42" customFormat="1" ht="27" customHeight="1" x14ac:dyDescent="0.45">
      <c r="A42" s="73"/>
      <c r="B42" s="203" t="s">
        <v>52</v>
      </c>
      <c r="C42" s="204"/>
      <c r="D42" s="202">
        <f>D39+183274.8</f>
        <v>280810.59999999998</v>
      </c>
      <c r="E42" s="202"/>
      <c r="F42" s="202"/>
      <c r="G42" s="168">
        <f t="shared" si="21"/>
        <v>1404052.9999999998</v>
      </c>
      <c r="H42" s="168"/>
      <c r="I42" s="169"/>
      <c r="J42" s="203" t="str">
        <f>B42</f>
        <v>Actual YTD 2023</v>
      </c>
      <c r="K42" s="204"/>
      <c r="L42" s="102">
        <f>L39+40666.08</f>
        <v>63041.440000000002</v>
      </c>
      <c r="M42" s="168">
        <f>L42/7.84</f>
        <v>8041</v>
      </c>
      <c r="N42" s="169"/>
      <c r="O42" s="220" t="str">
        <f>B42</f>
        <v>Actual YTD 2023</v>
      </c>
      <c r="P42" s="221"/>
      <c r="Q42" s="222"/>
      <c r="R42" s="205">
        <f>R39+31442.88</f>
        <v>47846.863765000002</v>
      </c>
      <c r="S42" s="205"/>
      <c r="T42" s="168">
        <f>(R42-6500*3)/11.05/1.0557</f>
        <v>2429.9773018438582</v>
      </c>
      <c r="U42" s="169"/>
      <c r="V42" s="203" t="str">
        <f>B42</f>
        <v>Actual YTD 2023</v>
      </c>
      <c r="W42" s="204"/>
      <c r="X42" s="202">
        <f>X39+353402.19</f>
        <v>546698.60888000007</v>
      </c>
      <c r="Y42" s="202"/>
      <c r="Z42" s="168">
        <f>AG42/0.3435</f>
        <v>486857.81333333364</v>
      </c>
      <c r="AA42" s="168"/>
      <c r="AB42" s="169"/>
      <c r="AC42" s="95"/>
      <c r="AD42" s="97"/>
      <c r="AE42" s="97"/>
      <c r="AF42" s="97"/>
      <c r="AG42" s="99">
        <f>X42-AG46</f>
        <v>167235.65888000012</v>
      </c>
      <c r="AH42" s="97" t="s">
        <v>56</v>
      </c>
      <c r="AI42" s="97"/>
      <c r="AJ42" s="97"/>
      <c r="AK42" s="97"/>
      <c r="AL42" s="97"/>
      <c r="AM42" s="97"/>
      <c r="AN42" s="97"/>
      <c r="AO42" s="97"/>
    </row>
    <row r="43" spans="1:131" s="42" customFormat="1" ht="27.95" customHeight="1" x14ac:dyDescent="0.45">
      <c r="A43" s="73"/>
      <c r="B43" s="203" t="s">
        <v>88</v>
      </c>
      <c r="C43" s="204"/>
      <c r="D43" s="201">
        <v>285277</v>
      </c>
      <c r="E43" s="201"/>
      <c r="F43" s="201"/>
      <c r="G43" s="168">
        <f t="shared" si="21"/>
        <v>1426385</v>
      </c>
      <c r="H43" s="168"/>
      <c r="I43" s="169"/>
      <c r="J43" s="203" t="str">
        <f>B43</f>
        <v>Budget YTD 2023</v>
      </c>
      <c r="K43" s="204"/>
      <c r="L43" s="103">
        <v>60979</v>
      </c>
      <c r="M43" s="168">
        <f>L43/7.84</f>
        <v>7777.9336734693879</v>
      </c>
      <c r="N43" s="169"/>
      <c r="O43" s="203" t="str">
        <f>B43</f>
        <v>Budget YTD 2023</v>
      </c>
      <c r="P43" s="204"/>
      <c r="Q43" s="204"/>
      <c r="R43" s="176">
        <v>48289</v>
      </c>
      <c r="S43" s="176"/>
      <c r="T43" s="168">
        <f>(R43-6500*3)/11.05/1.0557</f>
        <v>2467.8785322684821</v>
      </c>
      <c r="U43" s="169"/>
      <c r="V43" s="203" t="str">
        <f>B43</f>
        <v>Budget YTD 2023</v>
      </c>
      <c r="W43" s="204"/>
      <c r="X43" s="201">
        <v>538991</v>
      </c>
      <c r="Y43" s="201"/>
      <c r="Z43" s="165">
        <f>AG43/0.3435</f>
        <v>464419.3595342068</v>
      </c>
      <c r="AA43" s="166"/>
      <c r="AB43" s="167"/>
      <c r="AC43" s="95"/>
      <c r="AD43" s="97"/>
      <c r="AE43" s="97"/>
      <c r="AF43" s="97"/>
      <c r="AG43" s="99">
        <f>X43-AG46</f>
        <v>159528.05000000005</v>
      </c>
      <c r="AH43" s="97" t="s">
        <v>57</v>
      </c>
      <c r="AI43" s="97"/>
      <c r="AJ43" s="97"/>
      <c r="AK43" s="97"/>
      <c r="AL43" s="97"/>
      <c r="AM43" s="97"/>
      <c r="AN43" s="97"/>
      <c r="AO43" s="97"/>
    </row>
    <row r="44" spans="1:131" s="42" customFormat="1" ht="27.95" customHeight="1" thickBot="1" x14ac:dyDescent="0.5">
      <c r="A44" s="61"/>
      <c r="B44" s="223" t="s">
        <v>89</v>
      </c>
      <c r="C44" s="224"/>
      <c r="D44" s="219">
        <v>285695.2</v>
      </c>
      <c r="E44" s="219"/>
      <c r="F44" s="219"/>
      <c r="G44" s="163">
        <f t="shared" si="21"/>
        <v>1428476</v>
      </c>
      <c r="H44" s="163"/>
      <c r="I44" s="164"/>
      <c r="J44" s="223" t="str">
        <f>B44</f>
        <v>Actual YTD 2022</v>
      </c>
      <c r="K44" s="224"/>
      <c r="L44" s="104">
        <v>58572.639999999999</v>
      </c>
      <c r="M44" s="163">
        <f>L44/7.84</f>
        <v>7471</v>
      </c>
      <c r="N44" s="164"/>
      <c r="O44" s="223" t="str">
        <f>B44</f>
        <v>Actual YTD 2022</v>
      </c>
      <c r="P44" s="224"/>
      <c r="Q44" s="224"/>
      <c r="R44" s="225">
        <v>43454.83</v>
      </c>
      <c r="S44" s="225"/>
      <c r="T44" s="163">
        <f>(R44-6500*3)/9.05/1.0557</f>
        <v>2507.2866737107738</v>
      </c>
      <c r="U44" s="164"/>
      <c r="V44" s="223" t="str">
        <f>B44</f>
        <v>Actual YTD 2022</v>
      </c>
      <c r="W44" s="224"/>
      <c r="X44" s="219">
        <v>513911.95</v>
      </c>
      <c r="Y44" s="219"/>
      <c r="Z44" s="163">
        <f>AG44/0.3428</f>
        <v>434783.34305717616</v>
      </c>
      <c r="AA44" s="163"/>
      <c r="AB44" s="164"/>
      <c r="AC44" s="95"/>
      <c r="AD44" s="97"/>
      <c r="AE44" s="97"/>
      <c r="AF44" s="97"/>
      <c r="AG44" s="101">
        <f>X44-AG47</f>
        <v>149043.72999999998</v>
      </c>
      <c r="AH44" s="97" t="s">
        <v>58</v>
      </c>
      <c r="AI44" s="97"/>
      <c r="AJ44" s="97"/>
      <c r="AK44" s="97"/>
      <c r="AL44" s="97"/>
      <c r="AM44" s="97"/>
      <c r="AN44" s="97"/>
      <c r="AO44" s="97"/>
    </row>
    <row r="45" spans="1:131" ht="27.95" customHeight="1" x14ac:dyDescent="0.45">
      <c r="G45" s="232">
        <v>44986</v>
      </c>
      <c r="H45" s="232"/>
      <c r="I45" s="56">
        <f ca="1">TODAY()</f>
        <v>45373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47"/>
      <c r="AE45" s="147"/>
      <c r="AF45" s="150"/>
      <c r="AG45" s="147"/>
      <c r="AH45" s="147"/>
      <c r="AI45" s="147"/>
      <c r="AJ45" s="147"/>
      <c r="AK45" s="147"/>
      <c r="AL45" s="147"/>
      <c r="AM45" s="147"/>
      <c r="AN45" s="147"/>
      <c r="AO45" s="147"/>
    </row>
    <row r="46" spans="1:131" ht="27.95" customHeight="1" x14ac:dyDescent="0.45">
      <c r="A46" s="183" t="s">
        <v>26</v>
      </c>
      <c r="B46" s="184"/>
      <c r="D46" s="185" t="s">
        <v>27</v>
      </c>
      <c r="E46" s="186"/>
      <c r="F46" s="186"/>
      <c r="G46" s="187"/>
      <c r="H46" s="11"/>
      <c r="I46" s="188" t="s">
        <v>28</v>
      </c>
      <c r="J46" s="189"/>
      <c r="K46" s="189"/>
      <c r="L46" s="190"/>
      <c r="M46" s="12"/>
      <c r="N46" s="185" t="s">
        <v>29</v>
      </c>
      <c r="O46" s="186"/>
      <c r="P46" s="186"/>
      <c r="Q46" s="186"/>
      <c r="R46" s="186"/>
      <c r="S46" s="187"/>
      <c r="T46" s="2"/>
      <c r="U46" s="185" t="s">
        <v>30</v>
      </c>
      <c r="V46" s="186"/>
      <c r="W46" s="186"/>
      <c r="X46" s="187"/>
      <c r="Y46"/>
      <c r="Z46"/>
      <c r="AA46"/>
      <c r="AB46"/>
      <c r="AC46"/>
      <c r="AD46" s="147"/>
      <c r="AE46" s="147"/>
      <c r="AF46" s="147"/>
      <c r="AG46" s="108">
        <f>126487.65*3</f>
        <v>379462.94999999995</v>
      </c>
      <c r="AH46" s="147" t="s">
        <v>53</v>
      </c>
      <c r="AI46" s="147"/>
      <c r="AJ46" s="147"/>
      <c r="AK46" s="147"/>
      <c r="AL46" s="147"/>
      <c r="AM46" s="147"/>
      <c r="AN46" s="147"/>
      <c r="AO46" s="147"/>
    </row>
    <row r="47" spans="1:131" ht="27.95" customHeight="1" x14ac:dyDescent="0.45">
      <c r="A47" s="26" t="s">
        <v>3</v>
      </c>
      <c r="B47" s="27">
        <f>D40</f>
        <v>99603</v>
      </c>
      <c r="C47" s="13"/>
      <c r="D47" s="179" t="s">
        <v>3</v>
      </c>
      <c r="E47" s="180"/>
      <c r="F47" s="180"/>
      <c r="G47" s="30">
        <f>B47/31</f>
        <v>3213</v>
      </c>
      <c r="H47" s="14"/>
      <c r="I47" s="179" t="s">
        <v>3</v>
      </c>
      <c r="J47" s="180"/>
      <c r="K47" s="180"/>
      <c r="L47" s="105">
        <f>I36/J45</f>
        <v>3146.3161290322582</v>
      </c>
      <c r="M47" s="14"/>
      <c r="N47" s="179" t="s">
        <v>3</v>
      </c>
      <c r="O47" s="180"/>
      <c r="P47" s="180"/>
      <c r="Q47" s="180"/>
      <c r="R47" s="177">
        <f>G47*J45</f>
        <v>99603</v>
      </c>
      <c r="S47" s="178"/>
      <c r="T47" s="15"/>
      <c r="U47" s="179" t="s">
        <v>3</v>
      </c>
      <c r="V47" s="180"/>
      <c r="W47" s="174">
        <f>I36</f>
        <v>97535.8</v>
      </c>
      <c r="X47" s="175"/>
      <c r="Y47" s="16">
        <f>R47-W47</f>
        <v>2067.1999999999971</v>
      </c>
      <c r="Z47"/>
      <c r="AA47"/>
      <c r="AB47"/>
      <c r="AC47"/>
      <c r="AD47" s="147"/>
      <c r="AE47" s="147"/>
      <c r="AF47" s="147"/>
      <c r="AG47" s="108">
        <f>121622.74*3</f>
        <v>364868.22000000003</v>
      </c>
      <c r="AH47" s="97" t="s">
        <v>51</v>
      </c>
      <c r="AI47" s="147"/>
      <c r="AJ47" s="147"/>
      <c r="AK47" s="147"/>
      <c r="AL47" s="147"/>
      <c r="AM47" s="147"/>
      <c r="AN47" s="147"/>
      <c r="AO47" s="147"/>
    </row>
    <row r="48" spans="1:131" ht="27.95" customHeight="1" x14ac:dyDescent="0.45">
      <c r="A48" s="26" t="s">
        <v>4</v>
      </c>
      <c r="B48" s="27">
        <f>L40</f>
        <v>23170.1138002035</v>
      </c>
      <c r="C48" s="13"/>
      <c r="D48" s="179" t="s">
        <v>4</v>
      </c>
      <c r="E48" s="180"/>
      <c r="F48" s="180"/>
      <c r="G48" s="30">
        <f>B48/31</f>
        <v>747.42302581301612</v>
      </c>
      <c r="H48" s="14"/>
      <c r="I48" s="179" t="s">
        <v>4</v>
      </c>
      <c r="J48" s="180"/>
      <c r="K48" s="180"/>
      <c r="L48" s="106">
        <f>L36/J45</f>
        <v>721.78580645161287</v>
      </c>
      <c r="M48" s="14"/>
      <c r="N48" s="179" t="s">
        <v>4</v>
      </c>
      <c r="O48" s="180"/>
      <c r="P48" s="180"/>
      <c r="Q48" s="180"/>
      <c r="R48" s="177">
        <f>G48*J45</f>
        <v>23170.1138002035</v>
      </c>
      <c r="S48" s="178"/>
      <c r="T48" s="15"/>
      <c r="U48" s="179" t="s">
        <v>4</v>
      </c>
      <c r="V48" s="180"/>
      <c r="W48" s="174">
        <f>L36</f>
        <v>22375.360000000001</v>
      </c>
      <c r="X48" s="175"/>
      <c r="Y48" s="16">
        <f t="shared" ref="Y48:Y51" si="25">R48-W48</f>
        <v>794.75380020349985</v>
      </c>
      <c r="Z48"/>
      <c r="AA48"/>
      <c r="AB48"/>
      <c r="AC48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</row>
    <row r="49" spans="1:41" ht="27.95" customHeight="1" x14ac:dyDescent="0.45">
      <c r="A49" s="26" t="s">
        <v>25</v>
      </c>
      <c r="B49" s="27">
        <f>R40</f>
        <v>16700.0622817904</v>
      </c>
      <c r="C49" s="13"/>
      <c r="D49" s="179" t="s">
        <v>25</v>
      </c>
      <c r="E49" s="180"/>
      <c r="F49" s="180"/>
      <c r="G49" s="30">
        <f>B49/31</f>
        <v>538.71168650936772</v>
      </c>
      <c r="H49" s="14"/>
      <c r="I49" s="179" t="s">
        <v>25</v>
      </c>
      <c r="J49" s="180"/>
      <c r="K49" s="180"/>
      <c r="L49" s="106">
        <f>U36/J45</f>
        <v>529.16076661290322</v>
      </c>
      <c r="M49" s="14"/>
      <c r="N49" s="179" t="s">
        <v>25</v>
      </c>
      <c r="O49" s="180"/>
      <c r="P49" s="180"/>
      <c r="Q49" s="180"/>
      <c r="R49" s="177">
        <f>G49*J45</f>
        <v>16700.0622817904</v>
      </c>
      <c r="S49" s="178"/>
      <c r="T49" s="15"/>
      <c r="U49" s="179" t="s">
        <v>25</v>
      </c>
      <c r="V49" s="180"/>
      <c r="W49" s="174">
        <f>U36</f>
        <v>16403.983765000001</v>
      </c>
      <c r="X49" s="175"/>
      <c r="Y49" s="16">
        <f t="shared" si="25"/>
        <v>296.07851679039959</v>
      </c>
      <c r="Z49"/>
      <c r="AA49"/>
      <c r="AB49"/>
      <c r="AC49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</row>
    <row r="50" spans="1:41" ht="27.95" customHeight="1" x14ac:dyDescent="0.45">
      <c r="A50" s="28" t="s">
        <v>15</v>
      </c>
      <c r="B50" s="29">
        <f>X40</f>
        <v>192191.14969600001</v>
      </c>
      <c r="C50" s="25"/>
      <c r="D50" s="156" t="s">
        <v>15</v>
      </c>
      <c r="E50" s="157"/>
      <c r="F50" s="157"/>
      <c r="G50" s="109">
        <f>B50/31</f>
        <v>6199.7145063225807</v>
      </c>
      <c r="H50" s="17"/>
      <c r="I50" s="156" t="s">
        <v>15</v>
      </c>
      <c r="J50" s="157"/>
      <c r="K50" s="157"/>
      <c r="L50" s="107">
        <f>AA36/J45</f>
        <v>6235.3683509677439</v>
      </c>
      <c r="M50" s="17"/>
      <c r="N50" s="156" t="s">
        <v>15</v>
      </c>
      <c r="O50" s="157"/>
      <c r="P50" s="157"/>
      <c r="Q50" s="157"/>
      <c r="R50" s="226">
        <f>G50*J45</f>
        <v>192191.14969600001</v>
      </c>
      <c r="S50" s="227"/>
      <c r="T50" s="15"/>
      <c r="U50" s="156" t="s">
        <v>15</v>
      </c>
      <c r="V50" s="157"/>
      <c r="W50" s="160">
        <f>AA36</f>
        <v>193296.41888000007</v>
      </c>
      <c r="X50" s="161"/>
      <c r="Y50" s="16">
        <f t="shared" si="25"/>
        <v>-1105.2691840000625</v>
      </c>
      <c r="Z50"/>
      <c r="AA50"/>
      <c r="AB50"/>
      <c r="AC50"/>
      <c r="AD50"/>
      <c r="AE50"/>
      <c r="AF50"/>
      <c r="AG50"/>
      <c r="AH50"/>
    </row>
    <row r="51" spans="1:41" ht="27.95" customHeight="1" x14ac:dyDescent="0.45">
      <c r="B51" s="18">
        <f>SUM(B47:B50)</f>
        <v>331664.32577799389</v>
      </c>
      <c r="C51" s="13"/>
      <c r="D51" s="13"/>
      <c r="E51" s="13"/>
      <c r="F51" s="19"/>
      <c r="G51" s="19"/>
      <c r="H51" s="19"/>
      <c r="I51" s="19"/>
      <c r="J51" s="19"/>
      <c r="K51" s="19"/>
      <c r="L51" s="17"/>
      <c r="M51" s="17"/>
      <c r="N51" s="17"/>
      <c r="O51" s="17"/>
      <c r="P51" s="17"/>
      <c r="Q51" s="17"/>
      <c r="R51" s="162">
        <f>SUM(R47:S50)</f>
        <v>331664.32577799389</v>
      </c>
      <c r="S51" s="162"/>
      <c r="T51" s="20"/>
      <c r="U51" s="20"/>
      <c r="V51" s="20"/>
      <c r="W51" s="162">
        <f>SUM(W47:X50)</f>
        <v>329611.56264500006</v>
      </c>
      <c r="X51" s="162"/>
      <c r="Y51" s="16">
        <f t="shared" si="25"/>
        <v>2052.7631329938304</v>
      </c>
      <c r="Z51"/>
      <c r="AA51"/>
      <c r="AB51"/>
      <c r="AC51"/>
      <c r="AD51"/>
      <c r="AE51"/>
      <c r="AF51"/>
      <c r="AG51"/>
      <c r="AH51"/>
    </row>
    <row r="52" spans="1:41" ht="27.95" customHeight="1" x14ac:dyDescent="0.45">
      <c r="B52" s="18">
        <f>B51*X52</f>
        <v>2052.7631329938308</v>
      </c>
      <c r="C52" s="13"/>
      <c r="D52" s="13"/>
      <c r="E52" s="13"/>
      <c r="F52" s="13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5"/>
      <c r="U52" s="15"/>
      <c r="V52" s="15"/>
      <c r="W52" s="21"/>
      <c r="X52" s="22">
        <f>1-(W51/R51)</f>
        <v>6.18927926052526E-3</v>
      </c>
      <c r="Y52" s="23"/>
      <c r="Z52"/>
      <c r="AA52"/>
      <c r="AB52"/>
      <c r="AC52"/>
      <c r="AD52"/>
      <c r="AE52"/>
      <c r="AF52"/>
      <c r="AG52"/>
      <c r="AH52"/>
    </row>
    <row r="53" spans="1:41" ht="27.95" customHeight="1" x14ac:dyDescent="0.45">
      <c r="B53" s="10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</row>
    <row r="54" spans="1:41" ht="27.95" customHeight="1" x14ac:dyDescent="0.45">
      <c r="A54" s="183" t="s">
        <v>41</v>
      </c>
      <c r="B54" s="184"/>
      <c r="D54" s="185" t="s">
        <v>42</v>
      </c>
      <c r="E54" s="186"/>
      <c r="F54" s="186"/>
      <c r="G54" s="187"/>
      <c r="H54" s="11"/>
      <c r="I54" s="188" t="s">
        <v>43</v>
      </c>
      <c r="J54" s="189"/>
      <c r="K54" s="189"/>
      <c r="L54" s="190"/>
      <c r="M54" s="12"/>
      <c r="N54" s="185" t="s">
        <v>30</v>
      </c>
      <c r="O54" s="186"/>
      <c r="P54" s="186"/>
      <c r="Q54" s="186"/>
      <c r="R54" s="186"/>
      <c r="S54" s="187"/>
      <c r="T54" s="2"/>
      <c r="U54" s="185" t="s">
        <v>44</v>
      </c>
      <c r="V54" s="186"/>
      <c r="W54" s="186"/>
      <c r="X54" s="187"/>
      <c r="Y54"/>
      <c r="Z54" s="40" t="s">
        <v>45</v>
      </c>
      <c r="AA54" s="41" t="s">
        <v>46</v>
      </c>
      <c r="AB54"/>
      <c r="AC54"/>
      <c r="AD54" s="38" t="s">
        <v>48</v>
      </c>
      <c r="AE54" s="39" t="s">
        <v>47</v>
      </c>
      <c r="AF54"/>
      <c r="AG54"/>
      <c r="AH54"/>
    </row>
    <row r="55" spans="1:41" ht="27.95" customHeight="1" x14ac:dyDescent="0.45">
      <c r="A55" s="26" t="s">
        <v>3</v>
      </c>
      <c r="B55" s="27">
        <f>D41</f>
        <v>99341.8</v>
      </c>
      <c r="C55" s="13"/>
      <c r="D55" s="179" t="s">
        <v>3</v>
      </c>
      <c r="E55" s="180"/>
      <c r="F55" s="180"/>
      <c r="G55" s="30">
        <f>B55/31</f>
        <v>3204.574193548387</v>
      </c>
      <c r="H55" s="14"/>
      <c r="I55" s="179" t="s">
        <v>3</v>
      </c>
      <c r="J55" s="180"/>
      <c r="K55" s="180"/>
      <c r="L55" s="31">
        <f>G55*J45</f>
        <v>99341.8</v>
      </c>
      <c r="M55" s="14"/>
      <c r="N55" s="179" t="s">
        <v>3</v>
      </c>
      <c r="O55" s="180"/>
      <c r="P55" s="180"/>
      <c r="Q55" s="180"/>
      <c r="R55" s="181">
        <f>W47</f>
        <v>97535.8</v>
      </c>
      <c r="S55" s="182"/>
      <c r="T55" s="15"/>
      <c r="U55" s="179" t="s">
        <v>3</v>
      </c>
      <c r="V55" s="180"/>
      <c r="W55" s="174">
        <f>L55-R55</f>
        <v>1806</v>
      </c>
      <c r="X55" s="175"/>
      <c r="Y55" s="16"/>
      <c r="Z55" s="87">
        <f>L47*31</f>
        <v>97535.8</v>
      </c>
      <c r="AA55" s="37">
        <f>Z55</f>
        <v>97535.8</v>
      </c>
      <c r="AB55" s="13"/>
      <c r="AC55" s="13"/>
      <c r="AD55" s="33">
        <f>D41-Z55</f>
        <v>1806</v>
      </c>
      <c r="AE55" s="34">
        <f>D44-AA55</f>
        <v>188159.40000000002</v>
      </c>
      <c r="AF55"/>
      <c r="AG55"/>
      <c r="AH55"/>
    </row>
    <row r="56" spans="1:41" ht="27.95" customHeight="1" x14ac:dyDescent="0.45">
      <c r="A56" s="26" t="s">
        <v>4</v>
      </c>
      <c r="B56" s="27">
        <f>L41</f>
        <v>20062.560000000001</v>
      </c>
      <c r="C56" s="13"/>
      <c r="D56" s="179" t="s">
        <v>4</v>
      </c>
      <c r="E56" s="180"/>
      <c r="F56" s="180"/>
      <c r="G56" s="30">
        <f>B56/31</f>
        <v>647.17935483870974</v>
      </c>
      <c r="H56" s="14"/>
      <c r="I56" s="179" t="s">
        <v>4</v>
      </c>
      <c r="J56" s="180"/>
      <c r="K56" s="180"/>
      <c r="L56" s="31">
        <f>G56*J45</f>
        <v>20062.560000000001</v>
      </c>
      <c r="M56" s="14"/>
      <c r="N56" s="179" t="s">
        <v>4</v>
      </c>
      <c r="O56" s="180"/>
      <c r="P56" s="180"/>
      <c r="Q56" s="180"/>
      <c r="R56" s="181">
        <f>W48</f>
        <v>22375.360000000001</v>
      </c>
      <c r="S56" s="182"/>
      <c r="T56" s="15"/>
      <c r="U56" s="179" t="s">
        <v>4</v>
      </c>
      <c r="V56" s="180"/>
      <c r="W56" s="174">
        <f>L56-R56</f>
        <v>-2312.7999999999993</v>
      </c>
      <c r="X56" s="175"/>
      <c r="Y56" s="16"/>
      <c r="Z56" s="87">
        <f>L48*31</f>
        <v>22375.360000000001</v>
      </c>
      <c r="AA56" s="34">
        <f>Z56</f>
        <v>22375.360000000001</v>
      </c>
      <c r="AB56" s="13"/>
      <c r="AC56" s="13"/>
      <c r="AD56" s="33">
        <f>L41-Z56</f>
        <v>-2312.7999999999993</v>
      </c>
      <c r="AE56" s="34">
        <f>L44-AA56</f>
        <v>36197.279999999999</v>
      </c>
      <c r="AF56"/>
      <c r="AG56"/>
      <c r="AH56"/>
    </row>
    <row r="57" spans="1:41" ht="27.95" customHeight="1" x14ac:dyDescent="0.45">
      <c r="A57" s="26" t="s">
        <v>25</v>
      </c>
      <c r="B57" s="27">
        <f>R41</f>
        <v>13408.61</v>
      </c>
      <c r="C57" s="13"/>
      <c r="D57" s="179" t="s">
        <v>25</v>
      </c>
      <c r="E57" s="180"/>
      <c r="F57" s="180"/>
      <c r="G57" s="30">
        <f>B57/31</f>
        <v>432.53580645161293</v>
      </c>
      <c r="H57" s="14"/>
      <c r="I57" s="179" t="s">
        <v>25</v>
      </c>
      <c r="J57" s="180"/>
      <c r="K57" s="180"/>
      <c r="L57" s="31">
        <f>G57*J45</f>
        <v>13408.61</v>
      </c>
      <c r="M57" s="14"/>
      <c r="N57" s="179" t="s">
        <v>25</v>
      </c>
      <c r="O57" s="180"/>
      <c r="P57" s="180"/>
      <c r="Q57" s="180"/>
      <c r="R57" s="181">
        <f>W49</f>
        <v>16403.983765000001</v>
      </c>
      <c r="S57" s="182"/>
      <c r="T57" s="15"/>
      <c r="U57" s="179" t="s">
        <v>25</v>
      </c>
      <c r="V57" s="180"/>
      <c r="W57" s="174">
        <f>L57-R57</f>
        <v>-2995.3737650000003</v>
      </c>
      <c r="X57" s="175"/>
      <c r="Y57" s="16"/>
      <c r="Z57" s="87">
        <f>L49*31</f>
        <v>16403.983765000001</v>
      </c>
      <c r="AA57" s="34">
        <f>Z57</f>
        <v>16403.983765000001</v>
      </c>
      <c r="AB57" s="13"/>
      <c r="AC57" s="13"/>
      <c r="AD57" s="33">
        <f>R41-Z57</f>
        <v>-2995.3737650000003</v>
      </c>
      <c r="AE57" s="34">
        <f>R44-AA57</f>
        <v>27050.846235000001</v>
      </c>
      <c r="AF57"/>
      <c r="AG57"/>
      <c r="AH57"/>
    </row>
    <row r="58" spans="1:41" ht="27.95" customHeight="1" x14ac:dyDescent="0.45">
      <c r="A58" s="28" t="s">
        <v>15</v>
      </c>
      <c r="B58" s="29">
        <f>X41</f>
        <v>182068.16</v>
      </c>
      <c r="C58" s="25"/>
      <c r="D58" s="156" t="s">
        <v>15</v>
      </c>
      <c r="E58" s="157"/>
      <c r="F58" s="157"/>
      <c r="G58" s="30">
        <f>B58/31</f>
        <v>5873.1664516129031</v>
      </c>
      <c r="H58" s="17"/>
      <c r="I58" s="156" t="s">
        <v>15</v>
      </c>
      <c r="J58" s="157"/>
      <c r="K58" s="157"/>
      <c r="L58" s="32">
        <f>G58*J45</f>
        <v>182068.16</v>
      </c>
      <c r="M58" s="17"/>
      <c r="N58" s="156" t="s">
        <v>15</v>
      </c>
      <c r="O58" s="157"/>
      <c r="P58" s="157"/>
      <c r="Q58" s="157"/>
      <c r="R58" s="158">
        <f>W50</f>
        <v>193296.41888000007</v>
      </c>
      <c r="S58" s="159"/>
      <c r="T58" s="15"/>
      <c r="U58" s="156" t="s">
        <v>15</v>
      </c>
      <c r="V58" s="157"/>
      <c r="W58" s="160">
        <f>L58-R58</f>
        <v>-11228.258880000067</v>
      </c>
      <c r="X58" s="161"/>
      <c r="Y58" s="16"/>
      <c r="Z58" s="87">
        <f>L50*31</f>
        <v>193296.41888000007</v>
      </c>
      <c r="AA58" s="34">
        <f>Z58</f>
        <v>193296.41888000007</v>
      </c>
      <c r="AB58" s="13"/>
      <c r="AC58" s="13"/>
      <c r="AD58" s="33">
        <f>X41-Z58</f>
        <v>-11228.258880000067</v>
      </c>
      <c r="AE58" s="34">
        <f>Z44-AA58</f>
        <v>241486.92417717609</v>
      </c>
      <c r="AF58"/>
      <c r="AG58"/>
      <c r="AH58"/>
    </row>
    <row r="59" spans="1:41" ht="27.95" customHeight="1" x14ac:dyDescent="0.45">
      <c r="A59" s="13"/>
      <c r="B59" s="18">
        <f>SUM(B55:B58)</f>
        <v>314881.13</v>
      </c>
      <c r="C59" s="13"/>
      <c r="D59" s="13"/>
      <c r="E59" s="13"/>
      <c r="F59" s="19"/>
      <c r="G59" s="19"/>
      <c r="H59" s="19"/>
      <c r="I59" s="19"/>
      <c r="J59" s="19"/>
      <c r="K59" s="19"/>
      <c r="L59" s="24">
        <f>SUM(L55:L58)</f>
        <v>314881.13</v>
      </c>
      <c r="M59" s="17"/>
      <c r="N59" s="17"/>
      <c r="O59" s="17"/>
      <c r="P59" s="17"/>
      <c r="Q59" s="17"/>
      <c r="R59" s="162">
        <f>SUM(R55:S58)</f>
        <v>329611.56264500006</v>
      </c>
      <c r="S59" s="162"/>
      <c r="T59" s="20"/>
      <c r="U59" s="20"/>
      <c r="V59" s="20"/>
      <c r="W59" s="162">
        <f>SUM(W55:X58)</f>
        <v>-14730.432645000066</v>
      </c>
      <c r="X59" s="162"/>
      <c r="Y59" s="16"/>
      <c r="Z59" s="151">
        <f>SUM(Z55:Z58)</f>
        <v>329611.56264500006</v>
      </c>
      <c r="AA59" s="36">
        <f>SUM(AA55:AA58)</f>
        <v>329611.56264500006</v>
      </c>
      <c r="AB59" s="13"/>
      <c r="AC59" s="13"/>
      <c r="AD59" s="35">
        <f>SUM(AD55:AD58)</f>
        <v>-14730.432645000066</v>
      </c>
      <c r="AE59" s="36">
        <f>SUM(AE55:AE58)</f>
        <v>492894.45041217608</v>
      </c>
      <c r="AF59"/>
      <c r="AG59"/>
      <c r="AH59"/>
    </row>
    <row r="60" spans="1:41" ht="27.95" customHeight="1" x14ac:dyDescent="0.45">
      <c r="A60" s="13"/>
      <c r="B60" s="18">
        <f>B59*X60</f>
        <v>-14730.432645000074</v>
      </c>
      <c r="C60" s="13"/>
      <c r="D60" s="13"/>
      <c r="E60" s="13"/>
      <c r="F60" s="13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5"/>
      <c r="U60" s="15"/>
      <c r="V60" s="15"/>
      <c r="W60" s="21"/>
      <c r="X60" s="22">
        <f>1-(R59/L59)</f>
        <v>-4.678093172810982E-2</v>
      </c>
      <c r="Y60" s="23"/>
      <c r="Z60" s="13"/>
      <c r="AA60" s="13"/>
      <c r="AB60" s="13"/>
      <c r="AC60" s="13"/>
      <c r="AD60" s="13"/>
      <c r="AE60" s="13"/>
      <c r="AF60"/>
      <c r="AG60"/>
      <c r="AH60"/>
    </row>
    <row r="61" spans="1:41" ht="27.95" customHeight="1" x14ac:dyDescent="0.45">
      <c r="A61" s="13"/>
      <c r="B61" s="13"/>
      <c r="C61" s="13"/>
      <c r="D61" s="13"/>
      <c r="E61" s="13"/>
      <c r="F61" s="13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5"/>
      <c r="AA61" s="15"/>
      <c r="AB61" s="15"/>
      <c r="AC61" s="15"/>
      <c r="AD61" s="15"/>
      <c r="AE61" s="15"/>
      <c r="AF61"/>
      <c r="AG61"/>
      <c r="AH61"/>
    </row>
    <row r="62" spans="1:41" ht="27.95" customHeight="1" x14ac:dyDescent="0.45">
      <c r="A62" s="59"/>
      <c r="B62" s="154"/>
      <c r="C62" s="154"/>
      <c r="D62" s="154"/>
      <c r="E62" s="154"/>
      <c r="F62" s="154"/>
      <c r="G62" s="154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57"/>
      <c r="AA62" s="57"/>
      <c r="AB62" s="154"/>
      <c r="AC62" s="154"/>
      <c r="AD62" s="154"/>
      <c r="AE62" s="57"/>
      <c r="AF62"/>
      <c r="AG62"/>
      <c r="AH62"/>
    </row>
    <row r="63" spans="1:41" s="13" customFormat="1" ht="27.95" customHeight="1" x14ac:dyDescent="0.4">
      <c r="A63" s="60"/>
      <c r="B63" s="57"/>
      <c r="C63" s="57"/>
      <c r="D63" s="57"/>
      <c r="E63" s="57"/>
      <c r="F63" s="57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7"/>
      <c r="AA63" s="57"/>
      <c r="AB63" s="57"/>
      <c r="AC63" s="57"/>
      <c r="AD63" s="57"/>
      <c r="AE63" s="57"/>
    </row>
    <row r="64" spans="1:41" s="13" customFormat="1" ht="27.95" customHeight="1" x14ac:dyDescent="0.4">
      <c r="A64" s="60"/>
      <c r="B64" s="57"/>
      <c r="C64" s="57"/>
      <c r="D64" s="57"/>
      <c r="E64" s="57"/>
      <c r="F64" s="5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7"/>
      <c r="AA64" s="57"/>
      <c r="AB64" s="57"/>
      <c r="AC64" s="57"/>
      <c r="AD64" s="57"/>
      <c r="AE64" s="57"/>
    </row>
    <row r="65" spans="1:34" s="13" customFormat="1" ht="27.95" customHeight="1" x14ac:dyDescent="0.4">
      <c r="A65" s="60"/>
      <c r="B65" s="57"/>
      <c r="C65" s="57"/>
      <c r="D65" s="57"/>
      <c r="E65" s="57"/>
      <c r="F65" s="5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7"/>
      <c r="AA65" s="57"/>
      <c r="AB65" s="57"/>
      <c r="AC65" s="57"/>
      <c r="AD65" s="57"/>
      <c r="AE65" s="57"/>
    </row>
    <row r="66" spans="1:34" s="13" customFormat="1" ht="27.95" customHeight="1" x14ac:dyDescent="0.4">
      <c r="A66" s="60"/>
      <c r="B66" s="57"/>
      <c r="C66" s="57"/>
      <c r="D66" s="57"/>
      <c r="E66" s="57"/>
      <c r="F66" s="5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7"/>
      <c r="AA66" s="57"/>
      <c r="AB66" s="57"/>
      <c r="AC66" s="57"/>
      <c r="AD66" s="57"/>
      <c r="AE66" s="57"/>
    </row>
    <row r="67" spans="1:34" s="13" customFormat="1" ht="27.95" customHeight="1" x14ac:dyDescent="0.4">
      <c r="A67" s="60"/>
      <c r="B67" s="57"/>
      <c r="C67" s="57"/>
      <c r="D67" s="57"/>
      <c r="E67" s="57"/>
      <c r="F67" s="57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7"/>
      <c r="AA67" s="57"/>
      <c r="AB67" s="57"/>
      <c r="AC67" s="57"/>
      <c r="AD67" s="57"/>
      <c r="AE67" s="57"/>
    </row>
    <row r="68" spans="1:34" s="13" customFormat="1" ht="27.95" customHeight="1" x14ac:dyDescent="0.4">
      <c r="A68" s="59"/>
      <c r="B68" s="57"/>
      <c r="C68" s="57"/>
      <c r="D68" s="57"/>
      <c r="E68" s="57"/>
      <c r="F68" s="57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7"/>
      <c r="AA68" s="57"/>
      <c r="AB68" s="57"/>
      <c r="AC68" s="57"/>
      <c r="AD68" s="57"/>
      <c r="AE68" s="57"/>
    </row>
    <row r="69" spans="1:34" s="13" customFormat="1" ht="27.95" customHeight="1" x14ac:dyDescent="0.4">
      <c r="A69" s="57"/>
      <c r="B69" s="57"/>
      <c r="C69" s="57"/>
      <c r="D69" s="57"/>
      <c r="E69" s="57"/>
      <c r="F69" s="57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7"/>
      <c r="AA69" s="57"/>
      <c r="AB69" s="57"/>
      <c r="AC69" s="57"/>
      <c r="AD69" s="57"/>
      <c r="AE69" s="57"/>
      <c r="AF69" s="15"/>
      <c r="AG69" s="15"/>
      <c r="AH69" s="15"/>
    </row>
    <row r="70" spans="1:34" s="57" customFormat="1" ht="27.95" customHeight="1" x14ac:dyDescent="0.4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</row>
    <row r="71" spans="1:34" s="57" customFormat="1" ht="27.95" customHeight="1" x14ac:dyDescent="0.4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</row>
    <row r="72" spans="1:34" s="57" customFormat="1" ht="27.95" customHeight="1" x14ac:dyDescent="0.4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</row>
    <row r="73" spans="1:34" s="57" customFormat="1" ht="27.95" customHeight="1" x14ac:dyDescent="0.4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</row>
    <row r="74" spans="1:34" s="57" customFormat="1" ht="27.95" customHeight="1" x14ac:dyDescent="0.4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</row>
    <row r="75" spans="1:34" s="57" customFormat="1" ht="27.95" customHeight="1" x14ac:dyDescent="0.4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</row>
    <row r="76" spans="1:34" s="57" customFormat="1" ht="27.95" customHeight="1" x14ac:dyDescent="0.4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</row>
    <row r="77" spans="1:34" s="57" customFormat="1" x14ac:dyDescent="0.4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</row>
  </sheetData>
  <mergeCells count="186">
    <mergeCell ref="V2:AB2"/>
    <mergeCell ref="AD2:AE2"/>
    <mergeCell ref="A1:AE1"/>
    <mergeCell ref="W48:X48"/>
    <mergeCell ref="W49:X49"/>
    <mergeCell ref="W50:X50"/>
    <mergeCell ref="W51:X51"/>
    <mergeCell ref="T38:U38"/>
    <mergeCell ref="R38:S38"/>
    <mergeCell ref="R39:S39"/>
    <mergeCell ref="R40:S40"/>
    <mergeCell ref="R43:S43"/>
    <mergeCell ref="T39:U39"/>
    <mergeCell ref="T40:U40"/>
    <mergeCell ref="T42:U42"/>
    <mergeCell ref="T43:U43"/>
    <mergeCell ref="V39:W39"/>
    <mergeCell ref="X39:Y39"/>
    <mergeCell ref="B43:C43"/>
    <mergeCell ref="D38:F38"/>
    <mergeCell ref="D39:F39"/>
    <mergeCell ref="D40:F40"/>
    <mergeCell ref="B2:I2"/>
    <mergeCell ref="F3:G3"/>
    <mergeCell ref="H3:H4"/>
    <mergeCell ref="I3:I4"/>
    <mergeCell ref="J3:J4"/>
    <mergeCell ref="O40:Q40"/>
    <mergeCell ref="M38:N38"/>
    <mergeCell ref="J39:K39"/>
    <mergeCell ref="M39:N39"/>
    <mergeCell ref="O38:Q38"/>
    <mergeCell ref="O39:Q39"/>
    <mergeCell ref="A37:U37"/>
    <mergeCell ref="A2:A4"/>
    <mergeCell ref="J2:L2"/>
    <mergeCell ref="M2:U2"/>
    <mergeCell ref="Q3:Q4"/>
    <mergeCell ref="R3:R4"/>
    <mergeCell ref="S3:S4"/>
    <mergeCell ref="T3:T4"/>
    <mergeCell ref="L3:L4"/>
    <mergeCell ref="M3:N3"/>
    <mergeCell ref="O3:P3"/>
    <mergeCell ref="B3:C3"/>
    <mergeCell ref="J38:K38"/>
    <mergeCell ref="J43:K43"/>
    <mergeCell ref="M43:N43"/>
    <mergeCell ref="V43:W43"/>
    <mergeCell ref="D48:F48"/>
    <mergeCell ref="I48:K48"/>
    <mergeCell ref="U48:V48"/>
    <mergeCell ref="N48:Q48"/>
    <mergeCell ref="R48:S48"/>
    <mergeCell ref="D47:F47"/>
    <mergeCell ref="I47:K47"/>
    <mergeCell ref="U47:V47"/>
    <mergeCell ref="N47:Q47"/>
    <mergeCell ref="O43:Q43"/>
    <mergeCell ref="G45:H45"/>
    <mergeCell ref="A46:B46"/>
    <mergeCell ref="D46:G46"/>
    <mergeCell ref="I46:L46"/>
    <mergeCell ref="N46:S46"/>
    <mergeCell ref="U46:X46"/>
    <mergeCell ref="J40:K40"/>
    <mergeCell ref="M40:N40"/>
    <mergeCell ref="V40:W40"/>
    <mergeCell ref="M44:N44"/>
    <mergeCell ref="O44:Q44"/>
    <mergeCell ref="R44:S44"/>
    <mergeCell ref="T44:U44"/>
    <mergeCell ref="V44:W44"/>
    <mergeCell ref="D50:F50"/>
    <mergeCell ref="I50:K50"/>
    <mergeCell ref="U50:V50"/>
    <mergeCell ref="N50:Q50"/>
    <mergeCell ref="R50:S50"/>
    <mergeCell ref="D49:F49"/>
    <mergeCell ref="I49:K49"/>
    <mergeCell ref="U49:V49"/>
    <mergeCell ref="N49:Q49"/>
    <mergeCell ref="R49:S49"/>
    <mergeCell ref="G42:I42"/>
    <mergeCell ref="B39:C39"/>
    <mergeCell ref="B40:C40"/>
    <mergeCell ref="B42:C42"/>
    <mergeCell ref="G43:I43"/>
    <mergeCell ref="B44:C44"/>
    <mergeCell ref="D44:F44"/>
    <mergeCell ref="G44:I44"/>
    <mergeCell ref="J44:K44"/>
    <mergeCell ref="D42:F42"/>
    <mergeCell ref="D43:F43"/>
    <mergeCell ref="AD3:AD4"/>
    <mergeCell ref="AE3:AE4"/>
    <mergeCell ref="U3:U4"/>
    <mergeCell ref="V3:V4"/>
    <mergeCell ref="W3:W4"/>
    <mergeCell ref="X3:X4"/>
    <mergeCell ref="Y3:Y4"/>
    <mergeCell ref="Z3:Z4"/>
    <mergeCell ref="AA3:AA4"/>
    <mergeCell ref="K3:K4"/>
    <mergeCell ref="B38:C38"/>
    <mergeCell ref="V38:W38"/>
    <mergeCell ref="X38:Y38"/>
    <mergeCell ref="D3:E3"/>
    <mergeCell ref="V37:AB37"/>
    <mergeCell ref="D41:F41"/>
    <mergeCell ref="X42:Y42"/>
    <mergeCell ref="V42:W42"/>
    <mergeCell ref="M42:N42"/>
    <mergeCell ref="R42:S42"/>
    <mergeCell ref="G38:I38"/>
    <mergeCell ref="G39:I39"/>
    <mergeCell ref="G40:I40"/>
    <mergeCell ref="O41:Q41"/>
    <mergeCell ref="M41:N41"/>
    <mergeCell ref="J41:K41"/>
    <mergeCell ref="G41:I41"/>
    <mergeCell ref="AB3:AB4"/>
    <mergeCell ref="O42:Q42"/>
    <mergeCell ref="J42:K42"/>
    <mergeCell ref="B41:C41"/>
    <mergeCell ref="X41:Y41"/>
    <mergeCell ref="V41:W41"/>
    <mergeCell ref="D57:F57"/>
    <mergeCell ref="I57:K57"/>
    <mergeCell ref="N57:Q57"/>
    <mergeCell ref="R57:S57"/>
    <mergeCell ref="U57:V57"/>
    <mergeCell ref="W57:X57"/>
    <mergeCell ref="A54:B54"/>
    <mergeCell ref="D54:G54"/>
    <mergeCell ref="I54:L54"/>
    <mergeCell ref="N54:S54"/>
    <mergeCell ref="U54:X54"/>
    <mergeCell ref="D55:F55"/>
    <mergeCell ref="I55:K55"/>
    <mergeCell ref="N55:Q55"/>
    <mergeCell ref="R55:S55"/>
    <mergeCell ref="U55:V55"/>
    <mergeCell ref="W55:X55"/>
    <mergeCell ref="D56:F56"/>
    <mergeCell ref="I56:K56"/>
    <mergeCell ref="N56:Q56"/>
    <mergeCell ref="R56:S56"/>
    <mergeCell ref="U56:V56"/>
    <mergeCell ref="W56:X56"/>
    <mergeCell ref="Z44:AB44"/>
    <mergeCell ref="Z43:AB43"/>
    <mergeCell ref="Z42:AB42"/>
    <mergeCell ref="Z41:AB41"/>
    <mergeCell ref="Z40:AB40"/>
    <mergeCell ref="Z39:AB39"/>
    <mergeCell ref="Z38:AB38"/>
    <mergeCell ref="W47:X47"/>
    <mergeCell ref="R51:S51"/>
    <mergeCell ref="T41:U41"/>
    <mergeCell ref="R41:S41"/>
    <mergeCell ref="R47:S47"/>
    <mergeCell ref="X44:Y44"/>
    <mergeCell ref="X43:Y43"/>
    <mergeCell ref="X40:Y40"/>
    <mergeCell ref="B62:C62"/>
    <mergeCell ref="R62:S62"/>
    <mergeCell ref="P62:Q62"/>
    <mergeCell ref="N62:O62"/>
    <mergeCell ref="L62:M62"/>
    <mergeCell ref="J62:K62"/>
    <mergeCell ref="H62:I62"/>
    <mergeCell ref="F62:G62"/>
    <mergeCell ref="D62:E62"/>
    <mergeCell ref="AB62:AD62"/>
    <mergeCell ref="X62:Y62"/>
    <mergeCell ref="V62:W62"/>
    <mergeCell ref="T62:U62"/>
    <mergeCell ref="D58:F58"/>
    <mergeCell ref="I58:K58"/>
    <mergeCell ref="N58:Q58"/>
    <mergeCell ref="R58:S58"/>
    <mergeCell ref="U58:V58"/>
    <mergeCell ref="W58:X58"/>
    <mergeCell ref="R59:S59"/>
    <mergeCell ref="W59:X59"/>
  </mergeCells>
  <phoneticPr fontId="15" type="noConversion"/>
  <conditionalFormatting sqref="W47">
    <cfRule type="cellIs" dxfId="6" priority="5" operator="lessThan">
      <formula>#REF!</formula>
    </cfRule>
    <cfRule type="cellIs" dxfId="5" priority="7" operator="greaterThan">
      <formula>#REF!</formula>
    </cfRule>
  </conditionalFormatting>
  <conditionalFormatting sqref="W48">
    <cfRule type="cellIs" dxfId="4" priority="4" operator="lessThan">
      <formula>#REF!</formula>
    </cfRule>
  </conditionalFormatting>
  <conditionalFormatting sqref="W48:W50">
    <cfRule type="cellIs" dxfId="3" priority="6" operator="greaterThan">
      <formula>#REF!</formula>
    </cfRule>
  </conditionalFormatting>
  <conditionalFormatting sqref="W48:W58">
    <cfRule type="cellIs" dxfId="2" priority="1" operator="lessThan">
      <formula>#REF!</formula>
    </cfRule>
  </conditionalFormatting>
  <conditionalFormatting sqref="W55:W58">
    <cfRule type="cellIs" dxfId="1" priority="3" operator="greaterThan">
      <formula>#REF!</formula>
    </cfRule>
  </conditionalFormatting>
  <conditionalFormatting sqref="W56">
    <cfRule type="cellIs" dxfId="0" priority="2" operator="less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987D9399-2C2C-4F63-8DD3-7C1C5470B6CD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38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Mar 2023</vt:lpstr>
      <vt:lpstr>'Mar 2023'!Print_Area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2024-03-22T08:56:54Z</dcterms:modified>
</cp:coreProperties>
</file>