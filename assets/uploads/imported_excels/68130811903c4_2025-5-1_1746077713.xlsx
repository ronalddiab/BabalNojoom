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defaultThemeVersion="124226"/>
  <xr:revisionPtr revIDLastSave="0" documentId="13_ncr:1_{56F2A2D6-C407-44ED-B7FC-863BF3B326E7}" xr6:coauthVersionLast="47" xr6:coauthVersionMax="47" xr10:uidLastSave="{00000000-0000-0000-0000-000000000000}"/>
  <bookViews>
    <workbookView xWindow="-24120" yWindow="1335" windowWidth="24240" windowHeight="13140" xr2:uid="{00000000-000D-0000-FFFF-FFFF00000000}"/>
  </bookViews>
  <sheets>
    <sheet name="Total" sheetId="4" r:id="rId1"/>
    <sheet name="Submetering" sheetId="5" r:id="rId2"/>
    <sheet name="Apr 2025" sheetId="14" r:id="rId3"/>
  </sheets>
  <definedNames>
    <definedName name="_xlnm.Print_Area" localSheetId="2">'Apr 2025'!$A$1:$AC$43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2" i="4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2" i="5"/>
  <c r="X6" i="14"/>
  <c r="X7" i="14"/>
  <c r="X8" i="14"/>
  <c r="X9" i="14"/>
  <c r="X10" i="14"/>
  <c r="X11" i="14"/>
  <c r="X12" i="14"/>
  <c r="X13" i="14"/>
  <c r="X14" i="14"/>
  <c r="X15" i="14"/>
  <c r="X16" i="14"/>
  <c r="X17" i="14"/>
  <c r="X18" i="14"/>
  <c r="X19" i="14"/>
  <c r="X20" i="14"/>
  <c r="X21" i="14"/>
  <c r="X22" i="14"/>
  <c r="X23" i="14"/>
  <c r="X24" i="14"/>
  <c r="X25" i="14"/>
  <c r="X26" i="14"/>
  <c r="X27" i="14"/>
  <c r="X28" i="14"/>
  <c r="X29" i="14"/>
  <c r="X30" i="14"/>
  <c r="X31" i="14"/>
  <c r="X32" i="14"/>
  <c r="X33" i="14"/>
  <c r="X34" i="14"/>
  <c r="X5" i="14"/>
  <c r="Y5" i="14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B57" i="14"/>
  <c r="G57" i="14" s="1"/>
  <c r="L57" i="14" s="1"/>
  <c r="B56" i="14"/>
  <c r="G56" i="14" s="1"/>
  <c r="L56" i="14" s="1"/>
  <c r="G55" i="14"/>
  <c r="L55" i="14" s="1"/>
  <c r="B55" i="14"/>
  <c r="L54" i="14"/>
  <c r="G54" i="14"/>
  <c r="B54" i="14"/>
  <c r="R50" i="14"/>
  <c r="R49" i="14"/>
  <c r="B49" i="14"/>
  <c r="G49" i="14" s="1"/>
  <c r="B48" i="14"/>
  <c r="G48" i="14" s="1"/>
  <c r="R48" i="14" s="1"/>
  <c r="AB48" i="14" s="1"/>
  <c r="AB47" i="14"/>
  <c r="B47" i="14"/>
  <c r="G47" i="14" s="1"/>
  <c r="R47" i="14" s="1"/>
  <c r="G46" i="14"/>
  <c r="R46" i="14" s="1"/>
  <c r="AB46" i="14" s="1"/>
  <c r="B46" i="14"/>
  <c r="I44" i="14"/>
  <c r="Z43" i="14"/>
  <c r="V43" i="14"/>
  <c r="T43" i="14"/>
  <c r="O43" i="14"/>
  <c r="M43" i="14"/>
  <c r="J43" i="14"/>
  <c r="G43" i="14"/>
  <c r="X42" i="14"/>
  <c r="AG42" i="14" s="1"/>
  <c r="Z42" i="14" s="1"/>
  <c r="V42" i="14"/>
  <c r="R42" i="14"/>
  <c r="T42" i="14" s="1"/>
  <c r="O42" i="14"/>
  <c r="M42" i="14"/>
  <c r="L42" i="14"/>
  <c r="J42" i="14"/>
  <c r="G42" i="14"/>
  <c r="D42" i="14"/>
  <c r="V41" i="14"/>
  <c r="O41" i="14"/>
  <c r="J41" i="14"/>
  <c r="AG40" i="14"/>
  <c r="Z40" i="14"/>
  <c r="V40" i="14"/>
  <c r="T40" i="14"/>
  <c r="O40" i="14"/>
  <c r="M40" i="14"/>
  <c r="J40" i="14"/>
  <c r="G40" i="14"/>
  <c r="AG39" i="14"/>
  <c r="Z39" i="14"/>
  <c r="V39" i="14"/>
  <c r="T39" i="14"/>
  <c r="O39" i="14"/>
  <c r="M39" i="14"/>
  <c r="J39" i="14"/>
  <c r="G39" i="14"/>
  <c r="AG38" i="14"/>
  <c r="AG43" i="14" s="1"/>
  <c r="V38" i="14"/>
  <c r="O38" i="14"/>
  <c r="J38" i="14"/>
  <c r="AG37" i="14"/>
  <c r="AF35" i="14"/>
  <c r="AE35" i="14"/>
  <c r="AZ34" i="14"/>
  <c r="AY34" i="14"/>
  <c r="AV34" i="14"/>
  <c r="AW34" i="14" s="1"/>
  <c r="AT34" i="14"/>
  <c r="AS34" i="14"/>
  <c r="AP34" i="14"/>
  <c r="AQ34" i="14" s="1"/>
  <c r="AN34" i="14"/>
  <c r="AM34" i="14"/>
  <c r="AJ34" i="14"/>
  <c r="AK34" i="14" s="1"/>
  <c r="AH34" i="14"/>
  <c r="Y34" i="14" s="1"/>
  <c r="AD34" i="14"/>
  <c r="AC34" i="14"/>
  <c r="AA34" i="14"/>
  <c r="Z34" i="14"/>
  <c r="W34" i="14"/>
  <c r="U34" i="14"/>
  <c r="T34" i="14"/>
  <c r="S34" i="14"/>
  <c r="P34" i="14"/>
  <c r="Q34" i="14" s="1"/>
  <c r="N34" i="14"/>
  <c r="K34" i="14"/>
  <c r="L34" i="14" s="1"/>
  <c r="G34" i="14"/>
  <c r="E34" i="14"/>
  <c r="C34" i="14"/>
  <c r="AZ33" i="14"/>
  <c r="AY33" i="14"/>
  <c r="AW33" i="14"/>
  <c r="AV33" i="14"/>
  <c r="AT33" i="14"/>
  <c r="AS33" i="14"/>
  <c r="AQ33" i="14"/>
  <c r="AP33" i="14"/>
  <c r="AN33" i="14"/>
  <c r="AM33" i="14"/>
  <c r="AK33" i="14"/>
  <c r="AJ33" i="14"/>
  <c r="AH33" i="14"/>
  <c r="AC33" i="14"/>
  <c r="AD33" i="14" s="1"/>
  <c r="Y33" i="14" s="1"/>
  <c r="AA33" i="14"/>
  <c r="Z33" i="14"/>
  <c r="W33" i="14"/>
  <c r="S33" i="14"/>
  <c r="T33" i="14" s="1"/>
  <c r="U33" i="14" s="1"/>
  <c r="Q33" i="14"/>
  <c r="P33" i="14"/>
  <c r="N33" i="14"/>
  <c r="L33" i="14"/>
  <c r="K33" i="14"/>
  <c r="G33" i="14"/>
  <c r="E33" i="14"/>
  <c r="C33" i="14"/>
  <c r="H33" i="14" s="1"/>
  <c r="I33" i="14" s="1"/>
  <c r="AY32" i="14"/>
  <c r="AZ32" i="14" s="1"/>
  <c r="AW32" i="14"/>
  <c r="AV32" i="14"/>
  <c r="AS32" i="14"/>
  <c r="AT32" i="14" s="1"/>
  <c r="AQ32" i="14"/>
  <c r="AP32" i="14"/>
  <c r="AM32" i="14"/>
  <c r="AN32" i="14" s="1"/>
  <c r="AK32" i="14"/>
  <c r="AJ32" i="14"/>
  <c r="AH32" i="14"/>
  <c r="AC32" i="14"/>
  <c r="AD32" i="14" s="1"/>
  <c r="Y32" i="14" s="1"/>
  <c r="AA32" i="14" s="1"/>
  <c r="Z32" i="14"/>
  <c r="W32" i="14"/>
  <c r="S32" i="14"/>
  <c r="T32" i="14" s="1"/>
  <c r="U32" i="14" s="1"/>
  <c r="P32" i="14"/>
  <c r="N32" i="14"/>
  <c r="Q32" i="14" s="1"/>
  <c r="L32" i="14"/>
  <c r="K32" i="14"/>
  <c r="G32" i="14"/>
  <c r="H32" i="14" s="1"/>
  <c r="I32" i="14" s="1"/>
  <c r="E32" i="14"/>
  <c r="C32" i="14"/>
  <c r="AY31" i="14"/>
  <c r="AZ31" i="14" s="1"/>
  <c r="AW31" i="14"/>
  <c r="AV31" i="14"/>
  <c r="AS31" i="14"/>
  <c r="AT31" i="14" s="1"/>
  <c r="AQ31" i="14"/>
  <c r="AP31" i="14"/>
  <c r="AM31" i="14"/>
  <c r="AN31" i="14" s="1"/>
  <c r="AK31" i="14"/>
  <c r="AJ31" i="14"/>
  <c r="AH31" i="14"/>
  <c r="AD31" i="14"/>
  <c r="Y31" i="14" s="1"/>
  <c r="AA31" i="14" s="1"/>
  <c r="AC31" i="14"/>
  <c r="Z31" i="14"/>
  <c r="W31" i="14"/>
  <c r="U31" i="14"/>
  <c r="T31" i="14"/>
  <c r="S31" i="14"/>
  <c r="P31" i="14"/>
  <c r="N31" i="14"/>
  <c r="Q31" i="14" s="1"/>
  <c r="L31" i="14"/>
  <c r="K31" i="14"/>
  <c r="H31" i="14"/>
  <c r="I31" i="14" s="1"/>
  <c r="G31" i="14"/>
  <c r="E31" i="14"/>
  <c r="C31" i="14"/>
  <c r="AZ30" i="14"/>
  <c r="AY30" i="14"/>
  <c r="AV30" i="14"/>
  <c r="AW30" i="14" s="1"/>
  <c r="AT30" i="14"/>
  <c r="AS30" i="14"/>
  <c r="AP30" i="14"/>
  <c r="AQ30" i="14" s="1"/>
  <c r="AN30" i="14"/>
  <c r="AM30" i="14"/>
  <c r="AJ30" i="14"/>
  <c r="AK30" i="14" s="1"/>
  <c r="AH30" i="14"/>
  <c r="Y30" i="14" s="1"/>
  <c r="AA30" i="14" s="1"/>
  <c r="AD30" i="14"/>
  <c r="AC30" i="14"/>
  <c r="Z30" i="14"/>
  <c r="W30" i="14"/>
  <c r="U30" i="14"/>
  <c r="T30" i="14"/>
  <c r="S30" i="14"/>
  <c r="Q30" i="14"/>
  <c r="P30" i="14"/>
  <c r="N30" i="14"/>
  <c r="K30" i="14"/>
  <c r="L30" i="14" s="1"/>
  <c r="G30" i="14"/>
  <c r="E30" i="14"/>
  <c r="C30" i="14"/>
  <c r="H30" i="14" s="1"/>
  <c r="I30" i="14" s="1"/>
  <c r="AZ29" i="14"/>
  <c r="AY29" i="14"/>
  <c r="AV29" i="14"/>
  <c r="AW29" i="14" s="1"/>
  <c r="AT29" i="14"/>
  <c r="AS29" i="14"/>
  <c r="AP29" i="14"/>
  <c r="AQ29" i="14" s="1"/>
  <c r="AN29" i="14"/>
  <c r="AM29" i="14"/>
  <c r="AJ29" i="14"/>
  <c r="AK29" i="14" s="1"/>
  <c r="AH29" i="14"/>
  <c r="AC29" i="14"/>
  <c r="AD29" i="14" s="1"/>
  <c r="Y29" i="14" s="1"/>
  <c r="AA29" i="14"/>
  <c r="Z29" i="14"/>
  <c r="W29" i="14"/>
  <c r="S29" i="14"/>
  <c r="T29" i="14" s="1"/>
  <c r="U29" i="14" s="1"/>
  <c r="Q29" i="14"/>
  <c r="P29" i="14"/>
  <c r="N29" i="14"/>
  <c r="K29" i="14"/>
  <c r="L29" i="14" s="1"/>
  <c r="G29" i="14"/>
  <c r="E29" i="14"/>
  <c r="C29" i="14"/>
  <c r="H29" i="14" s="1"/>
  <c r="I29" i="14" s="1"/>
  <c r="AY28" i="14"/>
  <c r="AZ28" i="14" s="1"/>
  <c r="AW28" i="14"/>
  <c r="AV28" i="14"/>
  <c r="AS28" i="14"/>
  <c r="AT28" i="14" s="1"/>
  <c r="AQ28" i="14"/>
  <c r="AP28" i="14"/>
  <c r="AM28" i="14"/>
  <c r="AN28" i="14" s="1"/>
  <c r="AK28" i="14"/>
  <c r="AJ28" i="14"/>
  <c r="AH28" i="14"/>
  <c r="AC28" i="14"/>
  <c r="AD28" i="14" s="1"/>
  <c r="Z28" i="14"/>
  <c r="Y28" i="14"/>
  <c r="AA28" i="14" s="1"/>
  <c r="W28" i="14"/>
  <c r="S28" i="14"/>
  <c r="T28" i="14" s="1"/>
  <c r="U28" i="14" s="1"/>
  <c r="P28" i="14"/>
  <c r="N28" i="14"/>
  <c r="Q28" i="14" s="1"/>
  <c r="L28" i="14"/>
  <c r="K28" i="14"/>
  <c r="G28" i="14"/>
  <c r="H28" i="14" s="1"/>
  <c r="I28" i="14" s="1"/>
  <c r="E28" i="14"/>
  <c r="C28" i="14"/>
  <c r="AY27" i="14"/>
  <c r="AZ27" i="14" s="1"/>
  <c r="AW27" i="14"/>
  <c r="AV27" i="14"/>
  <c r="AS27" i="14"/>
  <c r="AT27" i="14" s="1"/>
  <c r="AQ27" i="14"/>
  <c r="AP27" i="14"/>
  <c r="AM27" i="14"/>
  <c r="AN27" i="14" s="1"/>
  <c r="AK27" i="14"/>
  <c r="AJ27" i="14"/>
  <c r="AH27" i="14"/>
  <c r="AD27" i="14"/>
  <c r="Y27" i="14" s="1"/>
  <c r="AC27" i="14"/>
  <c r="Z27" i="14"/>
  <c r="W27" i="14"/>
  <c r="U27" i="14"/>
  <c r="T27" i="14"/>
  <c r="S27" i="14"/>
  <c r="P27" i="14"/>
  <c r="N27" i="14"/>
  <c r="Q27" i="14" s="1"/>
  <c r="L27" i="14"/>
  <c r="K27" i="14"/>
  <c r="H27" i="14"/>
  <c r="I27" i="14" s="1"/>
  <c r="G27" i="14"/>
  <c r="E27" i="14"/>
  <c r="C27" i="14"/>
  <c r="AZ26" i="14"/>
  <c r="AY26" i="14"/>
  <c r="AV26" i="14"/>
  <c r="AW26" i="14" s="1"/>
  <c r="AT26" i="14"/>
  <c r="AS26" i="14"/>
  <c r="AP26" i="14"/>
  <c r="AQ26" i="14" s="1"/>
  <c r="AN26" i="14"/>
  <c r="AM26" i="14"/>
  <c r="AJ26" i="14"/>
  <c r="AK26" i="14" s="1"/>
  <c r="AH26" i="14"/>
  <c r="Y26" i="14" s="1"/>
  <c r="AD26" i="14"/>
  <c r="AC26" i="14"/>
  <c r="AA26" i="14"/>
  <c r="Z26" i="14"/>
  <c r="W26" i="14"/>
  <c r="U26" i="14"/>
  <c r="T26" i="14"/>
  <c r="S26" i="14"/>
  <c r="P26" i="14"/>
  <c r="Q26" i="14" s="1"/>
  <c r="N26" i="14"/>
  <c r="K26" i="14"/>
  <c r="L26" i="14" s="1"/>
  <c r="G26" i="14"/>
  <c r="E26" i="14"/>
  <c r="C26" i="14"/>
  <c r="AZ25" i="14"/>
  <c r="AY25" i="14"/>
  <c r="AW25" i="14"/>
  <c r="AV25" i="14"/>
  <c r="AT25" i="14"/>
  <c r="AS25" i="14"/>
  <c r="AQ25" i="14"/>
  <c r="AP25" i="14"/>
  <c r="AM25" i="14"/>
  <c r="AN25" i="14" s="1"/>
  <c r="AJ25" i="14"/>
  <c r="AK25" i="14" s="1"/>
  <c r="AH25" i="14"/>
  <c r="AC25" i="14"/>
  <c r="AD25" i="14" s="1"/>
  <c r="Y25" i="14" s="1"/>
  <c r="AA25" i="14"/>
  <c r="Z25" i="14"/>
  <c r="W25" i="14"/>
  <c r="S25" i="14"/>
  <c r="T25" i="14" s="1"/>
  <c r="U25" i="14" s="1"/>
  <c r="Q25" i="14"/>
  <c r="P25" i="14"/>
  <c r="N25" i="14"/>
  <c r="K25" i="14"/>
  <c r="L25" i="14" s="1"/>
  <c r="G25" i="14"/>
  <c r="E25" i="14"/>
  <c r="C25" i="14"/>
  <c r="AY24" i="14"/>
  <c r="AZ24" i="14" s="1"/>
  <c r="AW24" i="14"/>
  <c r="AV24" i="14"/>
  <c r="AS24" i="14"/>
  <c r="AT24" i="14" s="1"/>
  <c r="AQ24" i="14"/>
  <c r="AP24" i="14"/>
  <c r="AM24" i="14"/>
  <c r="AN24" i="14" s="1"/>
  <c r="AK24" i="14"/>
  <c r="AJ24" i="14"/>
  <c r="AH24" i="14"/>
  <c r="AD24" i="14"/>
  <c r="Y24" i="14" s="1"/>
  <c r="AA24" i="14" s="1"/>
  <c r="AC24" i="14"/>
  <c r="Z24" i="14"/>
  <c r="W24" i="14"/>
  <c r="T24" i="14"/>
  <c r="U24" i="14" s="1"/>
  <c r="S24" i="14"/>
  <c r="P24" i="14"/>
  <c r="N24" i="14"/>
  <c r="Q24" i="14" s="1"/>
  <c r="L24" i="14"/>
  <c r="K24" i="14"/>
  <c r="G24" i="14"/>
  <c r="H24" i="14" s="1"/>
  <c r="I24" i="14" s="1"/>
  <c r="E24" i="14"/>
  <c r="C24" i="14"/>
  <c r="AY23" i="14"/>
  <c r="AZ23" i="14" s="1"/>
  <c r="AW23" i="14"/>
  <c r="AV23" i="14"/>
  <c r="AS23" i="14"/>
  <c r="AT23" i="14" s="1"/>
  <c r="AQ23" i="14"/>
  <c r="AP23" i="14"/>
  <c r="AM23" i="14"/>
  <c r="AN23" i="14" s="1"/>
  <c r="AK23" i="14"/>
  <c r="AJ23" i="14"/>
  <c r="AH23" i="14"/>
  <c r="AD23" i="14"/>
  <c r="Y23" i="14" s="1"/>
  <c r="AA23" i="14" s="1"/>
  <c r="AC23" i="14"/>
  <c r="Z23" i="14"/>
  <c r="W23" i="14"/>
  <c r="T23" i="14"/>
  <c r="U23" i="14" s="1"/>
  <c r="S23" i="14"/>
  <c r="P23" i="14"/>
  <c r="N23" i="14"/>
  <c r="K23" i="14"/>
  <c r="L23" i="14" s="1"/>
  <c r="H23" i="14"/>
  <c r="I23" i="14" s="1"/>
  <c r="G23" i="14"/>
  <c r="E23" i="14"/>
  <c r="C23" i="14"/>
  <c r="AZ22" i="14"/>
  <c r="AY22" i="14"/>
  <c r="AV22" i="14"/>
  <c r="AW22" i="14" s="1"/>
  <c r="AT22" i="14"/>
  <c r="AS22" i="14"/>
  <c r="AP22" i="14"/>
  <c r="AQ22" i="14" s="1"/>
  <c r="AN22" i="14"/>
  <c r="AM22" i="14"/>
  <c r="AJ22" i="14"/>
  <c r="AK22" i="14" s="1"/>
  <c r="AH22" i="14"/>
  <c r="AC22" i="14"/>
  <c r="AD22" i="14" s="1"/>
  <c r="Z22" i="14"/>
  <c r="W22" i="14"/>
  <c r="S22" i="14"/>
  <c r="T22" i="14" s="1"/>
  <c r="U22" i="14" s="1"/>
  <c r="Q22" i="14"/>
  <c r="P22" i="14"/>
  <c r="N22" i="14"/>
  <c r="K22" i="14"/>
  <c r="L22" i="14" s="1"/>
  <c r="G22" i="14"/>
  <c r="E22" i="14"/>
  <c r="C22" i="14"/>
  <c r="H22" i="14" s="1"/>
  <c r="I22" i="14" s="1"/>
  <c r="AY21" i="14"/>
  <c r="AZ21" i="14" s="1"/>
  <c r="AV21" i="14"/>
  <c r="AW21" i="14" s="1"/>
  <c r="AS21" i="14"/>
  <c r="AT21" i="14" s="1"/>
  <c r="AP21" i="14"/>
  <c r="AQ21" i="14" s="1"/>
  <c r="AM21" i="14"/>
  <c r="AN21" i="14" s="1"/>
  <c r="AK21" i="14"/>
  <c r="AJ21" i="14"/>
  <c r="AH21" i="14"/>
  <c r="AC21" i="14"/>
  <c r="AD21" i="14" s="1"/>
  <c r="Y21" i="14" s="1"/>
  <c r="AA21" i="14" s="1"/>
  <c r="Z21" i="14"/>
  <c r="W21" i="14"/>
  <c r="S21" i="14"/>
  <c r="T21" i="14" s="1"/>
  <c r="U21" i="14" s="1"/>
  <c r="Q21" i="14"/>
  <c r="P21" i="14"/>
  <c r="N21" i="14"/>
  <c r="K21" i="14"/>
  <c r="L21" i="14" s="1"/>
  <c r="G21" i="14"/>
  <c r="E21" i="14"/>
  <c r="H21" i="14" s="1"/>
  <c r="I21" i="14" s="1"/>
  <c r="C21" i="14"/>
  <c r="AY20" i="14"/>
  <c r="AZ20" i="14" s="1"/>
  <c r="AW20" i="14"/>
  <c r="AV20" i="14"/>
  <c r="AS20" i="14"/>
  <c r="AT20" i="14" s="1"/>
  <c r="AQ20" i="14"/>
  <c r="AP20" i="14"/>
  <c r="AM20" i="14"/>
  <c r="AN20" i="14" s="1"/>
  <c r="AK20" i="14"/>
  <c r="AJ20" i="14"/>
  <c r="AH20" i="14"/>
  <c r="AC20" i="14"/>
  <c r="AD20" i="14" s="1"/>
  <c r="Y20" i="14" s="1"/>
  <c r="AA20" i="14" s="1"/>
  <c r="Z20" i="14"/>
  <c r="W20" i="14"/>
  <c r="S20" i="14"/>
  <c r="T20" i="14" s="1"/>
  <c r="U20" i="14" s="1"/>
  <c r="P20" i="14"/>
  <c r="N20" i="14"/>
  <c r="Q20" i="14" s="1"/>
  <c r="L20" i="14"/>
  <c r="K20" i="14"/>
  <c r="H20" i="14"/>
  <c r="I20" i="14" s="1"/>
  <c r="G20" i="14"/>
  <c r="E20" i="14"/>
  <c r="C20" i="14"/>
  <c r="AZ19" i="14"/>
  <c r="AY19" i="14"/>
  <c r="AV19" i="14"/>
  <c r="AW19" i="14" s="1"/>
  <c r="AS19" i="14"/>
  <c r="AT19" i="14" s="1"/>
  <c r="AP19" i="14"/>
  <c r="AQ19" i="14" s="1"/>
  <c r="AM19" i="14"/>
  <c r="AN19" i="14" s="1"/>
  <c r="AJ19" i="14"/>
  <c r="AK19" i="14" s="1"/>
  <c r="AH19" i="14"/>
  <c r="AD19" i="14"/>
  <c r="AC19" i="14"/>
  <c r="AA19" i="14"/>
  <c r="Z19" i="14"/>
  <c r="Y19" i="14"/>
  <c r="W19" i="14"/>
  <c r="U19" i="14"/>
  <c r="T19" i="14"/>
  <c r="S19" i="14"/>
  <c r="P19" i="14"/>
  <c r="Q19" i="14" s="1"/>
  <c r="N19" i="14"/>
  <c r="K19" i="14"/>
  <c r="L19" i="14" s="1"/>
  <c r="H19" i="14"/>
  <c r="I19" i="14" s="1"/>
  <c r="G19" i="14"/>
  <c r="E19" i="14"/>
  <c r="C19" i="14"/>
  <c r="AZ18" i="14"/>
  <c r="AY18" i="14"/>
  <c r="AV18" i="14"/>
  <c r="AW18" i="14" s="1"/>
  <c r="AT18" i="14"/>
  <c r="AS18" i="14"/>
  <c r="AP18" i="14"/>
  <c r="AQ18" i="14" s="1"/>
  <c r="AN18" i="14"/>
  <c r="AM18" i="14"/>
  <c r="AJ18" i="14"/>
  <c r="AK18" i="14" s="1"/>
  <c r="AH18" i="14"/>
  <c r="AC18" i="14"/>
  <c r="AD18" i="14" s="1"/>
  <c r="Z18" i="14"/>
  <c r="W18" i="14"/>
  <c r="S18" i="14"/>
  <c r="T18" i="14" s="1"/>
  <c r="U18" i="14" s="1"/>
  <c r="Q18" i="14"/>
  <c r="P18" i="14"/>
  <c r="N18" i="14"/>
  <c r="K18" i="14"/>
  <c r="L18" i="14" s="1"/>
  <c r="G18" i="14"/>
  <c r="E18" i="14"/>
  <c r="C18" i="14"/>
  <c r="H18" i="14" s="1"/>
  <c r="I18" i="14" s="1"/>
  <c r="AY17" i="14"/>
  <c r="AZ17" i="14" s="1"/>
  <c r="AV17" i="14"/>
  <c r="AW17" i="14" s="1"/>
  <c r="AS17" i="14"/>
  <c r="AT17" i="14" s="1"/>
  <c r="AP17" i="14"/>
  <c r="AQ17" i="14" s="1"/>
  <c r="AM17" i="14"/>
  <c r="AN17" i="14" s="1"/>
  <c r="AK17" i="14"/>
  <c r="AJ17" i="14"/>
  <c r="AH17" i="14"/>
  <c r="AC17" i="14"/>
  <c r="AD17" i="14" s="1"/>
  <c r="Y17" i="14" s="1"/>
  <c r="AA17" i="14" s="1"/>
  <c r="Z17" i="14"/>
  <c r="W17" i="14"/>
  <c r="S17" i="14"/>
  <c r="T17" i="14" s="1"/>
  <c r="U17" i="14" s="1"/>
  <c r="Q17" i="14"/>
  <c r="P17" i="14"/>
  <c r="N17" i="14"/>
  <c r="K17" i="14"/>
  <c r="L17" i="14" s="1"/>
  <c r="G17" i="14"/>
  <c r="E17" i="14"/>
  <c r="H17" i="14" s="1"/>
  <c r="I17" i="14" s="1"/>
  <c r="C17" i="14"/>
  <c r="AY16" i="14"/>
  <c r="AZ16" i="14" s="1"/>
  <c r="AW16" i="14"/>
  <c r="AV16" i="14"/>
  <c r="AS16" i="14"/>
  <c r="AT16" i="14" s="1"/>
  <c r="AQ16" i="14"/>
  <c r="AP16" i="14"/>
  <c r="AM16" i="14"/>
  <c r="AN16" i="14" s="1"/>
  <c r="AK16" i="14"/>
  <c r="AJ16" i="14"/>
  <c r="AH16" i="14"/>
  <c r="AC16" i="14"/>
  <c r="AD16" i="14" s="1"/>
  <c r="Y16" i="14" s="1"/>
  <c r="AA16" i="14" s="1"/>
  <c r="Z16" i="14"/>
  <c r="W16" i="14"/>
  <c r="S16" i="14"/>
  <c r="T16" i="14" s="1"/>
  <c r="U16" i="14" s="1"/>
  <c r="P16" i="14"/>
  <c r="N16" i="14"/>
  <c r="Q16" i="14" s="1"/>
  <c r="L16" i="14"/>
  <c r="K16" i="14"/>
  <c r="H16" i="14"/>
  <c r="I16" i="14" s="1"/>
  <c r="G16" i="14"/>
  <c r="E16" i="14"/>
  <c r="C16" i="14"/>
  <c r="AZ15" i="14"/>
  <c r="AY15" i="14"/>
  <c r="AV15" i="14"/>
  <c r="AW15" i="14" s="1"/>
  <c r="AS15" i="14"/>
  <c r="AT15" i="14" s="1"/>
  <c r="AP15" i="14"/>
  <c r="AQ15" i="14" s="1"/>
  <c r="AM15" i="14"/>
  <c r="AN15" i="14" s="1"/>
  <c r="AJ15" i="14"/>
  <c r="AK15" i="14" s="1"/>
  <c r="AH15" i="14"/>
  <c r="AD15" i="14"/>
  <c r="AC15" i="14"/>
  <c r="AA15" i="14"/>
  <c r="Z15" i="14"/>
  <c r="Y15" i="14"/>
  <c r="W15" i="14"/>
  <c r="U15" i="14"/>
  <c r="T15" i="14"/>
  <c r="S15" i="14"/>
  <c r="P15" i="14"/>
  <c r="Q15" i="14" s="1"/>
  <c r="N15" i="14"/>
  <c r="K15" i="14"/>
  <c r="L15" i="14" s="1"/>
  <c r="H15" i="14"/>
  <c r="I15" i="14" s="1"/>
  <c r="G15" i="14"/>
  <c r="E15" i="14"/>
  <c r="C15" i="14"/>
  <c r="AZ14" i="14"/>
  <c r="AY14" i="14"/>
  <c r="AV14" i="14"/>
  <c r="AW14" i="14" s="1"/>
  <c r="AT14" i="14"/>
  <c r="AS14" i="14"/>
  <c r="AP14" i="14"/>
  <c r="AQ14" i="14" s="1"/>
  <c r="AN14" i="14"/>
  <c r="AM14" i="14"/>
  <c r="AJ14" i="14"/>
  <c r="AK14" i="14" s="1"/>
  <c r="AH14" i="14"/>
  <c r="AC14" i="14"/>
  <c r="AD14" i="14" s="1"/>
  <c r="Z14" i="14"/>
  <c r="W14" i="14"/>
  <c r="S14" i="14"/>
  <c r="T14" i="14" s="1"/>
  <c r="U14" i="14" s="1"/>
  <c r="Q14" i="14"/>
  <c r="P14" i="14"/>
  <c r="N14" i="14"/>
  <c r="K14" i="14"/>
  <c r="L14" i="14" s="1"/>
  <c r="G14" i="14"/>
  <c r="E14" i="14"/>
  <c r="C14" i="14"/>
  <c r="H14" i="14" s="1"/>
  <c r="I14" i="14" s="1"/>
  <c r="AY13" i="14"/>
  <c r="AZ13" i="14" s="1"/>
  <c r="AV13" i="14"/>
  <c r="AW13" i="14" s="1"/>
  <c r="AS13" i="14"/>
  <c r="AT13" i="14" s="1"/>
  <c r="AP13" i="14"/>
  <c r="AQ13" i="14" s="1"/>
  <c r="AM13" i="14"/>
  <c r="AN13" i="14" s="1"/>
  <c r="AK13" i="14"/>
  <c r="AJ13" i="14"/>
  <c r="AH13" i="14"/>
  <c r="AC13" i="14"/>
  <c r="AD13" i="14" s="1"/>
  <c r="Y13" i="14" s="1"/>
  <c r="AA13" i="14" s="1"/>
  <c r="Z13" i="14"/>
  <c r="W13" i="14"/>
  <c r="S13" i="14"/>
  <c r="T13" i="14" s="1"/>
  <c r="U13" i="14" s="1"/>
  <c r="Q13" i="14"/>
  <c r="P13" i="14"/>
  <c r="N13" i="14"/>
  <c r="K13" i="14"/>
  <c r="L13" i="14" s="1"/>
  <c r="G13" i="14"/>
  <c r="E13" i="14"/>
  <c r="H13" i="14" s="1"/>
  <c r="I13" i="14" s="1"/>
  <c r="C13" i="14"/>
  <c r="AY12" i="14"/>
  <c r="AZ12" i="14" s="1"/>
  <c r="AW12" i="14"/>
  <c r="AV12" i="14"/>
  <c r="AS12" i="14"/>
  <c r="AT12" i="14" s="1"/>
  <c r="AQ12" i="14"/>
  <c r="AP12" i="14"/>
  <c r="AM12" i="14"/>
  <c r="AN12" i="14" s="1"/>
  <c r="AK12" i="14"/>
  <c r="AJ12" i="14"/>
  <c r="AH12" i="14"/>
  <c r="AC12" i="14"/>
  <c r="AD12" i="14" s="1"/>
  <c r="Y12" i="14" s="1"/>
  <c r="AA12" i="14" s="1"/>
  <c r="Z12" i="14"/>
  <c r="W12" i="14"/>
  <c r="S12" i="14"/>
  <c r="T12" i="14" s="1"/>
  <c r="U12" i="14" s="1"/>
  <c r="P12" i="14"/>
  <c r="N12" i="14"/>
  <c r="Q12" i="14" s="1"/>
  <c r="L12" i="14"/>
  <c r="K12" i="14"/>
  <c r="H12" i="14"/>
  <c r="I12" i="14" s="1"/>
  <c r="G12" i="14"/>
  <c r="E12" i="14"/>
  <c r="C12" i="14"/>
  <c r="AZ11" i="14"/>
  <c r="AY11" i="14"/>
  <c r="AV11" i="14"/>
  <c r="AW11" i="14" s="1"/>
  <c r="AS11" i="14"/>
  <c r="AT11" i="14" s="1"/>
  <c r="AP11" i="14"/>
  <c r="AQ11" i="14" s="1"/>
  <c r="AM11" i="14"/>
  <c r="AN11" i="14" s="1"/>
  <c r="AJ11" i="14"/>
  <c r="AK11" i="14" s="1"/>
  <c r="AH11" i="14"/>
  <c r="AD11" i="14"/>
  <c r="AC11" i="14"/>
  <c r="AA11" i="14"/>
  <c r="Z11" i="14"/>
  <c r="Y11" i="14"/>
  <c r="W11" i="14"/>
  <c r="U11" i="14"/>
  <c r="T11" i="14"/>
  <c r="S11" i="14"/>
  <c r="P11" i="14"/>
  <c r="Q11" i="14" s="1"/>
  <c r="N11" i="14"/>
  <c r="K11" i="14"/>
  <c r="L11" i="14" s="1"/>
  <c r="H11" i="14"/>
  <c r="I11" i="14" s="1"/>
  <c r="G11" i="14"/>
  <c r="E11" i="14"/>
  <c r="C11" i="14"/>
  <c r="AZ10" i="14"/>
  <c r="AY10" i="14"/>
  <c r="AV10" i="14"/>
  <c r="AW10" i="14" s="1"/>
  <c r="AT10" i="14"/>
  <c r="AS10" i="14"/>
  <c r="AP10" i="14"/>
  <c r="AQ10" i="14" s="1"/>
  <c r="AN10" i="14"/>
  <c r="AM10" i="14"/>
  <c r="AJ10" i="14"/>
  <c r="AK10" i="14" s="1"/>
  <c r="AH10" i="14"/>
  <c r="AC10" i="14"/>
  <c r="AD10" i="14" s="1"/>
  <c r="Z10" i="14"/>
  <c r="W10" i="14"/>
  <c r="S10" i="14"/>
  <c r="T10" i="14" s="1"/>
  <c r="U10" i="14" s="1"/>
  <c r="Q10" i="14"/>
  <c r="P10" i="14"/>
  <c r="N10" i="14"/>
  <c r="K10" i="14"/>
  <c r="L10" i="14" s="1"/>
  <c r="G10" i="14"/>
  <c r="E10" i="14"/>
  <c r="C10" i="14"/>
  <c r="H10" i="14" s="1"/>
  <c r="I10" i="14" s="1"/>
  <c r="AY9" i="14"/>
  <c r="AZ9" i="14" s="1"/>
  <c r="AV9" i="14"/>
  <c r="AW9" i="14" s="1"/>
  <c r="AT9" i="14"/>
  <c r="AS9" i="14"/>
  <c r="AP9" i="14"/>
  <c r="AQ9" i="14" s="1"/>
  <c r="AN9" i="14"/>
  <c r="AM9" i="14"/>
  <c r="AJ9" i="14"/>
  <c r="AK9" i="14" s="1"/>
  <c r="AH9" i="14"/>
  <c r="AC9" i="14"/>
  <c r="AD9" i="14" s="1"/>
  <c r="Y9" i="14" s="1"/>
  <c r="AA9" i="14" s="1"/>
  <c r="Z9" i="14"/>
  <c r="W9" i="14"/>
  <c r="S9" i="14"/>
  <c r="T9" i="14" s="1"/>
  <c r="U9" i="14" s="1"/>
  <c r="P9" i="14"/>
  <c r="Q9" i="14" s="1"/>
  <c r="N9" i="14"/>
  <c r="K9" i="14"/>
  <c r="L9" i="14" s="1"/>
  <c r="G9" i="14"/>
  <c r="E9" i="14"/>
  <c r="C9" i="14"/>
  <c r="H9" i="14" s="1"/>
  <c r="I9" i="14" s="1"/>
  <c r="AY8" i="14"/>
  <c r="AZ8" i="14" s="1"/>
  <c r="AV8" i="14"/>
  <c r="AW8" i="14" s="1"/>
  <c r="AS8" i="14"/>
  <c r="AT8" i="14" s="1"/>
  <c r="AP8" i="14"/>
  <c r="AQ8" i="14" s="1"/>
  <c r="AM8" i="14"/>
  <c r="AN8" i="14" s="1"/>
  <c r="AJ8" i="14"/>
  <c r="AJ35" i="14" s="1"/>
  <c r="AH8" i="14"/>
  <c r="AC8" i="14"/>
  <c r="AD8" i="14" s="1"/>
  <c r="Y8" i="14" s="1"/>
  <c r="AA8" i="14" s="1"/>
  <c r="Z8" i="14"/>
  <c r="W8" i="14"/>
  <c r="S8" i="14"/>
  <c r="T8" i="14" s="1"/>
  <c r="U8" i="14" s="1"/>
  <c r="Q8" i="14"/>
  <c r="P8" i="14"/>
  <c r="N8" i="14"/>
  <c r="K8" i="14"/>
  <c r="L8" i="14" s="1"/>
  <c r="G8" i="14"/>
  <c r="E8" i="14"/>
  <c r="H8" i="14" s="1"/>
  <c r="I8" i="14" s="1"/>
  <c r="C8" i="14"/>
  <c r="AY7" i="14"/>
  <c r="AZ7" i="14" s="1"/>
  <c r="AW7" i="14"/>
  <c r="AV7" i="14"/>
  <c r="AS7" i="14"/>
  <c r="AT7" i="14" s="1"/>
  <c r="AQ7" i="14"/>
  <c r="AP7" i="14"/>
  <c r="AM7" i="14"/>
  <c r="AN7" i="14" s="1"/>
  <c r="AK7" i="14"/>
  <c r="AJ7" i="14"/>
  <c r="AH7" i="14"/>
  <c r="AC7" i="14"/>
  <c r="AD7" i="14" s="1"/>
  <c r="Y7" i="14" s="1"/>
  <c r="AA7" i="14" s="1"/>
  <c r="Z7" i="14"/>
  <c r="W7" i="14"/>
  <c r="S7" i="14"/>
  <c r="T7" i="14" s="1"/>
  <c r="U7" i="14" s="1"/>
  <c r="P7" i="14"/>
  <c r="N7" i="14"/>
  <c r="Q7" i="14" s="1"/>
  <c r="L7" i="14"/>
  <c r="K7" i="14"/>
  <c r="G7" i="14"/>
  <c r="H7" i="14" s="1"/>
  <c r="I7" i="14" s="1"/>
  <c r="E7" i="14"/>
  <c r="C7" i="14"/>
  <c r="AY6" i="14"/>
  <c r="AY35" i="14" s="1"/>
  <c r="AV6" i="14"/>
  <c r="AV35" i="14" s="1"/>
  <c r="AS6" i="14"/>
  <c r="AS35" i="14" s="1"/>
  <c r="AP6" i="14"/>
  <c r="AM6" i="14"/>
  <c r="AM35" i="14" s="1"/>
  <c r="AJ6" i="14"/>
  <c r="AK6" i="14" s="1"/>
  <c r="AH6" i="14"/>
  <c r="AD6" i="14"/>
  <c r="AC6" i="14"/>
  <c r="Z6" i="14"/>
  <c r="Y6" i="14"/>
  <c r="AA6" i="14" s="1"/>
  <c r="W6" i="14"/>
  <c r="T6" i="14"/>
  <c r="U6" i="14" s="1"/>
  <c r="S6" i="14"/>
  <c r="P6" i="14"/>
  <c r="P35" i="14" s="1"/>
  <c r="N6" i="14"/>
  <c r="N35" i="14" s="1"/>
  <c r="K6" i="14"/>
  <c r="H6" i="14"/>
  <c r="I6" i="14" s="1"/>
  <c r="G6" i="14"/>
  <c r="E6" i="14"/>
  <c r="C6" i="14"/>
  <c r="C35" i="14" s="1"/>
  <c r="AZ5" i="14"/>
  <c r="AW5" i="14"/>
  <c r="AT5" i="14"/>
  <c r="AQ5" i="14"/>
  <c r="AN5" i="14"/>
  <c r="AK5" i="14"/>
  <c r="AD5" i="14"/>
  <c r="Z5" i="14"/>
  <c r="Z35" i="14" s="1"/>
  <c r="T5" i="14"/>
  <c r="U5" i="14" s="1"/>
  <c r="Q5" i="14"/>
  <c r="L5" i="14"/>
  <c r="H5" i="14"/>
  <c r="U35" i="14" l="1"/>
  <c r="AA5" i="14"/>
  <c r="AD35" i="14"/>
  <c r="AK35" i="14"/>
  <c r="I5" i="14"/>
  <c r="AN6" i="14"/>
  <c r="AN35" i="14" s="1"/>
  <c r="AZ6" i="14"/>
  <c r="AZ35" i="14" s="1"/>
  <c r="AK8" i="14"/>
  <c r="AB49" i="14"/>
  <c r="E35" i="14"/>
  <c r="K35" i="14"/>
  <c r="Q6" i="14"/>
  <c r="W35" i="14"/>
  <c r="AP35" i="14"/>
  <c r="AA27" i="14"/>
  <c r="T35" i="14"/>
  <c r="T38" i="14" s="1"/>
  <c r="L58" i="14"/>
  <c r="AH35" i="14"/>
  <c r="AT6" i="14"/>
  <c r="AT35" i="14" s="1"/>
  <c r="G35" i="14"/>
  <c r="L6" i="14"/>
  <c r="S35" i="14"/>
  <c r="X35" i="14"/>
  <c r="Z38" i="14" s="1"/>
  <c r="AC35" i="14"/>
  <c r="AD38" i="14" s="1"/>
  <c r="AQ6" i="14"/>
  <c r="AQ35" i="14" s="1"/>
  <c r="AW6" i="14"/>
  <c r="AW35" i="14" s="1"/>
  <c r="Y10" i="14"/>
  <c r="AA10" i="14" s="1"/>
  <c r="Y14" i="14"/>
  <c r="AA14" i="14" s="1"/>
  <c r="Y18" i="14"/>
  <c r="AA18" i="14" s="1"/>
  <c r="Y22" i="14"/>
  <c r="AA22" i="14" s="1"/>
  <c r="H25" i="14"/>
  <c r="I25" i="14" s="1"/>
  <c r="B50" i="14"/>
  <c r="Q23" i="14"/>
  <c r="Q35" i="14" s="1"/>
  <c r="H26" i="14"/>
  <c r="I26" i="14" s="1"/>
  <c r="H34" i="14"/>
  <c r="I34" i="14" s="1"/>
  <c r="B58" i="14"/>
  <c r="Y35" i="14" l="1"/>
  <c r="AB50" i="14"/>
  <c r="AE38" i="14"/>
  <c r="L35" i="14"/>
  <c r="M38" i="14"/>
  <c r="H35" i="14"/>
  <c r="I35" i="14" s="1"/>
  <c r="AA35" i="14"/>
  <c r="R38" i="14"/>
  <c r="R41" i="14" s="1"/>
  <c r="T41" i="14" s="1"/>
  <c r="L48" i="14"/>
  <c r="Z56" i="14" s="1"/>
  <c r="W48" i="14"/>
  <c r="L46" i="14" l="1"/>
  <c r="Z54" i="14" s="1"/>
  <c r="W46" i="14"/>
  <c r="D38" i="14"/>
  <c r="AD56" i="14"/>
  <c r="AA56" i="14"/>
  <c r="AE56" i="14" s="1"/>
  <c r="W49" i="14"/>
  <c r="X38" i="14"/>
  <c r="X41" i="14" s="1"/>
  <c r="AG41" i="14" s="1"/>
  <c r="Z41" i="14" s="1"/>
  <c r="L49" i="14"/>
  <c r="Z57" i="14" s="1"/>
  <c r="R56" i="14"/>
  <c r="W56" i="14" s="1"/>
  <c r="AF48" i="14"/>
  <c r="Y48" i="14"/>
  <c r="W47" i="14"/>
  <c r="L38" i="14"/>
  <c r="L41" i="14" s="1"/>
  <c r="M41" i="14" s="1"/>
  <c r="L47" i="14"/>
  <c r="Z55" i="14" s="1"/>
  <c r="AD55" i="14" l="1"/>
  <c r="AA55" i="14"/>
  <c r="AE55" i="14" s="1"/>
  <c r="AH48" i="14"/>
  <c r="AG48" i="14"/>
  <c r="R57" i="14"/>
  <c r="W57" i="14" s="1"/>
  <c r="AF49" i="14"/>
  <c r="Y49" i="14"/>
  <c r="D41" i="14"/>
  <c r="G41" i="14" s="1"/>
  <c r="G38" i="14"/>
  <c r="AF46" i="14"/>
  <c r="W50" i="14"/>
  <c r="R54" i="14"/>
  <c r="Y46" i="14"/>
  <c r="R55" i="14"/>
  <c r="W55" i="14" s="1"/>
  <c r="AF47" i="14"/>
  <c r="Y47" i="14"/>
  <c r="AA57" i="14"/>
  <c r="AE57" i="14" s="1"/>
  <c r="AD57" i="14"/>
  <c r="Z58" i="14"/>
  <c r="AA54" i="14"/>
  <c r="AD54" i="14"/>
  <c r="AA58" i="14" l="1"/>
  <c r="AE54" i="14"/>
  <c r="AE58" i="14" s="1"/>
  <c r="R58" i="14"/>
  <c r="X59" i="14" s="1"/>
  <c r="B59" i="14" s="1"/>
  <c r="W54" i="14"/>
  <c r="W58" i="14" s="1"/>
  <c r="AH47" i="14"/>
  <c r="AG47" i="14"/>
  <c r="X51" i="14"/>
  <c r="B51" i="14" s="1"/>
  <c r="Y50" i="14"/>
  <c r="AH46" i="14"/>
  <c r="AF50" i="14"/>
  <c r="AG46" i="14"/>
  <c r="AH49" i="14"/>
  <c r="AG49" i="14"/>
  <c r="AD58" i="14"/>
  <c r="AF51" i="14" l="1"/>
  <c r="AG50" i="14"/>
  <c r="E2" i="4" l="1"/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I3" i="4" l="1"/>
  <c r="I4" i="4"/>
  <c r="I5" i="4"/>
  <c r="I6" i="4"/>
  <c r="I7" i="4"/>
  <c r="I24" i="4"/>
  <c r="I25" i="4"/>
  <c r="I26" i="4"/>
  <c r="I27" i="4"/>
  <c r="I28" i="4"/>
  <c r="I29" i="4"/>
  <c r="I30" i="4"/>
  <c r="I31" i="4"/>
  <c r="I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E28" i="4" l="1"/>
  <c r="E30" i="4"/>
  <c r="E6" i="4"/>
  <c r="E4" i="4"/>
  <c r="E26" i="4"/>
  <c r="E5" i="4"/>
  <c r="E25" i="4"/>
  <c r="E29" i="4"/>
  <c r="E24" i="4"/>
  <c r="E31" i="4"/>
  <c r="E27" i="4"/>
  <c r="E7" i="4"/>
  <c r="E3" i="4"/>
  <c r="E22" i="4" l="1"/>
  <c r="E21" i="4" l="1"/>
  <c r="E19" i="4"/>
  <c r="E15" i="4"/>
  <c r="E11" i="4"/>
  <c r="E23" i="4"/>
  <c r="E16" i="4"/>
  <c r="E12" i="4"/>
  <c r="E8" i="4"/>
  <c r="E20" i="4"/>
  <c r="E17" i="4"/>
  <c r="E13" i="4"/>
  <c r="E9" i="4"/>
  <c r="E18" i="4"/>
  <c r="E14" i="4"/>
  <c r="E10" i="4"/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8" i="4" l="1"/>
</calcChain>
</file>

<file path=xl/sharedStrings.xml><?xml version="1.0" encoding="utf-8"?>
<sst xmlns="http://schemas.openxmlformats.org/spreadsheetml/2006/main" count="253" uniqueCount="108">
  <si>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</si>
  <si>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</si>
  <si>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</si>
  <si>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</si>
  <si>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</si>
  <si>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</si>
  <si>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</si>
  <si>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</si>
  <si>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</si>
  <si>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</si>
  <si>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</si>
  <si>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</si>
  <si>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</si>
  <si>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</si>
  <si>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</si>
  <si>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</si>
  <si>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</si>
  <si>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</si>
  <si>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</si>
  <si>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</si>
  <si>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</si>
  <si>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</si>
  <si>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</si>
  <si>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</si>
  <si>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</si>
  <si>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</si>
  <si>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</si>
  <si>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</si>
  <si>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</si>
  <si>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</si>
  <si>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</si>
  <si>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</si>
  <si>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</si>
  <si>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</si>
  <si>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</si>
  <si>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</si>
  <si>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</si>
  <si>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</si>
  <si>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</si>
  <si>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</si>
  <si>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</si>
  <si>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</si>
  <si>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</si>
  <si>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</si>
  <si>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</si>
  <si>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</si>
  <si>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</si>
  <si>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</si>
  <si>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</si>
  <si>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</si>
  <si>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</si>
  <si>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</si>
  <si>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</si>
  <si>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</si>
  <si>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</si>
  <si>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</si>
  <si>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</si>
  <si>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</si>
  <si>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</si>
  <si>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</si>
  <si>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</si>
  <si>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</si>
  <si>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</si>
  <si>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</si>
  <si>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</si>
  <si>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</si>
  <si>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</si>
  <si>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</si>
  <si>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</si>
  <si>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</si>
  <si>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</si>
  <si>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</si>
  <si>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</si>
  <si>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</si>
  <si>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</si>
  <si>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</si>
  <si>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</si>
  <si>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</si>
  <si>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</si>
  <si>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</si>
  <si>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</si>
  <si>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</si>
  <si>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</si>
  <si>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</si>
  <si>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</si>
  <si>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</si>
  <si>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</si>
  <si>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</si>
  <si>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</si>
  <si>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</si>
  <si>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CHW Fixed Charges YTD 2024</t>
  </si>
  <si>
    <t>CHW Consumption Charges (Actual 2024 YTD)</t>
  </si>
  <si>
    <t>ETS Energy Bulk Meter Reading</t>
  </si>
  <si>
    <t>ETS Cons.
Ton Hours</t>
  </si>
  <si>
    <t>Blue Sky tower Chilled water</t>
  </si>
  <si>
    <t>Cons. MWH</t>
  </si>
  <si>
    <t>ETS Cons.
MWH</t>
  </si>
  <si>
    <t>CHW Fixed Charges YTD 2025</t>
  </si>
  <si>
    <t>CHW Consumption Charges (Budgeted 2025 MTD)</t>
  </si>
  <si>
    <t>CHW Consumption Charges (Actual 2024 MTD)</t>
  </si>
  <si>
    <t>Actual YTD 2025</t>
  </si>
  <si>
    <t>CHW Consumption Charges (Actual 2025 YTD)</t>
  </si>
  <si>
    <t>Budget YTD 2025</t>
  </si>
  <si>
    <t>CHW Consumption Charges (Budgeted 2025 YTD)</t>
  </si>
  <si>
    <t>PEARL ROTANA CAPITAL CENTRE UTILITIES CONSUMPTION - APRIL 2025</t>
  </si>
  <si>
    <t>Actual April 2025</t>
  </si>
  <si>
    <t>Budget April 2025</t>
  </si>
  <si>
    <t>Actual April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</si>
</sst>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;&quot;&quot;"/>
    <numFmt numFmtId="168" formatCode="_(* #,##0_);[Red]_(* \(#,##0\);_(* &quot;-&quot;??_);_(@_)\ "/>
    <numFmt numFmtId="169" formatCode="0.000"/>
    <numFmt numFmtId="170" formatCode="0.0000"/>
    <numFmt numFmtId="171" formatCode="0_);[Red]\(0\)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4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 applyBorder="0"/>
  </cellStyleXfs>
  <cellXfs count="34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0" xfId="0" applyFont="1" applyFill="1"/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9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5" xfId="0" applyFont="1" applyBorder="1" applyAlignment="1">
      <alignment horizontal="center"/>
    </xf>
    <xf numFmtId="0" fontId="32" fillId="0" borderId="15" xfId="0" applyFont="1" applyBorder="1" applyAlignment="1">
      <alignment horizontal="center"/>
    </xf>
    <xf numFmtId="0" fontId="31" fillId="0" borderId="15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1" fontId="34" fillId="0" borderId="15" xfId="0" applyNumberFormat="1" applyFont="1" applyBorder="1" applyAlignment="1">
      <alignment horizontal="center" vertical="center" wrapText="1"/>
    </xf>
    <xf numFmtId="169" fontId="33" fillId="0" borderId="15" xfId="0" applyNumberFormat="1" applyFont="1" applyBorder="1" applyAlignment="1">
      <alignment horizontal="center" vertical="center" wrapText="1"/>
    </xf>
    <xf numFmtId="1" fontId="31" fillId="0" borderId="1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9" fillId="0" borderId="38" xfId="18" applyFont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 wrapText="1"/>
    </xf>
    <xf numFmtId="4" fontId="22" fillId="6" borderId="23" xfId="18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3" fillId="3" borderId="2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3" fontId="0" fillId="0" borderId="0" xfId="0" applyNumberForma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3" fontId="18" fillId="0" borderId="0" xfId="0" applyNumberFormat="1" applyFont="1"/>
    <xf numFmtId="0" fontId="21" fillId="0" borderId="0" xfId="0" applyFont="1"/>
    <xf numFmtId="164" fontId="20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right"/>
    </xf>
    <xf numFmtId="164" fontId="18" fillId="0" borderId="0" xfId="0" applyNumberFormat="1" applyFont="1"/>
    <xf numFmtId="166" fontId="20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35" xfId="0" applyFont="1" applyBorder="1" applyAlignment="1">
      <alignment vertical="center"/>
    </xf>
    <xf numFmtId="165" fontId="17" fillId="0" borderId="36" xfId="18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164" fontId="17" fillId="0" borderId="38" xfId="18" applyFont="1" applyBorder="1" applyAlignment="1">
      <alignment vertical="center"/>
    </xf>
    <xf numFmtId="166" fontId="19" fillId="0" borderId="36" xfId="20" applyNumberFormat="1" applyFont="1" applyBorder="1" applyAlignment="1">
      <alignment horizontal="center" vertical="center"/>
    </xf>
    <xf numFmtId="166" fontId="19" fillId="0" borderId="38" xfId="20" applyNumberFormat="1" applyFont="1" applyBorder="1" applyAlignment="1">
      <alignment horizontal="center" vertical="center"/>
    </xf>
    <xf numFmtId="4" fontId="18" fillId="0" borderId="36" xfId="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horizontal="center" vertical="center"/>
    </xf>
    <xf numFmtId="4" fontId="18" fillId="0" borderId="44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4" fontId="2" fillId="0" borderId="41" xfId="0" applyNumberFormat="1" applyFont="1" applyBorder="1" applyAlignment="1">
      <alignment horizontal="center" vertical="center"/>
    </xf>
    <xf numFmtId="4" fontId="2" fillId="0" borderId="42" xfId="0" applyNumberFormat="1" applyFont="1" applyBorder="1" applyAlignment="1">
      <alignment horizontal="center" vertical="center"/>
    </xf>
    <xf numFmtId="164" fontId="3" fillId="0" borderId="28" xfId="18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" fontId="3" fillId="0" borderId="31" xfId="18" applyNumberFormat="1" applyFont="1" applyBorder="1" applyAlignment="1">
      <alignment horizontal="center" vertical="center"/>
    </xf>
    <xf numFmtId="3" fontId="3" fillId="0" borderId="31" xfId="0" applyNumberFormat="1" applyFont="1" applyBorder="1" applyAlignment="1">
      <alignment horizontal="center" vertical="center"/>
    </xf>
    <xf numFmtId="10" fontId="2" fillId="0" borderId="30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164" fontId="3" fillId="0" borderId="32" xfId="18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25" fillId="0" borderId="23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46" xfId="0" applyBorder="1" applyAlignment="1">
      <alignment horizontal="center" vertical="center"/>
    </xf>
    <xf numFmtId="14" fontId="0" fillId="0" borderId="55" xfId="0" applyNumberFormat="1" applyBorder="1" applyAlignment="1">
      <alignment horizontal="center" vertical="center"/>
    </xf>
    <xf numFmtId="1" fontId="25" fillId="0" borderId="46" xfId="0" applyNumberFormat="1" applyFont="1" applyBorder="1" applyAlignment="1">
      <alignment horizontal="center" vertical="center"/>
    </xf>
    <xf numFmtId="164" fontId="3" fillId="0" borderId="56" xfId="18" applyFont="1" applyBorder="1" applyAlignment="1">
      <alignment horizontal="center" vertical="center"/>
    </xf>
    <xf numFmtId="164" fontId="3" fillId="0" borderId="47" xfId="18" applyFont="1" applyBorder="1" applyAlignment="1">
      <alignment horizontal="center" vertical="center"/>
    </xf>
    <xf numFmtId="3" fontId="3" fillId="0" borderId="46" xfId="0" applyNumberFormat="1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2" fillId="4" borderId="48" xfId="0" applyFont="1" applyFill="1" applyBorder="1" applyAlignment="1">
      <alignment horizontal="center" vertical="center" wrapText="1"/>
    </xf>
    <xf numFmtId="0" fontId="2" fillId="4" borderId="57" xfId="0" applyFont="1" applyFill="1" applyBorder="1" applyAlignment="1">
      <alignment horizontal="center" vertical="center" wrapText="1"/>
    </xf>
    <xf numFmtId="0" fontId="2" fillId="7" borderId="48" xfId="0" applyFont="1" applyFill="1" applyBorder="1" applyAlignment="1">
      <alignment horizontal="center" vertical="center" wrapText="1"/>
    </xf>
    <xf numFmtId="43" fontId="18" fillId="0" borderId="43" xfId="0" applyNumberFormat="1" applyFont="1" applyBorder="1" applyAlignment="1">
      <alignment horizontal="center" vertical="center"/>
    </xf>
    <xf numFmtId="164" fontId="3" fillId="0" borderId="31" xfId="18" applyFont="1" applyBorder="1" applyAlignment="1">
      <alignment vertical="center"/>
    </xf>
    <xf numFmtId="164" fontId="3" fillId="0" borderId="24" xfId="18" applyFont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22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8" fillId="0" borderId="59" xfId="0" applyFont="1" applyBorder="1"/>
    <xf numFmtId="1" fontId="8" fillId="0" borderId="59" xfId="0" applyNumberFormat="1" applyFont="1" applyBorder="1"/>
    <xf numFmtId="3" fontId="8" fillId="0" borderId="59" xfId="0" applyNumberFormat="1" applyFont="1" applyBorder="1"/>
    <xf numFmtId="3" fontId="8" fillId="6" borderId="59" xfId="0" applyNumberFormat="1" applyFont="1" applyFill="1" applyBorder="1"/>
    <xf numFmtId="3" fontId="0" fillId="0" borderId="59" xfId="0" applyNumberFormat="1" applyBorder="1"/>
    <xf numFmtId="2" fontId="19" fillId="0" borderId="36" xfId="20" applyNumberFormat="1" applyFont="1" applyBorder="1" applyAlignment="1">
      <alignment horizontal="right" vertical="center"/>
    </xf>
    <xf numFmtId="166" fontId="19" fillId="0" borderId="36" xfId="20" applyNumberFormat="1" applyFont="1" applyBorder="1" applyAlignment="1">
      <alignment horizontal="right" vertical="center"/>
    </xf>
    <xf numFmtId="166" fontId="19" fillId="0" borderId="38" xfId="20" applyNumberFormat="1" applyFont="1" applyBorder="1" applyAlignment="1">
      <alignment horizontal="right" vertical="center"/>
    </xf>
    <xf numFmtId="4" fontId="8" fillId="8" borderId="59" xfId="0" applyNumberFormat="1" applyFont="1" applyFill="1" applyBorder="1"/>
    <xf numFmtId="164" fontId="17" fillId="0" borderId="36" xfId="18" applyFont="1" applyBorder="1" applyAlignment="1">
      <alignment vertical="center"/>
    </xf>
    <xf numFmtId="164" fontId="17" fillId="0" borderId="0" xfId="18" applyFont="1" applyBorder="1" applyAlignment="1">
      <alignment horizontal="center" vertical="center"/>
    </xf>
    <xf numFmtId="164" fontId="17" fillId="0" borderId="23" xfId="18" applyFont="1" applyBorder="1" applyAlignment="1">
      <alignment vertical="center"/>
    </xf>
    <xf numFmtId="167" fontId="15" fillId="0" borderId="23" xfId="18" applyNumberFormat="1" applyFont="1" applyBorder="1" applyAlignment="1">
      <alignment horizontal="center" vertical="center"/>
    </xf>
    <xf numFmtId="167" fontId="21" fillId="0" borderId="36" xfId="18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8" fontId="17" fillId="0" borderId="0" xfId="18" applyNumberFormat="1" applyFont="1" applyBorder="1" applyAlignment="1">
      <alignment horizontal="center" vertical="center"/>
    </xf>
    <xf numFmtId="167" fontId="17" fillId="0" borderId="0" xfId="18" applyNumberFormat="1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 wrapText="1"/>
    </xf>
    <xf numFmtId="164" fontId="17" fillId="0" borderId="40" xfId="18" applyFont="1" applyBorder="1" applyAlignment="1">
      <alignment vertical="center"/>
    </xf>
    <xf numFmtId="167" fontId="15" fillId="0" borderId="40" xfId="18" applyNumberFormat="1" applyFont="1" applyBorder="1" applyAlignment="1">
      <alignment horizontal="center" vertical="center"/>
    </xf>
    <xf numFmtId="167" fontId="21" fillId="0" borderId="38" xfId="18" applyNumberFormat="1" applyFont="1" applyBorder="1" applyAlignment="1">
      <alignment horizontal="center" vertical="center"/>
    </xf>
    <xf numFmtId="14" fontId="0" fillId="0" borderId="0" xfId="0" applyNumberFormat="1"/>
    <xf numFmtId="43" fontId="19" fillId="0" borderId="0" xfId="0" applyNumberFormat="1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2" fillId="0" borderId="65" xfId="0" applyNumberFormat="1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2" fillId="0" borderId="73" xfId="0" applyFont="1" applyBorder="1" applyAlignment="1">
      <alignment vertical="center"/>
    </xf>
    <xf numFmtId="14" fontId="2" fillId="0" borderId="11" xfId="0" applyNumberFormat="1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0" fillId="0" borderId="78" xfId="0" applyBorder="1"/>
    <xf numFmtId="0" fontId="8" fillId="0" borderId="77" xfId="0" applyFont="1" applyBorder="1"/>
    <xf numFmtId="0" fontId="8" fillId="0" borderId="76" xfId="0" applyFont="1" applyBorder="1"/>
    <xf numFmtId="0" fontId="8" fillId="0" borderId="79" xfId="0" applyFont="1" applyBorder="1"/>
    <xf numFmtId="0" fontId="8" fillId="0" borderId="80" xfId="0" applyFont="1" applyBorder="1"/>
    <xf numFmtId="0" fontId="0" fillId="0" borderId="83" xfId="0" applyBorder="1"/>
    <xf numFmtId="4" fontId="8" fillId="8" borderId="62" xfId="0" applyNumberFormat="1" applyFont="1" applyFill="1" applyBorder="1"/>
    <xf numFmtId="0" fontId="0" fillId="0" borderId="81" xfId="0" applyBorder="1"/>
    <xf numFmtId="0" fontId="0" fillId="0" borderId="82" xfId="0" applyBorder="1"/>
    <xf numFmtId="43" fontId="18" fillId="0" borderId="61" xfId="0" applyNumberFormat="1" applyFont="1" applyBorder="1" applyAlignment="1">
      <alignment horizontal="center" vertical="center"/>
    </xf>
    <xf numFmtId="170" fontId="36" fillId="0" borderId="0" xfId="0" applyNumberFormat="1" applyFont="1" applyAlignment="1">
      <alignment horizontal="center"/>
    </xf>
    <xf numFmtId="43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66" xfId="1" applyFont="1" applyBorder="1" applyAlignment="1">
      <alignment horizontal="center" vertical="center"/>
    </xf>
    <xf numFmtId="1" fontId="0" fillId="0" borderId="63" xfId="1" applyNumberFormat="1" applyFont="1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9" fontId="0" fillId="0" borderId="22" xfId="1" applyFont="1" applyBorder="1" applyAlignment="1">
      <alignment horizontal="center" vertical="center"/>
    </xf>
    <xf numFmtId="1" fontId="0" fillId="0" borderId="29" xfId="1" applyNumberFormat="1" applyFont="1" applyBorder="1" applyAlignment="1">
      <alignment horizontal="center" vertical="center"/>
    </xf>
    <xf numFmtId="9" fontId="26" fillId="0" borderId="22" xfId="0" applyNumberFormat="1" applyFont="1" applyBorder="1" applyAlignment="1">
      <alignment horizontal="center" vertical="center"/>
    </xf>
    <xf numFmtId="1" fontId="26" fillId="0" borderId="29" xfId="0" applyNumberFormat="1" applyFont="1" applyBorder="1" applyAlignment="1">
      <alignment horizontal="center" vertical="center"/>
    </xf>
    <xf numFmtId="9" fontId="0" fillId="6" borderId="22" xfId="0" applyNumberFormat="1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1" fontId="0" fillId="6" borderId="29" xfId="0" applyNumberFormat="1" applyFill="1" applyBorder="1" applyAlignment="1">
      <alignment horizontal="center" vertical="center"/>
    </xf>
    <xf numFmtId="1" fontId="2" fillId="0" borderId="32" xfId="0" applyNumberFormat="1" applyFont="1" applyBorder="1" applyAlignment="1">
      <alignment horizontal="center" vertical="center"/>
    </xf>
    <xf numFmtId="1" fontId="2" fillId="0" borderId="88" xfId="0" applyNumberFormat="1" applyFont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8" fillId="0" borderId="23" xfId="0" applyNumberFormat="1" applyFon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1" fontId="2" fillId="0" borderId="31" xfId="0" applyNumberFormat="1" applyFont="1" applyBorder="1" applyAlignment="1">
      <alignment horizontal="center" vertical="center"/>
    </xf>
    <xf numFmtId="2" fontId="2" fillId="0" borderId="31" xfId="0" applyNumberFormat="1" applyFont="1" applyBorder="1" applyAlignment="1">
      <alignment horizontal="center" vertical="center"/>
    </xf>
    <xf numFmtId="2" fontId="2" fillId="0" borderId="32" xfId="0" applyNumberFormat="1" applyFont="1" applyBorder="1" applyAlignment="1">
      <alignment horizontal="center" vertical="center"/>
    </xf>
    <xf numFmtId="164" fontId="3" fillId="0" borderId="30" xfId="18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91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40" fontId="18" fillId="0" borderId="35" xfId="0" applyNumberFormat="1" applyFont="1" applyBorder="1" applyAlignment="1">
      <alignment horizontal="center" vertical="center"/>
    </xf>
    <xf numFmtId="171" fontId="18" fillId="0" borderId="36" xfId="0" applyNumberFormat="1" applyFont="1" applyBorder="1" applyAlignment="1">
      <alignment horizontal="center" vertical="center"/>
    </xf>
    <xf numFmtId="40" fontId="18" fillId="0" borderId="37" xfId="0" applyNumberFormat="1" applyFont="1" applyBorder="1" applyAlignment="1">
      <alignment horizontal="center" vertical="center"/>
    </xf>
    <xf numFmtId="171" fontId="18" fillId="0" borderId="38" xfId="0" applyNumberFormat="1" applyFont="1" applyBorder="1" applyAlignment="1">
      <alignment horizontal="center" vertical="center"/>
    </xf>
    <xf numFmtId="1" fontId="8" fillId="0" borderId="26" xfId="0" applyNumberFormat="1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3" fillId="0" borderId="2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2" fillId="0" borderId="91" xfId="0" applyFont="1" applyBorder="1" applyAlignment="1">
      <alignment horizontal="center" vertical="center"/>
    </xf>
    <xf numFmtId="2" fontId="8" fillId="0" borderId="94" xfId="0" applyNumberFormat="1" applyFont="1" applyBorder="1" applyAlignment="1">
      <alignment horizontal="center" vertical="center"/>
    </xf>
    <xf numFmtId="2" fontId="8" fillId="0" borderId="51" xfId="0" applyNumberFormat="1" applyFont="1" applyBorder="1" applyAlignment="1">
      <alignment horizontal="center" vertical="center"/>
    </xf>
    <xf numFmtId="1" fontId="8" fillId="0" borderId="5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3" fontId="18" fillId="0" borderId="0" xfId="0" applyNumberFormat="1" applyFont="1" applyAlignment="1">
      <alignment horizontal="right"/>
    </xf>
    <xf numFmtId="0" fontId="15" fillId="0" borderId="37" xfId="0" applyFont="1" applyBorder="1" applyAlignment="1">
      <alignment horizontal="left" vertical="center"/>
    </xf>
    <xf numFmtId="0" fontId="15" fillId="0" borderId="40" xfId="0" applyFont="1" applyBorder="1" applyAlignment="1">
      <alignment horizontal="left" vertical="center"/>
    </xf>
    <xf numFmtId="164" fontId="19" fillId="0" borderId="40" xfId="18" applyFont="1" applyBorder="1" applyAlignment="1">
      <alignment horizontal="center" vertical="center"/>
    </xf>
    <xf numFmtId="164" fontId="19" fillId="0" borderId="38" xfId="18" applyFont="1" applyBorder="1" applyAlignment="1">
      <alignment horizontal="center" vertical="center"/>
    </xf>
    <xf numFmtId="40" fontId="17" fillId="0" borderId="40" xfId="18" applyNumberFormat="1" applyFont="1" applyBorder="1" applyAlignment="1">
      <alignment horizontal="right" vertical="center"/>
    </xf>
    <xf numFmtId="40" fontId="17" fillId="0" borderId="38" xfId="18" applyNumberFormat="1" applyFont="1" applyBorder="1" applyAlignment="1">
      <alignment horizontal="right" vertical="center"/>
    </xf>
    <xf numFmtId="0" fontId="15" fillId="0" borderId="35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164" fontId="19" fillId="0" borderId="23" xfId="18" applyFont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40" fontId="17" fillId="0" borderId="23" xfId="18" applyNumberFormat="1" applyFont="1" applyBorder="1" applyAlignment="1">
      <alignment horizontal="right" vertical="center"/>
    </xf>
    <xf numFmtId="40" fontId="17" fillId="0" borderId="36" xfId="18" applyNumberFormat="1" applyFont="1" applyBorder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14" fontId="16" fillId="0" borderId="33" xfId="0" applyNumberFormat="1" applyFont="1" applyBorder="1" applyAlignment="1">
      <alignment horizontal="center" vertical="center"/>
    </xf>
    <xf numFmtId="14" fontId="16" fillId="0" borderId="39" xfId="0" applyNumberFormat="1" applyFont="1" applyBorder="1" applyAlignment="1">
      <alignment horizontal="center" vertical="center"/>
    </xf>
    <xf numFmtId="14" fontId="16" fillId="0" borderId="34" xfId="0" applyNumberFormat="1" applyFont="1" applyBorder="1" applyAlignment="1">
      <alignment horizontal="center" vertical="center"/>
    </xf>
    <xf numFmtId="164" fontId="19" fillId="0" borderId="53" xfId="18" applyFont="1" applyBorder="1" applyAlignment="1">
      <alignment horizontal="center" vertical="center"/>
    </xf>
    <xf numFmtId="164" fontId="19" fillId="0" borderId="54" xfId="18" applyFont="1" applyBorder="1" applyAlignment="1">
      <alignment horizontal="center" vertical="center"/>
    </xf>
    <xf numFmtId="164" fontId="17" fillId="0" borderId="40" xfId="18" applyFont="1" applyBorder="1" applyAlignment="1">
      <alignment horizontal="center" vertical="center"/>
    </xf>
    <xf numFmtId="164" fontId="17" fillId="0" borderId="38" xfId="18" applyFont="1" applyBorder="1" applyAlignment="1">
      <alignment horizontal="center" vertical="center"/>
    </xf>
    <xf numFmtId="164" fontId="19" fillId="0" borderId="28" xfId="18" applyFont="1" applyBorder="1" applyAlignment="1">
      <alignment horizontal="center" vertical="center"/>
    </xf>
    <xf numFmtId="164" fontId="19" fillId="0" borderId="45" xfId="18" applyFont="1" applyBorder="1" applyAlignment="1">
      <alignment horizontal="center" vertical="center"/>
    </xf>
    <xf numFmtId="164" fontId="17" fillId="0" borderId="23" xfId="18" applyFont="1" applyBorder="1" applyAlignment="1">
      <alignment horizontal="center" vertical="center"/>
    </xf>
    <xf numFmtId="164" fontId="17" fillId="0" borderId="36" xfId="18" applyFont="1" applyBorder="1" applyAlignment="1">
      <alignment horizontal="center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8" fillId="6" borderId="26" xfId="0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3" fontId="8" fillId="6" borderId="92" xfId="0" applyNumberFormat="1" applyFont="1" applyFill="1" applyBorder="1" applyAlignment="1">
      <alignment horizontal="center" vertical="center"/>
    </xf>
    <xf numFmtId="3" fontId="8" fillId="6" borderId="93" xfId="0" applyNumberFormat="1" applyFont="1" applyFill="1" applyBorder="1" applyAlignment="1">
      <alignment horizontal="center" vertical="center"/>
    </xf>
    <xf numFmtId="0" fontId="8" fillId="0" borderId="74" xfId="0" applyFont="1" applyBorder="1" applyAlignment="1">
      <alignment horizontal="left"/>
    </xf>
    <xf numFmtId="0" fontId="8" fillId="0" borderId="75" xfId="0" applyFont="1" applyBorder="1" applyAlignment="1">
      <alignment horizontal="left"/>
    </xf>
    <xf numFmtId="0" fontId="8" fillId="0" borderId="62" xfId="0" applyFont="1" applyBorder="1" applyAlignment="1">
      <alignment horizontal="left"/>
    </xf>
    <xf numFmtId="0" fontId="16" fillId="0" borderId="67" xfId="0" applyFont="1" applyBorder="1" applyAlignment="1">
      <alignment horizontal="center" vertical="center"/>
    </xf>
    <xf numFmtId="0" fontId="16" fillId="0" borderId="68" xfId="0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4" fontId="22" fillId="6" borderId="23" xfId="0" applyNumberFormat="1" applyFont="1" applyFill="1" applyBorder="1" applyAlignment="1">
      <alignment horizontal="center" vertical="center"/>
    </xf>
    <xf numFmtId="3" fontId="8" fillId="6" borderId="23" xfId="0" applyNumberFormat="1" applyFont="1" applyFill="1" applyBorder="1" applyAlignment="1">
      <alignment horizontal="center" vertical="center"/>
    </xf>
    <xf numFmtId="3" fontId="8" fillId="6" borderId="24" xfId="0" applyNumberFormat="1" applyFont="1" applyFill="1" applyBorder="1" applyAlignment="1">
      <alignment horizontal="center" vertical="center"/>
    </xf>
    <xf numFmtId="0" fontId="8" fillId="6" borderId="22" xfId="0" applyFont="1" applyFill="1" applyBorder="1" applyAlignment="1">
      <alignment horizontal="left" vertical="center"/>
    </xf>
    <xf numFmtId="0" fontId="8" fillId="6" borderId="23" xfId="0" applyFont="1" applyFill="1" applyBorder="1" applyAlignment="1">
      <alignment horizontal="left" vertical="center"/>
    </xf>
    <xf numFmtId="4" fontId="8" fillId="6" borderId="23" xfId="0" applyNumberFormat="1" applyFont="1" applyFill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3" fontId="8" fillId="6" borderId="28" xfId="0" applyNumberFormat="1" applyFont="1" applyFill="1" applyBorder="1" applyAlignment="1">
      <alignment horizontal="center" vertical="center"/>
    </xf>
    <xf numFmtId="3" fontId="8" fillId="6" borderId="50" xfId="0" applyNumberFormat="1" applyFont="1" applyFill="1" applyBorder="1" applyAlignment="1">
      <alignment horizontal="center" vertical="center"/>
    </xf>
    <xf numFmtId="3" fontId="8" fillId="6" borderId="51" xfId="0" applyNumberFormat="1" applyFont="1" applyFill="1" applyBorder="1" applyAlignment="1">
      <alignment horizontal="center" vertical="center"/>
    </xf>
    <xf numFmtId="0" fontId="8" fillId="6" borderId="60" xfId="0" applyFont="1" applyFill="1" applyBorder="1" applyAlignment="1">
      <alignment horizontal="left" vertical="center"/>
    </xf>
    <xf numFmtId="0" fontId="8" fillId="6" borderId="50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22" fillId="6" borderId="23" xfId="18" applyNumberFormat="1" applyFont="1" applyFill="1" applyBorder="1" applyAlignment="1">
      <alignment horizontal="center" vertical="center"/>
    </xf>
    <xf numFmtId="0" fontId="23" fillId="7" borderId="19" xfId="0" applyFont="1" applyFill="1" applyBorder="1" applyAlignment="1">
      <alignment horizontal="center" vertical="center"/>
    </xf>
    <xf numFmtId="0" fontId="23" fillId="7" borderId="20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0" fontId="23" fillId="2" borderId="21" xfId="0" applyFont="1" applyFill="1" applyBorder="1" applyAlignment="1">
      <alignment horizontal="center" vertical="center"/>
    </xf>
    <xf numFmtId="14" fontId="28" fillId="6" borderId="64" xfId="0" applyNumberFormat="1" applyFont="1" applyFill="1" applyBorder="1" applyAlignment="1">
      <alignment horizontal="center" vertical="center"/>
    </xf>
    <xf numFmtId="14" fontId="29" fillId="6" borderId="15" xfId="0" applyNumberFormat="1" applyFont="1" applyFill="1" applyBorder="1" applyAlignment="1">
      <alignment horizontal="center" vertical="center"/>
    </xf>
    <xf numFmtId="14" fontId="29" fillId="6" borderId="16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4" borderId="19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3" borderId="19" xfId="0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2" fillId="5" borderId="48" xfId="0" applyFont="1" applyFill="1" applyBorder="1" applyAlignment="1">
      <alignment horizontal="center" vertical="center" wrapText="1"/>
    </xf>
    <xf numFmtId="0" fontId="2" fillId="5" borderId="84" xfId="0" applyFont="1" applyFill="1" applyBorder="1" applyAlignment="1">
      <alignment horizontal="center" vertical="center" wrapText="1"/>
    </xf>
    <xf numFmtId="0" fontId="2" fillId="5" borderId="8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8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90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8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49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5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2" borderId="89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 wrapText="1"/>
    </xf>
    <xf numFmtId="0" fontId="2" fillId="7" borderId="5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5" xfId="0" applyFont="1" applyFill="1" applyBorder="1" applyAlignment="1">
      <alignment horizontal="center" vertical="center" wrapText="1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5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1"/>
  <sheetViews>
    <sheetView tabSelected="1" workbookViewId="0">
      <selection activeCell="H5" sqref="H5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7" width="11.5703125" style="2"/>
    <col min="8" max="8" width="11.5703125" style="20"/>
    <col min="9" max="9" width="11.5703125" style="2"/>
    <col min="10" max="10" width="11.5703125" style="17"/>
    <col min="11" max="11" width="11.5703125" style="19"/>
    <col min="12" max="12" width="11.5703125" style="17"/>
    <col min="13" max="13" width="11.5703125" style="9"/>
    <col min="14" max="16384" width="11.5703125" style="2"/>
  </cols>
  <sheetData>
    <row r="1" spans="1:15" s="15" customFormat="1" ht="60.75" thickBot="1" x14ac:dyDescent="0.3">
      <c r="A1" s="27" t="s">
        <v>67</v>
      </c>
      <c r="B1" s="27" t="s">
        <v>68</v>
      </c>
      <c r="C1" s="28" t="s">
        <v>69</v>
      </c>
      <c r="D1" s="29" t="s">
        <v>70</v>
      </c>
      <c r="E1" s="30" t="s">
        <v>71</v>
      </c>
      <c r="F1" s="31" t="s">
        <v>72</v>
      </c>
      <c r="G1" s="30" t="s">
        <v>88</v>
      </c>
      <c r="H1" s="31" t="s">
        <v>89</v>
      </c>
      <c r="I1" s="32" t="s">
        <v>86</v>
      </c>
      <c r="J1" s="33" t="s">
        <v>87</v>
      </c>
      <c r="K1" s="34" t="s">
        <v>73</v>
      </c>
      <c r="L1" s="35" t="s">
        <v>74</v>
      </c>
      <c r="M1" s="36" t="s">
        <v>75</v>
      </c>
      <c r="N1" s="30" t="s">
        <v>76</v>
      </c>
    </row>
    <row r="2" spans="1:15" x14ac:dyDescent="0.25">
      <c r="A2" s="26" t="s">
        <v>77</v>
      </c>
      <c r="B2" s="2">
        <v>1</v>
      </c>
      <c r="C2" s="16">
        <v>4</v>
      </c>
      <c r="D2" s="2">
        <v>2025</v>
      </c>
      <c r="E2" s="9">
        <f>Submetering!E2+Submetering!F2+Submetering!G2</f>
        <v>15574</v>
      </c>
      <c r="F2" s="17">
        <v>0.2</v>
      </c>
      <c r="G2" s="9">
        <f>'Apr 2025'!T5</f>
        <v>33.782400000000003</v>
      </c>
      <c r="H2" s="18">
        <v>16.875</v>
      </c>
      <c r="I2" s="9">
        <f>Submetering!H2</f>
        <v>87</v>
      </c>
      <c r="J2" s="17">
        <v>7.84</v>
      </c>
      <c r="K2" s="19">
        <f>'Apr 2025'!X5</f>
        <v>6458.2749999999996</v>
      </c>
      <c r="L2" s="168">
        <v>0.34489999999999998</v>
      </c>
      <c r="M2" s="9">
        <f>Submetering!N2</f>
        <v>199.99350000000001</v>
      </c>
      <c r="N2" s="2">
        <f>Submetering!O2</f>
        <v>285</v>
      </c>
      <c r="O2" s="15"/>
    </row>
    <row r="3" spans="1:15" x14ac:dyDescent="0.25">
      <c r="A3" s="26" t="s">
        <v>77</v>
      </c>
      <c r="B3" s="2">
        <f t="shared" ref="B3:B31" si="0">B2+1</f>
        <v>2</v>
      </c>
      <c r="C3" s="16">
        <v>4</v>
      </c>
      <c r="D3" s="2">
        <v>2025</v>
      </c>
      <c r="E3" s="9">
        <f>Submetering!E3+Submetering!F3+Submetering!G3</f>
        <v>15261</v>
      </c>
      <c r="F3" s="17">
        <v>0.2</v>
      </c>
      <c r="G3" s="9">
        <f>'Apr 2025'!T6</f>
        <v>32.726700000000001</v>
      </c>
      <c r="H3" s="18">
        <v>16.875</v>
      </c>
      <c r="I3" s="9">
        <f>Submetering!H3</f>
        <v>92</v>
      </c>
      <c r="J3" s="17">
        <v>7.84</v>
      </c>
      <c r="K3" s="19">
        <f>'Apr 2025'!X6</f>
        <v>6522.9299999999994</v>
      </c>
      <c r="L3" s="168">
        <v>0.34489999999999998</v>
      </c>
      <c r="M3" s="9">
        <f>Submetering!N3</f>
        <v>264.00149999999996</v>
      </c>
      <c r="N3" s="2">
        <f>Submetering!O3</f>
        <v>338</v>
      </c>
      <c r="O3" s="15"/>
    </row>
    <row r="4" spans="1:15" x14ac:dyDescent="0.25">
      <c r="A4" s="26" t="s">
        <v>77</v>
      </c>
      <c r="B4" s="2">
        <f t="shared" si="0"/>
        <v>3</v>
      </c>
      <c r="C4" s="16">
        <v>4</v>
      </c>
      <c r="D4" s="2">
        <v>2025</v>
      </c>
      <c r="E4" s="9">
        <f>Submetering!E4+Submetering!F4+Submetering!G4</f>
        <v>15661</v>
      </c>
      <c r="F4" s="17">
        <v>0.2</v>
      </c>
      <c r="G4" s="9">
        <f>'Apr 2025'!T7</f>
        <v>28.503900000000002</v>
      </c>
      <c r="H4" s="18">
        <v>16.875</v>
      </c>
      <c r="I4" s="9">
        <f>Submetering!H4</f>
        <v>106</v>
      </c>
      <c r="J4" s="17">
        <v>7.84</v>
      </c>
      <c r="K4" s="19">
        <f>'Apr 2025'!X7</f>
        <v>7184.9299999999994</v>
      </c>
      <c r="L4" s="168">
        <v>0.34489999999999998</v>
      </c>
      <c r="M4" s="9">
        <f>Submetering!N4</f>
        <v>260.00100000000003</v>
      </c>
      <c r="N4" s="2">
        <f>Submetering!O4</f>
        <v>332</v>
      </c>
      <c r="O4" s="15"/>
    </row>
    <row r="5" spans="1:15" x14ac:dyDescent="0.25">
      <c r="A5" s="26" t="s">
        <v>77</v>
      </c>
      <c r="B5" s="2">
        <f t="shared" si="0"/>
        <v>4</v>
      </c>
      <c r="C5" s="16">
        <v>4</v>
      </c>
      <c r="D5" s="2">
        <v>2025</v>
      </c>
      <c r="E5" s="9">
        <f>Submetering!E5+Submetering!F5+Submetering!G5</f>
        <v>16296</v>
      </c>
      <c r="F5" s="17">
        <v>0.2</v>
      </c>
      <c r="G5" s="9">
        <f>'Apr 2025'!T8</f>
        <v>43.283700000000003</v>
      </c>
      <c r="H5" s="18">
        <v>16.875</v>
      </c>
      <c r="I5" s="9">
        <f>Submetering!H5</f>
        <v>110</v>
      </c>
      <c r="J5" s="17">
        <v>7.84</v>
      </c>
      <c r="K5" s="19">
        <f>'Apr 2025'!X8</f>
        <v>7460.5849999999991</v>
      </c>
      <c r="L5" s="168">
        <v>0.34489999999999998</v>
      </c>
      <c r="M5" s="9">
        <f>Submetering!N5</f>
        <v>251.14949999999999</v>
      </c>
      <c r="N5" s="2">
        <f>Submetering!O5</f>
        <v>327</v>
      </c>
      <c r="O5" s="15"/>
    </row>
    <row r="6" spans="1:15" x14ac:dyDescent="0.25">
      <c r="A6" s="26" t="s">
        <v>77</v>
      </c>
      <c r="B6" s="2">
        <f t="shared" si="0"/>
        <v>5</v>
      </c>
      <c r="C6" s="16">
        <v>4</v>
      </c>
      <c r="D6" s="2">
        <v>2025</v>
      </c>
      <c r="E6" s="9">
        <f>Submetering!E6+Submetering!F6+Submetering!G6</f>
        <v>15620</v>
      </c>
      <c r="F6" s="17">
        <v>0.2</v>
      </c>
      <c r="G6" s="9">
        <f>'Apr 2025'!T9</f>
        <v>31.671000000000003</v>
      </c>
      <c r="H6" s="18">
        <v>16.875</v>
      </c>
      <c r="I6" s="9">
        <f>Submetering!H6</f>
        <v>111</v>
      </c>
      <c r="J6" s="17">
        <v>7.84</v>
      </c>
      <c r="K6" s="19">
        <f>'Apr 2025'!X9</f>
        <v>7031.9299999999994</v>
      </c>
      <c r="L6" s="168">
        <v>0.34489999999999998</v>
      </c>
      <c r="M6" s="9">
        <f>Submetering!N6</f>
        <v>210.98699999999999</v>
      </c>
      <c r="N6" s="2">
        <f>Submetering!O6</f>
        <v>262</v>
      </c>
      <c r="O6" s="15"/>
    </row>
    <row r="7" spans="1:15" x14ac:dyDescent="0.25">
      <c r="A7" s="26" t="s">
        <v>77</v>
      </c>
      <c r="B7" s="2">
        <f t="shared" si="0"/>
        <v>6</v>
      </c>
      <c r="C7" s="16">
        <v>4</v>
      </c>
      <c r="D7" s="2">
        <v>2025</v>
      </c>
      <c r="E7" s="9">
        <f>Submetering!E7+Submetering!F7+Submetering!G7</f>
        <v>15746</v>
      </c>
      <c r="F7" s="17">
        <v>0.2</v>
      </c>
      <c r="G7" s="9">
        <f>'Apr 2025'!T10</f>
        <v>33.782400000000003</v>
      </c>
      <c r="H7" s="18">
        <v>16.875</v>
      </c>
      <c r="I7" s="9">
        <f>Submetering!H7</f>
        <v>87</v>
      </c>
      <c r="J7" s="17">
        <v>7.84</v>
      </c>
      <c r="K7" s="19">
        <f>'Apr 2025'!X10</f>
        <v>7233.9299999999994</v>
      </c>
      <c r="L7" s="168">
        <v>0.34489999999999998</v>
      </c>
      <c r="M7" s="9">
        <f>Submetering!N7</f>
        <v>252</v>
      </c>
      <c r="N7" s="2">
        <f>Submetering!O7</f>
        <v>270</v>
      </c>
      <c r="O7" s="15"/>
    </row>
    <row r="8" spans="1:15" x14ac:dyDescent="0.25">
      <c r="A8" s="26" t="s">
        <v>77</v>
      </c>
      <c r="B8" s="2">
        <f t="shared" si="0"/>
        <v>7</v>
      </c>
      <c r="C8" s="16">
        <v>4</v>
      </c>
      <c r="D8" s="2">
        <v>2025</v>
      </c>
      <c r="E8" s="9">
        <f>Submetering!E8+Submetering!F8+Submetering!G8</f>
        <v>15413</v>
      </c>
      <c r="F8" s="17">
        <v>0.2</v>
      </c>
      <c r="G8" s="9">
        <f>'Apr 2025'!T11</f>
        <v>39.060900000000004</v>
      </c>
      <c r="H8" s="18">
        <v>16.875</v>
      </c>
      <c r="I8" s="9">
        <f>Submetering!H8</f>
        <v>91</v>
      </c>
      <c r="J8" s="17">
        <v>7.84</v>
      </c>
      <c r="K8" s="19">
        <f>'Apr 2025'!X11</f>
        <v>7329.2400000000007</v>
      </c>
      <c r="L8" s="168">
        <v>0.34489999999999998</v>
      </c>
      <c r="M8" s="9">
        <f>Submetering!N8</f>
        <v>300.00600000000003</v>
      </c>
      <c r="N8" s="2">
        <f>Submetering!O8</f>
        <v>326</v>
      </c>
      <c r="O8" s="15"/>
    </row>
    <row r="9" spans="1:15" x14ac:dyDescent="0.25">
      <c r="A9" s="26" t="s">
        <v>77</v>
      </c>
      <c r="B9" s="2">
        <f t="shared" si="0"/>
        <v>8</v>
      </c>
      <c r="C9" s="16">
        <v>4</v>
      </c>
      <c r="D9" s="2">
        <v>2025</v>
      </c>
      <c r="E9" s="9">
        <f>Submetering!E9+Submetering!F9+Submetering!G9</f>
        <v>15974</v>
      </c>
      <c r="F9" s="17">
        <v>0.2</v>
      </c>
      <c r="G9" s="9">
        <f>'Apr 2025'!T12</f>
        <v>38.005200000000002</v>
      </c>
      <c r="H9" s="18">
        <v>16.875</v>
      </c>
      <c r="I9" s="9">
        <f>Submetering!H9</f>
        <v>95</v>
      </c>
      <c r="J9" s="17">
        <v>7.84</v>
      </c>
      <c r="K9" s="19">
        <f>'Apr 2025'!X12</f>
        <v>7476.8949999999995</v>
      </c>
      <c r="L9" s="168">
        <v>0.34489999999999998</v>
      </c>
      <c r="M9" s="9">
        <f>Submetering!N9</f>
        <v>315</v>
      </c>
      <c r="N9" s="2">
        <f>Submetering!O9</f>
        <v>353</v>
      </c>
      <c r="O9" s="15"/>
    </row>
    <row r="10" spans="1:15" x14ac:dyDescent="0.25">
      <c r="A10" s="26" t="s">
        <v>77</v>
      </c>
      <c r="B10" s="2">
        <f t="shared" si="0"/>
        <v>9</v>
      </c>
      <c r="C10" s="16">
        <v>4</v>
      </c>
      <c r="D10" s="2">
        <v>2025</v>
      </c>
      <c r="E10" s="9">
        <f>Submetering!E10+Submetering!F10+Submetering!G10</f>
        <v>16641</v>
      </c>
      <c r="F10" s="17">
        <v>0.2</v>
      </c>
      <c r="G10" s="9">
        <f>'Apr 2025'!T13</f>
        <v>40.116600000000005</v>
      </c>
      <c r="H10" s="18">
        <v>16.875</v>
      </c>
      <c r="I10" s="9">
        <f>Submetering!H10</f>
        <v>92</v>
      </c>
      <c r="J10" s="17">
        <v>7.84</v>
      </c>
      <c r="K10" s="19">
        <f>'Apr 2025'!X13</f>
        <v>7326.24</v>
      </c>
      <c r="L10" s="168">
        <v>0.34489999999999998</v>
      </c>
      <c r="M10" s="9">
        <f>Submetering!N10</f>
        <v>315</v>
      </c>
      <c r="N10" s="2">
        <f>Submetering!O10</f>
        <v>355</v>
      </c>
      <c r="O10" s="15"/>
    </row>
    <row r="11" spans="1:15" x14ac:dyDescent="0.25">
      <c r="A11" s="26" t="s">
        <v>77</v>
      </c>
      <c r="B11" s="2">
        <f t="shared" si="0"/>
        <v>10</v>
      </c>
      <c r="C11" s="16">
        <v>4</v>
      </c>
      <c r="D11" s="2">
        <v>2025</v>
      </c>
      <c r="E11" s="9">
        <f>Submetering!E11+Submetering!F11+Submetering!G11</f>
        <v>15136</v>
      </c>
      <c r="F11" s="17">
        <v>0.2</v>
      </c>
      <c r="G11" s="9">
        <f>'Apr 2025'!T14</f>
        <v>35.893800000000006</v>
      </c>
      <c r="H11" s="18">
        <v>16.875</v>
      </c>
      <c r="I11" s="9">
        <f>Submetering!H11</f>
        <v>105</v>
      </c>
      <c r="J11" s="17">
        <v>7.84</v>
      </c>
      <c r="K11" s="19">
        <f>'Apr 2025'!X14</f>
        <v>7390.24</v>
      </c>
      <c r="L11" s="168">
        <v>0.34489999999999998</v>
      </c>
      <c r="M11" s="9">
        <f>Submetering!N11</f>
        <v>300.00600000000003</v>
      </c>
      <c r="N11" s="2">
        <f>Submetering!O11</f>
        <v>359</v>
      </c>
      <c r="O11" s="15"/>
    </row>
    <row r="12" spans="1:15" x14ac:dyDescent="0.25">
      <c r="A12" s="26" t="s">
        <v>77</v>
      </c>
      <c r="B12" s="2">
        <f t="shared" si="0"/>
        <v>11</v>
      </c>
      <c r="C12" s="16">
        <v>4</v>
      </c>
      <c r="D12" s="2">
        <v>2025</v>
      </c>
      <c r="E12" s="9">
        <f>Submetering!E12+Submetering!F12+Submetering!G12</f>
        <v>14980</v>
      </c>
      <c r="F12" s="17">
        <v>0.2</v>
      </c>
      <c r="G12" s="9">
        <f>'Apr 2025'!T15</f>
        <v>39.060900000000004</v>
      </c>
      <c r="H12" s="18">
        <v>16.875</v>
      </c>
      <c r="I12" s="9">
        <f>Submetering!H12</f>
        <v>89</v>
      </c>
      <c r="J12" s="17">
        <v>7.84</v>
      </c>
      <c r="K12" s="19">
        <f>'Apr 2025'!X15</f>
        <v>6448.585</v>
      </c>
      <c r="L12" s="168">
        <v>0.34489999999999998</v>
      </c>
      <c r="M12" s="9">
        <f>Submetering!N12</f>
        <v>253.9845</v>
      </c>
      <c r="N12" s="2">
        <f>Submetering!O12</f>
        <v>350</v>
      </c>
      <c r="O12" s="15"/>
    </row>
    <row r="13" spans="1:15" x14ac:dyDescent="0.25">
      <c r="A13" s="26" t="s">
        <v>77</v>
      </c>
      <c r="B13" s="2">
        <f t="shared" si="0"/>
        <v>12</v>
      </c>
      <c r="C13" s="16">
        <v>4</v>
      </c>
      <c r="D13" s="2">
        <v>2025</v>
      </c>
      <c r="E13" s="9">
        <f>Submetering!E13+Submetering!F13+Submetering!G13</f>
        <v>15481</v>
      </c>
      <c r="F13" s="17">
        <v>0.2</v>
      </c>
      <c r="G13" s="9">
        <f>'Apr 2025'!T16</f>
        <v>34.838100000000004</v>
      </c>
      <c r="H13" s="18">
        <v>16.875</v>
      </c>
      <c r="I13" s="9">
        <f>Submetering!H13</f>
        <v>92</v>
      </c>
      <c r="J13" s="17">
        <v>7.84</v>
      </c>
      <c r="K13" s="19">
        <f>'Apr 2025'!X16</f>
        <v>7369.5849999999991</v>
      </c>
      <c r="L13" s="168">
        <v>0.34489999999999998</v>
      </c>
      <c r="M13" s="9">
        <f>Submetering!N13</f>
        <v>178.06950000000001</v>
      </c>
      <c r="N13" s="2">
        <f>Submetering!O13</f>
        <v>246</v>
      </c>
      <c r="O13" s="15"/>
    </row>
    <row r="14" spans="1:15" x14ac:dyDescent="0.25">
      <c r="A14" s="26" t="s">
        <v>77</v>
      </c>
      <c r="B14" s="2">
        <f t="shared" si="0"/>
        <v>13</v>
      </c>
      <c r="C14" s="16">
        <v>4</v>
      </c>
      <c r="D14" s="2">
        <v>2025</v>
      </c>
      <c r="E14" s="9">
        <f>Submetering!E14+Submetering!F14+Submetering!G14</f>
        <v>15125</v>
      </c>
      <c r="F14" s="17">
        <v>0.2</v>
      </c>
      <c r="G14" s="9">
        <f>'Apr 2025'!T17</f>
        <v>36.9495</v>
      </c>
      <c r="H14" s="18">
        <v>16.875</v>
      </c>
      <c r="I14" s="9">
        <f>Submetering!H14</f>
        <v>84</v>
      </c>
      <c r="J14" s="17">
        <v>7.84</v>
      </c>
      <c r="K14" s="19">
        <f>'Apr 2025'!X17</f>
        <v>7721.585</v>
      </c>
      <c r="L14" s="168">
        <v>0.34489999999999998</v>
      </c>
      <c r="M14" s="9">
        <f>Submetering!N14</f>
        <v>198.9855</v>
      </c>
      <c r="N14" s="2">
        <f>Submetering!O14</f>
        <v>239</v>
      </c>
      <c r="O14" s="15"/>
    </row>
    <row r="15" spans="1:15" x14ac:dyDescent="0.25">
      <c r="A15" s="26" t="s">
        <v>77</v>
      </c>
      <c r="B15" s="2">
        <f t="shared" si="0"/>
        <v>14</v>
      </c>
      <c r="C15" s="16">
        <v>4</v>
      </c>
      <c r="D15" s="2">
        <v>2025</v>
      </c>
      <c r="E15" s="9">
        <f>Submetering!E15+Submetering!F15+Submetering!G15</f>
        <v>15832</v>
      </c>
      <c r="F15" s="17">
        <v>0.2</v>
      </c>
      <c r="G15" s="9">
        <f>'Apr 2025'!T18</f>
        <v>43.283700000000003</v>
      </c>
      <c r="H15" s="18">
        <v>16.875</v>
      </c>
      <c r="I15" s="9">
        <f>Submetering!H15</f>
        <v>98</v>
      </c>
      <c r="J15" s="17">
        <v>7.84</v>
      </c>
      <c r="K15" s="19">
        <f>'Apr 2025'!X18</f>
        <v>8390.8949999999986</v>
      </c>
      <c r="L15" s="168">
        <v>0.34489999999999998</v>
      </c>
      <c r="M15" s="9">
        <f>Submetering!N15</f>
        <v>278.99549999999999</v>
      </c>
      <c r="N15" s="2">
        <f>Submetering!O15</f>
        <v>318</v>
      </c>
      <c r="O15" s="15"/>
    </row>
    <row r="16" spans="1:15" x14ac:dyDescent="0.25">
      <c r="A16" s="26" t="s">
        <v>77</v>
      </c>
      <c r="B16" s="2">
        <f t="shared" si="0"/>
        <v>15</v>
      </c>
      <c r="C16" s="16">
        <v>4</v>
      </c>
      <c r="D16" s="2">
        <v>2025</v>
      </c>
      <c r="E16" s="9">
        <f>Submetering!E16+Submetering!F16+Submetering!G16</f>
        <v>14862</v>
      </c>
      <c r="F16" s="17">
        <v>0.2</v>
      </c>
      <c r="G16" s="9">
        <f>'Apr 2025'!T19</f>
        <v>42.228000000000002</v>
      </c>
      <c r="H16" s="18">
        <v>16.875</v>
      </c>
      <c r="I16" s="9">
        <f>Submetering!H16</f>
        <v>84</v>
      </c>
      <c r="J16" s="17">
        <v>7.84</v>
      </c>
      <c r="K16" s="19">
        <f>'Apr 2025'!X19</f>
        <v>7669.24</v>
      </c>
      <c r="L16" s="168">
        <v>0.34489999999999998</v>
      </c>
      <c r="M16" s="9">
        <f>Submetering!N16</f>
        <v>312.00749999999999</v>
      </c>
      <c r="N16" s="2">
        <f>Submetering!O16</f>
        <v>342</v>
      </c>
      <c r="O16" s="15"/>
    </row>
    <row r="17" spans="1:15" x14ac:dyDescent="0.25">
      <c r="A17" s="26" t="s">
        <v>77</v>
      </c>
      <c r="B17" s="2">
        <f t="shared" si="0"/>
        <v>16</v>
      </c>
      <c r="C17" s="16">
        <v>4</v>
      </c>
      <c r="D17" s="2">
        <v>2025</v>
      </c>
      <c r="E17" s="9">
        <f>Submetering!E17+Submetering!F17+Submetering!G17</f>
        <v>14825</v>
      </c>
      <c r="F17" s="17">
        <v>0.2</v>
      </c>
      <c r="G17" s="9">
        <f>'Apr 2025'!T20</f>
        <v>39.060900000000004</v>
      </c>
      <c r="H17" s="18">
        <v>16.875</v>
      </c>
      <c r="I17" s="9">
        <f>Submetering!H17</f>
        <v>96</v>
      </c>
      <c r="J17" s="17">
        <v>7.84</v>
      </c>
      <c r="K17" s="19">
        <f>'Apr 2025'!X20</f>
        <v>7357.2399999999989</v>
      </c>
      <c r="L17" s="168">
        <v>0.34489999999999998</v>
      </c>
      <c r="M17" s="9">
        <f>Submetering!N17</f>
        <v>302.99849999999998</v>
      </c>
      <c r="N17" s="2">
        <f>Submetering!O17</f>
        <v>357</v>
      </c>
      <c r="O17" s="15"/>
    </row>
    <row r="18" spans="1:15" x14ac:dyDescent="0.25">
      <c r="A18" s="26" t="s">
        <v>77</v>
      </c>
      <c r="B18" s="2">
        <f t="shared" si="0"/>
        <v>17</v>
      </c>
      <c r="C18" s="16">
        <v>4</v>
      </c>
      <c r="D18" s="2">
        <v>2025</v>
      </c>
      <c r="E18" s="9">
        <f>Submetering!E18+Submetering!F18+Submetering!G18</f>
        <v>15806</v>
      </c>
      <c r="F18" s="17">
        <v>0.2</v>
      </c>
      <c r="G18" s="9">
        <f>'Apr 2025'!T21</f>
        <v>41.1723</v>
      </c>
      <c r="H18" s="18">
        <v>16.875</v>
      </c>
      <c r="I18" s="9">
        <f>Submetering!H18</f>
        <v>96</v>
      </c>
      <c r="J18" s="17">
        <v>7.84</v>
      </c>
      <c r="K18" s="19">
        <f>'Apr 2025'!X21</f>
        <v>7126.2399999999989</v>
      </c>
      <c r="L18" s="168">
        <v>0.34489999999999998</v>
      </c>
      <c r="M18" s="9">
        <f>Submetering!N18</f>
        <v>285.98849999999999</v>
      </c>
      <c r="N18" s="2">
        <f>Submetering!O18</f>
        <v>353</v>
      </c>
      <c r="O18" s="15"/>
    </row>
    <row r="19" spans="1:15" x14ac:dyDescent="0.25">
      <c r="A19" s="26" t="s">
        <v>77</v>
      </c>
      <c r="B19" s="2">
        <f t="shared" si="0"/>
        <v>18</v>
      </c>
      <c r="C19" s="16">
        <v>4</v>
      </c>
      <c r="D19" s="2">
        <v>2025</v>
      </c>
      <c r="E19" s="9">
        <f>Submetering!E19+Submetering!F19+Submetering!G19</f>
        <v>15897</v>
      </c>
      <c r="F19" s="17">
        <v>0.2</v>
      </c>
      <c r="G19" s="9">
        <f>'Apr 2025'!T22</f>
        <v>44.339400000000005</v>
      </c>
      <c r="H19" s="18">
        <v>16.875</v>
      </c>
      <c r="I19" s="9">
        <f>Submetering!H19</f>
        <v>111</v>
      </c>
      <c r="J19" s="17">
        <v>7.84</v>
      </c>
      <c r="K19" s="19">
        <f>'Apr 2025'!X22</f>
        <v>7049.9299999999994</v>
      </c>
      <c r="L19" s="168">
        <v>0.34489999999999998</v>
      </c>
      <c r="M19" s="9">
        <f>Submetering!N19</f>
        <v>300.00600000000003</v>
      </c>
      <c r="N19" s="2">
        <f>Submetering!O19</f>
        <v>398</v>
      </c>
      <c r="O19" s="15"/>
    </row>
    <row r="20" spans="1:15" x14ac:dyDescent="0.25">
      <c r="A20" s="26" t="s">
        <v>77</v>
      </c>
      <c r="B20" s="2">
        <f t="shared" si="0"/>
        <v>19</v>
      </c>
      <c r="C20" s="16">
        <v>4</v>
      </c>
      <c r="D20" s="2">
        <v>2025</v>
      </c>
      <c r="E20" s="9">
        <f>Submetering!E20+Submetering!F20+Submetering!G20</f>
        <v>16001</v>
      </c>
      <c r="F20" s="17">
        <v>0.2</v>
      </c>
      <c r="G20" s="9">
        <f>'Apr 2025'!T23</f>
        <v>40.116600000000005</v>
      </c>
      <c r="H20" s="18">
        <v>16.875</v>
      </c>
      <c r="I20" s="9">
        <f>Submetering!H20</f>
        <v>107</v>
      </c>
      <c r="J20" s="17">
        <v>7.84</v>
      </c>
      <c r="K20" s="19">
        <f>'Apr 2025'!X23</f>
        <v>6347.93</v>
      </c>
      <c r="L20" s="168">
        <v>0.34489999999999998</v>
      </c>
      <c r="M20" s="9">
        <f>Submetering!N20</f>
        <v>293.01300000000003</v>
      </c>
      <c r="N20" s="2">
        <f>Submetering!O20</f>
        <v>393</v>
      </c>
      <c r="O20" s="15"/>
    </row>
    <row r="21" spans="1:15" x14ac:dyDescent="0.25">
      <c r="A21" s="26" t="s">
        <v>77</v>
      </c>
      <c r="B21" s="2">
        <f t="shared" si="0"/>
        <v>20</v>
      </c>
      <c r="C21" s="16">
        <v>4</v>
      </c>
      <c r="D21" s="2">
        <v>2025</v>
      </c>
      <c r="E21" s="9">
        <f>Submetering!E21+Submetering!F21+Submetering!G21</f>
        <v>15142</v>
      </c>
      <c r="F21" s="17">
        <v>0.2</v>
      </c>
      <c r="G21" s="9">
        <f>'Apr 2025'!T24</f>
        <v>38.005200000000002</v>
      </c>
      <c r="H21" s="18">
        <v>16.875</v>
      </c>
      <c r="I21" s="9">
        <f>Submetering!H21</f>
        <v>107</v>
      </c>
      <c r="J21" s="17">
        <v>7.84</v>
      </c>
      <c r="K21" s="19">
        <f>'Apr 2025'!X24</f>
        <v>6527.62</v>
      </c>
      <c r="L21" s="168">
        <v>0.34489999999999998</v>
      </c>
      <c r="M21" s="9">
        <f>Submetering!N21</f>
        <v>268.00200000000001</v>
      </c>
      <c r="N21" s="2">
        <f>Submetering!O21</f>
        <v>342</v>
      </c>
      <c r="O21" s="15"/>
    </row>
    <row r="22" spans="1:15" x14ac:dyDescent="0.25">
      <c r="A22" s="26" t="s">
        <v>77</v>
      </c>
      <c r="B22" s="2">
        <f t="shared" si="0"/>
        <v>21</v>
      </c>
      <c r="C22" s="16">
        <v>4</v>
      </c>
      <c r="D22" s="2">
        <v>2025</v>
      </c>
      <c r="E22" s="9">
        <f>Submetering!E22+Submetering!F22+Submetering!G22</f>
        <v>15323</v>
      </c>
      <c r="F22" s="17">
        <v>0.2</v>
      </c>
      <c r="G22" s="9">
        <f>'Apr 2025'!T25</f>
        <v>43.283700000000003</v>
      </c>
      <c r="H22" s="18">
        <v>16.875</v>
      </c>
      <c r="I22" s="9">
        <f>Submetering!H22</f>
        <v>102</v>
      </c>
      <c r="J22" s="17">
        <v>7.84</v>
      </c>
      <c r="K22" s="19">
        <f>'Apr 2025'!X25</f>
        <v>7082.585</v>
      </c>
      <c r="L22" s="168">
        <v>0.34489999999999998</v>
      </c>
      <c r="M22" s="9">
        <f>Submetering!N22</f>
        <v>246.9915</v>
      </c>
      <c r="N22" s="2">
        <f>Submetering!O22</f>
        <v>315</v>
      </c>
      <c r="O22" s="15"/>
    </row>
    <row r="23" spans="1:15" x14ac:dyDescent="0.25">
      <c r="A23" s="26" t="s">
        <v>77</v>
      </c>
      <c r="B23" s="2">
        <f t="shared" si="0"/>
        <v>22</v>
      </c>
      <c r="C23" s="16">
        <v>4</v>
      </c>
      <c r="D23" s="2">
        <v>2025</v>
      </c>
      <c r="E23" s="9">
        <f>Submetering!E23+Submetering!F23+Submetering!G23</f>
        <v>15308</v>
      </c>
      <c r="F23" s="17">
        <v>0.2</v>
      </c>
      <c r="G23" s="9">
        <f>'Apr 2025'!T26</f>
        <v>35.893800000000006</v>
      </c>
      <c r="H23" s="18">
        <v>16.875</v>
      </c>
      <c r="I23" s="9">
        <f>Submetering!H23</f>
        <v>83</v>
      </c>
      <c r="J23" s="17">
        <v>7.84</v>
      </c>
      <c r="K23" s="19">
        <f>'Apr 2025'!X26</f>
        <v>7624.2400000000007</v>
      </c>
      <c r="L23" s="168">
        <v>0.34489999999999998</v>
      </c>
      <c r="M23" s="9">
        <f>Submetering!N23</f>
        <v>264.00149999999996</v>
      </c>
      <c r="N23" s="2">
        <f>Submetering!O23</f>
        <v>321</v>
      </c>
      <c r="O23" s="15"/>
    </row>
    <row r="24" spans="1:15" x14ac:dyDescent="0.25">
      <c r="A24" s="26" t="s">
        <v>77</v>
      </c>
      <c r="B24" s="2">
        <f t="shared" si="0"/>
        <v>23</v>
      </c>
      <c r="C24" s="16">
        <v>4</v>
      </c>
      <c r="D24" s="2">
        <v>2025</v>
      </c>
      <c r="E24" s="9">
        <f>Submetering!E24+Submetering!F24+Submetering!G24</f>
        <v>15227</v>
      </c>
      <c r="F24" s="17">
        <v>0.2</v>
      </c>
      <c r="G24" s="9">
        <f>'Apr 2025'!T27</f>
        <v>34.838100000000004</v>
      </c>
      <c r="H24" s="18">
        <v>16.875</v>
      </c>
      <c r="I24" s="9">
        <f>Submetering!H24</f>
        <v>101</v>
      </c>
      <c r="J24" s="17">
        <v>7.84</v>
      </c>
      <c r="K24" s="19">
        <f>'Apr 2025'!X27</f>
        <v>7566.8950000000004</v>
      </c>
      <c r="L24" s="168">
        <v>0.34489999999999998</v>
      </c>
      <c r="M24" s="9">
        <f>Submetering!N24</f>
        <v>258.99299999999999</v>
      </c>
      <c r="N24" s="2">
        <f>Submetering!O24</f>
        <v>331</v>
      </c>
      <c r="O24" s="15"/>
    </row>
    <row r="25" spans="1:15" x14ac:dyDescent="0.25">
      <c r="A25" s="26" t="s">
        <v>77</v>
      </c>
      <c r="B25" s="2">
        <f t="shared" si="0"/>
        <v>24</v>
      </c>
      <c r="C25" s="16">
        <v>4</v>
      </c>
      <c r="D25" s="2">
        <v>2025</v>
      </c>
      <c r="E25" s="9">
        <f>Submetering!E25+Submetering!F25+Submetering!G25</f>
        <v>15482</v>
      </c>
      <c r="F25" s="17">
        <v>0.2</v>
      </c>
      <c r="G25" s="9">
        <f>'Apr 2025'!T28</f>
        <v>36.9495</v>
      </c>
      <c r="H25" s="18">
        <v>16.875</v>
      </c>
      <c r="I25" s="9">
        <f>Submetering!H25</f>
        <v>101</v>
      </c>
      <c r="J25" s="17">
        <v>7.84</v>
      </c>
      <c r="K25" s="19">
        <f>'Apr 2025'!X28</f>
        <v>7849.2399999999989</v>
      </c>
      <c r="L25" s="168">
        <v>0.34489999999999998</v>
      </c>
      <c r="M25" s="9">
        <f>Submetering!N25</f>
        <v>268.00200000000001</v>
      </c>
      <c r="N25" s="2">
        <f>Submetering!O25</f>
        <v>350</v>
      </c>
      <c r="O25" s="15"/>
    </row>
    <row r="26" spans="1:15" x14ac:dyDescent="0.25">
      <c r="A26" s="26" t="s">
        <v>77</v>
      </c>
      <c r="B26" s="2">
        <f t="shared" si="0"/>
        <v>25</v>
      </c>
      <c r="C26" s="16">
        <v>4</v>
      </c>
      <c r="D26" s="2">
        <v>2025</v>
      </c>
      <c r="E26" s="9">
        <f>Submetering!E26+Submetering!F26+Submetering!G26</f>
        <v>15415</v>
      </c>
      <c r="F26" s="17">
        <v>0.2</v>
      </c>
      <c r="G26" s="9">
        <f>'Apr 2025'!T29</f>
        <v>36.9495</v>
      </c>
      <c r="H26" s="18">
        <v>16.875</v>
      </c>
      <c r="I26" s="9">
        <f>Submetering!H26</f>
        <v>104</v>
      </c>
      <c r="J26" s="17">
        <v>7.84</v>
      </c>
      <c r="K26" s="19">
        <f>'Apr 2025'!X29</f>
        <v>8122.24</v>
      </c>
      <c r="L26" s="168">
        <v>0.34489999999999998</v>
      </c>
      <c r="M26" s="9">
        <f>Submetering!N26</f>
        <v>300.00600000000003</v>
      </c>
      <c r="N26" s="2">
        <f>Submetering!O26</f>
        <v>404</v>
      </c>
      <c r="O26" s="15"/>
    </row>
    <row r="27" spans="1:15" x14ac:dyDescent="0.25">
      <c r="A27" s="26" t="s">
        <v>77</v>
      </c>
      <c r="B27" s="2">
        <f t="shared" si="0"/>
        <v>26</v>
      </c>
      <c r="C27" s="16">
        <v>4</v>
      </c>
      <c r="D27" s="2">
        <v>2025</v>
      </c>
      <c r="E27" s="9">
        <f>Submetering!E27+Submetering!F27+Submetering!G27</f>
        <v>14917</v>
      </c>
      <c r="F27" s="17">
        <v>0.2</v>
      </c>
      <c r="G27" s="9">
        <f>'Apr 2025'!T30</f>
        <v>27.448200000000003</v>
      </c>
      <c r="H27" s="18">
        <v>16.875</v>
      </c>
      <c r="I27" s="9">
        <f>Submetering!H27</f>
        <v>111</v>
      </c>
      <c r="J27" s="17">
        <v>7.84</v>
      </c>
      <c r="K27" s="19">
        <f>'Apr 2025'!X30</f>
        <v>7645.5850000000009</v>
      </c>
      <c r="L27" s="168">
        <v>0.34489999999999998</v>
      </c>
      <c r="M27" s="9">
        <f>Submetering!N27</f>
        <v>300.00600000000003</v>
      </c>
      <c r="N27" s="2">
        <f>Submetering!O27</f>
        <v>395</v>
      </c>
      <c r="O27" s="15"/>
    </row>
    <row r="28" spans="1:15" x14ac:dyDescent="0.25">
      <c r="A28" s="26" t="s">
        <v>77</v>
      </c>
      <c r="B28" s="2">
        <f t="shared" si="0"/>
        <v>27</v>
      </c>
      <c r="C28" s="16">
        <v>4</v>
      </c>
      <c r="D28" s="2">
        <v>2025</v>
      </c>
      <c r="E28" s="9">
        <f>Submetering!E28+Submetering!F28+Submetering!G28</f>
        <v>15243</v>
      </c>
      <c r="F28" s="17">
        <v>0.2</v>
      </c>
      <c r="G28" s="9">
        <f>'Apr 2025'!T31</f>
        <v>35.893800000000006</v>
      </c>
      <c r="H28" s="18">
        <v>16.875</v>
      </c>
      <c r="I28" s="9">
        <f>Submetering!H28</f>
        <v>110</v>
      </c>
      <c r="J28" s="17">
        <v>7.84</v>
      </c>
      <c r="K28" s="19">
        <f>'Apr 2025'!X31</f>
        <v>8294.24</v>
      </c>
      <c r="L28" s="168">
        <v>0.34489999999999998</v>
      </c>
      <c r="M28" s="9">
        <f>Submetering!N28</f>
        <v>304.00649999999996</v>
      </c>
      <c r="N28" s="2">
        <f>Submetering!O28</f>
        <v>369</v>
      </c>
      <c r="O28" s="15"/>
    </row>
    <row r="29" spans="1:15" x14ac:dyDescent="0.25">
      <c r="A29" s="26" t="s">
        <v>77</v>
      </c>
      <c r="B29" s="2">
        <f t="shared" si="0"/>
        <v>28</v>
      </c>
      <c r="C29" s="16">
        <v>4</v>
      </c>
      <c r="D29" s="2">
        <v>2025</v>
      </c>
      <c r="E29" s="9">
        <f>Submetering!E29+Submetering!F29+Submetering!G29</f>
        <v>15413</v>
      </c>
      <c r="F29" s="17">
        <v>0.2</v>
      </c>
      <c r="G29" s="9">
        <f>'Apr 2025'!T32</f>
        <v>34.838100000000004</v>
      </c>
      <c r="H29" s="18">
        <v>16.875</v>
      </c>
      <c r="I29" s="9">
        <f>Submetering!H29</f>
        <v>103</v>
      </c>
      <c r="J29" s="17">
        <v>7.84</v>
      </c>
      <c r="K29" s="19">
        <f>'Apr 2025'!X32</f>
        <v>8446.5499999999993</v>
      </c>
      <c r="L29" s="168">
        <v>0.34489999999999998</v>
      </c>
      <c r="M29" s="9">
        <f>Submetering!N29</f>
        <v>310.99950000000001</v>
      </c>
      <c r="N29" s="2">
        <f>Submetering!O29</f>
        <v>390</v>
      </c>
      <c r="O29" s="15"/>
    </row>
    <row r="30" spans="1:15" x14ac:dyDescent="0.25">
      <c r="A30" s="26" t="s">
        <v>77</v>
      </c>
      <c r="B30" s="2">
        <f t="shared" si="0"/>
        <v>29</v>
      </c>
      <c r="C30" s="16">
        <v>4</v>
      </c>
      <c r="D30" s="2">
        <v>2025</v>
      </c>
      <c r="E30" s="9">
        <f>Submetering!E30+Submetering!F30+Submetering!G30</f>
        <v>15451</v>
      </c>
      <c r="F30" s="17">
        <v>0.2</v>
      </c>
      <c r="G30" s="9">
        <f>'Apr 2025'!T33</f>
        <v>36.9495</v>
      </c>
      <c r="H30" s="18">
        <v>16.875</v>
      </c>
      <c r="I30" s="9">
        <f>Submetering!H30</f>
        <v>92</v>
      </c>
      <c r="J30" s="17">
        <v>7.84</v>
      </c>
      <c r="K30" s="19">
        <f>'Apr 2025'!X33</f>
        <v>8541.5499999999993</v>
      </c>
      <c r="L30" s="168">
        <v>0.34489999999999998</v>
      </c>
      <c r="M30" s="9">
        <f>Submetering!N30</f>
        <v>310.99950000000001</v>
      </c>
      <c r="N30" s="2">
        <f>Submetering!O30</f>
        <v>377</v>
      </c>
      <c r="O30" s="15"/>
    </row>
    <row r="31" spans="1:15" x14ac:dyDescent="0.25">
      <c r="A31" s="26" t="s">
        <v>77</v>
      </c>
      <c r="B31" s="2">
        <f t="shared" si="0"/>
        <v>30</v>
      </c>
      <c r="C31" s="16">
        <v>4</v>
      </c>
      <c r="D31" s="2">
        <v>2025</v>
      </c>
      <c r="E31" s="9">
        <f>Submetering!E31+Submetering!F31+Submetering!G31</f>
        <v>15138</v>
      </c>
      <c r="F31" s="17">
        <v>0.2</v>
      </c>
      <c r="G31" s="9">
        <f>'Apr 2025'!T34</f>
        <v>35.893800000000006</v>
      </c>
      <c r="H31" s="18">
        <v>16.875</v>
      </c>
      <c r="I31" s="9">
        <f>Submetering!H31</f>
        <v>97</v>
      </c>
      <c r="J31" s="17">
        <v>7.84</v>
      </c>
      <c r="K31" s="19">
        <f>'Apr 2025'!X34</f>
        <v>8586.8950000000004</v>
      </c>
      <c r="L31" s="168">
        <v>0.34489999999999998</v>
      </c>
      <c r="M31" s="9">
        <f>Submetering!N31</f>
        <v>301.9905</v>
      </c>
      <c r="N31" s="2">
        <f>Submetering!O31</f>
        <v>369</v>
      </c>
      <c r="O3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1"/>
  <sheetViews>
    <sheetView workbookViewId="0">
      <selection activeCell="S21" sqref="S21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8" width="11.5703125" style="2"/>
    <col min="9" max="9" width="11.5703125" style="20"/>
    <col min="10" max="10" width="13.5703125" style="2" customWidth="1"/>
    <col min="11" max="13" width="11.5703125" style="2"/>
    <col min="14" max="14" width="11.5703125" style="9"/>
    <col min="15" max="15" width="11.5703125" style="2"/>
  </cols>
  <sheetData>
    <row r="1" spans="1:15" s="25" customFormat="1" ht="45" x14ac:dyDescent="0.25">
      <c r="A1" s="15" t="s">
        <v>67</v>
      </c>
      <c r="B1" s="15" t="s">
        <v>68</v>
      </c>
      <c r="C1" s="21" t="s">
        <v>69</v>
      </c>
      <c r="D1" s="15" t="s">
        <v>70</v>
      </c>
      <c r="E1" s="22" t="s">
        <v>78</v>
      </c>
      <c r="F1" s="23" t="s">
        <v>79</v>
      </c>
      <c r="G1" s="22" t="s">
        <v>80</v>
      </c>
      <c r="H1" s="22" t="s">
        <v>81</v>
      </c>
      <c r="I1" s="23" t="s">
        <v>82</v>
      </c>
      <c r="J1" s="23" t="s">
        <v>83</v>
      </c>
      <c r="K1" s="24" t="s">
        <v>2</v>
      </c>
      <c r="L1" s="24" t="s">
        <v>84</v>
      </c>
      <c r="M1" s="22" t="s">
        <v>85</v>
      </c>
      <c r="N1" s="24" t="s">
        <v>75</v>
      </c>
      <c r="O1" s="22" t="s">
        <v>76</v>
      </c>
    </row>
    <row r="2" spans="1:15" x14ac:dyDescent="0.25">
      <c r="A2" s="26" t="s">
        <v>77</v>
      </c>
      <c r="B2" s="2">
        <v>1</v>
      </c>
      <c r="C2" s="16">
        <v>4</v>
      </c>
      <c r="D2" s="2">
        <v>2025</v>
      </c>
      <c r="E2" s="9">
        <f>'Apr 2025'!C5</f>
        <v>7905</v>
      </c>
      <c r="F2" s="9">
        <f>'Apr 2025'!E5</f>
        <v>7542</v>
      </c>
      <c r="G2" s="9">
        <f>'Apr 2025'!G5</f>
        <v>127</v>
      </c>
      <c r="H2" s="9">
        <f>'Apr 2025'!K5</f>
        <v>87</v>
      </c>
      <c r="I2" s="9">
        <f>'Apr 2025'!N5</f>
        <v>18</v>
      </c>
      <c r="J2" s="9">
        <f>'Apr 2025'!P5</f>
        <v>14</v>
      </c>
      <c r="K2" s="9">
        <f>'Apr 2025'!X5</f>
        <v>6458.2749999999996</v>
      </c>
      <c r="L2" s="9">
        <f>'Apr 2025'!AC5</f>
        <v>7880</v>
      </c>
      <c r="M2" s="9">
        <f>'Apr 2025'!AS5</f>
        <v>4</v>
      </c>
      <c r="N2" s="9">
        <f>'Apr 2025'!AE5*315</f>
        <v>199.99350000000001</v>
      </c>
      <c r="O2" s="139">
        <f>'Apr 2025'!AF5</f>
        <v>285</v>
      </c>
    </row>
    <row r="3" spans="1:15" x14ac:dyDescent="0.25">
      <c r="A3" s="26" t="s">
        <v>77</v>
      </c>
      <c r="B3" s="2">
        <f t="shared" ref="B3:B31" si="0">B2+1</f>
        <v>2</v>
      </c>
      <c r="C3" s="16">
        <v>4</v>
      </c>
      <c r="D3" s="2">
        <v>2025</v>
      </c>
      <c r="E3" s="9">
        <f>'Apr 2025'!C6</f>
        <v>7923</v>
      </c>
      <c r="F3" s="9">
        <f>'Apr 2025'!E6</f>
        <v>7211</v>
      </c>
      <c r="G3" s="9">
        <f>'Apr 2025'!G6</f>
        <v>127</v>
      </c>
      <c r="H3" s="9">
        <f>'Apr 2025'!K6</f>
        <v>92</v>
      </c>
      <c r="I3" s="9">
        <f>'Apr 2025'!N6</f>
        <v>17</v>
      </c>
      <c r="J3" s="9">
        <f>'Apr 2025'!P6</f>
        <v>14</v>
      </c>
      <c r="K3" s="9">
        <f>'Apr 2025'!X6</f>
        <v>6522.9299999999994</v>
      </c>
      <c r="L3" s="9">
        <f>'Apr 2025'!AC6</f>
        <v>8229</v>
      </c>
      <c r="M3" s="9">
        <f>'Apr 2025'!AS6</f>
        <v>7</v>
      </c>
      <c r="N3" s="9">
        <f>'Apr 2025'!AE6*315</f>
        <v>264.00149999999996</v>
      </c>
      <c r="O3" s="139">
        <f>'Apr 2025'!AF6</f>
        <v>338</v>
      </c>
    </row>
    <row r="4" spans="1:15" x14ac:dyDescent="0.25">
      <c r="A4" s="26" t="s">
        <v>77</v>
      </c>
      <c r="B4" s="2">
        <f t="shared" si="0"/>
        <v>3</v>
      </c>
      <c r="C4" s="16">
        <v>4</v>
      </c>
      <c r="D4" s="2">
        <v>2025</v>
      </c>
      <c r="E4" s="9">
        <f>'Apr 2025'!C7</f>
        <v>8163</v>
      </c>
      <c r="F4" s="9">
        <f>'Apr 2025'!E7</f>
        <v>7376</v>
      </c>
      <c r="G4" s="9">
        <f>'Apr 2025'!G7</f>
        <v>122</v>
      </c>
      <c r="H4" s="9">
        <f>'Apr 2025'!K7</f>
        <v>106</v>
      </c>
      <c r="I4" s="9">
        <f>'Apr 2025'!N7</f>
        <v>18</v>
      </c>
      <c r="J4" s="9">
        <f>'Apr 2025'!P7</f>
        <v>10</v>
      </c>
      <c r="K4" s="9">
        <f>'Apr 2025'!X7</f>
        <v>7184.9299999999994</v>
      </c>
      <c r="L4" s="9">
        <f>'Apr 2025'!AC7</f>
        <v>8891</v>
      </c>
      <c r="M4" s="9">
        <f>'Apr 2025'!AS7</f>
        <v>5</v>
      </c>
      <c r="N4" s="9">
        <f>'Apr 2025'!AE7*315</f>
        <v>260.00100000000003</v>
      </c>
      <c r="O4" s="139">
        <f>'Apr 2025'!AF7</f>
        <v>332</v>
      </c>
    </row>
    <row r="5" spans="1:15" x14ac:dyDescent="0.25">
      <c r="A5" s="26" t="s">
        <v>77</v>
      </c>
      <c r="B5" s="2">
        <f t="shared" si="0"/>
        <v>4</v>
      </c>
      <c r="C5" s="16">
        <v>4</v>
      </c>
      <c r="D5" s="2">
        <v>2025</v>
      </c>
      <c r="E5" s="9">
        <f>'Apr 2025'!C8</f>
        <v>8492</v>
      </c>
      <c r="F5" s="9">
        <f>'Apr 2025'!E8</f>
        <v>7678</v>
      </c>
      <c r="G5" s="9">
        <f>'Apr 2025'!G8</f>
        <v>126</v>
      </c>
      <c r="H5" s="9">
        <f>'Apr 2025'!K8</f>
        <v>110</v>
      </c>
      <c r="I5" s="9">
        <f>'Apr 2025'!N8</f>
        <v>20</v>
      </c>
      <c r="J5" s="9">
        <f>'Apr 2025'!P8</f>
        <v>20</v>
      </c>
      <c r="K5" s="9">
        <f>'Apr 2025'!X8</f>
        <v>7460.5849999999991</v>
      </c>
      <c r="L5" s="9">
        <f>'Apr 2025'!AC8</f>
        <v>9451</v>
      </c>
      <c r="M5" s="9">
        <f>'Apr 2025'!AS8</f>
        <v>7</v>
      </c>
      <c r="N5" s="9">
        <f>'Apr 2025'!AE8*315</f>
        <v>251.14949999999999</v>
      </c>
      <c r="O5" s="139">
        <f>'Apr 2025'!AF8</f>
        <v>327</v>
      </c>
    </row>
    <row r="6" spans="1:15" x14ac:dyDescent="0.25">
      <c r="A6" s="26" t="s">
        <v>77</v>
      </c>
      <c r="B6" s="2">
        <f t="shared" si="0"/>
        <v>5</v>
      </c>
      <c r="C6" s="16">
        <v>4</v>
      </c>
      <c r="D6" s="2">
        <v>2025</v>
      </c>
      <c r="E6" s="9">
        <f>'Apr 2025'!C9</f>
        <v>7835</v>
      </c>
      <c r="F6" s="9">
        <f>'Apr 2025'!E9</f>
        <v>7661</v>
      </c>
      <c r="G6" s="9">
        <f>'Apr 2025'!G9</f>
        <v>124</v>
      </c>
      <c r="H6" s="9">
        <f>'Apr 2025'!K9</f>
        <v>111</v>
      </c>
      <c r="I6" s="9">
        <f>'Apr 2025'!N9</f>
        <v>19</v>
      </c>
      <c r="J6" s="9">
        <f>'Apr 2025'!P9</f>
        <v>12</v>
      </c>
      <c r="K6" s="9">
        <f>'Apr 2025'!X9</f>
        <v>7031.9299999999994</v>
      </c>
      <c r="L6" s="9">
        <f>'Apr 2025'!AC9</f>
        <v>8738</v>
      </c>
      <c r="M6" s="9">
        <f>'Apr 2025'!AS9</f>
        <v>5</v>
      </c>
      <c r="N6" s="9">
        <f>'Apr 2025'!AE9*315</f>
        <v>210.98699999999999</v>
      </c>
      <c r="O6" s="139">
        <f>'Apr 2025'!AF9</f>
        <v>262</v>
      </c>
    </row>
    <row r="7" spans="1:15" x14ac:dyDescent="0.25">
      <c r="A7" s="26" t="s">
        <v>77</v>
      </c>
      <c r="B7" s="2">
        <f t="shared" si="0"/>
        <v>6</v>
      </c>
      <c r="C7" s="16">
        <v>4</v>
      </c>
      <c r="D7" s="2">
        <v>2025</v>
      </c>
      <c r="E7" s="9">
        <f>'Apr 2025'!C10</f>
        <v>7974</v>
      </c>
      <c r="F7" s="9">
        <f>'Apr 2025'!E10</f>
        <v>7646</v>
      </c>
      <c r="G7" s="9">
        <f>'Apr 2025'!G10</f>
        <v>126</v>
      </c>
      <c r="H7" s="9">
        <f>'Apr 2025'!K10</f>
        <v>87</v>
      </c>
      <c r="I7" s="9">
        <f>'Apr 2025'!N10</f>
        <v>19</v>
      </c>
      <c r="J7" s="9">
        <f>'Apr 2025'!P10</f>
        <v>12</v>
      </c>
      <c r="K7" s="9">
        <f>'Apr 2025'!X10</f>
        <v>7233.9299999999994</v>
      </c>
      <c r="L7" s="9">
        <f>'Apr 2025'!AC10</f>
        <v>8940</v>
      </c>
      <c r="M7" s="9">
        <f>'Apr 2025'!AS10</f>
        <v>5</v>
      </c>
      <c r="N7" s="9">
        <f>'Apr 2025'!AE10*315</f>
        <v>252</v>
      </c>
      <c r="O7" s="139">
        <f>'Apr 2025'!AF10</f>
        <v>270</v>
      </c>
    </row>
    <row r="8" spans="1:15" x14ac:dyDescent="0.25">
      <c r="A8" s="26" t="s">
        <v>77</v>
      </c>
      <c r="B8" s="2">
        <f t="shared" si="0"/>
        <v>7</v>
      </c>
      <c r="C8" s="16">
        <v>4</v>
      </c>
      <c r="D8" s="2">
        <v>2025</v>
      </c>
      <c r="E8" s="9">
        <f>'Apr 2025'!C11</f>
        <v>7850</v>
      </c>
      <c r="F8" s="9">
        <f>'Apr 2025'!E11</f>
        <v>7433</v>
      </c>
      <c r="G8" s="9">
        <f>'Apr 2025'!G11</f>
        <v>130</v>
      </c>
      <c r="H8" s="9">
        <f>'Apr 2025'!K11</f>
        <v>91</v>
      </c>
      <c r="I8" s="9">
        <f>'Apr 2025'!N11</f>
        <v>20</v>
      </c>
      <c r="J8" s="9">
        <f>'Apr 2025'!P11</f>
        <v>19</v>
      </c>
      <c r="K8" s="9">
        <f>'Apr 2025'!X11</f>
        <v>7329.2400000000007</v>
      </c>
      <c r="L8" s="9">
        <f>'Apr 2025'!AC11</f>
        <v>9604</v>
      </c>
      <c r="M8" s="9">
        <f>'Apr 2025'!AS11</f>
        <v>7</v>
      </c>
      <c r="N8" s="9">
        <f>'Apr 2025'!AE11*315</f>
        <v>300.00600000000003</v>
      </c>
      <c r="O8" s="139">
        <f>'Apr 2025'!AF11</f>
        <v>326</v>
      </c>
    </row>
    <row r="9" spans="1:15" x14ac:dyDescent="0.25">
      <c r="A9" s="26" t="s">
        <v>77</v>
      </c>
      <c r="B9" s="2">
        <f t="shared" si="0"/>
        <v>8</v>
      </c>
      <c r="C9" s="16">
        <v>4</v>
      </c>
      <c r="D9" s="2">
        <v>2025</v>
      </c>
      <c r="E9" s="9">
        <f>'Apr 2025'!C12</f>
        <v>8007</v>
      </c>
      <c r="F9" s="9">
        <f>'Apr 2025'!E12</f>
        <v>7839</v>
      </c>
      <c r="G9" s="9">
        <f>'Apr 2025'!G12</f>
        <v>128</v>
      </c>
      <c r="H9" s="9">
        <f>'Apr 2025'!K12</f>
        <v>95</v>
      </c>
      <c r="I9" s="9">
        <f>'Apr 2025'!N12</f>
        <v>20</v>
      </c>
      <c r="J9" s="9">
        <f>'Apr 2025'!P12</f>
        <v>16</v>
      </c>
      <c r="K9" s="9">
        <f>'Apr 2025'!X12</f>
        <v>7476.8949999999995</v>
      </c>
      <c r="L9" s="9">
        <f>'Apr 2025'!AC12</f>
        <v>10036</v>
      </c>
      <c r="M9" s="9">
        <f>'Apr 2025'!AS12</f>
        <v>5</v>
      </c>
      <c r="N9" s="9">
        <f>'Apr 2025'!AE12*315</f>
        <v>315</v>
      </c>
      <c r="O9" s="139">
        <f>'Apr 2025'!AF12</f>
        <v>353</v>
      </c>
    </row>
    <row r="10" spans="1:15" x14ac:dyDescent="0.25">
      <c r="A10" s="26" t="s">
        <v>77</v>
      </c>
      <c r="B10" s="2">
        <f t="shared" si="0"/>
        <v>9</v>
      </c>
      <c r="C10" s="16">
        <v>4</v>
      </c>
      <c r="D10" s="2">
        <v>2025</v>
      </c>
      <c r="E10" s="9">
        <f>'Apr 2025'!C13</f>
        <v>8382</v>
      </c>
      <c r="F10" s="9">
        <f>'Apr 2025'!E13</f>
        <v>8141</v>
      </c>
      <c r="G10" s="9">
        <f>'Apr 2025'!G13</f>
        <v>118</v>
      </c>
      <c r="H10" s="9">
        <f>'Apr 2025'!K13</f>
        <v>92</v>
      </c>
      <c r="I10" s="9">
        <f>'Apr 2025'!N13</f>
        <v>21</v>
      </c>
      <c r="J10" s="9">
        <f>'Apr 2025'!P13</f>
        <v>15</v>
      </c>
      <c r="K10" s="9">
        <f>'Apr 2025'!X13</f>
        <v>7326.24</v>
      </c>
      <c r="L10" s="9">
        <f>'Apr 2025'!AC13</f>
        <v>9601</v>
      </c>
      <c r="M10" s="9">
        <f>'Apr 2025'!AS13</f>
        <v>5</v>
      </c>
      <c r="N10" s="9">
        <f>'Apr 2025'!AE13*315</f>
        <v>315</v>
      </c>
      <c r="O10" s="139">
        <f>'Apr 2025'!AF13</f>
        <v>355</v>
      </c>
    </row>
    <row r="11" spans="1:15" x14ac:dyDescent="0.25">
      <c r="A11" s="26" t="s">
        <v>77</v>
      </c>
      <c r="B11" s="2">
        <f t="shared" si="0"/>
        <v>10</v>
      </c>
      <c r="C11" s="16">
        <v>4</v>
      </c>
      <c r="D11" s="2">
        <v>2025</v>
      </c>
      <c r="E11" s="9">
        <f>'Apr 2025'!C14</f>
        <v>7695</v>
      </c>
      <c r="F11" s="9">
        <f>'Apr 2025'!E14</f>
        <v>7321</v>
      </c>
      <c r="G11" s="9">
        <f>'Apr 2025'!G14</f>
        <v>120</v>
      </c>
      <c r="H11" s="9">
        <f>'Apr 2025'!K14</f>
        <v>105</v>
      </c>
      <c r="I11" s="9">
        <f>'Apr 2025'!N14</f>
        <v>20</v>
      </c>
      <c r="J11" s="9">
        <f>'Apr 2025'!P14</f>
        <v>16</v>
      </c>
      <c r="K11" s="9">
        <f>'Apr 2025'!X14</f>
        <v>7390.24</v>
      </c>
      <c r="L11" s="9">
        <f>'Apr 2025'!AC14</f>
        <v>9665</v>
      </c>
      <c r="M11" s="9">
        <f>'Apr 2025'!AS14</f>
        <v>5</v>
      </c>
      <c r="N11" s="9">
        <f>'Apr 2025'!AE14*315</f>
        <v>300.00600000000003</v>
      </c>
      <c r="O11" s="139">
        <f>'Apr 2025'!AF14</f>
        <v>359</v>
      </c>
    </row>
    <row r="12" spans="1:15" x14ac:dyDescent="0.25">
      <c r="A12" s="26" t="s">
        <v>77</v>
      </c>
      <c r="B12" s="2">
        <f t="shared" si="0"/>
        <v>11</v>
      </c>
      <c r="C12" s="16">
        <v>4</v>
      </c>
      <c r="D12" s="2">
        <v>2025</v>
      </c>
      <c r="E12" s="9">
        <f>'Apr 2025'!C15</f>
        <v>7719</v>
      </c>
      <c r="F12" s="9">
        <f>'Apr 2025'!E15</f>
        <v>7134</v>
      </c>
      <c r="G12" s="9">
        <f>'Apr 2025'!G15</f>
        <v>127</v>
      </c>
      <c r="H12" s="9">
        <f>'Apr 2025'!K15</f>
        <v>89</v>
      </c>
      <c r="I12" s="9">
        <f>'Apr 2025'!N15</f>
        <v>20</v>
      </c>
      <c r="J12" s="9">
        <f>'Apr 2025'!P15</f>
        <v>17</v>
      </c>
      <c r="K12" s="9">
        <f>'Apr 2025'!X15</f>
        <v>6448.585</v>
      </c>
      <c r="L12" s="9">
        <f>'Apr 2025'!AC15</f>
        <v>8439</v>
      </c>
      <c r="M12" s="9">
        <f>'Apr 2025'!AS15</f>
        <v>6</v>
      </c>
      <c r="N12" s="9">
        <f>'Apr 2025'!AE15*315</f>
        <v>253.9845</v>
      </c>
      <c r="O12" s="139">
        <f>'Apr 2025'!AF15</f>
        <v>350</v>
      </c>
    </row>
    <row r="13" spans="1:15" x14ac:dyDescent="0.25">
      <c r="A13" s="26" t="s">
        <v>77</v>
      </c>
      <c r="B13" s="2">
        <f t="shared" si="0"/>
        <v>12</v>
      </c>
      <c r="C13" s="16">
        <v>4</v>
      </c>
      <c r="D13" s="2">
        <v>2025</v>
      </c>
      <c r="E13" s="9">
        <f>'Apr 2025'!C16</f>
        <v>7955</v>
      </c>
      <c r="F13" s="9">
        <f>'Apr 2025'!E16</f>
        <v>7399</v>
      </c>
      <c r="G13" s="9">
        <f>'Apr 2025'!G16</f>
        <v>127</v>
      </c>
      <c r="H13" s="9">
        <f>'Apr 2025'!K16</f>
        <v>92</v>
      </c>
      <c r="I13" s="9">
        <f>'Apr 2025'!N16</f>
        <v>17</v>
      </c>
      <c r="J13" s="9">
        <f>'Apr 2025'!P16</f>
        <v>14</v>
      </c>
      <c r="K13" s="9">
        <f>'Apr 2025'!X16</f>
        <v>7369.5849999999991</v>
      </c>
      <c r="L13" s="9">
        <f>'Apr 2025'!AC16</f>
        <v>9360</v>
      </c>
      <c r="M13" s="9">
        <f>'Apr 2025'!AS16</f>
        <v>6</v>
      </c>
      <c r="N13" s="9">
        <f>'Apr 2025'!AE16*315</f>
        <v>178.06950000000001</v>
      </c>
      <c r="O13" s="139">
        <f>'Apr 2025'!AF16</f>
        <v>246</v>
      </c>
    </row>
    <row r="14" spans="1:15" x14ac:dyDescent="0.25">
      <c r="A14" s="26" t="s">
        <v>77</v>
      </c>
      <c r="B14" s="2">
        <f t="shared" si="0"/>
        <v>13</v>
      </c>
      <c r="C14" s="16">
        <v>4</v>
      </c>
      <c r="D14" s="2">
        <v>2025</v>
      </c>
      <c r="E14" s="9">
        <f>'Apr 2025'!C17</f>
        <v>7692</v>
      </c>
      <c r="F14" s="9">
        <f>'Apr 2025'!E17</f>
        <v>7307</v>
      </c>
      <c r="G14" s="9">
        <f>'Apr 2025'!G17</f>
        <v>126</v>
      </c>
      <c r="H14" s="9">
        <f>'Apr 2025'!K17</f>
        <v>84</v>
      </c>
      <c r="I14" s="9">
        <f>'Apr 2025'!N17</f>
        <v>18</v>
      </c>
      <c r="J14" s="9">
        <f>'Apr 2025'!P17</f>
        <v>10</v>
      </c>
      <c r="K14" s="9">
        <f>'Apr 2025'!X17</f>
        <v>7721.585</v>
      </c>
      <c r="L14" s="9">
        <f>'Apr 2025'!AC17</f>
        <v>9712</v>
      </c>
      <c r="M14" s="9">
        <f>'Apr 2025'!AS17</f>
        <v>4</v>
      </c>
      <c r="N14" s="9">
        <f>'Apr 2025'!AE17*315</f>
        <v>198.9855</v>
      </c>
      <c r="O14" s="139">
        <f>'Apr 2025'!AF17</f>
        <v>239</v>
      </c>
    </row>
    <row r="15" spans="1:15" x14ac:dyDescent="0.25">
      <c r="A15" s="26" t="s">
        <v>77</v>
      </c>
      <c r="B15" s="2">
        <f t="shared" si="0"/>
        <v>14</v>
      </c>
      <c r="C15" s="16">
        <v>4</v>
      </c>
      <c r="D15" s="2">
        <v>2025</v>
      </c>
      <c r="E15" s="9">
        <f>'Apr 2025'!C18</f>
        <v>8216</v>
      </c>
      <c r="F15" s="9">
        <f>'Apr 2025'!E18</f>
        <v>7492</v>
      </c>
      <c r="G15" s="9">
        <f>'Apr 2025'!G18</f>
        <v>124</v>
      </c>
      <c r="H15" s="9">
        <f>'Apr 2025'!K18</f>
        <v>98</v>
      </c>
      <c r="I15" s="9">
        <f>'Apr 2025'!N18</f>
        <v>20</v>
      </c>
      <c r="J15" s="9">
        <f>'Apr 2025'!P18</f>
        <v>19</v>
      </c>
      <c r="K15" s="9">
        <f>'Apr 2025'!X18</f>
        <v>8390.8949999999986</v>
      </c>
      <c r="L15" s="9">
        <f>'Apr 2025'!AC18</f>
        <v>10950</v>
      </c>
      <c r="M15" s="9">
        <f>'Apr 2025'!AS18</f>
        <v>5</v>
      </c>
      <c r="N15" s="9">
        <f>'Apr 2025'!AE18*315</f>
        <v>278.99549999999999</v>
      </c>
      <c r="O15" s="139">
        <f>'Apr 2025'!AF18</f>
        <v>318</v>
      </c>
    </row>
    <row r="16" spans="1:15" x14ac:dyDescent="0.25">
      <c r="A16" s="26" t="s">
        <v>77</v>
      </c>
      <c r="B16" s="2">
        <f t="shared" si="0"/>
        <v>15</v>
      </c>
      <c r="C16" s="16">
        <v>4</v>
      </c>
      <c r="D16" s="2">
        <v>2025</v>
      </c>
      <c r="E16" s="9">
        <f>'Apr 2025'!C19</f>
        <v>7626</v>
      </c>
      <c r="F16" s="9">
        <f>'Apr 2025'!E19</f>
        <v>7112</v>
      </c>
      <c r="G16" s="9">
        <f>'Apr 2025'!G19</f>
        <v>124</v>
      </c>
      <c r="H16" s="9">
        <f>'Apr 2025'!K19</f>
        <v>84</v>
      </c>
      <c r="I16" s="9">
        <f>'Apr 2025'!N19</f>
        <v>19</v>
      </c>
      <c r="J16" s="9">
        <f>'Apr 2025'!P19</f>
        <v>21</v>
      </c>
      <c r="K16" s="9">
        <f>'Apr 2025'!X19</f>
        <v>7669.24</v>
      </c>
      <c r="L16" s="9">
        <f>'Apr 2025'!AC19</f>
        <v>9944</v>
      </c>
      <c r="M16" s="9">
        <f>'Apr 2025'!AS19</f>
        <v>4</v>
      </c>
      <c r="N16" s="9">
        <f>'Apr 2025'!AE19*315</f>
        <v>312.00749999999999</v>
      </c>
      <c r="O16" s="139">
        <f>'Apr 2025'!AF19</f>
        <v>342</v>
      </c>
    </row>
    <row r="17" spans="1:15" x14ac:dyDescent="0.25">
      <c r="A17" s="26" t="s">
        <v>77</v>
      </c>
      <c r="B17" s="2">
        <f t="shared" si="0"/>
        <v>16</v>
      </c>
      <c r="C17" s="16">
        <v>4</v>
      </c>
      <c r="D17" s="2">
        <v>2025</v>
      </c>
      <c r="E17" s="9">
        <f>'Apr 2025'!C20</f>
        <v>7595</v>
      </c>
      <c r="F17" s="9">
        <f>'Apr 2025'!E20</f>
        <v>7106</v>
      </c>
      <c r="G17" s="9">
        <f>'Apr 2025'!G20</f>
        <v>124</v>
      </c>
      <c r="H17" s="9">
        <f>'Apr 2025'!K20</f>
        <v>96</v>
      </c>
      <c r="I17" s="9">
        <f>'Apr 2025'!N20</f>
        <v>20</v>
      </c>
      <c r="J17" s="9">
        <f>'Apr 2025'!P20</f>
        <v>18</v>
      </c>
      <c r="K17" s="9">
        <f>'Apr 2025'!X20</f>
        <v>7357.2399999999989</v>
      </c>
      <c r="L17" s="9">
        <f>'Apr 2025'!AC20</f>
        <v>9632</v>
      </c>
      <c r="M17" s="9">
        <f>'Apr 2025'!AS20</f>
        <v>6</v>
      </c>
      <c r="N17" s="9">
        <f>'Apr 2025'!AE20*315</f>
        <v>302.99849999999998</v>
      </c>
      <c r="O17" s="139">
        <f>'Apr 2025'!AF20</f>
        <v>357</v>
      </c>
    </row>
    <row r="18" spans="1:15" x14ac:dyDescent="0.25">
      <c r="A18" s="26" t="s">
        <v>77</v>
      </c>
      <c r="B18" s="2">
        <f t="shared" si="0"/>
        <v>17</v>
      </c>
      <c r="C18" s="16">
        <v>4</v>
      </c>
      <c r="D18" s="2">
        <v>2025</v>
      </c>
      <c r="E18" s="9">
        <f>'Apr 2025'!C21</f>
        <v>8310</v>
      </c>
      <c r="F18" s="9">
        <f>'Apr 2025'!E21</f>
        <v>7370</v>
      </c>
      <c r="G18" s="9">
        <f>'Apr 2025'!G21</f>
        <v>126</v>
      </c>
      <c r="H18" s="9">
        <f>'Apr 2025'!K21</f>
        <v>96</v>
      </c>
      <c r="I18" s="9">
        <f>'Apr 2025'!N21</f>
        <v>20</v>
      </c>
      <c r="J18" s="9">
        <f>'Apr 2025'!P21</f>
        <v>20</v>
      </c>
      <c r="K18" s="9">
        <f>'Apr 2025'!X21</f>
        <v>7126.2399999999989</v>
      </c>
      <c r="L18" s="9">
        <f>'Apr 2025'!AC21</f>
        <v>9401</v>
      </c>
      <c r="M18" s="9">
        <f>'Apr 2025'!AS21</f>
        <v>4</v>
      </c>
      <c r="N18" s="9">
        <f>'Apr 2025'!AE21*315</f>
        <v>285.98849999999999</v>
      </c>
      <c r="O18" s="139">
        <f>'Apr 2025'!AF21</f>
        <v>353</v>
      </c>
    </row>
    <row r="19" spans="1:15" x14ac:dyDescent="0.25">
      <c r="A19" s="26" t="s">
        <v>77</v>
      </c>
      <c r="B19" s="2">
        <f t="shared" si="0"/>
        <v>18</v>
      </c>
      <c r="C19" s="16">
        <v>4</v>
      </c>
      <c r="D19" s="2">
        <v>2025</v>
      </c>
      <c r="E19" s="9">
        <f>'Apr 2025'!C22</f>
        <v>8069</v>
      </c>
      <c r="F19" s="9">
        <f>'Apr 2025'!E22</f>
        <v>7704</v>
      </c>
      <c r="G19" s="9">
        <f>'Apr 2025'!G22</f>
        <v>124</v>
      </c>
      <c r="H19" s="9">
        <f>'Apr 2025'!K22</f>
        <v>111</v>
      </c>
      <c r="I19" s="9">
        <f>'Apr 2025'!N22</f>
        <v>20</v>
      </c>
      <c r="J19" s="9">
        <f>'Apr 2025'!P22</f>
        <v>22</v>
      </c>
      <c r="K19" s="9">
        <f>'Apr 2025'!X22</f>
        <v>7049.9299999999994</v>
      </c>
      <c r="L19" s="9">
        <f>'Apr 2025'!AC22</f>
        <v>8756</v>
      </c>
      <c r="M19" s="9">
        <f>'Apr 2025'!AS22</f>
        <v>4</v>
      </c>
      <c r="N19" s="9">
        <f>'Apr 2025'!AE22*315</f>
        <v>300.00600000000003</v>
      </c>
      <c r="O19" s="139">
        <f>'Apr 2025'!AF22</f>
        <v>398</v>
      </c>
    </row>
    <row r="20" spans="1:15" x14ac:dyDescent="0.25">
      <c r="A20" s="26" t="s">
        <v>77</v>
      </c>
      <c r="B20" s="2">
        <f t="shared" si="0"/>
        <v>19</v>
      </c>
      <c r="C20" s="16">
        <v>4</v>
      </c>
      <c r="D20" s="2">
        <v>2025</v>
      </c>
      <c r="E20" s="9">
        <f>'Apr 2025'!C23</f>
        <v>7910</v>
      </c>
      <c r="F20" s="9">
        <f>'Apr 2025'!E23</f>
        <v>7965</v>
      </c>
      <c r="G20" s="9">
        <f>'Apr 2025'!G23</f>
        <v>126</v>
      </c>
      <c r="H20" s="9">
        <f>'Apr 2025'!K23</f>
        <v>107</v>
      </c>
      <c r="I20" s="9">
        <f>'Apr 2025'!N23</f>
        <v>20</v>
      </c>
      <c r="J20" s="9">
        <f>'Apr 2025'!P23</f>
        <v>18</v>
      </c>
      <c r="K20" s="9">
        <f>'Apr 2025'!X23</f>
        <v>6347.93</v>
      </c>
      <c r="L20" s="9">
        <f>'Apr 2025'!AC23</f>
        <v>8054</v>
      </c>
      <c r="M20" s="9">
        <f>'Apr 2025'!AS23</f>
        <v>8</v>
      </c>
      <c r="N20" s="9">
        <f>'Apr 2025'!AE23*315</f>
        <v>293.01300000000003</v>
      </c>
      <c r="O20" s="139">
        <f>'Apr 2025'!AF23</f>
        <v>393</v>
      </c>
    </row>
    <row r="21" spans="1:15" x14ac:dyDescent="0.25">
      <c r="A21" s="26" t="s">
        <v>77</v>
      </c>
      <c r="B21" s="2">
        <f t="shared" si="0"/>
        <v>20</v>
      </c>
      <c r="C21" s="16">
        <v>4</v>
      </c>
      <c r="D21" s="2">
        <v>2025</v>
      </c>
      <c r="E21" s="9">
        <f>'Apr 2025'!C24</f>
        <v>7924</v>
      </c>
      <c r="F21" s="9">
        <f>'Apr 2025'!E24</f>
        <v>7095</v>
      </c>
      <c r="G21" s="9">
        <f>'Apr 2025'!G24</f>
        <v>123</v>
      </c>
      <c r="H21" s="9">
        <f>'Apr 2025'!K24</f>
        <v>107</v>
      </c>
      <c r="I21" s="9">
        <f>'Apr 2025'!N24</f>
        <v>20</v>
      </c>
      <c r="J21" s="9">
        <f>'Apr 2025'!P24</f>
        <v>17</v>
      </c>
      <c r="K21" s="9">
        <f>'Apr 2025'!X24</f>
        <v>6527.62</v>
      </c>
      <c r="L21" s="9">
        <f>'Apr 2025'!AC24</f>
        <v>7665</v>
      </c>
      <c r="M21" s="9">
        <f>'Apr 2025'!AS24</f>
        <v>7</v>
      </c>
      <c r="N21" s="9">
        <f>'Apr 2025'!AE24*315</f>
        <v>268.00200000000001</v>
      </c>
      <c r="O21" s="139">
        <f>'Apr 2025'!AF24</f>
        <v>342</v>
      </c>
    </row>
    <row r="22" spans="1:15" x14ac:dyDescent="0.25">
      <c r="A22" s="26" t="s">
        <v>77</v>
      </c>
      <c r="B22" s="2">
        <f t="shared" si="0"/>
        <v>21</v>
      </c>
      <c r="C22" s="16">
        <v>4</v>
      </c>
      <c r="D22" s="2">
        <v>2025</v>
      </c>
      <c r="E22" s="9">
        <f>'Apr 2025'!C25</f>
        <v>8022</v>
      </c>
      <c r="F22" s="9">
        <f>'Apr 2025'!E25</f>
        <v>7174</v>
      </c>
      <c r="G22" s="9">
        <f>'Apr 2025'!G25</f>
        <v>127</v>
      </c>
      <c r="H22" s="9">
        <f>'Apr 2025'!K25</f>
        <v>102</v>
      </c>
      <c r="I22" s="9">
        <f>'Apr 2025'!N25</f>
        <v>18</v>
      </c>
      <c r="J22" s="9">
        <f>'Apr 2025'!P25</f>
        <v>23</v>
      </c>
      <c r="K22" s="9">
        <f>'Apr 2025'!X25</f>
        <v>7082.585</v>
      </c>
      <c r="L22" s="9">
        <f>'Apr 2025'!AC25</f>
        <v>9073</v>
      </c>
      <c r="M22" s="9">
        <f>'Apr 2025'!AS25</f>
        <v>6</v>
      </c>
      <c r="N22" s="9">
        <f>'Apr 2025'!AE25*315</f>
        <v>246.9915</v>
      </c>
      <c r="O22" s="139">
        <f>'Apr 2025'!AF25</f>
        <v>315</v>
      </c>
    </row>
    <row r="23" spans="1:15" x14ac:dyDescent="0.25">
      <c r="A23" s="26" t="s">
        <v>77</v>
      </c>
      <c r="B23" s="2">
        <f t="shared" si="0"/>
        <v>22</v>
      </c>
      <c r="C23" s="16">
        <v>4</v>
      </c>
      <c r="D23" s="2">
        <v>2025</v>
      </c>
      <c r="E23" s="9">
        <f>'Apr 2025'!C26</f>
        <v>7925</v>
      </c>
      <c r="F23" s="9">
        <f>'Apr 2025'!E26</f>
        <v>7263</v>
      </c>
      <c r="G23" s="9">
        <f>'Apr 2025'!G26</f>
        <v>120</v>
      </c>
      <c r="H23" s="9">
        <f>'Apr 2025'!K26</f>
        <v>83</v>
      </c>
      <c r="I23" s="9">
        <f>'Apr 2025'!N26</f>
        <v>18</v>
      </c>
      <c r="J23" s="9">
        <f>'Apr 2025'!P26</f>
        <v>17</v>
      </c>
      <c r="K23" s="9">
        <f>'Apr 2025'!X26</f>
        <v>7624.2400000000007</v>
      </c>
      <c r="L23" s="9">
        <f>'Apr 2025'!AC26</f>
        <v>9899</v>
      </c>
      <c r="M23" s="9">
        <f>'Apr 2025'!AS26</f>
        <v>6</v>
      </c>
      <c r="N23" s="9">
        <f>'Apr 2025'!AE26*315</f>
        <v>264.00149999999996</v>
      </c>
      <c r="O23" s="139">
        <f>'Apr 2025'!AF26</f>
        <v>321</v>
      </c>
    </row>
    <row r="24" spans="1:15" x14ac:dyDescent="0.25">
      <c r="A24" s="26" t="s">
        <v>77</v>
      </c>
      <c r="B24" s="2">
        <f t="shared" si="0"/>
        <v>23</v>
      </c>
      <c r="C24" s="16">
        <v>4</v>
      </c>
      <c r="D24" s="2">
        <v>2025</v>
      </c>
      <c r="E24" s="9">
        <f>'Apr 2025'!C27</f>
        <v>7792</v>
      </c>
      <c r="F24" s="9">
        <f>'Apr 2025'!E27</f>
        <v>7317</v>
      </c>
      <c r="G24" s="9">
        <f>'Apr 2025'!G27</f>
        <v>118</v>
      </c>
      <c r="H24" s="9">
        <f>'Apr 2025'!K27</f>
        <v>101</v>
      </c>
      <c r="I24" s="9">
        <f>'Apr 2025'!N27</f>
        <v>18</v>
      </c>
      <c r="J24" s="9">
        <f>'Apr 2025'!P27</f>
        <v>14</v>
      </c>
      <c r="K24" s="9">
        <f>'Apr 2025'!X27</f>
        <v>7566.8950000000004</v>
      </c>
      <c r="L24" s="9">
        <f>'Apr 2025'!AC27</f>
        <v>10126</v>
      </c>
      <c r="M24" s="9">
        <f>'Apr 2025'!AS27</f>
        <v>6</v>
      </c>
      <c r="N24" s="9">
        <f>'Apr 2025'!AE27*315</f>
        <v>258.99299999999999</v>
      </c>
      <c r="O24" s="139">
        <f>'Apr 2025'!AF27</f>
        <v>331</v>
      </c>
    </row>
    <row r="25" spans="1:15" x14ac:dyDescent="0.25">
      <c r="A25" s="26" t="s">
        <v>77</v>
      </c>
      <c r="B25" s="2">
        <f t="shared" si="0"/>
        <v>24</v>
      </c>
      <c r="C25" s="16">
        <v>4</v>
      </c>
      <c r="D25" s="2">
        <v>2025</v>
      </c>
      <c r="E25" s="9">
        <f>'Apr 2025'!C28</f>
        <v>7984</v>
      </c>
      <c r="F25" s="9">
        <f>'Apr 2025'!E28</f>
        <v>7381</v>
      </c>
      <c r="G25" s="9">
        <f>'Apr 2025'!G28</f>
        <v>117</v>
      </c>
      <c r="H25" s="9">
        <f>'Apr 2025'!K28</f>
        <v>101</v>
      </c>
      <c r="I25" s="9">
        <f>'Apr 2025'!N28</f>
        <v>20</v>
      </c>
      <c r="J25" s="9">
        <f>'Apr 2025'!P28</f>
        <v>16</v>
      </c>
      <c r="K25" s="9">
        <f>'Apr 2025'!X28</f>
        <v>7849.2399999999989</v>
      </c>
      <c r="L25" s="9">
        <f>'Apr 2025'!AC28</f>
        <v>10124</v>
      </c>
      <c r="M25" s="9">
        <f>'Apr 2025'!AS28</f>
        <v>6</v>
      </c>
      <c r="N25" s="9">
        <f>'Apr 2025'!AE28*315</f>
        <v>268.00200000000001</v>
      </c>
      <c r="O25" s="139">
        <f>'Apr 2025'!AF28</f>
        <v>350</v>
      </c>
    </row>
    <row r="26" spans="1:15" x14ac:dyDescent="0.25">
      <c r="A26" s="26" t="s">
        <v>77</v>
      </c>
      <c r="B26" s="2">
        <f t="shared" si="0"/>
        <v>25</v>
      </c>
      <c r="C26" s="16">
        <v>4</v>
      </c>
      <c r="D26" s="2">
        <v>2025</v>
      </c>
      <c r="E26" s="9">
        <f>'Apr 2025'!C29</f>
        <v>7994</v>
      </c>
      <c r="F26" s="9">
        <f>'Apr 2025'!E29</f>
        <v>7308</v>
      </c>
      <c r="G26" s="9">
        <f>'Apr 2025'!G29</f>
        <v>113</v>
      </c>
      <c r="H26" s="9">
        <f>'Apr 2025'!K29</f>
        <v>104</v>
      </c>
      <c r="I26" s="9">
        <f>'Apr 2025'!N29</f>
        <v>20</v>
      </c>
      <c r="J26" s="9">
        <f>'Apr 2025'!P29</f>
        <v>16</v>
      </c>
      <c r="K26" s="9">
        <f>'Apr 2025'!X29</f>
        <v>8122.24</v>
      </c>
      <c r="L26" s="9">
        <f>'Apr 2025'!AC29</f>
        <v>10397</v>
      </c>
      <c r="M26" s="9">
        <f>'Apr 2025'!AS29</f>
        <v>7</v>
      </c>
      <c r="N26" s="9">
        <f>'Apr 2025'!AE29*315</f>
        <v>300.00600000000003</v>
      </c>
      <c r="O26" s="139">
        <f>'Apr 2025'!AF29</f>
        <v>404</v>
      </c>
    </row>
    <row r="27" spans="1:15" x14ac:dyDescent="0.25">
      <c r="A27" s="26" t="s">
        <v>77</v>
      </c>
      <c r="B27" s="2">
        <f t="shared" si="0"/>
        <v>26</v>
      </c>
      <c r="C27" s="16">
        <v>4</v>
      </c>
      <c r="D27" s="2">
        <v>2025</v>
      </c>
      <c r="E27" s="9">
        <f>'Apr 2025'!C30</f>
        <v>7911</v>
      </c>
      <c r="F27" s="9">
        <f>'Apr 2025'!E30</f>
        <v>6887</v>
      </c>
      <c r="G27" s="9">
        <f>'Apr 2025'!G30</f>
        <v>119</v>
      </c>
      <c r="H27" s="9">
        <f>'Apr 2025'!K30</f>
        <v>111</v>
      </c>
      <c r="I27" s="9">
        <f>'Apr 2025'!N30</f>
        <v>19</v>
      </c>
      <c r="J27" s="9">
        <f>'Apr 2025'!P30</f>
        <v>10</v>
      </c>
      <c r="K27" s="9">
        <f>'Apr 2025'!X30</f>
        <v>7645.5850000000009</v>
      </c>
      <c r="L27" s="9">
        <f>'Apr 2025'!AC30</f>
        <v>9636</v>
      </c>
      <c r="M27" s="9">
        <f>'Apr 2025'!AS30</f>
        <v>7</v>
      </c>
      <c r="N27" s="9">
        <f>'Apr 2025'!AE30*315</f>
        <v>300.00600000000003</v>
      </c>
      <c r="O27" s="139">
        <f>'Apr 2025'!AF30</f>
        <v>395</v>
      </c>
    </row>
    <row r="28" spans="1:15" x14ac:dyDescent="0.25">
      <c r="A28" s="26" t="s">
        <v>77</v>
      </c>
      <c r="B28" s="2">
        <f t="shared" si="0"/>
        <v>27</v>
      </c>
      <c r="C28" s="16">
        <v>4</v>
      </c>
      <c r="D28" s="2">
        <v>2025</v>
      </c>
      <c r="E28" s="9">
        <f>'Apr 2025'!C31</f>
        <v>7752</v>
      </c>
      <c r="F28" s="9">
        <f>'Apr 2025'!E31</f>
        <v>7371</v>
      </c>
      <c r="G28" s="9">
        <f>'Apr 2025'!G31</f>
        <v>120</v>
      </c>
      <c r="H28" s="9">
        <f>'Apr 2025'!K31</f>
        <v>110</v>
      </c>
      <c r="I28" s="9">
        <f>'Apr 2025'!N31</f>
        <v>18</v>
      </c>
      <c r="J28" s="9">
        <f>'Apr 2025'!P31</f>
        <v>17</v>
      </c>
      <c r="K28" s="9">
        <f>'Apr 2025'!X31</f>
        <v>8294.24</v>
      </c>
      <c r="L28" s="9">
        <f>'Apr 2025'!AC31</f>
        <v>10569</v>
      </c>
      <c r="M28" s="9">
        <f>'Apr 2025'!AS31</f>
        <v>7</v>
      </c>
      <c r="N28" s="9">
        <f>'Apr 2025'!AE31*315</f>
        <v>304.00649999999996</v>
      </c>
      <c r="O28" s="139">
        <f>'Apr 2025'!AF31</f>
        <v>369</v>
      </c>
    </row>
    <row r="29" spans="1:15" x14ac:dyDescent="0.25">
      <c r="A29" s="26" t="s">
        <v>77</v>
      </c>
      <c r="B29" s="2">
        <f t="shared" si="0"/>
        <v>28</v>
      </c>
      <c r="C29" s="16">
        <v>4</v>
      </c>
      <c r="D29" s="2">
        <v>2025</v>
      </c>
      <c r="E29" s="9">
        <f>'Apr 2025'!C32</f>
        <v>7891</v>
      </c>
      <c r="F29" s="9">
        <f>'Apr 2025'!E32</f>
        <v>7402</v>
      </c>
      <c r="G29" s="9">
        <f>'Apr 2025'!G32</f>
        <v>120</v>
      </c>
      <c r="H29" s="9">
        <f>'Apr 2025'!K32</f>
        <v>103</v>
      </c>
      <c r="I29" s="9">
        <f>'Apr 2025'!N32</f>
        <v>19</v>
      </c>
      <c r="J29" s="9">
        <f>'Apr 2025'!P32</f>
        <v>13</v>
      </c>
      <c r="K29" s="9">
        <f>'Apr 2025'!X32</f>
        <v>8446.5499999999993</v>
      </c>
      <c r="L29" s="9">
        <f>'Apr 2025'!AC32</f>
        <v>11290</v>
      </c>
      <c r="M29" s="9">
        <f>'Apr 2025'!AS32</f>
        <v>8</v>
      </c>
      <c r="N29" s="9">
        <f>'Apr 2025'!AE32*315</f>
        <v>310.99950000000001</v>
      </c>
      <c r="O29" s="139">
        <f>'Apr 2025'!AF32</f>
        <v>390</v>
      </c>
    </row>
    <row r="30" spans="1:15" x14ac:dyDescent="0.25">
      <c r="A30" s="26" t="s">
        <v>77</v>
      </c>
      <c r="B30" s="2">
        <f t="shared" si="0"/>
        <v>29</v>
      </c>
      <c r="C30" s="16">
        <v>4</v>
      </c>
      <c r="D30" s="2">
        <v>2025</v>
      </c>
      <c r="E30" s="9">
        <f>'Apr 2025'!C33</f>
        <v>7907</v>
      </c>
      <c r="F30" s="9">
        <f>'Apr 2025'!E33</f>
        <v>7424</v>
      </c>
      <c r="G30" s="9">
        <f>'Apr 2025'!G33</f>
        <v>120</v>
      </c>
      <c r="H30" s="9">
        <f>'Apr 2025'!K33</f>
        <v>92</v>
      </c>
      <c r="I30" s="9">
        <f>'Apr 2025'!N33</f>
        <v>18</v>
      </c>
      <c r="J30" s="9">
        <f>'Apr 2025'!P33</f>
        <v>18</v>
      </c>
      <c r="K30" s="9">
        <f>'Apr 2025'!X33</f>
        <v>8541.5499999999993</v>
      </c>
      <c r="L30" s="9">
        <f>'Apr 2025'!AC33</f>
        <v>11385</v>
      </c>
      <c r="M30" s="9">
        <f>'Apr 2025'!AS33</f>
        <v>8</v>
      </c>
      <c r="N30" s="9">
        <f>'Apr 2025'!AE33*315</f>
        <v>310.99950000000001</v>
      </c>
      <c r="O30" s="139">
        <f>'Apr 2025'!AF33</f>
        <v>377</v>
      </c>
    </row>
    <row r="31" spans="1:15" x14ac:dyDescent="0.25">
      <c r="A31" s="26" t="s">
        <v>77</v>
      </c>
      <c r="B31" s="2">
        <f t="shared" si="0"/>
        <v>30</v>
      </c>
      <c r="C31" s="16">
        <v>4</v>
      </c>
      <c r="D31" s="2">
        <v>2025</v>
      </c>
      <c r="E31" s="9">
        <f>'Apr 2025'!C34</f>
        <v>7820</v>
      </c>
      <c r="F31" s="9">
        <f>'Apr 2025'!E34</f>
        <v>7199</v>
      </c>
      <c r="G31" s="9">
        <f>'Apr 2025'!G34</f>
        <v>119</v>
      </c>
      <c r="H31" s="9">
        <f>'Apr 2025'!K34</f>
        <v>97</v>
      </c>
      <c r="I31" s="9">
        <f>'Apr 2025'!N34</f>
        <v>18</v>
      </c>
      <c r="J31" s="9">
        <f>'Apr 2025'!P34</f>
        <v>15</v>
      </c>
      <c r="K31" s="9">
        <f>'Apr 2025'!X34</f>
        <v>8586.8950000000004</v>
      </c>
      <c r="L31" s="9">
        <f>'Apr 2025'!AC34</f>
        <v>11146</v>
      </c>
      <c r="M31" s="9">
        <f>'Apr 2025'!AS34</f>
        <v>8</v>
      </c>
      <c r="N31" s="9">
        <f>'Apr 2025'!AE34*315</f>
        <v>301.9905</v>
      </c>
      <c r="O31" s="139">
        <f>'Apr 2025'!AF34</f>
        <v>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3F6E-A87E-4C07-B813-B946DE101C22}">
  <sheetPr>
    <pageSetUpPr fitToPage="1"/>
  </sheetPr>
  <dimension ref="A1:FI76"/>
  <sheetViews>
    <sheetView view="pageBreakPreview" topLeftCell="B1" zoomScale="80" zoomScaleNormal="80" zoomScaleSheetLayoutView="80" workbookViewId="0">
      <pane ySplit="4" topLeftCell="A5" activePane="bottomLeft" state="frozen"/>
      <selection pane="bottomLeft" activeCell="M16" sqref="M16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52" s="4" customFormat="1" ht="24.95" customHeight="1" thickBot="1" x14ac:dyDescent="0.3">
      <c r="A1" s="325" t="s">
        <v>104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326"/>
      <c r="R1" s="326"/>
      <c r="S1" s="326"/>
      <c r="T1" s="326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148"/>
      <c r="AG1" s="148"/>
      <c r="AH1" s="148"/>
    </row>
    <row r="2" spans="1:52" s="6" customFormat="1" ht="24.95" customHeight="1" thickBot="1" x14ac:dyDescent="0.35">
      <c r="A2" s="327" t="s">
        <v>0</v>
      </c>
      <c r="B2" s="330" t="s">
        <v>3</v>
      </c>
      <c r="C2" s="331"/>
      <c r="D2" s="331"/>
      <c r="E2" s="331"/>
      <c r="F2" s="331"/>
      <c r="G2" s="331"/>
      <c r="H2" s="331"/>
      <c r="I2" s="332"/>
      <c r="J2" s="333" t="s">
        <v>4</v>
      </c>
      <c r="K2" s="334"/>
      <c r="L2" s="334"/>
      <c r="M2" s="335" t="s">
        <v>49</v>
      </c>
      <c r="N2" s="336"/>
      <c r="O2" s="336"/>
      <c r="P2" s="336"/>
      <c r="Q2" s="336"/>
      <c r="R2" s="336"/>
      <c r="S2" s="336"/>
      <c r="T2" s="336"/>
      <c r="U2" s="337"/>
      <c r="V2" s="338" t="s">
        <v>2</v>
      </c>
      <c r="W2" s="339"/>
      <c r="X2" s="339"/>
      <c r="Y2" s="339"/>
      <c r="Z2" s="339"/>
      <c r="AA2" s="339"/>
      <c r="AB2" s="339"/>
      <c r="AC2" s="339"/>
      <c r="AD2" s="340"/>
      <c r="AE2" s="304" t="s">
        <v>17</v>
      </c>
      <c r="AF2" s="306"/>
      <c r="AG2" s="304" t="s">
        <v>55</v>
      </c>
      <c r="AH2" s="305"/>
      <c r="AI2" s="305"/>
      <c r="AJ2" s="305"/>
      <c r="AK2" s="305"/>
      <c r="AL2" s="305"/>
      <c r="AM2" s="305"/>
      <c r="AN2" s="305"/>
      <c r="AO2" s="305"/>
      <c r="AP2" s="305"/>
      <c r="AQ2" s="305"/>
      <c r="AR2" s="305"/>
      <c r="AS2" s="305"/>
      <c r="AT2" s="305"/>
      <c r="AU2" s="305"/>
      <c r="AV2" s="305"/>
      <c r="AW2" s="305"/>
      <c r="AX2" s="305"/>
      <c r="AY2" s="305"/>
      <c r="AZ2" s="306"/>
    </row>
    <row r="3" spans="1:52" s="5" customFormat="1" ht="36.75" customHeight="1" x14ac:dyDescent="0.25">
      <c r="A3" s="328"/>
      <c r="B3" s="307" t="s">
        <v>36</v>
      </c>
      <c r="C3" s="308"/>
      <c r="D3" s="309" t="s">
        <v>37</v>
      </c>
      <c r="E3" s="310"/>
      <c r="F3" s="309" t="s">
        <v>38</v>
      </c>
      <c r="G3" s="310"/>
      <c r="H3" s="308" t="s">
        <v>20</v>
      </c>
      <c r="I3" s="312" t="s">
        <v>7</v>
      </c>
      <c r="J3" s="314" t="s">
        <v>21</v>
      </c>
      <c r="K3" s="316" t="s">
        <v>22</v>
      </c>
      <c r="L3" s="318" t="s">
        <v>6</v>
      </c>
      <c r="M3" s="320" t="s">
        <v>34</v>
      </c>
      <c r="N3" s="300"/>
      <c r="O3" s="300" t="s">
        <v>35</v>
      </c>
      <c r="P3" s="300"/>
      <c r="Q3" s="300" t="s">
        <v>39</v>
      </c>
      <c r="R3" s="300" t="s">
        <v>32</v>
      </c>
      <c r="S3" s="300" t="s">
        <v>33</v>
      </c>
      <c r="T3" s="302" t="s">
        <v>18</v>
      </c>
      <c r="U3" s="341" t="s">
        <v>31</v>
      </c>
      <c r="V3" s="343" t="s">
        <v>23</v>
      </c>
      <c r="W3" s="296" t="s">
        <v>8</v>
      </c>
      <c r="X3" s="296" t="s">
        <v>9</v>
      </c>
      <c r="Y3" s="296" t="s">
        <v>10</v>
      </c>
      <c r="Z3" s="296" t="s">
        <v>11</v>
      </c>
      <c r="AA3" s="296" t="s">
        <v>12</v>
      </c>
      <c r="AB3" s="296" t="s">
        <v>92</v>
      </c>
      <c r="AC3" s="296" t="s">
        <v>93</v>
      </c>
      <c r="AD3" s="298" t="s">
        <v>96</v>
      </c>
      <c r="AE3" s="292" t="s">
        <v>59</v>
      </c>
      <c r="AF3" s="294" t="s">
        <v>19</v>
      </c>
      <c r="AG3" s="322" t="s">
        <v>94</v>
      </c>
      <c r="AH3" s="323"/>
      <c r="AI3" s="321" t="s">
        <v>60</v>
      </c>
      <c r="AJ3" s="322"/>
      <c r="AK3" s="323"/>
      <c r="AL3" s="324" t="s">
        <v>61</v>
      </c>
      <c r="AM3" s="322"/>
      <c r="AN3" s="323"/>
      <c r="AO3" s="321" t="s">
        <v>62</v>
      </c>
      <c r="AP3" s="322"/>
      <c r="AQ3" s="323"/>
      <c r="AR3" s="321" t="s">
        <v>63</v>
      </c>
      <c r="AS3" s="322"/>
      <c r="AT3" s="323"/>
      <c r="AU3" s="321" t="s">
        <v>65</v>
      </c>
      <c r="AV3" s="322"/>
      <c r="AW3" s="323"/>
      <c r="AX3" s="322" t="s">
        <v>64</v>
      </c>
      <c r="AY3" s="322"/>
      <c r="AZ3" s="323"/>
    </row>
    <row r="4" spans="1:52" s="5" customFormat="1" ht="36.75" customHeight="1" thickBot="1" x14ac:dyDescent="0.3">
      <c r="A4" s="329"/>
      <c r="B4" s="104" t="s">
        <v>1</v>
      </c>
      <c r="C4" s="44" t="s">
        <v>5</v>
      </c>
      <c r="D4" s="44" t="s">
        <v>1</v>
      </c>
      <c r="E4" s="44" t="s">
        <v>5</v>
      </c>
      <c r="F4" s="44" t="s">
        <v>1</v>
      </c>
      <c r="G4" s="105" t="s">
        <v>5</v>
      </c>
      <c r="H4" s="311"/>
      <c r="I4" s="313"/>
      <c r="J4" s="315"/>
      <c r="K4" s="317"/>
      <c r="L4" s="319"/>
      <c r="M4" s="106" t="s">
        <v>1</v>
      </c>
      <c r="N4" s="46" t="s">
        <v>5</v>
      </c>
      <c r="O4" s="46" t="s">
        <v>1</v>
      </c>
      <c r="P4" s="46" t="s">
        <v>5</v>
      </c>
      <c r="Q4" s="301"/>
      <c r="R4" s="301"/>
      <c r="S4" s="301"/>
      <c r="T4" s="303"/>
      <c r="U4" s="342"/>
      <c r="V4" s="344"/>
      <c r="W4" s="297"/>
      <c r="X4" s="297"/>
      <c r="Y4" s="297"/>
      <c r="Z4" s="297"/>
      <c r="AA4" s="297"/>
      <c r="AB4" s="297"/>
      <c r="AC4" s="297"/>
      <c r="AD4" s="299"/>
      <c r="AE4" s="293"/>
      <c r="AF4" s="295"/>
      <c r="AG4" s="154" t="s">
        <v>57</v>
      </c>
      <c r="AH4" s="153" t="s">
        <v>95</v>
      </c>
      <c r="AI4" s="152" t="s">
        <v>57</v>
      </c>
      <c r="AJ4" s="153" t="s">
        <v>58</v>
      </c>
      <c r="AK4" s="142" t="s">
        <v>13</v>
      </c>
      <c r="AL4" s="153" t="s">
        <v>57</v>
      </c>
      <c r="AM4" s="153" t="s">
        <v>58</v>
      </c>
      <c r="AN4" s="142" t="s">
        <v>13</v>
      </c>
      <c r="AO4" s="152" t="s">
        <v>57</v>
      </c>
      <c r="AP4" s="153" t="s">
        <v>58</v>
      </c>
      <c r="AQ4" s="142" t="s">
        <v>13</v>
      </c>
      <c r="AR4" s="152" t="s">
        <v>57</v>
      </c>
      <c r="AS4" s="153" t="s">
        <v>56</v>
      </c>
      <c r="AT4" s="142" t="s">
        <v>13</v>
      </c>
      <c r="AU4" s="152" t="s">
        <v>57</v>
      </c>
      <c r="AV4" s="153" t="s">
        <v>56</v>
      </c>
      <c r="AW4" s="142" t="s">
        <v>13</v>
      </c>
      <c r="AX4" s="154" t="s">
        <v>57</v>
      </c>
      <c r="AY4" s="153" t="s">
        <v>56</v>
      </c>
      <c r="AZ4" s="142" t="s">
        <v>13</v>
      </c>
    </row>
    <row r="5" spans="1:52" s="3" customFormat="1" ht="27.95" customHeight="1" x14ac:dyDescent="0.25">
      <c r="A5" s="98">
        <v>45717</v>
      </c>
      <c r="B5" s="91">
        <v>21721732</v>
      </c>
      <c r="C5" s="97">
        <v>7905</v>
      </c>
      <c r="D5" s="89">
        <v>22406884</v>
      </c>
      <c r="E5" s="97">
        <v>7542</v>
      </c>
      <c r="F5" s="89">
        <v>496217</v>
      </c>
      <c r="G5" s="97">
        <v>127</v>
      </c>
      <c r="H5" s="99">
        <f t="shared" ref="H5:H34" si="0">C5+E5+G5</f>
        <v>15574</v>
      </c>
      <c r="I5" s="100">
        <f t="shared" ref="I5:I34" si="1">H5*0.2</f>
        <v>3114.8</v>
      </c>
      <c r="J5" s="91">
        <v>114963</v>
      </c>
      <c r="K5" s="97">
        <v>87</v>
      </c>
      <c r="L5" s="101">
        <f t="shared" ref="L5:L34" si="2">K5*7.84</f>
        <v>682.08</v>
      </c>
      <c r="M5" s="88">
        <v>42392</v>
      </c>
      <c r="N5" s="97">
        <v>18</v>
      </c>
      <c r="O5" s="89">
        <v>25649</v>
      </c>
      <c r="P5" s="102">
        <v>14</v>
      </c>
      <c r="Q5" s="92">
        <f>N5+P5</f>
        <v>32</v>
      </c>
      <c r="R5" s="93">
        <v>63960</v>
      </c>
      <c r="S5" s="102">
        <v>32</v>
      </c>
      <c r="T5" s="102">
        <f>S5*1.0557</f>
        <v>33.782400000000003</v>
      </c>
      <c r="U5" s="101">
        <f>IF(ISBLANK(M5),"0",T5*11.05+216.66)</f>
        <v>589.95552000000009</v>
      </c>
      <c r="V5" s="185">
        <v>78633</v>
      </c>
      <c r="W5" s="138">
        <v>28</v>
      </c>
      <c r="X5" s="186">
        <f>(AD5-AH5)*284.345</f>
        <v>6458.2749999999996</v>
      </c>
      <c r="Y5" s="186">
        <f>(AD5-AH5)*284.345*0.3449</f>
        <v>2227.4590475</v>
      </c>
      <c r="Z5" s="186">
        <f>IF(ISBLANK(V5),"0",1570*1608.73/12/30*0.65)</f>
        <v>4560.3026805555555</v>
      </c>
      <c r="AA5" s="187">
        <f>Y5+Z5</f>
        <v>6787.7617280555551</v>
      </c>
      <c r="AB5" s="188">
        <v>1371537</v>
      </c>
      <c r="AC5" s="213">
        <v>7880</v>
      </c>
      <c r="AD5" s="210">
        <f>IF(ISBLANK(V5),"0 ",AC5/284.345)</f>
        <v>27.712813659462974</v>
      </c>
      <c r="AE5" s="172">
        <v>0.63490000000000002</v>
      </c>
      <c r="AF5" s="103">
        <v>285</v>
      </c>
      <c r="AG5" s="173">
        <v>21059</v>
      </c>
      <c r="AH5" s="189">
        <v>5</v>
      </c>
      <c r="AI5" s="88">
        <v>15224395</v>
      </c>
      <c r="AJ5" s="138">
        <v>4514</v>
      </c>
      <c r="AK5" s="151">
        <f>AJ5*0.2</f>
        <v>902.80000000000007</v>
      </c>
      <c r="AL5" s="88">
        <v>6966464</v>
      </c>
      <c r="AM5" s="138">
        <v>2114</v>
      </c>
      <c r="AN5" s="151">
        <f>AM5*0.2</f>
        <v>422.8</v>
      </c>
      <c r="AO5" s="91">
        <v>262705</v>
      </c>
      <c r="AP5" s="97">
        <v>564</v>
      </c>
      <c r="AQ5" s="94">
        <f>AP5*0.2</f>
        <v>112.80000000000001</v>
      </c>
      <c r="AR5" s="91">
        <v>9019</v>
      </c>
      <c r="AS5" s="97">
        <v>4</v>
      </c>
      <c r="AT5" s="139">
        <f>AS5*7.84</f>
        <v>31.36</v>
      </c>
      <c r="AU5" s="88">
        <v>3373</v>
      </c>
      <c r="AV5" s="97">
        <v>1</v>
      </c>
      <c r="AW5" s="103">
        <f>AV5*7.84</f>
        <v>7.84</v>
      </c>
      <c r="AX5" s="145">
        <v>208</v>
      </c>
      <c r="AY5" s="97">
        <v>1</v>
      </c>
      <c r="AZ5" s="103">
        <f>AY5*7.84</f>
        <v>7.84</v>
      </c>
    </row>
    <row r="6" spans="1:52" s="3" customFormat="1" ht="27.95" customHeight="1" x14ac:dyDescent="0.25">
      <c r="A6" s="98">
        <v>45718</v>
      </c>
      <c r="B6" s="91">
        <v>21729655</v>
      </c>
      <c r="C6" s="89">
        <f t="shared" ref="C6:C34" si="3">IF(ISBLANK(B6),"0",B6-B5)</f>
        <v>7923</v>
      </c>
      <c r="D6" s="89">
        <v>22414095</v>
      </c>
      <c r="E6" s="89">
        <f t="shared" ref="E6:E34" si="4">IF(ISBLANK(D6),"0",D6-D5)</f>
        <v>7211</v>
      </c>
      <c r="F6" s="89">
        <v>496344</v>
      </c>
      <c r="G6" s="89">
        <f>IF(ISBLANK(F6),"0",F6-F5)</f>
        <v>127</v>
      </c>
      <c r="H6" s="90">
        <f t="shared" si="0"/>
        <v>15261</v>
      </c>
      <c r="I6" s="109">
        <f t="shared" si="1"/>
        <v>3052.2000000000003</v>
      </c>
      <c r="J6" s="91">
        <v>115055</v>
      </c>
      <c r="K6" s="89">
        <f>IF(ISBLANK(J6),"0",J6-J5)</f>
        <v>92</v>
      </c>
      <c r="L6" s="75">
        <f t="shared" si="2"/>
        <v>721.28</v>
      </c>
      <c r="M6" s="88">
        <v>42409</v>
      </c>
      <c r="N6" s="89">
        <f>IF(ISBLANK(M6),"0",M6-M5)</f>
        <v>17</v>
      </c>
      <c r="O6" s="89">
        <v>25663</v>
      </c>
      <c r="P6" s="92">
        <f>IF(ISBLANK(O6),"0",O6-O5)</f>
        <v>14</v>
      </c>
      <c r="Q6" s="92">
        <f t="shared" ref="Q6:Q34" si="5">N6+P6</f>
        <v>31</v>
      </c>
      <c r="R6" s="93">
        <v>63991</v>
      </c>
      <c r="S6" s="92">
        <f>IF(ISBLANK(R6),"0",R6-R5)</f>
        <v>31</v>
      </c>
      <c r="T6" s="102">
        <f t="shared" ref="T6:T34" si="6">S6*1.0557</f>
        <v>32.726700000000001</v>
      </c>
      <c r="U6" s="101">
        <f t="shared" ref="U6:U34" si="7">IF(ISBLANK(M6),"0",T6*11.05+216.66)</f>
        <v>578.29003499999999</v>
      </c>
      <c r="V6" s="143">
        <v>78659</v>
      </c>
      <c r="W6" s="190">
        <f>IF(ISBLANK(V6),"0",V6-V5)</f>
        <v>26</v>
      </c>
      <c r="X6" s="191">
        <f t="shared" ref="X6:X34" si="8">(AD6-AH6)*284.345</f>
        <v>6522.9299999999994</v>
      </c>
      <c r="Y6" s="191">
        <f>(AD6-AH6)*284.345*0.3449</f>
        <v>2249.7585569999997</v>
      </c>
      <c r="Z6" s="191">
        <f>IF(ISBLANK(V6),"0",1570*1608.73/12/30*0.65)</f>
        <v>4560.3026805555555</v>
      </c>
      <c r="AA6" s="192">
        <f t="shared" ref="AA6:AA34" si="9">Y6+Z6</f>
        <v>6810.0612375555556</v>
      </c>
      <c r="AB6" s="93">
        <v>1379766</v>
      </c>
      <c r="AC6" s="214">
        <f t="shared" ref="AC6:AC34" si="10">IF(ISBLANK(AB6),"0 ",AB6-AB5)</f>
        <v>8229</v>
      </c>
      <c r="AD6" s="211">
        <f t="shared" ref="AD6:AD34" si="11">IF(ISBLANK(V6),"0 ",AC6/284.345)</f>
        <v>28.940195888797057</v>
      </c>
      <c r="AE6" s="174">
        <v>0.83809999999999996</v>
      </c>
      <c r="AF6" s="94">
        <v>338</v>
      </c>
      <c r="AG6" s="175">
        <v>21065</v>
      </c>
      <c r="AH6" s="140">
        <f>IF(ISBLANK(V6),"0 ",AG6-AG5)</f>
        <v>6</v>
      </c>
      <c r="AI6" s="88">
        <v>15229888</v>
      </c>
      <c r="AJ6" s="89">
        <f>IF(ISBLANK(AI6),"0",AI6-AI5)</f>
        <v>5493</v>
      </c>
      <c r="AK6" s="94">
        <f>AJ6*0.2</f>
        <v>1098.6000000000001</v>
      </c>
      <c r="AL6" s="88">
        <v>6968699</v>
      </c>
      <c r="AM6" s="89">
        <f>IF(ISBLANK(AL6),"0",AL6-AL5)</f>
        <v>2235</v>
      </c>
      <c r="AN6" s="94">
        <f>AM6*0.2</f>
        <v>447</v>
      </c>
      <c r="AO6" s="91">
        <v>263109</v>
      </c>
      <c r="AP6" s="89">
        <f>IF(ISBLANK(AO6),"0",AO6-AO5)</f>
        <v>404</v>
      </c>
      <c r="AQ6" s="94">
        <f>AP6*0.2</f>
        <v>80.800000000000011</v>
      </c>
      <c r="AR6" s="91">
        <v>9026</v>
      </c>
      <c r="AS6" s="89">
        <f>IF(ISBLANK(AR6),"0",AR6-AR5)</f>
        <v>7</v>
      </c>
      <c r="AT6" s="140">
        <f>AS6*7.84</f>
        <v>54.879999999999995</v>
      </c>
      <c r="AU6" s="88">
        <v>3374</v>
      </c>
      <c r="AV6" s="89">
        <f>IF(ISBLANK(AU6),"0",AU6-AU5)</f>
        <v>1</v>
      </c>
      <c r="AW6" s="94">
        <f t="shared" ref="AW6:AW34" si="12">AV6*7.84</f>
        <v>7.84</v>
      </c>
      <c r="AX6" s="88">
        <v>209</v>
      </c>
      <c r="AY6" s="89">
        <f>IF(ISBLANK(AX6),"0",AX6-AX5)</f>
        <v>1</v>
      </c>
      <c r="AZ6" s="94">
        <f>AY6*7.84</f>
        <v>7.84</v>
      </c>
    </row>
    <row r="7" spans="1:52" s="3" customFormat="1" ht="27.95" customHeight="1" x14ac:dyDescent="0.25">
      <c r="A7" s="98">
        <v>45719</v>
      </c>
      <c r="B7" s="91">
        <v>21737818</v>
      </c>
      <c r="C7" s="89">
        <f t="shared" si="3"/>
        <v>8163</v>
      </c>
      <c r="D7" s="89">
        <v>22421471</v>
      </c>
      <c r="E7" s="89">
        <f t="shared" si="4"/>
        <v>7376</v>
      </c>
      <c r="F7" s="89">
        <v>496466</v>
      </c>
      <c r="G7" s="89">
        <f t="shared" ref="G7:G34" si="13">IF(ISBLANK(F7),"0",F7-F6)</f>
        <v>122</v>
      </c>
      <c r="H7" s="90">
        <f t="shared" si="0"/>
        <v>15661</v>
      </c>
      <c r="I7" s="109">
        <f t="shared" si="1"/>
        <v>3132.2000000000003</v>
      </c>
      <c r="J7" s="91">
        <v>115161</v>
      </c>
      <c r="K7" s="89">
        <f t="shared" ref="K7:K34" si="14">IF(ISBLANK(J7),"0",J7-J6)</f>
        <v>106</v>
      </c>
      <c r="L7" s="75">
        <f t="shared" si="2"/>
        <v>831.04</v>
      </c>
      <c r="M7" s="88">
        <v>42427</v>
      </c>
      <c r="N7" s="89">
        <f t="shared" ref="N7:N34" si="15">IF(ISBLANK(M7),"0",M7-M6)</f>
        <v>18</v>
      </c>
      <c r="O7" s="89">
        <v>25673</v>
      </c>
      <c r="P7" s="92">
        <f t="shared" ref="P7:P34" si="16">IF(ISBLANK(O7),"0",O7-O6)</f>
        <v>10</v>
      </c>
      <c r="Q7" s="92">
        <f t="shared" si="5"/>
        <v>28</v>
      </c>
      <c r="R7" s="93">
        <v>64018</v>
      </c>
      <c r="S7" s="92">
        <f t="shared" ref="S7:S34" si="17">IF(ISBLANK(R7),"0",R7-R6)</f>
        <v>27</v>
      </c>
      <c r="T7" s="102">
        <f t="shared" si="6"/>
        <v>28.503900000000002</v>
      </c>
      <c r="U7" s="101">
        <f t="shared" si="7"/>
        <v>531.62809500000003</v>
      </c>
      <c r="V7" s="143">
        <v>78689</v>
      </c>
      <c r="W7" s="190">
        <f t="shared" ref="W7:W34" si="18">IF(ISBLANK(V7),"0",V7-V6)</f>
        <v>30</v>
      </c>
      <c r="X7" s="191">
        <f t="shared" si="8"/>
        <v>7184.9299999999994</v>
      </c>
      <c r="Y7" s="191">
        <f t="shared" ref="Y7:Y34" si="19">(AD7-AH7)*284.345*0.3449</f>
        <v>2478.0823569999998</v>
      </c>
      <c r="Z7" s="191">
        <f t="shared" ref="Z7:Z34" si="20">IF(ISBLANK(V7),"0",1570*1608.73/12/30*0.65)</f>
        <v>4560.3026805555555</v>
      </c>
      <c r="AA7" s="192">
        <f t="shared" si="9"/>
        <v>7038.3850375555558</v>
      </c>
      <c r="AB7" s="93">
        <v>1388657</v>
      </c>
      <c r="AC7" s="214">
        <f t="shared" si="10"/>
        <v>8891</v>
      </c>
      <c r="AD7" s="212">
        <f t="shared" si="11"/>
        <v>31.268353584553971</v>
      </c>
      <c r="AE7" s="174">
        <v>0.82540000000000002</v>
      </c>
      <c r="AF7" s="94">
        <v>332</v>
      </c>
      <c r="AG7" s="175">
        <v>21071</v>
      </c>
      <c r="AH7" s="140">
        <f t="shared" ref="AH7:AH34" si="21">IF(ISBLANK(V7),"0 ",AG7-AG6)</f>
        <v>6</v>
      </c>
      <c r="AI7" s="88">
        <v>15235480</v>
      </c>
      <c r="AJ7" s="89">
        <f t="shared" ref="AJ7:AJ34" si="22">IF(ISBLANK(AI7),"0",AI7-AI6)</f>
        <v>5592</v>
      </c>
      <c r="AK7" s="94">
        <f t="shared" ref="AK7:AK34" si="23">AJ7*0.2</f>
        <v>1118.4000000000001</v>
      </c>
      <c r="AL7" s="88">
        <v>6970944</v>
      </c>
      <c r="AM7" s="89">
        <f t="shared" ref="AM7:AM34" si="24">IF(ISBLANK(AL7),"0",AL7-AL6)</f>
        <v>2245</v>
      </c>
      <c r="AN7" s="94">
        <f t="shared" ref="AN7:AN34" si="25">AM7*0.2</f>
        <v>449</v>
      </c>
      <c r="AO7" s="91">
        <v>263564</v>
      </c>
      <c r="AP7" s="89">
        <f t="shared" ref="AP7:AP34" si="26">IF(ISBLANK(AO7),"0",AO7-AO6)</f>
        <v>455</v>
      </c>
      <c r="AQ7" s="94">
        <f t="shared" ref="AQ7:AQ34" si="27">AP7*0.2</f>
        <v>91</v>
      </c>
      <c r="AR7" s="91">
        <v>9031</v>
      </c>
      <c r="AS7" s="89">
        <f t="shared" ref="AS7:AS34" si="28">IF(ISBLANK(AR7),"0",AR7-AR6)</f>
        <v>5</v>
      </c>
      <c r="AT7" s="140">
        <f t="shared" ref="AT7:AT34" si="29">AS7*7.84</f>
        <v>39.200000000000003</v>
      </c>
      <c r="AU7" s="88">
        <v>3375</v>
      </c>
      <c r="AV7" s="89">
        <f t="shared" ref="AV7:AV34" si="30">IF(ISBLANK(AU7),"0",AU7-AU6)</f>
        <v>1</v>
      </c>
      <c r="AW7" s="94">
        <f t="shared" si="12"/>
        <v>7.84</v>
      </c>
      <c r="AX7" s="88">
        <v>210</v>
      </c>
      <c r="AY7" s="89">
        <f t="shared" ref="AY7:AY34" si="31">IF(ISBLANK(AX7),"0",AX7-AX6)</f>
        <v>1</v>
      </c>
      <c r="AZ7" s="94">
        <f t="shared" ref="AZ7:AZ34" si="32">AY7*7.84</f>
        <v>7.84</v>
      </c>
    </row>
    <row r="8" spans="1:52" s="3" customFormat="1" ht="27.95" customHeight="1" x14ac:dyDescent="0.25">
      <c r="A8" s="98">
        <v>45720</v>
      </c>
      <c r="B8" s="91">
        <v>21746310</v>
      </c>
      <c r="C8" s="89">
        <f t="shared" si="3"/>
        <v>8492</v>
      </c>
      <c r="D8" s="89">
        <v>22429149</v>
      </c>
      <c r="E8" s="89">
        <f t="shared" si="4"/>
        <v>7678</v>
      </c>
      <c r="F8" s="89">
        <v>496592</v>
      </c>
      <c r="G8" s="89">
        <f t="shared" si="13"/>
        <v>126</v>
      </c>
      <c r="H8" s="90">
        <f t="shared" si="0"/>
        <v>16296</v>
      </c>
      <c r="I8" s="109">
        <f t="shared" si="1"/>
        <v>3259.2000000000003</v>
      </c>
      <c r="J8" s="91">
        <v>115271</v>
      </c>
      <c r="K8" s="89">
        <f t="shared" si="14"/>
        <v>110</v>
      </c>
      <c r="L8" s="75">
        <f t="shared" si="2"/>
        <v>862.4</v>
      </c>
      <c r="M8" s="88">
        <v>42447</v>
      </c>
      <c r="N8" s="89">
        <f t="shared" si="15"/>
        <v>20</v>
      </c>
      <c r="O8" s="89">
        <v>25693</v>
      </c>
      <c r="P8" s="92">
        <f t="shared" si="16"/>
        <v>20</v>
      </c>
      <c r="Q8" s="92">
        <f t="shared" si="5"/>
        <v>40</v>
      </c>
      <c r="R8" s="93">
        <v>64059</v>
      </c>
      <c r="S8" s="92">
        <f t="shared" si="17"/>
        <v>41</v>
      </c>
      <c r="T8" s="102">
        <f t="shared" si="6"/>
        <v>43.283700000000003</v>
      </c>
      <c r="U8" s="101">
        <f t="shared" si="7"/>
        <v>694.94488500000011</v>
      </c>
      <c r="V8" s="143">
        <v>78720</v>
      </c>
      <c r="W8" s="190">
        <f t="shared" si="18"/>
        <v>31</v>
      </c>
      <c r="X8" s="191">
        <f t="shared" si="8"/>
        <v>7460.5849999999991</v>
      </c>
      <c r="Y8" s="191">
        <f t="shared" si="19"/>
        <v>2573.1557664999996</v>
      </c>
      <c r="Z8" s="191">
        <f t="shared" si="20"/>
        <v>4560.3026805555555</v>
      </c>
      <c r="AA8" s="192">
        <f t="shared" si="9"/>
        <v>7133.4584470555546</v>
      </c>
      <c r="AB8" s="93">
        <v>1398108</v>
      </c>
      <c r="AC8" s="214">
        <f t="shared" si="10"/>
        <v>9451</v>
      </c>
      <c r="AD8" s="212">
        <f t="shared" si="11"/>
        <v>33.237792118729004</v>
      </c>
      <c r="AE8" s="176">
        <v>0.79730000000000001</v>
      </c>
      <c r="AF8" s="94">
        <v>327</v>
      </c>
      <c r="AG8" s="177">
        <v>21078</v>
      </c>
      <c r="AH8" s="140">
        <f t="shared" si="21"/>
        <v>7</v>
      </c>
      <c r="AI8" s="88">
        <v>15241152</v>
      </c>
      <c r="AJ8" s="89">
        <f t="shared" si="22"/>
        <v>5672</v>
      </c>
      <c r="AK8" s="94">
        <f t="shared" si="23"/>
        <v>1134.4000000000001</v>
      </c>
      <c r="AL8" s="88">
        <v>6973244</v>
      </c>
      <c r="AM8" s="89">
        <f t="shared" si="24"/>
        <v>2300</v>
      </c>
      <c r="AN8" s="94">
        <f t="shared" si="25"/>
        <v>460</v>
      </c>
      <c r="AO8" s="91">
        <v>264072</v>
      </c>
      <c r="AP8" s="89">
        <f t="shared" si="26"/>
        <v>508</v>
      </c>
      <c r="AQ8" s="94">
        <f t="shared" si="27"/>
        <v>101.60000000000001</v>
      </c>
      <c r="AR8" s="91">
        <v>9038</v>
      </c>
      <c r="AS8" s="89">
        <f t="shared" si="28"/>
        <v>7</v>
      </c>
      <c r="AT8" s="140">
        <f t="shared" si="29"/>
        <v>54.879999999999995</v>
      </c>
      <c r="AU8" s="88">
        <v>3378</v>
      </c>
      <c r="AV8" s="89">
        <f t="shared" si="30"/>
        <v>3</v>
      </c>
      <c r="AW8" s="94">
        <f t="shared" si="12"/>
        <v>23.52</v>
      </c>
      <c r="AX8" s="88">
        <v>210</v>
      </c>
      <c r="AY8" s="89">
        <f t="shared" si="31"/>
        <v>0</v>
      </c>
      <c r="AZ8" s="94">
        <f t="shared" si="32"/>
        <v>0</v>
      </c>
    </row>
    <row r="9" spans="1:52" s="3" customFormat="1" ht="27.95" customHeight="1" x14ac:dyDescent="0.25">
      <c r="A9" s="98">
        <v>45721</v>
      </c>
      <c r="B9" s="91">
        <v>21754145</v>
      </c>
      <c r="C9" s="89">
        <f t="shared" si="3"/>
        <v>7835</v>
      </c>
      <c r="D9" s="89">
        <v>22436810</v>
      </c>
      <c r="E9" s="89">
        <f t="shared" si="4"/>
        <v>7661</v>
      </c>
      <c r="F9" s="89">
        <v>496716</v>
      </c>
      <c r="G9" s="89">
        <f t="shared" si="13"/>
        <v>124</v>
      </c>
      <c r="H9" s="90">
        <f t="shared" si="0"/>
        <v>15620</v>
      </c>
      <c r="I9" s="109">
        <f t="shared" si="1"/>
        <v>3124</v>
      </c>
      <c r="J9" s="91">
        <v>115382</v>
      </c>
      <c r="K9" s="89">
        <f t="shared" si="14"/>
        <v>111</v>
      </c>
      <c r="L9" s="75">
        <f t="shared" si="2"/>
        <v>870.24</v>
      </c>
      <c r="M9" s="88">
        <v>42466</v>
      </c>
      <c r="N9" s="89">
        <f t="shared" si="15"/>
        <v>19</v>
      </c>
      <c r="O9" s="89">
        <v>25705</v>
      </c>
      <c r="P9" s="92">
        <f t="shared" si="16"/>
        <v>12</v>
      </c>
      <c r="Q9" s="92">
        <f t="shared" si="5"/>
        <v>31</v>
      </c>
      <c r="R9" s="93">
        <v>64089</v>
      </c>
      <c r="S9" s="92">
        <f t="shared" si="17"/>
        <v>30</v>
      </c>
      <c r="T9" s="102">
        <f t="shared" si="6"/>
        <v>31.671000000000003</v>
      </c>
      <c r="U9" s="101">
        <f t="shared" si="7"/>
        <v>566.62455</v>
      </c>
      <c r="V9" s="143">
        <v>78750</v>
      </c>
      <c r="W9" s="190">
        <f t="shared" si="18"/>
        <v>30</v>
      </c>
      <c r="X9" s="191">
        <f t="shared" si="8"/>
        <v>7031.9299999999994</v>
      </c>
      <c r="Y9" s="191">
        <f t="shared" si="19"/>
        <v>2425.3126569999995</v>
      </c>
      <c r="Z9" s="191">
        <f t="shared" si="20"/>
        <v>4560.3026805555555</v>
      </c>
      <c r="AA9" s="192">
        <f t="shared" si="9"/>
        <v>6985.615337555555</v>
      </c>
      <c r="AB9" s="93">
        <v>1406846</v>
      </c>
      <c r="AC9" s="214">
        <f t="shared" si="10"/>
        <v>8738</v>
      </c>
      <c r="AD9" s="212">
        <f t="shared" si="11"/>
        <v>30.730274842181149</v>
      </c>
      <c r="AE9" s="174">
        <v>0.66979999999999995</v>
      </c>
      <c r="AF9" s="94">
        <v>262</v>
      </c>
      <c r="AG9" s="175">
        <v>21084</v>
      </c>
      <c r="AH9" s="140">
        <f t="shared" si="21"/>
        <v>6</v>
      </c>
      <c r="AI9" s="88">
        <v>15245585</v>
      </c>
      <c r="AJ9" s="89">
        <f t="shared" si="22"/>
        <v>4433</v>
      </c>
      <c r="AK9" s="94">
        <f t="shared" si="23"/>
        <v>886.6</v>
      </c>
      <c r="AL9" s="88">
        <v>6975289</v>
      </c>
      <c r="AM9" s="89">
        <f t="shared" si="24"/>
        <v>2045</v>
      </c>
      <c r="AN9" s="94">
        <f t="shared" si="25"/>
        <v>409</v>
      </c>
      <c r="AO9" s="91">
        <v>264462</v>
      </c>
      <c r="AP9" s="89">
        <f t="shared" si="26"/>
        <v>390</v>
      </c>
      <c r="AQ9" s="94">
        <f t="shared" si="27"/>
        <v>78</v>
      </c>
      <c r="AR9" s="91">
        <v>9043</v>
      </c>
      <c r="AS9" s="89">
        <f t="shared" si="28"/>
        <v>5</v>
      </c>
      <c r="AT9" s="140">
        <f t="shared" si="29"/>
        <v>39.200000000000003</v>
      </c>
      <c r="AU9" s="88">
        <v>3382</v>
      </c>
      <c r="AV9" s="89">
        <f t="shared" si="30"/>
        <v>4</v>
      </c>
      <c r="AW9" s="94">
        <f t="shared" si="12"/>
        <v>31.36</v>
      </c>
      <c r="AX9" s="88">
        <v>211</v>
      </c>
      <c r="AY9" s="89">
        <f t="shared" si="31"/>
        <v>1</v>
      </c>
      <c r="AZ9" s="94">
        <f t="shared" si="32"/>
        <v>7.84</v>
      </c>
    </row>
    <row r="10" spans="1:52" s="3" customFormat="1" ht="27.95" customHeight="1" x14ac:dyDescent="0.25">
      <c r="A10" s="98">
        <v>45722</v>
      </c>
      <c r="B10" s="91">
        <v>21762119</v>
      </c>
      <c r="C10" s="89">
        <f t="shared" si="3"/>
        <v>7974</v>
      </c>
      <c r="D10" s="89">
        <v>22444456</v>
      </c>
      <c r="E10" s="89">
        <f>IF(ISBLANK(D10),"0",D10-D9)</f>
        <v>7646</v>
      </c>
      <c r="F10" s="89">
        <v>496842</v>
      </c>
      <c r="G10" s="89">
        <f>IF(ISBLANK(F10),"0",F10-F9)</f>
        <v>126</v>
      </c>
      <c r="H10" s="90">
        <f t="shared" si="0"/>
        <v>15746</v>
      </c>
      <c r="I10" s="109">
        <f t="shared" si="1"/>
        <v>3149.2000000000003</v>
      </c>
      <c r="J10" s="91">
        <v>115469</v>
      </c>
      <c r="K10" s="89">
        <f t="shared" si="14"/>
        <v>87</v>
      </c>
      <c r="L10" s="75">
        <f t="shared" si="2"/>
        <v>682.08</v>
      </c>
      <c r="M10" s="88">
        <v>42485</v>
      </c>
      <c r="N10" s="89">
        <f>IF(ISBLANK(M10),"0",M10-M9)</f>
        <v>19</v>
      </c>
      <c r="O10" s="89">
        <v>25717</v>
      </c>
      <c r="P10" s="92">
        <f t="shared" si="16"/>
        <v>12</v>
      </c>
      <c r="Q10" s="92">
        <f t="shared" si="5"/>
        <v>31</v>
      </c>
      <c r="R10" s="93">
        <v>64121</v>
      </c>
      <c r="S10" s="92">
        <f t="shared" si="17"/>
        <v>32</v>
      </c>
      <c r="T10" s="102">
        <f t="shared" si="6"/>
        <v>33.782400000000003</v>
      </c>
      <c r="U10" s="101">
        <f t="shared" si="7"/>
        <v>589.95552000000009</v>
      </c>
      <c r="V10" s="143">
        <v>78780</v>
      </c>
      <c r="W10" s="190">
        <f t="shared" si="18"/>
        <v>30</v>
      </c>
      <c r="X10" s="191">
        <f t="shared" si="8"/>
        <v>7233.9299999999994</v>
      </c>
      <c r="Y10" s="191">
        <f t="shared" si="19"/>
        <v>2494.9824569999996</v>
      </c>
      <c r="Z10" s="191">
        <f t="shared" si="20"/>
        <v>4560.3026805555555</v>
      </c>
      <c r="AA10" s="192">
        <f t="shared" si="9"/>
        <v>7055.2851375555547</v>
      </c>
      <c r="AB10" s="93">
        <v>1415786</v>
      </c>
      <c r="AC10" s="214">
        <f t="shared" si="10"/>
        <v>8940</v>
      </c>
      <c r="AD10" s="212">
        <f t="shared" si="11"/>
        <v>31.440679456294287</v>
      </c>
      <c r="AE10" s="174">
        <v>0.8</v>
      </c>
      <c r="AF10" s="94">
        <v>270</v>
      </c>
      <c r="AG10" s="175">
        <v>21090</v>
      </c>
      <c r="AH10" s="140">
        <f t="shared" si="21"/>
        <v>6</v>
      </c>
      <c r="AI10" s="88">
        <v>15250125</v>
      </c>
      <c r="AJ10" s="89">
        <f t="shared" si="22"/>
        <v>4540</v>
      </c>
      <c r="AK10" s="94">
        <f t="shared" si="23"/>
        <v>908</v>
      </c>
      <c r="AL10" s="88">
        <v>6977418</v>
      </c>
      <c r="AM10" s="89">
        <f t="shared" si="24"/>
        <v>2129</v>
      </c>
      <c r="AN10" s="94">
        <f t="shared" si="25"/>
        <v>425.8</v>
      </c>
      <c r="AO10" s="91">
        <v>264814</v>
      </c>
      <c r="AP10" s="89">
        <f t="shared" si="26"/>
        <v>352</v>
      </c>
      <c r="AQ10" s="94">
        <f t="shared" si="27"/>
        <v>70.400000000000006</v>
      </c>
      <c r="AR10" s="91">
        <v>9048</v>
      </c>
      <c r="AS10" s="89">
        <f t="shared" si="28"/>
        <v>5</v>
      </c>
      <c r="AT10" s="140">
        <f t="shared" si="29"/>
        <v>39.200000000000003</v>
      </c>
      <c r="AU10" s="88">
        <v>3384</v>
      </c>
      <c r="AV10" s="89">
        <f t="shared" si="30"/>
        <v>2</v>
      </c>
      <c r="AW10" s="94">
        <f t="shared" si="12"/>
        <v>15.68</v>
      </c>
      <c r="AX10" s="88">
        <v>212</v>
      </c>
      <c r="AY10" s="89">
        <f t="shared" si="31"/>
        <v>1</v>
      </c>
      <c r="AZ10" s="94">
        <f t="shared" si="32"/>
        <v>7.84</v>
      </c>
    </row>
    <row r="11" spans="1:52" s="3" customFormat="1" ht="27.95" customHeight="1" x14ac:dyDescent="0.25">
      <c r="A11" s="98">
        <v>45723</v>
      </c>
      <c r="B11" s="91">
        <v>21769969</v>
      </c>
      <c r="C11" s="89">
        <f t="shared" si="3"/>
        <v>7850</v>
      </c>
      <c r="D11" s="89">
        <v>22451889</v>
      </c>
      <c r="E11" s="89">
        <f t="shared" si="4"/>
        <v>7433</v>
      </c>
      <c r="F11" s="89">
        <v>496972</v>
      </c>
      <c r="G11" s="89">
        <f t="shared" si="13"/>
        <v>130</v>
      </c>
      <c r="H11" s="90">
        <f t="shared" si="0"/>
        <v>15413</v>
      </c>
      <c r="I11" s="109">
        <f t="shared" si="1"/>
        <v>3082.6000000000004</v>
      </c>
      <c r="J11" s="91">
        <v>115560</v>
      </c>
      <c r="K11" s="89">
        <f t="shared" si="14"/>
        <v>91</v>
      </c>
      <c r="L11" s="75">
        <f t="shared" si="2"/>
        <v>713.43999999999994</v>
      </c>
      <c r="M11" s="88">
        <v>42505</v>
      </c>
      <c r="N11" s="89">
        <f t="shared" si="15"/>
        <v>20</v>
      </c>
      <c r="O11" s="89">
        <v>25736</v>
      </c>
      <c r="P11" s="92">
        <f t="shared" si="16"/>
        <v>19</v>
      </c>
      <c r="Q11" s="92">
        <f t="shared" si="5"/>
        <v>39</v>
      </c>
      <c r="R11" s="93">
        <v>64158</v>
      </c>
      <c r="S11" s="92">
        <f t="shared" si="17"/>
        <v>37</v>
      </c>
      <c r="T11" s="102">
        <f t="shared" si="6"/>
        <v>39.060900000000004</v>
      </c>
      <c r="U11" s="101">
        <f t="shared" si="7"/>
        <v>648.28294500000004</v>
      </c>
      <c r="V11" s="143">
        <v>78810</v>
      </c>
      <c r="W11" s="190">
        <f t="shared" si="18"/>
        <v>30</v>
      </c>
      <c r="X11" s="191">
        <f t="shared" si="8"/>
        <v>7329.2400000000007</v>
      </c>
      <c r="Y11" s="191">
        <f t="shared" si="19"/>
        <v>2527.8548760000003</v>
      </c>
      <c r="Z11" s="191">
        <f t="shared" si="20"/>
        <v>4560.3026805555555</v>
      </c>
      <c r="AA11" s="192">
        <f t="shared" si="9"/>
        <v>7088.1575565555559</v>
      </c>
      <c r="AB11" s="93">
        <v>1425390</v>
      </c>
      <c r="AC11" s="214">
        <f t="shared" si="10"/>
        <v>9604</v>
      </c>
      <c r="AD11" s="212">
        <f t="shared" si="11"/>
        <v>33.775870861101829</v>
      </c>
      <c r="AE11" s="174">
        <v>0.95240000000000002</v>
      </c>
      <c r="AF11" s="94">
        <v>326</v>
      </c>
      <c r="AG11" s="175">
        <v>21098</v>
      </c>
      <c r="AH11" s="140">
        <f t="shared" si="21"/>
        <v>8</v>
      </c>
      <c r="AI11" s="88">
        <v>15255759</v>
      </c>
      <c r="AJ11" s="89">
        <f t="shared" si="22"/>
        <v>5634</v>
      </c>
      <c r="AK11" s="94">
        <f t="shared" si="23"/>
        <v>1126.8</v>
      </c>
      <c r="AL11" s="88">
        <v>6979656</v>
      </c>
      <c r="AM11" s="89">
        <f t="shared" si="24"/>
        <v>2238</v>
      </c>
      <c r="AN11" s="94">
        <f t="shared" si="25"/>
        <v>447.6</v>
      </c>
      <c r="AO11" s="91">
        <v>265164</v>
      </c>
      <c r="AP11" s="89">
        <f t="shared" si="26"/>
        <v>350</v>
      </c>
      <c r="AQ11" s="94">
        <f t="shared" si="27"/>
        <v>70</v>
      </c>
      <c r="AR11" s="91">
        <v>9055</v>
      </c>
      <c r="AS11" s="89">
        <f t="shared" si="28"/>
        <v>7</v>
      </c>
      <c r="AT11" s="140">
        <f t="shared" si="29"/>
        <v>54.879999999999995</v>
      </c>
      <c r="AU11" s="88">
        <v>3385</v>
      </c>
      <c r="AV11" s="89">
        <f t="shared" si="30"/>
        <v>1</v>
      </c>
      <c r="AW11" s="94">
        <f t="shared" si="12"/>
        <v>7.84</v>
      </c>
      <c r="AX11" s="88">
        <v>213</v>
      </c>
      <c r="AY11" s="89">
        <f t="shared" si="31"/>
        <v>1</v>
      </c>
      <c r="AZ11" s="94">
        <f t="shared" si="32"/>
        <v>7.84</v>
      </c>
    </row>
    <row r="12" spans="1:52" s="3" customFormat="1" ht="27.95" customHeight="1" x14ac:dyDescent="0.25">
      <c r="A12" s="98">
        <v>45724</v>
      </c>
      <c r="B12" s="91">
        <v>21777976</v>
      </c>
      <c r="C12" s="89">
        <f t="shared" si="3"/>
        <v>8007</v>
      </c>
      <c r="D12" s="89">
        <v>22459728</v>
      </c>
      <c r="E12" s="89">
        <f t="shared" si="4"/>
        <v>7839</v>
      </c>
      <c r="F12" s="89">
        <v>497100</v>
      </c>
      <c r="G12" s="89">
        <f t="shared" si="13"/>
        <v>128</v>
      </c>
      <c r="H12" s="90">
        <f t="shared" si="0"/>
        <v>15974</v>
      </c>
      <c r="I12" s="109">
        <f t="shared" si="1"/>
        <v>3194.8</v>
      </c>
      <c r="J12" s="91">
        <v>115655</v>
      </c>
      <c r="K12" s="89">
        <f t="shared" si="14"/>
        <v>95</v>
      </c>
      <c r="L12" s="75">
        <f t="shared" si="2"/>
        <v>744.8</v>
      </c>
      <c r="M12" s="88">
        <v>42525</v>
      </c>
      <c r="N12" s="89">
        <f t="shared" si="15"/>
        <v>20</v>
      </c>
      <c r="O12" s="89">
        <v>25752</v>
      </c>
      <c r="P12" s="92">
        <f t="shared" si="16"/>
        <v>16</v>
      </c>
      <c r="Q12" s="92">
        <f t="shared" si="5"/>
        <v>36</v>
      </c>
      <c r="R12" s="93">
        <v>64194</v>
      </c>
      <c r="S12" s="92">
        <f t="shared" si="17"/>
        <v>36</v>
      </c>
      <c r="T12" s="102">
        <f t="shared" si="6"/>
        <v>38.005200000000002</v>
      </c>
      <c r="U12" s="101">
        <f t="shared" si="7"/>
        <v>636.61746000000005</v>
      </c>
      <c r="V12" s="143">
        <v>78841</v>
      </c>
      <c r="W12" s="190">
        <f t="shared" si="18"/>
        <v>31</v>
      </c>
      <c r="X12" s="191">
        <f t="shared" si="8"/>
        <v>7476.8949999999995</v>
      </c>
      <c r="Y12" s="191">
        <f t="shared" si="19"/>
        <v>2578.7810854999998</v>
      </c>
      <c r="Z12" s="191">
        <f t="shared" si="20"/>
        <v>4560.3026805555555</v>
      </c>
      <c r="AA12" s="192">
        <f t="shared" si="9"/>
        <v>7139.0837660555553</v>
      </c>
      <c r="AB12" s="93">
        <v>1435426</v>
      </c>
      <c r="AC12" s="214">
        <f t="shared" si="10"/>
        <v>10036</v>
      </c>
      <c r="AD12" s="212">
        <f t="shared" si="11"/>
        <v>35.295152016036852</v>
      </c>
      <c r="AE12" s="178">
        <v>1</v>
      </c>
      <c r="AF12" s="94">
        <v>353</v>
      </c>
      <c r="AG12" s="179">
        <v>21107</v>
      </c>
      <c r="AH12" s="140">
        <f t="shared" si="21"/>
        <v>9</v>
      </c>
      <c r="AI12" s="88">
        <v>15261521</v>
      </c>
      <c r="AJ12" s="89">
        <f t="shared" si="22"/>
        <v>5762</v>
      </c>
      <c r="AK12" s="94">
        <f t="shared" si="23"/>
        <v>1152.4000000000001</v>
      </c>
      <c r="AL12" s="88">
        <v>6981955</v>
      </c>
      <c r="AM12" s="89">
        <f t="shared" si="24"/>
        <v>2299</v>
      </c>
      <c r="AN12" s="94">
        <f t="shared" si="25"/>
        <v>459.8</v>
      </c>
      <c r="AO12" s="91">
        <v>265941</v>
      </c>
      <c r="AP12" s="89">
        <f t="shared" si="26"/>
        <v>777</v>
      </c>
      <c r="AQ12" s="94">
        <f t="shared" si="27"/>
        <v>155.4</v>
      </c>
      <c r="AR12" s="91">
        <v>9060</v>
      </c>
      <c r="AS12" s="89">
        <f t="shared" si="28"/>
        <v>5</v>
      </c>
      <c r="AT12" s="140">
        <f t="shared" si="29"/>
        <v>39.200000000000003</v>
      </c>
      <c r="AU12" s="88">
        <v>3386</v>
      </c>
      <c r="AV12" s="89">
        <f t="shared" si="30"/>
        <v>1</v>
      </c>
      <c r="AW12" s="94">
        <f t="shared" si="12"/>
        <v>7.84</v>
      </c>
      <c r="AX12" s="88">
        <v>214</v>
      </c>
      <c r="AY12" s="89">
        <f t="shared" si="31"/>
        <v>1</v>
      </c>
      <c r="AZ12" s="94">
        <f t="shared" si="32"/>
        <v>7.84</v>
      </c>
    </row>
    <row r="13" spans="1:52" s="3" customFormat="1" ht="27.95" customHeight="1" x14ac:dyDescent="0.25">
      <c r="A13" s="98">
        <v>45725</v>
      </c>
      <c r="B13" s="91">
        <v>21786358</v>
      </c>
      <c r="C13" s="89">
        <f t="shared" si="3"/>
        <v>8382</v>
      </c>
      <c r="D13" s="89">
        <v>22467869</v>
      </c>
      <c r="E13" s="89">
        <f t="shared" si="4"/>
        <v>8141</v>
      </c>
      <c r="F13" s="89">
        <v>497218</v>
      </c>
      <c r="G13" s="89">
        <f t="shared" si="13"/>
        <v>118</v>
      </c>
      <c r="H13" s="90">
        <f t="shared" si="0"/>
        <v>16641</v>
      </c>
      <c r="I13" s="109">
        <f t="shared" si="1"/>
        <v>3328.2000000000003</v>
      </c>
      <c r="J13" s="91">
        <v>115747</v>
      </c>
      <c r="K13" s="89">
        <f t="shared" si="14"/>
        <v>92</v>
      </c>
      <c r="L13" s="75">
        <f t="shared" si="2"/>
        <v>721.28</v>
      </c>
      <c r="M13" s="88">
        <v>42546</v>
      </c>
      <c r="N13" s="89">
        <f t="shared" si="15"/>
        <v>21</v>
      </c>
      <c r="O13" s="89">
        <v>25767</v>
      </c>
      <c r="P13" s="92">
        <f t="shared" si="16"/>
        <v>15</v>
      </c>
      <c r="Q13" s="92">
        <f t="shared" si="5"/>
        <v>36</v>
      </c>
      <c r="R13" s="93">
        <v>64232</v>
      </c>
      <c r="S13" s="92">
        <f t="shared" si="17"/>
        <v>38</v>
      </c>
      <c r="T13" s="102">
        <f t="shared" si="6"/>
        <v>40.116600000000005</v>
      </c>
      <c r="U13" s="101">
        <f t="shared" si="7"/>
        <v>659.94843000000003</v>
      </c>
      <c r="V13" s="143">
        <v>78873</v>
      </c>
      <c r="W13" s="190">
        <f t="shared" si="18"/>
        <v>32</v>
      </c>
      <c r="X13" s="191">
        <f t="shared" si="8"/>
        <v>7326.24</v>
      </c>
      <c r="Y13" s="191">
        <f t="shared" si="19"/>
        <v>2526.8201759999997</v>
      </c>
      <c r="Z13" s="191">
        <f t="shared" si="20"/>
        <v>4560.3026805555555</v>
      </c>
      <c r="AA13" s="192">
        <f t="shared" si="9"/>
        <v>7087.1228565555557</v>
      </c>
      <c r="AB13" s="93">
        <v>1445027</v>
      </c>
      <c r="AC13" s="214">
        <f t="shared" si="10"/>
        <v>9601</v>
      </c>
      <c r="AD13" s="212">
        <f t="shared" si="11"/>
        <v>33.765320297525889</v>
      </c>
      <c r="AE13" s="174">
        <v>1</v>
      </c>
      <c r="AF13" s="94">
        <v>355</v>
      </c>
      <c r="AG13" s="175">
        <v>21115</v>
      </c>
      <c r="AH13" s="140">
        <f t="shared" si="21"/>
        <v>8</v>
      </c>
      <c r="AI13" s="88">
        <v>15267375</v>
      </c>
      <c r="AJ13" s="89">
        <f t="shared" si="22"/>
        <v>5854</v>
      </c>
      <c r="AK13" s="94">
        <f t="shared" si="23"/>
        <v>1170.8</v>
      </c>
      <c r="AL13" s="88">
        <v>6984318</v>
      </c>
      <c r="AM13" s="89">
        <f t="shared" si="24"/>
        <v>2363</v>
      </c>
      <c r="AN13" s="94">
        <f t="shared" si="25"/>
        <v>472.6</v>
      </c>
      <c r="AO13" s="91">
        <v>266556</v>
      </c>
      <c r="AP13" s="89">
        <f t="shared" si="26"/>
        <v>615</v>
      </c>
      <c r="AQ13" s="94">
        <f t="shared" si="27"/>
        <v>123</v>
      </c>
      <c r="AR13" s="91">
        <v>9065</v>
      </c>
      <c r="AS13" s="89">
        <f t="shared" si="28"/>
        <v>5</v>
      </c>
      <c r="AT13" s="140">
        <f t="shared" si="29"/>
        <v>39.200000000000003</v>
      </c>
      <c r="AU13" s="88">
        <v>3387</v>
      </c>
      <c r="AV13" s="89">
        <f t="shared" si="30"/>
        <v>1</v>
      </c>
      <c r="AW13" s="94">
        <f t="shared" si="12"/>
        <v>7.84</v>
      </c>
      <c r="AX13" s="88">
        <v>215</v>
      </c>
      <c r="AY13" s="89">
        <f t="shared" si="31"/>
        <v>1</v>
      </c>
      <c r="AZ13" s="94">
        <f t="shared" si="32"/>
        <v>7.84</v>
      </c>
    </row>
    <row r="14" spans="1:52" s="3" customFormat="1" ht="27.95" customHeight="1" x14ac:dyDescent="0.25">
      <c r="A14" s="98">
        <v>45726</v>
      </c>
      <c r="B14" s="91">
        <v>21794053</v>
      </c>
      <c r="C14" s="89">
        <f t="shared" si="3"/>
        <v>7695</v>
      </c>
      <c r="D14" s="89">
        <v>22475190</v>
      </c>
      <c r="E14" s="89">
        <f t="shared" si="4"/>
        <v>7321</v>
      </c>
      <c r="F14" s="89">
        <v>497338</v>
      </c>
      <c r="G14" s="89">
        <f t="shared" si="13"/>
        <v>120</v>
      </c>
      <c r="H14" s="90">
        <f t="shared" si="0"/>
        <v>15136</v>
      </c>
      <c r="I14" s="109">
        <f t="shared" si="1"/>
        <v>3027.2000000000003</v>
      </c>
      <c r="J14" s="91">
        <v>115852</v>
      </c>
      <c r="K14" s="89">
        <f t="shared" si="14"/>
        <v>105</v>
      </c>
      <c r="L14" s="75">
        <f t="shared" si="2"/>
        <v>823.19999999999993</v>
      </c>
      <c r="M14" s="88">
        <v>42566</v>
      </c>
      <c r="N14" s="89">
        <f t="shared" si="15"/>
        <v>20</v>
      </c>
      <c r="O14" s="89">
        <v>25783</v>
      </c>
      <c r="P14" s="92">
        <f t="shared" si="16"/>
        <v>16</v>
      </c>
      <c r="Q14" s="92">
        <f t="shared" si="5"/>
        <v>36</v>
      </c>
      <c r="R14" s="93">
        <v>64266</v>
      </c>
      <c r="S14" s="92">
        <f t="shared" si="17"/>
        <v>34</v>
      </c>
      <c r="T14" s="102">
        <f t="shared" si="6"/>
        <v>35.893800000000006</v>
      </c>
      <c r="U14" s="101">
        <f t="shared" si="7"/>
        <v>613.28649000000007</v>
      </c>
      <c r="V14" s="143">
        <v>78904</v>
      </c>
      <c r="W14" s="190">
        <f t="shared" si="18"/>
        <v>31</v>
      </c>
      <c r="X14" s="191">
        <f t="shared" si="8"/>
        <v>7390.24</v>
      </c>
      <c r="Y14" s="191">
        <f t="shared" si="19"/>
        <v>2548.8937759999999</v>
      </c>
      <c r="Z14" s="191">
        <f t="shared" si="20"/>
        <v>4560.3026805555555</v>
      </c>
      <c r="AA14" s="192">
        <f t="shared" si="9"/>
        <v>7109.1964565555554</v>
      </c>
      <c r="AB14" s="93">
        <v>1454692</v>
      </c>
      <c r="AC14" s="214">
        <f t="shared" si="10"/>
        <v>9665</v>
      </c>
      <c r="AD14" s="212">
        <f t="shared" si="11"/>
        <v>33.990398987145895</v>
      </c>
      <c r="AE14" s="174">
        <v>0.95240000000000002</v>
      </c>
      <c r="AF14" s="94">
        <v>359</v>
      </c>
      <c r="AG14" s="175">
        <v>21123</v>
      </c>
      <c r="AH14" s="140">
        <f t="shared" si="21"/>
        <v>8</v>
      </c>
      <c r="AI14" s="88">
        <v>15272821</v>
      </c>
      <c r="AJ14" s="89">
        <f t="shared" si="22"/>
        <v>5446</v>
      </c>
      <c r="AK14" s="94">
        <f t="shared" si="23"/>
        <v>1089.2</v>
      </c>
      <c r="AL14" s="88">
        <v>6986477</v>
      </c>
      <c r="AM14" s="89">
        <f t="shared" si="24"/>
        <v>2159</v>
      </c>
      <c r="AN14" s="94">
        <f t="shared" si="25"/>
        <v>431.8</v>
      </c>
      <c r="AO14" s="91">
        <v>267128</v>
      </c>
      <c r="AP14" s="89">
        <f t="shared" si="26"/>
        <v>572</v>
      </c>
      <c r="AQ14" s="94">
        <f t="shared" si="27"/>
        <v>114.4</v>
      </c>
      <c r="AR14" s="91">
        <v>9070</v>
      </c>
      <c r="AS14" s="89">
        <f t="shared" si="28"/>
        <v>5</v>
      </c>
      <c r="AT14" s="140">
        <f t="shared" si="29"/>
        <v>39.200000000000003</v>
      </c>
      <c r="AU14" s="88">
        <v>3390</v>
      </c>
      <c r="AV14" s="89">
        <f t="shared" si="30"/>
        <v>3</v>
      </c>
      <c r="AW14" s="94">
        <f t="shared" si="12"/>
        <v>23.52</v>
      </c>
      <c r="AX14" s="88">
        <v>216</v>
      </c>
      <c r="AY14" s="89">
        <f t="shared" si="31"/>
        <v>1</v>
      </c>
      <c r="AZ14" s="94">
        <f t="shared" si="32"/>
        <v>7.84</v>
      </c>
    </row>
    <row r="15" spans="1:52" s="3" customFormat="1" ht="27.95" customHeight="1" x14ac:dyDescent="0.25">
      <c r="A15" s="98">
        <v>45727</v>
      </c>
      <c r="B15" s="91">
        <v>21801772</v>
      </c>
      <c r="C15" s="89">
        <f t="shared" si="3"/>
        <v>7719</v>
      </c>
      <c r="D15" s="89">
        <v>22482324</v>
      </c>
      <c r="E15" s="89">
        <f t="shared" si="4"/>
        <v>7134</v>
      </c>
      <c r="F15" s="89">
        <v>497465</v>
      </c>
      <c r="G15" s="89">
        <f t="shared" si="13"/>
        <v>127</v>
      </c>
      <c r="H15" s="90">
        <f t="shared" si="0"/>
        <v>14980</v>
      </c>
      <c r="I15" s="109">
        <f t="shared" si="1"/>
        <v>2996</v>
      </c>
      <c r="J15" s="91">
        <v>115941</v>
      </c>
      <c r="K15" s="89">
        <f t="shared" si="14"/>
        <v>89</v>
      </c>
      <c r="L15" s="75">
        <f t="shared" si="2"/>
        <v>697.76</v>
      </c>
      <c r="M15" s="88">
        <v>42586</v>
      </c>
      <c r="N15" s="89">
        <f t="shared" si="15"/>
        <v>20</v>
      </c>
      <c r="O15" s="89">
        <v>25800</v>
      </c>
      <c r="P15" s="92">
        <f t="shared" si="16"/>
        <v>17</v>
      </c>
      <c r="Q15" s="92">
        <f t="shared" si="5"/>
        <v>37</v>
      </c>
      <c r="R15" s="93">
        <v>64303</v>
      </c>
      <c r="S15" s="92">
        <f t="shared" si="17"/>
        <v>37</v>
      </c>
      <c r="T15" s="102">
        <f t="shared" si="6"/>
        <v>39.060900000000004</v>
      </c>
      <c r="U15" s="101">
        <f t="shared" si="7"/>
        <v>648.28294500000004</v>
      </c>
      <c r="V15" s="143">
        <v>78933</v>
      </c>
      <c r="W15" s="190">
        <f t="shared" si="18"/>
        <v>29</v>
      </c>
      <c r="X15" s="191">
        <f t="shared" si="8"/>
        <v>6448.585</v>
      </c>
      <c r="Y15" s="191">
        <f t="shared" si="19"/>
        <v>2224.1169664999998</v>
      </c>
      <c r="Z15" s="191">
        <f t="shared" si="20"/>
        <v>4560.3026805555555</v>
      </c>
      <c r="AA15" s="192">
        <f t="shared" si="9"/>
        <v>6784.4196470555553</v>
      </c>
      <c r="AB15" s="93">
        <v>1463131</v>
      </c>
      <c r="AC15" s="214">
        <f t="shared" si="10"/>
        <v>8439</v>
      </c>
      <c r="AD15" s="212">
        <f t="shared" si="11"/>
        <v>29.678735339112695</v>
      </c>
      <c r="AE15" s="174">
        <v>0.80630000000000002</v>
      </c>
      <c r="AF15" s="94">
        <v>350</v>
      </c>
      <c r="AG15" s="175">
        <v>21130</v>
      </c>
      <c r="AH15" s="140">
        <f t="shared" si="21"/>
        <v>7</v>
      </c>
      <c r="AI15" s="88">
        <v>15278144</v>
      </c>
      <c r="AJ15" s="89">
        <f t="shared" si="22"/>
        <v>5323</v>
      </c>
      <c r="AK15" s="94">
        <f t="shared" si="23"/>
        <v>1064.6000000000001</v>
      </c>
      <c r="AL15" s="88">
        <v>6988653</v>
      </c>
      <c r="AM15" s="89">
        <f t="shared" si="24"/>
        <v>2176</v>
      </c>
      <c r="AN15" s="94">
        <f t="shared" si="25"/>
        <v>435.20000000000005</v>
      </c>
      <c r="AO15" s="91">
        <v>267607</v>
      </c>
      <c r="AP15" s="89">
        <f t="shared" si="26"/>
        <v>479</v>
      </c>
      <c r="AQ15" s="94">
        <f t="shared" si="27"/>
        <v>95.800000000000011</v>
      </c>
      <c r="AR15" s="91">
        <v>9076</v>
      </c>
      <c r="AS15" s="89">
        <f t="shared" si="28"/>
        <v>6</v>
      </c>
      <c r="AT15" s="140">
        <f t="shared" si="29"/>
        <v>47.04</v>
      </c>
      <c r="AU15" s="88">
        <v>3391</v>
      </c>
      <c r="AV15" s="89">
        <f t="shared" si="30"/>
        <v>1</v>
      </c>
      <c r="AW15" s="94">
        <f t="shared" si="12"/>
        <v>7.84</v>
      </c>
      <c r="AX15" s="88">
        <v>217</v>
      </c>
      <c r="AY15" s="89">
        <f t="shared" si="31"/>
        <v>1</v>
      </c>
      <c r="AZ15" s="94">
        <f t="shared" si="32"/>
        <v>7.84</v>
      </c>
    </row>
    <row r="16" spans="1:52" s="3" customFormat="1" ht="27.95" customHeight="1" x14ac:dyDescent="0.25">
      <c r="A16" s="98">
        <v>45728</v>
      </c>
      <c r="B16" s="91">
        <v>21809727</v>
      </c>
      <c r="C16" s="89">
        <f t="shared" si="3"/>
        <v>7955</v>
      </c>
      <c r="D16" s="89">
        <v>22489723</v>
      </c>
      <c r="E16" s="89">
        <f t="shared" si="4"/>
        <v>7399</v>
      </c>
      <c r="F16" s="89">
        <v>497592</v>
      </c>
      <c r="G16" s="89">
        <f t="shared" si="13"/>
        <v>127</v>
      </c>
      <c r="H16" s="90">
        <f t="shared" si="0"/>
        <v>15481</v>
      </c>
      <c r="I16" s="109">
        <f t="shared" si="1"/>
        <v>3096.2000000000003</v>
      </c>
      <c r="J16" s="91">
        <v>116033</v>
      </c>
      <c r="K16" s="89">
        <f t="shared" si="14"/>
        <v>92</v>
      </c>
      <c r="L16" s="75">
        <f t="shared" si="2"/>
        <v>721.28</v>
      </c>
      <c r="M16" s="88">
        <v>42603</v>
      </c>
      <c r="N16" s="89">
        <f t="shared" si="15"/>
        <v>17</v>
      </c>
      <c r="O16" s="89">
        <v>25814</v>
      </c>
      <c r="P16" s="92">
        <f t="shared" si="16"/>
        <v>14</v>
      </c>
      <c r="Q16" s="92">
        <f t="shared" si="5"/>
        <v>31</v>
      </c>
      <c r="R16" s="93">
        <v>64336</v>
      </c>
      <c r="S16" s="92">
        <f t="shared" si="17"/>
        <v>33</v>
      </c>
      <c r="T16" s="102">
        <f t="shared" si="6"/>
        <v>34.838100000000004</v>
      </c>
      <c r="U16" s="101">
        <f t="shared" si="7"/>
        <v>601.62100500000008</v>
      </c>
      <c r="V16" s="143">
        <v>78963</v>
      </c>
      <c r="W16" s="190">
        <f t="shared" si="18"/>
        <v>30</v>
      </c>
      <c r="X16" s="191">
        <f t="shared" si="8"/>
        <v>7369.5849999999991</v>
      </c>
      <c r="Y16" s="191">
        <f t="shared" si="19"/>
        <v>2541.7698664999998</v>
      </c>
      <c r="Z16" s="191">
        <f t="shared" si="20"/>
        <v>4560.3026805555555</v>
      </c>
      <c r="AA16" s="192">
        <f t="shared" si="9"/>
        <v>7102.0725470555553</v>
      </c>
      <c r="AB16" s="93">
        <v>1472491</v>
      </c>
      <c r="AC16" s="214">
        <f t="shared" si="10"/>
        <v>9360</v>
      </c>
      <c r="AD16" s="212">
        <f t="shared" si="11"/>
        <v>32.91775835692556</v>
      </c>
      <c r="AE16" s="174">
        <v>0.56530000000000002</v>
      </c>
      <c r="AF16" s="94">
        <v>246</v>
      </c>
      <c r="AG16" s="175">
        <v>21137</v>
      </c>
      <c r="AH16" s="140">
        <f t="shared" si="21"/>
        <v>7</v>
      </c>
      <c r="AI16" s="88">
        <v>15282614</v>
      </c>
      <c r="AJ16" s="89">
        <f t="shared" si="22"/>
        <v>4470</v>
      </c>
      <c r="AK16" s="94">
        <f t="shared" si="23"/>
        <v>894</v>
      </c>
      <c r="AL16" s="88">
        <v>6990757</v>
      </c>
      <c r="AM16" s="89">
        <f t="shared" si="24"/>
        <v>2104</v>
      </c>
      <c r="AN16" s="94">
        <f t="shared" si="25"/>
        <v>420.8</v>
      </c>
      <c r="AO16" s="91">
        <v>267940</v>
      </c>
      <c r="AP16" s="89">
        <f t="shared" si="26"/>
        <v>333</v>
      </c>
      <c r="AQ16" s="94">
        <f t="shared" si="27"/>
        <v>66.600000000000009</v>
      </c>
      <c r="AR16" s="91">
        <v>9082</v>
      </c>
      <c r="AS16" s="89">
        <f t="shared" si="28"/>
        <v>6</v>
      </c>
      <c r="AT16" s="140">
        <f t="shared" si="29"/>
        <v>47.04</v>
      </c>
      <c r="AU16" s="88">
        <v>3392</v>
      </c>
      <c r="AV16" s="89">
        <f t="shared" si="30"/>
        <v>1</v>
      </c>
      <c r="AW16" s="94">
        <f t="shared" si="12"/>
        <v>7.84</v>
      </c>
      <c r="AX16" s="88">
        <v>218</v>
      </c>
      <c r="AY16" s="89">
        <f t="shared" si="31"/>
        <v>1</v>
      </c>
      <c r="AZ16" s="94">
        <f t="shared" si="32"/>
        <v>7.84</v>
      </c>
    </row>
    <row r="17" spans="1:52" s="3" customFormat="1" ht="27.95" customHeight="1" x14ac:dyDescent="0.25">
      <c r="A17" s="98">
        <v>45729</v>
      </c>
      <c r="B17" s="91">
        <v>21817419</v>
      </c>
      <c r="C17" s="89">
        <f t="shared" si="3"/>
        <v>7692</v>
      </c>
      <c r="D17" s="89">
        <v>22497030</v>
      </c>
      <c r="E17" s="89">
        <f t="shared" si="4"/>
        <v>7307</v>
      </c>
      <c r="F17" s="89">
        <v>497718</v>
      </c>
      <c r="G17" s="89">
        <f t="shared" si="13"/>
        <v>126</v>
      </c>
      <c r="H17" s="90">
        <f t="shared" si="0"/>
        <v>15125</v>
      </c>
      <c r="I17" s="109">
        <f t="shared" si="1"/>
        <v>3025</v>
      </c>
      <c r="J17" s="91">
        <v>116117</v>
      </c>
      <c r="K17" s="89">
        <f t="shared" si="14"/>
        <v>84</v>
      </c>
      <c r="L17" s="75">
        <f t="shared" si="2"/>
        <v>658.56</v>
      </c>
      <c r="M17" s="88">
        <v>42621</v>
      </c>
      <c r="N17" s="89">
        <f t="shared" si="15"/>
        <v>18</v>
      </c>
      <c r="O17" s="89">
        <v>25824</v>
      </c>
      <c r="P17" s="92">
        <f t="shared" si="16"/>
        <v>10</v>
      </c>
      <c r="Q17" s="92">
        <f t="shared" si="5"/>
        <v>28</v>
      </c>
      <c r="R17" s="93">
        <v>64371</v>
      </c>
      <c r="S17" s="92">
        <f t="shared" si="17"/>
        <v>35</v>
      </c>
      <c r="T17" s="102">
        <f t="shared" si="6"/>
        <v>36.9495</v>
      </c>
      <c r="U17" s="101">
        <f t="shared" si="7"/>
        <v>624.95197500000006</v>
      </c>
      <c r="V17" s="143">
        <v>78995</v>
      </c>
      <c r="W17" s="190">
        <f t="shared" si="18"/>
        <v>32</v>
      </c>
      <c r="X17" s="191">
        <f t="shared" si="8"/>
        <v>7721.585</v>
      </c>
      <c r="Y17" s="191">
        <f t="shared" si="19"/>
        <v>2663.1746665000001</v>
      </c>
      <c r="Z17" s="191">
        <f t="shared" si="20"/>
        <v>4560.3026805555555</v>
      </c>
      <c r="AA17" s="192">
        <f t="shared" si="9"/>
        <v>7223.4773470555556</v>
      </c>
      <c r="AB17" s="93">
        <v>1482203</v>
      </c>
      <c r="AC17" s="214">
        <f t="shared" si="10"/>
        <v>9712</v>
      </c>
      <c r="AD17" s="212">
        <f t="shared" si="11"/>
        <v>34.155691149835583</v>
      </c>
      <c r="AE17" s="178">
        <v>0.63170000000000004</v>
      </c>
      <c r="AF17" s="94">
        <v>239</v>
      </c>
      <c r="AG17" s="179">
        <v>21144</v>
      </c>
      <c r="AH17" s="140">
        <f t="shared" si="21"/>
        <v>7</v>
      </c>
      <c r="AI17" s="88">
        <v>15286965</v>
      </c>
      <c r="AJ17" s="89">
        <f t="shared" si="22"/>
        <v>4351</v>
      </c>
      <c r="AK17" s="94">
        <f t="shared" si="23"/>
        <v>870.2</v>
      </c>
      <c r="AL17" s="88">
        <v>6992780</v>
      </c>
      <c r="AM17" s="89">
        <f t="shared" si="24"/>
        <v>2023</v>
      </c>
      <c r="AN17" s="94">
        <f t="shared" si="25"/>
        <v>404.6</v>
      </c>
      <c r="AO17" s="91">
        <v>268323</v>
      </c>
      <c r="AP17" s="89">
        <f t="shared" si="26"/>
        <v>383</v>
      </c>
      <c r="AQ17" s="94">
        <f t="shared" si="27"/>
        <v>76.600000000000009</v>
      </c>
      <c r="AR17" s="91">
        <v>9086</v>
      </c>
      <c r="AS17" s="89">
        <f t="shared" si="28"/>
        <v>4</v>
      </c>
      <c r="AT17" s="140">
        <f t="shared" si="29"/>
        <v>31.36</v>
      </c>
      <c r="AU17" s="88">
        <v>3394</v>
      </c>
      <c r="AV17" s="89">
        <f t="shared" si="30"/>
        <v>2</v>
      </c>
      <c r="AW17" s="94">
        <f t="shared" si="12"/>
        <v>15.68</v>
      </c>
      <c r="AX17" s="88">
        <v>219</v>
      </c>
      <c r="AY17" s="89">
        <f t="shared" si="31"/>
        <v>1</v>
      </c>
      <c r="AZ17" s="94">
        <f t="shared" si="32"/>
        <v>7.84</v>
      </c>
    </row>
    <row r="18" spans="1:52" s="3" customFormat="1" ht="27.95" customHeight="1" x14ac:dyDescent="0.25">
      <c r="A18" s="98">
        <v>45730</v>
      </c>
      <c r="B18" s="91">
        <v>21825635</v>
      </c>
      <c r="C18" s="89">
        <f t="shared" si="3"/>
        <v>8216</v>
      </c>
      <c r="D18" s="89">
        <v>22504522</v>
      </c>
      <c r="E18" s="89">
        <f t="shared" si="4"/>
        <v>7492</v>
      </c>
      <c r="F18" s="89">
        <v>497842</v>
      </c>
      <c r="G18" s="89">
        <f t="shared" si="13"/>
        <v>124</v>
      </c>
      <c r="H18" s="90">
        <f t="shared" si="0"/>
        <v>15832</v>
      </c>
      <c r="I18" s="109">
        <f t="shared" si="1"/>
        <v>3166.4</v>
      </c>
      <c r="J18" s="91">
        <v>116215</v>
      </c>
      <c r="K18" s="89">
        <f t="shared" si="14"/>
        <v>98</v>
      </c>
      <c r="L18" s="75">
        <f t="shared" si="2"/>
        <v>768.31999999999994</v>
      </c>
      <c r="M18" s="88">
        <v>42641</v>
      </c>
      <c r="N18" s="89">
        <f t="shared" si="15"/>
        <v>20</v>
      </c>
      <c r="O18" s="89">
        <v>25843</v>
      </c>
      <c r="P18" s="92">
        <f t="shared" si="16"/>
        <v>19</v>
      </c>
      <c r="Q18" s="92">
        <f t="shared" si="5"/>
        <v>39</v>
      </c>
      <c r="R18" s="93">
        <v>64412</v>
      </c>
      <c r="S18" s="92">
        <f t="shared" si="17"/>
        <v>41</v>
      </c>
      <c r="T18" s="102">
        <f t="shared" si="6"/>
        <v>43.283700000000003</v>
      </c>
      <c r="U18" s="101">
        <f t="shared" si="7"/>
        <v>694.94488500000011</v>
      </c>
      <c r="V18" s="143">
        <v>79029</v>
      </c>
      <c r="W18" s="190">
        <f t="shared" si="18"/>
        <v>34</v>
      </c>
      <c r="X18" s="191">
        <f t="shared" si="8"/>
        <v>8390.8949999999986</v>
      </c>
      <c r="Y18" s="191">
        <f t="shared" si="19"/>
        <v>2894.0196854999995</v>
      </c>
      <c r="Z18" s="191">
        <f t="shared" si="20"/>
        <v>4560.3026805555555</v>
      </c>
      <c r="AA18" s="192">
        <f t="shared" si="9"/>
        <v>7454.322366055555</v>
      </c>
      <c r="AB18" s="93">
        <v>1493153</v>
      </c>
      <c r="AC18" s="214">
        <f t="shared" si="10"/>
        <v>10950</v>
      </c>
      <c r="AD18" s="212">
        <f t="shared" si="11"/>
        <v>38.509557052172532</v>
      </c>
      <c r="AE18" s="174">
        <v>0.88570000000000004</v>
      </c>
      <c r="AF18" s="94">
        <v>318</v>
      </c>
      <c r="AG18" s="175">
        <v>21153</v>
      </c>
      <c r="AH18" s="140">
        <f t="shared" si="21"/>
        <v>9</v>
      </c>
      <c r="AI18" s="88">
        <v>15292626</v>
      </c>
      <c r="AJ18" s="89">
        <f t="shared" si="22"/>
        <v>5661</v>
      </c>
      <c r="AK18" s="94">
        <f t="shared" si="23"/>
        <v>1132.2</v>
      </c>
      <c r="AL18" s="88">
        <v>6995077</v>
      </c>
      <c r="AM18" s="89">
        <f t="shared" si="24"/>
        <v>2297</v>
      </c>
      <c r="AN18" s="94">
        <f t="shared" si="25"/>
        <v>459.40000000000003</v>
      </c>
      <c r="AO18" s="91">
        <v>268810</v>
      </c>
      <c r="AP18" s="89">
        <f t="shared" si="26"/>
        <v>487</v>
      </c>
      <c r="AQ18" s="94">
        <f t="shared" si="27"/>
        <v>97.4</v>
      </c>
      <c r="AR18" s="91">
        <v>9091</v>
      </c>
      <c r="AS18" s="89">
        <f t="shared" si="28"/>
        <v>5</v>
      </c>
      <c r="AT18" s="140">
        <f t="shared" si="29"/>
        <v>39.200000000000003</v>
      </c>
      <c r="AU18" s="88">
        <v>3395</v>
      </c>
      <c r="AV18" s="89">
        <f t="shared" si="30"/>
        <v>1</v>
      </c>
      <c r="AW18" s="94">
        <f t="shared" si="12"/>
        <v>7.84</v>
      </c>
      <c r="AX18" s="88">
        <v>220</v>
      </c>
      <c r="AY18" s="89">
        <f t="shared" si="31"/>
        <v>1</v>
      </c>
      <c r="AZ18" s="94">
        <f t="shared" si="32"/>
        <v>7.84</v>
      </c>
    </row>
    <row r="19" spans="1:52" s="3" customFormat="1" ht="27.95" customHeight="1" x14ac:dyDescent="0.25">
      <c r="A19" s="98">
        <v>45731</v>
      </c>
      <c r="B19" s="91">
        <v>21833261</v>
      </c>
      <c r="C19" s="89">
        <f t="shared" si="3"/>
        <v>7626</v>
      </c>
      <c r="D19" s="89">
        <v>22511634</v>
      </c>
      <c r="E19" s="89">
        <f t="shared" si="4"/>
        <v>7112</v>
      </c>
      <c r="F19" s="89">
        <v>497966</v>
      </c>
      <c r="G19" s="89">
        <f t="shared" si="13"/>
        <v>124</v>
      </c>
      <c r="H19" s="90">
        <f t="shared" si="0"/>
        <v>14862</v>
      </c>
      <c r="I19" s="109">
        <f t="shared" si="1"/>
        <v>2972.4</v>
      </c>
      <c r="J19" s="91">
        <v>116299</v>
      </c>
      <c r="K19" s="89">
        <f t="shared" si="14"/>
        <v>84</v>
      </c>
      <c r="L19" s="75">
        <f t="shared" si="2"/>
        <v>658.56</v>
      </c>
      <c r="M19" s="88">
        <v>42660</v>
      </c>
      <c r="N19" s="89">
        <f t="shared" si="15"/>
        <v>19</v>
      </c>
      <c r="O19" s="89">
        <v>25864</v>
      </c>
      <c r="P19" s="92">
        <f t="shared" si="16"/>
        <v>21</v>
      </c>
      <c r="Q19" s="92">
        <f t="shared" si="5"/>
        <v>40</v>
      </c>
      <c r="R19" s="93">
        <v>64452</v>
      </c>
      <c r="S19" s="92">
        <f t="shared" si="17"/>
        <v>40</v>
      </c>
      <c r="T19" s="102">
        <f t="shared" si="6"/>
        <v>42.228000000000002</v>
      </c>
      <c r="U19" s="101">
        <f t="shared" si="7"/>
        <v>683.27940000000001</v>
      </c>
      <c r="V19" s="143">
        <v>79060</v>
      </c>
      <c r="W19" s="190">
        <f t="shared" si="18"/>
        <v>31</v>
      </c>
      <c r="X19" s="191">
        <f t="shared" si="8"/>
        <v>7669.24</v>
      </c>
      <c r="Y19" s="191">
        <f t="shared" si="19"/>
        <v>2645.120876</v>
      </c>
      <c r="Z19" s="191">
        <f t="shared" si="20"/>
        <v>4560.3026805555555</v>
      </c>
      <c r="AA19" s="192">
        <f t="shared" si="9"/>
        <v>7205.4235565555555</v>
      </c>
      <c r="AB19" s="93">
        <v>1503097</v>
      </c>
      <c r="AC19" s="214">
        <f t="shared" si="10"/>
        <v>9944</v>
      </c>
      <c r="AD19" s="212">
        <f t="shared" si="11"/>
        <v>34.971601399708099</v>
      </c>
      <c r="AE19" s="174">
        <v>0.99050000000000005</v>
      </c>
      <c r="AF19" s="94">
        <v>342</v>
      </c>
      <c r="AG19" s="175">
        <v>21161</v>
      </c>
      <c r="AH19" s="140">
        <f t="shared" si="21"/>
        <v>8</v>
      </c>
      <c r="AI19" s="88">
        <v>15298096</v>
      </c>
      <c r="AJ19" s="89">
        <f t="shared" si="22"/>
        <v>5470</v>
      </c>
      <c r="AK19" s="94">
        <f t="shared" si="23"/>
        <v>1094</v>
      </c>
      <c r="AL19" s="88">
        <v>6997278</v>
      </c>
      <c r="AM19" s="89">
        <f t="shared" si="24"/>
        <v>2201</v>
      </c>
      <c r="AN19" s="94">
        <f t="shared" si="25"/>
        <v>440.20000000000005</v>
      </c>
      <c r="AO19" s="91">
        <v>269274</v>
      </c>
      <c r="AP19" s="89">
        <f t="shared" si="26"/>
        <v>464</v>
      </c>
      <c r="AQ19" s="94">
        <f t="shared" si="27"/>
        <v>92.800000000000011</v>
      </c>
      <c r="AR19" s="91">
        <v>9095</v>
      </c>
      <c r="AS19" s="89">
        <f t="shared" si="28"/>
        <v>4</v>
      </c>
      <c r="AT19" s="140">
        <f t="shared" si="29"/>
        <v>31.36</v>
      </c>
      <c r="AU19" s="88">
        <v>3396</v>
      </c>
      <c r="AV19" s="89">
        <f t="shared" si="30"/>
        <v>1</v>
      </c>
      <c r="AW19" s="94">
        <f t="shared" si="12"/>
        <v>7.84</v>
      </c>
      <c r="AX19" s="88">
        <v>221</v>
      </c>
      <c r="AY19" s="89">
        <f t="shared" si="31"/>
        <v>1</v>
      </c>
      <c r="AZ19" s="94">
        <f t="shared" si="32"/>
        <v>7.84</v>
      </c>
    </row>
    <row r="20" spans="1:52" s="3" customFormat="1" ht="27.95" customHeight="1" x14ac:dyDescent="0.25">
      <c r="A20" s="98">
        <v>45732</v>
      </c>
      <c r="B20" s="91">
        <v>21840856</v>
      </c>
      <c r="C20" s="89">
        <f t="shared" si="3"/>
        <v>7595</v>
      </c>
      <c r="D20" s="89">
        <v>22518740</v>
      </c>
      <c r="E20" s="89">
        <f t="shared" si="4"/>
        <v>7106</v>
      </c>
      <c r="F20" s="89">
        <v>498090</v>
      </c>
      <c r="G20" s="89">
        <f t="shared" si="13"/>
        <v>124</v>
      </c>
      <c r="H20" s="90">
        <f t="shared" si="0"/>
        <v>14825</v>
      </c>
      <c r="I20" s="109">
        <f t="shared" si="1"/>
        <v>2965</v>
      </c>
      <c r="J20" s="91">
        <v>116395</v>
      </c>
      <c r="K20" s="89">
        <f t="shared" si="14"/>
        <v>96</v>
      </c>
      <c r="L20" s="75">
        <f t="shared" si="2"/>
        <v>752.64</v>
      </c>
      <c r="M20" s="88">
        <v>42680</v>
      </c>
      <c r="N20" s="89">
        <f t="shared" si="15"/>
        <v>20</v>
      </c>
      <c r="O20" s="89">
        <v>25882</v>
      </c>
      <c r="P20" s="92">
        <f t="shared" si="16"/>
        <v>18</v>
      </c>
      <c r="Q20" s="92">
        <f t="shared" si="5"/>
        <v>38</v>
      </c>
      <c r="R20" s="93">
        <v>64489</v>
      </c>
      <c r="S20" s="92">
        <f t="shared" si="17"/>
        <v>37</v>
      </c>
      <c r="T20" s="102">
        <f t="shared" si="6"/>
        <v>39.060900000000004</v>
      </c>
      <c r="U20" s="101">
        <f t="shared" si="7"/>
        <v>648.28294500000004</v>
      </c>
      <c r="V20" s="143">
        <v>79091</v>
      </c>
      <c r="W20" s="190">
        <f t="shared" si="18"/>
        <v>31</v>
      </c>
      <c r="X20" s="191">
        <f t="shared" si="8"/>
        <v>7357.2399999999989</v>
      </c>
      <c r="Y20" s="191">
        <f t="shared" si="19"/>
        <v>2537.5120759999995</v>
      </c>
      <c r="Z20" s="191">
        <f t="shared" si="20"/>
        <v>4560.3026805555555</v>
      </c>
      <c r="AA20" s="192">
        <f t="shared" si="9"/>
        <v>7097.8147565555555</v>
      </c>
      <c r="AB20" s="93">
        <v>1512729</v>
      </c>
      <c r="AC20" s="214">
        <f t="shared" si="10"/>
        <v>9632</v>
      </c>
      <c r="AD20" s="212">
        <f t="shared" si="11"/>
        <v>33.874342787810576</v>
      </c>
      <c r="AE20" s="174">
        <v>0.96189999999999998</v>
      </c>
      <c r="AF20" s="94">
        <v>357</v>
      </c>
      <c r="AG20" s="175">
        <v>21169</v>
      </c>
      <c r="AH20" s="140">
        <f t="shared" si="21"/>
        <v>8</v>
      </c>
      <c r="AI20" s="88">
        <v>15303538</v>
      </c>
      <c r="AJ20" s="89">
        <f t="shared" si="22"/>
        <v>5442</v>
      </c>
      <c r="AK20" s="94">
        <f t="shared" si="23"/>
        <v>1088.4000000000001</v>
      </c>
      <c r="AL20" s="88">
        <v>6999478</v>
      </c>
      <c r="AM20" s="89">
        <f t="shared" si="24"/>
        <v>2200</v>
      </c>
      <c r="AN20" s="94">
        <f t="shared" si="25"/>
        <v>440</v>
      </c>
      <c r="AO20" s="91">
        <v>269743</v>
      </c>
      <c r="AP20" s="89">
        <f t="shared" si="26"/>
        <v>469</v>
      </c>
      <c r="AQ20" s="94">
        <f t="shared" si="27"/>
        <v>93.800000000000011</v>
      </c>
      <c r="AR20" s="91">
        <v>9101</v>
      </c>
      <c r="AS20" s="89">
        <f t="shared" si="28"/>
        <v>6</v>
      </c>
      <c r="AT20" s="140">
        <f t="shared" si="29"/>
        <v>47.04</v>
      </c>
      <c r="AU20" s="88">
        <v>3397</v>
      </c>
      <c r="AV20" s="89">
        <f t="shared" si="30"/>
        <v>1</v>
      </c>
      <c r="AW20" s="94">
        <f t="shared" si="12"/>
        <v>7.84</v>
      </c>
      <c r="AX20" s="88">
        <v>222</v>
      </c>
      <c r="AY20" s="89">
        <f t="shared" si="31"/>
        <v>1</v>
      </c>
      <c r="AZ20" s="94">
        <f t="shared" si="32"/>
        <v>7.84</v>
      </c>
    </row>
    <row r="21" spans="1:52" s="3" customFormat="1" ht="27.95" customHeight="1" x14ac:dyDescent="0.25">
      <c r="A21" s="98">
        <v>45733</v>
      </c>
      <c r="B21" s="91">
        <v>21849166</v>
      </c>
      <c r="C21" s="89">
        <f t="shared" si="3"/>
        <v>8310</v>
      </c>
      <c r="D21" s="89">
        <v>22526110</v>
      </c>
      <c r="E21" s="89">
        <f t="shared" si="4"/>
        <v>7370</v>
      </c>
      <c r="F21" s="89">
        <v>498216</v>
      </c>
      <c r="G21" s="89">
        <f t="shared" si="13"/>
        <v>126</v>
      </c>
      <c r="H21" s="90">
        <f t="shared" si="0"/>
        <v>15806</v>
      </c>
      <c r="I21" s="109">
        <f t="shared" si="1"/>
        <v>3161.2000000000003</v>
      </c>
      <c r="J21" s="91">
        <v>116491</v>
      </c>
      <c r="K21" s="89">
        <f t="shared" si="14"/>
        <v>96</v>
      </c>
      <c r="L21" s="75">
        <f t="shared" si="2"/>
        <v>752.64</v>
      </c>
      <c r="M21" s="88">
        <v>42700</v>
      </c>
      <c r="N21" s="89">
        <f t="shared" si="15"/>
        <v>20</v>
      </c>
      <c r="O21" s="89">
        <v>25902</v>
      </c>
      <c r="P21" s="92">
        <f t="shared" si="16"/>
        <v>20</v>
      </c>
      <c r="Q21" s="92">
        <f t="shared" si="5"/>
        <v>40</v>
      </c>
      <c r="R21" s="93">
        <v>64528</v>
      </c>
      <c r="S21" s="92">
        <f t="shared" si="17"/>
        <v>39</v>
      </c>
      <c r="T21" s="102">
        <f t="shared" si="6"/>
        <v>41.1723</v>
      </c>
      <c r="U21" s="101">
        <f t="shared" si="7"/>
        <v>671.61391500000002</v>
      </c>
      <c r="V21" s="143">
        <v>79119</v>
      </c>
      <c r="W21" s="190">
        <f t="shared" si="18"/>
        <v>28</v>
      </c>
      <c r="X21" s="191">
        <f t="shared" si="8"/>
        <v>7126.2399999999989</v>
      </c>
      <c r="Y21" s="191">
        <f t="shared" si="19"/>
        <v>2457.8401759999997</v>
      </c>
      <c r="Z21" s="191">
        <f t="shared" si="20"/>
        <v>4560.3026805555555</v>
      </c>
      <c r="AA21" s="192">
        <f t="shared" si="9"/>
        <v>7018.1428565555552</v>
      </c>
      <c r="AB21" s="93">
        <v>1522130</v>
      </c>
      <c r="AC21" s="214">
        <f t="shared" si="10"/>
        <v>9401</v>
      </c>
      <c r="AD21" s="212">
        <f t="shared" si="11"/>
        <v>33.061949392463376</v>
      </c>
      <c r="AE21" s="174">
        <v>0.90790000000000004</v>
      </c>
      <c r="AF21" s="94">
        <v>353</v>
      </c>
      <c r="AG21" s="175">
        <v>21177</v>
      </c>
      <c r="AH21" s="140">
        <f t="shared" si="21"/>
        <v>8</v>
      </c>
      <c r="AI21" s="88">
        <v>15309254</v>
      </c>
      <c r="AJ21" s="89">
        <f t="shared" si="22"/>
        <v>5716</v>
      </c>
      <c r="AK21" s="94">
        <f t="shared" si="23"/>
        <v>1143.2</v>
      </c>
      <c r="AL21" s="88">
        <v>7001789</v>
      </c>
      <c r="AM21" s="89">
        <f t="shared" si="24"/>
        <v>2311</v>
      </c>
      <c r="AN21" s="94">
        <f t="shared" si="25"/>
        <v>462.20000000000005</v>
      </c>
      <c r="AO21" s="91">
        <v>270156</v>
      </c>
      <c r="AP21" s="89">
        <f t="shared" si="26"/>
        <v>413</v>
      </c>
      <c r="AQ21" s="94">
        <f t="shared" si="27"/>
        <v>82.600000000000009</v>
      </c>
      <c r="AR21" s="91">
        <v>9105</v>
      </c>
      <c r="AS21" s="89">
        <f t="shared" si="28"/>
        <v>4</v>
      </c>
      <c r="AT21" s="140">
        <f t="shared" si="29"/>
        <v>31.36</v>
      </c>
      <c r="AU21" s="88">
        <v>3398</v>
      </c>
      <c r="AV21" s="89">
        <f t="shared" si="30"/>
        <v>1</v>
      </c>
      <c r="AW21" s="94">
        <f t="shared" si="12"/>
        <v>7.84</v>
      </c>
      <c r="AX21" s="88">
        <v>223</v>
      </c>
      <c r="AY21" s="89">
        <f t="shared" si="31"/>
        <v>1</v>
      </c>
      <c r="AZ21" s="94">
        <f t="shared" si="32"/>
        <v>7.84</v>
      </c>
    </row>
    <row r="22" spans="1:52" s="3" customFormat="1" ht="27.95" customHeight="1" x14ac:dyDescent="0.25">
      <c r="A22" s="98">
        <v>45734</v>
      </c>
      <c r="B22" s="91">
        <v>21857235</v>
      </c>
      <c r="C22" s="89">
        <f t="shared" si="3"/>
        <v>8069</v>
      </c>
      <c r="D22" s="89">
        <v>22533814</v>
      </c>
      <c r="E22" s="89">
        <f t="shared" si="4"/>
        <v>7704</v>
      </c>
      <c r="F22" s="89">
        <v>498340</v>
      </c>
      <c r="G22" s="89">
        <f t="shared" si="13"/>
        <v>124</v>
      </c>
      <c r="H22" s="90">
        <f t="shared" si="0"/>
        <v>15897</v>
      </c>
      <c r="I22" s="109">
        <f t="shared" si="1"/>
        <v>3179.4</v>
      </c>
      <c r="J22" s="91">
        <v>116602</v>
      </c>
      <c r="K22" s="89">
        <f t="shared" si="14"/>
        <v>111</v>
      </c>
      <c r="L22" s="75">
        <f t="shared" si="2"/>
        <v>870.24</v>
      </c>
      <c r="M22" s="88">
        <v>42720</v>
      </c>
      <c r="N22" s="89">
        <f t="shared" si="15"/>
        <v>20</v>
      </c>
      <c r="O22" s="89">
        <v>25924</v>
      </c>
      <c r="P22" s="92">
        <f t="shared" si="16"/>
        <v>22</v>
      </c>
      <c r="Q22" s="92">
        <f t="shared" si="5"/>
        <v>42</v>
      </c>
      <c r="R22" s="93">
        <v>64570</v>
      </c>
      <c r="S22" s="92">
        <f t="shared" si="17"/>
        <v>42</v>
      </c>
      <c r="T22" s="102">
        <f t="shared" si="6"/>
        <v>44.339400000000005</v>
      </c>
      <c r="U22" s="101">
        <f t="shared" si="7"/>
        <v>706.6103700000001</v>
      </c>
      <c r="V22" s="143">
        <v>79147</v>
      </c>
      <c r="W22" s="190">
        <f t="shared" si="18"/>
        <v>28</v>
      </c>
      <c r="X22" s="191">
        <f t="shared" si="8"/>
        <v>7049.9299999999994</v>
      </c>
      <c r="Y22" s="191">
        <f>(AD22-AH22)*284.345*0.3449</f>
        <v>2431.5208569999995</v>
      </c>
      <c r="Z22" s="191">
        <f t="shared" si="20"/>
        <v>4560.3026805555555</v>
      </c>
      <c r="AA22" s="192">
        <f t="shared" si="9"/>
        <v>6991.823537555555</v>
      </c>
      <c r="AB22" s="93">
        <v>1530886</v>
      </c>
      <c r="AC22" s="214">
        <f t="shared" si="10"/>
        <v>8756</v>
      </c>
      <c r="AD22" s="212">
        <f t="shared" si="11"/>
        <v>30.793578223636775</v>
      </c>
      <c r="AE22" s="174">
        <v>0.95240000000000002</v>
      </c>
      <c r="AF22" s="94">
        <v>398</v>
      </c>
      <c r="AG22" s="175">
        <v>21183</v>
      </c>
      <c r="AH22" s="140">
        <f t="shared" si="21"/>
        <v>6</v>
      </c>
      <c r="AI22" s="88">
        <v>15314663</v>
      </c>
      <c r="AJ22" s="89">
        <f t="shared" si="22"/>
        <v>5409</v>
      </c>
      <c r="AK22" s="94">
        <f t="shared" si="23"/>
        <v>1081.8</v>
      </c>
      <c r="AL22" s="88">
        <v>7004056</v>
      </c>
      <c r="AM22" s="89">
        <f t="shared" si="24"/>
        <v>2267</v>
      </c>
      <c r="AN22" s="94">
        <f t="shared" si="25"/>
        <v>453.40000000000003</v>
      </c>
      <c r="AO22" s="91">
        <v>270543</v>
      </c>
      <c r="AP22" s="89">
        <f t="shared" si="26"/>
        <v>387</v>
      </c>
      <c r="AQ22" s="94">
        <f t="shared" si="27"/>
        <v>77.400000000000006</v>
      </c>
      <c r="AR22" s="91">
        <v>9109</v>
      </c>
      <c r="AS22" s="89">
        <f t="shared" si="28"/>
        <v>4</v>
      </c>
      <c r="AT22" s="140">
        <f t="shared" si="29"/>
        <v>31.36</v>
      </c>
      <c r="AU22" s="88">
        <v>3401</v>
      </c>
      <c r="AV22" s="89">
        <f t="shared" si="30"/>
        <v>3</v>
      </c>
      <c r="AW22" s="94">
        <f t="shared" si="12"/>
        <v>23.52</v>
      </c>
      <c r="AX22" s="88">
        <v>224</v>
      </c>
      <c r="AY22" s="89">
        <f t="shared" si="31"/>
        <v>1</v>
      </c>
      <c r="AZ22" s="94">
        <f t="shared" si="32"/>
        <v>7.84</v>
      </c>
    </row>
    <row r="23" spans="1:52" s="3" customFormat="1" ht="27.95" customHeight="1" x14ac:dyDescent="0.25">
      <c r="A23" s="98">
        <v>45735</v>
      </c>
      <c r="B23" s="91">
        <v>21865145</v>
      </c>
      <c r="C23" s="89">
        <f t="shared" si="3"/>
        <v>7910</v>
      </c>
      <c r="D23" s="89">
        <v>22541779</v>
      </c>
      <c r="E23" s="89">
        <f t="shared" si="4"/>
        <v>7965</v>
      </c>
      <c r="F23" s="89">
        <v>498466</v>
      </c>
      <c r="G23" s="89">
        <f t="shared" si="13"/>
        <v>126</v>
      </c>
      <c r="H23" s="90">
        <f t="shared" si="0"/>
        <v>16001</v>
      </c>
      <c r="I23" s="109">
        <f t="shared" si="1"/>
        <v>3200.2000000000003</v>
      </c>
      <c r="J23" s="91">
        <v>116709</v>
      </c>
      <c r="K23" s="89">
        <f t="shared" si="14"/>
        <v>107</v>
      </c>
      <c r="L23" s="75">
        <f t="shared" si="2"/>
        <v>838.88</v>
      </c>
      <c r="M23" s="88">
        <v>42740</v>
      </c>
      <c r="N23" s="89">
        <f t="shared" si="15"/>
        <v>20</v>
      </c>
      <c r="O23" s="89">
        <v>25942</v>
      </c>
      <c r="P23" s="92">
        <f t="shared" si="16"/>
        <v>18</v>
      </c>
      <c r="Q23" s="92">
        <f t="shared" si="5"/>
        <v>38</v>
      </c>
      <c r="R23" s="93">
        <v>64608</v>
      </c>
      <c r="S23" s="92">
        <f t="shared" si="17"/>
        <v>38</v>
      </c>
      <c r="T23" s="102">
        <f t="shared" si="6"/>
        <v>40.116600000000005</v>
      </c>
      <c r="U23" s="101">
        <f t="shared" si="7"/>
        <v>659.94843000000003</v>
      </c>
      <c r="V23" s="143">
        <v>79174</v>
      </c>
      <c r="W23" s="190">
        <f t="shared" si="18"/>
        <v>27</v>
      </c>
      <c r="X23" s="191">
        <f t="shared" si="8"/>
        <v>6347.93</v>
      </c>
      <c r="Y23" s="191">
        <f t="shared" si="19"/>
        <v>2189.401057</v>
      </c>
      <c r="Z23" s="191">
        <f t="shared" si="20"/>
        <v>4560.3026805555555</v>
      </c>
      <c r="AA23" s="192">
        <f t="shared" si="9"/>
        <v>6749.7037375555556</v>
      </c>
      <c r="AB23" s="93">
        <v>1538940</v>
      </c>
      <c r="AC23" s="214">
        <f t="shared" si="10"/>
        <v>8054</v>
      </c>
      <c r="AD23" s="212">
        <f t="shared" si="11"/>
        <v>28.324746346867361</v>
      </c>
      <c r="AE23" s="174">
        <v>0.93020000000000003</v>
      </c>
      <c r="AF23" s="94">
        <v>393</v>
      </c>
      <c r="AG23" s="175">
        <v>21189</v>
      </c>
      <c r="AH23" s="140">
        <f t="shared" si="21"/>
        <v>6</v>
      </c>
      <c r="AI23" s="88">
        <v>15318995</v>
      </c>
      <c r="AJ23" s="89">
        <f t="shared" si="22"/>
        <v>4332</v>
      </c>
      <c r="AK23" s="94">
        <f t="shared" si="23"/>
        <v>866.40000000000009</v>
      </c>
      <c r="AL23" s="88">
        <v>7006142</v>
      </c>
      <c r="AM23" s="89">
        <f t="shared" si="24"/>
        <v>2086</v>
      </c>
      <c r="AN23" s="94">
        <f t="shared" si="25"/>
        <v>417.20000000000005</v>
      </c>
      <c r="AO23" s="91">
        <v>271104</v>
      </c>
      <c r="AP23" s="89">
        <f t="shared" si="26"/>
        <v>561</v>
      </c>
      <c r="AQ23" s="94">
        <f t="shared" si="27"/>
        <v>112.2</v>
      </c>
      <c r="AR23" s="91">
        <v>9117</v>
      </c>
      <c r="AS23" s="89">
        <f t="shared" si="28"/>
        <v>8</v>
      </c>
      <c r="AT23" s="140">
        <f t="shared" si="29"/>
        <v>62.72</v>
      </c>
      <c r="AU23" s="88">
        <v>3402</v>
      </c>
      <c r="AV23" s="89">
        <f t="shared" si="30"/>
        <v>1</v>
      </c>
      <c r="AW23" s="94">
        <f t="shared" si="12"/>
        <v>7.84</v>
      </c>
      <c r="AX23" s="88">
        <v>224</v>
      </c>
      <c r="AY23" s="89">
        <f t="shared" si="31"/>
        <v>0</v>
      </c>
      <c r="AZ23" s="94">
        <f t="shared" si="32"/>
        <v>0</v>
      </c>
    </row>
    <row r="24" spans="1:52" s="3" customFormat="1" ht="27.95" customHeight="1" x14ac:dyDescent="0.25">
      <c r="A24" s="98">
        <v>45736</v>
      </c>
      <c r="B24" s="91">
        <v>21873069</v>
      </c>
      <c r="C24" s="89">
        <f t="shared" si="3"/>
        <v>7924</v>
      </c>
      <c r="D24" s="89">
        <v>22548874</v>
      </c>
      <c r="E24" s="89">
        <f t="shared" si="4"/>
        <v>7095</v>
      </c>
      <c r="F24" s="89">
        <v>498589</v>
      </c>
      <c r="G24" s="89">
        <f t="shared" si="13"/>
        <v>123</v>
      </c>
      <c r="H24" s="90">
        <f t="shared" si="0"/>
        <v>15142</v>
      </c>
      <c r="I24" s="109">
        <f t="shared" si="1"/>
        <v>3028.4</v>
      </c>
      <c r="J24" s="91">
        <v>116816</v>
      </c>
      <c r="K24" s="89">
        <f t="shared" si="14"/>
        <v>107</v>
      </c>
      <c r="L24" s="75">
        <f t="shared" si="2"/>
        <v>838.88</v>
      </c>
      <c r="M24" s="88">
        <v>42760</v>
      </c>
      <c r="N24" s="89">
        <f t="shared" si="15"/>
        <v>20</v>
      </c>
      <c r="O24" s="89">
        <v>25959</v>
      </c>
      <c r="P24" s="92">
        <f t="shared" si="16"/>
        <v>17</v>
      </c>
      <c r="Q24" s="92">
        <f t="shared" si="5"/>
        <v>37</v>
      </c>
      <c r="R24" s="93">
        <v>64644</v>
      </c>
      <c r="S24" s="92">
        <f t="shared" si="17"/>
        <v>36</v>
      </c>
      <c r="T24" s="102">
        <f t="shared" si="6"/>
        <v>38.005200000000002</v>
      </c>
      <c r="U24" s="101">
        <f t="shared" si="7"/>
        <v>636.61746000000005</v>
      </c>
      <c r="V24" s="143">
        <v>79202</v>
      </c>
      <c r="W24" s="190">
        <f t="shared" si="18"/>
        <v>28</v>
      </c>
      <c r="X24" s="191">
        <f t="shared" si="8"/>
        <v>6527.62</v>
      </c>
      <c r="Y24" s="191">
        <f t="shared" si="19"/>
        <v>2251.3761380000001</v>
      </c>
      <c r="Z24" s="191">
        <f t="shared" si="20"/>
        <v>4560.3026805555555</v>
      </c>
      <c r="AA24" s="192">
        <f t="shared" si="9"/>
        <v>6811.6788185555561</v>
      </c>
      <c r="AB24" s="93">
        <v>1546605</v>
      </c>
      <c r="AC24" s="214">
        <f t="shared" si="10"/>
        <v>7665</v>
      </c>
      <c r="AD24" s="212">
        <f t="shared" si="11"/>
        <v>26.956689936520775</v>
      </c>
      <c r="AE24" s="174">
        <v>0.8508</v>
      </c>
      <c r="AF24" s="94">
        <v>342</v>
      </c>
      <c r="AG24" s="175">
        <v>21193</v>
      </c>
      <c r="AH24" s="140">
        <f t="shared" si="21"/>
        <v>4</v>
      </c>
      <c r="AI24" s="88">
        <v>15323380</v>
      </c>
      <c r="AJ24" s="89">
        <f t="shared" si="22"/>
        <v>4385</v>
      </c>
      <c r="AK24" s="94">
        <f t="shared" si="23"/>
        <v>877</v>
      </c>
      <c r="AL24" s="88">
        <v>7008255</v>
      </c>
      <c r="AM24" s="89">
        <f t="shared" si="24"/>
        <v>2113</v>
      </c>
      <c r="AN24" s="94">
        <f t="shared" si="25"/>
        <v>422.6</v>
      </c>
      <c r="AO24" s="91">
        <v>271539</v>
      </c>
      <c r="AP24" s="89">
        <f t="shared" si="26"/>
        <v>435</v>
      </c>
      <c r="AQ24" s="94">
        <f t="shared" si="27"/>
        <v>87</v>
      </c>
      <c r="AR24" s="144">
        <v>9124</v>
      </c>
      <c r="AS24" s="89">
        <f t="shared" si="28"/>
        <v>7</v>
      </c>
      <c r="AT24" s="140">
        <f t="shared" si="29"/>
        <v>54.879999999999995</v>
      </c>
      <c r="AU24" s="143">
        <v>3403</v>
      </c>
      <c r="AV24" s="89">
        <f t="shared" si="30"/>
        <v>1</v>
      </c>
      <c r="AW24" s="94">
        <f t="shared" si="12"/>
        <v>7.84</v>
      </c>
      <c r="AX24" s="88">
        <v>225</v>
      </c>
      <c r="AY24" s="89">
        <f t="shared" si="31"/>
        <v>1</v>
      </c>
      <c r="AZ24" s="94">
        <f t="shared" si="32"/>
        <v>7.84</v>
      </c>
    </row>
    <row r="25" spans="1:52" s="7" customFormat="1" ht="27.95" customHeight="1" x14ac:dyDescent="0.25">
      <c r="A25" s="98">
        <v>45737</v>
      </c>
      <c r="B25" s="91">
        <v>21881091</v>
      </c>
      <c r="C25" s="89">
        <f t="shared" si="3"/>
        <v>8022</v>
      </c>
      <c r="D25" s="89">
        <v>22556048</v>
      </c>
      <c r="E25" s="89">
        <f t="shared" si="4"/>
        <v>7174</v>
      </c>
      <c r="F25" s="89">
        <v>498716</v>
      </c>
      <c r="G25" s="89">
        <f t="shared" si="13"/>
        <v>127</v>
      </c>
      <c r="H25" s="90">
        <f t="shared" si="0"/>
        <v>15323</v>
      </c>
      <c r="I25" s="109">
        <f t="shared" si="1"/>
        <v>3064.6000000000004</v>
      </c>
      <c r="J25" s="91">
        <v>116918</v>
      </c>
      <c r="K25" s="89">
        <f t="shared" si="14"/>
        <v>102</v>
      </c>
      <c r="L25" s="75">
        <f t="shared" si="2"/>
        <v>799.68</v>
      </c>
      <c r="M25" s="88">
        <v>42778</v>
      </c>
      <c r="N25" s="89">
        <f t="shared" si="15"/>
        <v>18</v>
      </c>
      <c r="O25" s="89">
        <v>25982</v>
      </c>
      <c r="P25" s="92">
        <f t="shared" si="16"/>
        <v>23</v>
      </c>
      <c r="Q25" s="92">
        <f t="shared" si="5"/>
        <v>41</v>
      </c>
      <c r="R25" s="93">
        <v>64685</v>
      </c>
      <c r="S25" s="92">
        <f t="shared" si="17"/>
        <v>41</v>
      </c>
      <c r="T25" s="102">
        <f t="shared" si="6"/>
        <v>43.283700000000003</v>
      </c>
      <c r="U25" s="101">
        <f t="shared" si="7"/>
        <v>694.94488500000011</v>
      </c>
      <c r="V25" s="143">
        <v>79232</v>
      </c>
      <c r="W25" s="190">
        <f t="shared" si="18"/>
        <v>30</v>
      </c>
      <c r="X25" s="191">
        <f t="shared" si="8"/>
        <v>7082.585</v>
      </c>
      <c r="Y25" s="191">
        <f t="shared" si="19"/>
        <v>2442.7835664999998</v>
      </c>
      <c r="Z25" s="191">
        <f t="shared" si="20"/>
        <v>4560.3026805555555</v>
      </c>
      <c r="AA25" s="192">
        <f t="shared" si="9"/>
        <v>7003.0862470555548</v>
      </c>
      <c r="AB25" s="93">
        <v>1555678</v>
      </c>
      <c r="AC25" s="214">
        <f t="shared" si="10"/>
        <v>9073</v>
      </c>
      <c r="AD25" s="212">
        <f t="shared" si="11"/>
        <v>31.908421108160859</v>
      </c>
      <c r="AE25" s="180">
        <v>0.78410000000000002</v>
      </c>
      <c r="AF25" s="181">
        <v>315</v>
      </c>
      <c r="AG25" s="182">
        <v>21200</v>
      </c>
      <c r="AH25" s="140">
        <f t="shared" si="21"/>
        <v>7</v>
      </c>
      <c r="AI25" s="143">
        <v>15329007</v>
      </c>
      <c r="AJ25" s="89">
        <f t="shared" si="22"/>
        <v>5627</v>
      </c>
      <c r="AK25" s="94">
        <f t="shared" si="23"/>
        <v>1125.4000000000001</v>
      </c>
      <c r="AL25" s="143">
        <v>7010529</v>
      </c>
      <c r="AM25" s="89">
        <f t="shared" si="24"/>
        <v>2274</v>
      </c>
      <c r="AN25" s="94">
        <f t="shared" si="25"/>
        <v>454.8</v>
      </c>
      <c r="AO25" s="144">
        <v>272073</v>
      </c>
      <c r="AP25" s="89">
        <f t="shared" si="26"/>
        <v>534</v>
      </c>
      <c r="AQ25" s="94">
        <f t="shared" si="27"/>
        <v>106.80000000000001</v>
      </c>
      <c r="AR25" s="91">
        <v>9130</v>
      </c>
      <c r="AS25" s="89">
        <f t="shared" si="28"/>
        <v>6</v>
      </c>
      <c r="AT25" s="140">
        <f t="shared" si="29"/>
        <v>47.04</v>
      </c>
      <c r="AU25" s="88">
        <v>3404</v>
      </c>
      <c r="AV25" s="89">
        <f t="shared" si="30"/>
        <v>1</v>
      </c>
      <c r="AW25" s="94">
        <f t="shared" si="12"/>
        <v>7.84</v>
      </c>
      <c r="AX25" s="143">
        <v>226</v>
      </c>
      <c r="AY25" s="89">
        <f t="shared" si="31"/>
        <v>1</v>
      </c>
      <c r="AZ25" s="94">
        <f t="shared" si="32"/>
        <v>7.84</v>
      </c>
    </row>
    <row r="26" spans="1:52" s="3" customFormat="1" ht="27.95" customHeight="1" x14ac:dyDescent="0.25">
      <c r="A26" s="98">
        <v>45738</v>
      </c>
      <c r="B26" s="91">
        <v>21889016</v>
      </c>
      <c r="C26" s="89">
        <f t="shared" si="3"/>
        <v>7925</v>
      </c>
      <c r="D26" s="89">
        <v>22563311</v>
      </c>
      <c r="E26" s="89">
        <f t="shared" si="4"/>
        <v>7263</v>
      </c>
      <c r="F26" s="89">
        <v>498836</v>
      </c>
      <c r="G26" s="89">
        <f t="shared" si="13"/>
        <v>120</v>
      </c>
      <c r="H26" s="90">
        <f t="shared" si="0"/>
        <v>15308</v>
      </c>
      <c r="I26" s="109">
        <f t="shared" si="1"/>
        <v>3061.6000000000004</v>
      </c>
      <c r="J26" s="91">
        <v>117001</v>
      </c>
      <c r="K26" s="89">
        <f t="shared" si="14"/>
        <v>83</v>
      </c>
      <c r="L26" s="75">
        <f t="shared" si="2"/>
        <v>650.72</v>
      </c>
      <c r="M26" s="88">
        <v>42796</v>
      </c>
      <c r="N26" s="89">
        <f t="shared" si="15"/>
        <v>18</v>
      </c>
      <c r="O26" s="89">
        <v>25999</v>
      </c>
      <c r="P26" s="92">
        <f t="shared" si="16"/>
        <v>17</v>
      </c>
      <c r="Q26" s="92">
        <f t="shared" si="5"/>
        <v>35</v>
      </c>
      <c r="R26" s="93">
        <v>64719</v>
      </c>
      <c r="S26" s="92">
        <f t="shared" si="17"/>
        <v>34</v>
      </c>
      <c r="T26" s="102">
        <f t="shared" si="6"/>
        <v>35.893800000000006</v>
      </c>
      <c r="U26" s="101">
        <f t="shared" si="7"/>
        <v>613.28649000000007</v>
      </c>
      <c r="V26" s="143">
        <v>79264</v>
      </c>
      <c r="W26" s="190">
        <f t="shared" si="18"/>
        <v>32</v>
      </c>
      <c r="X26" s="191">
        <f t="shared" si="8"/>
        <v>7624.2400000000007</v>
      </c>
      <c r="Y26" s="191">
        <f t="shared" si="19"/>
        <v>2629.6003760000003</v>
      </c>
      <c r="Z26" s="191">
        <f t="shared" si="20"/>
        <v>4560.3026805555555</v>
      </c>
      <c r="AA26" s="192">
        <f t="shared" si="9"/>
        <v>7189.9030565555558</v>
      </c>
      <c r="AB26" s="93">
        <v>1565577</v>
      </c>
      <c r="AC26" s="214">
        <f t="shared" si="10"/>
        <v>9899</v>
      </c>
      <c r="AD26" s="212">
        <f t="shared" si="11"/>
        <v>34.813342946069035</v>
      </c>
      <c r="AE26" s="174">
        <v>0.83809999999999996</v>
      </c>
      <c r="AF26" s="94">
        <v>321</v>
      </c>
      <c r="AG26" s="175">
        <v>21208</v>
      </c>
      <c r="AH26" s="140">
        <f t="shared" si="21"/>
        <v>8</v>
      </c>
      <c r="AI26" s="88">
        <v>15334611</v>
      </c>
      <c r="AJ26" s="89">
        <f t="shared" si="22"/>
        <v>5604</v>
      </c>
      <c r="AK26" s="94">
        <f t="shared" si="23"/>
        <v>1120.8</v>
      </c>
      <c r="AL26" s="88">
        <v>7012752</v>
      </c>
      <c r="AM26" s="89">
        <f t="shared" si="24"/>
        <v>2223</v>
      </c>
      <c r="AN26" s="94">
        <f t="shared" si="25"/>
        <v>444.6</v>
      </c>
      <c r="AO26" s="91">
        <v>272724</v>
      </c>
      <c r="AP26" s="89">
        <f t="shared" si="26"/>
        <v>651</v>
      </c>
      <c r="AQ26" s="94">
        <f t="shared" si="27"/>
        <v>130.20000000000002</v>
      </c>
      <c r="AR26" s="91">
        <v>9136</v>
      </c>
      <c r="AS26" s="89">
        <f t="shared" si="28"/>
        <v>6</v>
      </c>
      <c r="AT26" s="140">
        <f t="shared" si="29"/>
        <v>47.04</v>
      </c>
      <c r="AU26" s="88">
        <v>3405</v>
      </c>
      <c r="AV26" s="89">
        <f t="shared" si="30"/>
        <v>1</v>
      </c>
      <c r="AW26" s="94">
        <f t="shared" si="12"/>
        <v>7.84</v>
      </c>
      <c r="AX26" s="88">
        <v>227</v>
      </c>
      <c r="AY26" s="89">
        <f t="shared" si="31"/>
        <v>1</v>
      </c>
      <c r="AZ26" s="94">
        <f t="shared" si="32"/>
        <v>7.84</v>
      </c>
    </row>
    <row r="27" spans="1:52" s="3" customFormat="1" ht="27.95" customHeight="1" x14ac:dyDescent="0.25">
      <c r="A27" s="98">
        <v>45739</v>
      </c>
      <c r="B27" s="91">
        <v>21896808</v>
      </c>
      <c r="C27" s="89">
        <f t="shared" si="3"/>
        <v>7792</v>
      </c>
      <c r="D27" s="89">
        <v>22570628</v>
      </c>
      <c r="E27" s="89">
        <f t="shared" si="4"/>
        <v>7317</v>
      </c>
      <c r="F27" s="89">
        <v>498954</v>
      </c>
      <c r="G27" s="89">
        <f>IF(ISBLANK(F27),"0",F27-F26)</f>
        <v>118</v>
      </c>
      <c r="H27" s="90">
        <f t="shared" si="0"/>
        <v>15227</v>
      </c>
      <c r="I27" s="109">
        <f t="shared" si="1"/>
        <v>3045.4</v>
      </c>
      <c r="J27" s="91">
        <v>117102</v>
      </c>
      <c r="K27" s="89">
        <f>IF(ISBLANK(J27),"0",J27-J26)</f>
        <v>101</v>
      </c>
      <c r="L27" s="75">
        <f t="shared" si="2"/>
        <v>791.84</v>
      </c>
      <c r="M27" s="88">
        <v>42814</v>
      </c>
      <c r="N27" s="89">
        <f t="shared" si="15"/>
        <v>18</v>
      </c>
      <c r="O27" s="89">
        <v>26013</v>
      </c>
      <c r="P27" s="92">
        <f t="shared" si="16"/>
        <v>14</v>
      </c>
      <c r="Q27" s="92">
        <f t="shared" si="5"/>
        <v>32</v>
      </c>
      <c r="R27" s="93">
        <v>64752</v>
      </c>
      <c r="S27" s="92">
        <f t="shared" si="17"/>
        <v>33</v>
      </c>
      <c r="T27" s="102">
        <f t="shared" si="6"/>
        <v>34.838100000000004</v>
      </c>
      <c r="U27" s="101">
        <f t="shared" si="7"/>
        <v>601.62100500000008</v>
      </c>
      <c r="V27" s="143">
        <v>79296</v>
      </c>
      <c r="W27" s="190">
        <f t="shared" si="18"/>
        <v>32</v>
      </c>
      <c r="X27" s="191">
        <f t="shared" si="8"/>
        <v>7566.8950000000004</v>
      </c>
      <c r="Y27" s="191">
        <f t="shared" si="19"/>
        <v>2609.8220855</v>
      </c>
      <c r="Z27" s="191">
        <f t="shared" si="20"/>
        <v>4560.3026805555555</v>
      </c>
      <c r="AA27" s="192">
        <f t="shared" si="9"/>
        <v>7170.1247660555555</v>
      </c>
      <c r="AB27" s="93">
        <v>1575703</v>
      </c>
      <c r="AC27" s="214">
        <f t="shared" si="10"/>
        <v>10126</v>
      </c>
      <c r="AD27" s="212">
        <f t="shared" si="11"/>
        <v>35.611668923314987</v>
      </c>
      <c r="AE27" s="174">
        <v>0.82220000000000004</v>
      </c>
      <c r="AF27" s="94">
        <v>331</v>
      </c>
      <c r="AG27" s="175">
        <v>21217</v>
      </c>
      <c r="AH27" s="140">
        <f t="shared" si="21"/>
        <v>9</v>
      </c>
      <c r="AI27" s="88">
        <v>15340292</v>
      </c>
      <c r="AJ27" s="89">
        <f t="shared" si="22"/>
        <v>5681</v>
      </c>
      <c r="AK27" s="94">
        <f t="shared" si="23"/>
        <v>1136.2</v>
      </c>
      <c r="AL27" s="88">
        <v>7015045</v>
      </c>
      <c r="AM27" s="89">
        <f t="shared" si="24"/>
        <v>2293</v>
      </c>
      <c r="AN27" s="94">
        <f t="shared" si="25"/>
        <v>458.6</v>
      </c>
      <c r="AO27" s="91">
        <v>273324</v>
      </c>
      <c r="AP27" s="89">
        <f t="shared" si="26"/>
        <v>600</v>
      </c>
      <c r="AQ27" s="94">
        <f t="shared" si="27"/>
        <v>120</v>
      </c>
      <c r="AR27" s="91">
        <v>9142</v>
      </c>
      <c r="AS27" s="89">
        <f t="shared" si="28"/>
        <v>6</v>
      </c>
      <c r="AT27" s="140">
        <f t="shared" si="29"/>
        <v>47.04</v>
      </c>
      <c r="AU27" s="88">
        <v>3407</v>
      </c>
      <c r="AV27" s="89">
        <f t="shared" si="30"/>
        <v>2</v>
      </c>
      <c r="AW27" s="94">
        <f t="shared" si="12"/>
        <v>15.68</v>
      </c>
      <c r="AX27" s="88">
        <v>228</v>
      </c>
      <c r="AY27" s="89">
        <f t="shared" si="31"/>
        <v>1</v>
      </c>
      <c r="AZ27" s="94">
        <f t="shared" si="32"/>
        <v>7.84</v>
      </c>
    </row>
    <row r="28" spans="1:52" s="3" customFormat="1" ht="27.95" customHeight="1" x14ac:dyDescent="0.25">
      <c r="A28" s="98">
        <v>45740</v>
      </c>
      <c r="B28" s="91">
        <v>21904792</v>
      </c>
      <c r="C28" s="89">
        <f t="shared" si="3"/>
        <v>7984</v>
      </c>
      <c r="D28" s="89">
        <v>22578009</v>
      </c>
      <c r="E28" s="89">
        <f t="shared" si="4"/>
        <v>7381</v>
      </c>
      <c r="F28" s="89">
        <v>499071</v>
      </c>
      <c r="G28" s="89">
        <f t="shared" si="13"/>
        <v>117</v>
      </c>
      <c r="H28" s="90">
        <f t="shared" si="0"/>
        <v>15482</v>
      </c>
      <c r="I28" s="109">
        <f t="shared" si="1"/>
        <v>3096.4</v>
      </c>
      <c r="J28" s="91">
        <v>117203</v>
      </c>
      <c r="K28" s="89">
        <f t="shared" si="14"/>
        <v>101</v>
      </c>
      <c r="L28" s="75">
        <f t="shared" si="2"/>
        <v>791.84</v>
      </c>
      <c r="M28" s="88">
        <v>42834</v>
      </c>
      <c r="N28" s="89">
        <f t="shared" si="15"/>
        <v>20</v>
      </c>
      <c r="O28" s="89">
        <v>26029</v>
      </c>
      <c r="P28" s="92">
        <f t="shared" si="16"/>
        <v>16</v>
      </c>
      <c r="Q28" s="92">
        <f t="shared" si="5"/>
        <v>36</v>
      </c>
      <c r="R28" s="93">
        <v>64787</v>
      </c>
      <c r="S28" s="92">
        <f t="shared" si="17"/>
        <v>35</v>
      </c>
      <c r="T28" s="102">
        <f t="shared" si="6"/>
        <v>36.9495</v>
      </c>
      <c r="U28" s="101">
        <f t="shared" si="7"/>
        <v>624.95197500000006</v>
      </c>
      <c r="V28" s="143">
        <v>79327</v>
      </c>
      <c r="W28" s="190">
        <f t="shared" si="18"/>
        <v>31</v>
      </c>
      <c r="X28" s="191">
        <f t="shared" si="8"/>
        <v>7849.2399999999989</v>
      </c>
      <c r="Y28" s="191">
        <f t="shared" si="19"/>
        <v>2707.2028759999994</v>
      </c>
      <c r="Z28" s="191">
        <f t="shared" si="20"/>
        <v>4560.3026805555555</v>
      </c>
      <c r="AA28" s="192">
        <f t="shared" si="9"/>
        <v>7267.5055565555549</v>
      </c>
      <c r="AB28" s="93">
        <v>1585827</v>
      </c>
      <c r="AC28" s="214">
        <f t="shared" si="10"/>
        <v>10124</v>
      </c>
      <c r="AD28" s="212">
        <f t="shared" si="11"/>
        <v>35.604635214264356</v>
      </c>
      <c r="AE28" s="174">
        <v>0.8508</v>
      </c>
      <c r="AF28" s="94">
        <v>350</v>
      </c>
      <c r="AG28" s="175">
        <v>21225</v>
      </c>
      <c r="AH28" s="140">
        <f t="shared" si="21"/>
        <v>8</v>
      </c>
      <c r="AI28" s="88">
        <v>15345957</v>
      </c>
      <c r="AJ28" s="89">
        <f t="shared" si="22"/>
        <v>5665</v>
      </c>
      <c r="AK28" s="94">
        <f t="shared" si="23"/>
        <v>1133</v>
      </c>
      <c r="AL28" s="88">
        <v>7017345</v>
      </c>
      <c r="AM28" s="89">
        <f t="shared" si="24"/>
        <v>2300</v>
      </c>
      <c r="AN28" s="94">
        <f t="shared" si="25"/>
        <v>460</v>
      </c>
      <c r="AO28" s="91">
        <v>273852</v>
      </c>
      <c r="AP28" s="89">
        <f t="shared" si="26"/>
        <v>528</v>
      </c>
      <c r="AQ28" s="94">
        <f t="shared" si="27"/>
        <v>105.60000000000001</v>
      </c>
      <c r="AR28" s="91">
        <v>9148</v>
      </c>
      <c r="AS28" s="89">
        <f t="shared" si="28"/>
        <v>6</v>
      </c>
      <c r="AT28" s="140">
        <f t="shared" si="29"/>
        <v>47.04</v>
      </c>
      <c r="AU28" s="88">
        <v>3408</v>
      </c>
      <c r="AV28" s="89">
        <f t="shared" si="30"/>
        <v>1</v>
      </c>
      <c r="AW28" s="94">
        <f t="shared" si="12"/>
        <v>7.84</v>
      </c>
      <c r="AX28" s="88">
        <v>229</v>
      </c>
      <c r="AY28" s="89">
        <f t="shared" si="31"/>
        <v>1</v>
      </c>
      <c r="AZ28" s="94">
        <f t="shared" si="32"/>
        <v>7.84</v>
      </c>
    </row>
    <row r="29" spans="1:52" s="3" customFormat="1" ht="27.95" customHeight="1" x14ac:dyDescent="0.25">
      <c r="A29" s="98">
        <v>45741</v>
      </c>
      <c r="B29" s="91">
        <v>21912786</v>
      </c>
      <c r="C29" s="89">
        <f t="shared" si="3"/>
        <v>7994</v>
      </c>
      <c r="D29" s="89">
        <v>22585317</v>
      </c>
      <c r="E29" s="89">
        <f t="shared" si="4"/>
        <v>7308</v>
      </c>
      <c r="F29" s="89">
        <v>499184</v>
      </c>
      <c r="G29" s="89">
        <f t="shared" si="13"/>
        <v>113</v>
      </c>
      <c r="H29" s="90">
        <f t="shared" si="0"/>
        <v>15415</v>
      </c>
      <c r="I29" s="109">
        <f t="shared" si="1"/>
        <v>3083</v>
      </c>
      <c r="J29" s="91">
        <v>117307</v>
      </c>
      <c r="K29" s="89">
        <f t="shared" si="14"/>
        <v>104</v>
      </c>
      <c r="L29" s="75">
        <f t="shared" si="2"/>
        <v>815.36</v>
      </c>
      <c r="M29" s="88">
        <v>42854</v>
      </c>
      <c r="N29" s="89">
        <f t="shared" si="15"/>
        <v>20</v>
      </c>
      <c r="O29" s="89">
        <v>26045</v>
      </c>
      <c r="P29" s="92">
        <f t="shared" si="16"/>
        <v>16</v>
      </c>
      <c r="Q29" s="92">
        <f t="shared" si="5"/>
        <v>36</v>
      </c>
      <c r="R29" s="93">
        <v>64822</v>
      </c>
      <c r="S29" s="92">
        <f t="shared" si="17"/>
        <v>35</v>
      </c>
      <c r="T29" s="102">
        <f t="shared" si="6"/>
        <v>36.9495</v>
      </c>
      <c r="U29" s="101">
        <f t="shared" si="7"/>
        <v>624.95197500000006</v>
      </c>
      <c r="V29" s="143">
        <v>79360</v>
      </c>
      <c r="W29" s="190">
        <f t="shared" si="18"/>
        <v>33</v>
      </c>
      <c r="X29" s="191">
        <f t="shared" si="8"/>
        <v>8122.24</v>
      </c>
      <c r="Y29" s="191">
        <f t="shared" si="19"/>
        <v>2801.3605759999996</v>
      </c>
      <c r="Z29" s="191">
        <f t="shared" si="20"/>
        <v>4560.3026805555555</v>
      </c>
      <c r="AA29" s="192">
        <f t="shared" si="9"/>
        <v>7361.6632565555556</v>
      </c>
      <c r="AB29" s="93">
        <v>1596224</v>
      </c>
      <c r="AC29" s="214">
        <f t="shared" si="10"/>
        <v>10397</v>
      </c>
      <c r="AD29" s="212">
        <f t="shared" si="11"/>
        <v>36.564736499674687</v>
      </c>
      <c r="AE29" s="174">
        <v>0.95240000000000002</v>
      </c>
      <c r="AF29" s="94">
        <v>404</v>
      </c>
      <c r="AG29" s="175">
        <v>21233</v>
      </c>
      <c r="AH29" s="140">
        <f t="shared" si="21"/>
        <v>8</v>
      </c>
      <c r="AI29" s="88">
        <v>15351500</v>
      </c>
      <c r="AJ29" s="89">
        <f t="shared" si="22"/>
        <v>5543</v>
      </c>
      <c r="AK29" s="94">
        <f t="shared" si="23"/>
        <v>1108.6000000000001</v>
      </c>
      <c r="AL29" s="88">
        <v>7019613</v>
      </c>
      <c r="AM29" s="89">
        <f t="shared" si="24"/>
        <v>2268</v>
      </c>
      <c r="AN29" s="94">
        <f t="shared" si="25"/>
        <v>453.6</v>
      </c>
      <c r="AO29" s="91">
        <v>274309</v>
      </c>
      <c r="AP29" s="89">
        <f t="shared" si="26"/>
        <v>457</v>
      </c>
      <c r="AQ29" s="94">
        <f t="shared" si="27"/>
        <v>91.4</v>
      </c>
      <c r="AR29" s="91">
        <v>9155</v>
      </c>
      <c r="AS29" s="89">
        <f t="shared" si="28"/>
        <v>7</v>
      </c>
      <c r="AT29" s="140">
        <f t="shared" si="29"/>
        <v>54.879999999999995</v>
      </c>
      <c r="AU29" s="88">
        <v>3408</v>
      </c>
      <c r="AV29" s="89">
        <f t="shared" si="30"/>
        <v>0</v>
      </c>
      <c r="AW29" s="94">
        <f t="shared" si="12"/>
        <v>0</v>
      </c>
      <c r="AX29" s="88">
        <v>230</v>
      </c>
      <c r="AY29" s="89">
        <f t="shared" si="31"/>
        <v>1</v>
      </c>
      <c r="AZ29" s="94">
        <f t="shared" si="32"/>
        <v>7.84</v>
      </c>
    </row>
    <row r="30" spans="1:52" s="3" customFormat="1" ht="27.95" customHeight="1" x14ac:dyDescent="0.25">
      <c r="A30" s="98">
        <v>45742</v>
      </c>
      <c r="B30" s="91">
        <v>21920697</v>
      </c>
      <c r="C30" s="89">
        <f t="shared" si="3"/>
        <v>7911</v>
      </c>
      <c r="D30" s="89">
        <v>22592204</v>
      </c>
      <c r="E30" s="89">
        <f t="shared" si="4"/>
        <v>6887</v>
      </c>
      <c r="F30" s="89">
        <v>499303</v>
      </c>
      <c r="G30" s="89">
        <f t="shared" si="13"/>
        <v>119</v>
      </c>
      <c r="H30" s="90">
        <f t="shared" si="0"/>
        <v>14917</v>
      </c>
      <c r="I30" s="109">
        <f t="shared" si="1"/>
        <v>2983.4</v>
      </c>
      <c r="J30" s="91">
        <v>117418</v>
      </c>
      <c r="K30" s="89">
        <f t="shared" si="14"/>
        <v>111</v>
      </c>
      <c r="L30" s="75">
        <f t="shared" si="2"/>
        <v>870.24</v>
      </c>
      <c r="M30" s="88">
        <v>42873</v>
      </c>
      <c r="N30" s="89">
        <f t="shared" si="15"/>
        <v>19</v>
      </c>
      <c r="O30" s="89">
        <v>26055</v>
      </c>
      <c r="P30" s="92">
        <f t="shared" si="16"/>
        <v>10</v>
      </c>
      <c r="Q30" s="92">
        <f t="shared" si="5"/>
        <v>29</v>
      </c>
      <c r="R30" s="93">
        <v>64848</v>
      </c>
      <c r="S30" s="92">
        <f t="shared" si="17"/>
        <v>26</v>
      </c>
      <c r="T30" s="102">
        <f t="shared" si="6"/>
        <v>27.448200000000003</v>
      </c>
      <c r="U30" s="101">
        <f t="shared" si="7"/>
        <v>519.96261000000004</v>
      </c>
      <c r="V30" s="143">
        <v>79393</v>
      </c>
      <c r="W30" s="190">
        <f t="shared" si="18"/>
        <v>33</v>
      </c>
      <c r="X30" s="191">
        <f t="shared" si="8"/>
        <v>7645.5850000000009</v>
      </c>
      <c r="Y30" s="191">
        <f t="shared" si="19"/>
        <v>2636.9622665000002</v>
      </c>
      <c r="Z30" s="191">
        <f t="shared" si="20"/>
        <v>4560.3026805555555</v>
      </c>
      <c r="AA30" s="192">
        <f t="shared" si="9"/>
        <v>7197.2649470555552</v>
      </c>
      <c r="AB30" s="93">
        <v>1605860</v>
      </c>
      <c r="AC30" s="214">
        <f t="shared" si="10"/>
        <v>9636</v>
      </c>
      <c r="AD30" s="212">
        <f t="shared" si="11"/>
        <v>33.888410205911832</v>
      </c>
      <c r="AE30" s="174">
        <v>0.95240000000000002</v>
      </c>
      <c r="AF30" s="94">
        <v>395</v>
      </c>
      <c r="AG30" s="175">
        <v>21240</v>
      </c>
      <c r="AH30" s="140">
        <f t="shared" si="21"/>
        <v>7</v>
      </c>
      <c r="AI30" s="88">
        <v>15356065</v>
      </c>
      <c r="AJ30" s="89">
        <f t="shared" si="22"/>
        <v>4565</v>
      </c>
      <c r="AK30" s="94">
        <f t="shared" si="23"/>
        <v>913</v>
      </c>
      <c r="AL30" s="88">
        <v>7021780</v>
      </c>
      <c r="AM30" s="89">
        <f t="shared" si="24"/>
        <v>2167</v>
      </c>
      <c r="AN30" s="94">
        <f t="shared" si="25"/>
        <v>433.40000000000003</v>
      </c>
      <c r="AO30" s="91">
        <v>274729</v>
      </c>
      <c r="AP30" s="89">
        <f t="shared" si="26"/>
        <v>420</v>
      </c>
      <c r="AQ30" s="94">
        <f t="shared" si="27"/>
        <v>84</v>
      </c>
      <c r="AR30" s="91">
        <v>9162</v>
      </c>
      <c r="AS30" s="89">
        <f t="shared" si="28"/>
        <v>7</v>
      </c>
      <c r="AT30" s="140">
        <f t="shared" si="29"/>
        <v>54.879999999999995</v>
      </c>
      <c r="AU30" s="88">
        <v>3409</v>
      </c>
      <c r="AV30" s="89">
        <f t="shared" si="30"/>
        <v>1</v>
      </c>
      <c r="AW30" s="94">
        <f t="shared" si="12"/>
        <v>7.84</v>
      </c>
      <c r="AX30" s="88">
        <v>231</v>
      </c>
      <c r="AY30" s="89">
        <f t="shared" si="31"/>
        <v>1</v>
      </c>
      <c r="AZ30" s="94">
        <f t="shared" si="32"/>
        <v>7.84</v>
      </c>
    </row>
    <row r="31" spans="1:52" s="3" customFormat="1" ht="27.95" customHeight="1" x14ac:dyDescent="0.25">
      <c r="A31" s="98">
        <v>45743</v>
      </c>
      <c r="B31" s="91">
        <v>21928449</v>
      </c>
      <c r="C31" s="89">
        <f t="shared" si="3"/>
        <v>7752</v>
      </c>
      <c r="D31" s="89">
        <v>22599575</v>
      </c>
      <c r="E31" s="89">
        <f t="shared" si="4"/>
        <v>7371</v>
      </c>
      <c r="F31" s="89">
        <v>499423</v>
      </c>
      <c r="G31" s="89">
        <f t="shared" si="13"/>
        <v>120</v>
      </c>
      <c r="H31" s="90">
        <f t="shared" si="0"/>
        <v>15243</v>
      </c>
      <c r="I31" s="109">
        <f t="shared" si="1"/>
        <v>3048.6000000000004</v>
      </c>
      <c r="J31" s="91">
        <v>117528</v>
      </c>
      <c r="K31" s="89">
        <f t="shared" si="14"/>
        <v>110</v>
      </c>
      <c r="L31" s="75">
        <f t="shared" si="2"/>
        <v>862.4</v>
      </c>
      <c r="M31" s="88">
        <v>42891</v>
      </c>
      <c r="N31" s="89">
        <f t="shared" si="15"/>
        <v>18</v>
      </c>
      <c r="O31" s="89">
        <v>26072</v>
      </c>
      <c r="P31" s="92">
        <f t="shared" si="16"/>
        <v>17</v>
      </c>
      <c r="Q31" s="92">
        <f t="shared" si="5"/>
        <v>35</v>
      </c>
      <c r="R31" s="93">
        <v>64882</v>
      </c>
      <c r="S31" s="92">
        <f t="shared" si="17"/>
        <v>34</v>
      </c>
      <c r="T31" s="102">
        <f t="shared" si="6"/>
        <v>35.893800000000006</v>
      </c>
      <c r="U31" s="101">
        <f t="shared" si="7"/>
        <v>613.28649000000007</v>
      </c>
      <c r="V31" s="143">
        <v>79426</v>
      </c>
      <c r="W31" s="190">
        <f t="shared" si="18"/>
        <v>33</v>
      </c>
      <c r="X31" s="191">
        <f t="shared" si="8"/>
        <v>8294.24</v>
      </c>
      <c r="Y31" s="191">
        <f t="shared" si="19"/>
        <v>2860.683376</v>
      </c>
      <c r="Z31" s="191">
        <f t="shared" si="20"/>
        <v>4560.3026805555555</v>
      </c>
      <c r="AA31" s="192">
        <f t="shared" si="9"/>
        <v>7420.9860565555555</v>
      </c>
      <c r="AB31" s="93">
        <v>1616429</v>
      </c>
      <c r="AC31" s="214">
        <f t="shared" si="10"/>
        <v>10569</v>
      </c>
      <c r="AD31" s="212">
        <f t="shared" si="11"/>
        <v>37.169635478028447</v>
      </c>
      <c r="AE31" s="174">
        <v>0.96509999999999996</v>
      </c>
      <c r="AF31" s="94">
        <v>369</v>
      </c>
      <c r="AG31" s="175">
        <v>21248</v>
      </c>
      <c r="AH31" s="140">
        <f t="shared" si="21"/>
        <v>8</v>
      </c>
      <c r="AI31" s="88">
        <v>15360726</v>
      </c>
      <c r="AJ31" s="89">
        <f t="shared" si="22"/>
        <v>4661</v>
      </c>
      <c r="AK31" s="94">
        <f t="shared" si="23"/>
        <v>932.2</v>
      </c>
      <c r="AL31" s="88">
        <v>7023915</v>
      </c>
      <c r="AM31" s="89">
        <f t="shared" si="24"/>
        <v>2135</v>
      </c>
      <c r="AN31" s="94">
        <f t="shared" si="25"/>
        <v>427</v>
      </c>
      <c r="AO31" s="91">
        <v>275249</v>
      </c>
      <c r="AP31" s="89">
        <f t="shared" si="26"/>
        <v>520</v>
      </c>
      <c r="AQ31" s="94">
        <f t="shared" si="27"/>
        <v>104</v>
      </c>
      <c r="AR31" s="91">
        <v>9169</v>
      </c>
      <c r="AS31" s="89">
        <f t="shared" si="28"/>
        <v>7</v>
      </c>
      <c r="AT31" s="140">
        <f t="shared" si="29"/>
        <v>54.879999999999995</v>
      </c>
      <c r="AU31" s="88">
        <v>3410</v>
      </c>
      <c r="AV31" s="89">
        <f t="shared" si="30"/>
        <v>1</v>
      </c>
      <c r="AW31" s="94">
        <f t="shared" si="12"/>
        <v>7.84</v>
      </c>
      <c r="AX31" s="88">
        <v>232</v>
      </c>
      <c r="AY31" s="89">
        <f t="shared" si="31"/>
        <v>1</v>
      </c>
      <c r="AZ31" s="94">
        <f t="shared" si="32"/>
        <v>7.84</v>
      </c>
    </row>
    <row r="32" spans="1:52" s="3" customFormat="1" ht="27.95" customHeight="1" x14ac:dyDescent="0.25">
      <c r="A32" s="98">
        <v>45744</v>
      </c>
      <c r="B32" s="91">
        <v>21936340</v>
      </c>
      <c r="C32" s="89">
        <f t="shared" si="3"/>
        <v>7891</v>
      </c>
      <c r="D32" s="89">
        <v>22606977</v>
      </c>
      <c r="E32" s="89">
        <f t="shared" si="4"/>
        <v>7402</v>
      </c>
      <c r="F32" s="89">
        <v>499543</v>
      </c>
      <c r="G32" s="89">
        <f t="shared" si="13"/>
        <v>120</v>
      </c>
      <c r="H32" s="90">
        <f t="shared" si="0"/>
        <v>15413</v>
      </c>
      <c r="I32" s="109">
        <f t="shared" si="1"/>
        <v>3082.6000000000004</v>
      </c>
      <c r="J32" s="91">
        <v>117631</v>
      </c>
      <c r="K32" s="89">
        <f t="shared" si="14"/>
        <v>103</v>
      </c>
      <c r="L32" s="75">
        <f t="shared" si="2"/>
        <v>807.52</v>
      </c>
      <c r="M32" s="88">
        <v>42910</v>
      </c>
      <c r="N32" s="89">
        <f t="shared" si="15"/>
        <v>19</v>
      </c>
      <c r="O32" s="89">
        <v>26085</v>
      </c>
      <c r="P32" s="92">
        <f t="shared" si="16"/>
        <v>13</v>
      </c>
      <c r="Q32" s="92">
        <f t="shared" si="5"/>
        <v>32</v>
      </c>
      <c r="R32" s="93">
        <v>64915</v>
      </c>
      <c r="S32" s="92">
        <f t="shared" si="17"/>
        <v>33</v>
      </c>
      <c r="T32" s="102">
        <f t="shared" si="6"/>
        <v>34.838100000000004</v>
      </c>
      <c r="U32" s="101">
        <f t="shared" si="7"/>
        <v>601.62100500000008</v>
      </c>
      <c r="V32" s="143">
        <v>79461</v>
      </c>
      <c r="W32" s="190">
        <f t="shared" si="18"/>
        <v>35</v>
      </c>
      <c r="X32" s="191">
        <f t="shared" si="8"/>
        <v>8446.5499999999993</v>
      </c>
      <c r="Y32" s="191">
        <f t="shared" si="19"/>
        <v>2913.2150949999996</v>
      </c>
      <c r="Z32" s="191">
        <f t="shared" si="20"/>
        <v>4560.3026805555555</v>
      </c>
      <c r="AA32" s="192">
        <f t="shared" si="9"/>
        <v>7473.5177755555551</v>
      </c>
      <c r="AB32" s="93">
        <v>1627719</v>
      </c>
      <c r="AC32" s="214">
        <f t="shared" si="10"/>
        <v>11290</v>
      </c>
      <c r="AD32" s="212">
        <f t="shared" si="11"/>
        <v>39.705287590778802</v>
      </c>
      <c r="AE32" s="174">
        <v>0.98729999999999996</v>
      </c>
      <c r="AF32" s="94">
        <v>390</v>
      </c>
      <c r="AG32" s="175">
        <v>21258</v>
      </c>
      <c r="AH32" s="140">
        <f t="shared" si="21"/>
        <v>10</v>
      </c>
      <c r="AI32" s="88">
        <v>15366416</v>
      </c>
      <c r="AJ32" s="89">
        <f t="shared" si="22"/>
        <v>5690</v>
      </c>
      <c r="AK32" s="94">
        <f t="shared" si="23"/>
        <v>1138</v>
      </c>
      <c r="AL32" s="88">
        <v>7026186</v>
      </c>
      <c r="AM32" s="89">
        <f t="shared" si="24"/>
        <v>2271</v>
      </c>
      <c r="AN32" s="94">
        <f t="shared" si="25"/>
        <v>454.20000000000005</v>
      </c>
      <c r="AO32" s="91">
        <v>275779</v>
      </c>
      <c r="AP32" s="89">
        <f t="shared" si="26"/>
        <v>530</v>
      </c>
      <c r="AQ32" s="94">
        <f t="shared" si="27"/>
        <v>106</v>
      </c>
      <c r="AR32" s="91">
        <v>9177</v>
      </c>
      <c r="AS32" s="89">
        <f t="shared" si="28"/>
        <v>8</v>
      </c>
      <c r="AT32" s="140">
        <f t="shared" si="29"/>
        <v>62.72</v>
      </c>
      <c r="AU32" s="88">
        <v>3413</v>
      </c>
      <c r="AV32" s="89">
        <f t="shared" si="30"/>
        <v>3</v>
      </c>
      <c r="AW32" s="94">
        <f t="shared" si="12"/>
        <v>23.52</v>
      </c>
      <c r="AX32" s="88">
        <v>234</v>
      </c>
      <c r="AY32" s="89">
        <f t="shared" si="31"/>
        <v>2</v>
      </c>
      <c r="AZ32" s="94">
        <f t="shared" si="32"/>
        <v>15.68</v>
      </c>
    </row>
    <row r="33" spans="1:165" s="3" customFormat="1" ht="27.95" customHeight="1" x14ac:dyDescent="0.25">
      <c r="A33" s="98">
        <v>45745</v>
      </c>
      <c r="B33" s="91">
        <v>21944247</v>
      </c>
      <c r="C33" s="89">
        <f t="shared" si="3"/>
        <v>7907</v>
      </c>
      <c r="D33" s="89">
        <v>22614401</v>
      </c>
      <c r="E33" s="89">
        <f t="shared" si="4"/>
        <v>7424</v>
      </c>
      <c r="F33" s="89">
        <v>499663</v>
      </c>
      <c r="G33" s="89">
        <f t="shared" si="13"/>
        <v>120</v>
      </c>
      <c r="H33" s="90">
        <f t="shared" si="0"/>
        <v>15451</v>
      </c>
      <c r="I33" s="109">
        <f t="shared" si="1"/>
        <v>3090.2000000000003</v>
      </c>
      <c r="J33" s="91">
        <v>117723</v>
      </c>
      <c r="K33" s="89">
        <f t="shared" si="14"/>
        <v>92</v>
      </c>
      <c r="L33" s="75">
        <f t="shared" si="2"/>
        <v>721.28</v>
      </c>
      <c r="M33" s="88">
        <v>42928</v>
      </c>
      <c r="N33" s="89">
        <f t="shared" si="15"/>
        <v>18</v>
      </c>
      <c r="O33" s="89">
        <v>26103</v>
      </c>
      <c r="P33" s="92">
        <f t="shared" si="16"/>
        <v>18</v>
      </c>
      <c r="Q33" s="92">
        <f t="shared" si="5"/>
        <v>36</v>
      </c>
      <c r="R33" s="93">
        <v>64950</v>
      </c>
      <c r="S33" s="92">
        <f t="shared" si="17"/>
        <v>35</v>
      </c>
      <c r="T33" s="102">
        <f t="shared" si="6"/>
        <v>36.9495</v>
      </c>
      <c r="U33" s="101">
        <f t="shared" si="7"/>
        <v>624.95197500000006</v>
      </c>
      <c r="V33" s="143">
        <v>79498</v>
      </c>
      <c r="W33" s="190">
        <f t="shared" si="18"/>
        <v>37</v>
      </c>
      <c r="X33" s="191">
        <f t="shared" si="8"/>
        <v>8541.5499999999993</v>
      </c>
      <c r="Y33" s="191">
        <f t="shared" si="19"/>
        <v>2945.9805949999995</v>
      </c>
      <c r="Z33" s="191">
        <f t="shared" si="20"/>
        <v>4560.3026805555555</v>
      </c>
      <c r="AA33" s="192">
        <f t="shared" si="9"/>
        <v>7506.2832755555555</v>
      </c>
      <c r="AB33" s="93">
        <v>1639104</v>
      </c>
      <c r="AC33" s="214">
        <f t="shared" si="10"/>
        <v>11385</v>
      </c>
      <c r="AD33" s="212">
        <f t="shared" si="11"/>
        <v>40.039388770683495</v>
      </c>
      <c r="AE33" s="174">
        <v>0.98729999999999996</v>
      </c>
      <c r="AF33" s="94">
        <v>377</v>
      </c>
      <c r="AG33" s="175">
        <v>21268</v>
      </c>
      <c r="AH33" s="140">
        <f t="shared" si="21"/>
        <v>10</v>
      </c>
      <c r="AI33" s="88">
        <v>15372196</v>
      </c>
      <c r="AJ33" s="89">
        <f t="shared" si="22"/>
        <v>5780</v>
      </c>
      <c r="AK33" s="94">
        <f t="shared" si="23"/>
        <v>1156</v>
      </c>
      <c r="AL33" s="88">
        <v>7028461</v>
      </c>
      <c r="AM33" s="89">
        <f t="shared" si="24"/>
        <v>2275</v>
      </c>
      <c r="AN33" s="94">
        <f t="shared" si="25"/>
        <v>455</v>
      </c>
      <c r="AO33" s="91">
        <v>276415</v>
      </c>
      <c r="AP33" s="89">
        <f t="shared" si="26"/>
        <v>636</v>
      </c>
      <c r="AQ33" s="94">
        <f t="shared" si="27"/>
        <v>127.2</v>
      </c>
      <c r="AR33" s="91">
        <v>9185</v>
      </c>
      <c r="AS33" s="89">
        <f t="shared" si="28"/>
        <v>8</v>
      </c>
      <c r="AT33" s="140">
        <f t="shared" si="29"/>
        <v>62.72</v>
      </c>
      <c r="AU33" s="88">
        <v>3414</v>
      </c>
      <c r="AV33" s="89">
        <f t="shared" si="30"/>
        <v>1</v>
      </c>
      <c r="AW33" s="94">
        <f t="shared" si="12"/>
        <v>7.84</v>
      </c>
      <c r="AX33" s="88">
        <v>235</v>
      </c>
      <c r="AY33" s="89">
        <f t="shared" si="31"/>
        <v>1</v>
      </c>
      <c r="AZ33" s="94">
        <f t="shared" si="32"/>
        <v>7.84</v>
      </c>
    </row>
    <row r="34" spans="1:165" s="3" customFormat="1" ht="27.95" customHeight="1" thickBot="1" x14ac:dyDescent="0.3">
      <c r="A34" s="98">
        <v>45746</v>
      </c>
      <c r="B34" s="91">
        <v>21952067</v>
      </c>
      <c r="C34" s="89">
        <f t="shared" si="3"/>
        <v>7820</v>
      </c>
      <c r="D34" s="89">
        <v>22621600</v>
      </c>
      <c r="E34" s="89">
        <f t="shared" si="4"/>
        <v>7199</v>
      </c>
      <c r="F34" s="89">
        <v>499782</v>
      </c>
      <c r="G34" s="89">
        <f t="shared" si="13"/>
        <v>119</v>
      </c>
      <c r="H34" s="90">
        <f t="shared" si="0"/>
        <v>15138</v>
      </c>
      <c r="I34" s="109">
        <f t="shared" si="1"/>
        <v>3027.6000000000004</v>
      </c>
      <c r="J34" s="91">
        <v>117820</v>
      </c>
      <c r="K34" s="89">
        <f t="shared" si="14"/>
        <v>97</v>
      </c>
      <c r="L34" s="75">
        <f t="shared" si="2"/>
        <v>760.48</v>
      </c>
      <c r="M34" s="88">
        <v>42946</v>
      </c>
      <c r="N34" s="89">
        <f t="shared" si="15"/>
        <v>18</v>
      </c>
      <c r="O34" s="89">
        <v>26118</v>
      </c>
      <c r="P34" s="92">
        <f t="shared" si="16"/>
        <v>15</v>
      </c>
      <c r="Q34" s="92">
        <f t="shared" si="5"/>
        <v>33</v>
      </c>
      <c r="R34" s="93">
        <v>64984</v>
      </c>
      <c r="S34" s="92">
        <f t="shared" si="17"/>
        <v>34</v>
      </c>
      <c r="T34" s="102">
        <f t="shared" si="6"/>
        <v>35.893800000000006</v>
      </c>
      <c r="U34" s="101">
        <f t="shared" si="7"/>
        <v>613.28649000000007</v>
      </c>
      <c r="V34" s="193">
        <v>79533</v>
      </c>
      <c r="W34" s="205">
        <f t="shared" si="18"/>
        <v>35</v>
      </c>
      <c r="X34" s="206">
        <f t="shared" si="8"/>
        <v>8586.8950000000004</v>
      </c>
      <c r="Y34" s="206">
        <f t="shared" si="19"/>
        <v>2961.6200855000002</v>
      </c>
      <c r="Z34" s="206">
        <f t="shared" si="20"/>
        <v>4560.3026805555555</v>
      </c>
      <c r="AA34" s="207">
        <f t="shared" si="9"/>
        <v>7521.9227660555553</v>
      </c>
      <c r="AB34" s="208">
        <v>1650250</v>
      </c>
      <c r="AC34" s="215">
        <f t="shared" si="10"/>
        <v>11146</v>
      </c>
      <c r="AD34" s="212">
        <f t="shared" si="11"/>
        <v>39.198860539133797</v>
      </c>
      <c r="AE34" s="174">
        <v>0.9587</v>
      </c>
      <c r="AF34" s="94">
        <v>369</v>
      </c>
      <c r="AG34" s="175">
        <v>21277</v>
      </c>
      <c r="AH34" s="140">
        <f t="shared" si="21"/>
        <v>9</v>
      </c>
      <c r="AI34" s="88">
        <v>15377869</v>
      </c>
      <c r="AJ34" s="89">
        <f t="shared" si="22"/>
        <v>5673</v>
      </c>
      <c r="AK34" s="94">
        <f t="shared" si="23"/>
        <v>1134.6000000000001</v>
      </c>
      <c r="AL34" s="88">
        <v>7030693</v>
      </c>
      <c r="AM34" s="89">
        <f t="shared" si="24"/>
        <v>2232</v>
      </c>
      <c r="AN34" s="94">
        <f t="shared" si="25"/>
        <v>446.40000000000003</v>
      </c>
      <c r="AO34" s="91">
        <v>277010</v>
      </c>
      <c r="AP34" s="89">
        <f t="shared" si="26"/>
        <v>595</v>
      </c>
      <c r="AQ34" s="94">
        <f t="shared" si="27"/>
        <v>119</v>
      </c>
      <c r="AR34" s="91">
        <v>9193</v>
      </c>
      <c r="AS34" s="89">
        <f t="shared" si="28"/>
        <v>8</v>
      </c>
      <c r="AT34" s="140">
        <f t="shared" si="29"/>
        <v>62.72</v>
      </c>
      <c r="AU34" s="88">
        <v>3414</v>
      </c>
      <c r="AV34" s="89">
        <f t="shared" si="30"/>
        <v>0</v>
      </c>
      <c r="AW34" s="94">
        <f t="shared" si="12"/>
        <v>0</v>
      </c>
      <c r="AX34" s="88">
        <v>236</v>
      </c>
      <c r="AY34" s="89">
        <f t="shared" si="31"/>
        <v>1</v>
      </c>
      <c r="AZ34" s="94">
        <f t="shared" si="32"/>
        <v>7.84</v>
      </c>
    </row>
    <row r="35" spans="1:165" s="12" customFormat="1" ht="27.95" customHeight="1" thickBot="1" x14ac:dyDescent="0.3">
      <c r="A35" s="156"/>
      <c r="B35" s="76"/>
      <c r="C35" s="77">
        <f>SUM(C5:C34)</f>
        <v>238240</v>
      </c>
      <c r="D35" s="77"/>
      <c r="E35" s="77">
        <f>SUM(E5:E34)</f>
        <v>222258</v>
      </c>
      <c r="F35" s="78"/>
      <c r="G35" s="77">
        <f>SUM(G5:G34)</f>
        <v>3692</v>
      </c>
      <c r="H35" s="79">
        <f>SUM(H5:H34)</f>
        <v>464190</v>
      </c>
      <c r="I35" s="87">
        <f>H35*0.2</f>
        <v>92838</v>
      </c>
      <c r="J35" s="76"/>
      <c r="K35" s="77">
        <f>SUM(K5:K34)</f>
        <v>2944</v>
      </c>
      <c r="L35" s="87">
        <f>K35*7.84</f>
        <v>23080.959999999999</v>
      </c>
      <c r="M35" s="76"/>
      <c r="N35" s="79">
        <f>SUM(N5:N34)</f>
        <v>572</v>
      </c>
      <c r="O35" s="80"/>
      <c r="P35" s="79">
        <f>SUM(P5:P34)</f>
        <v>483</v>
      </c>
      <c r="Q35" s="79">
        <f>SUM(Q5:Q34)</f>
        <v>1055</v>
      </c>
      <c r="R35" s="80"/>
      <c r="S35" s="80">
        <f>SUM(S5:S34)</f>
        <v>1056</v>
      </c>
      <c r="T35" s="108">
        <f>SUM(T5:T34)</f>
        <v>1114.8191999999999</v>
      </c>
      <c r="U35" s="86">
        <f>SUM(U5:U34)</f>
        <v>18818.552160000003</v>
      </c>
      <c r="V35" s="209"/>
      <c r="W35" s="76">
        <f>SUM(W5:W34)</f>
        <v>928</v>
      </c>
      <c r="X35" s="194">
        <f>SUM(X5:X34)</f>
        <v>223184.06499999992</v>
      </c>
      <c r="Y35" s="195">
        <f>SUM(Y5:Y34)</f>
        <v>76976.184018500004</v>
      </c>
      <c r="Z35" s="196">
        <f>SUM(Z5:Z34)</f>
        <v>136809.08041666666</v>
      </c>
      <c r="AA35" s="197">
        <f>SUM(AA5:AA34)</f>
        <v>213785.26443516664</v>
      </c>
      <c r="AB35" s="198"/>
      <c r="AC35" s="199">
        <f>SUM(AC5:AC34)</f>
        <v>286593</v>
      </c>
      <c r="AD35" s="200">
        <f>SUM(AD5:AD34)</f>
        <v>1007.9058889729024</v>
      </c>
      <c r="AE35" s="81">
        <f>AVERAGE(AE5:AE34)</f>
        <v>0.86838000000000015</v>
      </c>
      <c r="AF35" s="183">
        <f>SUM(AF5:AF34)</f>
        <v>10166</v>
      </c>
      <c r="AG35" s="184"/>
      <c r="AH35" s="141">
        <f>SUM(AH5:AH34)</f>
        <v>223</v>
      </c>
      <c r="AI35" s="76"/>
      <c r="AJ35" s="146">
        <f>SUM(AJ5:AJ34)</f>
        <v>157988</v>
      </c>
      <c r="AK35" s="147">
        <f>SUM(AK5:AK34)</f>
        <v>31597.600000000006</v>
      </c>
      <c r="AL35" s="76"/>
      <c r="AM35" s="146">
        <f>SUM(AM5:AM34)</f>
        <v>66343</v>
      </c>
      <c r="AN35" s="147">
        <f>SUM(AN5:AN34)</f>
        <v>13268.6</v>
      </c>
      <c r="AO35" s="76"/>
      <c r="AP35" s="146">
        <f>SUM(AP5:AP34)</f>
        <v>14869</v>
      </c>
      <c r="AQ35" s="147">
        <f>SUM(AQ5:AQ34)</f>
        <v>2973.7999999999997</v>
      </c>
      <c r="AR35" s="76"/>
      <c r="AS35" s="146">
        <f>SUM(AS5:AS34)</f>
        <v>178</v>
      </c>
      <c r="AT35" s="147">
        <f>SUM(AT5:AT34)</f>
        <v>1395.5200000000002</v>
      </c>
      <c r="AU35" s="76"/>
      <c r="AV35" s="146">
        <f>SUM(AV5:AV34)</f>
        <v>42</v>
      </c>
      <c r="AW35" s="147">
        <f>SUM(AW5:AW34)</f>
        <v>329.28</v>
      </c>
      <c r="AX35" s="76"/>
      <c r="AY35" s="146">
        <f>SUM(AY5:AY34)</f>
        <v>29</v>
      </c>
      <c r="AZ35" s="147">
        <f>SUM(AZ5:AZ34)</f>
        <v>227.36000000000007</v>
      </c>
    </row>
    <row r="36" spans="1:165" s="8" customFormat="1" ht="22.5" customHeight="1" thickBot="1" x14ac:dyDescent="0.3">
      <c r="A36" s="280"/>
      <c r="B36" s="281"/>
      <c r="C36" s="281"/>
      <c r="D36" s="281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1"/>
      <c r="R36" s="281"/>
      <c r="S36" s="281"/>
      <c r="T36" s="281"/>
      <c r="U36" s="282"/>
      <c r="V36" s="283" t="s">
        <v>24</v>
      </c>
      <c r="W36" s="284"/>
      <c r="X36" s="284"/>
      <c r="Y36" s="284"/>
      <c r="Z36" s="284"/>
      <c r="AA36" s="284"/>
      <c r="AB36" s="285"/>
      <c r="AC36" s="111"/>
      <c r="AD36" s="95"/>
      <c r="AE36" s="95"/>
      <c r="AF36" s="96"/>
      <c r="AG36" s="96"/>
      <c r="AH36" s="96"/>
    </row>
    <row r="37" spans="1:165" ht="27.95" customHeight="1" x14ac:dyDescent="0.25">
      <c r="A37" s="155"/>
      <c r="B37" s="286" t="s">
        <v>3</v>
      </c>
      <c r="C37" s="287"/>
      <c r="D37" s="287" t="s">
        <v>13</v>
      </c>
      <c r="E37" s="287"/>
      <c r="F37" s="287"/>
      <c r="G37" s="287" t="s">
        <v>14</v>
      </c>
      <c r="H37" s="287"/>
      <c r="I37" s="288"/>
      <c r="J37" s="289" t="s">
        <v>4</v>
      </c>
      <c r="K37" s="290"/>
      <c r="L37" s="45" t="s">
        <v>13</v>
      </c>
      <c r="M37" s="290" t="s">
        <v>48</v>
      </c>
      <c r="N37" s="291"/>
      <c r="O37" s="274" t="s">
        <v>25</v>
      </c>
      <c r="P37" s="275"/>
      <c r="Q37" s="275"/>
      <c r="R37" s="275" t="s">
        <v>13</v>
      </c>
      <c r="S37" s="275"/>
      <c r="T37" s="275" t="s">
        <v>48</v>
      </c>
      <c r="U37" s="276"/>
      <c r="V37" s="277" t="s">
        <v>15</v>
      </c>
      <c r="W37" s="278"/>
      <c r="X37" s="278" t="s">
        <v>13</v>
      </c>
      <c r="Y37" s="278"/>
      <c r="Z37" s="278" t="s">
        <v>16</v>
      </c>
      <c r="AA37" s="278"/>
      <c r="AB37" s="279"/>
      <c r="AC37" s="114"/>
      <c r="AD37" s="165"/>
      <c r="AE37" s="165"/>
      <c r="AF37"/>
      <c r="AG37" s="164">
        <f>136809.08*4</f>
        <v>547236.31999999995</v>
      </c>
      <c r="AH37" s="253" t="s">
        <v>97</v>
      </c>
      <c r="AI37" s="254"/>
      <c r="AJ37" s="254"/>
      <c r="AK37" s="255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</row>
    <row r="38" spans="1:165" s="11" customFormat="1" ht="27.95" customHeight="1" x14ac:dyDescent="0.25">
      <c r="A38" s="96"/>
      <c r="B38" s="263" t="s">
        <v>105</v>
      </c>
      <c r="C38" s="264"/>
      <c r="D38" s="260">
        <f>I35</f>
        <v>92838</v>
      </c>
      <c r="E38" s="260"/>
      <c r="F38" s="260"/>
      <c r="G38" s="261">
        <f t="shared" ref="G38:G43" si="33">D38/0.2</f>
        <v>464190</v>
      </c>
      <c r="H38" s="261"/>
      <c r="I38" s="262"/>
      <c r="J38" s="263" t="str">
        <f t="shared" ref="J38:J43" si="34">B38</f>
        <v>Actual April 2025</v>
      </c>
      <c r="K38" s="264"/>
      <c r="L38" s="42">
        <f>L35</f>
        <v>23080.959999999999</v>
      </c>
      <c r="M38" s="261">
        <f>K35</f>
        <v>2944</v>
      </c>
      <c r="N38" s="262"/>
      <c r="O38" s="263" t="str">
        <f t="shared" ref="O38:O43" si="35">B38</f>
        <v>Actual April 2025</v>
      </c>
      <c r="P38" s="264"/>
      <c r="Q38" s="264"/>
      <c r="R38" s="273">
        <f>U35</f>
        <v>18818.552160000003</v>
      </c>
      <c r="S38" s="273"/>
      <c r="T38" s="261">
        <f>T35</f>
        <v>1114.8191999999999</v>
      </c>
      <c r="U38" s="262"/>
      <c r="V38" s="263" t="str">
        <f t="shared" ref="V38:V43" si="36">B38</f>
        <v>Actual April 2025</v>
      </c>
      <c r="W38" s="264"/>
      <c r="X38" s="260">
        <f>AA35</f>
        <v>213785.26443516664</v>
      </c>
      <c r="Y38" s="260"/>
      <c r="Z38" s="261">
        <f>X35</f>
        <v>223184.06499999992</v>
      </c>
      <c r="AA38" s="261"/>
      <c r="AB38" s="262"/>
      <c r="AC38" s="112"/>
      <c r="AD38" s="115">
        <f>AC35</f>
        <v>286593</v>
      </c>
      <c r="AE38" s="116">
        <f>AD38-X35</f>
        <v>63408.935000000085</v>
      </c>
      <c r="AF38" s="166"/>
      <c r="AG38" s="123">
        <f>131547.55*4</f>
        <v>526190.19999999995</v>
      </c>
      <c r="AH38" s="253" t="s">
        <v>90</v>
      </c>
      <c r="AI38" s="254"/>
      <c r="AJ38" s="254"/>
      <c r="AK38" s="255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11" customFormat="1" ht="27.95" customHeight="1" x14ac:dyDescent="0.25">
      <c r="A39" s="96"/>
      <c r="B39" s="263" t="s">
        <v>106</v>
      </c>
      <c r="C39" s="264"/>
      <c r="D39" s="265">
        <v>95917.5</v>
      </c>
      <c r="E39" s="265"/>
      <c r="F39" s="265"/>
      <c r="G39" s="261">
        <f t="shared" si="33"/>
        <v>479587.5</v>
      </c>
      <c r="H39" s="261"/>
      <c r="I39" s="262"/>
      <c r="J39" s="263" t="str">
        <f t="shared" si="34"/>
        <v>Budget April 2025</v>
      </c>
      <c r="K39" s="264"/>
      <c r="L39" s="39">
        <v>27360.5520302648</v>
      </c>
      <c r="M39" s="261">
        <f>L39/7.84</f>
        <v>3489.8663303909184</v>
      </c>
      <c r="N39" s="262"/>
      <c r="O39" s="263" t="str">
        <f t="shared" si="35"/>
        <v>Budget April 2025</v>
      </c>
      <c r="P39" s="264"/>
      <c r="Q39" s="264"/>
      <c r="R39" s="266">
        <v>20507.862104520798</v>
      </c>
      <c r="S39" s="266"/>
      <c r="T39" s="261">
        <f>(R39-6500)/11.05</f>
        <v>1267.6798284634206</v>
      </c>
      <c r="U39" s="262"/>
      <c r="V39" s="263" t="str">
        <f t="shared" si="36"/>
        <v>Budget April 2025</v>
      </c>
      <c r="W39" s="264"/>
      <c r="X39" s="265">
        <v>208953.53933999999</v>
      </c>
      <c r="Y39" s="265"/>
      <c r="Z39" s="261">
        <f>AG39/0.3449</f>
        <v>209175.00533487968</v>
      </c>
      <c r="AA39" s="261"/>
      <c r="AB39" s="262"/>
      <c r="AC39" s="113"/>
      <c r="AD39" s="159"/>
      <c r="AE39" s="160"/>
      <c r="AF39" s="162"/>
      <c r="AG39" s="117">
        <f>X39-136809.08</f>
        <v>72144.459340000001</v>
      </c>
      <c r="AH39" s="253" t="s">
        <v>98</v>
      </c>
      <c r="AI39" s="254"/>
      <c r="AJ39" s="254"/>
      <c r="AK39" s="255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14" customFormat="1" ht="27.95" customHeight="1" x14ac:dyDescent="0.25">
      <c r="A40" s="110"/>
      <c r="B40" s="263" t="s">
        <v>107</v>
      </c>
      <c r="C40" s="264"/>
      <c r="D40" s="265">
        <v>88856.6</v>
      </c>
      <c r="E40" s="265"/>
      <c r="F40" s="265"/>
      <c r="G40" s="261">
        <f t="shared" si="33"/>
        <v>444283</v>
      </c>
      <c r="H40" s="261"/>
      <c r="I40" s="262"/>
      <c r="J40" s="263" t="str">
        <f t="shared" si="34"/>
        <v>Actual April 2024</v>
      </c>
      <c r="K40" s="264"/>
      <c r="L40" s="39">
        <v>22391.040000000001</v>
      </c>
      <c r="M40" s="261">
        <f>L40/7.84</f>
        <v>2856</v>
      </c>
      <c r="N40" s="262"/>
      <c r="O40" s="263" t="str">
        <f t="shared" si="35"/>
        <v>Actual April 2024</v>
      </c>
      <c r="P40" s="264"/>
      <c r="Q40" s="264"/>
      <c r="R40" s="266">
        <v>17317.05</v>
      </c>
      <c r="S40" s="266"/>
      <c r="T40" s="261">
        <f>(R40-6500)/11.05</f>
        <v>978.918552036199</v>
      </c>
      <c r="U40" s="262"/>
      <c r="V40" s="263" t="str">
        <f t="shared" si="36"/>
        <v>Actual April 2024</v>
      </c>
      <c r="W40" s="264"/>
      <c r="X40" s="265">
        <v>197947.65</v>
      </c>
      <c r="Y40" s="265"/>
      <c r="Z40" s="261">
        <f>AG40/0.3442</f>
        <v>192911.38872748404</v>
      </c>
      <c r="AA40" s="261"/>
      <c r="AB40" s="262"/>
      <c r="AC40" s="113"/>
      <c r="AD40" s="161"/>
      <c r="AE40" s="11"/>
      <c r="AF40" s="162"/>
      <c r="AG40" s="118">
        <f>X40-131547.55</f>
        <v>66400.100000000006</v>
      </c>
      <c r="AH40" s="253" t="s">
        <v>99</v>
      </c>
      <c r="AI40" s="254"/>
      <c r="AJ40" s="254"/>
      <c r="AK40" s="255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11" customFormat="1" ht="27" customHeight="1" x14ac:dyDescent="0.25">
      <c r="A41" s="96"/>
      <c r="B41" s="263" t="s">
        <v>100</v>
      </c>
      <c r="C41" s="264"/>
      <c r="D41" s="260">
        <f>D38+280684</f>
        <v>373522</v>
      </c>
      <c r="E41" s="260"/>
      <c r="F41" s="260"/>
      <c r="G41" s="261">
        <f t="shared" si="33"/>
        <v>1867610</v>
      </c>
      <c r="H41" s="261"/>
      <c r="I41" s="262"/>
      <c r="J41" s="263" t="str">
        <f t="shared" si="34"/>
        <v>Actual YTD 2025</v>
      </c>
      <c r="K41" s="264"/>
      <c r="L41" s="42">
        <f>L38+69619.2</f>
        <v>92700.160000000003</v>
      </c>
      <c r="M41" s="261">
        <f>L41/7.84</f>
        <v>11824</v>
      </c>
      <c r="N41" s="262"/>
      <c r="O41" s="270" t="str">
        <f t="shared" si="35"/>
        <v>Actual YTD 2025</v>
      </c>
      <c r="P41" s="271"/>
      <c r="Q41" s="272"/>
      <c r="R41" s="273">
        <f>R38+54282.54</f>
        <v>73101.09216</v>
      </c>
      <c r="S41" s="273"/>
      <c r="T41" s="261">
        <f>(R41-6500)*4/11.05</f>
        <v>24108.992637104071</v>
      </c>
      <c r="U41" s="262"/>
      <c r="V41" s="263" t="str">
        <f t="shared" si="36"/>
        <v>Actual YTD 2025</v>
      </c>
      <c r="W41" s="264"/>
      <c r="X41" s="260">
        <f>X38+563641.22</f>
        <v>777426.48443516658</v>
      </c>
      <c r="Y41" s="260"/>
      <c r="Z41" s="261">
        <f>AG41/0.3449</f>
        <v>667411.32048468152</v>
      </c>
      <c r="AA41" s="261"/>
      <c r="AB41" s="262"/>
      <c r="AC41" s="113"/>
      <c r="AD41" s="161"/>
      <c r="AF41" s="162"/>
      <c r="AG41" s="117">
        <f>X41-AG37</f>
        <v>230190.16443516663</v>
      </c>
      <c r="AH41" s="253" t="s">
        <v>101</v>
      </c>
      <c r="AI41" s="254"/>
      <c r="AJ41" s="254"/>
      <c r="AK41" s="255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11" customFormat="1" ht="27.95" customHeight="1" x14ac:dyDescent="0.25">
      <c r="A42" s="96"/>
      <c r="B42" s="263" t="s">
        <v>102</v>
      </c>
      <c r="C42" s="264"/>
      <c r="D42" s="265">
        <f>D39+269136</f>
        <v>365053.5</v>
      </c>
      <c r="E42" s="265"/>
      <c r="F42" s="265"/>
      <c r="G42" s="261">
        <f t="shared" si="33"/>
        <v>1825267.5</v>
      </c>
      <c r="H42" s="261"/>
      <c r="I42" s="262"/>
      <c r="J42" s="263" t="str">
        <f t="shared" si="34"/>
        <v>Budget YTD 2025</v>
      </c>
      <c r="K42" s="264"/>
      <c r="L42" s="39">
        <f>L39+77439.47</f>
        <v>104800.02203026481</v>
      </c>
      <c r="M42" s="261">
        <f>L42/7.84</f>
        <v>13367.349748758266</v>
      </c>
      <c r="N42" s="262"/>
      <c r="O42" s="263" t="str">
        <f t="shared" si="35"/>
        <v>Budget YTD 2025</v>
      </c>
      <c r="P42" s="264"/>
      <c r="Q42" s="264"/>
      <c r="R42" s="266">
        <f>R39+56580.16</f>
        <v>77088.022104520802</v>
      </c>
      <c r="S42" s="266"/>
      <c r="T42" s="261">
        <f>(R42-6500)*4/11.05</f>
        <v>25552.225196206622</v>
      </c>
      <c r="U42" s="262"/>
      <c r="V42" s="263" t="str">
        <f t="shared" si="36"/>
        <v>Budget YTD 2025</v>
      </c>
      <c r="W42" s="264"/>
      <c r="X42" s="265">
        <f>X39+581622.31</f>
        <v>790575.84934000007</v>
      </c>
      <c r="Y42" s="265"/>
      <c r="Z42" s="267">
        <f>AG42/0.3449</f>
        <v>705536.47242679074</v>
      </c>
      <c r="AA42" s="268"/>
      <c r="AB42" s="269"/>
      <c r="AC42" s="113"/>
      <c r="AD42" s="161"/>
      <c r="AF42" s="162"/>
      <c r="AG42" s="117">
        <f>X42-AG37</f>
        <v>243339.52934000012</v>
      </c>
      <c r="AH42" s="253" t="s">
        <v>103</v>
      </c>
      <c r="AI42" s="254"/>
      <c r="AJ42" s="254"/>
      <c r="AK42" s="255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11" customFormat="1" ht="27.95" customHeight="1" thickBot="1" x14ac:dyDescent="0.3">
      <c r="A43" s="85"/>
      <c r="B43" s="246" t="s">
        <v>66</v>
      </c>
      <c r="C43" s="247"/>
      <c r="D43" s="248">
        <v>350300.8</v>
      </c>
      <c r="E43" s="248"/>
      <c r="F43" s="248"/>
      <c r="G43" s="249">
        <f t="shared" si="33"/>
        <v>1751503.9999999998</v>
      </c>
      <c r="H43" s="249"/>
      <c r="I43" s="250"/>
      <c r="J43" s="246" t="str">
        <f t="shared" si="34"/>
        <v>Actual YTD 2024</v>
      </c>
      <c r="K43" s="247"/>
      <c r="L43" s="43">
        <v>95365.759999999995</v>
      </c>
      <c r="M43" s="251">
        <f>L43/7.84</f>
        <v>12164</v>
      </c>
      <c r="N43" s="252"/>
      <c r="O43" s="246" t="str">
        <f t="shared" si="35"/>
        <v>Actual YTD 2024</v>
      </c>
      <c r="P43" s="247"/>
      <c r="Q43" s="247"/>
      <c r="R43" s="259">
        <v>70420.61</v>
      </c>
      <c r="S43" s="259"/>
      <c r="T43" s="249">
        <f>(R43-6500)*4/11.05</f>
        <v>23138.682352941174</v>
      </c>
      <c r="U43" s="250"/>
      <c r="V43" s="246" t="str">
        <f t="shared" si="36"/>
        <v>Actual YTD 2024</v>
      </c>
      <c r="W43" s="247"/>
      <c r="X43" s="248">
        <v>749893.76</v>
      </c>
      <c r="Y43" s="248"/>
      <c r="Z43" s="249">
        <f>AG43/0.3442</f>
        <v>649923.18419523549</v>
      </c>
      <c r="AA43" s="249"/>
      <c r="AB43" s="250"/>
      <c r="AC43" s="113"/>
      <c r="AD43" s="161"/>
      <c r="AF43" s="162"/>
      <c r="AG43" s="119">
        <f>X43-AG38</f>
        <v>223703.56000000006</v>
      </c>
      <c r="AH43" s="253" t="s">
        <v>91</v>
      </c>
      <c r="AI43" s="254"/>
      <c r="AJ43" s="254"/>
      <c r="AK43" s="255"/>
      <c r="AL43" s="8"/>
      <c r="AM43" s="8"/>
      <c r="AN43" s="8"/>
      <c r="AO43" s="8"/>
      <c r="AP43" s="8"/>
    </row>
    <row r="44" spans="1:165" ht="27.95" customHeight="1" x14ac:dyDescent="0.25">
      <c r="G44" s="136"/>
      <c r="H44" s="136">
        <v>45748</v>
      </c>
      <c r="I44" s="82">
        <f ca="1">TODAY()</f>
        <v>45778</v>
      </c>
      <c r="J44" s="9">
        <v>30</v>
      </c>
      <c r="T44" s="2"/>
      <c r="U44" s="2"/>
      <c r="V44" s="2"/>
      <c r="W44" s="2"/>
      <c r="X44" s="2"/>
      <c r="Y44" s="2"/>
      <c r="AB44"/>
      <c r="AC44"/>
      <c r="AD44" s="163"/>
      <c r="AE44" s="163"/>
      <c r="AF44" s="163"/>
      <c r="AG44" s="158"/>
      <c r="AH44" s="158"/>
      <c r="AI44" s="157"/>
      <c r="AJ44" s="8"/>
      <c r="AK44" s="8"/>
      <c r="AL44" s="8"/>
      <c r="AM44" s="8"/>
      <c r="AN44" s="8"/>
      <c r="AO44" s="8"/>
      <c r="AP44" s="8"/>
      <c r="AQ44"/>
    </row>
    <row r="45" spans="1:165" ht="27.95" customHeight="1" x14ac:dyDescent="0.25">
      <c r="A45" s="230" t="s">
        <v>26</v>
      </c>
      <c r="B45" s="231"/>
      <c r="D45" s="232" t="s">
        <v>27</v>
      </c>
      <c r="E45" s="233"/>
      <c r="F45" s="233"/>
      <c r="G45" s="234"/>
      <c r="H45" s="48"/>
      <c r="I45" s="235" t="s">
        <v>28</v>
      </c>
      <c r="J45" s="236"/>
      <c r="K45" s="236"/>
      <c r="L45" s="237"/>
      <c r="M45" s="49"/>
      <c r="N45" s="232" t="s">
        <v>29</v>
      </c>
      <c r="O45" s="233"/>
      <c r="P45" s="233"/>
      <c r="Q45" s="233"/>
      <c r="R45" s="233"/>
      <c r="S45" s="234"/>
      <c r="T45" s="2"/>
      <c r="U45" s="232" t="s">
        <v>30</v>
      </c>
      <c r="V45" s="233"/>
      <c r="W45" s="233"/>
      <c r="X45" s="234"/>
      <c r="Y45"/>
      <c r="Z45" s="232" t="s">
        <v>50</v>
      </c>
      <c r="AA45" s="233"/>
      <c r="AB45" s="234"/>
      <c r="AC45"/>
      <c r="AD45" s="256" t="s">
        <v>51</v>
      </c>
      <c r="AE45" s="257"/>
      <c r="AF45" s="258"/>
      <c r="AG45" s="132" t="s">
        <v>52</v>
      </c>
      <c r="AH45" s="41" t="s">
        <v>53</v>
      </c>
      <c r="AI45" s="8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62" t="s">
        <v>3</v>
      </c>
      <c r="B46" s="63">
        <f>D39</f>
        <v>95917.5</v>
      </c>
      <c r="C46" s="10"/>
      <c r="D46" s="223" t="s">
        <v>3</v>
      </c>
      <c r="E46" s="224"/>
      <c r="F46" s="224"/>
      <c r="G46" s="40">
        <f>B46/30</f>
        <v>3197.25</v>
      </c>
      <c r="H46" s="137"/>
      <c r="I46" s="223" t="s">
        <v>3</v>
      </c>
      <c r="J46" s="224"/>
      <c r="K46" s="224"/>
      <c r="L46" s="120">
        <f>I35/J44</f>
        <v>3094.6</v>
      </c>
      <c r="M46" s="50"/>
      <c r="N46" s="223" t="s">
        <v>3</v>
      </c>
      <c r="O46" s="224"/>
      <c r="P46" s="224"/>
      <c r="Q46" s="224"/>
      <c r="R46" s="242">
        <f>G46*J44</f>
        <v>95917.5</v>
      </c>
      <c r="S46" s="243"/>
      <c r="T46" s="51"/>
      <c r="U46" s="223" t="s">
        <v>3</v>
      </c>
      <c r="V46" s="224"/>
      <c r="W46" s="244">
        <f>I35</f>
        <v>92838</v>
      </c>
      <c r="X46" s="245"/>
      <c r="Y46" s="52">
        <f>R46-W46</f>
        <v>3079.5</v>
      </c>
      <c r="Z46" s="223" t="s">
        <v>3</v>
      </c>
      <c r="AA46" s="224"/>
      <c r="AB46" s="124">
        <f>R46+269136</f>
        <v>365053.5</v>
      </c>
      <c r="AC46"/>
      <c r="AD46" s="223" t="s">
        <v>3</v>
      </c>
      <c r="AE46" s="224"/>
      <c r="AF46" s="126">
        <f>W46+280684</f>
        <v>373522</v>
      </c>
      <c r="AG46" s="127">
        <f>AB46-AF46</f>
        <v>-8468.5</v>
      </c>
      <c r="AH46" s="128">
        <f>AF46-AB46</f>
        <v>8468.5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62" t="s">
        <v>4</v>
      </c>
      <c r="B47" s="63">
        <f>L39</f>
        <v>27360.5520302648</v>
      </c>
      <c r="C47" s="10"/>
      <c r="D47" s="223" t="s">
        <v>4</v>
      </c>
      <c r="E47" s="224"/>
      <c r="F47" s="224"/>
      <c r="G47" s="40">
        <f>B47/30</f>
        <v>912.01840100882669</v>
      </c>
      <c r="H47" s="137"/>
      <c r="I47" s="223" t="s">
        <v>4</v>
      </c>
      <c r="J47" s="224"/>
      <c r="K47" s="224"/>
      <c r="L47" s="121">
        <f>L35/J44</f>
        <v>769.3653333333333</v>
      </c>
      <c r="M47" s="50"/>
      <c r="N47" s="223" t="s">
        <v>4</v>
      </c>
      <c r="O47" s="224"/>
      <c r="P47" s="224"/>
      <c r="Q47" s="224"/>
      <c r="R47" s="242">
        <f>G47*J44</f>
        <v>27360.5520302648</v>
      </c>
      <c r="S47" s="243"/>
      <c r="T47" s="51"/>
      <c r="U47" s="223" t="s">
        <v>4</v>
      </c>
      <c r="V47" s="224"/>
      <c r="W47" s="244">
        <f>L35</f>
        <v>23080.959999999999</v>
      </c>
      <c r="X47" s="245"/>
      <c r="Y47" s="52">
        <f>R47-W47</f>
        <v>4279.592030264801</v>
      </c>
      <c r="Z47" s="223" t="s">
        <v>4</v>
      </c>
      <c r="AA47" s="224"/>
      <c r="AB47" s="124">
        <f>R47+77439.47</f>
        <v>104800.02203026481</v>
      </c>
      <c r="AC47"/>
      <c r="AD47" s="223" t="s">
        <v>4</v>
      </c>
      <c r="AE47" s="224"/>
      <c r="AF47" s="126">
        <f>W47+69619.2</f>
        <v>92700.160000000003</v>
      </c>
      <c r="AG47" s="127">
        <f>AB47-AF47</f>
        <v>12099.862030264805</v>
      </c>
      <c r="AH47" s="128">
        <f>AF47-AB47</f>
        <v>-12099.862030264805</v>
      </c>
      <c r="AI47" s="169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62" t="s">
        <v>25</v>
      </c>
      <c r="B48" s="63">
        <f>R39</f>
        <v>20507.862104520798</v>
      </c>
      <c r="C48" s="10"/>
      <c r="D48" s="223" t="s">
        <v>25</v>
      </c>
      <c r="E48" s="224"/>
      <c r="F48" s="224"/>
      <c r="G48" s="40">
        <f>B48/30</f>
        <v>683.59540348402663</v>
      </c>
      <c r="H48" s="50"/>
      <c r="I48" s="223" t="s">
        <v>25</v>
      </c>
      <c r="J48" s="224"/>
      <c r="K48" s="224"/>
      <c r="L48" s="121">
        <f>U35/J44</f>
        <v>627.28507200000013</v>
      </c>
      <c r="M48" s="50"/>
      <c r="N48" s="223" t="s">
        <v>25</v>
      </c>
      <c r="O48" s="224"/>
      <c r="P48" s="224"/>
      <c r="Q48" s="224"/>
      <c r="R48" s="242">
        <f>G48*J44</f>
        <v>20507.862104520798</v>
      </c>
      <c r="S48" s="243"/>
      <c r="T48" s="51"/>
      <c r="U48" s="223" t="s">
        <v>25</v>
      </c>
      <c r="V48" s="224"/>
      <c r="W48" s="244">
        <f>U35</f>
        <v>18818.552160000003</v>
      </c>
      <c r="X48" s="245"/>
      <c r="Y48" s="52">
        <f>R48-W48</f>
        <v>1689.3099445207954</v>
      </c>
      <c r="Z48" s="223" t="s">
        <v>25</v>
      </c>
      <c r="AA48" s="224"/>
      <c r="AB48" s="124">
        <f>R48+56580.16</f>
        <v>77088.022104520802</v>
      </c>
      <c r="AC48"/>
      <c r="AD48" s="223" t="s">
        <v>25</v>
      </c>
      <c r="AE48" s="224"/>
      <c r="AF48" s="126">
        <f>W48+54282.54</f>
        <v>73101.09216</v>
      </c>
      <c r="AG48" s="127">
        <f>AB48-AF48</f>
        <v>3986.9299445208017</v>
      </c>
      <c r="AH48" s="128">
        <f>AF48-AB48</f>
        <v>-3986.9299445208017</v>
      </c>
      <c r="AI48" s="169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64" t="s">
        <v>15</v>
      </c>
      <c r="B49" s="65">
        <f>X39</f>
        <v>208953.53933999999</v>
      </c>
      <c r="C49" s="61"/>
      <c r="D49" s="217" t="s">
        <v>15</v>
      </c>
      <c r="E49" s="218"/>
      <c r="F49" s="218"/>
      <c r="G49" s="38">
        <f>B49/30</f>
        <v>6965.1179779999993</v>
      </c>
      <c r="H49" s="53"/>
      <c r="I49" s="217" t="s">
        <v>15</v>
      </c>
      <c r="J49" s="218"/>
      <c r="K49" s="218"/>
      <c r="L49" s="122">
        <f>AA35/J44</f>
        <v>7126.1754811722212</v>
      </c>
      <c r="M49" s="53"/>
      <c r="N49" s="217" t="s">
        <v>15</v>
      </c>
      <c r="O49" s="218"/>
      <c r="P49" s="218"/>
      <c r="Q49" s="218"/>
      <c r="R49" s="238">
        <f>G49*J44</f>
        <v>208953.53933999999</v>
      </c>
      <c r="S49" s="239"/>
      <c r="T49" s="51"/>
      <c r="U49" s="217" t="s">
        <v>15</v>
      </c>
      <c r="V49" s="218"/>
      <c r="W49" s="240">
        <f>AA35</f>
        <v>213785.26443516664</v>
      </c>
      <c r="X49" s="241"/>
      <c r="Y49" s="52">
        <f>R49-W49</f>
        <v>-4831.7250951666501</v>
      </c>
      <c r="Z49" s="217" t="s">
        <v>15</v>
      </c>
      <c r="AA49" s="218"/>
      <c r="AB49" s="65">
        <f>R49+581622.31</f>
        <v>790575.84934000007</v>
      </c>
      <c r="AC49"/>
      <c r="AD49" s="217" t="s">
        <v>15</v>
      </c>
      <c r="AE49" s="218"/>
      <c r="AF49" s="133">
        <f>W49+563641.22</f>
        <v>777426.48443516658</v>
      </c>
      <c r="AG49" s="134">
        <f>AB49-AF49</f>
        <v>13149.364904833492</v>
      </c>
      <c r="AH49" s="135">
        <f>AF49-AB49</f>
        <v>-13149.364904833492</v>
      </c>
      <c r="AI49" s="169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B50" s="54">
        <f>SUM(B46:B49)</f>
        <v>352739.45347478555</v>
      </c>
      <c r="C50" s="10"/>
      <c r="D50" s="10"/>
      <c r="E50" s="10"/>
      <c r="F50" s="55"/>
      <c r="G50" s="55"/>
      <c r="H50" s="55"/>
      <c r="I50" s="55"/>
      <c r="J50" s="55"/>
      <c r="K50" s="55"/>
      <c r="L50" s="53"/>
      <c r="M50" s="53"/>
      <c r="N50" s="53"/>
      <c r="O50" s="53"/>
      <c r="P50" s="53"/>
      <c r="Q50" s="53"/>
      <c r="R50" s="216">
        <f>SUM(R46:S49)</f>
        <v>352739.45347478555</v>
      </c>
      <c r="S50" s="216"/>
      <c r="T50" s="56"/>
      <c r="U50" s="56"/>
      <c r="V50" s="56"/>
      <c r="W50" s="216">
        <f>SUM(W46:X49)</f>
        <v>348522.77659516665</v>
      </c>
      <c r="X50" s="216"/>
      <c r="Y50" s="52">
        <f>R50-W50</f>
        <v>4216.676879618899</v>
      </c>
      <c r="Z50" s="229"/>
      <c r="AA50" s="229" t="s">
        <v>54</v>
      </c>
      <c r="AB50" s="125">
        <f>SUM(AB46:AB49)</f>
        <v>1337517.3934747856</v>
      </c>
      <c r="AD50" s="129"/>
      <c r="AF50" s="125">
        <f>SUM(AF46:AF49)</f>
        <v>1316749.7365951666</v>
      </c>
      <c r="AG50" s="130">
        <f>AB50-AF50</f>
        <v>20767.656879618997</v>
      </c>
      <c r="AH50" s="125"/>
      <c r="AI50" s="130"/>
      <c r="AJ50" s="130"/>
      <c r="AK50" s="130"/>
      <c r="AL50" s="131"/>
      <c r="AM50" s="131"/>
      <c r="AN50" s="131"/>
      <c r="AO50"/>
      <c r="AP50"/>
      <c r="AQ50"/>
    </row>
    <row r="51" spans="1:43" ht="27.95" customHeight="1" x14ac:dyDescent="0.25">
      <c r="B51" s="54">
        <f>B50*X51</f>
        <v>4216.6768796188971</v>
      </c>
      <c r="C51" s="10"/>
      <c r="D51" s="10"/>
      <c r="E51" s="10"/>
      <c r="F51" s="10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1"/>
      <c r="U51" s="51"/>
      <c r="V51" s="51"/>
      <c r="W51" s="57"/>
      <c r="X51" s="58">
        <f>1-(W50/R50)</f>
        <v>1.1954083497269785E-2</v>
      </c>
      <c r="Y51" s="59"/>
      <c r="Z51"/>
      <c r="AA51"/>
      <c r="AB51"/>
      <c r="AC51"/>
      <c r="AD51"/>
      <c r="AE51"/>
      <c r="AF51" s="58">
        <f>1-(AF50/AB50)</f>
        <v>1.5527018176313856E-2</v>
      </c>
      <c r="AG51"/>
      <c r="AH51"/>
      <c r="AI51"/>
      <c r="AJ51"/>
      <c r="AK51"/>
      <c r="AL51"/>
      <c r="AM51"/>
      <c r="AN51"/>
      <c r="AO51"/>
      <c r="AP51"/>
      <c r="AQ51"/>
    </row>
    <row r="52" spans="1:43" ht="27.95" customHeight="1" x14ac:dyDescent="0.25">
      <c r="B52" s="47"/>
      <c r="T52" s="2"/>
      <c r="U52" s="2"/>
      <c r="V52" s="2"/>
      <c r="W52" s="2"/>
      <c r="X52" s="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A53" s="230" t="s">
        <v>40</v>
      </c>
      <c r="B53" s="231"/>
      <c r="D53" s="232" t="s">
        <v>41</v>
      </c>
      <c r="E53" s="233"/>
      <c r="F53" s="233"/>
      <c r="G53" s="234"/>
      <c r="H53" s="48"/>
      <c r="I53" s="235" t="s">
        <v>42</v>
      </c>
      <c r="J53" s="236"/>
      <c r="K53" s="236"/>
      <c r="L53" s="237"/>
      <c r="M53" s="49"/>
      <c r="N53" s="232" t="s">
        <v>30</v>
      </c>
      <c r="O53" s="233"/>
      <c r="P53" s="233"/>
      <c r="Q53" s="233"/>
      <c r="R53" s="233"/>
      <c r="S53" s="234"/>
      <c r="T53" s="2"/>
      <c r="U53" s="232" t="s">
        <v>43</v>
      </c>
      <c r="V53" s="233"/>
      <c r="W53" s="233"/>
      <c r="X53" s="234"/>
      <c r="Y53"/>
      <c r="Z53" s="73" t="s">
        <v>44</v>
      </c>
      <c r="AA53" s="74" t="s">
        <v>45</v>
      </c>
      <c r="AB53"/>
      <c r="AC53"/>
      <c r="AD53" s="71" t="s">
        <v>47</v>
      </c>
      <c r="AE53" s="72" t="s">
        <v>46</v>
      </c>
      <c r="AF53" s="149"/>
      <c r="AG53" s="149"/>
      <c r="AH53" s="149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62" t="s">
        <v>3</v>
      </c>
      <c r="B54" s="63">
        <f>D40</f>
        <v>88856.6</v>
      </c>
      <c r="C54" s="10"/>
      <c r="D54" s="223" t="s">
        <v>3</v>
      </c>
      <c r="E54" s="224"/>
      <c r="F54" s="224"/>
      <c r="G54" s="40">
        <f>B54/30</f>
        <v>2961.8866666666668</v>
      </c>
      <c r="H54" s="50"/>
      <c r="I54" s="223" t="s">
        <v>3</v>
      </c>
      <c r="J54" s="224"/>
      <c r="K54" s="224"/>
      <c r="L54" s="66">
        <f>G54*J44</f>
        <v>88856.6</v>
      </c>
      <c r="M54" s="50"/>
      <c r="N54" s="223" t="s">
        <v>3</v>
      </c>
      <c r="O54" s="224"/>
      <c r="P54" s="224"/>
      <c r="Q54" s="224"/>
      <c r="R54" s="225">
        <f>W46</f>
        <v>92838</v>
      </c>
      <c r="S54" s="226"/>
      <c r="T54" s="51"/>
      <c r="U54" s="223" t="s">
        <v>3</v>
      </c>
      <c r="V54" s="224"/>
      <c r="W54" s="227">
        <f>L54-R54</f>
        <v>-3981.3999999999942</v>
      </c>
      <c r="X54" s="228"/>
      <c r="Y54" s="52"/>
      <c r="Z54" s="107">
        <f>L46*30</f>
        <v>92838</v>
      </c>
      <c r="AA54" s="70">
        <f>Z54+280684</f>
        <v>373522</v>
      </c>
      <c r="AB54" s="10"/>
      <c r="AC54" s="10"/>
      <c r="AD54" s="201">
        <f>D40-Z54</f>
        <v>-3981.3999999999942</v>
      </c>
      <c r="AE54" s="202">
        <f>D43-AA54</f>
        <v>-23221.200000000012</v>
      </c>
      <c r="AF54" s="150"/>
      <c r="AG54" s="150"/>
      <c r="AH54" s="150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62" t="s">
        <v>4</v>
      </c>
      <c r="B55" s="63">
        <f>L40</f>
        <v>22391.040000000001</v>
      </c>
      <c r="C55" s="10"/>
      <c r="D55" s="223" t="s">
        <v>4</v>
      </c>
      <c r="E55" s="224"/>
      <c r="F55" s="224"/>
      <c r="G55" s="40">
        <f>B55/30</f>
        <v>746.36800000000005</v>
      </c>
      <c r="H55" s="50"/>
      <c r="I55" s="223" t="s">
        <v>4</v>
      </c>
      <c r="J55" s="224"/>
      <c r="K55" s="224"/>
      <c r="L55" s="66">
        <f>G55*J44</f>
        <v>22391.040000000001</v>
      </c>
      <c r="M55" s="50"/>
      <c r="N55" s="223" t="s">
        <v>4</v>
      </c>
      <c r="O55" s="224"/>
      <c r="P55" s="224"/>
      <c r="Q55" s="224"/>
      <c r="R55" s="225">
        <f>W47</f>
        <v>23080.959999999999</v>
      </c>
      <c r="S55" s="226"/>
      <c r="T55" s="51"/>
      <c r="U55" s="223" t="s">
        <v>4</v>
      </c>
      <c r="V55" s="224"/>
      <c r="W55" s="227">
        <f>L55-R55</f>
        <v>-689.91999999999825</v>
      </c>
      <c r="X55" s="228"/>
      <c r="Y55" s="52"/>
      <c r="Z55" s="107">
        <f>L47*30</f>
        <v>23080.959999999999</v>
      </c>
      <c r="AA55" s="68">
        <f>Z55+69619.2</f>
        <v>92700.160000000003</v>
      </c>
      <c r="AB55" s="10"/>
      <c r="AC55" s="10"/>
      <c r="AD55" s="201">
        <f>L40-Z55</f>
        <v>-689.91999999999825</v>
      </c>
      <c r="AE55" s="202">
        <f>L43-AA55</f>
        <v>2665.5999999999913</v>
      </c>
      <c r="AF55" s="150"/>
      <c r="AG55" s="150"/>
      <c r="AH55" s="150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62" t="s">
        <v>25</v>
      </c>
      <c r="B56" s="63">
        <f>R40</f>
        <v>17317.05</v>
      </c>
      <c r="C56" s="10"/>
      <c r="D56" s="223" t="s">
        <v>25</v>
      </c>
      <c r="E56" s="224"/>
      <c r="F56" s="224"/>
      <c r="G56" s="40">
        <f>B56/30</f>
        <v>577.23500000000001</v>
      </c>
      <c r="H56" s="50"/>
      <c r="I56" s="223" t="s">
        <v>25</v>
      </c>
      <c r="J56" s="224"/>
      <c r="K56" s="224"/>
      <c r="L56" s="66">
        <f>G56*J44</f>
        <v>17317.05</v>
      </c>
      <c r="M56" s="50"/>
      <c r="N56" s="223" t="s">
        <v>25</v>
      </c>
      <c r="O56" s="224"/>
      <c r="P56" s="224"/>
      <c r="Q56" s="224"/>
      <c r="R56" s="225">
        <f>W48</f>
        <v>18818.552160000003</v>
      </c>
      <c r="S56" s="226"/>
      <c r="T56" s="51"/>
      <c r="U56" s="223" t="s">
        <v>25</v>
      </c>
      <c r="V56" s="224"/>
      <c r="W56" s="227">
        <f>L56-R56</f>
        <v>-1501.5021600000036</v>
      </c>
      <c r="X56" s="228"/>
      <c r="Y56" s="52"/>
      <c r="Z56" s="107">
        <f>L48*30</f>
        <v>18818.552160000003</v>
      </c>
      <c r="AA56" s="68">
        <f>Z56+54282.54</f>
        <v>73101.09216</v>
      </c>
      <c r="AB56" s="10"/>
      <c r="AC56" s="10"/>
      <c r="AD56" s="201">
        <f>R40-Z56</f>
        <v>-1501.5021600000036</v>
      </c>
      <c r="AE56" s="202">
        <f>R43-AA56</f>
        <v>-2680.4821599999996</v>
      </c>
      <c r="AF56" s="150"/>
      <c r="AG56" s="150"/>
      <c r="AH56" s="150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64" t="s">
        <v>15</v>
      </c>
      <c r="B57" s="65">
        <f>X40</f>
        <v>197947.65</v>
      </c>
      <c r="C57" s="61"/>
      <c r="D57" s="217" t="s">
        <v>15</v>
      </c>
      <c r="E57" s="218"/>
      <c r="F57" s="218"/>
      <c r="G57" s="38">
        <f>B57/30</f>
        <v>6598.2550000000001</v>
      </c>
      <c r="H57" s="53"/>
      <c r="I57" s="217" t="s">
        <v>15</v>
      </c>
      <c r="J57" s="218"/>
      <c r="K57" s="218"/>
      <c r="L57" s="67">
        <f>G57*J44</f>
        <v>197947.65</v>
      </c>
      <c r="M57" s="53"/>
      <c r="N57" s="217" t="s">
        <v>15</v>
      </c>
      <c r="O57" s="218"/>
      <c r="P57" s="218"/>
      <c r="Q57" s="218"/>
      <c r="R57" s="219">
        <f>W49</f>
        <v>213785.26443516664</v>
      </c>
      <c r="S57" s="220"/>
      <c r="T57" s="51"/>
      <c r="U57" s="217" t="s">
        <v>15</v>
      </c>
      <c r="V57" s="218"/>
      <c r="W57" s="221">
        <f>L57-R57</f>
        <v>-15837.614435166644</v>
      </c>
      <c r="X57" s="222"/>
      <c r="Y57" s="52"/>
      <c r="Z57" s="107">
        <f>L49*30</f>
        <v>213785.26443516664</v>
      </c>
      <c r="AA57" s="68">
        <f>Z57+563641.22</f>
        <v>777426.48443516658</v>
      </c>
      <c r="AB57" s="10"/>
      <c r="AC57" s="10"/>
      <c r="AD57" s="201">
        <f>X40-Z57</f>
        <v>-15837.614435166644</v>
      </c>
      <c r="AE57" s="202">
        <f>X43-AA57</f>
        <v>-27532.724435166572</v>
      </c>
      <c r="AF57" s="150"/>
      <c r="AG57" s="150"/>
      <c r="AH57" s="150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10"/>
      <c r="B58" s="54">
        <f>SUM(B54:B57)</f>
        <v>326512.34000000003</v>
      </c>
      <c r="C58" s="10"/>
      <c r="D58" s="10"/>
      <c r="E58" s="10"/>
      <c r="F58" s="55"/>
      <c r="G58" s="55"/>
      <c r="H58" s="55"/>
      <c r="I58" s="55"/>
      <c r="J58" s="55"/>
      <c r="K58" s="55"/>
      <c r="L58" s="60">
        <f>SUM(L54:L57)</f>
        <v>326512.34000000003</v>
      </c>
      <c r="M58" s="53"/>
      <c r="N58" s="53"/>
      <c r="O58" s="53"/>
      <c r="P58" s="53"/>
      <c r="Q58" s="53"/>
      <c r="R58" s="216">
        <f>SUM(R54:S57)</f>
        <v>348522.77659516665</v>
      </c>
      <c r="S58" s="216"/>
      <c r="T58" s="56"/>
      <c r="U58" s="56"/>
      <c r="V58" s="56"/>
      <c r="W58" s="216">
        <f>SUM(W54:X57)</f>
        <v>-22010.43659516664</v>
      </c>
      <c r="X58" s="216"/>
      <c r="Y58" s="52"/>
      <c r="Z58" s="167">
        <f>SUM(Z54:Z57)</f>
        <v>348522.77659516665</v>
      </c>
      <c r="AA58" s="69">
        <f>SUM(AA54:AA57)</f>
        <v>1316749.7365951666</v>
      </c>
      <c r="AB58" s="10"/>
      <c r="AC58" s="10"/>
      <c r="AD58" s="203">
        <f>SUM(AD54:AD57)</f>
        <v>-22010.43659516664</v>
      </c>
      <c r="AE58" s="204">
        <f>SUM(AE54:AE57)</f>
        <v>-50768.806595166592</v>
      </c>
      <c r="AF58" s="150"/>
      <c r="AG58" s="150"/>
      <c r="AH58" s="150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0"/>
      <c r="B59" s="54">
        <f>B58*X59</f>
        <v>-22010.436595166619</v>
      </c>
      <c r="C59" s="10"/>
      <c r="D59" s="10"/>
      <c r="E59" s="10"/>
      <c r="F59" s="10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1"/>
      <c r="U59" s="51"/>
      <c r="V59" s="51"/>
      <c r="W59" s="57"/>
      <c r="X59" s="58">
        <f>1-(R58/L58)</f>
        <v>-6.7410734293125385E-2</v>
      </c>
      <c r="Y59" s="59"/>
      <c r="Z59" s="10"/>
      <c r="AA59" s="10"/>
      <c r="AB59" s="10"/>
      <c r="AC59" s="10"/>
      <c r="AD59" s="10"/>
      <c r="AE59" s="10"/>
      <c r="AF59" s="10"/>
      <c r="AG59" s="10"/>
      <c r="AH59" s="10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0"/>
      <c r="B60" s="10"/>
      <c r="C60" s="10"/>
      <c r="D60" s="10"/>
      <c r="E60" s="10"/>
      <c r="F60" s="10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1"/>
      <c r="AA60" s="51"/>
      <c r="AB60" s="51"/>
      <c r="AC60" s="51"/>
      <c r="AD60" s="51"/>
      <c r="AE60" s="51"/>
      <c r="AF60" s="51"/>
      <c r="AG60" s="51"/>
      <c r="AH60" s="51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83"/>
      <c r="B61" s="170"/>
      <c r="C61" s="170"/>
      <c r="D61" s="170"/>
      <c r="E61" s="170"/>
      <c r="F61" s="170"/>
      <c r="G61" s="170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3"/>
      <c r="AA61" s="13"/>
      <c r="AB61" s="170"/>
      <c r="AC61" s="170"/>
      <c r="AD61" s="170"/>
      <c r="AE61" s="13"/>
      <c r="AF61" s="13"/>
      <c r="AG61" s="13"/>
      <c r="AH61" s="13"/>
      <c r="AI61"/>
      <c r="AJ61"/>
      <c r="AK61"/>
      <c r="AL61"/>
      <c r="AM61"/>
      <c r="AN61"/>
      <c r="AO61"/>
      <c r="AP61"/>
      <c r="AQ61"/>
    </row>
    <row r="62" spans="1:43" s="10" customFormat="1" ht="27.95" customHeight="1" x14ac:dyDescent="0.2">
      <c r="A62" s="84"/>
      <c r="B62" s="13"/>
      <c r="C62" s="13"/>
      <c r="D62" s="13"/>
      <c r="E62" s="13"/>
      <c r="F62" s="13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3"/>
      <c r="AA62" s="13"/>
      <c r="AB62" s="13"/>
      <c r="AC62" s="13"/>
      <c r="AD62" s="13"/>
      <c r="AE62" s="13"/>
      <c r="AF62" s="13"/>
      <c r="AG62" s="13"/>
      <c r="AH62" s="13"/>
    </row>
    <row r="63" spans="1:43" s="10" customFormat="1" ht="27.95" customHeight="1" x14ac:dyDescent="0.2">
      <c r="A63" s="84"/>
      <c r="B63" s="13"/>
      <c r="C63" s="13"/>
      <c r="D63" s="13"/>
      <c r="E63" s="13"/>
      <c r="F63" s="13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43" s="10" customFormat="1" ht="27.95" customHeight="1" x14ac:dyDescent="0.2">
      <c r="A64" s="84"/>
      <c r="B64" s="13"/>
      <c r="C64" s="13"/>
      <c r="D64" s="13"/>
      <c r="E64" s="13"/>
      <c r="F64" s="1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43" s="10" customFormat="1" ht="27.95" customHeight="1" x14ac:dyDescent="0.2">
      <c r="A65" s="84"/>
      <c r="B65" s="13"/>
      <c r="C65" s="13"/>
      <c r="D65" s="13"/>
      <c r="E65" s="13"/>
      <c r="F65" s="1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43" s="10" customFormat="1" ht="27.95" customHeight="1" x14ac:dyDescent="0.2">
      <c r="A66" s="84"/>
      <c r="B66" s="13"/>
      <c r="C66" s="13"/>
      <c r="D66" s="13"/>
      <c r="E66" s="13"/>
      <c r="F66" s="13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43" s="10" customFormat="1" ht="27.95" customHeight="1" x14ac:dyDescent="0.2">
      <c r="A67" s="83"/>
      <c r="B67" s="13"/>
      <c r="C67" s="13"/>
      <c r="D67" s="13"/>
      <c r="E67" s="13"/>
      <c r="F67" s="13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43" s="10" customFormat="1" ht="27.95" customHeight="1" x14ac:dyDescent="0.2">
      <c r="A68" s="13"/>
      <c r="B68" s="13"/>
      <c r="C68" s="13"/>
      <c r="D68" s="13"/>
      <c r="E68" s="13"/>
      <c r="F68" s="13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13"/>
      <c r="AA68" s="13"/>
      <c r="AB68" s="13"/>
      <c r="AC68" s="13"/>
      <c r="AD68" s="13"/>
      <c r="AE68" s="13"/>
      <c r="AF68" s="13"/>
      <c r="AG68" s="13"/>
      <c r="AH68" s="13"/>
      <c r="AI68" s="51"/>
      <c r="AJ68" s="51"/>
      <c r="AK68" s="51"/>
      <c r="AL68" s="51"/>
      <c r="AM68" s="51"/>
      <c r="AN68" s="51"/>
      <c r="AO68" s="51"/>
      <c r="AP68" s="51"/>
      <c r="AQ68" s="51"/>
    </row>
    <row r="69" spans="1:43" s="13" customFormat="1" ht="27.95" customHeight="1" x14ac:dyDescent="0.25">
      <c r="A69"/>
      <c r="B69"/>
      <c r="C69"/>
      <c r="D69"/>
      <c r="E69"/>
      <c r="F6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  <c r="AA69" s="2"/>
      <c r="AB69" s="2"/>
      <c r="AC69" s="2"/>
      <c r="AD69" s="2"/>
      <c r="AE69" s="2"/>
      <c r="AF69" s="2"/>
      <c r="AG69" s="2"/>
      <c r="AH69" s="2"/>
    </row>
    <row r="70" spans="1:43" s="13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13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13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13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13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13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13" customForma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</sheetData>
  <mergeCells count="200">
    <mergeCell ref="A1:AE1"/>
    <mergeCell ref="A2:A4"/>
    <mergeCell ref="B2:I2"/>
    <mergeCell ref="J2:L2"/>
    <mergeCell ref="M2:U2"/>
    <mergeCell ref="V2:AD2"/>
    <mergeCell ref="AE2:AF2"/>
    <mergeCell ref="O3:P3"/>
    <mergeCell ref="Q3:Q4"/>
    <mergeCell ref="R3:R4"/>
    <mergeCell ref="U3:U4"/>
    <mergeCell ref="V3:V4"/>
    <mergeCell ref="W3:W4"/>
    <mergeCell ref="X3:X4"/>
    <mergeCell ref="AG2:AZ2"/>
    <mergeCell ref="B3:C3"/>
    <mergeCell ref="D3:E3"/>
    <mergeCell ref="F3:G3"/>
    <mergeCell ref="H3:H4"/>
    <mergeCell ref="I3:I4"/>
    <mergeCell ref="J3:J4"/>
    <mergeCell ref="K3:K4"/>
    <mergeCell ref="L3:L4"/>
    <mergeCell ref="M3:N3"/>
    <mergeCell ref="AR3:AT3"/>
    <mergeCell ref="AU3:AW3"/>
    <mergeCell ref="AX3:AZ3"/>
    <mergeCell ref="AG3:AH3"/>
    <mergeCell ref="AI3:AK3"/>
    <mergeCell ref="AL3:AN3"/>
    <mergeCell ref="AO3:AQ3"/>
    <mergeCell ref="A36:U36"/>
    <mergeCell ref="V36:AB36"/>
    <mergeCell ref="B37:C37"/>
    <mergeCell ref="D37:F37"/>
    <mergeCell ref="G37:I37"/>
    <mergeCell ref="J37:K37"/>
    <mergeCell ref="M37:N37"/>
    <mergeCell ref="AE3:AE4"/>
    <mergeCell ref="AF3:AF4"/>
    <mergeCell ref="Y3:Y4"/>
    <mergeCell ref="Z3:Z4"/>
    <mergeCell ref="AA3:AA4"/>
    <mergeCell ref="AB3:AB4"/>
    <mergeCell ref="AC3:AC4"/>
    <mergeCell ref="AD3:AD4"/>
    <mergeCell ref="S3:S4"/>
    <mergeCell ref="T3:T4"/>
    <mergeCell ref="AH37:AK37"/>
    <mergeCell ref="B38:C38"/>
    <mergeCell ref="D38:F38"/>
    <mergeCell ref="G38:I38"/>
    <mergeCell ref="J38:K38"/>
    <mergeCell ref="M38:N38"/>
    <mergeCell ref="O38:Q38"/>
    <mergeCell ref="R38:S38"/>
    <mergeCell ref="T38:U38"/>
    <mergeCell ref="V38:W38"/>
    <mergeCell ref="O37:Q37"/>
    <mergeCell ref="R37:S37"/>
    <mergeCell ref="T37:U37"/>
    <mergeCell ref="V37:W37"/>
    <mergeCell ref="X37:Y37"/>
    <mergeCell ref="Z37:AB37"/>
    <mergeCell ref="X38:Y38"/>
    <mergeCell ref="Z38:AB38"/>
    <mergeCell ref="AH38:AK38"/>
    <mergeCell ref="X39:Y39"/>
    <mergeCell ref="Z39:AB39"/>
    <mergeCell ref="AH39:AK39"/>
    <mergeCell ref="B40:C40"/>
    <mergeCell ref="D40:F40"/>
    <mergeCell ref="G40:I40"/>
    <mergeCell ref="J40:K40"/>
    <mergeCell ref="M40:N40"/>
    <mergeCell ref="AH40:AK40"/>
    <mergeCell ref="O40:Q40"/>
    <mergeCell ref="R40:S40"/>
    <mergeCell ref="T40:U40"/>
    <mergeCell ref="V40:W40"/>
    <mergeCell ref="X40:Y40"/>
    <mergeCell ref="Z40:AB40"/>
    <mergeCell ref="B39:C39"/>
    <mergeCell ref="D39:F39"/>
    <mergeCell ref="G39:I39"/>
    <mergeCell ref="J39:K39"/>
    <mergeCell ref="M39:N39"/>
    <mergeCell ref="O39:Q39"/>
    <mergeCell ref="R39:S39"/>
    <mergeCell ref="T39:U39"/>
    <mergeCell ref="V39:W39"/>
    <mergeCell ref="X41:Y41"/>
    <mergeCell ref="Z41:AB41"/>
    <mergeCell ref="AH41:AK41"/>
    <mergeCell ref="B42:C42"/>
    <mergeCell ref="D42:F42"/>
    <mergeCell ref="G42:I42"/>
    <mergeCell ref="J42:K42"/>
    <mergeCell ref="M42:N42"/>
    <mergeCell ref="O42:Q42"/>
    <mergeCell ref="R42:S42"/>
    <mergeCell ref="T42:U42"/>
    <mergeCell ref="V42:W42"/>
    <mergeCell ref="X42:Y42"/>
    <mergeCell ref="Z42:AB42"/>
    <mergeCell ref="AH42:AK42"/>
    <mergeCell ref="B41:C41"/>
    <mergeCell ref="D41:F41"/>
    <mergeCell ref="G41:I41"/>
    <mergeCell ref="J41:K41"/>
    <mergeCell ref="M41:N41"/>
    <mergeCell ref="O41:Q41"/>
    <mergeCell ref="R41:S41"/>
    <mergeCell ref="T41:U41"/>
    <mergeCell ref="V41:W41"/>
    <mergeCell ref="B43:C43"/>
    <mergeCell ref="D43:F43"/>
    <mergeCell ref="G43:I43"/>
    <mergeCell ref="J43:K43"/>
    <mergeCell ref="M43:N43"/>
    <mergeCell ref="AH43:AK43"/>
    <mergeCell ref="A45:B45"/>
    <mergeCell ref="D45:G45"/>
    <mergeCell ref="I45:L45"/>
    <mergeCell ref="N45:S45"/>
    <mergeCell ref="U45:X45"/>
    <mergeCell ref="Z45:AB45"/>
    <mergeCell ref="AD45:AF45"/>
    <mergeCell ref="O43:Q43"/>
    <mergeCell ref="R43:S43"/>
    <mergeCell ref="T43:U43"/>
    <mergeCell ref="V43:W43"/>
    <mergeCell ref="X43:Y43"/>
    <mergeCell ref="Z43:AB43"/>
    <mergeCell ref="Z46:AA46"/>
    <mergeCell ref="AD46:AE46"/>
    <mergeCell ref="D47:F47"/>
    <mergeCell ref="I47:K47"/>
    <mergeCell ref="N47:Q47"/>
    <mergeCell ref="R47:S47"/>
    <mergeCell ref="U47:V47"/>
    <mergeCell ref="W47:X47"/>
    <mergeCell ref="Z47:AA47"/>
    <mergeCell ref="AD47:AE47"/>
    <mergeCell ref="D46:F46"/>
    <mergeCell ref="I46:K46"/>
    <mergeCell ref="N46:Q46"/>
    <mergeCell ref="R46:S46"/>
    <mergeCell ref="U46:V46"/>
    <mergeCell ref="W46:X46"/>
    <mergeCell ref="AD48:AE48"/>
    <mergeCell ref="D49:F49"/>
    <mergeCell ref="I49:K49"/>
    <mergeCell ref="N49:Q49"/>
    <mergeCell ref="R49:S49"/>
    <mergeCell ref="U49:V49"/>
    <mergeCell ref="W49:X49"/>
    <mergeCell ref="Z49:AA49"/>
    <mergeCell ref="AD49:AE49"/>
    <mergeCell ref="D48:F48"/>
    <mergeCell ref="I48:K48"/>
    <mergeCell ref="N48:Q48"/>
    <mergeCell ref="R48:S48"/>
    <mergeCell ref="U48:V48"/>
    <mergeCell ref="W48:X48"/>
    <mergeCell ref="R50:S50"/>
    <mergeCell ref="W50:X50"/>
    <mergeCell ref="Z50:AA50"/>
    <mergeCell ref="A53:B53"/>
    <mergeCell ref="D53:G53"/>
    <mergeCell ref="I53:L53"/>
    <mergeCell ref="N53:S53"/>
    <mergeCell ref="U53:X53"/>
    <mergeCell ref="Z48:AA48"/>
    <mergeCell ref="D55:F55"/>
    <mergeCell ref="I55:K55"/>
    <mergeCell ref="N55:Q55"/>
    <mergeCell ref="R55:S55"/>
    <mergeCell ref="U55:V55"/>
    <mergeCell ref="W55:X55"/>
    <mergeCell ref="D54:F54"/>
    <mergeCell ref="I54:K54"/>
    <mergeCell ref="N54:Q54"/>
    <mergeCell ref="R54:S54"/>
    <mergeCell ref="U54:V54"/>
    <mergeCell ref="W54:X54"/>
    <mergeCell ref="R58:S58"/>
    <mergeCell ref="W58:X58"/>
    <mergeCell ref="D57:F57"/>
    <mergeCell ref="I57:K57"/>
    <mergeCell ref="N57:Q57"/>
    <mergeCell ref="R57:S57"/>
    <mergeCell ref="U57:V57"/>
    <mergeCell ref="W57:X57"/>
    <mergeCell ref="D56:F56"/>
    <mergeCell ref="I56:K56"/>
    <mergeCell ref="N56:Q56"/>
    <mergeCell ref="R56:S56"/>
    <mergeCell ref="U56:V56"/>
    <mergeCell ref="W56:X56"/>
  </mergeCells>
  <conditionalFormatting sqref="I5:I34">
    <cfRule type="cellIs" dxfId="54" priority="32" operator="greaterThan">
      <formula>$G$46</formula>
    </cfRule>
    <cfRule type="cellIs" dxfId="53" priority="26" operator="greaterThan">
      <formula>$G$46</formula>
    </cfRule>
    <cfRule type="cellIs" dxfId="52" priority="25" operator="lessThan">
      <formula>$G$46</formula>
    </cfRule>
    <cfRule type="cellIs" dxfId="51" priority="31" operator="lessThan">
      <formula>$G$46</formula>
    </cfRule>
  </conditionalFormatting>
  <conditionalFormatting sqref="L5:L34">
    <cfRule type="cellIs" dxfId="50" priority="29" operator="lessThan">
      <formula>$G$47</formula>
    </cfRule>
    <cfRule type="cellIs" dxfId="49" priority="24" operator="greaterThan">
      <formula>$G$47</formula>
    </cfRule>
    <cfRule type="cellIs" dxfId="48" priority="23" operator="lessThan">
      <formula>$G$47</formula>
    </cfRule>
    <cfRule type="cellIs" dxfId="47" priority="30" operator="greaterThan">
      <formula>$G$47</formula>
    </cfRule>
  </conditionalFormatting>
  <conditionalFormatting sqref="L46">
    <cfRule type="cellIs" dxfId="46" priority="18" operator="greaterThan">
      <formula>$G$46</formula>
    </cfRule>
    <cfRule type="cellIs" dxfId="45" priority="39" operator="lessThan">
      <formula>$G$46</formula>
    </cfRule>
    <cfRule type="cellIs" dxfId="44" priority="49" operator="lessThan">
      <formula>$G$46</formula>
    </cfRule>
    <cfRule type="cellIs" dxfId="43" priority="17" operator="lessThan">
      <formula>$G$46</formula>
    </cfRule>
    <cfRule type="cellIs" dxfId="42" priority="55" operator="greaterThan">
      <formula>$G$46</formula>
    </cfRule>
    <cfRule type="cellIs" dxfId="41" priority="40" operator="greaterThan">
      <formula>$G$46</formula>
    </cfRule>
  </conditionalFormatting>
  <conditionalFormatting sqref="L47">
    <cfRule type="cellIs" dxfId="40" priority="38" operator="greaterThan">
      <formula>$G$47</formula>
    </cfRule>
    <cfRule type="cellIs" dxfId="39" priority="37" operator="lessThan">
      <formula>$G$47</formula>
    </cfRule>
    <cfRule type="cellIs" dxfId="38" priority="16" operator="greaterThan">
      <formula>$G$47</formula>
    </cfRule>
    <cfRule type="cellIs" dxfId="37" priority="13" operator="lessThan">
      <formula>$G$47</formula>
    </cfRule>
    <cfRule type="cellIs" dxfId="36" priority="48" operator="lessThan">
      <formula>$G$47</formula>
    </cfRule>
    <cfRule type="cellIs" dxfId="35" priority="54" operator="greaterThan">
      <formula>$G$47</formula>
    </cfRule>
  </conditionalFormatting>
  <conditionalFormatting sqref="L48">
    <cfRule type="cellIs" dxfId="34" priority="12" operator="lessThan">
      <formula>$G$48</formula>
    </cfRule>
    <cfRule type="cellIs" dxfId="33" priority="35" operator="lessThan">
      <formula>$G$48</formula>
    </cfRule>
    <cfRule type="cellIs" dxfId="32" priority="36" operator="greaterThan">
      <formula>$G$48</formula>
    </cfRule>
    <cfRule type="cellIs" dxfId="31" priority="47" operator="lessThan">
      <formula>$G$48</formula>
    </cfRule>
    <cfRule type="cellIs" dxfId="30" priority="15" operator="greaterThan">
      <formula>$G$48</formula>
    </cfRule>
    <cfRule type="cellIs" dxfId="29" priority="53" operator="greaterThan">
      <formula>$G$48</formula>
    </cfRule>
  </conditionalFormatting>
  <conditionalFormatting sqref="L49">
    <cfRule type="cellIs" dxfId="28" priority="33" operator="lessThan">
      <formula>$G$49</formula>
    </cfRule>
    <cfRule type="cellIs" dxfId="27" priority="34" operator="greaterThan">
      <formula>$G$49</formula>
    </cfRule>
    <cfRule type="cellIs" dxfId="26" priority="11" operator="lessThan">
      <formula>$G$49</formula>
    </cfRule>
    <cfRule type="cellIs" dxfId="25" priority="46" operator="lessThan">
      <formula>$G$49</formula>
    </cfRule>
    <cfRule type="cellIs" dxfId="24" priority="52" operator="greaterThan">
      <formula>$G$49</formula>
    </cfRule>
    <cfRule type="cellIs" dxfId="23" priority="14" operator="greaterThan">
      <formula>$G$49</formula>
    </cfRule>
  </conditionalFormatting>
  <conditionalFormatting sqref="L54">
    <cfRule type="cellIs" dxfId="22" priority="8" operator="greaterThan">
      <formula>$R$54</formula>
    </cfRule>
    <cfRule type="cellIs" dxfId="21" priority="4" operator="lessThan">
      <formula>$R$54</formula>
    </cfRule>
  </conditionalFormatting>
  <conditionalFormatting sqref="L55">
    <cfRule type="cellIs" dxfId="20" priority="3" operator="lessThan">
      <formula>$R$55</formula>
    </cfRule>
    <cfRule type="cellIs" dxfId="19" priority="7" operator="greaterThan">
      <formula>$R$55</formula>
    </cfRule>
  </conditionalFormatting>
  <conditionalFormatting sqref="L56">
    <cfRule type="cellIs" dxfId="18" priority="6" operator="greaterThan">
      <formula>$R$56</formula>
    </cfRule>
    <cfRule type="cellIs" dxfId="17" priority="2" operator="lessThan">
      <formula>$R$56</formula>
    </cfRule>
  </conditionalFormatting>
  <conditionalFormatting sqref="L57">
    <cfRule type="cellIs" dxfId="16" priority="5" operator="greaterThan">
      <formula>$R$57</formula>
    </cfRule>
    <cfRule type="cellIs" dxfId="15" priority="1" operator="lessThan">
      <formula>$R$57</formula>
    </cfRule>
  </conditionalFormatting>
  <conditionalFormatting sqref="U5:U34">
    <cfRule type="cellIs" dxfId="14" priority="20" operator="greaterThan">
      <formula>$G$48</formula>
    </cfRule>
    <cfRule type="cellIs" dxfId="13" priority="19" operator="lessThan">
      <formula>$G$48</formula>
    </cfRule>
  </conditionalFormatting>
  <conditionalFormatting sqref="W46:W49">
    <cfRule type="cellIs" dxfId="12" priority="51" operator="greaterThan">
      <formula>#REF!</formula>
    </cfRule>
  </conditionalFormatting>
  <conditionalFormatting sqref="W46:W57">
    <cfRule type="cellIs" dxfId="11" priority="43" operator="lessThan">
      <formula>#REF!</formula>
    </cfRule>
  </conditionalFormatting>
  <conditionalFormatting sqref="W47">
    <cfRule type="cellIs" dxfId="10" priority="50" operator="lessThan">
      <formula>#REF!</formula>
    </cfRule>
  </conditionalFormatting>
  <conditionalFormatting sqref="W54:W57">
    <cfRule type="cellIs" dxfId="9" priority="45" operator="greaterThan">
      <formula>#REF!</formula>
    </cfRule>
  </conditionalFormatting>
  <conditionalFormatting sqref="W55">
    <cfRule type="cellIs" dxfId="8" priority="44" operator="lessThan">
      <formula>#REF!</formula>
    </cfRule>
  </conditionalFormatting>
  <conditionalFormatting sqref="AA5:AA34">
    <cfRule type="cellIs" dxfId="7" priority="27" operator="lessThan">
      <formula>$G$49</formula>
    </cfRule>
    <cfRule type="cellIs" dxfId="6" priority="21" operator="lessThan">
      <formula>$G$49</formula>
    </cfRule>
    <cfRule type="cellIs" dxfId="5" priority="22" operator="greaterThan">
      <formula>$G$49</formula>
    </cfRule>
    <cfRule type="cellIs" dxfId="4" priority="28" operator="greaterThan">
      <formula>$G$49</formula>
    </cfRule>
  </conditionalFormatting>
  <conditionalFormatting sqref="AG50">
    <cfRule type="cellIs" dxfId="3" priority="10" operator="greaterThan">
      <formula>#REF!</formula>
    </cfRule>
    <cfRule type="cellIs" dxfId="2" priority="9" operator="lessThan">
      <formula>#REF!</formula>
    </cfRule>
  </conditionalFormatting>
  <conditionalFormatting sqref="AI50:AK50">
    <cfRule type="cellIs" dxfId="1" priority="41" operator="lessThan">
      <formula>#REF!</formula>
    </cfRule>
    <cfRule type="cellIs" dxfId="0" priority="42" operator="greaterThan">
      <formula>#REF!</formula>
    </cfRule>
  </conditionalFormatting>
  <dataValidations count="4">
    <dataValidation type="textLength" errorStyle="information" allowBlank="1" showInputMessage="1" showErrorMessage="1" error="XLBVal:5=475111.81_x000d__x000a_" sqref="L43" xr:uid="{2BF470B1-6FAD-4484-9AEE-C541594E5EEC}">
      <formula1>0</formula1>
      <formula2>300</formula2>
    </dataValidation>
    <dataValidation type="textLength" errorStyle="information" allowBlank="1" showInputMessage="1" showErrorMessage="1" error="XLBVal:5=87611.97_x000d__x000a_" sqref="L40" xr:uid="{5FBC139C-4BF6-450B-AFA0-205313ABD2B1}">
      <formula1>0</formula1>
      <formula2>300</formula2>
    </dataValidation>
    <dataValidation type="textLength" errorStyle="information" allowBlank="1" showInputMessage="1" showErrorMessage="1" error="XLBVal:5=35789.07_x000d__x000a_" sqref="L39" xr:uid="{EF6664E5-4A14-45F8-ACFA-80A89085D4BE}">
      <formula1>0</formula1>
      <formula2>300</formula2>
    </dataValidation>
    <dataValidation type="textLength" errorStyle="information" allowBlank="1" showInputMessage="1" showErrorMessage="1" error="XLBVal:5=31374.1_x000d__x000a_" sqref="L42" xr:uid="{9B3985BB-CE80-4AD1-A431-FDE787AA13FA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41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Apr 2025</vt:lpstr>
      <vt:lpstr>'Apr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2025-05-01T05:30:55Z</dcterms:modified>
</cp:coreProperties>
</file>