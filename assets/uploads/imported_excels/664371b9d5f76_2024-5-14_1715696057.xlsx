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24226"/>
  <xr:revisionPtr revIDLastSave="0" documentId="13_ncr:1_{C6C261AA-56A5-41AF-B561-CF22A8D92C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Mar 2024" sheetId="3" r:id="rId3"/>
  </sheets>
  <definedNames>
    <definedName name="_xlnm.Print_Area" localSheetId="2">'Mar 2024'!$A$1:$AC$44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3" i="5"/>
  <c r="J4" i="5"/>
  <c r="J5" i="5"/>
  <c r="J6" i="5"/>
  <c r="J7" i="5"/>
  <c r="J2" i="5"/>
  <c r="I3" i="5"/>
  <c r="I4" i="5"/>
  <c r="I5" i="5"/>
  <c r="I6" i="5"/>
  <c r="I7" i="5"/>
  <c r="I2" i="5"/>
  <c r="E3" i="4" l="1"/>
  <c r="E4" i="4"/>
  <c r="E5" i="4"/>
  <c r="E6" i="4"/>
  <c r="E7" i="4"/>
  <c r="E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2" i="5"/>
  <c r="L3" i="5"/>
  <c r="L4" i="5"/>
  <c r="L5" i="5"/>
  <c r="L6" i="5"/>
  <c r="L7" i="5"/>
  <c r="L2" i="5"/>
  <c r="K3" i="5"/>
  <c r="K4" i="5"/>
  <c r="K5" i="5"/>
  <c r="K6" i="5"/>
  <c r="K7" i="5"/>
  <c r="K2" i="5"/>
  <c r="H3" i="5"/>
  <c r="H4" i="5"/>
  <c r="H5" i="5"/>
  <c r="H6" i="5"/>
  <c r="H7" i="5"/>
  <c r="H2" i="5"/>
  <c r="E3" i="5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G2" i="5"/>
  <c r="F2" i="5"/>
  <c r="E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5" i="5"/>
  <c r="B6" i="5" s="1"/>
  <c r="B7" i="5" s="1"/>
  <c r="B4" i="5"/>
  <c r="B3" i="5"/>
  <c r="X43" i="3" l="1"/>
  <c r="R43" i="3"/>
  <c r="T43" i="3" s="1"/>
  <c r="L43" i="3"/>
  <c r="D43" i="3"/>
  <c r="T44" i="3"/>
  <c r="AG39" i="3"/>
  <c r="AG38" i="3"/>
  <c r="J40" i="3"/>
  <c r="J41" i="3"/>
  <c r="W33" i="3"/>
  <c r="W34" i="3"/>
  <c r="W35" i="3"/>
  <c r="AV33" i="3" l="1"/>
  <c r="AV34" i="3"/>
  <c r="AW34" i="3" s="1"/>
  <c r="AV35" i="3"/>
  <c r="AW35" i="3" s="1"/>
  <c r="AS34" i="3"/>
  <c r="AT34" i="3" s="1"/>
  <c r="AS35" i="3"/>
  <c r="AT35" i="3" s="1"/>
  <c r="AP34" i="3"/>
  <c r="AP35" i="3"/>
  <c r="AM34" i="3"/>
  <c r="AN34" i="3" s="1"/>
  <c r="AM35" i="3"/>
  <c r="AN35" i="3" s="1"/>
  <c r="AJ34" i="3"/>
  <c r="AK34" i="3" s="1"/>
  <c r="AJ35" i="3"/>
  <c r="AH35" i="3"/>
  <c r="AG34" i="3"/>
  <c r="AH34" i="3" s="1"/>
  <c r="AG3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5" i="3"/>
  <c r="AC7" i="3"/>
  <c r="AC8" i="3"/>
  <c r="AC9" i="3"/>
  <c r="AC10" i="3"/>
  <c r="AC11" i="3"/>
  <c r="L8" i="5" s="1"/>
  <c r="AC12" i="3"/>
  <c r="L9" i="5" s="1"/>
  <c r="AC13" i="3"/>
  <c r="L10" i="5" s="1"/>
  <c r="AC14" i="3"/>
  <c r="L11" i="5" s="1"/>
  <c r="AC15" i="3"/>
  <c r="L12" i="5" s="1"/>
  <c r="AC16" i="3"/>
  <c r="L13" i="5" s="1"/>
  <c r="AC17" i="3"/>
  <c r="L14" i="5" s="1"/>
  <c r="AC18" i="3"/>
  <c r="L15" i="5" s="1"/>
  <c r="AC19" i="3"/>
  <c r="L16" i="5" s="1"/>
  <c r="AC20" i="3"/>
  <c r="L17" i="5" s="1"/>
  <c r="AC21" i="3"/>
  <c r="L18" i="5" s="1"/>
  <c r="AC22" i="3"/>
  <c r="L19" i="5" s="1"/>
  <c r="AC23" i="3"/>
  <c r="L20" i="5" s="1"/>
  <c r="AC24" i="3"/>
  <c r="L21" i="5" s="1"/>
  <c r="AC25" i="3"/>
  <c r="L22" i="5" s="1"/>
  <c r="AC26" i="3"/>
  <c r="L23" i="5" s="1"/>
  <c r="AC27" i="3"/>
  <c r="L24" i="5" s="1"/>
  <c r="AC28" i="3"/>
  <c r="L25" i="5" s="1"/>
  <c r="AC29" i="3"/>
  <c r="L26" i="5" s="1"/>
  <c r="AC30" i="3"/>
  <c r="L27" i="5" s="1"/>
  <c r="AC31" i="3"/>
  <c r="L28" i="5" s="1"/>
  <c r="AC32" i="3"/>
  <c r="L29" i="5" s="1"/>
  <c r="AC33" i="3"/>
  <c r="L30" i="5" s="1"/>
  <c r="AC34" i="3"/>
  <c r="L31" i="5" s="1"/>
  <c r="AC35" i="3"/>
  <c r="L32" i="5" s="1"/>
  <c r="AC6" i="3"/>
  <c r="X34" i="3"/>
  <c r="X35" i="3"/>
  <c r="S33" i="3"/>
  <c r="T33" i="3" s="1"/>
  <c r="U33" i="3" s="1"/>
  <c r="S34" i="3"/>
  <c r="T34" i="3" s="1"/>
  <c r="U34" i="3" s="1"/>
  <c r="S35" i="3"/>
  <c r="T35" i="3" s="1"/>
  <c r="U35" i="3" s="1"/>
  <c r="P33" i="3"/>
  <c r="J30" i="5" s="1"/>
  <c r="P34" i="3"/>
  <c r="J31" i="5" s="1"/>
  <c r="P35" i="3"/>
  <c r="J32" i="5" s="1"/>
  <c r="N33" i="3"/>
  <c r="I30" i="5" s="1"/>
  <c r="N34" i="3"/>
  <c r="I31" i="5" s="1"/>
  <c r="N35" i="3"/>
  <c r="I32" i="5" s="1"/>
  <c r="K33" i="3"/>
  <c r="K34" i="3"/>
  <c r="K35" i="3"/>
  <c r="G34" i="3"/>
  <c r="G31" i="5" s="1"/>
  <c r="G35" i="3"/>
  <c r="G32" i="5" s="1"/>
  <c r="E34" i="3"/>
  <c r="F31" i="5" s="1"/>
  <c r="E35" i="3"/>
  <c r="F32" i="5" s="1"/>
  <c r="C33" i="3"/>
  <c r="E30" i="5" s="1"/>
  <c r="C34" i="3"/>
  <c r="E31" i="5" s="1"/>
  <c r="C35" i="3"/>
  <c r="E32" i="5" s="1"/>
  <c r="AQ34" i="3" l="1"/>
  <c r="M31" i="5"/>
  <c r="AQ35" i="3"/>
  <c r="M32" i="5"/>
  <c r="Y34" i="3"/>
  <c r="AA34" i="3" s="1"/>
  <c r="K31" i="5"/>
  <c r="Y35" i="3"/>
  <c r="AA35" i="3" s="1"/>
  <c r="K32" i="5"/>
  <c r="L33" i="3"/>
  <c r="I30" i="4"/>
  <c r="H30" i="5"/>
  <c r="L35" i="3"/>
  <c r="I32" i="4"/>
  <c r="H32" i="5"/>
  <c r="L34" i="3"/>
  <c r="I31" i="4"/>
  <c r="H31" i="5"/>
  <c r="E32" i="4"/>
  <c r="E31" i="4"/>
  <c r="Q35" i="3"/>
  <c r="H35" i="3"/>
  <c r="I35" i="3" s="1"/>
  <c r="Q34" i="3"/>
  <c r="H34" i="3"/>
  <c r="I34" i="3" s="1"/>
  <c r="Q33" i="3"/>
  <c r="AC36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Q5" i="3"/>
  <c r="AS33" i="3"/>
  <c r="AT33" i="3" s="1"/>
  <c r="AS32" i="3"/>
  <c r="AT32" i="3" s="1"/>
  <c r="AS31" i="3"/>
  <c r="AT31" i="3" s="1"/>
  <c r="AS30" i="3"/>
  <c r="AT30" i="3" s="1"/>
  <c r="AS29" i="3"/>
  <c r="AT29" i="3" s="1"/>
  <c r="AS28" i="3"/>
  <c r="AT28" i="3" s="1"/>
  <c r="AS27" i="3"/>
  <c r="AT27" i="3" s="1"/>
  <c r="AS26" i="3"/>
  <c r="AT26" i="3" s="1"/>
  <c r="AS25" i="3"/>
  <c r="AT25" i="3" s="1"/>
  <c r="AS24" i="3"/>
  <c r="AT24" i="3" s="1"/>
  <c r="AS23" i="3"/>
  <c r="AT23" i="3" s="1"/>
  <c r="AS22" i="3"/>
  <c r="AT22" i="3" s="1"/>
  <c r="AS21" i="3"/>
  <c r="AT21" i="3" s="1"/>
  <c r="AS20" i="3"/>
  <c r="AT20" i="3" s="1"/>
  <c r="AS19" i="3"/>
  <c r="AT19" i="3" s="1"/>
  <c r="AS18" i="3"/>
  <c r="AT18" i="3" s="1"/>
  <c r="AS17" i="3"/>
  <c r="AT17" i="3" s="1"/>
  <c r="AS16" i="3"/>
  <c r="AT16" i="3" s="1"/>
  <c r="AS15" i="3"/>
  <c r="AT15" i="3" s="1"/>
  <c r="AS14" i="3"/>
  <c r="AT14" i="3" s="1"/>
  <c r="AS13" i="3"/>
  <c r="AT13" i="3" s="1"/>
  <c r="AS12" i="3"/>
  <c r="AT12" i="3" s="1"/>
  <c r="AS11" i="3"/>
  <c r="AT11" i="3" s="1"/>
  <c r="AS10" i="3"/>
  <c r="AT10" i="3" s="1"/>
  <c r="AS9" i="3"/>
  <c r="AT9" i="3" s="1"/>
  <c r="AS8" i="3"/>
  <c r="AT8" i="3" s="1"/>
  <c r="AS7" i="3"/>
  <c r="AT7" i="3" s="1"/>
  <c r="AS6" i="3"/>
  <c r="AT5" i="3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5" i="3"/>
  <c r="AK35" i="3"/>
  <c r="AJ33" i="3"/>
  <c r="AK33" i="3" s="1"/>
  <c r="AJ32" i="3"/>
  <c r="AK32" i="3" s="1"/>
  <c r="AJ31" i="3"/>
  <c r="AK31" i="3" s="1"/>
  <c r="AJ30" i="3"/>
  <c r="AK30" i="3" s="1"/>
  <c r="AJ29" i="3"/>
  <c r="AK29" i="3" s="1"/>
  <c r="AJ28" i="3"/>
  <c r="AK28" i="3" s="1"/>
  <c r="AJ27" i="3"/>
  <c r="AK27" i="3" s="1"/>
  <c r="AJ26" i="3"/>
  <c r="AK26" i="3" s="1"/>
  <c r="AJ25" i="3"/>
  <c r="AK25" i="3" s="1"/>
  <c r="AJ24" i="3"/>
  <c r="AK24" i="3" s="1"/>
  <c r="AJ23" i="3"/>
  <c r="AK23" i="3" s="1"/>
  <c r="AJ22" i="3"/>
  <c r="AK22" i="3" s="1"/>
  <c r="AJ21" i="3"/>
  <c r="AK21" i="3" s="1"/>
  <c r="AJ20" i="3"/>
  <c r="AK20" i="3" s="1"/>
  <c r="AJ19" i="3"/>
  <c r="AK19" i="3" s="1"/>
  <c r="AJ18" i="3"/>
  <c r="AK18" i="3" s="1"/>
  <c r="AJ17" i="3"/>
  <c r="AK17" i="3" s="1"/>
  <c r="AJ16" i="3"/>
  <c r="AK16" i="3" s="1"/>
  <c r="AJ15" i="3"/>
  <c r="AK15" i="3" s="1"/>
  <c r="AJ14" i="3"/>
  <c r="AK14" i="3" s="1"/>
  <c r="AJ13" i="3"/>
  <c r="AK13" i="3" s="1"/>
  <c r="AJ12" i="3"/>
  <c r="AK12" i="3" s="1"/>
  <c r="AJ11" i="3"/>
  <c r="AK11" i="3" s="1"/>
  <c r="AJ10" i="3"/>
  <c r="AK10" i="3" s="1"/>
  <c r="AJ9" i="3"/>
  <c r="AK9" i="3" s="1"/>
  <c r="AJ8" i="3"/>
  <c r="AK8" i="3" s="1"/>
  <c r="AJ7" i="3"/>
  <c r="AK7" i="3" s="1"/>
  <c r="AJ6" i="3"/>
  <c r="AK5" i="3"/>
  <c r="AW33" i="3"/>
  <c r="AV32" i="3"/>
  <c r="AW32" i="3" s="1"/>
  <c r="AV31" i="3"/>
  <c r="AW31" i="3" s="1"/>
  <c r="AV30" i="3"/>
  <c r="AW30" i="3" s="1"/>
  <c r="AV29" i="3"/>
  <c r="AW29" i="3" s="1"/>
  <c r="AV28" i="3"/>
  <c r="AW28" i="3" s="1"/>
  <c r="AV27" i="3"/>
  <c r="AW27" i="3" s="1"/>
  <c r="AV26" i="3"/>
  <c r="AW26" i="3" s="1"/>
  <c r="AV25" i="3"/>
  <c r="AW25" i="3" s="1"/>
  <c r="AV24" i="3"/>
  <c r="AW24" i="3" s="1"/>
  <c r="AV23" i="3"/>
  <c r="AW23" i="3" s="1"/>
  <c r="AV22" i="3"/>
  <c r="AW22" i="3" s="1"/>
  <c r="AV21" i="3"/>
  <c r="AW21" i="3" s="1"/>
  <c r="AV20" i="3"/>
  <c r="AW20" i="3" s="1"/>
  <c r="AV19" i="3"/>
  <c r="AW19" i="3" s="1"/>
  <c r="AV18" i="3"/>
  <c r="AW18" i="3" s="1"/>
  <c r="AV17" i="3"/>
  <c r="AW17" i="3" s="1"/>
  <c r="AV16" i="3"/>
  <c r="AW16" i="3" s="1"/>
  <c r="AV15" i="3"/>
  <c r="AW15" i="3" s="1"/>
  <c r="AV14" i="3"/>
  <c r="AW14" i="3" s="1"/>
  <c r="AV13" i="3"/>
  <c r="AW13" i="3" s="1"/>
  <c r="AV12" i="3"/>
  <c r="AW12" i="3" s="1"/>
  <c r="AV11" i="3"/>
  <c r="AW11" i="3" s="1"/>
  <c r="AV10" i="3"/>
  <c r="AW10" i="3" s="1"/>
  <c r="AV9" i="3"/>
  <c r="AW9" i="3" s="1"/>
  <c r="AV8" i="3"/>
  <c r="AW8" i="3" s="1"/>
  <c r="AV7" i="3"/>
  <c r="AW7" i="3" s="1"/>
  <c r="AV6" i="3"/>
  <c r="AW6" i="3" s="1"/>
  <c r="AW5" i="3"/>
  <c r="AG33" i="3"/>
  <c r="AH33" i="3" s="1"/>
  <c r="AG32" i="3"/>
  <c r="AH32" i="3" s="1"/>
  <c r="AG31" i="3"/>
  <c r="AH31" i="3" s="1"/>
  <c r="AG30" i="3"/>
  <c r="AH30" i="3" s="1"/>
  <c r="AG29" i="3"/>
  <c r="AH29" i="3" s="1"/>
  <c r="AG28" i="3"/>
  <c r="AH28" i="3" s="1"/>
  <c r="AG27" i="3"/>
  <c r="AH27" i="3" s="1"/>
  <c r="AG26" i="3"/>
  <c r="AH26" i="3" s="1"/>
  <c r="AG25" i="3"/>
  <c r="AH25" i="3" s="1"/>
  <c r="AG24" i="3"/>
  <c r="AH24" i="3" s="1"/>
  <c r="AG23" i="3"/>
  <c r="AH23" i="3" s="1"/>
  <c r="AG22" i="3"/>
  <c r="AH22" i="3" s="1"/>
  <c r="AG21" i="3"/>
  <c r="AH21" i="3" s="1"/>
  <c r="AG20" i="3"/>
  <c r="AH20" i="3" s="1"/>
  <c r="AG19" i="3"/>
  <c r="AH19" i="3" s="1"/>
  <c r="AG18" i="3"/>
  <c r="AH18" i="3" s="1"/>
  <c r="AG17" i="3"/>
  <c r="AH17" i="3" s="1"/>
  <c r="AG16" i="3"/>
  <c r="AH16" i="3" s="1"/>
  <c r="AG15" i="3"/>
  <c r="AH15" i="3" s="1"/>
  <c r="AG14" i="3"/>
  <c r="AH14" i="3" s="1"/>
  <c r="AG13" i="3"/>
  <c r="AH13" i="3" s="1"/>
  <c r="AG12" i="3"/>
  <c r="AH12" i="3" s="1"/>
  <c r="AG11" i="3"/>
  <c r="AH11" i="3" s="1"/>
  <c r="AG10" i="3"/>
  <c r="AH10" i="3" s="1"/>
  <c r="AG9" i="3"/>
  <c r="AH9" i="3" s="1"/>
  <c r="AG8" i="3"/>
  <c r="AH8" i="3" s="1"/>
  <c r="AG7" i="3"/>
  <c r="AH7" i="3" s="1"/>
  <c r="AG6" i="3"/>
  <c r="AH5" i="3"/>
  <c r="AQ29" i="3" l="1"/>
  <c r="M26" i="5"/>
  <c r="AQ33" i="3"/>
  <c r="M30" i="5"/>
  <c r="AQ27" i="3"/>
  <c r="M24" i="5"/>
  <c r="AQ31" i="3"/>
  <c r="M28" i="5"/>
  <c r="AQ30" i="3"/>
  <c r="M27" i="5"/>
  <c r="AQ28" i="3"/>
  <c r="M25" i="5"/>
  <c r="AQ32" i="3"/>
  <c r="M29" i="5"/>
  <c r="AQ26" i="3"/>
  <c r="AQ36" i="3" s="1"/>
  <c r="M23" i="5"/>
  <c r="AQ8" i="3"/>
  <c r="M5" i="5"/>
  <c r="AQ12" i="3"/>
  <c r="M9" i="5"/>
  <c r="AQ20" i="3"/>
  <c r="M17" i="5"/>
  <c r="AQ24" i="3"/>
  <c r="M21" i="5"/>
  <c r="AQ9" i="3"/>
  <c r="M6" i="5"/>
  <c r="AQ13" i="3"/>
  <c r="M10" i="5"/>
  <c r="AQ17" i="3"/>
  <c r="M14" i="5"/>
  <c r="AQ21" i="3"/>
  <c r="M18" i="5"/>
  <c r="AQ25" i="3"/>
  <c r="M22" i="5"/>
  <c r="AQ22" i="3"/>
  <c r="M19" i="5"/>
  <c r="AQ16" i="3"/>
  <c r="M13" i="5"/>
  <c r="AQ6" i="3"/>
  <c r="M3" i="5"/>
  <c r="AQ10" i="3"/>
  <c r="M7" i="5"/>
  <c r="AQ14" i="3"/>
  <c r="M11" i="5"/>
  <c r="AQ18" i="3"/>
  <c r="M15" i="5"/>
  <c r="AQ7" i="3"/>
  <c r="M4" i="5"/>
  <c r="AQ11" i="3"/>
  <c r="M8" i="5"/>
  <c r="AQ15" i="3"/>
  <c r="M12" i="5"/>
  <c r="AQ19" i="3"/>
  <c r="M16" i="5"/>
  <c r="AQ23" i="3"/>
  <c r="M20" i="5"/>
  <c r="AV36" i="3"/>
  <c r="AM36" i="3"/>
  <c r="AS36" i="3"/>
  <c r="AG36" i="3"/>
  <c r="AJ36" i="3"/>
  <c r="AP36" i="3"/>
  <c r="AT6" i="3"/>
  <c r="AT36" i="3" s="1"/>
  <c r="AN6" i="3"/>
  <c r="AN36" i="3" s="1"/>
  <c r="AK6" i="3"/>
  <c r="AK36" i="3" s="1"/>
  <c r="AW36" i="3"/>
  <c r="AH6" i="3"/>
  <c r="AH36" i="3" s="1"/>
  <c r="W31" i="3" l="1"/>
  <c r="W32" i="3"/>
  <c r="X33" i="3" l="1"/>
  <c r="S32" i="3"/>
  <c r="T32" i="3" s="1"/>
  <c r="U32" i="3" s="1"/>
  <c r="N32" i="3"/>
  <c r="I29" i="5" s="1"/>
  <c r="G33" i="3"/>
  <c r="G30" i="5" s="1"/>
  <c r="E33" i="3"/>
  <c r="F30" i="5" s="1"/>
  <c r="AG41" i="3"/>
  <c r="Z41" i="3" s="1"/>
  <c r="AG40" i="3"/>
  <c r="Z40" i="3" s="1"/>
  <c r="Y33" i="3" l="1"/>
  <c r="AA33" i="3" s="1"/>
  <c r="K30" i="5"/>
  <c r="E30" i="4"/>
  <c r="H33" i="3"/>
  <c r="I33" i="3" s="1"/>
  <c r="C25" i="3"/>
  <c r="E22" i="5" s="1"/>
  <c r="C26" i="3"/>
  <c r="E23" i="5" s="1"/>
  <c r="C27" i="3"/>
  <c r="E24" i="5" s="1"/>
  <c r="C28" i="3"/>
  <c r="E25" i="5" s="1"/>
  <c r="C29" i="3"/>
  <c r="E26" i="5" s="1"/>
  <c r="C30" i="3"/>
  <c r="E27" i="5" s="1"/>
  <c r="C31" i="3"/>
  <c r="E28" i="5" s="1"/>
  <c r="C32" i="3"/>
  <c r="E29" i="5" s="1"/>
  <c r="P14" i="3"/>
  <c r="J11" i="5" s="1"/>
  <c r="S11" i="3" l="1"/>
  <c r="I45" i="3" l="1"/>
  <c r="J45" i="3" s="1"/>
  <c r="T41" i="3"/>
  <c r="T40" i="3"/>
  <c r="AG44" i="3"/>
  <c r="Z44" i="3" s="1"/>
  <c r="AG43" i="3" l="1"/>
  <c r="Z43" i="3" s="1"/>
  <c r="S31" i="3" l="1"/>
  <c r="T31" i="3" s="1"/>
  <c r="U31" i="3" s="1"/>
  <c r="P31" i="3"/>
  <c r="J28" i="5" s="1"/>
  <c r="P32" i="3"/>
  <c r="J29" i="5" s="1"/>
  <c r="K32" i="3"/>
  <c r="E32" i="3"/>
  <c r="F29" i="5" s="1"/>
  <c r="C6" i="3"/>
  <c r="W7" i="3"/>
  <c r="I29" i="4" l="1"/>
  <c r="H29" i="5"/>
  <c r="Q32" i="3"/>
  <c r="Z36" i="3"/>
  <c r="G22" i="3"/>
  <c r="G19" i="5" s="1"/>
  <c r="G23" i="3"/>
  <c r="G20" i="5" s="1"/>
  <c r="G24" i="3"/>
  <c r="G21" i="5" s="1"/>
  <c r="G25" i="3"/>
  <c r="G22" i="5" s="1"/>
  <c r="X32" i="3" l="1"/>
  <c r="K27" i="3"/>
  <c r="N10" i="3"/>
  <c r="G10" i="3"/>
  <c r="E10" i="3"/>
  <c r="L32" i="3"/>
  <c r="G32" i="3"/>
  <c r="G29" i="5" s="1"/>
  <c r="E29" i="4" s="1"/>
  <c r="Y32" i="3" l="1"/>
  <c r="AA32" i="3" s="1"/>
  <c r="K29" i="5"/>
  <c r="I24" i="4"/>
  <c r="H24" i="5"/>
  <c r="H32" i="3"/>
  <c r="I32" i="3" s="1"/>
  <c r="W30" i="3" l="1"/>
  <c r="W11" i="3"/>
  <c r="K30" i="3"/>
  <c r="K31" i="3"/>
  <c r="L30" i="3" l="1"/>
  <c r="I27" i="4"/>
  <c r="H27" i="5"/>
  <c r="L31" i="3"/>
  <c r="I28" i="4"/>
  <c r="H28" i="5"/>
  <c r="X30" i="3"/>
  <c r="X31" i="3"/>
  <c r="N30" i="3"/>
  <c r="I27" i="5" s="1"/>
  <c r="P30" i="3"/>
  <c r="J27" i="5" s="1"/>
  <c r="S30" i="3"/>
  <c r="T30" i="3" s="1"/>
  <c r="U30" i="3" s="1"/>
  <c r="N31" i="3"/>
  <c r="E30" i="3"/>
  <c r="F27" i="5" s="1"/>
  <c r="G30" i="3"/>
  <c r="G27" i="5" s="1"/>
  <c r="E31" i="3"/>
  <c r="F28" i="5" s="1"/>
  <c r="G31" i="3"/>
  <c r="G28" i="5" s="1"/>
  <c r="E6" i="3"/>
  <c r="G6" i="3"/>
  <c r="C7" i="3"/>
  <c r="E7" i="3"/>
  <c r="G7" i="3"/>
  <c r="C8" i="3"/>
  <c r="E8" i="3"/>
  <c r="G8" i="3"/>
  <c r="C9" i="3"/>
  <c r="E9" i="3"/>
  <c r="G9" i="3"/>
  <c r="C10" i="3"/>
  <c r="C11" i="3"/>
  <c r="E8" i="5" s="1"/>
  <c r="E11" i="3"/>
  <c r="F8" i="5" s="1"/>
  <c r="G11" i="3"/>
  <c r="G8" i="5" s="1"/>
  <c r="C12" i="3"/>
  <c r="E9" i="5" s="1"/>
  <c r="E12" i="3"/>
  <c r="F9" i="5" s="1"/>
  <c r="G12" i="3"/>
  <c r="G9" i="5" s="1"/>
  <c r="C13" i="3"/>
  <c r="E10" i="5" s="1"/>
  <c r="E13" i="3"/>
  <c r="F10" i="5" s="1"/>
  <c r="G13" i="3"/>
  <c r="G10" i="5" s="1"/>
  <c r="C14" i="3"/>
  <c r="E11" i="5" s="1"/>
  <c r="E11" i="4" s="1"/>
  <c r="E14" i="3"/>
  <c r="F11" i="5" s="1"/>
  <c r="G14" i="3"/>
  <c r="G11" i="5" s="1"/>
  <c r="C15" i="3"/>
  <c r="E12" i="5" s="1"/>
  <c r="E15" i="3"/>
  <c r="F12" i="5" s="1"/>
  <c r="G15" i="3"/>
  <c r="G12" i="5" s="1"/>
  <c r="C16" i="3"/>
  <c r="E13" i="5" s="1"/>
  <c r="E16" i="3"/>
  <c r="F13" i="5" s="1"/>
  <c r="G16" i="3"/>
  <c r="G13" i="5" s="1"/>
  <c r="C17" i="3"/>
  <c r="E14" i="5" s="1"/>
  <c r="E17" i="3"/>
  <c r="F14" i="5" s="1"/>
  <c r="G17" i="3"/>
  <c r="G14" i="5" s="1"/>
  <c r="C18" i="3"/>
  <c r="E15" i="5" s="1"/>
  <c r="E15" i="4" s="1"/>
  <c r="E18" i="3"/>
  <c r="F15" i="5" s="1"/>
  <c r="G18" i="3"/>
  <c r="G15" i="5" s="1"/>
  <c r="C19" i="3"/>
  <c r="E16" i="5" s="1"/>
  <c r="E19" i="3"/>
  <c r="F16" i="5" s="1"/>
  <c r="G19" i="3"/>
  <c r="G16" i="5" s="1"/>
  <c r="C20" i="3"/>
  <c r="E17" i="5" s="1"/>
  <c r="E20" i="3"/>
  <c r="F17" i="5" s="1"/>
  <c r="G20" i="3"/>
  <c r="G17" i="5" s="1"/>
  <c r="C21" i="3"/>
  <c r="E18" i="5" s="1"/>
  <c r="E21" i="3"/>
  <c r="F18" i="5" s="1"/>
  <c r="G21" i="3"/>
  <c r="G18" i="5" s="1"/>
  <c r="C22" i="3"/>
  <c r="E19" i="5" s="1"/>
  <c r="E19" i="4" s="1"/>
  <c r="E22" i="3"/>
  <c r="F19" i="5" s="1"/>
  <c r="C23" i="3"/>
  <c r="E20" i="5" s="1"/>
  <c r="E23" i="3"/>
  <c r="F20" i="5" s="1"/>
  <c r="C24" i="3"/>
  <c r="E21" i="5" s="1"/>
  <c r="E21" i="4" s="1"/>
  <c r="E24" i="3"/>
  <c r="F21" i="5" s="1"/>
  <c r="E25" i="3"/>
  <c r="F22" i="5" s="1"/>
  <c r="E22" i="4" s="1"/>
  <c r="E26" i="3"/>
  <c r="F23" i="5" s="1"/>
  <c r="G26" i="3"/>
  <c r="G23" i="5" s="1"/>
  <c r="E27" i="3"/>
  <c r="F24" i="5" s="1"/>
  <c r="G27" i="3"/>
  <c r="G24" i="5" s="1"/>
  <c r="E28" i="3"/>
  <c r="F25" i="5" s="1"/>
  <c r="G28" i="3"/>
  <c r="G25" i="5" s="1"/>
  <c r="E29" i="3"/>
  <c r="F26" i="5" s="1"/>
  <c r="G29" i="3"/>
  <c r="G26" i="5" s="1"/>
  <c r="Y30" i="3" l="1"/>
  <c r="K27" i="5"/>
  <c r="Y31" i="3"/>
  <c r="K28" i="5"/>
  <c r="Q31" i="3"/>
  <c r="I28" i="5"/>
  <c r="E25" i="4"/>
  <c r="E27" i="4"/>
  <c r="E26" i="4"/>
  <c r="E24" i="4"/>
  <c r="E28" i="4"/>
  <c r="E23" i="4"/>
  <c r="E16" i="4"/>
  <c r="E12" i="4"/>
  <c r="E8" i="4"/>
  <c r="E20" i="4"/>
  <c r="E17" i="4"/>
  <c r="E13" i="4"/>
  <c r="E9" i="4"/>
  <c r="E18" i="4"/>
  <c r="E14" i="4"/>
  <c r="E10" i="4"/>
  <c r="C36" i="3"/>
  <c r="AA31" i="3"/>
  <c r="AA30" i="3"/>
  <c r="E36" i="3"/>
  <c r="H31" i="3"/>
  <c r="I31" i="3" s="1"/>
  <c r="H30" i="3"/>
  <c r="I30" i="3" s="1"/>
  <c r="Q30" i="3"/>
  <c r="V44" i="3"/>
  <c r="V43" i="3"/>
  <c r="V42" i="3"/>
  <c r="O44" i="3"/>
  <c r="O43" i="3"/>
  <c r="O42" i="3"/>
  <c r="J44" i="3"/>
  <c r="J43" i="3"/>
  <c r="J42" i="3"/>
  <c r="AE36" i="3"/>
  <c r="AD36" i="3"/>
  <c r="B48" i="3" l="1"/>
  <c r="G48" i="3" s="1"/>
  <c r="T5" i="3" l="1"/>
  <c r="U5" i="3" s="1"/>
  <c r="B50" i="3" l="1"/>
  <c r="G50" i="3" s="1"/>
  <c r="B49" i="3"/>
  <c r="G49" i="3" s="1"/>
  <c r="B47" i="3"/>
  <c r="V40" i="3"/>
  <c r="V41" i="3"/>
  <c r="O40" i="3"/>
  <c r="O41" i="3"/>
  <c r="J39" i="3"/>
  <c r="V39" i="3"/>
  <c r="G47" i="3" l="1"/>
  <c r="R47" i="3" s="1"/>
  <c r="AB47" i="3" s="1"/>
  <c r="B55" i="3" l="1"/>
  <c r="G55" i="3" s="1"/>
  <c r="X5" i="3" l="1"/>
  <c r="Y5" i="3" s="1"/>
  <c r="P12" i="3" l="1"/>
  <c r="J9" i="5" s="1"/>
  <c r="K12" i="3"/>
  <c r="H9" i="5" s="1"/>
  <c r="K13" i="3"/>
  <c r="H10" i="5" s="1"/>
  <c r="K14" i="3"/>
  <c r="H11" i="5" s="1"/>
  <c r="K15" i="3"/>
  <c r="H12" i="5" s="1"/>
  <c r="K16" i="3"/>
  <c r="H13" i="5" s="1"/>
  <c r="K17" i="3"/>
  <c r="H14" i="5" s="1"/>
  <c r="K18" i="3"/>
  <c r="H15" i="5" s="1"/>
  <c r="K19" i="3"/>
  <c r="H16" i="5" s="1"/>
  <c r="K20" i="3"/>
  <c r="H17" i="5" s="1"/>
  <c r="K21" i="3"/>
  <c r="H18" i="5" s="1"/>
  <c r="K22" i="3"/>
  <c r="H19" i="5" s="1"/>
  <c r="K23" i="3"/>
  <c r="H20" i="5" s="1"/>
  <c r="K24" i="3"/>
  <c r="H21" i="5" s="1"/>
  <c r="K25" i="3"/>
  <c r="H22" i="5" s="1"/>
  <c r="K26" i="3"/>
  <c r="K28" i="3"/>
  <c r="K29" i="3"/>
  <c r="H23" i="5" l="1"/>
  <c r="I23" i="4"/>
  <c r="I26" i="4"/>
  <c r="H26" i="5"/>
  <c r="I25" i="4"/>
  <c r="H25" i="5"/>
  <c r="W6" i="3"/>
  <c r="M40" i="3" l="1"/>
  <c r="W15" i="3" l="1"/>
  <c r="R49" i="3" l="1"/>
  <c r="AB49" i="3" s="1"/>
  <c r="R50" i="3"/>
  <c r="AB50" i="3" s="1"/>
  <c r="R48" i="3"/>
  <c r="AB48" i="3" s="1"/>
  <c r="H5" i="3"/>
  <c r="AB51" i="3" l="1"/>
  <c r="O39" i="3"/>
  <c r="M44" i="3" l="1"/>
  <c r="M41" i="3"/>
  <c r="G44" i="3"/>
  <c r="G41" i="3"/>
  <c r="B58" i="3"/>
  <c r="G58" i="3" s="1"/>
  <c r="B57" i="3"/>
  <c r="G57" i="3" s="1"/>
  <c r="B56" i="3"/>
  <c r="G56" i="3" s="1"/>
  <c r="L58" i="3" l="1"/>
  <c r="L57" i="3"/>
  <c r="L56" i="3"/>
  <c r="M43" i="3" l="1"/>
  <c r="G43" i="3"/>
  <c r="S7" i="3"/>
  <c r="T7" i="3" s="1"/>
  <c r="U7" i="3" s="1"/>
  <c r="S8" i="3"/>
  <c r="T8" i="3" s="1"/>
  <c r="U8" i="3" s="1"/>
  <c r="S9" i="3"/>
  <c r="T9" i="3" s="1"/>
  <c r="U9" i="3" s="1"/>
  <c r="S10" i="3"/>
  <c r="T10" i="3" s="1"/>
  <c r="U10" i="3" s="1"/>
  <c r="T11" i="3"/>
  <c r="U11" i="3" s="1"/>
  <c r="S12" i="3"/>
  <c r="T12" i="3" s="1"/>
  <c r="U12" i="3" s="1"/>
  <c r="S13" i="3"/>
  <c r="T13" i="3" s="1"/>
  <c r="U13" i="3" s="1"/>
  <c r="S14" i="3"/>
  <c r="T14" i="3" s="1"/>
  <c r="U14" i="3" s="1"/>
  <c r="S15" i="3"/>
  <c r="T15" i="3" s="1"/>
  <c r="U15" i="3" s="1"/>
  <c r="S16" i="3"/>
  <c r="T16" i="3" s="1"/>
  <c r="U16" i="3" s="1"/>
  <c r="S17" i="3"/>
  <c r="T17" i="3" s="1"/>
  <c r="U17" i="3" s="1"/>
  <c r="S18" i="3"/>
  <c r="T18" i="3" s="1"/>
  <c r="U18" i="3" s="1"/>
  <c r="S19" i="3"/>
  <c r="T19" i="3" s="1"/>
  <c r="U19" i="3" s="1"/>
  <c r="S20" i="3"/>
  <c r="T20" i="3" s="1"/>
  <c r="U20" i="3" s="1"/>
  <c r="S21" i="3"/>
  <c r="T21" i="3" s="1"/>
  <c r="U21" i="3" s="1"/>
  <c r="S22" i="3"/>
  <c r="T22" i="3" s="1"/>
  <c r="U22" i="3" s="1"/>
  <c r="S23" i="3"/>
  <c r="T23" i="3" s="1"/>
  <c r="U23" i="3" s="1"/>
  <c r="S24" i="3"/>
  <c r="S25" i="3"/>
  <c r="T25" i="3" s="1"/>
  <c r="U25" i="3" s="1"/>
  <c r="S26" i="3"/>
  <c r="T26" i="3" s="1"/>
  <c r="U26" i="3" s="1"/>
  <c r="S27" i="3"/>
  <c r="T27" i="3" s="1"/>
  <c r="U27" i="3" s="1"/>
  <c r="S28" i="3"/>
  <c r="T28" i="3" s="1"/>
  <c r="U28" i="3" s="1"/>
  <c r="S29" i="3"/>
  <c r="T29" i="3" s="1"/>
  <c r="U29" i="3" s="1"/>
  <c r="S6" i="3"/>
  <c r="P7" i="3"/>
  <c r="P8" i="3"/>
  <c r="P9" i="3"/>
  <c r="P10" i="3"/>
  <c r="P11" i="3"/>
  <c r="J8" i="5" s="1"/>
  <c r="P13" i="3"/>
  <c r="J10" i="5" s="1"/>
  <c r="P15" i="3"/>
  <c r="J12" i="5" s="1"/>
  <c r="P16" i="3"/>
  <c r="J13" i="5" s="1"/>
  <c r="P17" i="3"/>
  <c r="J14" i="5" s="1"/>
  <c r="P18" i="3"/>
  <c r="J15" i="5" s="1"/>
  <c r="P19" i="3"/>
  <c r="J16" i="5" s="1"/>
  <c r="P20" i="3"/>
  <c r="J17" i="5" s="1"/>
  <c r="P21" i="3"/>
  <c r="J18" i="5" s="1"/>
  <c r="P22" i="3"/>
  <c r="J19" i="5" s="1"/>
  <c r="P23" i="3"/>
  <c r="J20" i="5" s="1"/>
  <c r="P24" i="3"/>
  <c r="J21" i="5" s="1"/>
  <c r="P25" i="3"/>
  <c r="J22" i="5" s="1"/>
  <c r="P26" i="3"/>
  <c r="J23" i="5" s="1"/>
  <c r="P27" i="3"/>
  <c r="J24" i="5" s="1"/>
  <c r="P28" i="3"/>
  <c r="J25" i="5" s="1"/>
  <c r="P29" i="3"/>
  <c r="J26" i="5" s="1"/>
  <c r="P6" i="3"/>
  <c r="N7" i="3"/>
  <c r="N8" i="3"/>
  <c r="N9" i="3"/>
  <c r="N11" i="3"/>
  <c r="I8" i="5" s="1"/>
  <c r="N12" i="3"/>
  <c r="I9" i="5" s="1"/>
  <c r="N13" i="3"/>
  <c r="I10" i="5" s="1"/>
  <c r="N14" i="3"/>
  <c r="I11" i="5" s="1"/>
  <c r="N15" i="3"/>
  <c r="I12" i="5" s="1"/>
  <c r="N16" i="3"/>
  <c r="I13" i="5" s="1"/>
  <c r="N17" i="3"/>
  <c r="I14" i="5" s="1"/>
  <c r="N18" i="3"/>
  <c r="I15" i="5" s="1"/>
  <c r="N19" i="3"/>
  <c r="I16" i="5" s="1"/>
  <c r="N20" i="3"/>
  <c r="I17" i="5" s="1"/>
  <c r="N21" i="3"/>
  <c r="I18" i="5" s="1"/>
  <c r="N22" i="3"/>
  <c r="I19" i="5" s="1"/>
  <c r="N23" i="3"/>
  <c r="I20" i="5" s="1"/>
  <c r="N24" i="3"/>
  <c r="I21" i="5" s="1"/>
  <c r="N25" i="3"/>
  <c r="I22" i="5" s="1"/>
  <c r="N26" i="3"/>
  <c r="I23" i="5" s="1"/>
  <c r="N27" i="3"/>
  <c r="I24" i="5" s="1"/>
  <c r="N28" i="3"/>
  <c r="I25" i="5" s="1"/>
  <c r="N29" i="3"/>
  <c r="I26" i="5" s="1"/>
  <c r="N6" i="3"/>
  <c r="L5" i="3"/>
  <c r="G40" i="3"/>
  <c r="W29" i="3"/>
  <c r="X29" i="3" s="1"/>
  <c r="L29" i="3"/>
  <c r="W28" i="3"/>
  <c r="X28" i="3" s="1"/>
  <c r="L28" i="3"/>
  <c r="W27" i="3"/>
  <c r="X27" i="3" s="1"/>
  <c r="L27" i="3"/>
  <c r="W26" i="3"/>
  <c r="X26" i="3" s="1"/>
  <c r="L26" i="3"/>
  <c r="W25" i="3"/>
  <c r="X25" i="3" s="1"/>
  <c r="L25" i="3"/>
  <c r="W24" i="3"/>
  <c r="L24" i="3"/>
  <c r="W23" i="3"/>
  <c r="X23" i="3" s="1"/>
  <c r="L23" i="3"/>
  <c r="W22" i="3"/>
  <c r="X22" i="3" s="1"/>
  <c r="L22" i="3"/>
  <c r="W21" i="3"/>
  <c r="X21" i="3" s="1"/>
  <c r="L21" i="3"/>
  <c r="W20" i="3"/>
  <c r="X20" i="3" s="1"/>
  <c r="L20" i="3"/>
  <c r="W19" i="3"/>
  <c r="X19" i="3" s="1"/>
  <c r="L19" i="3"/>
  <c r="W18" i="3"/>
  <c r="W17" i="3"/>
  <c r="X17" i="3" s="1"/>
  <c r="L17" i="3"/>
  <c r="W16" i="3"/>
  <c r="X16" i="3" s="1"/>
  <c r="L16" i="3"/>
  <c r="X15" i="3"/>
  <c r="L15" i="3"/>
  <c r="W14" i="3"/>
  <c r="X14" i="3" s="1"/>
  <c r="L14" i="3"/>
  <c r="W13" i="3"/>
  <c r="X13" i="3" s="1"/>
  <c r="L13" i="3"/>
  <c r="W12" i="3"/>
  <c r="X12" i="3" s="1"/>
  <c r="L12" i="3"/>
  <c r="X11" i="3"/>
  <c r="K11" i="3"/>
  <c r="W10" i="3"/>
  <c r="X10" i="3" s="1"/>
  <c r="Y10" i="3" s="1"/>
  <c r="K10" i="3"/>
  <c r="L10" i="3" s="1"/>
  <c r="W9" i="3"/>
  <c r="X9" i="3" s="1"/>
  <c r="Y9" i="3" s="1"/>
  <c r="K9" i="3"/>
  <c r="L9" i="3" s="1"/>
  <c r="W8" i="3"/>
  <c r="X8" i="3" s="1"/>
  <c r="Y8" i="3" s="1"/>
  <c r="K8" i="3"/>
  <c r="L8" i="3" s="1"/>
  <c r="K7" i="3"/>
  <c r="X6" i="3"/>
  <c r="Y6" i="3" s="1"/>
  <c r="K6" i="3"/>
  <c r="Y29" i="3" l="1"/>
  <c r="K26" i="5"/>
  <c r="Y28" i="3"/>
  <c r="K25" i="5"/>
  <c r="Y27" i="3"/>
  <c r="K24" i="5"/>
  <c r="Y26" i="3"/>
  <c r="AA26" i="3" s="1"/>
  <c r="K23" i="5"/>
  <c r="Y16" i="3"/>
  <c r="K13" i="5"/>
  <c r="Y20" i="3"/>
  <c r="K17" i="5"/>
  <c r="Y12" i="3"/>
  <c r="K9" i="5"/>
  <c r="Y21" i="3"/>
  <c r="K18" i="5"/>
  <c r="Y25" i="3"/>
  <c r="AA25" i="3" s="1"/>
  <c r="K22" i="5"/>
  <c r="Y22" i="3"/>
  <c r="K19" i="5"/>
  <c r="Y14" i="3"/>
  <c r="K11" i="5"/>
  <c r="Y19" i="3"/>
  <c r="K16" i="5"/>
  <c r="Y23" i="3"/>
  <c r="K20" i="5"/>
  <c r="Y11" i="3"/>
  <c r="K8" i="5"/>
  <c r="Y13" i="3"/>
  <c r="K10" i="5"/>
  <c r="Y15" i="3"/>
  <c r="K12" i="5"/>
  <c r="Y17" i="3"/>
  <c r="K14" i="5"/>
  <c r="L11" i="3"/>
  <c r="H8" i="5"/>
  <c r="K36" i="3"/>
  <c r="L36" i="3" s="1"/>
  <c r="N36" i="3"/>
  <c r="P36" i="3"/>
  <c r="X24" i="3"/>
  <c r="W36" i="3"/>
  <c r="T24" i="3"/>
  <c r="U24" i="3" s="1"/>
  <c r="S36" i="3"/>
  <c r="G36" i="3"/>
  <c r="AA6" i="3"/>
  <c r="X7" i="3"/>
  <c r="Y7" i="3" s="1"/>
  <c r="T6" i="3"/>
  <c r="U6" i="3" s="1"/>
  <c r="L7" i="3"/>
  <c r="X18" i="3"/>
  <c r="L18" i="3"/>
  <c r="L6" i="3"/>
  <c r="B51" i="3"/>
  <c r="Q25" i="3"/>
  <c r="Q17" i="3"/>
  <c r="Q9" i="3"/>
  <c r="Q6" i="3"/>
  <c r="Q28" i="3"/>
  <c r="Q20" i="3"/>
  <c r="Q27" i="3"/>
  <c r="Q19" i="3"/>
  <c r="Q11" i="3"/>
  <c r="Q26" i="3"/>
  <c r="Q18" i="3"/>
  <c r="Q10" i="3"/>
  <c r="Q22" i="3"/>
  <c r="Q14" i="3"/>
  <c r="Q12" i="3"/>
  <c r="Q23" i="3"/>
  <c r="Q15" i="3"/>
  <c r="Q7" i="3"/>
  <c r="Q24" i="3"/>
  <c r="Q16" i="3"/>
  <c r="Q8" i="3"/>
  <c r="Q29" i="3"/>
  <c r="Q21" i="3"/>
  <c r="Q13" i="3"/>
  <c r="H19" i="3"/>
  <c r="I19" i="3" s="1"/>
  <c r="AA11" i="3"/>
  <c r="AA19" i="3"/>
  <c r="H12" i="3"/>
  <c r="I12" i="3" s="1"/>
  <c r="H20" i="3"/>
  <c r="I20" i="3" s="1"/>
  <c r="H10" i="3"/>
  <c r="I10" i="3" s="1"/>
  <c r="H16" i="3"/>
  <c r="I16" i="3" s="1"/>
  <c r="H11" i="3"/>
  <c r="I11" i="3" s="1"/>
  <c r="H18" i="3"/>
  <c r="H9" i="3"/>
  <c r="I9" i="3" s="1"/>
  <c r="AA14" i="3"/>
  <c r="H17" i="3"/>
  <c r="I17" i="3" s="1"/>
  <c r="AA22" i="3"/>
  <c r="AA10" i="3"/>
  <c r="H21" i="3"/>
  <c r="I21" i="3" s="1"/>
  <c r="AA29" i="3"/>
  <c r="H13" i="3"/>
  <c r="I13" i="3" s="1"/>
  <c r="H29" i="3"/>
  <c r="I29" i="3" s="1"/>
  <c r="H27" i="3"/>
  <c r="I27" i="3" s="1"/>
  <c r="H22" i="3"/>
  <c r="I22" i="3" s="1"/>
  <c r="H23" i="3"/>
  <c r="I23" i="3" s="1"/>
  <c r="H24" i="3"/>
  <c r="I24" i="3" s="1"/>
  <c r="H14" i="3"/>
  <c r="I14" i="3" s="1"/>
  <c r="H25" i="3"/>
  <c r="I25" i="3" s="1"/>
  <c r="H28" i="3"/>
  <c r="I28" i="3" s="1"/>
  <c r="AA8" i="3"/>
  <c r="H15" i="3"/>
  <c r="I15" i="3" s="1"/>
  <c r="AA27" i="3"/>
  <c r="H6" i="3"/>
  <c r="H7" i="3"/>
  <c r="I7" i="3" s="1"/>
  <c r="H8" i="3"/>
  <c r="I8" i="3" s="1"/>
  <c r="AA17" i="3"/>
  <c r="H26" i="3"/>
  <c r="I26" i="3" s="1"/>
  <c r="AA12" i="3"/>
  <c r="AA16" i="3"/>
  <c r="AA20" i="3"/>
  <c r="AA15" i="3"/>
  <c r="AA13" i="3"/>
  <c r="AA21" i="3"/>
  <c r="AA9" i="3"/>
  <c r="AA23" i="3"/>
  <c r="AA28" i="3"/>
  <c r="AA5" i="3"/>
  <c r="Y24" i="3" l="1"/>
  <c r="K21" i="5"/>
  <c r="Y18" i="3"/>
  <c r="Y36" i="3" s="1"/>
  <c r="K15" i="5"/>
  <c r="U36" i="3"/>
  <c r="H36" i="3"/>
  <c r="I36" i="3" s="1"/>
  <c r="L47" i="3" s="1"/>
  <c r="T36" i="3"/>
  <c r="T39" i="3" s="1"/>
  <c r="Q36" i="3"/>
  <c r="AA7" i="3"/>
  <c r="W48" i="3"/>
  <c r="AF48" i="3" s="1"/>
  <c r="L39" i="3"/>
  <c r="L42" i="3" s="1"/>
  <c r="I18" i="3"/>
  <c r="L48" i="3"/>
  <c r="R51" i="3"/>
  <c r="M39" i="3"/>
  <c r="I6" i="3"/>
  <c r="I5" i="3"/>
  <c r="Z56" i="3" l="1"/>
  <c r="AA56" i="3" s="1"/>
  <c r="Z55" i="3"/>
  <c r="AA55" i="3" s="1"/>
  <c r="AH48" i="3"/>
  <c r="AG48" i="3"/>
  <c r="AA24" i="3"/>
  <c r="D39" i="3"/>
  <c r="D42" i="3" s="1"/>
  <c r="AA18" i="3"/>
  <c r="W47" i="3"/>
  <c r="AF47" i="3" s="1"/>
  <c r="AH47" i="3" l="1"/>
  <c r="AG47" i="3"/>
  <c r="AE55" i="3"/>
  <c r="W49" i="3"/>
  <c r="AF49" i="3" s="1"/>
  <c r="R39" i="3"/>
  <c r="R42" i="3" s="1"/>
  <c r="T42" i="3" s="1"/>
  <c r="L49" i="3"/>
  <c r="AE56" i="3"/>
  <c r="AD56" i="3"/>
  <c r="R55" i="3"/>
  <c r="W55" i="3" s="1"/>
  <c r="AD55" i="3"/>
  <c r="G42" i="3"/>
  <c r="M42" i="3"/>
  <c r="Y48" i="3"/>
  <c r="R56" i="3"/>
  <c r="L59" i="3"/>
  <c r="B59" i="3"/>
  <c r="Y47" i="3"/>
  <c r="G39" i="3"/>
  <c r="Z57" i="3" l="1"/>
  <c r="AA57" i="3" s="1"/>
  <c r="R57" i="3"/>
  <c r="W57" i="3" s="1"/>
  <c r="Y49" i="3"/>
  <c r="W56" i="3"/>
  <c r="AG49" i="3" l="1"/>
  <c r="AH49" i="3"/>
  <c r="AE57" i="3"/>
  <c r="AD57" i="3"/>
  <c r="X36" i="3" l="1"/>
  <c r="Z39" i="3" s="1"/>
  <c r="AA36" i="3" l="1"/>
  <c r="L50" i="3" l="1"/>
  <c r="W50" i="3"/>
  <c r="AF50" i="3" s="1"/>
  <c r="X39" i="3"/>
  <c r="X42" i="3" s="1"/>
  <c r="Z58" i="3" l="1"/>
  <c r="AA58" i="3" s="1"/>
  <c r="AG42" i="3"/>
  <c r="Z42" i="3" s="1"/>
  <c r="AF51" i="3"/>
  <c r="AG50" i="3"/>
  <c r="AH50" i="3"/>
  <c r="W51" i="3"/>
  <c r="Y50" i="3"/>
  <c r="R58" i="3"/>
  <c r="AG51" i="3" l="1"/>
  <c r="AF52" i="3"/>
  <c r="AD58" i="3"/>
  <c r="AD59" i="3" s="1"/>
  <c r="Z59" i="3"/>
  <c r="AA59" i="3"/>
  <c r="AE58" i="3"/>
  <c r="AE59" i="3" s="1"/>
  <c r="R59" i="3"/>
  <c r="X60" i="3" s="1"/>
  <c r="B60" i="3" s="1"/>
  <c r="W58" i="3"/>
  <c r="W59" i="3" s="1"/>
  <c r="Y51" i="3"/>
  <c r="X52" i="3"/>
  <c r="B52" i="3" s="1"/>
  <c r="AD39" i="3" l="1"/>
  <c r="AE39" i="3" s="1"/>
</calcChain>
</file>

<file path=xl/sharedStrings.xml><?xml version="1.0" encoding="utf-8"?>
<sst xmlns="http://schemas.openxmlformats.org/spreadsheetml/2006/main" count="310" uniqueCount="106">
  <si>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</si>
  <si>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</si>
  <si>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</si>
  <si>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</si>
  <si>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</si>
  <si>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</si>
  <si>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</si>
  <si>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</si>
  <si>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</si>
  <si>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</si>
  <si>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</si>
  <si>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</si>
  <si>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</si>
  <si>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</si>
  <si>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</si>
  <si>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</si>
  <si>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</si>
  <si>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</si>
  <si>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</si>
  <si>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</si>
  <si>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</si>
  <si>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</si>
  <si>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</si>
  <si>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</si>
  <si>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</si>
  <si>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</si>
  <si>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</si>
  <si>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</si>
  <si>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</si>
  <si>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</si>
  <si>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</si>
  <si>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</si>
  <si>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</si>
  <si>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</si>
  <si>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</si>
  <si>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</si>
  <si>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</si>
  <si>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</si>
  <si>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</si>
  <si>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</si>
  <si>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</si>
  <si>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</si>
  <si>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</si>
  <si>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</si>
  <si>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</si>
  <si>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</si>
  <si>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</si>
  <si>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</si>
  <si>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</si>
  <si>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</si>
  <si>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</si>
  <si>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</si>
  <si>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</si>
  <si>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</si>
  <si>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</si>
  <si>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</si>
  <si>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</si>
  <si>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</si>
  <si>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</si>
  <si>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</si>
  <si>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</si>
  <si>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</si>
  <si>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</si>
  <si>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</si>
  <si>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</si>
  <si>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</si>
  <si>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</si>
  <si>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</si>
  <si>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</si>
  <si>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</si>
  <si>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</si>
  <si>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</si>
  <si>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</si>
  <si>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</si>
  <si>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</si>
  <si>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</si>
  <si>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</si>
  <si>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</si>
  <si>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 xml:space="preserve"> </t>
  </si>
  <si>
    <t>PEARL ROTANA CAPITAL CENTRE UTILITIES CONSUMPTION - MARCH 2024</t>
  </si>
  <si>
    <t>Actual March 2024</t>
  </si>
  <si>
    <t>Budget March 2024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</si>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</sst>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_(* #,##0.00_);_(* \(#,##0.00\);_(* &quot;-&quot;_);_(@_)"/>
    <numFmt numFmtId="168" formatCode="0;&quot;&quot;"/>
    <numFmt numFmtId="169" formatCode="_(* #,##0_);[Red]_(* \(#,##0\);_(* &quot;-&quot;??_);_(@_)\ "/>
    <numFmt numFmtId="170" formatCode="0.000"/>
  </numFmts>
  <fonts count="39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8" fillId="0" borderId="0" applyBorder="0"/>
  </cellStyleXfs>
  <cellXfs count="3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43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43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43" fontId="19" fillId="0" borderId="0" xfId="0" applyNumberFormat="1" applyFont="1"/>
    <xf numFmtId="167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6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43" fontId="18" fillId="0" borderId="41" xfId="18" applyFont="1" applyBorder="1" applyAlignment="1">
      <alignment vertical="center"/>
    </xf>
    <xf numFmtId="43" fontId="20" fillId="0" borderId="39" xfId="18" applyFont="1" applyBorder="1" applyAlignment="1">
      <alignment horizontal="center" vertical="center"/>
    </xf>
    <xf numFmtId="167" fontId="20" fillId="0" borderId="39" xfId="20" applyNumberFormat="1" applyFont="1" applyBorder="1" applyAlignment="1">
      <alignment horizontal="center" vertical="center"/>
    </xf>
    <xf numFmtId="167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43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43" fontId="3" fillId="0" borderId="34" xfId="18" applyFont="1" applyBorder="1" applyAlignment="1">
      <alignment horizontal="center" vertical="center"/>
    </xf>
    <xf numFmtId="43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43" fontId="3" fillId="0" borderId="59" xfId="18" applyFont="1" applyBorder="1" applyAlignment="1">
      <alignment horizontal="center" vertical="center"/>
    </xf>
    <xf numFmtId="43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165" fontId="19" fillId="0" borderId="46" xfId="0" applyNumberFormat="1" applyFont="1" applyBorder="1" applyAlignment="1">
      <alignment horizontal="center" vertical="center"/>
    </xf>
    <xf numFmtId="43" fontId="3" fillId="0" borderId="34" xfId="18" applyFont="1" applyBorder="1" applyAlignment="1">
      <alignment vertical="center"/>
    </xf>
    <xf numFmtId="43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7" fontId="20" fillId="0" borderId="39" xfId="20" applyNumberFormat="1" applyFont="1" applyBorder="1" applyAlignment="1">
      <alignment horizontal="right" vertical="center"/>
    </xf>
    <xf numFmtId="167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43" fontId="20" fillId="0" borderId="41" xfId="18" applyFont="1" applyBorder="1" applyAlignment="1">
      <alignment horizontal="center" vertical="center"/>
    </xf>
    <xf numFmtId="4" fontId="19" fillId="0" borderId="64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43" fontId="18" fillId="0" borderId="39" xfId="18" applyFont="1" applyBorder="1" applyAlignment="1">
      <alignment vertical="center"/>
    </xf>
    <xf numFmtId="43" fontId="18" fillId="0" borderId="0" xfId="18" applyFont="1" applyBorder="1" applyAlignment="1">
      <alignment horizontal="center" vertical="center"/>
    </xf>
    <xf numFmtId="43" fontId="18" fillId="0" borderId="26" xfId="18" applyFont="1" applyBorder="1" applyAlignment="1">
      <alignment vertical="center"/>
    </xf>
    <xf numFmtId="168" fontId="16" fillId="0" borderId="26" xfId="18" applyNumberFormat="1" applyFont="1" applyBorder="1" applyAlignment="1">
      <alignment horizontal="center" vertical="center"/>
    </xf>
    <xf numFmtId="168" fontId="22" fillId="0" borderId="39" xfId="18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69" fontId="18" fillId="0" borderId="0" xfId="18" applyNumberFormat="1" applyFont="1" applyBorder="1" applyAlignment="1">
      <alignment horizontal="center" vertical="center"/>
    </xf>
    <xf numFmtId="168" fontId="18" fillId="0" borderId="0" xfId="18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43" fontId="18" fillId="0" borderId="43" xfId="18" applyFont="1" applyBorder="1" applyAlignment="1">
      <alignment vertical="center"/>
    </xf>
    <xf numFmtId="168" fontId="16" fillId="0" borderId="43" xfId="18" applyNumberFormat="1" applyFont="1" applyBorder="1" applyAlignment="1">
      <alignment horizontal="center" vertical="center"/>
    </xf>
    <xf numFmtId="168" fontId="22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165" fontId="20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7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3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0" fontId="0" fillId="0" borderId="87" xfId="0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2" fontId="3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70" fontId="37" fillId="0" borderId="0" xfId="0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1" fontId="32" fillId="0" borderId="0" xfId="0" applyNumberFormat="1" applyFont="1" applyAlignment="1">
      <alignment horizontal="center" wrapText="1"/>
    </xf>
    <xf numFmtId="0" fontId="32" fillId="0" borderId="0" xfId="0" applyFont="1"/>
    <xf numFmtId="0" fontId="12" fillId="0" borderId="0" xfId="0" applyFont="1" applyAlignment="1">
      <alignment horizontal="center"/>
    </xf>
    <xf numFmtId="0" fontId="32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5" fillId="0" borderId="16" xfId="0" applyNumberFormat="1" applyFont="1" applyBorder="1" applyAlignment="1">
      <alignment horizontal="center" vertical="center" wrapText="1"/>
    </xf>
    <xf numFmtId="170" fontId="34" fillId="0" borderId="16" xfId="0" applyNumberFormat="1" applyFont="1" applyBorder="1" applyAlignment="1">
      <alignment horizontal="center" vertical="center" wrapText="1"/>
    </xf>
    <xf numFmtId="1" fontId="32" fillId="0" borderId="16" xfId="0" applyNumberFormat="1" applyFont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" fontId="38" fillId="6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43" fontId="20" fillId="0" borderId="43" xfId="18" applyFont="1" applyBorder="1" applyAlignment="1">
      <alignment horizontal="center" vertical="center"/>
    </xf>
    <xf numFmtId="43" fontId="20" fillId="0" borderId="41" xfId="18" applyFont="1" applyBorder="1" applyAlignment="1">
      <alignment horizontal="center" vertical="center"/>
    </xf>
    <xf numFmtId="43" fontId="18" fillId="0" borderId="43" xfId="18" applyFont="1" applyBorder="1" applyAlignment="1">
      <alignment horizontal="center" vertical="center"/>
    </xf>
    <xf numFmtId="43" fontId="18" fillId="0" borderId="41" xfId="18" applyFont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43" fontId="18" fillId="0" borderId="26" xfId="18" applyFont="1" applyBorder="1" applyAlignment="1">
      <alignment horizontal="center" vertical="center"/>
    </xf>
    <xf numFmtId="43" fontId="18" fillId="0" borderId="39" xfId="18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3" fontId="20" fillId="0" borderId="31" xfId="18" applyFont="1" applyBorder="1" applyAlignment="1">
      <alignment horizontal="center" vertical="center"/>
    </xf>
    <xf numFmtId="43" fontId="20" fillId="0" borderId="48" xfId="18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43" fontId="20" fillId="0" borderId="26" xfId="18" applyFont="1" applyBorder="1" applyAlignment="1">
      <alignment horizontal="center" vertical="center"/>
    </xf>
    <xf numFmtId="43" fontId="20" fillId="0" borderId="39" xfId="18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" fontId="8" fillId="6" borderId="26" xfId="0" applyNumberFormat="1" applyFont="1" applyFill="1" applyBorder="1" applyAlignment="1">
      <alignment horizontal="center" vertical="center"/>
    </xf>
    <xf numFmtId="4" fontId="23" fillId="6" borderId="26" xfId="0" applyNumberFormat="1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3" fontId="20" fillId="0" borderId="56" xfId="18" applyFont="1" applyBorder="1" applyAlignment="1">
      <alignment horizontal="center" vertical="center"/>
    </xf>
    <xf numFmtId="43" fontId="20" fillId="0" borderId="57" xfId="18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14" fontId="29" fillId="6" borderId="67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0" borderId="74" xfId="0" applyFont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2" fillId="0" borderId="13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3"/>
  <sheetViews>
    <sheetView tabSelected="1" topLeftCell="A2" workbookViewId="0">
      <selection activeCell="O32" sqref="O32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176"/>
    <col min="4" max="4" width="13.42578125" style="2" customWidth="1"/>
    <col min="5" max="5" width="12.5703125" style="2" customWidth="1"/>
    <col min="6" max="6" width="12.5703125" style="180" customWidth="1"/>
    <col min="7" max="7" width="11.5703125" style="2"/>
    <col min="8" max="8" width="11.5703125" style="180"/>
    <col min="9" max="9" width="11.5703125" style="2"/>
    <col min="10" max="10" width="11.5703125" style="177"/>
    <col min="11" max="11" width="11.5703125" style="179"/>
    <col min="12" max="12" width="11.5703125" style="177"/>
    <col min="13" max="13" width="11.5703125" style="9"/>
    <col min="14" max="16384" width="11.5703125" style="2"/>
  </cols>
  <sheetData>
    <row r="1" spans="1:15" s="175" customFormat="1" ht="60.75" thickBot="1" x14ac:dyDescent="0.3">
      <c r="A1" s="187" t="s">
        <v>83</v>
      </c>
      <c r="B1" s="187" t="s">
        <v>84</v>
      </c>
      <c r="C1" s="188" t="s">
        <v>85</v>
      </c>
      <c r="D1" s="189" t="s">
        <v>86</v>
      </c>
      <c r="E1" s="190" t="s">
        <v>87</v>
      </c>
      <c r="F1" s="191" t="s">
        <v>88</v>
      </c>
      <c r="G1" s="190" t="s">
        <v>104</v>
      </c>
      <c r="H1" s="191" t="s">
        <v>105</v>
      </c>
      <c r="I1" s="192" t="s">
        <v>102</v>
      </c>
      <c r="J1" s="193" t="s">
        <v>103</v>
      </c>
      <c r="K1" s="194" t="s">
        <v>89</v>
      </c>
      <c r="L1" s="195" t="s">
        <v>90</v>
      </c>
      <c r="M1" s="196" t="s">
        <v>91</v>
      </c>
      <c r="N1" s="190" t="s">
        <v>92</v>
      </c>
    </row>
    <row r="2" spans="1:15" x14ac:dyDescent="0.25">
      <c r="A2" s="186" t="s">
        <v>93</v>
      </c>
      <c r="B2" s="2">
        <v>1</v>
      </c>
      <c r="C2" s="176">
        <v>3</v>
      </c>
      <c r="D2" s="2">
        <v>2024</v>
      </c>
      <c r="E2" s="9">
        <f>Submetering!E2+Submetering!F2+Submetering!G2</f>
        <v>14062</v>
      </c>
      <c r="F2" s="177">
        <v>0.2</v>
      </c>
      <c r="G2" s="9">
        <f>'Mar 2024'!T5</f>
        <v>35.893800000000006</v>
      </c>
      <c r="H2" s="178">
        <v>17.295121000000002</v>
      </c>
      <c r="I2" s="9">
        <f>'Mar 2024'!K5</f>
        <v>105</v>
      </c>
      <c r="J2" s="177">
        <v>7.84</v>
      </c>
      <c r="K2" s="179">
        <f>'Mar 2024'!X5</f>
        <v>3980.8300000000004</v>
      </c>
      <c r="L2" s="177">
        <v>1.4101716692247597</v>
      </c>
      <c r="M2" s="9">
        <f>'Mar 2024'!AD5*315</f>
        <v>234.01349999999999</v>
      </c>
      <c r="N2" s="2" t="s">
        <v>78</v>
      </c>
      <c r="O2" s="175"/>
    </row>
    <row r="3" spans="1:15" x14ac:dyDescent="0.2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Submetering!E3+Submetering!F3+Submetering!G3</f>
        <v>14707</v>
      </c>
      <c r="F3" s="177">
        <v>0.2</v>
      </c>
      <c r="G3" s="9">
        <f>'Mar 2024'!T6</f>
        <v>35.893800000000006</v>
      </c>
      <c r="H3" s="178">
        <v>17.295121000000002</v>
      </c>
      <c r="I3" s="9">
        <f>'Mar 2024'!K6</f>
        <v>102</v>
      </c>
      <c r="J3" s="177">
        <v>7.84</v>
      </c>
      <c r="K3" s="179">
        <f>'Mar 2024'!X6</f>
        <v>4265.1750000000002</v>
      </c>
      <c r="L3" s="177">
        <v>1.3391068912764423</v>
      </c>
      <c r="M3" s="9">
        <f>'Mar 2024'!AD6*315</f>
        <v>194.0085</v>
      </c>
      <c r="N3" s="2" t="s">
        <v>78</v>
      </c>
      <c r="O3" s="175"/>
    </row>
    <row r="4" spans="1:15" x14ac:dyDescent="0.2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Submetering!E4+Submetering!F4+Submetering!G4</f>
        <v>14190</v>
      </c>
      <c r="F4" s="177">
        <v>0.2</v>
      </c>
      <c r="G4" s="9">
        <f>'Mar 2024'!T7</f>
        <v>32.726700000000001</v>
      </c>
      <c r="H4" s="178">
        <v>17.295121000000002</v>
      </c>
      <c r="I4" s="9">
        <f>'Mar 2024'!K7</f>
        <v>109</v>
      </c>
      <c r="J4" s="177">
        <v>7.84</v>
      </c>
      <c r="K4" s="179">
        <f>'Mar 2024'!X7</f>
        <v>4265.1750000000002</v>
      </c>
      <c r="L4" s="177">
        <v>1.3391068912764423</v>
      </c>
      <c r="M4" s="9">
        <f>'Mar 2024'!AD7*315</f>
        <v>257.98499999999996</v>
      </c>
      <c r="N4" s="2" t="s">
        <v>78</v>
      </c>
      <c r="O4" s="175"/>
    </row>
    <row r="5" spans="1:15" x14ac:dyDescent="0.2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Submetering!E5+Submetering!F5+Submetering!G5</f>
        <v>14386</v>
      </c>
      <c r="F5" s="177">
        <v>0.2</v>
      </c>
      <c r="G5" s="9">
        <f>'Mar 2024'!T8</f>
        <v>33.782400000000003</v>
      </c>
      <c r="H5" s="178">
        <v>17.295121000000002</v>
      </c>
      <c r="I5" s="9">
        <f>'Mar 2024'!K8</f>
        <v>97</v>
      </c>
      <c r="J5" s="177">
        <v>7.84</v>
      </c>
      <c r="K5" s="179">
        <f>'Mar 2024'!X8</f>
        <v>4549.5200000000004</v>
      </c>
      <c r="L5" s="177">
        <v>1.2769252105716646</v>
      </c>
      <c r="M5" s="9">
        <f>'Mar 2024'!AD8*315</f>
        <v>270.99449999999996</v>
      </c>
      <c r="N5" s="2" t="s">
        <v>78</v>
      </c>
      <c r="O5" s="175"/>
    </row>
    <row r="6" spans="1:15" x14ac:dyDescent="0.2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Submetering!E6+Submetering!F6+Submetering!G6</f>
        <v>14388</v>
      </c>
      <c r="F6" s="177">
        <v>0.2</v>
      </c>
      <c r="G6" s="9">
        <f>'Mar 2024'!T9</f>
        <v>31.671000000000003</v>
      </c>
      <c r="H6" s="178">
        <v>17.295121000000002</v>
      </c>
      <c r="I6" s="9">
        <f>'Mar 2024'!K9</f>
        <v>84</v>
      </c>
      <c r="J6" s="177">
        <v>7.84</v>
      </c>
      <c r="K6" s="179">
        <f>'Mar 2024'!X9</f>
        <v>5402.5550000000003</v>
      </c>
      <c r="L6" s="177">
        <v>1.1296528089024547</v>
      </c>
      <c r="M6" s="9">
        <f>'Mar 2024'!AD9*315</f>
        <v>309.01499999999999</v>
      </c>
      <c r="N6" s="2" t="s">
        <v>78</v>
      </c>
      <c r="O6" s="175"/>
    </row>
    <row r="7" spans="1:15" x14ac:dyDescent="0.2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Submetering!E7+Submetering!F7+Submetering!G7</f>
        <v>14445</v>
      </c>
      <c r="F7" s="177">
        <v>0.2</v>
      </c>
      <c r="G7" s="9">
        <f>'Mar 2024'!T10</f>
        <v>29.559600000000003</v>
      </c>
      <c r="H7" s="178">
        <v>17.295121000000002</v>
      </c>
      <c r="I7" s="9">
        <f>'Mar 2024'!K10</f>
        <v>100</v>
      </c>
      <c r="J7" s="177">
        <v>7.84</v>
      </c>
      <c r="K7" s="179">
        <f>'Mar 2024'!X10</f>
        <v>5118.2100000000009</v>
      </c>
      <c r="L7" s="177">
        <v>1.1732890760637018</v>
      </c>
      <c r="M7" s="9">
        <f>'Mar 2024'!AD10*315</f>
        <v>297.01349999999996</v>
      </c>
      <c r="N7" s="2" t="s">
        <v>78</v>
      </c>
    </row>
    <row r="8" spans="1:15" x14ac:dyDescent="0.2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Submetering!E8+Submetering!F8+Submetering!G8</f>
        <v>14195</v>
      </c>
      <c r="F8" s="177">
        <v>0.2</v>
      </c>
      <c r="G8" s="9">
        <f>'Mar 2024'!T11</f>
        <v>33.782400000000003</v>
      </c>
      <c r="H8" s="178">
        <v>17.295121000000002</v>
      </c>
      <c r="I8" s="9">
        <f>'Mar 2024'!K11</f>
        <v>88</v>
      </c>
      <c r="J8" s="177">
        <v>7.84</v>
      </c>
      <c r="K8" s="179">
        <f>'Mar 2024'!X11</f>
        <v>5118.2100000000009</v>
      </c>
      <c r="L8" s="177">
        <v>1.1732890760637018</v>
      </c>
      <c r="M8" s="9">
        <f>'Mar 2024'!AD11*315</f>
        <v>273.01050000000004</v>
      </c>
      <c r="N8" s="2" t="s">
        <v>78</v>
      </c>
    </row>
    <row r="9" spans="1:15" x14ac:dyDescent="0.2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Submetering!E9+Submetering!F9+Submetering!G9</f>
        <v>13748</v>
      </c>
      <c r="F9" s="177">
        <v>0.2</v>
      </c>
      <c r="G9" s="9">
        <f>'Mar 2024'!T12</f>
        <v>33.782400000000003</v>
      </c>
      <c r="H9" s="178">
        <v>17.295121000000002</v>
      </c>
      <c r="I9" s="9">
        <f>'Mar 2024'!K12</f>
        <v>105</v>
      </c>
      <c r="J9" s="177">
        <v>7.84</v>
      </c>
      <c r="K9" s="179">
        <f>'Mar 2024'!X12</f>
        <v>5686.9000000000005</v>
      </c>
      <c r="L9" s="177">
        <v>1.0903801684573318</v>
      </c>
      <c r="M9" s="9">
        <f>'Mar 2024'!AD12*315</f>
        <v>252</v>
      </c>
      <c r="N9" s="2" t="s">
        <v>78</v>
      </c>
    </row>
    <row r="10" spans="1:15" x14ac:dyDescent="0.2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Submetering!E10+Submetering!F10+Submetering!G10</f>
        <v>13629</v>
      </c>
      <c r="F10" s="177">
        <v>0.2</v>
      </c>
      <c r="G10" s="9">
        <f>'Mar 2024'!T13</f>
        <v>32.726700000000001</v>
      </c>
      <c r="H10" s="178">
        <v>17.295121000000002</v>
      </c>
      <c r="I10" s="9">
        <f>'Mar 2024'!K13</f>
        <v>107</v>
      </c>
      <c r="J10" s="177">
        <v>7.84</v>
      </c>
      <c r="K10" s="179">
        <f>'Mar 2024'!X13</f>
        <v>5118.2100000000009</v>
      </c>
      <c r="L10" s="177">
        <v>1.1732890760637018</v>
      </c>
      <c r="M10" s="9">
        <f>'Mar 2024'!AD13*315</f>
        <v>246.01500000000001</v>
      </c>
      <c r="N10" s="2" t="s">
        <v>78</v>
      </c>
    </row>
    <row r="11" spans="1:15" x14ac:dyDescent="0.2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Submetering!E11+Submetering!F11+Submetering!G11</f>
        <v>14165</v>
      </c>
      <c r="F11" s="177">
        <v>0.2</v>
      </c>
      <c r="G11" s="9">
        <f>'Mar 2024'!T14</f>
        <v>31.671000000000003</v>
      </c>
      <c r="H11" s="178">
        <v>17.295121000000002</v>
      </c>
      <c r="I11" s="9">
        <f>'Mar 2024'!K14</f>
        <v>111</v>
      </c>
      <c r="J11" s="177">
        <v>7.84</v>
      </c>
      <c r="K11" s="179">
        <f>'Mar 2024'!X14</f>
        <v>5686.9000000000005</v>
      </c>
      <c r="L11" s="177">
        <v>1.0903801684573318</v>
      </c>
      <c r="M11" s="9">
        <f>'Mar 2024'!AD14*315</f>
        <v>199.99350000000001</v>
      </c>
      <c r="N11" s="2" t="s">
        <v>78</v>
      </c>
    </row>
    <row r="12" spans="1:15" x14ac:dyDescent="0.2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Submetering!E12+Submetering!F12+Submetering!G12</f>
        <v>14668</v>
      </c>
      <c r="F12" s="177">
        <v>0.2</v>
      </c>
      <c r="G12" s="9">
        <f>'Mar 2024'!T15</f>
        <v>33.782400000000003</v>
      </c>
      <c r="H12" s="178">
        <v>17.295121000000002</v>
      </c>
      <c r="I12" s="9">
        <f>'Mar 2024'!K15</f>
        <v>61</v>
      </c>
      <c r="J12" s="177">
        <v>7.84</v>
      </c>
      <c r="K12" s="179">
        <f>'Mar 2024'!X15</f>
        <v>5402.5550000000003</v>
      </c>
      <c r="L12" s="177">
        <v>1.1296528089024547</v>
      </c>
      <c r="M12" s="9">
        <f>'Mar 2024'!AD15*315</f>
        <v>211.995</v>
      </c>
      <c r="N12" s="2" t="s">
        <v>78</v>
      </c>
    </row>
    <row r="13" spans="1:15" x14ac:dyDescent="0.2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Submetering!E13+Submetering!F13+Submetering!G13</f>
        <v>14033</v>
      </c>
      <c r="F13" s="177">
        <v>0.2</v>
      </c>
      <c r="G13" s="9">
        <f>'Mar 2024'!T16</f>
        <v>31.671000000000003</v>
      </c>
      <c r="H13" s="178">
        <v>17.295121000000002</v>
      </c>
      <c r="I13" s="9">
        <f>'Mar 2024'!K16</f>
        <v>86</v>
      </c>
      <c r="J13" s="177">
        <v>7.84</v>
      </c>
      <c r="K13" s="179">
        <f>'Mar 2024'!X16</f>
        <v>5118.2100000000009</v>
      </c>
      <c r="L13" s="177">
        <v>1.1732890760637018</v>
      </c>
      <c r="M13" s="9">
        <f>'Mar 2024'!AD16*315</f>
        <v>225.00450000000001</v>
      </c>
      <c r="N13" s="2" t="s">
        <v>78</v>
      </c>
    </row>
    <row r="14" spans="1:15" x14ac:dyDescent="0.2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Submetering!E14+Submetering!F14+Submetering!G14</f>
        <v>14329</v>
      </c>
      <c r="F14" s="177">
        <v>0.2</v>
      </c>
      <c r="G14" s="9">
        <f>'Mar 2024'!T17</f>
        <v>30.615300000000001</v>
      </c>
      <c r="H14" s="178">
        <v>17.295121000000002</v>
      </c>
      <c r="I14" s="9">
        <f>'Mar 2024'!K17</f>
        <v>96</v>
      </c>
      <c r="J14" s="177">
        <v>7.84</v>
      </c>
      <c r="K14" s="179">
        <f>'Mar 2024'!X17</f>
        <v>5118.2100000000009</v>
      </c>
      <c r="L14" s="177">
        <v>1.1732890760637018</v>
      </c>
      <c r="M14" s="9">
        <f>'Mar 2024'!AD17*315</f>
        <v>257.00849999999997</v>
      </c>
      <c r="N14" s="2" t="s">
        <v>78</v>
      </c>
    </row>
    <row r="15" spans="1:15" x14ac:dyDescent="0.2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Submetering!E15+Submetering!F15+Submetering!G15</f>
        <v>14306</v>
      </c>
      <c r="F15" s="177">
        <v>0.2</v>
      </c>
      <c r="G15" s="9">
        <f>'Mar 2024'!T18</f>
        <v>36.9495</v>
      </c>
      <c r="H15" s="178">
        <v>17.295121000000002</v>
      </c>
      <c r="I15" s="9">
        <f>'Mar 2024'!K18</f>
        <v>99</v>
      </c>
      <c r="J15" s="177">
        <v>7.84</v>
      </c>
      <c r="K15" s="179">
        <f>'Mar 2024'!X18</f>
        <v>5686.9000000000005</v>
      </c>
      <c r="L15" s="177">
        <v>1.0903801684573318</v>
      </c>
      <c r="M15" s="9">
        <f>'Mar 2024'!AD18*315</f>
        <v>234.01349999999999</v>
      </c>
      <c r="N15" s="2" t="s">
        <v>78</v>
      </c>
    </row>
    <row r="16" spans="1:15" x14ac:dyDescent="0.2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Submetering!E16+Submetering!F16+Submetering!G16</f>
        <v>14427</v>
      </c>
      <c r="F16" s="177">
        <v>0.2</v>
      </c>
      <c r="G16" s="9">
        <f>'Mar 2024'!T19</f>
        <v>31.671000000000003</v>
      </c>
      <c r="H16" s="178">
        <v>17.295121000000002</v>
      </c>
      <c r="I16" s="9">
        <f>'Mar 2024'!K19</f>
        <v>85</v>
      </c>
      <c r="J16" s="177">
        <v>7.84</v>
      </c>
      <c r="K16" s="179">
        <f>'Mar 2024'!X19</f>
        <v>5686.9000000000005</v>
      </c>
      <c r="L16" s="177">
        <v>1.0903801684573318</v>
      </c>
      <c r="M16" s="9">
        <f>'Mar 2024'!AD19*315</f>
        <v>206.01000000000002</v>
      </c>
      <c r="N16" s="2" t="s">
        <v>78</v>
      </c>
    </row>
    <row r="17" spans="1:14" x14ac:dyDescent="0.2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Submetering!E17+Submetering!F17+Submetering!G17</f>
        <v>14163</v>
      </c>
      <c r="F17" s="177">
        <v>0.2</v>
      </c>
      <c r="G17" s="9">
        <f>'Mar 2024'!T20</f>
        <v>35.893800000000006</v>
      </c>
      <c r="H17" s="178">
        <v>17.295121000000002</v>
      </c>
      <c r="I17" s="9">
        <f>'Mar 2024'!K20</f>
        <v>95</v>
      </c>
      <c r="J17" s="177">
        <v>7.84</v>
      </c>
      <c r="K17" s="179">
        <f>'Mar 2024'!X20</f>
        <v>5971.2450000000008</v>
      </c>
      <c r="L17" s="177">
        <v>1.054847779483173</v>
      </c>
      <c r="M17" s="9">
        <f>'Mar 2024'!AD20*315</f>
        <v>214.98750000000001</v>
      </c>
      <c r="N17" s="2" t="s">
        <v>78</v>
      </c>
    </row>
    <row r="18" spans="1:14" x14ac:dyDescent="0.2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Submetering!E18+Submetering!F18+Submetering!G18</f>
        <v>14796</v>
      </c>
      <c r="F18" s="177">
        <v>0.2</v>
      </c>
      <c r="G18" s="9">
        <f>'Mar 2024'!T21</f>
        <v>33.782400000000003</v>
      </c>
      <c r="H18" s="178">
        <v>17.295121000000002</v>
      </c>
      <c r="I18" s="9">
        <f>'Mar 2024'!K21</f>
        <v>99</v>
      </c>
      <c r="J18" s="177">
        <v>7.84</v>
      </c>
      <c r="K18" s="179">
        <f>'Mar 2024'!X21</f>
        <v>6255.59</v>
      </c>
      <c r="L18" s="177">
        <v>1.0225456076884833</v>
      </c>
      <c r="M18" s="9">
        <f>'Mar 2024'!AD21*315</f>
        <v>270.99449999999996</v>
      </c>
      <c r="N18" s="2" t="s">
        <v>78</v>
      </c>
    </row>
    <row r="19" spans="1:14" x14ac:dyDescent="0.2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Submetering!E19+Submetering!F19+Submetering!G19</f>
        <v>14431</v>
      </c>
      <c r="F19" s="177">
        <v>0.2</v>
      </c>
      <c r="G19" s="9">
        <f>'Mar 2024'!T22</f>
        <v>33.782400000000003</v>
      </c>
      <c r="H19" s="178">
        <v>17.295121000000002</v>
      </c>
      <c r="I19" s="9">
        <f>'Mar 2024'!K22</f>
        <v>104</v>
      </c>
      <c r="J19" s="177">
        <v>7.84</v>
      </c>
      <c r="K19" s="179">
        <f>'Mar 2024'!X22</f>
        <v>6539.9350000000004</v>
      </c>
      <c r="L19" s="177">
        <v>0.99305232039767988</v>
      </c>
      <c r="M19" s="9">
        <f>'Mar 2024'!AD22*315</f>
        <v>239.99850000000001</v>
      </c>
      <c r="N19" s="2" t="s">
        <v>78</v>
      </c>
    </row>
    <row r="20" spans="1:14" x14ac:dyDescent="0.2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Submetering!E20+Submetering!F20+Submetering!G20</f>
        <v>14449</v>
      </c>
      <c r="F20" s="177">
        <v>0.2</v>
      </c>
      <c r="G20" s="9">
        <f>'Mar 2024'!T23</f>
        <v>33.782400000000003</v>
      </c>
      <c r="H20" s="178">
        <v>17.295121000000002</v>
      </c>
      <c r="I20" s="9">
        <f>'Mar 2024'!K23</f>
        <v>91</v>
      </c>
      <c r="J20" s="177">
        <v>7.84</v>
      </c>
      <c r="K20" s="179">
        <f>'Mar 2024'!X23</f>
        <v>6539.9350000000004</v>
      </c>
      <c r="L20" s="177">
        <v>0.99305232039767988</v>
      </c>
      <c r="M20" s="9">
        <f>'Mar 2024'!AD23*315</f>
        <v>242.0145</v>
      </c>
      <c r="N20" s="2" t="s">
        <v>78</v>
      </c>
    </row>
    <row r="21" spans="1:14" x14ac:dyDescent="0.2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Submetering!E21+Submetering!F21+Submetering!G21</f>
        <v>14464</v>
      </c>
      <c r="F21" s="177">
        <v>0.2</v>
      </c>
      <c r="G21" s="9">
        <f>'Mar 2024'!T24</f>
        <v>32.726700000000001</v>
      </c>
      <c r="H21" s="178">
        <v>17.295121000000002</v>
      </c>
      <c r="I21" s="9">
        <f>'Mar 2024'!K24</f>
        <v>103</v>
      </c>
      <c r="J21" s="177">
        <v>7.84</v>
      </c>
      <c r="K21" s="179">
        <f>'Mar 2024'!X24</f>
        <v>6539.9350000000004</v>
      </c>
      <c r="L21" s="177">
        <v>0.99305232039767988</v>
      </c>
      <c r="M21" s="9">
        <f>'Mar 2024'!AD24*315</f>
        <v>277.01099999999997</v>
      </c>
      <c r="N21" s="2" t="s">
        <v>78</v>
      </c>
    </row>
    <row r="22" spans="1:14" x14ac:dyDescent="0.2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Submetering!E22+Submetering!F22+Submetering!G22</f>
        <v>14634</v>
      </c>
      <c r="F22" s="177">
        <v>0.2</v>
      </c>
      <c r="G22" s="9">
        <f>'Mar 2024'!T25</f>
        <v>35.893800000000006</v>
      </c>
      <c r="H22" s="178">
        <v>17.295121000000002</v>
      </c>
      <c r="I22" s="9">
        <f>'Mar 2024'!K25</f>
        <v>94</v>
      </c>
      <c r="J22" s="177">
        <v>7.84</v>
      </c>
      <c r="K22" s="179">
        <f>'Mar 2024'!X25</f>
        <v>6539.9350000000004</v>
      </c>
      <c r="L22" s="177">
        <v>0.99305232039767988</v>
      </c>
      <c r="M22" s="9">
        <f>'Mar 2024'!AD25*315</f>
        <v>239.99850000000001</v>
      </c>
      <c r="N22" s="2" t="s">
        <v>78</v>
      </c>
    </row>
    <row r="23" spans="1:14" x14ac:dyDescent="0.2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>
        <f>Submetering!E23+Submetering!F23+Submetering!G23</f>
        <v>14343</v>
      </c>
      <c r="F23" s="177">
        <v>0.2</v>
      </c>
      <c r="G23" s="9">
        <f>'Mar 2024'!T26</f>
        <v>34.838100000000004</v>
      </c>
      <c r="H23" s="178">
        <v>17.295121000000002</v>
      </c>
      <c r="I23" s="9">
        <f>'Mar 2024'!K26</f>
        <v>104</v>
      </c>
      <c r="J23" s="177">
        <v>7.84</v>
      </c>
      <c r="K23" s="179">
        <f>'Mar 2024'!X26</f>
        <v>5971.2450000000008</v>
      </c>
      <c r="L23" s="177">
        <v>1.054847779483173</v>
      </c>
      <c r="M23" s="9">
        <f>'Mar 2024'!AD26*315</f>
        <v>209.0025</v>
      </c>
      <c r="N23" s="2" t="s">
        <v>78</v>
      </c>
    </row>
    <row r="24" spans="1:14" x14ac:dyDescent="0.2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>
        <f>Submetering!E24+Submetering!F24+Submetering!G24</f>
        <v>14468</v>
      </c>
      <c r="F24" s="177">
        <v>0.2</v>
      </c>
      <c r="G24" s="9">
        <f>'Mar 2024'!T27</f>
        <v>36.9495</v>
      </c>
      <c r="H24" s="178">
        <v>17.295121000000002</v>
      </c>
      <c r="I24" s="9">
        <f>'Mar 2024'!K27</f>
        <v>102</v>
      </c>
      <c r="J24" s="177">
        <v>7.84</v>
      </c>
      <c r="K24" s="179">
        <f>'Mar 2024'!X27</f>
        <v>6255.59</v>
      </c>
      <c r="L24" s="177">
        <v>1.0225456076884833</v>
      </c>
      <c r="M24" s="9">
        <f>'Mar 2024'!AD27*315</f>
        <v>227.99699999999999</v>
      </c>
      <c r="N24" s="2" t="s">
        <v>78</v>
      </c>
    </row>
    <row r="25" spans="1:14" x14ac:dyDescent="0.2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>
        <f>Submetering!E25+Submetering!F25+Submetering!G25</f>
        <v>14243</v>
      </c>
      <c r="F25" s="177">
        <v>0.2</v>
      </c>
      <c r="G25" s="9">
        <f>'Mar 2024'!T28</f>
        <v>33.782400000000003</v>
      </c>
      <c r="H25" s="178">
        <v>17.295121000000002</v>
      </c>
      <c r="I25" s="9">
        <f>'Mar 2024'!K28</f>
        <v>89</v>
      </c>
      <c r="J25" s="177">
        <v>7.84</v>
      </c>
      <c r="K25" s="179">
        <f>'Mar 2024'!X28</f>
        <v>6539.9350000000004</v>
      </c>
      <c r="L25" s="177">
        <v>0.99305232039767988</v>
      </c>
      <c r="M25" s="9">
        <f>'Mar 2024'!AD28*315</f>
        <v>233.00550000000001</v>
      </c>
      <c r="N25" s="2" t="s">
        <v>78</v>
      </c>
    </row>
    <row r="26" spans="1:14" x14ac:dyDescent="0.2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>
        <f>Submetering!E26+Submetering!F26+Submetering!G26</f>
        <v>14657</v>
      </c>
      <c r="F26" s="177">
        <v>0.2</v>
      </c>
      <c r="G26" s="9">
        <f>'Mar 2024'!T29</f>
        <v>35.893800000000006</v>
      </c>
      <c r="H26" s="178">
        <v>17.295121000000002</v>
      </c>
      <c r="I26" s="9">
        <f>'Mar 2024'!K29</f>
        <v>110</v>
      </c>
      <c r="J26" s="177">
        <v>7.84</v>
      </c>
      <c r="K26" s="179">
        <f>'Mar 2024'!X29</f>
        <v>6539.9350000000004</v>
      </c>
      <c r="L26" s="177">
        <v>0.99305232039767988</v>
      </c>
      <c r="M26" s="9">
        <f>'Mar 2024'!AD29*315</f>
        <v>296.00549999999998</v>
      </c>
      <c r="N26" s="2" t="s">
        <v>78</v>
      </c>
    </row>
    <row r="27" spans="1:14" x14ac:dyDescent="0.2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>
        <f>Submetering!E27+Submetering!F27+Submetering!G27</f>
        <v>14526</v>
      </c>
      <c r="F27" s="177">
        <v>0.2</v>
      </c>
      <c r="G27" s="9">
        <f>'Mar 2024'!T30</f>
        <v>34.838100000000004</v>
      </c>
      <c r="H27" s="178">
        <v>17.295121000000002</v>
      </c>
      <c r="I27" s="9">
        <f>'Mar 2024'!K30</f>
        <v>87</v>
      </c>
      <c r="J27" s="177">
        <v>7.84</v>
      </c>
      <c r="K27" s="179">
        <f>'Mar 2024'!X30</f>
        <v>5971.2450000000008</v>
      </c>
      <c r="L27" s="177">
        <v>1.054847779483173</v>
      </c>
      <c r="M27" s="9">
        <f>'Mar 2024'!AD30*315</f>
        <v>276.00299999999999</v>
      </c>
      <c r="N27" s="2" t="s">
        <v>78</v>
      </c>
    </row>
    <row r="28" spans="1:14" x14ac:dyDescent="0.2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>
        <f>Submetering!E28+Submetering!F28+Submetering!G28</f>
        <v>14798</v>
      </c>
      <c r="F28" s="177">
        <v>0.2</v>
      </c>
      <c r="G28" s="9">
        <f>'Mar 2024'!T31</f>
        <v>26.392500000000002</v>
      </c>
      <c r="H28" s="178">
        <v>17.295121000000002</v>
      </c>
      <c r="I28" s="9">
        <f>'Mar 2024'!K31</f>
        <v>116</v>
      </c>
      <c r="J28" s="177">
        <v>7.84</v>
      </c>
      <c r="K28" s="179">
        <f>'Mar 2024'!X31</f>
        <v>5118.2100000000009</v>
      </c>
      <c r="L28" s="177">
        <v>1.1732890760637018</v>
      </c>
      <c r="M28" s="9">
        <f>'Mar 2024'!AD31*315</f>
        <v>301.9905</v>
      </c>
      <c r="N28" s="2" t="s">
        <v>78</v>
      </c>
    </row>
    <row r="29" spans="1:14" x14ac:dyDescent="0.2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>
        <f>Submetering!E29+Submetering!F29+Submetering!G29</f>
        <v>14844</v>
      </c>
      <c r="F29" s="177">
        <v>0.2</v>
      </c>
      <c r="G29" s="9">
        <f>'Mar 2024'!T32</f>
        <v>29.559600000000003</v>
      </c>
      <c r="H29" s="178">
        <v>17.295121000000002</v>
      </c>
      <c r="I29" s="9">
        <f>'Mar 2024'!K32</f>
        <v>123</v>
      </c>
      <c r="J29" s="177">
        <v>7.84</v>
      </c>
      <c r="K29" s="179">
        <f>'Mar 2024'!X32</f>
        <v>5402.5550000000003</v>
      </c>
      <c r="L29" s="177">
        <v>1.1296528089024547</v>
      </c>
      <c r="M29" s="9">
        <f>'Mar 2024'!AD32*315</f>
        <v>253.00800000000001</v>
      </c>
      <c r="N29" s="2" t="s">
        <v>78</v>
      </c>
    </row>
    <row r="30" spans="1:14" x14ac:dyDescent="0.2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>
        <f>Submetering!E30+Submetering!F30+Submetering!G30</f>
        <v>15028</v>
      </c>
      <c r="F30" s="177">
        <v>0.2</v>
      </c>
      <c r="G30" s="9">
        <f>'Mar 2024'!T33</f>
        <v>36.9495</v>
      </c>
      <c r="H30" s="178">
        <v>17.295121000000002</v>
      </c>
      <c r="I30" s="9">
        <f>'Mar 2024'!K33</f>
        <v>106</v>
      </c>
      <c r="J30" s="177">
        <v>7.84</v>
      </c>
      <c r="K30" s="179">
        <f>'Mar 2024'!X33</f>
        <v>5686.9000000000005</v>
      </c>
      <c r="L30" s="177">
        <v>1.0903801684573318</v>
      </c>
      <c r="M30" s="9">
        <f>'Mar 2024'!AD33*315</f>
        <v>238.99050000000003</v>
      </c>
      <c r="N30" s="2" t="s">
        <v>78</v>
      </c>
    </row>
    <row r="31" spans="1:14" x14ac:dyDescent="0.25">
      <c r="A31" s="186" t="s">
        <v>93</v>
      </c>
      <c r="B31" s="2">
        <f t="shared" si="0"/>
        <v>30</v>
      </c>
      <c r="C31" s="176">
        <v>3</v>
      </c>
      <c r="D31" s="2">
        <v>2024</v>
      </c>
      <c r="E31" s="9">
        <f>Submetering!E31+Submetering!F31+Submetering!G31</f>
        <v>14999</v>
      </c>
      <c r="F31" s="177">
        <v>0.2</v>
      </c>
      <c r="G31" s="9">
        <f>'Mar 2024'!T34</f>
        <v>35.893800000000006</v>
      </c>
      <c r="H31" s="178">
        <v>17.295121000000002</v>
      </c>
      <c r="I31" s="9">
        <f>'Mar 2024'!K34</f>
        <v>93</v>
      </c>
      <c r="J31" s="177">
        <v>7.84</v>
      </c>
      <c r="K31" s="179">
        <f>'Mar 2024'!X34</f>
        <v>5686.9000000000005</v>
      </c>
      <c r="L31" s="177">
        <v>1.0903801684573318</v>
      </c>
      <c r="M31" s="9">
        <f>'Mar 2024'!AD34*315</f>
        <v>222.98849999999999</v>
      </c>
    </row>
    <row r="32" spans="1:14" x14ac:dyDescent="0.25">
      <c r="A32" s="186" t="s">
        <v>93</v>
      </c>
      <c r="B32" s="2">
        <f t="shared" si="0"/>
        <v>31</v>
      </c>
      <c r="C32" s="176">
        <v>3</v>
      </c>
      <c r="D32" s="2">
        <v>2024</v>
      </c>
      <c r="E32" s="9">
        <f>Submetering!E32+Submetering!F32+Submetering!G32</f>
        <v>14278</v>
      </c>
      <c r="F32" s="177">
        <v>0.2</v>
      </c>
      <c r="G32" s="9">
        <f>'Mar 2024'!T35</f>
        <v>34.838100000000004</v>
      </c>
      <c r="H32" s="178">
        <v>17.295121000000002</v>
      </c>
      <c r="I32" s="9">
        <f>'Mar 2024'!K35</f>
        <v>96</v>
      </c>
      <c r="J32" s="177">
        <v>7.84</v>
      </c>
      <c r="K32" s="179">
        <f>'Mar 2024'!X35</f>
        <v>5971.2450000000008</v>
      </c>
      <c r="L32" s="177">
        <v>1.054847779483173</v>
      </c>
      <c r="M32" s="9">
        <f>'Mar 2024'!AD35*315</f>
        <v>223.9965</v>
      </c>
    </row>
    <row r="33" spans="5:11" x14ac:dyDescent="0.25">
      <c r="E33" s="9"/>
      <c r="G33" s="197"/>
      <c r="I33" s="9"/>
      <c r="K33" s="19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3"/>
  <sheetViews>
    <sheetView topLeftCell="A10" workbookViewId="0">
      <selection activeCell="H33" sqref="H33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176"/>
    <col min="4" max="4" width="13.42578125" style="2" customWidth="1"/>
    <col min="5" max="5" width="12.5703125" style="2" customWidth="1"/>
    <col min="6" max="6" width="12.5703125" style="180" customWidth="1"/>
    <col min="7" max="8" width="11.5703125" style="2"/>
    <col min="9" max="9" width="11.5703125" style="180"/>
    <col min="10" max="13" width="11.5703125" style="2"/>
    <col min="14" max="14" width="11.5703125" style="9"/>
    <col min="15" max="15" width="11.5703125" style="2"/>
  </cols>
  <sheetData>
    <row r="1" spans="1:15" s="185" customFormat="1" ht="60" x14ac:dyDescent="0.25">
      <c r="A1" s="175" t="s">
        <v>83</v>
      </c>
      <c r="B1" s="175" t="s">
        <v>84</v>
      </c>
      <c r="C1" s="181" t="s">
        <v>85</v>
      </c>
      <c r="D1" s="175" t="s">
        <v>86</v>
      </c>
      <c r="E1" s="182" t="s">
        <v>94</v>
      </c>
      <c r="F1" s="183" t="s">
        <v>95</v>
      </c>
      <c r="G1" s="182" t="s">
        <v>96</v>
      </c>
      <c r="H1" s="182" t="s">
        <v>97</v>
      </c>
      <c r="I1" s="183" t="s">
        <v>98</v>
      </c>
      <c r="J1" s="183" t="s">
        <v>99</v>
      </c>
      <c r="K1" s="184" t="s">
        <v>2</v>
      </c>
      <c r="L1" s="184" t="s">
        <v>100</v>
      </c>
      <c r="M1" s="182" t="s">
        <v>101</v>
      </c>
      <c r="N1" s="184" t="s">
        <v>91</v>
      </c>
      <c r="O1" s="182" t="s">
        <v>92</v>
      </c>
    </row>
    <row r="2" spans="1:15" x14ac:dyDescent="0.25">
      <c r="A2" s="186" t="s">
        <v>93</v>
      </c>
      <c r="B2" s="2">
        <v>1</v>
      </c>
      <c r="C2" s="176">
        <v>3</v>
      </c>
      <c r="D2" s="2">
        <v>2024</v>
      </c>
      <c r="E2" s="9">
        <f>'Mar 2024'!C5</f>
        <v>7337</v>
      </c>
      <c r="F2" s="9">
        <f>'Mar 2024'!E5</f>
        <v>6592</v>
      </c>
      <c r="G2" s="9">
        <f>'Mar 2024'!G5</f>
        <v>133</v>
      </c>
      <c r="H2" s="9">
        <f>'Mar 2024'!K5</f>
        <v>105</v>
      </c>
      <c r="I2" s="9">
        <f>'Mar 2024'!N5</f>
        <v>21</v>
      </c>
      <c r="J2" s="9">
        <f>'Mar 2024'!P5</f>
        <v>15</v>
      </c>
      <c r="K2" s="9">
        <f>'Mar 2024'!X5</f>
        <v>3980.8300000000004</v>
      </c>
      <c r="L2" s="9">
        <f>'Mar 2024'!AC5</f>
        <v>4673</v>
      </c>
      <c r="M2" s="9">
        <f>'Mar 2024'!AP5</f>
        <v>10</v>
      </c>
      <c r="N2" s="9">
        <f>'Mar 2024'!AD5*315</f>
        <v>234.01349999999999</v>
      </c>
      <c r="O2" s="2" t="s">
        <v>78</v>
      </c>
    </row>
    <row r="3" spans="1:15" x14ac:dyDescent="0.2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'Mar 2024'!C6</f>
        <v>7738</v>
      </c>
      <c r="F3" s="9">
        <f>'Mar 2024'!E6</f>
        <v>6833</v>
      </c>
      <c r="G3" s="9">
        <f>'Mar 2024'!G6</f>
        <v>136</v>
      </c>
      <c r="H3" s="9">
        <f>'Mar 2024'!K6</f>
        <v>102</v>
      </c>
      <c r="I3" s="9">
        <f>'Mar 2024'!N6</f>
        <v>21</v>
      </c>
      <c r="J3" s="9">
        <f>'Mar 2024'!P6</f>
        <v>14</v>
      </c>
      <c r="K3" s="9">
        <f>'Mar 2024'!X6</f>
        <v>4265.1750000000002</v>
      </c>
      <c r="L3" s="9">
        <f>'Mar 2024'!AC6</f>
        <v>4758</v>
      </c>
      <c r="M3" s="9">
        <f>'Mar 2024'!AP6</f>
        <v>7</v>
      </c>
      <c r="N3" s="9">
        <f>'Mar 2024'!AD6*315</f>
        <v>194.0085</v>
      </c>
      <c r="O3" s="2" t="s">
        <v>78</v>
      </c>
    </row>
    <row r="4" spans="1:15" x14ac:dyDescent="0.2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'Mar 2024'!C7</f>
        <v>7538</v>
      </c>
      <c r="F4" s="9">
        <f>'Mar 2024'!E7</f>
        <v>6519</v>
      </c>
      <c r="G4" s="9">
        <f>'Mar 2024'!G7</f>
        <v>133</v>
      </c>
      <c r="H4" s="9">
        <f>'Mar 2024'!K7</f>
        <v>109</v>
      </c>
      <c r="I4" s="9">
        <f>'Mar 2024'!N7</f>
        <v>18</v>
      </c>
      <c r="J4" s="9">
        <f>'Mar 2024'!P7</f>
        <v>14</v>
      </c>
      <c r="K4" s="9">
        <f>'Mar 2024'!X7</f>
        <v>4265.1750000000002</v>
      </c>
      <c r="L4" s="9">
        <f>'Mar 2024'!AC7</f>
        <v>4744</v>
      </c>
      <c r="M4" s="9">
        <f>'Mar 2024'!AP7</f>
        <v>7</v>
      </c>
      <c r="N4" s="9">
        <f>'Mar 2024'!AD7*315</f>
        <v>257.98499999999996</v>
      </c>
      <c r="O4" s="2" t="s">
        <v>78</v>
      </c>
    </row>
    <row r="5" spans="1:15" x14ac:dyDescent="0.2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'Mar 2024'!C8</f>
        <v>7549</v>
      </c>
      <c r="F5" s="9">
        <f>'Mar 2024'!E8</f>
        <v>6703</v>
      </c>
      <c r="G5" s="9">
        <f>'Mar 2024'!G8</f>
        <v>134</v>
      </c>
      <c r="H5" s="9">
        <f>'Mar 2024'!K8</f>
        <v>97</v>
      </c>
      <c r="I5" s="9">
        <f>'Mar 2024'!N8</f>
        <v>19</v>
      </c>
      <c r="J5" s="9">
        <f>'Mar 2024'!P8</f>
        <v>14</v>
      </c>
      <c r="K5" s="9">
        <f>'Mar 2024'!X8</f>
        <v>4549.5200000000004</v>
      </c>
      <c r="L5" s="9">
        <f>'Mar 2024'!AC8</f>
        <v>5466</v>
      </c>
      <c r="M5" s="9">
        <f>'Mar 2024'!AP8</f>
        <v>6</v>
      </c>
      <c r="N5" s="9">
        <f>'Mar 2024'!AD8*315</f>
        <v>270.99449999999996</v>
      </c>
      <c r="O5" s="2" t="s">
        <v>78</v>
      </c>
    </row>
    <row r="6" spans="1:15" x14ac:dyDescent="0.2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'Mar 2024'!C9</f>
        <v>7501</v>
      </c>
      <c r="F6" s="9">
        <f>'Mar 2024'!E9</f>
        <v>6759</v>
      </c>
      <c r="G6" s="9">
        <f>'Mar 2024'!G9</f>
        <v>128</v>
      </c>
      <c r="H6" s="9">
        <f>'Mar 2024'!K9</f>
        <v>84</v>
      </c>
      <c r="I6" s="9">
        <f>'Mar 2024'!N9</f>
        <v>19</v>
      </c>
      <c r="J6" s="9">
        <f>'Mar 2024'!P9</f>
        <v>13</v>
      </c>
      <c r="K6" s="9">
        <f>'Mar 2024'!X9</f>
        <v>5402.5550000000003</v>
      </c>
      <c r="L6" s="9">
        <f>'Mar 2024'!AC9</f>
        <v>6412</v>
      </c>
      <c r="M6" s="9">
        <f>'Mar 2024'!AP9</f>
        <v>8</v>
      </c>
      <c r="N6" s="9">
        <f>'Mar 2024'!AD9*315</f>
        <v>309.01499999999999</v>
      </c>
      <c r="O6" s="2" t="s">
        <v>78</v>
      </c>
    </row>
    <row r="7" spans="1:15" x14ac:dyDescent="0.2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'Mar 2024'!C10</f>
        <v>7571</v>
      </c>
      <c r="F7" s="9">
        <f>'Mar 2024'!E10</f>
        <v>6742</v>
      </c>
      <c r="G7" s="9">
        <f>'Mar 2024'!G10</f>
        <v>132</v>
      </c>
      <c r="H7" s="9">
        <f>'Mar 2024'!K10</f>
        <v>100</v>
      </c>
      <c r="I7" s="9">
        <f>'Mar 2024'!N10</f>
        <v>18</v>
      </c>
      <c r="J7" s="9">
        <f>'Mar 2024'!P10</f>
        <v>10</v>
      </c>
      <c r="K7" s="9">
        <f>'Mar 2024'!X10</f>
        <v>5118.2100000000009</v>
      </c>
      <c r="L7" s="9">
        <f>'Mar 2024'!AC10</f>
        <v>5967</v>
      </c>
      <c r="M7" s="9">
        <f>'Mar 2024'!AP10</f>
        <v>7</v>
      </c>
      <c r="N7" s="9">
        <f>'Mar 2024'!AD10*315</f>
        <v>297.01349999999996</v>
      </c>
      <c r="O7" s="2" t="s">
        <v>78</v>
      </c>
    </row>
    <row r="8" spans="1:15" x14ac:dyDescent="0.2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'Mar 2024'!C11</f>
        <v>7706</v>
      </c>
      <c r="F8" s="9">
        <f>'Mar 2024'!E11</f>
        <v>6359</v>
      </c>
      <c r="G8" s="9">
        <f>'Mar 2024'!G11</f>
        <v>130</v>
      </c>
      <c r="H8" s="9">
        <f>'Mar 2024'!K11</f>
        <v>88</v>
      </c>
      <c r="I8" s="9">
        <f>'Mar 2024'!N11</f>
        <v>19</v>
      </c>
      <c r="J8" s="9">
        <f>'Mar 2024'!P11</f>
        <v>15</v>
      </c>
      <c r="K8" s="9">
        <f>'Mar 2024'!X11</f>
        <v>5118.2100000000009</v>
      </c>
      <c r="L8" s="9">
        <f>'Mar 2024'!AC11</f>
        <v>6041</v>
      </c>
      <c r="M8" s="9">
        <f>'Mar 2024'!AP11</f>
        <v>8</v>
      </c>
      <c r="N8" s="9">
        <f>'Mar 2024'!AD11*315</f>
        <v>273.01050000000004</v>
      </c>
      <c r="O8" s="2" t="s">
        <v>78</v>
      </c>
    </row>
    <row r="9" spans="1:15" x14ac:dyDescent="0.2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'Mar 2024'!C12</f>
        <v>7658</v>
      </c>
      <c r="F9" s="9">
        <f>'Mar 2024'!E12</f>
        <v>5956</v>
      </c>
      <c r="G9" s="9">
        <f>'Mar 2024'!G12</f>
        <v>134</v>
      </c>
      <c r="H9" s="9">
        <f>'Mar 2024'!K12</f>
        <v>105</v>
      </c>
      <c r="I9" s="9">
        <f>'Mar 2024'!N12</f>
        <v>19</v>
      </c>
      <c r="J9" s="9">
        <f>'Mar 2024'!P12</f>
        <v>14</v>
      </c>
      <c r="K9" s="9">
        <f>'Mar 2024'!X12</f>
        <v>5686.9000000000005</v>
      </c>
      <c r="L9" s="9">
        <f>'Mar 2024'!AC12</f>
        <v>6705</v>
      </c>
      <c r="M9" s="9">
        <f>'Mar 2024'!AP12</f>
        <v>13</v>
      </c>
      <c r="N9" s="9">
        <f>'Mar 2024'!AD12*315</f>
        <v>252</v>
      </c>
      <c r="O9" s="2" t="s">
        <v>78</v>
      </c>
    </row>
    <row r="10" spans="1:15" x14ac:dyDescent="0.2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'Mar 2024'!C13</f>
        <v>7543</v>
      </c>
      <c r="F10" s="9">
        <f>'Mar 2024'!E13</f>
        <v>6086</v>
      </c>
      <c r="G10" s="9">
        <f>'Mar 2024'!G13</f>
        <v>0</v>
      </c>
      <c r="H10" s="9">
        <f>'Mar 2024'!K13</f>
        <v>107</v>
      </c>
      <c r="I10" s="9">
        <f>'Mar 2024'!N13</f>
        <v>20</v>
      </c>
      <c r="J10" s="9">
        <f>'Mar 2024'!P13</f>
        <v>13</v>
      </c>
      <c r="K10" s="9">
        <f>'Mar 2024'!X13</f>
        <v>5118.2100000000009</v>
      </c>
      <c r="L10" s="9">
        <f>'Mar 2024'!AC13</f>
        <v>5958</v>
      </c>
      <c r="M10" s="9">
        <f>'Mar 2024'!AP13</f>
        <v>9</v>
      </c>
      <c r="N10" s="9">
        <f>'Mar 2024'!AD13*315</f>
        <v>246.01500000000001</v>
      </c>
      <c r="O10" s="2" t="s">
        <v>78</v>
      </c>
    </row>
    <row r="11" spans="1:15" x14ac:dyDescent="0.2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'Mar 2024'!C14</f>
        <v>7485</v>
      </c>
      <c r="F11" s="9">
        <f>'Mar 2024'!E14</f>
        <v>6586</v>
      </c>
      <c r="G11" s="9">
        <f>'Mar 2024'!G14</f>
        <v>94</v>
      </c>
      <c r="H11" s="9">
        <f>'Mar 2024'!K14</f>
        <v>111</v>
      </c>
      <c r="I11" s="9">
        <f>'Mar 2024'!N14</f>
        <v>18</v>
      </c>
      <c r="J11" s="9">
        <f>'Mar 2024'!P14</f>
        <v>13</v>
      </c>
      <c r="K11" s="9">
        <f>'Mar 2024'!X14</f>
        <v>5686.9000000000005</v>
      </c>
      <c r="L11" s="9">
        <f>'Mar 2024'!AC14</f>
        <v>5940</v>
      </c>
      <c r="M11" s="9">
        <f>'Mar 2024'!AP14</f>
        <v>8</v>
      </c>
      <c r="N11" s="9">
        <f>'Mar 2024'!AD14*315</f>
        <v>199.99350000000001</v>
      </c>
      <c r="O11" s="2" t="s">
        <v>78</v>
      </c>
    </row>
    <row r="12" spans="1:15" x14ac:dyDescent="0.2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'Mar 2024'!C15</f>
        <v>7727</v>
      </c>
      <c r="F12" s="9">
        <f>'Mar 2024'!E15</f>
        <v>6812</v>
      </c>
      <c r="G12" s="9">
        <f>'Mar 2024'!G15</f>
        <v>129</v>
      </c>
      <c r="H12" s="9">
        <f>'Mar 2024'!K15</f>
        <v>61</v>
      </c>
      <c r="I12" s="9">
        <f>'Mar 2024'!N15</f>
        <v>18</v>
      </c>
      <c r="J12" s="9">
        <f>'Mar 2024'!P15</f>
        <v>15</v>
      </c>
      <c r="K12" s="9">
        <f>'Mar 2024'!X15</f>
        <v>5402.5550000000003</v>
      </c>
      <c r="L12" s="9">
        <f>'Mar 2024'!AC15</f>
        <v>6415</v>
      </c>
      <c r="M12" s="9">
        <f>'Mar 2024'!AP15</f>
        <v>9</v>
      </c>
      <c r="N12" s="9">
        <f>'Mar 2024'!AD15*315</f>
        <v>211.995</v>
      </c>
      <c r="O12" s="2" t="s">
        <v>78</v>
      </c>
    </row>
    <row r="13" spans="1:15" x14ac:dyDescent="0.2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'Mar 2024'!C16</f>
        <v>7334</v>
      </c>
      <c r="F13" s="9">
        <f>'Mar 2024'!E16</f>
        <v>6568</v>
      </c>
      <c r="G13" s="9">
        <f>'Mar 2024'!G16</f>
        <v>131</v>
      </c>
      <c r="H13" s="9">
        <f>'Mar 2024'!K16</f>
        <v>86</v>
      </c>
      <c r="I13" s="9">
        <f>'Mar 2024'!N16</f>
        <v>17</v>
      </c>
      <c r="J13" s="9">
        <f>'Mar 2024'!P16</f>
        <v>14</v>
      </c>
      <c r="K13" s="9">
        <f>'Mar 2024'!X16</f>
        <v>5118.2100000000009</v>
      </c>
      <c r="L13" s="9">
        <f>'Mar 2024'!AC16</f>
        <v>5787</v>
      </c>
      <c r="M13" s="9">
        <f>'Mar 2024'!AP16</f>
        <v>8</v>
      </c>
      <c r="N13" s="9">
        <f>'Mar 2024'!AD16*315</f>
        <v>225.00450000000001</v>
      </c>
      <c r="O13" s="2" t="s">
        <v>78</v>
      </c>
    </row>
    <row r="14" spans="1:15" x14ac:dyDescent="0.2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'Mar 2024'!C17</f>
        <v>7461</v>
      </c>
      <c r="F14" s="9">
        <f>'Mar 2024'!E17</f>
        <v>6738</v>
      </c>
      <c r="G14" s="9">
        <f>'Mar 2024'!G17</f>
        <v>130</v>
      </c>
      <c r="H14" s="9">
        <f>'Mar 2024'!K17</f>
        <v>96</v>
      </c>
      <c r="I14" s="9">
        <f>'Mar 2024'!N17</f>
        <v>16</v>
      </c>
      <c r="J14" s="9">
        <f>'Mar 2024'!P17</f>
        <v>15</v>
      </c>
      <c r="K14" s="9">
        <f>'Mar 2024'!X17</f>
        <v>5118.2100000000009</v>
      </c>
      <c r="L14" s="9">
        <f>'Mar 2024'!AC17</f>
        <v>6001</v>
      </c>
      <c r="M14" s="9">
        <f>'Mar 2024'!AP17</f>
        <v>12</v>
      </c>
      <c r="N14" s="9">
        <f>'Mar 2024'!AD17*315</f>
        <v>257.00849999999997</v>
      </c>
      <c r="O14" s="2" t="s">
        <v>78</v>
      </c>
    </row>
    <row r="15" spans="1:15" x14ac:dyDescent="0.2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'Mar 2024'!C18</f>
        <v>7470</v>
      </c>
      <c r="F15" s="9">
        <f>'Mar 2024'!E18</f>
        <v>6706</v>
      </c>
      <c r="G15" s="9">
        <f>'Mar 2024'!G18</f>
        <v>130</v>
      </c>
      <c r="H15" s="9">
        <f>'Mar 2024'!K18</f>
        <v>99</v>
      </c>
      <c r="I15" s="9">
        <f>'Mar 2024'!N18</f>
        <v>18</v>
      </c>
      <c r="J15" s="9">
        <f>'Mar 2024'!P18</f>
        <v>17</v>
      </c>
      <c r="K15" s="9">
        <f>'Mar 2024'!X18</f>
        <v>5686.9000000000005</v>
      </c>
      <c r="L15" s="9">
        <f>'Mar 2024'!AC18</f>
        <v>6708</v>
      </c>
      <c r="M15" s="9">
        <f>'Mar 2024'!AP18</f>
        <v>10</v>
      </c>
      <c r="N15" s="9">
        <f>'Mar 2024'!AD18*315</f>
        <v>234.01349999999999</v>
      </c>
      <c r="O15" s="2" t="s">
        <v>78</v>
      </c>
    </row>
    <row r="16" spans="1:15" x14ac:dyDescent="0.2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'Mar 2024'!C19</f>
        <v>7567</v>
      </c>
      <c r="F16" s="9">
        <f>'Mar 2024'!E19</f>
        <v>6726</v>
      </c>
      <c r="G16" s="9">
        <f>'Mar 2024'!G19</f>
        <v>134</v>
      </c>
      <c r="H16" s="9">
        <f>'Mar 2024'!K19</f>
        <v>85</v>
      </c>
      <c r="I16" s="9">
        <f>'Mar 2024'!N19</f>
        <v>19</v>
      </c>
      <c r="J16" s="9">
        <f>'Mar 2024'!P19</f>
        <v>13</v>
      </c>
      <c r="K16" s="9">
        <f>'Mar 2024'!X19</f>
        <v>5686.9000000000005</v>
      </c>
      <c r="L16" s="9">
        <f>'Mar 2024'!AC19</f>
        <v>6600</v>
      </c>
      <c r="M16" s="9">
        <f>'Mar 2024'!AP19</f>
        <v>10</v>
      </c>
      <c r="N16" s="9">
        <f>'Mar 2024'!AD19*315</f>
        <v>206.01000000000002</v>
      </c>
      <c r="O16" s="2" t="s">
        <v>78</v>
      </c>
    </row>
    <row r="17" spans="1:15" x14ac:dyDescent="0.2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'Mar 2024'!C20</f>
        <v>7377</v>
      </c>
      <c r="F17" s="9">
        <f>'Mar 2024'!E20</f>
        <v>6656</v>
      </c>
      <c r="G17" s="9">
        <f>'Mar 2024'!G20</f>
        <v>130</v>
      </c>
      <c r="H17" s="9">
        <f>'Mar 2024'!K20</f>
        <v>95</v>
      </c>
      <c r="I17" s="9">
        <f>'Mar 2024'!N20</f>
        <v>18</v>
      </c>
      <c r="J17" s="9">
        <f>'Mar 2024'!P20</f>
        <v>16</v>
      </c>
      <c r="K17" s="9">
        <f>'Mar 2024'!X20</f>
        <v>5971.2450000000008</v>
      </c>
      <c r="L17" s="9">
        <f>'Mar 2024'!AC20</f>
        <v>6711</v>
      </c>
      <c r="M17" s="9">
        <f>'Mar 2024'!AP20</f>
        <v>13</v>
      </c>
      <c r="N17" s="9">
        <f>'Mar 2024'!AD20*315</f>
        <v>214.98750000000001</v>
      </c>
      <c r="O17" s="2" t="s">
        <v>78</v>
      </c>
    </row>
    <row r="18" spans="1:15" x14ac:dyDescent="0.2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'Mar 2024'!C21</f>
        <v>7793</v>
      </c>
      <c r="F18" s="9">
        <f>'Mar 2024'!E21</f>
        <v>6870</v>
      </c>
      <c r="G18" s="9">
        <f>'Mar 2024'!G21</f>
        <v>133</v>
      </c>
      <c r="H18" s="9">
        <f>'Mar 2024'!K21</f>
        <v>99</v>
      </c>
      <c r="I18" s="9">
        <f>'Mar 2024'!N21</f>
        <v>18</v>
      </c>
      <c r="J18" s="9">
        <f>'Mar 2024'!P21</f>
        <v>16</v>
      </c>
      <c r="K18" s="9">
        <f>'Mar 2024'!X21</f>
        <v>6255.59</v>
      </c>
      <c r="L18" s="9">
        <f>'Mar 2024'!AC21</f>
        <v>6710</v>
      </c>
      <c r="M18" s="9">
        <f>'Mar 2024'!AP21</f>
        <v>10</v>
      </c>
      <c r="N18" s="9">
        <f>'Mar 2024'!AD21*315</f>
        <v>270.99449999999996</v>
      </c>
      <c r="O18" s="2" t="s">
        <v>78</v>
      </c>
    </row>
    <row r="19" spans="1:15" x14ac:dyDescent="0.2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'Mar 2024'!C22</f>
        <v>7534</v>
      </c>
      <c r="F19" s="9">
        <f>'Mar 2024'!E22</f>
        <v>6763</v>
      </c>
      <c r="G19" s="9">
        <f>'Mar 2024'!G22</f>
        <v>134</v>
      </c>
      <c r="H19" s="9">
        <f>'Mar 2024'!K22</f>
        <v>104</v>
      </c>
      <c r="I19" s="9">
        <f>'Mar 2024'!N22</f>
        <v>16</v>
      </c>
      <c r="J19" s="9">
        <f>'Mar 2024'!P22</f>
        <v>16</v>
      </c>
      <c r="K19" s="9">
        <f>'Mar 2024'!X22</f>
        <v>6539.9350000000004</v>
      </c>
      <c r="L19" s="9">
        <f>'Mar 2024'!AC22</f>
        <v>8101</v>
      </c>
      <c r="M19" s="9">
        <f>'Mar 2024'!AP22</f>
        <v>11</v>
      </c>
      <c r="N19" s="9">
        <f>'Mar 2024'!AD22*315</f>
        <v>239.99850000000001</v>
      </c>
      <c r="O19" s="2" t="s">
        <v>78</v>
      </c>
    </row>
    <row r="20" spans="1:15" x14ac:dyDescent="0.2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'Mar 2024'!C23</f>
        <v>7500</v>
      </c>
      <c r="F20" s="9">
        <f>'Mar 2024'!E23</f>
        <v>6817</v>
      </c>
      <c r="G20" s="9">
        <f>'Mar 2024'!G23</f>
        <v>132</v>
      </c>
      <c r="H20" s="9">
        <f>'Mar 2024'!K23</f>
        <v>91</v>
      </c>
      <c r="I20" s="9">
        <f>'Mar 2024'!N23</f>
        <v>18</v>
      </c>
      <c r="J20" s="9">
        <f>'Mar 2024'!P23</f>
        <v>15</v>
      </c>
      <c r="K20" s="9">
        <f>'Mar 2024'!X23</f>
        <v>6539.9350000000004</v>
      </c>
      <c r="L20" s="9">
        <f>'Mar 2024'!AC23</f>
        <v>7715</v>
      </c>
      <c r="M20" s="9">
        <f>'Mar 2024'!AP23</f>
        <v>11</v>
      </c>
      <c r="N20" s="9">
        <f>'Mar 2024'!AD23*315</f>
        <v>242.0145</v>
      </c>
      <c r="O20" s="2" t="s">
        <v>78</v>
      </c>
    </row>
    <row r="21" spans="1:15" x14ac:dyDescent="0.2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'Mar 2024'!C24</f>
        <v>7559</v>
      </c>
      <c r="F21" s="9">
        <f>'Mar 2024'!E24</f>
        <v>6775</v>
      </c>
      <c r="G21" s="9">
        <f>'Mar 2024'!G24</f>
        <v>130</v>
      </c>
      <c r="H21" s="9">
        <f>'Mar 2024'!K24</f>
        <v>103</v>
      </c>
      <c r="I21" s="9">
        <f>'Mar 2024'!N24</f>
        <v>18</v>
      </c>
      <c r="J21" s="9">
        <f>'Mar 2024'!P24</f>
        <v>14</v>
      </c>
      <c r="K21" s="9">
        <f>'Mar 2024'!X24</f>
        <v>6539.9350000000004</v>
      </c>
      <c r="L21" s="9">
        <f>'Mar 2024'!AC24</f>
        <v>7749</v>
      </c>
      <c r="M21" s="9">
        <f>'Mar 2024'!AP24</f>
        <v>12</v>
      </c>
      <c r="N21" s="9">
        <f>'Mar 2024'!AD24*315</f>
        <v>277.01099999999997</v>
      </c>
      <c r="O21" s="2" t="s">
        <v>78</v>
      </c>
    </row>
    <row r="22" spans="1:15" x14ac:dyDescent="0.2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'Mar 2024'!C25</f>
        <v>7613</v>
      </c>
      <c r="F22" s="9">
        <f>'Mar 2024'!E25</f>
        <v>6889</v>
      </c>
      <c r="G22" s="9">
        <f>'Mar 2024'!G25</f>
        <v>132</v>
      </c>
      <c r="H22" s="9">
        <f>'Mar 2024'!K25</f>
        <v>94</v>
      </c>
      <c r="I22" s="9">
        <f>'Mar 2024'!N25</f>
        <v>19</v>
      </c>
      <c r="J22" s="9">
        <f>'Mar 2024'!P25</f>
        <v>17</v>
      </c>
      <c r="K22" s="9">
        <f>'Mar 2024'!X25</f>
        <v>6539.9350000000004</v>
      </c>
      <c r="L22" s="9">
        <f>'Mar 2024'!AC25</f>
        <v>7496</v>
      </c>
      <c r="M22" s="9">
        <f>'Mar 2024'!AP25</f>
        <v>11</v>
      </c>
      <c r="N22" s="9">
        <f>'Mar 2024'!AD25*315</f>
        <v>239.99850000000001</v>
      </c>
      <c r="O22" s="2" t="s">
        <v>78</v>
      </c>
    </row>
    <row r="23" spans="1:15" x14ac:dyDescent="0.2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>
        <f>'Mar 2024'!C26</f>
        <v>7381</v>
      </c>
      <c r="F23" s="9">
        <f>'Mar 2024'!E26</f>
        <v>6829</v>
      </c>
      <c r="G23" s="9">
        <f>'Mar 2024'!G26</f>
        <v>133</v>
      </c>
      <c r="H23" s="9">
        <f>'Mar 2024'!K26</f>
        <v>104</v>
      </c>
      <c r="I23" s="9">
        <f>'Mar 2024'!N26</f>
        <v>18</v>
      </c>
      <c r="J23" s="9">
        <f>'Mar 2024'!P26</f>
        <v>15</v>
      </c>
      <c r="K23" s="9">
        <f>'Mar 2024'!X26</f>
        <v>5971.2450000000008</v>
      </c>
      <c r="L23" s="9">
        <f>'Mar 2024'!AC26</f>
        <v>6882</v>
      </c>
      <c r="M23" s="9">
        <f>'Mar 2024'!AP26</f>
        <v>11</v>
      </c>
      <c r="N23" s="9">
        <f>'Mar 2024'!AD26*315</f>
        <v>209.0025</v>
      </c>
      <c r="O23" s="2" t="s">
        <v>78</v>
      </c>
    </row>
    <row r="24" spans="1:15" x14ac:dyDescent="0.2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>
        <f>'Mar 2024'!C27</f>
        <v>7545</v>
      </c>
      <c r="F24" s="9">
        <f>'Mar 2024'!E27</f>
        <v>6818</v>
      </c>
      <c r="G24" s="9">
        <f>'Mar 2024'!G27</f>
        <v>105</v>
      </c>
      <c r="H24" s="9">
        <f>'Mar 2024'!K27</f>
        <v>102</v>
      </c>
      <c r="I24" s="9">
        <f>'Mar 2024'!N27</f>
        <v>18</v>
      </c>
      <c r="J24" s="9">
        <f>'Mar 2024'!P27</f>
        <v>17</v>
      </c>
      <c r="K24" s="9">
        <f>'Mar 2024'!X27</f>
        <v>6255.59</v>
      </c>
      <c r="L24" s="9">
        <f>'Mar 2024'!AC27</f>
        <v>7156</v>
      </c>
      <c r="M24" s="9">
        <f>'Mar 2024'!AP27</f>
        <v>11</v>
      </c>
      <c r="N24" s="9">
        <f>'Mar 2024'!AD27*315</f>
        <v>227.99699999999999</v>
      </c>
      <c r="O24" s="2" t="s">
        <v>78</v>
      </c>
    </row>
    <row r="25" spans="1:15" x14ac:dyDescent="0.2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>
        <f>'Mar 2024'!C28</f>
        <v>7460</v>
      </c>
      <c r="F25" s="9">
        <f>'Mar 2024'!E28</f>
        <v>6650</v>
      </c>
      <c r="G25" s="9">
        <f>'Mar 2024'!G28</f>
        <v>133</v>
      </c>
      <c r="H25" s="9">
        <f>'Mar 2024'!K28</f>
        <v>89</v>
      </c>
      <c r="I25" s="9">
        <f>'Mar 2024'!N28</f>
        <v>18</v>
      </c>
      <c r="J25" s="9">
        <f>'Mar 2024'!P28</f>
        <v>14</v>
      </c>
      <c r="K25" s="9">
        <f>'Mar 2024'!X28</f>
        <v>6539.9350000000004</v>
      </c>
      <c r="L25" s="9">
        <f>'Mar 2024'!AC28</f>
        <v>7312</v>
      </c>
      <c r="M25" s="9">
        <f>'Mar 2024'!AP28</f>
        <v>10</v>
      </c>
      <c r="N25" s="9">
        <f>'Mar 2024'!AD28*315</f>
        <v>233.00550000000001</v>
      </c>
      <c r="O25" s="2" t="s">
        <v>78</v>
      </c>
    </row>
    <row r="26" spans="1:15" x14ac:dyDescent="0.2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>
        <f>'Mar 2024'!C29</f>
        <v>7686</v>
      </c>
      <c r="F26" s="9">
        <f>'Mar 2024'!E29</f>
        <v>6839</v>
      </c>
      <c r="G26" s="9">
        <f>'Mar 2024'!G29</f>
        <v>132</v>
      </c>
      <c r="H26" s="9">
        <f>'Mar 2024'!K29</f>
        <v>110</v>
      </c>
      <c r="I26" s="9">
        <f>'Mar 2024'!N29</f>
        <v>17</v>
      </c>
      <c r="J26" s="9">
        <f>'Mar 2024'!P29</f>
        <v>18</v>
      </c>
      <c r="K26" s="9">
        <f>'Mar 2024'!X29</f>
        <v>6539.9350000000004</v>
      </c>
      <c r="L26" s="9">
        <f>'Mar 2024'!AC29</f>
        <v>7784</v>
      </c>
      <c r="M26" s="9">
        <f>'Mar 2024'!AP29</f>
        <v>8</v>
      </c>
      <c r="N26" s="9">
        <f>'Mar 2024'!AD29*315</f>
        <v>296.00549999999998</v>
      </c>
      <c r="O26" s="2" t="s">
        <v>78</v>
      </c>
    </row>
    <row r="27" spans="1:15" x14ac:dyDescent="0.2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>
        <f>'Mar 2024'!C30</f>
        <v>7657</v>
      </c>
      <c r="F27" s="9">
        <f>'Mar 2024'!E30</f>
        <v>6738</v>
      </c>
      <c r="G27" s="9">
        <f>'Mar 2024'!G30</f>
        <v>131</v>
      </c>
      <c r="H27" s="9">
        <f>'Mar 2024'!K30</f>
        <v>87</v>
      </c>
      <c r="I27" s="9">
        <f>'Mar 2024'!N30</f>
        <v>18</v>
      </c>
      <c r="J27" s="9">
        <f>'Mar 2024'!P30</f>
        <v>15</v>
      </c>
      <c r="K27" s="9">
        <f>'Mar 2024'!X30</f>
        <v>5971.2450000000008</v>
      </c>
      <c r="L27" s="9">
        <f>'Mar 2024'!AC30</f>
        <v>6968</v>
      </c>
      <c r="M27" s="9">
        <f>'Mar 2024'!AP30</f>
        <v>10</v>
      </c>
      <c r="N27" s="9">
        <f>'Mar 2024'!AD30*315</f>
        <v>276.00299999999999</v>
      </c>
      <c r="O27" s="2" t="s">
        <v>78</v>
      </c>
    </row>
    <row r="28" spans="1:15" x14ac:dyDescent="0.2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>
        <f>'Mar 2024'!C31</f>
        <v>7893</v>
      </c>
      <c r="F28" s="9">
        <f>'Mar 2024'!E31</f>
        <v>6772</v>
      </c>
      <c r="G28" s="9">
        <f>'Mar 2024'!G31</f>
        <v>133</v>
      </c>
      <c r="H28" s="9">
        <f>'Mar 2024'!K31</f>
        <v>116</v>
      </c>
      <c r="I28" s="9">
        <f>'Mar 2024'!N31</f>
        <v>18</v>
      </c>
      <c r="J28" s="9">
        <f>'Mar 2024'!P31</f>
        <v>10</v>
      </c>
      <c r="K28" s="9">
        <f>'Mar 2024'!X31</f>
        <v>5118.2100000000009</v>
      </c>
      <c r="L28" s="9">
        <f>'Mar 2024'!AC31</f>
        <v>5842</v>
      </c>
      <c r="M28" s="9">
        <f>'Mar 2024'!AP31</f>
        <v>9</v>
      </c>
      <c r="N28" s="9">
        <f>'Mar 2024'!AD31*315</f>
        <v>301.9905</v>
      </c>
      <c r="O28" s="2" t="s">
        <v>78</v>
      </c>
    </row>
    <row r="29" spans="1:15" x14ac:dyDescent="0.2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>
        <f>'Mar 2024'!C32</f>
        <v>7747</v>
      </c>
      <c r="F29" s="9">
        <f>'Mar 2024'!E32</f>
        <v>6962</v>
      </c>
      <c r="G29" s="9">
        <f>'Mar 2024'!G32</f>
        <v>135</v>
      </c>
      <c r="H29" s="9">
        <f>'Mar 2024'!K32</f>
        <v>123</v>
      </c>
      <c r="I29" s="9">
        <f>'Mar 2024'!N32</f>
        <v>19</v>
      </c>
      <c r="J29" s="9">
        <f>'Mar 2024'!P32</f>
        <v>11</v>
      </c>
      <c r="K29" s="9">
        <f>'Mar 2024'!X32</f>
        <v>5402.5550000000003</v>
      </c>
      <c r="L29" s="9">
        <f>'Mar 2024'!AC32</f>
        <v>6199</v>
      </c>
      <c r="M29" s="9">
        <f>'Mar 2024'!AP32</f>
        <v>9</v>
      </c>
      <c r="N29" s="9">
        <f>'Mar 2024'!AD32*315</f>
        <v>253.00800000000001</v>
      </c>
      <c r="O29" s="2" t="s">
        <v>78</v>
      </c>
    </row>
    <row r="30" spans="1:15" x14ac:dyDescent="0.2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>
        <f>'Mar 2024'!C33</f>
        <v>7832</v>
      </c>
      <c r="F30" s="9">
        <f>'Mar 2024'!E33</f>
        <v>7063</v>
      </c>
      <c r="G30" s="9">
        <f>'Mar 2024'!G33</f>
        <v>133</v>
      </c>
      <c r="H30" s="9">
        <f>'Mar 2024'!K33</f>
        <v>106</v>
      </c>
      <c r="I30" s="9">
        <f>'Mar 2024'!N33</f>
        <v>19</v>
      </c>
      <c r="J30" s="9">
        <f>'Mar 2024'!P33</f>
        <v>17</v>
      </c>
      <c r="K30" s="9">
        <f>'Mar 2024'!X33</f>
        <v>5686.9000000000005</v>
      </c>
      <c r="L30" s="9">
        <f>'Mar 2024'!AC33</f>
        <v>6329</v>
      </c>
      <c r="M30" s="9">
        <f>'Mar 2024'!AP33</f>
        <v>11</v>
      </c>
      <c r="N30" s="9">
        <f>'Mar 2024'!AD33*315</f>
        <v>238.99050000000003</v>
      </c>
      <c r="O30" s="2" t="s">
        <v>78</v>
      </c>
    </row>
    <row r="31" spans="1:15" x14ac:dyDescent="0.25">
      <c r="A31" s="186" t="s">
        <v>93</v>
      </c>
      <c r="B31" s="2">
        <f t="shared" si="0"/>
        <v>30</v>
      </c>
      <c r="C31" s="176">
        <v>3</v>
      </c>
      <c r="D31" s="2">
        <v>2024</v>
      </c>
      <c r="E31" s="9">
        <f>'Mar 2024'!C34</f>
        <v>7796</v>
      </c>
      <c r="F31" s="9">
        <f>'Mar 2024'!E34</f>
        <v>7075</v>
      </c>
      <c r="G31" s="9">
        <f>'Mar 2024'!G34</f>
        <v>128</v>
      </c>
      <c r="H31" s="9">
        <f>'Mar 2024'!K34</f>
        <v>93</v>
      </c>
      <c r="I31" s="9">
        <f>'Mar 2024'!N34</f>
        <v>19</v>
      </c>
      <c r="J31" s="9">
        <f>'Mar 2024'!P34</f>
        <v>17</v>
      </c>
      <c r="K31" s="9">
        <f>'Mar 2024'!X34</f>
        <v>5686.9000000000005</v>
      </c>
      <c r="L31" s="9">
        <f>'Mar 2024'!AC34</f>
        <v>6488</v>
      </c>
      <c r="M31" s="9">
        <f>'Mar 2024'!AP34</f>
        <v>10</v>
      </c>
      <c r="N31" s="9">
        <f>'Mar 2024'!AD34*315</f>
        <v>222.98849999999999</v>
      </c>
    </row>
    <row r="32" spans="1:15" x14ac:dyDescent="0.25">
      <c r="A32" s="186" t="s">
        <v>93</v>
      </c>
      <c r="B32" s="2">
        <f t="shared" si="0"/>
        <v>31</v>
      </c>
      <c r="C32" s="176">
        <v>3</v>
      </c>
      <c r="D32" s="2">
        <v>2024</v>
      </c>
      <c r="E32" s="9">
        <f>'Mar 2024'!C35</f>
        <v>7370</v>
      </c>
      <c r="F32" s="9">
        <f>'Mar 2024'!E35</f>
        <v>6775</v>
      </c>
      <c r="G32" s="9">
        <f>'Mar 2024'!G35</f>
        <v>133</v>
      </c>
      <c r="H32" s="9">
        <f>'Mar 2024'!K35</f>
        <v>96</v>
      </c>
      <c r="I32" s="9">
        <f>'Mar 2024'!N35</f>
        <v>18</v>
      </c>
      <c r="J32" s="9">
        <f>'Mar 2024'!P35</f>
        <v>15</v>
      </c>
      <c r="K32" s="9">
        <f>'Mar 2024'!X35</f>
        <v>5971.2450000000008</v>
      </c>
      <c r="L32" s="9">
        <f>'Mar 2024'!AC35</f>
        <v>6581</v>
      </c>
      <c r="M32" s="9">
        <f>'Mar 2024'!AP35</f>
        <v>7</v>
      </c>
      <c r="N32" s="9">
        <f>'Mar 2024'!AD35*315</f>
        <v>223.9965</v>
      </c>
    </row>
    <row r="33" spans="8:8" x14ac:dyDescent="0.25">
      <c r="H3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FI77"/>
  <sheetViews>
    <sheetView topLeftCell="C1" zoomScale="80" zoomScaleNormal="80" zoomScaleSheetLayoutView="80" workbookViewId="0">
      <pane ySplit="4" topLeftCell="A19" activePane="bottomLeft" state="frozen"/>
      <selection pane="bottomLeft" activeCell="X16" sqref="X16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302" t="s">
        <v>79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145"/>
      <c r="AG1" s="145"/>
      <c r="AH1" s="145"/>
    </row>
    <row r="2" spans="1:49" s="6" customFormat="1" ht="24.95" customHeight="1" thickBot="1" x14ac:dyDescent="0.35">
      <c r="A2" s="285" t="s">
        <v>0</v>
      </c>
      <c r="B2" s="270" t="s">
        <v>3</v>
      </c>
      <c r="C2" s="271"/>
      <c r="D2" s="271"/>
      <c r="E2" s="271"/>
      <c r="F2" s="271"/>
      <c r="G2" s="271"/>
      <c r="H2" s="271"/>
      <c r="I2" s="271"/>
      <c r="J2" s="288" t="s">
        <v>4</v>
      </c>
      <c r="K2" s="289"/>
      <c r="L2" s="289"/>
      <c r="M2" s="290" t="s">
        <v>50</v>
      </c>
      <c r="N2" s="291"/>
      <c r="O2" s="291"/>
      <c r="P2" s="291"/>
      <c r="Q2" s="291"/>
      <c r="R2" s="291"/>
      <c r="S2" s="291"/>
      <c r="T2" s="291"/>
      <c r="U2" s="292"/>
      <c r="V2" s="318" t="s">
        <v>2</v>
      </c>
      <c r="W2" s="319"/>
      <c r="X2" s="319"/>
      <c r="Y2" s="319"/>
      <c r="Z2" s="319"/>
      <c r="AA2" s="319"/>
      <c r="AB2" s="319"/>
      <c r="AC2" s="320"/>
      <c r="AD2" s="307" t="s">
        <v>17</v>
      </c>
      <c r="AE2" s="308"/>
      <c r="AF2" s="307" t="s">
        <v>64</v>
      </c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308"/>
      <c r="AR2" s="308"/>
      <c r="AS2" s="308"/>
      <c r="AT2" s="308"/>
      <c r="AU2" s="308"/>
      <c r="AV2" s="308"/>
      <c r="AW2" s="309"/>
    </row>
    <row r="3" spans="1:49" s="5" customFormat="1" ht="36.75" customHeight="1" x14ac:dyDescent="0.25">
      <c r="A3" s="286"/>
      <c r="B3" s="300" t="s">
        <v>37</v>
      </c>
      <c r="C3" s="272"/>
      <c r="D3" s="253" t="s">
        <v>38</v>
      </c>
      <c r="E3" s="254"/>
      <c r="F3" s="253" t="s">
        <v>39</v>
      </c>
      <c r="G3" s="254"/>
      <c r="H3" s="272" t="s">
        <v>20</v>
      </c>
      <c r="I3" s="274" t="s">
        <v>7</v>
      </c>
      <c r="J3" s="276" t="s">
        <v>21</v>
      </c>
      <c r="K3" s="249" t="s">
        <v>22</v>
      </c>
      <c r="L3" s="297" t="s">
        <v>6</v>
      </c>
      <c r="M3" s="299" t="s">
        <v>35</v>
      </c>
      <c r="N3" s="293"/>
      <c r="O3" s="293" t="s">
        <v>36</v>
      </c>
      <c r="P3" s="293"/>
      <c r="Q3" s="293" t="s">
        <v>40</v>
      </c>
      <c r="R3" s="293" t="s">
        <v>33</v>
      </c>
      <c r="S3" s="293" t="s">
        <v>34</v>
      </c>
      <c r="T3" s="295" t="s">
        <v>18</v>
      </c>
      <c r="U3" s="245" t="s">
        <v>31</v>
      </c>
      <c r="V3" s="247" t="s">
        <v>23</v>
      </c>
      <c r="W3" s="239" t="s">
        <v>8</v>
      </c>
      <c r="X3" s="239" t="s">
        <v>9</v>
      </c>
      <c r="Y3" s="239" t="s">
        <v>10</v>
      </c>
      <c r="Z3" s="239" t="s">
        <v>11</v>
      </c>
      <c r="AA3" s="239" t="s">
        <v>12</v>
      </c>
      <c r="AB3" s="239" t="s">
        <v>32</v>
      </c>
      <c r="AC3" s="321" t="s">
        <v>69</v>
      </c>
      <c r="AD3" s="241" t="s">
        <v>68</v>
      </c>
      <c r="AE3" s="243" t="s">
        <v>19</v>
      </c>
      <c r="AF3" s="310" t="s">
        <v>70</v>
      </c>
      <c r="AG3" s="305"/>
      <c r="AH3" s="306"/>
      <c r="AI3" s="317" t="s">
        <v>71</v>
      </c>
      <c r="AJ3" s="305"/>
      <c r="AK3" s="306"/>
      <c r="AL3" s="310" t="s">
        <v>72</v>
      </c>
      <c r="AM3" s="305"/>
      <c r="AN3" s="306"/>
      <c r="AO3" s="310" t="s">
        <v>73</v>
      </c>
      <c r="AP3" s="305"/>
      <c r="AQ3" s="306"/>
      <c r="AR3" s="310" t="s">
        <v>75</v>
      </c>
      <c r="AS3" s="305"/>
      <c r="AT3" s="306"/>
      <c r="AU3" s="305" t="s">
        <v>74</v>
      </c>
      <c r="AV3" s="305"/>
      <c r="AW3" s="306"/>
    </row>
    <row r="4" spans="1:49" s="5" customFormat="1" ht="36.75" customHeight="1" thickBot="1" x14ac:dyDescent="0.3">
      <c r="A4" s="287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273"/>
      <c r="I4" s="275"/>
      <c r="J4" s="277"/>
      <c r="K4" s="250"/>
      <c r="L4" s="298"/>
      <c r="M4" s="85" t="s">
        <v>1</v>
      </c>
      <c r="N4" s="86" t="s">
        <v>5</v>
      </c>
      <c r="O4" s="86" t="s">
        <v>1</v>
      </c>
      <c r="P4" s="86" t="s">
        <v>5</v>
      </c>
      <c r="Q4" s="294"/>
      <c r="R4" s="294"/>
      <c r="S4" s="294"/>
      <c r="T4" s="296"/>
      <c r="U4" s="246"/>
      <c r="V4" s="248"/>
      <c r="W4" s="240"/>
      <c r="X4" s="240"/>
      <c r="Y4" s="240"/>
      <c r="Z4" s="240"/>
      <c r="AA4" s="240"/>
      <c r="AB4" s="240"/>
      <c r="AC4" s="322"/>
      <c r="AD4" s="242"/>
      <c r="AE4" s="244"/>
      <c r="AF4" s="150" t="s">
        <v>66</v>
      </c>
      <c r="AG4" s="151" t="s">
        <v>67</v>
      </c>
      <c r="AH4" s="137" t="s">
        <v>13</v>
      </c>
      <c r="AI4" s="151" t="s">
        <v>66</v>
      </c>
      <c r="AJ4" s="151" t="s">
        <v>67</v>
      </c>
      <c r="AK4" s="137" t="s">
        <v>13</v>
      </c>
      <c r="AL4" s="150" t="s">
        <v>66</v>
      </c>
      <c r="AM4" s="151" t="s">
        <v>67</v>
      </c>
      <c r="AN4" s="137" t="s">
        <v>13</v>
      </c>
      <c r="AO4" s="150" t="s">
        <v>66</v>
      </c>
      <c r="AP4" s="151" t="s">
        <v>65</v>
      </c>
      <c r="AQ4" s="137" t="s">
        <v>13</v>
      </c>
      <c r="AR4" s="150" t="s">
        <v>66</v>
      </c>
      <c r="AS4" s="151" t="s">
        <v>65</v>
      </c>
      <c r="AT4" s="137" t="s">
        <v>13</v>
      </c>
      <c r="AU4" s="152" t="s">
        <v>66</v>
      </c>
      <c r="AV4" s="151" t="s">
        <v>65</v>
      </c>
      <c r="AW4" s="137" t="s">
        <v>13</v>
      </c>
    </row>
    <row r="5" spans="1:49" s="3" customFormat="1" ht="27.95" customHeight="1" x14ac:dyDescent="0.25">
      <c r="A5" s="77">
        <v>45352</v>
      </c>
      <c r="B5" s="67">
        <v>18677916</v>
      </c>
      <c r="C5" s="75">
        <v>7337</v>
      </c>
      <c r="D5" s="65">
        <v>19638549</v>
      </c>
      <c r="E5" s="75">
        <v>6592</v>
      </c>
      <c r="F5" s="65">
        <v>447817</v>
      </c>
      <c r="G5" s="75">
        <v>133</v>
      </c>
      <c r="H5" s="78">
        <f t="shared" ref="H5:H29" si="0">C5+E5+G5</f>
        <v>14062</v>
      </c>
      <c r="I5" s="79">
        <f t="shared" ref="I5:I29" si="1">H5*0.2</f>
        <v>2812.4</v>
      </c>
      <c r="J5" s="67">
        <v>75209</v>
      </c>
      <c r="K5" s="75">
        <v>105</v>
      </c>
      <c r="L5" s="80">
        <f t="shared" ref="L5:L29" si="2">K5*7.84</f>
        <v>823.19999999999993</v>
      </c>
      <c r="M5" s="64">
        <v>34769</v>
      </c>
      <c r="N5" s="75">
        <v>21</v>
      </c>
      <c r="O5" s="65">
        <v>19757</v>
      </c>
      <c r="P5" s="81">
        <v>15</v>
      </c>
      <c r="Q5" s="81">
        <v>36</v>
      </c>
      <c r="R5" s="69">
        <v>50691</v>
      </c>
      <c r="S5" s="81">
        <v>34</v>
      </c>
      <c r="T5" s="81">
        <f>S5*1.0557</f>
        <v>35.893800000000006</v>
      </c>
      <c r="U5" s="79">
        <f>IF(ISBLANK(M5),"0",T5*11.05+209.677)</f>
        <v>606.30349000000012</v>
      </c>
      <c r="V5" s="170">
        <v>66536</v>
      </c>
      <c r="W5" s="75">
        <v>14</v>
      </c>
      <c r="X5" s="169">
        <f>IF(ISBLANK(V5),"0 ",W5*284.345)</f>
        <v>3980.8300000000004</v>
      </c>
      <c r="Y5" s="169">
        <f>X5*0.3442</f>
        <v>1370.2016860000001</v>
      </c>
      <c r="Z5" s="169">
        <f>IF(ISBLANK(V5),"0",1570*1546.86/12/31*0.65)</f>
        <v>4243.4694354838712</v>
      </c>
      <c r="AA5" s="171">
        <f>Y5+Z5</f>
        <v>5613.6711214838715</v>
      </c>
      <c r="AB5" s="172">
        <v>5876453</v>
      </c>
      <c r="AC5" s="173">
        <v>4673</v>
      </c>
      <c r="AD5" s="126">
        <v>0.7429</v>
      </c>
      <c r="AE5" s="133">
        <v>337</v>
      </c>
      <c r="AF5" s="64">
        <v>13157306</v>
      </c>
      <c r="AG5" s="131">
        <v>4896</v>
      </c>
      <c r="AH5" s="148">
        <f>AG5*0.2</f>
        <v>979.2</v>
      </c>
      <c r="AI5" s="64">
        <v>6114379</v>
      </c>
      <c r="AJ5" s="131">
        <v>2112</v>
      </c>
      <c r="AK5" s="148">
        <f>AJ5*0.2</f>
        <v>422.40000000000003</v>
      </c>
      <c r="AL5" s="141">
        <v>113369</v>
      </c>
      <c r="AM5" s="75">
        <v>165</v>
      </c>
      <c r="AN5" s="71">
        <f>AM5*0.2</f>
        <v>33</v>
      </c>
      <c r="AO5" s="67">
        <v>5775</v>
      </c>
      <c r="AP5" s="75">
        <v>10</v>
      </c>
      <c r="AQ5" s="133">
        <f>AP5*7.84</f>
        <v>78.400000000000006</v>
      </c>
      <c r="AR5" s="64">
        <v>2717</v>
      </c>
      <c r="AS5" s="75">
        <v>1</v>
      </c>
      <c r="AT5" s="82">
        <f>AS5*7.84</f>
        <v>7.84</v>
      </c>
      <c r="AU5" s="140">
        <v>83</v>
      </c>
      <c r="AV5" s="75">
        <v>1</v>
      </c>
      <c r="AW5" s="82">
        <f>AV5*7.84</f>
        <v>7.84</v>
      </c>
    </row>
    <row r="6" spans="1:49" s="3" customFormat="1" ht="27.95" customHeight="1" x14ac:dyDescent="0.25">
      <c r="A6" s="77">
        <v>45353</v>
      </c>
      <c r="B6" s="67">
        <v>18685654</v>
      </c>
      <c r="C6" s="65">
        <f t="shared" ref="C6:C29" si="3">IF(ISBLANK(B6),"0",B6-B5)</f>
        <v>7738</v>
      </c>
      <c r="D6" s="65">
        <v>19645382</v>
      </c>
      <c r="E6" s="65">
        <f>IF(ISBLANK(D6),"0",D6-D5)</f>
        <v>6833</v>
      </c>
      <c r="F6" s="65">
        <v>447953</v>
      </c>
      <c r="G6" s="65">
        <f>IF(ISBLANK(F6),"0",F6-F5)</f>
        <v>136</v>
      </c>
      <c r="H6" s="66">
        <f t="shared" si="0"/>
        <v>14707</v>
      </c>
      <c r="I6" s="89">
        <f t="shared" si="1"/>
        <v>2941.4</v>
      </c>
      <c r="J6" s="67">
        <v>75311</v>
      </c>
      <c r="K6" s="65">
        <f>IF(ISBLANK(J6),"0",J6-J5)</f>
        <v>102</v>
      </c>
      <c r="L6" s="45">
        <f t="shared" si="2"/>
        <v>799.68</v>
      </c>
      <c r="M6" s="64">
        <v>34790</v>
      </c>
      <c r="N6" s="65">
        <f>IF(ISBLANK(M6),"0",M6-M5)</f>
        <v>21</v>
      </c>
      <c r="O6" s="65">
        <v>19771</v>
      </c>
      <c r="P6" s="68">
        <f>IF(ISBLANK(O6),"0",O6-O5)</f>
        <v>14</v>
      </c>
      <c r="Q6" s="68">
        <f t="shared" ref="Q6:Q35" si="4">N6+P6</f>
        <v>35</v>
      </c>
      <c r="R6" s="69">
        <v>50725</v>
      </c>
      <c r="S6" s="68">
        <f>IF(ISBLANK(R6),"0",R6-R5)</f>
        <v>34</v>
      </c>
      <c r="T6" s="81">
        <f t="shared" ref="T6:T35" si="5">S6*1.0557</f>
        <v>35.893800000000006</v>
      </c>
      <c r="U6" s="79">
        <f t="shared" ref="U6:U35" si="6">IF(ISBLANK(M6),"0",T6*11.05+209.677)</f>
        <v>606.30349000000012</v>
      </c>
      <c r="V6" s="64">
        <v>66551</v>
      </c>
      <c r="W6" s="65">
        <f>IF(ISBLANK(V6)," ",V6-V5)</f>
        <v>15</v>
      </c>
      <c r="X6" s="70">
        <f>IF(ISBLANK(V6),"0 ",W6*284.345)</f>
        <v>4265.1750000000002</v>
      </c>
      <c r="Y6" s="70">
        <f t="shared" ref="Y6:Y16" si="7">X6*0.3442</f>
        <v>1468.0732350000001</v>
      </c>
      <c r="Z6" s="70">
        <f t="shared" ref="Z6:Z35" si="8">IF(ISBLANK(V6),"0",1570*1546.86/12/31*0.65)</f>
        <v>4243.4694354838712</v>
      </c>
      <c r="AA6" s="43">
        <f t="shared" ref="AA6:AA29" si="9">Y6+Z6</f>
        <v>5711.542670483871</v>
      </c>
      <c r="AB6" s="69">
        <v>5881211</v>
      </c>
      <c r="AC6" s="144">
        <f>IF(ISBLANK(AB6),"0 ",AB6-AB5)</f>
        <v>4758</v>
      </c>
      <c r="AD6" s="127">
        <v>0.6159</v>
      </c>
      <c r="AE6" s="134">
        <v>289</v>
      </c>
      <c r="AF6" s="64">
        <v>13161564</v>
      </c>
      <c r="AG6" s="65">
        <f>IF(ISBLANK(AF6),"0",AF6-AF5)</f>
        <v>4258</v>
      </c>
      <c r="AH6" s="71">
        <f>AG6*0.2</f>
        <v>851.6</v>
      </c>
      <c r="AI6" s="64">
        <v>6116452</v>
      </c>
      <c r="AJ6" s="65">
        <f>IF(ISBLANK(AI6),"0",AI6-AI5)</f>
        <v>2073</v>
      </c>
      <c r="AK6" s="71">
        <f>AJ6*0.2</f>
        <v>414.6</v>
      </c>
      <c r="AL6" s="67">
        <v>113544</v>
      </c>
      <c r="AM6" s="65">
        <f>IF(ISBLANK(AL6),"0",AL6-AL5)</f>
        <v>175</v>
      </c>
      <c r="AN6" s="71">
        <f>AM6*0.2</f>
        <v>35</v>
      </c>
      <c r="AO6" s="67">
        <v>5782</v>
      </c>
      <c r="AP6" s="65">
        <f>IF(ISBLANK(AO6),"0",AO6-AO5)</f>
        <v>7</v>
      </c>
      <c r="AQ6" s="134">
        <f>AP6*7.84</f>
        <v>54.879999999999995</v>
      </c>
      <c r="AR6" s="64">
        <v>2718</v>
      </c>
      <c r="AS6" s="65">
        <f>IF(ISBLANK(AR6),"0",AR6-AR5)</f>
        <v>1</v>
      </c>
      <c r="AT6" s="71">
        <f t="shared" ref="AT6:AT35" si="10">AS6*7.84</f>
        <v>7.84</v>
      </c>
      <c r="AU6" s="64">
        <v>84</v>
      </c>
      <c r="AV6" s="65">
        <f>IF(ISBLANK(AU6),"0",AU6-AU5)</f>
        <v>1</v>
      </c>
      <c r="AW6" s="71">
        <f>AV6*7.84</f>
        <v>7.84</v>
      </c>
    </row>
    <row r="7" spans="1:49" s="3" customFormat="1" ht="27.95" customHeight="1" x14ac:dyDescent="0.25">
      <c r="A7" s="77">
        <v>45354</v>
      </c>
      <c r="B7" s="67">
        <v>18693192</v>
      </c>
      <c r="C7" s="65">
        <f t="shared" si="3"/>
        <v>7538</v>
      </c>
      <c r="D7" s="65">
        <v>19651901</v>
      </c>
      <c r="E7" s="65">
        <f t="shared" ref="E7:E29" si="11">IF(ISBLANK(D7),"0",D7-D6)</f>
        <v>6519</v>
      </c>
      <c r="F7" s="65">
        <v>448086</v>
      </c>
      <c r="G7" s="65">
        <f t="shared" ref="G7:G29" si="12">IF(ISBLANK(F7),"0",F7-F6)</f>
        <v>133</v>
      </c>
      <c r="H7" s="66">
        <f t="shared" si="0"/>
        <v>14190</v>
      </c>
      <c r="I7" s="89">
        <f t="shared" si="1"/>
        <v>2838</v>
      </c>
      <c r="J7" s="67">
        <v>75420</v>
      </c>
      <c r="K7" s="65">
        <f t="shared" ref="K7:K29" si="13">IF(ISBLANK(J7),"0",J7-J6)</f>
        <v>109</v>
      </c>
      <c r="L7" s="45">
        <f t="shared" si="2"/>
        <v>854.56</v>
      </c>
      <c r="M7" s="64">
        <v>34808</v>
      </c>
      <c r="N7" s="65">
        <f t="shared" ref="N7:N29" si="14">IF(ISBLANK(M7),"0",M7-M6)</f>
        <v>18</v>
      </c>
      <c r="O7" s="65">
        <v>19785</v>
      </c>
      <c r="P7" s="68">
        <f t="shared" ref="P7:P35" si="15">IF(ISBLANK(O7),"0",O7-O6)</f>
        <v>14</v>
      </c>
      <c r="Q7" s="68">
        <f t="shared" si="4"/>
        <v>32</v>
      </c>
      <c r="R7" s="69">
        <v>50756</v>
      </c>
      <c r="S7" s="68">
        <f t="shared" ref="S7:S35" si="16">IF(ISBLANK(R7),"0",R7-R6)</f>
        <v>31</v>
      </c>
      <c r="T7" s="81">
        <f t="shared" si="5"/>
        <v>32.726700000000001</v>
      </c>
      <c r="U7" s="79">
        <f t="shared" si="6"/>
        <v>571.30703500000004</v>
      </c>
      <c r="V7" s="64">
        <v>66566</v>
      </c>
      <c r="W7" s="65">
        <f t="shared" ref="W7:W22" si="17">IF(ISBLANK(V7)," ",V7-V6)</f>
        <v>15</v>
      </c>
      <c r="X7" s="70">
        <f>IF(ISBLANK(V7),"0 ",W7*284.345)</f>
        <v>4265.1750000000002</v>
      </c>
      <c r="Y7" s="70">
        <f t="shared" si="7"/>
        <v>1468.0732350000001</v>
      </c>
      <c r="Z7" s="70">
        <f t="shared" si="8"/>
        <v>4243.4694354838712</v>
      </c>
      <c r="AA7" s="43">
        <f t="shared" si="9"/>
        <v>5711.542670483871</v>
      </c>
      <c r="AB7" s="69">
        <v>5885955</v>
      </c>
      <c r="AC7" s="144">
        <f t="shared" ref="AC7:AC35" si="18">IF(ISBLANK(AB7),"0 ",AB7-AB6)</f>
        <v>4744</v>
      </c>
      <c r="AD7" s="127">
        <v>0.81899999999999995</v>
      </c>
      <c r="AE7" s="134">
        <v>374</v>
      </c>
      <c r="AF7" s="64">
        <v>13165810</v>
      </c>
      <c r="AG7" s="65">
        <f t="shared" ref="AG7:AG35" si="19">IF(ISBLANK(AF7),"0",AF7-AF6)</f>
        <v>4246</v>
      </c>
      <c r="AH7" s="71">
        <f t="shared" ref="AH7:AH35" si="20">AG7*0.2</f>
        <v>849.2</v>
      </c>
      <c r="AI7" s="64">
        <v>6118500</v>
      </c>
      <c r="AJ7" s="65">
        <f t="shared" ref="AJ7:AJ35" si="21">IF(ISBLANK(AI7),"0",AI7-AI6)</f>
        <v>2048</v>
      </c>
      <c r="AK7" s="71">
        <f t="shared" ref="AK7:AK35" si="22">AJ7*0.2</f>
        <v>409.6</v>
      </c>
      <c r="AL7" s="67">
        <v>113722</v>
      </c>
      <c r="AM7" s="65">
        <f t="shared" ref="AM7:AM35" si="23">IF(ISBLANK(AL7),"0",AL7-AL6)</f>
        <v>178</v>
      </c>
      <c r="AN7" s="71">
        <f t="shared" ref="AN7:AN35" si="24">AM7*0.2</f>
        <v>35.6</v>
      </c>
      <c r="AO7" s="67">
        <v>5789</v>
      </c>
      <c r="AP7" s="65">
        <f t="shared" ref="AP7:AP35" si="25">IF(ISBLANK(AO7),"0",AO7-AO6)</f>
        <v>7</v>
      </c>
      <c r="AQ7" s="134">
        <f t="shared" ref="AQ7:AQ35" si="26">AP7*7.84</f>
        <v>54.879999999999995</v>
      </c>
      <c r="AR7" s="64">
        <v>2720</v>
      </c>
      <c r="AS7" s="65">
        <f t="shared" ref="AS7:AS35" si="27">IF(ISBLANK(AR7),"0",AR7-AR6)</f>
        <v>2</v>
      </c>
      <c r="AT7" s="71">
        <f t="shared" si="10"/>
        <v>15.68</v>
      </c>
      <c r="AU7" s="64">
        <v>84</v>
      </c>
      <c r="AV7" s="65">
        <f t="shared" ref="AV7:AV35" si="28">IF(ISBLANK(AU7),"0",AU7-AU6)</f>
        <v>0</v>
      </c>
      <c r="AW7" s="71">
        <f t="shared" ref="AW7:AW35" si="29">AV7*7.84</f>
        <v>0</v>
      </c>
    </row>
    <row r="8" spans="1:49" s="3" customFormat="1" ht="27.95" customHeight="1" x14ac:dyDescent="0.25">
      <c r="A8" s="77">
        <v>45355</v>
      </c>
      <c r="B8" s="67">
        <v>18700741</v>
      </c>
      <c r="C8" s="65">
        <f t="shared" si="3"/>
        <v>7549</v>
      </c>
      <c r="D8" s="65">
        <v>19658604</v>
      </c>
      <c r="E8" s="65">
        <f t="shared" si="11"/>
        <v>6703</v>
      </c>
      <c r="F8" s="65">
        <v>448220</v>
      </c>
      <c r="G8" s="65">
        <f t="shared" si="12"/>
        <v>134</v>
      </c>
      <c r="H8" s="66">
        <f t="shared" si="0"/>
        <v>14386</v>
      </c>
      <c r="I8" s="89">
        <f t="shared" si="1"/>
        <v>2877.2000000000003</v>
      </c>
      <c r="J8" s="67">
        <v>75517</v>
      </c>
      <c r="K8" s="65">
        <f t="shared" si="13"/>
        <v>97</v>
      </c>
      <c r="L8" s="45">
        <f t="shared" si="2"/>
        <v>760.48</v>
      </c>
      <c r="M8" s="64">
        <v>34827</v>
      </c>
      <c r="N8" s="65">
        <f t="shared" si="14"/>
        <v>19</v>
      </c>
      <c r="O8" s="65">
        <v>19799</v>
      </c>
      <c r="P8" s="68">
        <f t="shared" si="15"/>
        <v>14</v>
      </c>
      <c r="Q8" s="68">
        <f t="shared" si="4"/>
        <v>33</v>
      </c>
      <c r="R8" s="69">
        <v>50788</v>
      </c>
      <c r="S8" s="68">
        <f t="shared" si="16"/>
        <v>32</v>
      </c>
      <c r="T8" s="81">
        <f t="shared" si="5"/>
        <v>33.782400000000003</v>
      </c>
      <c r="U8" s="79">
        <f t="shared" si="6"/>
        <v>582.97252000000003</v>
      </c>
      <c r="V8" s="64">
        <v>66582</v>
      </c>
      <c r="W8" s="65">
        <f t="shared" si="17"/>
        <v>16</v>
      </c>
      <c r="X8" s="70">
        <f t="shared" ref="X8:X29" si="30">IF(ISBLANK(V8),"0 ",W8*284.345)</f>
        <v>4549.5200000000004</v>
      </c>
      <c r="Y8" s="70">
        <f t="shared" si="7"/>
        <v>1565.9447840000003</v>
      </c>
      <c r="Z8" s="70">
        <f t="shared" si="8"/>
        <v>4243.4694354838712</v>
      </c>
      <c r="AA8" s="43">
        <f t="shared" si="9"/>
        <v>5809.4142194838714</v>
      </c>
      <c r="AB8" s="69">
        <v>5891421</v>
      </c>
      <c r="AC8" s="144">
        <f t="shared" si="18"/>
        <v>5466</v>
      </c>
      <c r="AD8" s="128">
        <v>0.86029999999999995</v>
      </c>
      <c r="AE8" s="134">
        <v>345</v>
      </c>
      <c r="AF8" s="64">
        <v>13170989</v>
      </c>
      <c r="AG8" s="65">
        <f t="shared" si="19"/>
        <v>5179</v>
      </c>
      <c r="AH8" s="71">
        <f t="shared" si="20"/>
        <v>1035.8</v>
      </c>
      <c r="AI8" s="64">
        <v>6120673</v>
      </c>
      <c r="AJ8" s="65">
        <f t="shared" si="21"/>
        <v>2173</v>
      </c>
      <c r="AK8" s="71">
        <f t="shared" si="22"/>
        <v>434.6</v>
      </c>
      <c r="AL8" s="67">
        <v>113911</v>
      </c>
      <c r="AM8" s="65">
        <f t="shared" si="23"/>
        <v>189</v>
      </c>
      <c r="AN8" s="71">
        <f t="shared" si="24"/>
        <v>37.800000000000004</v>
      </c>
      <c r="AO8" s="67">
        <v>5795</v>
      </c>
      <c r="AP8" s="65">
        <f t="shared" si="25"/>
        <v>6</v>
      </c>
      <c r="AQ8" s="134">
        <f t="shared" si="26"/>
        <v>47.04</v>
      </c>
      <c r="AR8" s="64">
        <v>2721</v>
      </c>
      <c r="AS8" s="65">
        <f t="shared" si="27"/>
        <v>1</v>
      </c>
      <c r="AT8" s="71">
        <f t="shared" si="10"/>
        <v>7.84</v>
      </c>
      <c r="AU8" s="64">
        <v>84</v>
      </c>
      <c r="AV8" s="65">
        <f t="shared" si="28"/>
        <v>0</v>
      </c>
      <c r="AW8" s="71">
        <f t="shared" si="29"/>
        <v>0</v>
      </c>
    </row>
    <row r="9" spans="1:49" s="3" customFormat="1" ht="27.95" customHeight="1" x14ac:dyDescent="0.25">
      <c r="A9" s="77">
        <v>45356</v>
      </c>
      <c r="B9" s="67">
        <v>18708242</v>
      </c>
      <c r="C9" s="65">
        <f t="shared" si="3"/>
        <v>7501</v>
      </c>
      <c r="D9" s="65">
        <v>19665363</v>
      </c>
      <c r="E9" s="65">
        <f t="shared" si="11"/>
        <v>6759</v>
      </c>
      <c r="F9" s="65">
        <v>448348</v>
      </c>
      <c r="G9" s="65">
        <f t="shared" si="12"/>
        <v>128</v>
      </c>
      <c r="H9" s="66">
        <f t="shared" si="0"/>
        <v>14388</v>
      </c>
      <c r="I9" s="89">
        <f t="shared" si="1"/>
        <v>2877.6000000000004</v>
      </c>
      <c r="J9" s="67">
        <v>75601</v>
      </c>
      <c r="K9" s="65">
        <f t="shared" si="13"/>
        <v>84</v>
      </c>
      <c r="L9" s="45">
        <f t="shared" si="2"/>
        <v>658.56</v>
      </c>
      <c r="M9" s="64">
        <v>34846</v>
      </c>
      <c r="N9" s="65">
        <f t="shared" si="14"/>
        <v>19</v>
      </c>
      <c r="O9" s="65">
        <v>19812</v>
      </c>
      <c r="P9" s="68">
        <f t="shared" si="15"/>
        <v>13</v>
      </c>
      <c r="Q9" s="68">
        <f t="shared" si="4"/>
        <v>32</v>
      </c>
      <c r="R9" s="69">
        <v>50818</v>
      </c>
      <c r="S9" s="68">
        <f t="shared" si="16"/>
        <v>30</v>
      </c>
      <c r="T9" s="81">
        <f t="shared" si="5"/>
        <v>31.671000000000003</v>
      </c>
      <c r="U9" s="79">
        <f t="shared" si="6"/>
        <v>559.64155000000005</v>
      </c>
      <c r="V9" s="64">
        <v>66601</v>
      </c>
      <c r="W9" s="65">
        <f t="shared" si="17"/>
        <v>19</v>
      </c>
      <c r="X9" s="70">
        <f t="shared" si="30"/>
        <v>5402.5550000000003</v>
      </c>
      <c r="Y9" s="70">
        <f t="shared" si="7"/>
        <v>1859.5594310000001</v>
      </c>
      <c r="Z9" s="70">
        <f t="shared" si="8"/>
        <v>4243.4694354838712</v>
      </c>
      <c r="AA9" s="43">
        <f t="shared" si="9"/>
        <v>6103.0288664838718</v>
      </c>
      <c r="AB9" s="69">
        <v>5897833</v>
      </c>
      <c r="AC9" s="144">
        <f t="shared" si="18"/>
        <v>6412</v>
      </c>
      <c r="AD9" s="127">
        <v>0.98099999999999998</v>
      </c>
      <c r="AE9" s="134">
        <v>409</v>
      </c>
      <c r="AF9" s="64">
        <v>13176180</v>
      </c>
      <c r="AG9" s="65">
        <f t="shared" si="19"/>
        <v>5191</v>
      </c>
      <c r="AH9" s="71">
        <f t="shared" si="20"/>
        <v>1038.2</v>
      </c>
      <c r="AI9" s="64">
        <v>6122874</v>
      </c>
      <c r="AJ9" s="65">
        <f t="shared" si="21"/>
        <v>2201</v>
      </c>
      <c r="AK9" s="71">
        <f t="shared" si="22"/>
        <v>440.20000000000005</v>
      </c>
      <c r="AL9" s="67">
        <v>114152</v>
      </c>
      <c r="AM9" s="65">
        <f t="shared" si="23"/>
        <v>241</v>
      </c>
      <c r="AN9" s="71">
        <f t="shared" si="24"/>
        <v>48.2</v>
      </c>
      <c r="AO9" s="67">
        <v>5803</v>
      </c>
      <c r="AP9" s="65">
        <f t="shared" si="25"/>
        <v>8</v>
      </c>
      <c r="AQ9" s="134">
        <f t="shared" si="26"/>
        <v>62.72</v>
      </c>
      <c r="AR9" s="64">
        <v>2722</v>
      </c>
      <c r="AS9" s="65">
        <f t="shared" si="27"/>
        <v>1</v>
      </c>
      <c r="AT9" s="71">
        <f t="shared" si="10"/>
        <v>7.84</v>
      </c>
      <c r="AU9" s="64">
        <v>84</v>
      </c>
      <c r="AV9" s="65">
        <f t="shared" si="28"/>
        <v>0</v>
      </c>
      <c r="AW9" s="71">
        <f t="shared" si="29"/>
        <v>0</v>
      </c>
    </row>
    <row r="10" spans="1:49" s="3" customFormat="1" ht="27.95" customHeight="1" x14ac:dyDescent="0.25">
      <c r="A10" s="77">
        <v>45357</v>
      </c>
      <c r="B10" s="67">
        <v>18715813</v>
      </c>
      <c r="C10" s="65">
        <f t="shared" si="3"/>
        <v>7571</v>
      </c>
      <c r="D10" s="65">
        <v>19672105</v>
      </c>
      <c r="E10" s="65">
        <f>IF(ISBLANK(D10),"0",D10-D9)</f>
        <v>6742</v>
      </c>
      <c r="F10" s="65">
        <v>448480</v>
      </c>
      <c r="G10" s="65">
        <f>IF(ISBLANK(F10),"0",F10-F9)</f>
        <v>132</v>
      </c>
      <c r="H10" s="66">
        <f t="shared" si="0"/>
        <v>14445</v>
      </c>
      <c r="I10" s="89">
        <f t="shared" si="1"/>
        <v>2889</v>
      </c>
      <c r="J10" s="67">
        <v>75701</v>
      </c>
      <c r="K10" s="65">
        <f t="shared" si="13"/>
        <v>100</v>
      </c>
      <c r="L10" s="45">
        <f t="shared" si="2"/>
        <v>784</v>
      </c>
      <c r="M10" s="64">
        <v>34864</v>
      </c>
      <c r="N10" s="65">
        <f>IF(ISBLANK(M10),"0",M10-M9)</f>
        <v>18</v>
      </c>
      <c r="O10" s="65">
        <v>19822</v>
      </c>
      <c r="P10" s="68">
        <f t="shared" si="15"/>
        <v>10</v>
      </c>
      <c r="Q10" s="68">
        <f t="shared" si="4"/>
        <v>28</v>
      </c>
      <c r="R10" s="69">
        <v>50846</v>
      </c>
      <c r="S10" s="68">
        <f t="shared" si="16"/>
        <v>28</v>
      </c>
      <c r="T10" s="81">
        <f t="shared" si="5"/>
        <v>29.559600000000003</v>
      </c>
      <c r="U10" s="79">
        <f t="shared" si="6"/>
        <v>536.31058000000007</v>
      </c>
      <c r="V10" s="64">
        <v>66619</v>
      </c>
      <c r="W10" s="65">
        <f t="shared" si="17"/>
        <v>18</v>
      </c>
      <c r="X10" s="70">
        <f t="shared" si="30"/>
        <v>5118.2100000000009</v>
      </c>
      <c r="Y10" s="70">
        <f t="shared" si="7"/>
        <v>1761.6878820000004</v>
      </c>
      <c r="Z10" s="70">
        <f t="shared" si="8"/>
        <v>4243.4694354838712</v>
      </c>
      <c r="AA10" s="43">
        <f t="shared" si="9"/>
        <v>6005.1573174838713</v>
      </c>
      <c r="AB10" s="69">
        <v>5903800</v>
      </c>
      <c r="AC10" s="144">
        <f t="shared" si="18"/>
        <v>5967</v>
      </c>
      <c r="AD10" s="127">
        <v>0.94289999999999996</v>
      </c>
      <c r="AE10" s="134">
        <v>384</v>
      </c>
      <c r="AF10" s="64">
        <v>13181438</v>
      </c>
      <c r="AG10" s="65">
        <f t="shared" si="19"/>
        <v>5258</v>
      </c>
      <c r="AH10" s="71">
        <f t="shared" si="20"/>
        <v>1051.6000000000001</v>
      </c>
      <c r="AI10" s="64">
        <v>6125120</v>
      </c>
      <c r="AJ10" s="65">
        <f t="shared" si="21"/>
        <v>2246</v>
      </c>
      <c r="AK10" s="71">
        <f t="shared" si="22"/>
        <v>449.20000000000005</v>
      </c>
      <c r="AL10" s="67">
        <v>114364</v>
      </c>
      <c r="AM10" s="65">
        <f t="shared" si="23"/>
        <v>212</v>
      </c>
      <c r="AN10" s="71">
        <f t="shared" si="24"/>
        <v>42.400000000000006</v>
      </c>
      <c r="AO10" s="67">
        <v>5810</v>
      </c>
      <c r="AP10" s="65">
        <f t="shared" si="25"/>
        <v>7</v>
      </c>
      <c r="AQ10" s="134">
        <f t="shared" si="26"/>
        <v>54.879999999999995</v>
      </c>
      <c r="AR10" s="64">
        <v>2722</v>
      </c>
      <c r="AS10" s="65">
        <f t="shared" si="27"/>
        <v>0</v>
      </c>
      <c r="AT10" s="71">
        <f t="shared" si="10"/>
        <v>0</v>
      </c>
      <c r="AU10" s="64">
        <v>84</v>
      </c>
      <c r="AV10" s="65">
        <f t="shared" si="28"/>
        <v>0</v>
      </c>
      <c r="AW10" s="71">
        <f t="shared" si="29"/>
        <v>0</v>
      </c>
    </row>
    <row r="11" spans="1:49" s="3" customFormat="1" ht="27.95" customHeight="1" x14ac:dyDescent="0.25">
      <c r="A11" s="77">
        <v>45358</v>
      </c>
      <c r="B11" s="67">
        <v>18723519</v>
      </c>
      <c r="C11" s="65">
        <f t="shared" si="3"/>
        <v>7706</v>
      </c>
      <c r="D11" s="65">
        <v>19678464</v>
      </c>
      <c r="E11" s="65">
        <f t="shared" si="11"/>
        <v>6359</v>
      </c>
      <c r="F11" s="65">
        <v>448610</v>
      </c>
      <c r="G11" s="65">
        <f t="shared" si="12"/>
        <v>130</v>
      </c>
      <c r="H11" s="66">
        <f t="shared" si="0"/>
        <v>14195</v>
      </c>
      <c r="I11" s="89">
        <f t="shared" si="1"/>
        <v>2839</v>
      </c>
      <c r="J11" s="67">
        <v>75789</v>
      </c>
      <c r="K11" s="65">
        <f t="shared" si="13"/>
        <v>88</v>
      </c>
      <c r="L11" s="45">
        <f t="shared" si="2"/>
        <v>689.92</v>
      </c>
      <c r="M11" s="64">
        <v>34883</v>
      </c>
      <c r="N11" s="65">
        <f t="shared" si="14"/>
        <v>19</v>
      </c>
      <c r="O11" s="65">
        <v>19837</v>
      </c>
      <c r="P11" s="68">
        <f t="shared" si="15"/>
        <v>15</v>
      </c>
      <c r="Q11" s="68">
        <f t="shared" si="4"/>
        <v>34</v>
      </c>
      <c r="R11" s="69">
        <v>50878</v>
      </c>
      <c r="S11" s="68">
        <f>IF(ISBLANK(R11),"0",R11-R10)</f>
        <v>32</v>
      </c>
      <c r="T11" s="81">
        <f t="shared" si="5"/>
        <v>33.782400000000003</v>
      </c>
      <c r="U11" s="79">
        <f t="shared" si="6"/>
        <v>582.97252000000003</v>
      </c>
      <c r="V11" s="64">
        <v>66637</v>
      </c>
      <c r="W11" s="65">
        <f t="shared" si="17"/>
        <v>18</v>
      </c>
      <c r="X11" s="70">
        <f t="shared" si="30"/>
        <v>5118.2100000000009</v>
      </c>
      <c r="Y11" s="70">
        <f t="shared" si="7"/>
        <v>1761.6878820000004</v>
      </c>
      <c r="Z11" s="70">
        <f t="shared" si="8"/>
        <v>4243.4694354838712</v>
      </c>
      <c r="AA11" s="43">
        <f t="shared" si="9"/>
        <v>6005.1573174838713</v>
      </c>
      <c r="AB11" s="69">
        <v>5909841</v>
      </c>
      <c r="AC11" s="144">
        <f t="shared" si="18"/>
        <v>6041</v>
      </c>
      <c r="AD11" s="127">
        <v>0.86670000000000003</v>
      </c>
      <c r="AE11" s="134">
        <v>378</v>
      </c>
      <c r="AF11" s="64">
        <v>13186736</v>
      </c>
      <c r="AG11" s="65">
        <f t="shared" si="19"/>
        <v>5298</v>
      </c>
      <c r="AH11" s="71">
        <f t="shared" si="20"/>
        <v>1059.6000000000001</v>
      </c>
      <c r="AI11" s="64">
        <v>6127356</v>
      </c>
      <c r="AJ11" s="65">
        <f t="shared" si="21"/>
        <v>2236</v>
      </c>
      <c r="AK11" s="71">
        <f t="shared" si="22"/>
        <v>447.20000000000005</v>
      </c>
      <c r="AL11" s="67">
        <v>114568</v>
      </c>
      <c r="AM11" s="65">
        <f t="shared" si="23"/>
        <v>204</v>
      </c>
      <c r="AN11" s="71">
        <f t="shared" si="24"/>
        <v>40.800000000000004</v>
      </c>
      <c r="AO11" s="67">
        <v>5818</v>
      </c>
      <c r="AP11" s="65">
        <f t="shared" si="25"/>
        <v>8</v>
      </c>
      <c r="AQ11" s="134">
        <f t="shared" si="26"/>
        <v>62.72</v>
      </c>
      <c r="AR11" s="64">
        <v>2722</v>
      </c>
      <c r="AS11" s="65">
        <f t="shared" si="27"/>
        <v>0</v>
      </c>
      <c r="AT11" s="71">
        <f t="shared" si="10"/>
        <v>0</v>
      </c>
      <c r="AU11" s="64">
        <v>84</v>
      </c>
      <c r="AV11" s="65">
        <f t="shared" si="28"/>
        <v>0</v>
      </c>
      <c r="AW11" s="71">
        <f t="shared" si="29"/>
        <v>0</v>
      </c>
    </row>
    <row r="12" spans="1:49" s="3" customFormat="1" ht="27.95" customHeight="1" x14ac:dyDescent="0.25">
      <c r="A12" s="77">
        <v>45359</v>
      </c>
      <c r="B12" s="67">
        <v>18731177</v>
      </c>
      <c r="C12" s="65">
        <f t="shared" si="3"/>
        <v>7658</v>
      </c>
      <c r="D12" s="65">
        <v>19684420</v>
      </c>
      <c r="E12" s="65">
        <f t="shared" si="11"/>
        <v>5956</v>
      </c>
      <c r="F12" s="65">
        <v>448744</v>
      </c>
      <c r="G12" s="65">
        <f t="shared" si="12"/>
        <v>134</v>
      </c>
      <c r="H12" s="66">
        <f t="shared" si="0"/>
        <v>13748</v>
      </c>
      <c r="I12" s="89">
        <f>H12*0.2</f>
        <v>2749.6000000000004</v>
      </c>
      <c r="J12" s="67">
        <v>75894</v>
      </c>
      <c r="K12" s="65">
        <f t="shared" si="13"/>
        <v>105</v>
      </c>
      <c r="L12" s="45">
        <f t="shared" si="2"/>
        <v>823.19999999999993</v>
      </c>
      <c r="M12" s="64">
        <v>34902</v>
      </c>
      <c r="N12" s="65">
        <f t="shared" si="14"/>
        <v>19</v>
      </c>
      <c r="O12" s="65">
        <v>19851</v>
      </c>
      <c r="P12" s="68">
        <f t="shared" si="15"/>
        <v>14</v>
      </c>
      <c r="Q12" s="68">
        <f t="shared" si="4"/>
        <v>33</v>
      </c>
      <c r="R12" s="69">
        <v>50910</v>
      </c>
      <c r="S12" s="68">
        <f t="shared" si="16"/>
        <v>32</v>
      </c>
      <c r="T12" s="81">
        <f t="shared" si="5"/>
        <v>33.782400000000003</v>
      </c>
      <c r="U12" s="79">
        <f t="shared" si="6"/>
        <v>582.97252000000003</v>
      </c>
      <c r="V12" s="64">
        <v>66657</v>
      </c>
      <c r="W12" s="65">
        <f t="shared" si="17"/>
        <v>20</v>
      </c>
      <c r="X12" s="70">
        <f t="shared" si="30"/>
        <v>5686.9000000000005</v>
      </c>
      <c r="Y12" s="70">
        <f t="shared" si="7"/>
        <v>1957.4309800000003</v>
      </c>
      <c r="Z12" s="70">
        <f t="shared" si="8"/>
        <v>4243.4694354838712</v>
      </c>
      <c r="AA12" s="43">
        <f t="shared" si="9"/>
        <v>6200.9004154838713</v>
      </c>
      <c r="AB12" s="69">
        <v>5916546</v>
      </c>
      <c r="AC12" s="144">
        <f t="shared" si="18"/>
        <v>6705</v>
      </c>
      <c r="AD12" s="129">
        <v>0.8</v>
      </c>
      <c r="AE12" s="134">
        <v>343</v>
      </c>
      <c r="AF12" s="64">
        <v>13191812</v>
      </c>
      <c r="AG12" s="65">
        <f t="shared" si="19"/>
        <v>5076</v>
      </c>
      <c r="AH12" s="71">
        <f t="shared" si="20"/>
        <v>1015.2</v>
      </c>
      <c r="AI12" s="64">
        <v>6129544</v>
      </c>
      <c r="AJ12" s="65">
        <f t="shared" si="21"/>
        <v>2188</v>
      </c>
      <c r="AK12" s="71">
        <f t="shared" si="22"/>
        <v>437.6</v>
      </c>
      <c r="AL12" s="67">
        <v>114816</v>
      </c>
      <c r="AM12" s="65">
        <f t="shared" si="23"/>
        <v>248</v>
      </c>
      <c r="AN12" s="71">
        <f t="shared" si="24"/>
        <v>49.6</v>
      </c>
      <c r="AO12" s="67">
        <v>5831</v>
      </c>
      <c r="AP12" s="65">
        <f t="shared" si="25"/>
        <v>13</v>
      </c>
      <c r="AQ12" s="134">
        <f t="shared" si="26"/>
        <v>101.92</v>
      </c>
      <c r="AR12" s="64">
        <v>2723</v>
      </c>
      <c r="AS12" s="65">
        <f t="shared" si="27"/>
        <v>1</v>
      </c>
      <c r="AT12" s="71">
        <f t="shared" si="10"/>
        <v>7.84</v>
      </c>
      <c r="AU12" s="64">
        <v>85</v>
      </c>
      <c r="AV12" s="65">
        <f t="shared" si="28"/>
        <v>1</v>
      </c>
      <c r="AW12" s="71">
        <f t="shared" si="29"/>
        <v>7.84</v>
      </c>
    </row>
    <row r="13" spans="1:49" s="3" customFormat="1" ht="27.95" customHeight="1" x14ac:dyDescent="0.25">
      <c r="A13" s="77">
        <v>45360</v>
      </c>
      <c r="B13" s="67">
        <v>18738720</v>
      </c>
      <c r="C13" s="65">
        <f t="shared" si="3"/>
        <v>7543</v>
      </c>
      <c r="D13" s="65">
        <v>19690506</v>
      </c>
      <c r="E13" s="65">
        <f t="shared" si="11"/>
        <v>6086</v>
      </c>
      <c r="F13" s="65">
        <v>448744</v>
      </c>
      <c r="G13" s="65">
        <f t="shared" si="12"/>
        <v>0</v>
      </c>
      <c r="H13" s="66">
        <f t="shared" si="0"/>
        <v>13629</v>
      </c>
      <c r="I13" s="89">
        <f t="shared" si="1"/>
        <v>2725.8</v>
      </c>
      <c r="J13" s="67">
        <v>76001</v>
      </c>
      <c r="K13" s="65">
        <f t="shared" si="13"/>
        <v>107</v>
      </c>
      <c r="L13" s="45">
        <f t="shared" si="2"/>
        <v>838.88</v>
      </c>
      <c r="M13" s="64">
        <v>34922</v>
      </c>
      <c r="N13" s="65">
        <f t="shared" si="14"/>
        <v>20</v>
      </c>
      <c r="O13" s="65">
        <v>19864</v>
      </c>
      <c r="P13" s="68">
        <f t="shared" si="15"/>
        <v>13</v>
      </c>
      <c r="Q13" s="68">
        <f t="shared" si="4"/>
        <v>33</v>
      </c>
      <c r="R13" s="69">
        <v>50941</v>
      </c>
      <c r="S13" s="68">
        <f t="shared" si="16"/>
        <v>31</v>
      </c>
      <c r="T13" s="81">
        <f t="shared" si="5"/>
        <v>32.726700000000001</v>
      </c>
      <c r="U13" s="79">
        <f t="shared" si="6"/>
        <v>571.30703500000004</v>
      </c>
      <c r="V13" s="64">
        <v>66675</v>
      </c>
      <c r="W13" s="65">
        <f t="shared" si="17"/>
        <v>18</v>
      </c>
      <c r="X13" s="70">
        <f t="shared" si="30"/>
        <v>5118.2100000000009</v>
      </c>
      <c r="Y13" s="70">
        <f t="shared" si="7"/>
        <v>1761.6878820000004</v>
      </c>
      <c r="Z13" s="70">
        <f t="shared" si="8"/>
        <v>4243.4694354838712</v>
      </c>
      <c r="AA13" s="43">
        <f t="shared" si="9"/>
        <v>6005.1573174838713</v>
      </c>
      <c r="AB13" s="69">
        <v>5922504</v>
      </c>
      <c r="AC13" s="144">
        <f t="shared" si="18"/>
        <v>5958</v>
      </c>
      <c r="AD13" s="127">
        <v>0.78100000000000003</v>
      </c>
      <c r="AE13" s="134">
        <v>336</v>
      </c>
      <c r="AF13" s="64">
        <v>13195848</v>
      </c>
      <c r="AG13" s="65">
        <f t="shared" si="19"/>
        <v>4036</v>
      </c>
      <c r="AH13" s="71">
        <f t="shared" si="20"/>
        <v>807.2</v>
      </c>
      <c r="AI13" s="64">
        <v>6131609</v>
      </c>
      <c r="AJ13" s="65">
        <f t="shared" si="21"/>
        <v>2065</v>
      </c>
      <c r="AK13" s="71">
        <f t="shared" si="22"/>
        <v>413</v>
      </c>
      <c r="AL13" s="67">
        <v>115020</v>
      </c>
      <c r="AM13" s="65">
        <f t="shared" si="23"/>
        <v>204</v>
      </c>
      <c r="AN13" s="71">
        <f t="shared" si="24"/>
        <v>40.800000000000004</v>
      </c>
      <c r="AO13" s="67">
        <v>5840</v>
      </c>
      <c r="AP13" s="65">
        <f t="shared" si="25"/>
        <v>9</v>
      </c>
      <c r="AQ13" s="134">
        <f t="shared" si="26"/>
        <v>70.56</v>
      </c>
      <c r="AR13" s="64">
        <v>2732</v>
      </c>
      <c r="AS13" s="65">
        <f t="shared" si="27"/>
        <v>9</v>
      </c>
      <c r="AT13" s="71">
        <f t="shared" si="10"/>
        <v>70.56</v>
      </c>
      <c r="AU13" s="64">
        <v>86</v>
      </c>
      <c r="AV13" s="65">
        <f t="shared" si="28"/>
        <v>1</v>
      </c>
      <c r="AW13" s="71">
        <f t="shared" si="29"/>
        <v>7.84</v>
      </c>
    </row>
    <row r="14" spans="1:49" s="3" customFormat="1" ht="27.95" customHeight="1" x14ac:dyDescent="0.25">
      <c r="A14" s="77">
        <v>45361</v>
      </c>
      <c r="B14" s="67">
        <v>18746205</v>
      </c>
      <c r="C14" s="65">
        <f t="shared" si="3"/>
        <v>7485</v>
      </c>
      <c r="D14" s="65">
        <v>19697092</v>
      </c>
      <c r="E14" s="65">
        <f t="shared" si="11"/>
        <v>6586</v>
      </c>
      <c r="F14" s="65">
        <v>448838</v>
      </c>
      <c r="G14" s="65">
        <f t="shared" si="12"/>
        <v>94</v>
      </c>
      <c r="H14" s="66">
        <f t="shared" si="0"/>
        <v>14165</v>
      </c>
      <c r="I14" s="89">
        <f t="shared" si="1"/>
        <v>2833</v>
      </c>
      <c r="J14" s="67">
        <v>76112</v>
      </c>
      <c r="K14" s="65">
        <f t="shared" si="13"/>
        <v>111</v>
      </c>
      <c r="L14" s="45">
        <f t="shared" si="2"/>
        <v>870.24</v>
      </c>
      <c r="M14" s="64">
        <v>34940</v>
      </c>
      <c r="N14" s="65">
        <f t="shared" si="14"/>
        <v>18</v>
      </c>
      <c r="O14" s="65">
        <v>19877</v>
      </c>
      <c r="P14" s="68">
        <f>IF(ISBLANK(O14),"0",O14-O13)</f>
        <v>13</v>
      </c>
      <c r="Q14" s="68">
        <f t="shared" si="4"/>
        <v>31</v>
      </c>
      <c r="R14" s="69">
        <v>50971</v>
      </c>
      <c r="S14" s="68">
        <f t="shared" si="16"/>
        <v>30</v>
      </c>
      <c r="T14" s="81">
        <f t="shared" si="5"/>
        <v>31.671000000000003</v>
      </c>
      <c r="U14" s="79">
        <f t="shared" si="6"/>
        <v>559.64155000000005</v>
      </c>
      <c r="V14" s="64">
        <v>66695</v>
      </c>
      <c r="W14" s="65">
        <f t="shared" si="17"/>
        <v>20</v>
      </c>
      <c r="X14" s="70">
        <f t="shared" si="30"/>
        <v>5686.9000000000005</v>
      </c>
      <c r="Y14" s="70">
        <f t="shared" si="7"/>
        <v>1957.4309800000003</v>
      </c>
      <c r="Z14" s="70">
        <f t="shared" si="8"/>
        <v>4243.4694354838712</v>
      </c>
      <c r="AA14" s="43">
        <f t="shared" si="9"/>
        <v>6200.9004154838713</v>
      </c>
      <c r="AB14" s="69">
        <v>5928444</v>
      </c>
      <c r="AC14" s="144">
        <f t="shared" si="18"/>
        <v>5940</v>
      </c>
      <c r="AD14" s="127">
        <v>0.63490000000000002</v>
      </c>
      <c r="AE14" s="134">
        <v>290</v>
      </c>
      <c r="AF14" s="64">
        <v>13199935</v>
      </c>
      <c r="AG14" s="65">
        <f t="shared" si="19"/>
        <v>4087</v>
      </c>
      <c r="AH14" s="71">
        <f t="shared" si="20"/>
        <v>817.40000000000009</v>
      </c>
      <c r="AI14" s="64">
        <v>6133626</v>
      </c>
      <c r="AJ14" s="65">
        <f t="shared" si="21"/>
        <v>2017</v>
      </c>
      <c r="AK14" s="71">
        <f t="shared" si="22"/>
        <v>403.40000000000003</v>
      </c>
      <c r="AL14" s="67">
        <v>115241</v>
      </c>
      <c r="AM14" s="65">
        <f t="shared" si="23"/>
        <v>221</v>
      </c>
      <c r="AN14" s="71">
        <f t="shared" si="24"/>
        <v>44.2</v>
      </c>
      <c r="AO14" s="67">
        <v>5848</v>
      </c>
      <c r="AP14" s="65">
        <f t="shared" si="25"/>
        <v>8</v>
      </c>
      <c r="AQ14" s="134">
        <f t="shared" si="26"/>
        <v>62.72</v>
      </c>
      <c r="AR14" s="64">
        <v>2734</v>
      </c>
      <c r="AS14" s="65">
        <f t="shared" si="27"/>
        <v>2</v>
      </c>
      <c r="AT14" s="71">
        <f t="shared" si="10"/>
        <v>15.68</v>
      </c>
      <c r="AU14" s="64">
        <v>87</v>
      </c>
      <c r="AV14" s="65">
        <f t="shared" si="28"/>
        <v>1</v>
      </c>
      <c r="AW14" s="71">
        <f t="shared" si="29"/>
        <v>7.84</v>
      </c>
    </row>
    <row r="15" spans="1:49" s="3" customFormat="1" ht="27.95" customHeight="1" x14ac:dyDescent="0.25">
      <c r="A15" s="77">
        <v>45362</v>
      </c>
      <c r="B15" s="67">
        <v>18753932</v>
      </c>
      <c r="C15" s="65">
        <f t="shared" si="3"/>
        <v>7727</v>
      </c>
      <c r="D15" s="65">
        <v>19703904</v>
      </c>
      <c r="E15" s="65">
        <f t="shared" si="11"/>
        <v>6812</v>
      </c>
      <c r="F15" s="65">
        <v>448967</v>
      </c>
      <c r="G15" s="65">
        <f t="shared" si="12"/>
        <v>129</v>
      </c>
      <c r="H15" s="66">
        <f t="shared" si="0"/>
        <v>14668</v>
      </c>
      <c r="I15" s="89">
        <f t="shared" si="1"/>
        <v>2933.6000000000004</v>
      </c>
      <c r="J15" s="67">
        <v>76173</v>
      </c>
      <c r="K15" s="65">
        <f t="shared" si="13"/>
        <v>61</v>
      </c>
      <c r="L15" s="45">
        <f t="shared" si="2"/>
        <v>478.24</v>
      </c>
      <c r="M15" s="64">
        <v>34958</v>
      </c>
      <c r="N15" s="65">
        <f t="shared" si="14"/>
        <v>18</v>
      </c>
      <c r="O15" s="65">
        <v>19892</v>
      </c>
      <c r="P15" s="68">
        <f t="shared" si="15"/>
        <v>15</v>
      </c>
      <c r="Q15" s="68">
        <f t="shared" si="4"/>
        <v>33</v>
      </c>
      <c r="R15" s="69">
        <v>51003</v>
      </c>
      <c r="S15" s="68">
        <f t="shared" si="16"/>
        <v>32</v>
      </c>
      <c r="T15" s="81">
        <f t="shared" si="5"/>
        <v>33.782400000000003</v>
      </c>
      <c r="U15" s="79">
        <f t="shared" si="6"/>
        <v>582.97252000000003</v>
      </c>
      <c r="V15" s="64">
        <v>66714</v>
      </c>
      <c r="W15" s="65">
        <f t="shared" si="17"/>
        <v>19</v>
      </c>
      <c r="X15" s="70">
        <f t="shared" si="30"/>
        <v>5402.5550000000003</v>
      </c>
      <c r="Y15" s="70">
        <f t="shared" si="7"/>
        <v>1859.5594310000001</v>
      </c>
      <c r="Z15" s="70">
        <f t="shared" si="8"/>
        <v>4243.4694354838712</v>
      </c>
      <c r="AA15" s="43">
        <f t="shared" si="9"/>
        <v>6103.0288664838718</v>
      </c>
      <c r="AB15" s="69">
        <v>5934859</v>
      </c>
      <c r="AC15" s="144">
        <f t="shared" si="18"/>
        <v>6415</v>
      </c>
      <c r="AD15" s="127">
        <v>0.67300000000000004</v>
      </c>
      <c r="AE15" s="134">
        <v>301</v>
      </c>
      <c r="AF15" s="64">
        <v>13204842</v>
      </c>
      <c r="AG15" s="65">
        <f t="shared" si="19"/>
        <v>4907</v>
      </c>
      <c r="AH15" s="71">
        <f t="shared" si="20"/>
        <v>981.40000000000009</v>
      </c>
      <c r="AI15" s="64">
        <v>6135796</v>
      </c>
      <c r="AJ15" s="65">
        <f t="shared" si="21"/>
        <v>2170</v>
      </c>
      <c r="AK15" s="71">
        <f t="shared" si="22"/>
        <v>434</v>
      </c>
      <c r="AL15" s="67">
        <v>115455</v>
      </c>
      <c r="AM15" s="65">
        <f t="shared" si="23"/>
        <v>214</v>
      </c>
      <c r="AN15" s="71">
        <f t="shared" si="24"/>
        <v>42.800000000000004</v>
      </c>
      <c r="AO15" s="67">
        <v>5857</v>
      </c>
      <c r="AP15" s="65">
        <f t="shared" si="25"/>
        <v>9</v>
      </c>
      <c r="AQ15" s="134">
        <f t="shared" si="26"/>
        <v>70.56</v>
      </c>
      <c r="AR15" s="64">
        <v>2734</v>
      </c>
      <c r="AS15" s="65">
        <f t="shared" si="27"/>
        <v>0</v>
      </c>
      <c r="AT15" s="71">
        <f t="shared" si="10"/>
        <v>0</v>
      </c>
      <c r="AU15" s="64">
        <v>88</v>
      </c>
      <c r="AV15" s="65">
        <f t="shared" si="28"/>
        <v>1</v>
      </c>
      <c r="AW15" s="71">
        <f t="shared" si="29"/>
        <v>7.84</v>
      </c>
    </row>
    <row r="16" spans="1:49" s="3" customFormat="1" ht="27.95" customHeight="1" x14ac:dyDescent="0.25">
      <c r="A16" s="77">
        <v>45363</v>
      </c>
      <c r="B16" s="67">
        <v>18761266</v>
      </c>
      <c r="C16" s="65">
        <f t="shared" si="3"/>
        <v>7334</v>
      </c>
      <c r="D16" s="65">
        <v>19710472</v>
      </c>
      <c r="E16" s="65">
        <f t="shared" si="11"/>
        <v>6568</v>
      </c>
      <c r="F16" s="65">
        <v>449098</v>
      </c>
      <c r="G16" s="65">
        <f t="shared" si="12"/>
        <v>131</v>
      </c>
      <c r="H16" s="66">
        <f t="shared" si="0"/>
        <v>14033</v>
      </c>
      <c r="I16" s="89">
        <f t="shared" si="1"/>
        <v>2806.6000000000004</v>
      </c>
      <c r="J16" s="67">
        <v>76259</v>
      </c>
      <c r="K16" s="65">
        <f t="shared" si="13"/>
        <v>86</v>
      </c>
      <c r="L16" s="45">
        <f t="shared" si="2"/>
        <v>674.24</v>
      </c>
      <c r="M16" s="64">
        <v>34975</v>
      </c>
      <c r="N16" s="65">
        <f t="shared" si="14"/>
        <v>17</v>
      </c>
      <c r="O16" s="65">
        <v>19906</v>
      </c>
      <c r="P16" s="68">
        <f t="shared" si="15"/>
        <v>14</v>
      </c>
      <c r="Q16" s="68">
        <f t="shared" si="4"/>
        <v>31</v>
      </c>
      <c r="R16" s="69">
        <v>51033</v>
      </c>
      <c r="S16" s="68">
        <f t="shared" si="16"/>
        <v>30</v>
      </c>
      <c r="T16" s="81">
        <f t="shared" si="5"/>
        <v>31.671000000000003</v>
      </c>
      <c r="U16" s="79">
        <f t="shared" si="6"/>
        <v>559.64155000000005</v>
      </c>
      <c r="V16" s="64">
        <v>66732</v>
      </c>
      <c r="W16" s="65">
        <f t="shared" si="17"/>
        <v>18</v>
      </c>
      <c r="X16" s="70">
        <f t="shared" si="30"/>
        <v>5118.2100000000009</v>
      </c>
      <c r="Y16" s="70">
        <f t="shared" si="7"/>
        <v>1761.6878820000004</v>
      </c>
      <c r="Z16" s="70">
        <f t="shared" si="8"/>
        <v>4243.4694354838712</v>
      </c>
      <c r="AA16" s="43">
        <f t="shared" si="9"/>
        <v>6005.1573174838713</v>
      </c>
      <c r="AB16" s="69">
        <v>5940646</v>
      </c>
      <c r="AC16" s="144">
        <f t="shared" si="18"/>
        <v>5787</v>
      </c>
      <c r="AD16" s="127">
        <v>0.71430000000000005</v>
      </c>
      <c r="AE16" s="134">
        <v>301</v>
      </c>
      <c r="AF16" s="64">
        <v>13209698</v>
      </c>
      <c r="AG16" s="65">
        <f t="shared" si="19"/>
        <v>4856</v>
      </c>
      <c r="AH16" s="71">
        <f t="shared" si="20"/>
        <v>971.2</v>
      </c>
      <c r="AI16" s="64">
        <v>6137890</v>
      </c>
      <c r="AJ16" s="65">
        <f t="shared" si="21"/>
        <v>2094</v>
      </c>
      <c r="AK16" s="71">
        <f t="shared" si="22"/>
        <v>418.8</v>
      </c>
      <c r="AL16" s="67">
        <v>115652</v>
      </c>
      <c r="AM16" s="65">
        <f t="shared" si="23"/>
        <v>197</v>
      </c>
      <c r="AN16" s="71">
        <f t="shared" si="24"/>
        <v>39.400000000000006</v>
      </c>
      <c r="AO16" s="67">
        <v>5865</v>
      </c>
      <c r="AP16" s="65">
        <f t="shared" si="25"/>
        <v>8</v>
      </c>
      <c r="AQ16" s="134">
        <f t="shared" si="26"/>
        <v>62.72</v>
      </c>
      <c r="AR16" s="64">
        <v>2735</v>
      </c>
      <c r="AS16" s="65">
        <f t="shared" si="27"/>
        <v>1</v>
      </c>
      <c r="AT16" s="71">
        <f t="shared" si="10"/>
        <v>7.84</v>
      </c>
      <c r="AU16" s="64">
        <v>88</v>
      </c>
      <c r="AV16" s="65">
        <f t="shared" si="28"/>
        <v>0</v>
      </c>
      <c r="AW16" s="71">
        <f t="shared" si="29"/>
        <v>0</v>
      </c>
    </row>
    <row r="17" spans="1:49" s="3" customFormat="1" ht="27.95" customHeight="1" x14ac:dyDescent="0.25">
      <c r="A17" s="77">
        <v>45364</v>
      </c>
      <c r="B17" s="67">
        <v>18768727</v>
      </c>
      <c r="C17" s="65">
        <f t="shared" si="3"/>
        <v>7461</v>
      </c>
      <c r="D17" s="65">
        <v>19717210</v>
      </c>
      <c r="E17" s="65">
        <f t="shared" si="11"/>
        <v>6738</v>
      </c>
      <c r="F17" s="65">
        <v>449228</v>
      </c>
      <c r="G17" s="65">
        <f t="shared" si="12"/>
        <v>130</v>
      </c>
      <c r="H17" s="66">
        <f t="shared" si="0"/>
        <v>14329</v>
      </c>
      <c r="I17" s="89">
        <f t="shared" si="1"/>
        <v>2865.8</v>
      </c>
      <c r="J17" s="67">
        <v>76355</v>
      </c>
      <c r="K17" s="65">
        <f t="shared" si="13"/>
        <v>96</v>
      </c>
      <c r="L17" s="45">
        <f t="shared" si="2"/>
        <v>752.64</v>
      </c>
      <c r="M17" s="64">
        <v>34991</v>
      </c>
      <c r="N17" s="65">
        <f t="shared" si="14"/>
        <v>16</v>
      </c>
      <c r="O17" s="65">
        <v>19921</v>
      </c>
      <c r="P17" s="68">
        <f t="shared" si="15"/>
        <v>15</v>
      </c>
      <c r="Q17" s="68">
        <f t="shared" si="4"/>
        <v>31</v>
      </c>
      <c r="R17" s="69">
        <v>51062</v>
      </c>
      <c r="S17" s="68">
        <f t="shared" si="16"/>
        <v>29</v>
      </c>
      <c r="T17" s="81">
        <f t="shared" si="5"/>
        <v>30.615300000000001</v>
      </c>
      <c r="U17" s="79">
        <f t="shared" si="6"/>
        <v>547.97606500000006</v>
      </c>
      <c r="V17" s="64">
        <v>66750</v>
      </c>
      <c r="W17" s="65">
        <f t="shared" si="17"/>
        <v>18</v>
      </c>
      <c r="X17" s="70">
        <f t="shared" si="30"/>
        <v>5118.2100000000009</v>
      </c>
      <c r="Y17" s="70">
        <f t="shared" ref="Y17:Y35" si="31">X17*0.3442</f>
        <v>1761.6878820000004</v>
      </c>
      <c r="Z17" s="70">
        <f t="shared" si="8"/>
        <v>4243.4694354838712</v>
      </c>
      <c r="AA17" s="43">
        <f t="shared" si="9"/>
        <v>6005.1573174838713</v>
      </c>
      <c r="AB17" s="69">
        <v>5946647</v>
      </c>
      <c r="AC17" s="144">
        <f t="shared" si="18"/>
        <v>6001</v>
      </c>
      <c r="AD17" s="127">
        <v>0.81589999999999996</v>
      </c>
      <c r="AE17" s="134">
        <v>390</v>
      </c>
      <c r="AF17" s="64">
        <v>13214652</v>
      </c>
      <c r="AG17" s="65">
        <f t="shared" si="19"/>
        <v>4954</v>
      </c>
      <c r="AH17" s="71">
        <f t="shared" si="20"/>
        <v>990.80000000000007</v>
      </c>
      <c r="AI17" s="64">
        <v>6140041</v>
      </c>
      <c r="AJ17" s="65">
        <f t="shared" si="21"/>
        <v>2151</v>
      </c>
      <c r="AK17" s="71">
        <f t="shared" si="22"/>
        <v>430.20000000000005</v>
      </c>
      <c r="AL17" s="67">
        <v>115855</v>
      </c>
      <c r="AM17" s="65">
        <f t="shared" si="23"/>
        <v>203</v>
      </c>
      <c r="AN17" s="71">
        <f t="shared" si="24"/>
        <v>40.6</v>
      </c>
      <c r="AO17" s="67">
        <v>5877</v>
      </c>
      <c r="AP17" s="65">
        <f t="shared" si="25"/>
        <v>12</v>
      </c>
      <c r="AQ17" s="134">
        <f t="shared" si="26"/>
        <v>94.08</v>
      </c>
      <c r="AR17" s="64">
        <v>2736</v>
      </c>
      <c r="AS17" s="65">
        <f t="shared" si="27"/>
        <v>1</v>
      </c>
      <c r="AT17" s="71">
        <f t="shared" si="10"/>
        <v>7.84</v>
      </c>
      <c r="AU17" s="64">
        <v>89</v>
      </c>
      <c r="AV17" s="65">
        <f t="shared" si="28"/>
        <v>1</v>
      </c>
      <c r="AW17" s="71">
        <f t="shared" si="29"/>
        <v>7.84</v>
      </c>
    </row>
    <row r="18" spans="1:49" s="3" customFormat="1" ht="27.95" customHeight="1" x14ac:dyDescent="0.25">
      <c r="A18" s="77">
        <v>45365</v>
      </c>
      <c r="B18" s="67">
        <v>18776197</v>
      </c>
      <c r="C18" s="65">
        <f t="shared" si="3"/>
        <v>7470</v>
      </c>
      <c r="D18" s="65">
        <v>19723916</v>
      </c>
      <c r="E18" s="65">
        <f t="shared" si="11"/>
        <v>6706</v>
      </c>
      <c r="F18" s="65">
        <v>449358</v>
      </c>
      <c r="G18" s="65">
        <f t="shared" si="12"/>
        <v>130</v>
      </c>
      <c r="H18" s="66">
        <f t="shared" si="0"/>
        <v>14306</v>
      </c>
      <c r="I18" s="89">
        <f t="shared" si="1"/>
        <v>2861.2000000000003</v>
      </c>
      <c r="J18" s="67">
        <v>76454</v>
      </c>
      <c r="K18" s="65">
        <f t="shared" si="13"/>
        <v>99</v>
      </c>
      <c r="L18" s="45">
        <f t="shared" si="2"/>
        <v>776.16</v>
      </c>
      <c r="M18" s="64">
        <v>35009</v>
      </c>
      <c r="N18" s="65">
        <f t="shared" si="14"/>
        <v>18</v>
      </c>
      <c r="O18" s="65">
        <v>19938</v>
      </c>
      <c r="P18" s="68">
        <f t="shared" si="15"/>
        <v>17</v>
      </c>
      <c r="Q18" s="68">
        <f t="shared" si="4"/>
        <v>35</v>
      </c>
      <c r="R18" s="69">
        <v>51097</v>
      </c>
      <c r="S18" s="68">
        <f t="shared" si="16"/>
        <v>35</v>
      </c>
      <c r="T18" s="81">
        <f t="shared" si="5"/>
        <v>36.9495</v>
      </c>
      <c r="U18" s="79">
        <f t="shared" si="6"/>
        <v>617.968975</v>
      </c>
      <c r="V18" s="64">
        <v>66770</v>
      </c>
      <c r="W18" s="65">
        <f t="shared" si="17"/>
        <v>20</v>
      </c>
      <c r="X18" s="70">
        <f t="shared" si="30"/>
        <v>5686.9000000000005</v>
      </c>
      <c r="Y18" s="70">
        <f t="shared" si="31"/>
        <v>1957.4309800000003</v>
      </c>
      <c r="Z18" s="70">
        <f t="shared" si="8"/>
        <v>4243.4694354838712</v>
      </c>
      <c r="AA18" s="43">
        <f t="shared" si="9"/>
        <v>6200.9004154838713</v>
      </c>
      <c r="AB18" s="69">
        <v>5953355</v>
      </c>
      <c r="AC18" s="144">
        <f t="shared" si="18"/>
        <v>6708</v>
      </c>
      <c r="AD18" s="127">
        <v>0.7429</v>
      </c>
      <c r="AE18" s="134">
        <v>366</v>
      </c>
      <c r="AF18" s="64">
        <v>13219511</v>
      </c>
      <c r="AG18" s="65">
        <f t="shared" si="19"/>
        <v>4859</v>
      </c>
      <c r="AH18" s="71">
        <f t="shared" si="20"/>
        <v>971.80000000000007</v>
      </c>
      <c r="AI18" s="64">
        <v>6142172</v>
      </c>
      <c r="AJ18" s="65">
        <f t="shared" si="21"/>
        <v>2131</v>
      </c>
      <c r="AK18" s="71">
        <f t="shared" si="22"/>
        <v>426.20000000000005</v>
      </c>
      <c r="AL18" s="67">
        <v>116080</v>
      </c>
      <c r="AM18" s="65">
        <f t="shared" si="23"/>
        <v>225</v>
      </c>
      <c r="AN18" s="71">
        <f t="shared" si="24"/>
        <v>45</v>
      </c>
      <c r="AO18" s="67">
        <v>5887</v>
      </c>
      <c r="AP18" s="65">
        <f t="shared" si="25"/>
        <v>10</v>
      </c>
      <c r="AQ18" s="134">
        <f t="shared" si="26"/>
        <v>78.400000000000006</v>
      </c>
      <c r="AR18" s="64">
        <v>2737</v>
      </c>
      <c r="AS18" s="65">
        <f t="shared" si="27"/>
        <v>1</v>
      </c>
      <c r="AT18" s="71">
        <f t="shared" si="10"/>
        <v>7.84</v>
      </c>
      <c r="AU18" s="64">
        <v>90</v>
      </c>
      <c r="AV18" s="65">
        <f t="shared" si="28"/>
        <v>1</v>
      </c>
      <c r="AW18" s="71">
        <f t="shared" si="29"/>
        <v>7.84</v>
      </c>
    </row>
    <row r="19" spans="1:49" s="3" customFormat="1" ht="27.95" customHeight="1" x14ac:dyDescent="0.25">
      <c r="A19" s="77">
        <v>45366</v>
      </c>
      <c r="B19" s="67">
        <v>18783764</v>
      </c>
      <c r="C19" s="65">
        <f t="shared" si="3"/>
        <v>7567</v>
      </c>
      <c r="D19" s="65">
        <v>19730642</v>
      </c>
      <c r="E19" s="65">
        <f t="shared" si="11"/>
        <v>6726</v>
      </c>
      <c r="F19" s="65">
        <v>449492</v>
      </c>
      <c r="G19" s="65">
        <f t="shared" si="12"/>
        <v>134</v>
      </c>
      <c r="H19" s="66">
        <f t="shared" si="0"/>
        <v>14427</v>
      </c>
      <c r="I19" s="89">
        <f t="shared" si="1"/>
        <v>2885.4</v>
      </c>
      <c r="J19" s="67">
        <v>76539</v>
      </c>
      <c r="K19" s="65">
        <f t="shared" si="13"/>
        <v>85</v>
      </c>
      <c r="L19" s="45">
        <f t="shared" si="2"/>
        <v>666.4</v>
      </c>
      <c r="M19" s="64">
        <v>35028</v>
      </c>
      <c r="N19" s="65">
        <f t="shared" si="14"/>
        <v>19</v>
      </c>
      <c r="O19" s="65">
        <v>19951</v>
      </c>
      <c r="P19" s="68">
        <f t="shared" si="15"/>
        <v>13</v>
      </c>
      <c r="Q19" s="68">
        <f t="shared" si="4"/>
        <v>32</v>
      </c>
      <c r="R19" s="69">
        <v>51127</v>
      </c>
      <c r="S19" s="68">
        <f t="shared" si="16"/>
        <v>30</v>
      </c>
      <c r="T19" s="81">
        <f t="shared" si="5"/>
        <v>31.671000000000003</v>
      </c>
      <c r="U19" s="79">
        <f t="shared" si="6"/>
        <v>559.64155000000005</v>
      </c>
      <c r="V19" s="64">
        <v>66790</v>
      </c>
      <c r="W19" s="65">
        <f t="shared" si="17"/>
        <v>20</v>
      </c>
      <c r="X19" s="70">
        <f t="shared" si="30"/>
        <v>5686.9000000000005</v>
      </c>
      <c r="Y19" s="70">
        <f t="shared" si="31"/>
        <v>1957.4309800000003</v>
      </c>
      <c r="Z19" s="70">
        <f t="shared" si="8"/>
        <v>4243.4694354838712</v>
      </c>
      <c r="AA19" s="43">
        <f t="shared" si="9"/>
        <v>6200.9004154838713</v>
      </c>
      <c r="AB19" s="69">
        <v>5959955</v>
      </c>
      <c r="AC19" s="144">
        <f t="shared" si="18"/>
        <v>6600</v>
      </c>
      <c r="AD19" s="127">
        <v>0.65400000000000003</v>
      </c>
      <c r="AE19" s="134">
        <v>334</v>
      </c>
      <c r="AF19" s="64">
        <v>13224334</v>
      </c>
      <c r="AG19" s="65">
        <f t="shared" si="19"/>
        <v>4823</v>
      </c>
      <c r="AH19" s="71">
        <f t="shared" si="20"/>
        <v>964.6</v>
      </c>
      <c r="AI19" s="64">
        <v>6144281</v>
      </c>
      <c r="AJ19" s="65">
        <f t="shared" si="21"/>
        <v>2109</v>
      </c>
      <c r="AK19" s="71">
        <f t="shared" si="22"/>
        <v>421.8</v>
      </c>
      <c r="AL19" s="67">
        <v>116296</v>
      </c>
      <c r="AM19" s="65">
        <f t="shared" si="23"/>
        <v>216</v>
      </c>
      <c r="AN19" s="71">
        <f t="shared" si="24"/>
        <v>43.2</v>
      </c>
      <c r="AO19" s="67">
        <v>5897</v>
      </c>
      <c r="AP19" s="65">
        <f t="shared" si="25"/>
        <v>10</v>
      </c>
      <c r="AQ19" s="134">
        <f t="shared" si="26"/>
        <v>78.400000000000006</v>
      </c>
      <c r="AR19" s="64">
        <v>2737</v>
      </c>
      <c r="AS19" s="65">
        <f t="shared" si="27"/>
        <v>0</v>
      </c>
      <c r="AT19" s="71">
        <f t="shared" si="10"/>
        <v>0</v>
      </c>
      <c r="AU19" s="64">
        <v>90</v>
      </c>
      <c r="AV19" s="65">
        <f t="shared" si="28"/>
        <v>0</v>
      </c>
      <c r="AW19" s="71">
        <f t="shared" si="29"/>
        <v>0</v>
      </c>
    </row>
    <row r="20" spans="1:49" s="3" customFormat="1" ht="27.95" customHeight="1" x14ac:dyDescent="0.25">
      <c r="A20" s="77">
        <v>45367</v>
      </c>
      <c r="B20" s="67">
        <v>18791141</v>
      </c>
      <c r="C20" s="65">
        <f t="shared" si="3"/>
        <v>7377</v>
      </c>
      <c r="D20" s="65">
        <v>19737298</v>
      </c>
      <c r="E20" s="65">
        <f t="shared" si="11"/>
        <v>6656</v>
      </c>
      <c r="F20" s="65">
        <v>449622</v>
      </c>
      <c r="G20" s="65">
        <f t="shared" si="12"/>
        <v>130</v>
      </c>
      <c r="H20" s="66">
        <f t="shared" si="0"/>
        <v>14163</v>
      </c>
      <c r="I20" s="89">
        <f t="shared" si="1"/>
        <v>2832.6000000000004</v>
      </c>
      <c r="J20" s="67">
        <v>76634</v>
      </c>
      <c r="K20" s="65">
        <f t="shared" si="13"/>
        <v>95</v>
      </c>
      <c r="L20" s="45">
        <f t="shared" si="2"/>
        <v>744.8</v>
      </c>
      <c r="M20" s="64">
        <v>35046</v>
      </c>
      <c r="N20" s="65">
        <f t="shared" si="14"/>
        <v>18</v>
      </c>
      <c r="O20" s="65">
        <v>19967</v>
      </c>
      <c r="P20" s="68">
        <f t="shared" si="15"/>
        <v>16</v>
      </c>
      <c r="Q20" s="68">
        <f t="shared" si="4"/>
        <v>34</v>
      </c>
      <c r="R20" s="69">
        <v>51161</v>
      </c>
      <c r="S20" s="68">
        <f t="shared" si="16"/>
        <v>34</v>
      </c>
      <c r="T20" s="81">
        <f t="shared" si="5"/>
        <v>35.893800000000006</v>
      </c>
      <c r="U20" s="79">
        <f t="shared" si="6"/>
        <v>606.30349000000012</v>
      </c>
      <c r="V20" s="64">
        <v>66811</v>
      </c>
      <c r="W20" s="65">
        <f t="shared" si="17"/>
        <v>21</v>
      </c>
      <c r="X20" s="70">
        <f t="shared" si="30"/>
        <v>5971.2450000000008</v>
      </c>
      <c r="Y20" s="70">
        <f t="shared" si="31"/>
        <v>2055.3025290000005</v>
      </c>
      <c r="Z20" s="70">
        <f t="shared" si="8"/>
        <v>4243.4694354838712</v>
      </c>
      <c r="AA20" s="43">
        <f t="shared" si="9"/>
        <v>6298.7719644838717</v>
      </c>
      <c r="AB20" s="69">
        <v>5966666</v>
      </c>
      <c r="AC20" s="144">
        <f t="shared" si="18"/>
        <v>6711</v>
      </c>
      <c r="AD20" s="127">
        <v>0.6825</v>
      </c>
      <c r="AE20" s="134">
        <v>362</v>
      </c>
      <c r="AF20" s="64">
        <v>13228437</v>
      </c>
      <c r="AG20" s="65">
        <f t="shared" si="19"/>
        <v>4103</v>
      </c>
      <c r="AH20" s="71">
        <f t="shared" si="20"/>
        <v>820.6</v>
      </c>
      <c r="AI20" s="64">
        <v>6146220</v>
      </c>
      <c r="AJ20" s="65">
        <f t="shared" si="21"/>
        <v>1939</v>
      </c>
      <c r="AK20" s="71">
        <f t="shared" si="22"/>
        <v>387.8</v>
      </c>
      <c r="AL20" s="67">
        <v>116527</v>
      </c>
      <c r="AM20" s="65">
        <f t="shared" si="23"/>
        <v>231</v>
      </c>
      <c r="AN20" s="71">
        <f t="shared" si="24"/>
        <v>46.2</v>
      </c>
      <c r="AO20" s="67">
        <v>5910</v>
      </c>
      <c r="AP20" s="65">
        <f t="shared" si="25"/>
        <v>13</v>
      </c>
      <c r="AQ20" s="134">
        <f t="shared" si="26"/>
        <v>101.92</v>
      </c>
      <c r="AR20" s="64">
        <v>2739</v>
      </c>
      <c r="AS20" s="65">
        <f t="shared" si="27"/>
        <v>2</v>
      </c>
      <c r="AT20" s="71">
        <f t="shared" si="10"/>
        <v>15.68</v>
      </c>
      <c r="AU20" s="64">
        <v>91</v>
      </c>
      <c r="AV20" s="65">
        <f t="shared" si="28"/>
        <v>1</v>
      </c>
      <c r="AW20" s="71">
        <f t="shared" si="29"/>
        <v>7.84</v>
      </c>
    </row>
    <row r="21" spans="1:49" s="3" customFormat="1" ht="27.95" customHeight="1" x14ac:dyDescent="0.25">
      <c r="A21" s="77">
        <v>45368</v>
      </c>
      <c r="B21" s="67">
        <v>18798934</v>
      </c>
      <c r="C21" s="65">
        <f t="shared" si="3"/>
        <v>7793</v>
      </c>
      <c r="D21" s="65">
        <v>19744168</v>
      </c>
      <c r="E21" s="65">
        <f t="shared" si="11"/>
        <v>6870</v>
      </c>
      <c r="F21" s="65">
        <v>449755</v>
      </c>
      <c r="G21" s="65">
        <f t="shared" si="12"/>
        <v>133</v>
      </c>
      <c r="H21" s="66">
        <f t="shared" si="0"/>
        <v>14796</v>
      </c>
      <c r="I21" s="89">
        <f t="shared" si="1"/>
        <v>2959.2000000000003</v>
      </c>
      <c r="J21" s="67">
        <v>76733</v>
      </c>
      <c r="K21" s="65">
        <f t="shared" si="13"/>
        <v>99</v>
      </c>
      <c r="L21" s="45">
        <f t="shared" si="2"/>
        <v>776.16</v>
      </c>
      <c r="M21" s="64">
        <v>35064</v>
      </c>
      <c r="N21" s="65">
        <f t="shared" si="14"/>
        <v>18</v>
      </c>
      <c r="O21" s="65">
        <v>19983</v>
      </c>
      <c r="P21" s="68">
        <f t="shared" si="15"/>
        <v>16</v>
      </c>
      <c r="Q21" s="68">
        <f t="shared" si="4"/>
        <v>34</v>
      </c>
      <c r="R21" s="69">
        <v>51193</v>
      </c>
      <c r="S21" s="68">
        <f t="shared" si="16"/>
        <v>32</v>
      </c>
      <c r="T21" s="81">
        <f t="shared" si="5"/>
        <v>33.782400000000003</v>
      </c>
      <c r="U21" s="79">
        <f t="shared" si="6"/>
        <v>582.97252000000003</v>
      </c>
      <c r="V21" s="64">
        <v>66833</v>
      </c>
      <c r="W21" s="65">
        <f t="shared" si="17"/>
        <v>22</v>
      </c>
      <c r="X21" s="70">
        <f t="shared" si="30"/>
        <v>6255.59</v>
      </c>
      <c r="Y21" s="70">
        <f t="shared" si="31"/>
        <v>2153.174078</v>
      </c>
      <c r="Z21" s="70">
        <f t="shared" si="8"/>
        <v>4243.4694354838712</v>
      </c>
      <c r="AA21" s="43">
        <f t="shared" si="9"/>
        <v>6396.6435134838712</v>
      </c>
      <c r="AB21" s="69">
        <v>5973376</v>
      </c>
      <c r="AC21" s="144">
        <f t="shared" si="18"/>
        <v>6710</v>
      </c>
      <c r="AD21" s="127">
        <v>0.86029999999999995</v>
      </c>
      <c r="AE21" s="134">
        <v>444</v>
      </c>
      <c r="AF21" s="64">
        <v>13232731</v>
      </c>
      <c r="AG21" s="65">
        <f t="shared" si="19"/>
        <v>4294</v>
      </c>
      <c r="AH21" s="71">
        <f t="shared" si="20"/>
        <v>858.80000000000007</v>
      </c>
      <c r="AI21" s="64">
        <v>6148306</v>
      </c>
      <c r="AJ21" s="65">
        <f t="shared" si="21"/>
        <v>2086</v>
      </c>
      <c r="AK21" s="71">
        <f t="shared" si="22"/>
        <v>417.20000000000005</v>
      </c>
      <c r="AL21" s="67">
        <v>116763</v>
      </c>
      <c r="AM21" s="65">
        <f t="shared" si="23"/>
        <v>236</v>
      </c>
      <c r="AN21" s="71">
        <f t="shared" si="24"/>
        <v>47.2</v>
      </c>
      <c r="AO21" s="67">
        <v>5920</v>
      </c>
      <c r="AP21" s="65">
        <f t="shared" si="25"/>
        <v>10</v>
      </c>
      <c r="AQ21" s="134">
        <f t="shared" si="26"/>
        <v>78.400000000000006</v>
      </c>
      <c r="AR21" s="64">
        <v>2741</v>
      </c>
      <c r="AS21" s="65">
        <f t="shared" si="27"/>
        <v>2</v>
      </c>
      <c r="AT21" s="71">
        <f t="shared" si="10"/>
        <v>15.68</v>
      </c>
      <c r="AU21" s="64">
        <v>92</v>
      </c>
      <c r="AV21" s="65">
        <f t="shared" si="28"/>
        <v>1</v>
      </c>
      <c r="AW21" s="71">
        <f t="shared" si="29"/>
        <v>7.84</v>
      </c>
    </row>
    <row r="22" spans="1:49" s="3" customFormat="1" ht="27.95" customHeight="1" x14ac:dyDescent="0.25">
      <c r="A22" s="77">
        <v>45369</v>
      </c>
      <c r="B22" s="67">
        <v>18806468</v>
      </c>
      <c r="C22" s="65">
        <f t="shared" si="3"/>
        <v>7534</v>
      </c>
      <c r="D22" s="65">
        <v>19750931</v>
      </c>
      <c r="E22" s="65">
        <f t="shared" si="11"/>
        <v>6763</v>
      </c>
      <c r="F22" s="65">
        <v>449889</v>
      </c>
      <c r="G22" s="65">
        <f t="shared" si="12"/>
        <v>134</v>
      </c>
      <c r="H22" s="66">
        <f t="shared" si="0"/>
        <v>14431</v>
      </c>
      <c r="I22" s="89">
        <f t="shared" si="1"/>
        <v>2886.2000000000003</v>
      </c>
      <c r="J22" s="67">
        <v>76837</v>
      </c>
      <c r="K22" s="65">
        <f t="shared" si="13"/>
        <v>104</v>
      </c>
      <c r="L22" s="45">
        <f t="shared" si="2"/>
        <v>815.36</v>
      </c>
      <c r="M22" s="64">
        <v>35080</v>
      </c>
      <c r="N22" s="65">
        <f t="shared" si="14"/>
        <v>16</v>
      </c>
      <c r="O22" s="65">
        <v>19999</v>
      </c>
      <c r="P22" s="68">
        <f t="shared" si="15"/>
        <v>16</v>
      </c>
      <c r="Q22" s="68">
        <f t="shared" si="4"/>
        <v>32</v>
      </c>
      <c r="R22" s="69">
        <v>51225</v>
      </c>
      <c r="S22" s="68">
        <f t="shared" si="16"/>
        <v>32</v>
      </c>
      <c r="T22" s="81">
        <f t="shared" si="5"/>
        <v>33.782400000000003</v>
      </c>
      <c r="U22" s="79">
        <f t="shared" si="6"/>
        <v>582.97252000000003</v>
      </c>
      <c r="V22" s="64">
        <v>66856</v>
      </c>
      <c r="W22" s="65">
        <f t="shared" si="17"/>
        <v>23</v>
      </c>
      <c r="X22" s="70">
        <f t="shared" si="30"/>
        <v>6539.9350000000004</v>
      </c>
      <c r="Y22" s="70">
        <f t="shared" si="31"/>
        <v>2251.045627</v>
      </c>
      <c r="Z22" s="70">
        <f t="shared" si="8"/>
        <v>4243.4694354838712</v>
      </c>
      <c r="AA22" s="43">
        <f t="shared" si="9"/>
        <v>6494.5150624838716</v>
      </c>
      <c r="AB22" s="69">
        <v>5981477</v>
      </c>
      <c r="AC22" s="144">
        <f t="shared" si="18"/>
        <v>8101</v>
      </c>
      <c r="AD22" s="127">
        <v>0.76190000000000002</v>
      </c>
      <c r="AE22" s="134">
        <v>349</v>
      </c>
      <c r="AF22" s="64">
        <v>13237663</v>
      </c>
      <c r="AG22" s="65">
        <f t="shared" si="19"/>
        <v>4932</v>
      </c>
      <c r="AH22" s="71">
        <f t="shared" si="20"/>
        <v>986.40000000000009</v>
      </c>
      <c r="AI22" s="64">
        <v>6150443</v>
      </c>
      <c r="AJ22" s="65">
        <f t="shared" si="21"/>
        <v>2137</v>
      </c>
      <c r="AK22" s="71">
        <f t="shared" si="22"/>
        <v>427.40000000000003</v>
      </c>
      <c r="AL22" s="67">
        <v>117044</v>
      </c>
      <c r="AM22" s="65">
        <f t="shared" si="23"/>
        <v>281</v>
      </c>
      <c r="AN22" s="71">
        <f t="shared" si="24"/>
        <v>56.2</v>
      </c>
      <c r="AO22" s="67">
        <v>5931</v>
      </c>
      <c r="AP22" s="65">
        <f t="shared" si="25"/>
        <v>11</v>
      </c>
      <c r="AQ22" s="134">
        <f t="shared" si="26"/>
        <v>86.24</v>
      </c>
      <c r="AR22" s="64">
        <v>2742</v>
      </c>
      <c r="AS22" s="65">
        <f t="shared" si="27"/>
        <v>1</v>
      </c>
      <c r="AT22" s="71">
        <f t="shared" si="10"/>
        <v>7.84</v>
      </c>
      <c r="AU22" s="64">
        <v>94</v>
      </c>
      <c r="AV22" s="65">
        <f t="shared" si="28"/>
        <v>2</v>
      </c>
      <c r="AW22" s="71">
        <f t="shared" si="29"/>
        <v>15.68</v>
      </c>
    </row>
    <row r="23" spans="1:49" s="3" customFormat="1" ht="27.95" customHeight="1" x14ac:dyDescent="0.25">
      <c r="A23" s="77">
        <v>45370</v>
      </c>
      <c r="B23" s="67">
        <v>18813968</v>
      </c>
      <c r="C23" s="65">
        <f t="shared" si="3"/>
        <v>7500</v>
      </c>
      <c r="D23" s="65">
        <v>19757748</v>
      </c>
      <c r="E23" s="65">
        <f t="shared" si="11"/>
        <v>6817</v>
      </c>
      <c r="F23" s="65">
        <v>450021</v>
      </c>
      <c r="G23" s="65">
        <f t="shared" si="12"/>
        <v>132</v>
      </c>
      <c r="H23" s="66">
        <f t="shared" si="0"/>
        <v>14449</v>
      </c>
      <c r="I23" s="89">
        <f t="shared" si="1"/>
        <v>2889.8</v>
      </c>
      <c r="J23" s="67">
        <v>76928</v>
      </c>
      <c r="K23" s="65">
        <f t="shared" si="13"/>
        <v>91</v>
      </c>
      <c r="L23" s="45">
        <f t="shared" si="2"/>
        <v>713.43999999999994</v>
      </c>
      <c r="M23" s="64">
        <v>35098</v>
      </c>
      <c r="N23" s="65">
        <f t="shared" si="14"/>
        <v>18</v>
      </c>
      <c r="O23" s="65">
        <v>20014</v>
      </c>
      <c r="P23" s="68">
        <f t="shared" si="15"/>
        <v>15</v>
      </c>
      <c r="Q23" s="68">
        <f t="shared" si="4"/>
        <v>33</v>
      </c>
      <c r="R23" s="69">
        <v>51257</v>
      </c>
      <c r="S23" s="68">
        <f t="shared" si="16"/>
        <v>32</v>
      </c>
      <c r="T23" s="81">
        <f t="shared" si="5"/>
        <v>33.782400000000003</v>
      </c>
      <c r="U23" s="79">
        <f t="shared" si="6"/>
        <v>582.97252000000003</v>
      </c>
      <c r="V23" s="64">
        <v>66879</v>
      </c>
      <c r="W23" s="65">
        <f>IF(ISBLANK(V23)," ",V23-V22)</f>
        <v>23</v>
      </c>
      <c r="X23" s="70">
        <f t="shared" si="30"/>
        <v>6539.9350000000004</v>
      </c>
      <c r="Y23" s="70">
        <f t="shared" si="31"/>
        <v>2251.045627</v>
      </c>
      <c r="Z23" s="70">
        <f t="shared" si="8"/>
        <v>4243.4694354838712</v>
      </c>
      <c r="AA23" s="43">
        <f t="shared" si="9"/>
        <v>6494.5150624838716</v>
      </c>
      <c r="AB23" s="69">
        <v>5989192</v>
      </c>
      <c r="AC23" s="144">
        <f t="shared" si="18"/>
        <v>7715</v>
      </c>
      <c r="AD23" s="127">
        <v>0.76829999999999998</v>
      </c>
      <c r="AE23" s="134">
        <v>320</v>
      </c>
      <c r="AF23" s="64">
        <v>13242649</v>
      </c>
      <c r="AG23" s="65">
        <f t="shared" si="19"/>
        <v>4986</v>
      </c>
      <c r="AH23" s="71">
        <f t="shared" si="20"/>
        <v>997.2</v>
      </c>
      <c r="AI23" s="64">
        <v>6152583</v>
      </c>
      <c r="AJ23" s="65">
        <f t="shared" si="21"/>
        <v>2140</v>
      </c>
      <c r="AK23" s="71">
        <f t="shared" si="22"/>
        <v>428</v>
      </c>
      <c r="AL23" s="67">
        <v>117316</v>
      </c>
      <c r="AM23" s="65">
        <f t="shared" si="23"/>
        <v>272</v>
      </c>
      <c r="AN23" s="71">
        <f t="shared" si="24"/>
        <v>54.400000000000006</v>
      </c>
      <c r="AO23" s="67">
        <v>5942</v>
      </c>
      <c r="AP23" s="65">
        <f t="shared" si="25"/>
        <v>11</v>
      </c>
      <c r="AQ23" s="134">
        <f t="shared" si="26"/>
        <v>86.24</v>
      </c>
      <c r="AR23" s="64">
        <v>2743</v>
      </c>
      <c r="AS23" s="65">
        <f t="shared" si="27"/>
        <v>1</v>
      </c>
      <c r="AT23" s="71">
        <f t="shared" si="10"/>
        <v>7.84</v>
      </c>
      <c r="AU23" s="64">
        <v>96</v>
      </c>
      <c r="AV23" s="65">
        <f t="shared" si="28"/>
        <v>2</v>
      </c>
      <c r="AW23" s="71">
        <f t="shared" si="29"/>
        <v>15.68</v>
      </c>
    </row>
    <row r="24" spans="1:49" s="3" customFormat="1" ht="27.95" customHeight="1" x14ac:dyDescent="0.25">
      <c r="A24" s="77">
        <v>45371</v>
      </c>
      <c r="B24" s="67">
        <v>18821527</v>
      </c>
      <c r="C24" s="65">
        <f t="shared" si="3"/>
        <v>7559</v>
      </c>
      <c r="D24" s="65">
        <v>19764523</v>
      </c>
      <c r="E24" s="65">
        <f t="shared" si="11"/>
        <v>6775</v>
      </c>
      <c r="F24" s="65">
        <v>450151</v>
      </c>
      <c r="G24" s="65">
        <f t="shared" si="12"/>
        <v>130</v>
      </c>
      <c r="H24" s="66">
        <f t="shared" si="0"/>
        <v>14464</v>
      </c>
      <c r="I24" s="89">
        <f t="shared" si="1"/>
        <v>2892.8</v>
      </c>
      <c r="J24" s="67">
        <v>77031</v>
      </c>
      <c r="K24" s="65">
        <f t="shared" si="13"/>
        <v>103</v>
      </c>
      <c r="L24" s="45">
        <f t="shared" si="2"/>
        <v>807.52</v>
      </c>
      <c r="M24" s="64">
        <v>35116</v>
      </c>
      <c r="N24" s="65">
        <f t="shared" si="14"/>
        <v>18</v>
      </c>
      <c r="O24" s="65">
        <v>20028</v>
      </c>
      <c r="P24" s="68">
        <f t="shared" si="15"/>
        <v>14</v>
      </c>
      <c r="Q24" s="68">
        <f t="shared" si="4"/>
        <v>32</v>
      </c>
      <c r="R24" s="69">
        <v>51288</v>
      </c>
      <c r="S24" s="68">
        <f t="shared" si="16"/>
        <v>31</v>
      </c>
      <c r="T24" s="81">
        <f t="shared" si="5"/>
        <v>32.726700000000001</v>
      </c>
      <c r="U24" s="79">
        <f t="shared" si="6"/>
        <v>571.30703500000004</v>
      </c>
      <c r="V24" s="64">
        <v>66902</v>
      </c>
      <c r="W24" s="65">
        <f t="shared" ref="W24:W35" si="32">IF(ISBLANK(V24)," ",V24-V23)</f>
        <v>23</v>
      </c>
      <c r="X24" s="70">
        <f t="shared" si="30"/>
        <v>6539.9350000000004</v>
      </c>
      <c r="Y24" s="70">
        <f t="shared" si="31"/>
        <v>2251.045627</v>
      </c>
      <c r="Z24" s="70">
        <f t="shared" si="8"/>
        <v>4243.4694354838712</v>
      </c>
      <c r="AA24" s="43">
        <f t="shared" si="9"/>
        <v>6494.5150624838716</v>
      </c>
      <c r="AB24" s="69">
        <v>5996941</v>
      </c>
      <c r="AC24" s="144">
        <f t="shared" si="18"/>
        <v>7749</v>
      </c>
      <c r="AD24" s="127">
        <v>0.87939999999999996</v>
      </c>
      <c r="AE24" s="134">
        <v>381</v>
      </c>
      <c r="AF24" s="64">
        <v>13247643</v>
      </c>
      <c r="AG24" s="65">
        <f t="shared" si="19"/>
        <v>4994</v>
      </c>
      <c r="AH24" s="71">
        <f t="shared" si="20"/>
        <v>998.80000000000007</v>
      </c>
      <c r="AI24" s="64">
        <v>6154734</v>
      </c>
      <c r="AJ24" s="65">
        <f t="shared" si="21"/>
        <v>2151</v>
      </c>
      <c r="AK24" s="71">
        <f t="shared" si="22"/>
        <v>430.20000000000005</v>
      </c>
      <c r="AL24" s="67">
        <v>117589</v>
      </c>
      <c r="AM24" s="65">
        <f t="shared" si="23"/>
        <v>273</v>
      </c>
      <c r="AN24" s="71">
        <f t="shared" si="24"/>
        <v>54.6</v>
      </c>
      <c r="AO24" s="139">
        <v>5954</v>
      </c>
      <c r="AP24" s="65">
        <f t="shared" si="25"/>
        <v>12</v>
      </c>
      <c r="AQ24" s="134">
        <f t="shared" si="26"/>
        <v>94.08</v>
      </c>
      <c r="AR24" s="138">
        <v>2744</v>
      </c>
      <c r="AS24" s="65">
        <f t="shared" si="27"/>
        <v>1</v>
      </c>
      <c r="AT24" s="71">
        <f t="shared" si="10"/>
        <v>7.84</v>
      </c>
      <c r="AU24" s="64">
        <v>97</v>
      </c>
      <c r="AV24" s="65">
        <f t="shared" si="28"/>
        <v>1</v>
      </c>
      <c r="AW24" s="71">
        <f t="shared" si="29"/>
        <v>7.84</v>
      </c>
    </row>
    <row r="25" spans="1:49" s="7" customFormat="1" ht="27.95" customHeight="1" x14ac:dyDescent="0.25">
      <c r="A25" s="77">
        <v>45372</v>
      </c>
      <c r="B25" s="67">
        <v>18829140</v>
      </c>
      <c r="C25" s="65">
        <f t="shared" si="3"/>
        <v>7613</v>
      </c>
      <c r="D25" s="65">
        <v>19771412</v>
      </c>
      <c r="E25" s="65">
        <f t="shared" si="11"/>
        <v>6889</v>
      </c>
      <c r="F25" s="65">
        <v>450283</v>
      </c>
      <c r="G25" s="65">
        <f t="shared" si="12"/>
        <v>132</v>
      </c>
      <c r="H25" s="66">
        <f t="shared" si="0"/>
        <v>14634</v>
      </c>
      <c r="I25" s="89">
        <f t="shared" si="1"/>
        <v>2926.8</v>
      </c>
      <c r="J25" s="67">
        <v>77125</v>
      </c>
      <c r="K25" s="65">
        <f t="shared" si="13"/>
        <v>94</v>
      </c>
      <c r="L25" s="45">
        <f t="shared" si="2"/>
        <v>736.96</v>
      </c>
      <c r="M25" s="64">
        <v>35135</v>
      </c>
      <c r="N25" s="65">
        <f t="shared" si="14"/>
        <v>19</v>
      </c>
      <c r="O25" s="65">
        <v>20045</v>
      </c>
      <c r="P25" s="68">
        <f t="shared" si="15"/>
        <v>17</v>
      </c>
      <c r="Q25" s="68">
        <f t="shared" si="4"/>
        <v>36</v>
      </c>
      <c r="R25" s="69">
        <v>51322</v>
      </c>
      <c r="S25" s="68">
        <f t="shared" si="16"/>
        <v>34</v>
      </c>
      <c r="T25" s="81">
        <f>S25*1.0557</f>
        <v>35.893800000000006</v>
      </c>
      <c r="U25" s="79">
        <f t="shared" si="6"/>
        <v>606.30349000000012</v>
      </c>
      <c r="V25" s="64">
        <v>66925</v>
      </c>
      <c r="W25" s="65">
        <f t="shared" si="32"/>
        <v>23</v>
      </c>
      <c r="X25" s="70">
        <f t="shared" si="30"/>
        <v>6539.9350000000004</v>
      </c>
      <c r="Y25" s="70">
        <f t="shared" si="31"/>
        <v>2251.045627</v>
      </c>
      <c r="Z25" s="70">
        <f t="shared" si="8"/>
        <v>4243.4694354838712</v>
      </c>
      <c r="AA25" s="44">
        <f t="shared" si="9"/>
        <v>6494.5150624838716</v>
      </c>
      <c r="AB25" s="69">
        <v>6004437</v>
      </c>
      <c r="AC25" s="144">
        <f t="shared" si="18"/>
        <v>7496</v>
      </c>
      <c r="AD25" s="130">
        <v>0.76190000000000002</v>
      </c>
      <c r="AE25" s="135">
        <v>346</v>
      </c>
      <c r="AF25" s="138">
        <v>13252687</v>
      </c>
      <c r="AG25" s="65">
        <f t="shared" si="19"/>
        <v>5044</v>
      </c>
      <c r="AH25" s="71">
        <f t="shared" si="20"/>
        <v>1008.8000000000001</v>
      </c>
      <c r="AI25" s="138">
        <v>6156904</v>
      </c>
      <c r="AJ25" s="65">
        <f t="shared" si="21"/>
        <v>2170</v>
      </c>
      <c r="AK25" s="71">
        <f t="shared" si="22"/>
        <v>434</v>
      </c>
      <c r="AL25" s="139">
        <v>117839</v>
      </c>
      <c r="AM25" s="65">
        <f t="shared" si="23"/>
        <v>250</v>
      </c>
      <c r="AN25" s="71">
        <f t="shared" si="24"/>
        <v>50</v>
      </c>
      <c r="AO25" s="67">
        <v>5965</v>
      </c>
      <c r="AP25" s="65">
        <f t="shared" si="25"/>
        <v>11</v>
      </c>
      <c r="AQ25" s="134">
        <f t="shared" si="26"/>
        <v>86.24</v>
      </c>
      <c r="AR25" s="64">
        <v>2745</v>
      </c>
      <c r="AS25" s="65">
        <f t="shared" si="27"/>
        <v>1</v>
      </c>
      <c r="AT25" s="71">
        <f t="shared" si="10"/>
        <v>7.84</v>
      </c>
      <c r="AU25" s="138">
        <v>98</v>
      </c>
      <c r="AV25" s="65">
        <f t="shared" si="28"/>
        <v>1</v>
      </c>
      <c r="AW25" s="71">
        <f t="shared" si="29"/>
        <v>7.84</v>
      </c>
    </row>
    <row r="26" spans="1:49" s="3" customFormat="1" ht="27.95" customHeight="1" x14ac:dyDescent="0.25">
      <c r="A26" s="77">
        <v>45373</v>
      </c>
      <c r="B26" s="67">
        <v>18836521</v>
      </c>
      <c r="C26" s="65">
        <f t="shared" si="3"/>
        <v>7381</v>
      </c>
      <c r="D26" s="65">
        <v>19778241</v>
      </c>
      <c r="E26" s="65">
        <f t="shared" si="11"/>
        <v>6829</v>
      </c>
      <c r="F26" s="65">
        <v>450416</v>
      </c>
      <c r="G26" s="65">
        <f t="shared" si="12"/>
        <v>133</v>
      </c>
      <c r="H26" s="66">
        <f t="shared" si="0"/>
        <v>14343</v>
      </c>
      <c r="I26" s="89">
        <f t="shared" si="1"/>
        <v>2868.6000000000004</v>
      </c>
      <c r="J26" s="67">
        <v>77229</v>
      </c>
      <c r="K26" s="65">
        <f t="shared" si="13"/>
        <v>104</v>
      </c>
      <c r="L26" s="45">
        <f t="shared" si="2"/>
        <v>815.36</v>
      </c>
      <c r="M26" s="64">
        <v>35153</v>
      </c>
      <c r="N26" s="65">
        <f t="shared" si="14"/>
        <v>18</v>
      </c>
      <c r="O26" s="65">
        <v>20060</v>
      </c>
      <c r="P26" s="68">
        <f t="shared" si="15"/>
        <v>15</v>
      </c>
      <c r="Q26" s="68">
        <f t="shared" si="4"/>
        <v>33</v>
      </c>
      <c r="R26" s="69">
        <v>51355</v>
      </c>
      <c r="S26" s="68">
        <f t="shared" si="16"/>
        <v>33</v>
      </c>
      <c r="T26" s="81">
        <f t="shared" si="5"/>
        <v>34.838100000000004</v>
      </c>
      <c r="U26" s="79">
        <f t="shared" si="6"/>
        <v>594.63800500000002</v>
      </c>
      <c r="V26" s="64">
        <v>66946</v>
      </c>
      <c r="W26" s="65">
        <f t="shared" si="32"/>
        <v>21</v>
      </c>
      <c r="X26" s="70">
        <f t="shared" si="30"/>
        <v>5971.2450000000008</v>
      </c>
      <c r="Y26" s="70">
        <f t="shared" si="31"/>
        <v>2055.3025290000005</v>
      </c>
      <c r="Z26" s="70">
        <f t="shared" si="8"/>
        <v>4243.4694354838712</v>
      </c>
      <c r="AA26" s="43">
        <f t="shared" si="9"/>
        <v>6298.7719644838717</v>
      </c>
      <c r="AB26" s="69">
        <v>6011319</v>
      </c>
      <c r="AC26" s="144">
        <f t="shared" si="18"/>
        <v>6882</v>
      </c>
      <c r="AD26" s="127">
        <v>0.66349999999999998</v>
      </c>
      <c r="AE26" s="134">
        <v>312</v>
      </c>
      <c r="AF26" s="64">
        <v>13257570</v>
      </c>
      <c r="AG26" s="65">
        <f t="shared" si="19"/>
        <v>4883</v>
      </c>
      <c r="AH26" s="71">
        <f t="shared" si="20"/>
        <v>976.6</v>
      </c>
      <c r="AI26" s="64">
        <v>6159065</v>
      </c>
      <c r="AJ26" s="65">
        <f t="shared" si="21"/>
        <v>2161</v>
      </c>
      <c r="AK26" s="71">
        <f t="shared" si="22"/>
        <v>432.20000000000005</v>
      </c>
      <c r="AL26" s="67">
        <v>118069</v>
      </c>
      <c r="AM26" s="65">
        <f t="shared" si="23"/>
        <v>230</v>
      </c>
      <c r="AN26" s="71">
        <f t="shared" si="24"/>
        <v>46</v>
      </c>
      <c r="AO26" s="67">
        <v>5976</v>
      </c>
      <c r="AP26" s="65">
        <f t="shared" si="25"/>
        <v>11</v>
      </c>
      <c r="AQ26" s="134">
        <f t="shared" si="26"/>
        <v>86.24</v>
      </c>
      <c r="AR26" s="64">
        <v>2746</v>
      </c>
      <c r="AS26" s="65">
        <f t="shared" si="27"/>
        <v>1</v>
      </c>
      <c r="AT26" s="71">
        <f t="shared" si="10"/>
        <v>7.84</v>
      </c>
      <c r="AU26" s="64">
        <v>99</v>
      </c>
      <c r="AV26" s="65">
        <f t="shared" si="28"/>
        <v>1</v>
      </c>
      <c r="AW26" s="71">
        <f t="shared" si="29"/>
        <v>7.84</v>
      </c>
    </row>
    <row r="27" spans="1:49" s="3" customFormat="1" ht="27.95" customHeight="1" x14ac:dyDescent="0.25">
      <c r="A27" s="77">
        <v>45374</v>
      </c>
      <c r="B27" s="67">
        <v>18844066</v>
      </c>
      <c r="C27" s="65">
        <f t="shared" si="3"/>
        <v>7545</v>
      </c>
      <c r="D27" s="65">
        <v>19785059</v>
      </c>
      <c r="E27" s="65">
        <f t="shared" si="11"/>
        <v>6818</v>
      </c>
      <c r="F27" s="65">
        <v>450521</v>
      </c>
      <c r="G27" s="65">
        <f t="shared" si="12"/>
        <v>105</v>
      </c>
      <c r="H27" s="66">
        <f t="shared" si="0"/>
        <v>14468</v>
      </c>
      <c r="I27" s="89">
        <f t="shared" si="1"/>
        <v>2893.6000000000004</v>
      </c>
      <c r="J27" s="67">
        <v>77331</v>
      </c>
      <c r="K27" s="65">
        <f>IF(ISBLANK(J27),"0",J27-J26)</f>
        <v>102</v>
      </c>
      <c r="L27" s="45">
        <f t="shared" si="2"/>
        <v>799.68</v>
      </c>
      <c r="M27" s="64">
        <v>35171</v>
      </c>
      <c r="N27" s="65">
        <f t="shared" si="14"/>
        <v>18</v>
      </c>
      <c r="O27" s="65">
        <v>20077</v>
      </c>
      <c r="P27" s="68">
        <f t="shared" si="15"/>
        <v>17</v>
      </c>
      <c r="Q27" s="68">
        <f t="shared" si="4"/>
        <v>35</v>
      </c>
      <c r="R27" s="69">
        <v>51390</v>
      </c>
      <c r="S27" s="68">
        <f t="shared" si="16"/>
        <v>35</v>
      </c>
      <c r="T27" s="81">
        <f t="shared" si="5"/>
        <v>36.9495</v>
      </c>
      <c r="U27" s="79">
        <f t="shared" si="6"/>
        <v>617.968975</v>
      </c>
      <c r="V27" s="64">
        <v>66968</v>
      </c>
      <c r="W27" s="65">
        <f t="shared" si="32"/>
        <v>22</v>
      </c>
      <c r="X27" s="70">
        <f t="shared" si="30"/>
        <v>6255.59</v>
      </c>
      <c r="Y27" s="70">
        <f t="shared" si="31"/>
        <v>2153.174078</v>
      </c>
      <c r="Z27" s="70">
        <f t="shared" si="8"/>
        <v>4243.4694354838712</v>
      </c>
      <c r="AA27" s="43">
        <f t="shared" si="9"/>
        <v>6396.6435134838712</v>
      </c>
      <c r="AB27" s="69">
        <v>6018475</v>
      </c>
      <c r="AC27" s="144">
        <f t="shared" si="18"/>
        <v>7156</v>
      </c>
      <c r="AD27" s="127">
        <v>0.7238</v>
      </c>
      <c r="AE27" s="134">
        <v>360</v>
      </c>
      <c r="AF27" s="64">
        <v>13261701</v>
      </c>
      <c r="AG27" s="65">
        <f t="shared" si="19"/>
        <v>4131</v>
      </c>
      <c r="AH27" s="71">
        <f t="shared" si="20"/>
        <v>826.2</v>
      </c>
      <c r="AI27" s="64">
        <v>6161054</v>
      </c>
      <c r="AJ27" s="65">
        <f t="shared" si="21"/>
        <v>1989</v>
      </c>
      <c r="AK27" s="71">
        <f t="shared" si="22"/>
        <v>397.8</v>
      </c>
      <c r="AL27" s="67">
        <v>118304</v>
      </c>
      <c r="AM27" s="65">
        <f t="shared" si="23"/>
        <v>235</v>
      </c>
      <c r="AN27" s="71">
        <f t="shared" si="24"/>
        <v>47</v>
      </c>
      <c r="AO27" s="67">
        <v>5987</v>
      </c>
      <c r="AP27" s="65">
        <f t="shared" si="25"/>
        <v>11</v>
      </c>
      <c r="AQ27" s="134">
        <f t="shared" si="26"/>
        <v>86.24</v>
      </c>
      <c r="AR27" s="64">
        <v>2747</v>
      </c>
      <c r="AS27" s="65">
        <f t="shared" si="27"/>
        <v>1</v>
      </c>
      <c r="AT27" s="71">
        <f t="shared" si="10"/>
        <v>7.84</v>
      </c>
      <c r="AU27" s="64">
        <v>100</v>
      </c>
      <c r="AV27" s="65">
        <f t="shared" si="28"/>
        <v>1</v>
      </c>
      <c r="AW27" s="71">
        <f t="shared" si="29"/>
        <v>7.84</v>
      </c>
    </row>
    <row r="28" spans="1:49" s="3" customFormat="1" ht="27.95" customHeight="1" x14ac:dyDescent="0.25">
      <c r="A28" s="77">
        <v>45375</v>
      </c>
      <c r="B28" s="67">
        <v>18851526</v>
      </c>
      <c r="C28" s="65">
        <f t="shared" si="3"/>
        <v>7460</v>
      </c>
      <c r="D28" s="65">
        <v>19791709</v>
      </c>
      <c r="E28" s="65">
        <f t="shared" si="11"/>
        <v>6650</v>
      </c>
      <c r="F28" s="65">
        <v>450654</v>
      </c>
      <c r="G28" s="65">
        <f t="shared" si="12"/>
        <v>133</v>
      </c>
      <c r="H28" s="66">
        <f t="shared" si="0"/>
        <v>14243</v>
      </c>
      <c r="I28" s="89">
        <f t="shared" si="1"/>
        <v>2848.6000000000004</v>
      </c>
      <c r="J28" s="67">
        <v>77420</v>
      </c>
      <c r="K28" s="65">
        <f t="shared" si="13"/>
        <v>89</v>
      </c>
      <c r="L28" s="45">
        <f t="shared" si="2"/>
        <v>697.76</v>
      </c>
      <c r="M28" s="64">
        <v>35189</v>
      </c>
      <c r="N28" s="65">
        <f t="shared" si="14"/>
        <v>18</v>
      </c>
      <c r="O28" s="65">
        <v>20091</v>
      </c>
      <c r="P28" s="68">
        <f t="shared" si="15"/>
        <v>14</v>
      </c>
      <c r="Q28" s="68">
        <f t="shared" si="4"/>
        <v>32</v>
      </c>
      <c r="R28" s="69">
        <v>51422</v>
      </c>
      <c r="S28" s="68">
        <f t="shared" si="16"/>
        <v>32</v>
      </c>
      <c r="T28" s="81">
        <f t="shared" si="5"/>
        <v>33.782400000000003</v>
      </c>
      <c r="U28" s="79">
        <f t="shared" si="6"/>
        <v>582.97252000000003</v>
      </c>
      <c r="V28" s="64">
        <v>66991</v>
      </c>
      <c r="W28" s="65">
        <f t="shared" si="32"/>
        <v>23</v>
      </c>
      <c r="X28" s="70">
        <f t="shared" si="30"/>
        <v>6539.9350000000004</v>
      </c>
      <c r="Y28" s="70">
        <f t="shared" si="31"/>
        <v>2251.045627</v>
      </c>
      <c r="Z28" s="70">
        <f t="shared" si="8"/>
        <v>4243.4694354838712</v>
      </c>
      <c r="AA28" s="43">
        <f t="shared" si="9"/>
        <v>6494.5150624838716</v>
      </c>
      <c r="AB28" s="69">
        <v>6025787</v>
      </c>
      <c r="AC28" s="144">
        <f t="shared" si="18"/>
        <v>7312</v>
      </c>
      <c r="AD28" s="127">
        <v>0.73970000000000002</v>
      </c>
      <c r="AE28" s="134">
        <v>341</v>
      </c>
      <c r="AF28" s="64">
        <v>13265926</v>
      </c>
      <c r="AG28" s="65">
        <f t="shared" si="19"/>
        <v>4225</v>
      </c>
      <c r="AH28" s="71">
        <f t="shared" si="20"/>
        <v>845</v>
      </c>
      <c r="AI28" s="64">
        <v>6163056</v>
      </c>
      <c r="AJ28" s="65">
        <f t="shared" si="21"/>
        <v>2002</v>
      </c>
      <c r="AK28" s="71">
        <f t="shared" si="22"/>
        <v>400.40000000000003</v>
      </c>
      <c r="AL28" s="67">
        <v>118546</v>
      </c>
      <c r="AM28" s="65">
        <f t="shared" si="23"/>
        <v>242</v>
      </c>
      <c r="AN28" s="71">
        <f t="shared" si="24"/>
        <v>48.400000000000006</v>
      </c>
      <c r="AO28" s="67">
        <v>5997</v>
      </c>
      <c r="AP28" s="65">
        <f t="shared" si="25"/>
        <v>10</v>
      </c>
      <c r="AQ28" s="134">
        <f t="shared" si="26"/>
        <v>78.400000000000006</v>
      </c>
      <c r="AR28" s="64">
        <v>2748</v>
      </c>
      <c r="AS28" s="65">
        <f t="shared" si="27"/>
        <v>1</v>
      </c>
      <c r="AT28" s="71">
        <f t="shared" si="10"/>
        <v>7.84</v>
      </c>
      <c r="AU28" s="64">
        <v>101</v>
      </c>
      <c r="AV28" s="65">
        <f t="shared" si="28"/>
        <v>1</v>
      </c>
      <c r="AW28" s="71">
        <f t="shared" si="29"/>
        <v>7.84</v>
      </c>
    </row>
    <row r="29" spans="1:49" s="3" customFormat="1" ht="27.95" customHeight="1" x14ac:dyDescent="0.25">
      <c r="A29" s="77">
        <v>45376</v>
      </c>
      <c r="B29" s="67">
        <v>18859212</v>
      </c>
      <c r="C29" s="65">
        <f t="shared" si="3"/>
        <v>7686</v>
      </c>
      <c r="D29" s="65">
        <v>19798548</v>
      </c>
      <c r="E29" s="65">
        <f t="shared" si="11"/>
        <v>6839</v>
      </c>
      <c r="F29" s="65">
        <v>450786</v>
      </c>
      <c r="G29" s="65">
        <f t="shared" si="12"/>
        <v>132</v>
      </c>
      <c r="H29" s="66">
        <f t="shared" si="0"/>
        <v>14657</v>
      </c>
      <c r="I29" s="89">
        <f t="shared" si="1"/>
        <v>2931.4</v>
      </c>
      <c r="J29" s="67">
        <v>77530</v>
      </c>
      <c r="K29" s="65">
        <f t="shared" si="13"/>
        <v>110</v>
      </c>
      <c r="L29" s="45">
        <f t="shared" si="2"/>
        <v>862.4</v>
      </c>
      <c r="M29" s="64">
        <v>35206</v>
      </c>
      <c r="N29" s="65">
        <f t="shared" si="14"/>
        <v>17</v>
      </c>
      <c r="O29" s="65">
        <v>20109</v>
      </c>
      <c r="P29" s="68">
        <f t="shared" si="15"/>
        <v>18</v>
      </c>
      <c r="Q29" s="68">
        <f t="shared" si="4"/>
        <v>35</v>
      </c>
      <c r="R29" s="69">
        <v>51456</v>
      </c>
      <c r="S29" s="68">
        <f t="shared" si="16"/>
        <v>34</v>
      </c>
      <c r="T29" s="81">
        <f t="shared" si="5"/>
        <v>35.893800000000006</v>
      </c>
      <c r="U29" s="79">
        <f t="shared" si="6"/>
        <v>606.30349000000012</v>
      </c>
      <c r="V29" s="64">
        <v>67014</v>
      </c>
      <c r="W29" s="65">
        <f t="shared" si="32"/>
        <v>23</v>
      </c>
      <c r="X29" s="70">
        <f t="shared" si="30"/>
        <v>6539.9350000000004</v>
      </c>
      <c r="Y29" s="70">
        <f t="shared" si="31"/>
        <v>2251.045627</v>
      </c>
      <c r="Z29" s="70">
        <f t="shared" si="8"/>
        <v>4243.4694354838712</v>
      </c>
      <c r="AA29" s="43">
        <f t="shared" si="9"/>
        <v>6494.5150624838716</v>
      </c>
      <c r="AB29" s="69">
        <v>6033571</v>
      </c>
      <c r="AC29" s="144">
        <f t="shared" si="18"/>
        <v>7784</v>
      </c>
      <c r="AD29" s="127">
        <v>0.93969999999999998</v>
      </c>
      <c r="AE29" s="134">
        <v>426</v>
      </c>
      <c r="AF29" s="64">
        <v>13270985</v>
      </c>
      <c r="AG29" s="65">
        <f t="shared" si="19"/>
        <v>5059</v>
      </c>
      <c r="AH29" s="71">
        <f t="shared" si="20"/>
        <v>1011.8000000000001</v>
      </c>
      <c r="AI29" s="64">
        <v>6165234</v>
      </c>
      <c r="AJ29" s="65">
        <f t="shared" si="21"/>
        <v>2178</v>
      </c>
      <c r="AK29" s="71">
        <f t="shared" si="22"/>
        <v>435.6</v>
      </c>
      <c r="AL29" s="67">
        <v>118816</v>
      </c>
      <c r="AM29" s="65">
        <f t="shared" si="23"/>
        <v>270</v>
      </c>
      <c r="AN29" s="71">
        <f t="shared" si="24"/>
        <v>54</v>
      </c>
      <c r="AO29" s="67">
        <v>6005</v>
      </c>
      <c r="AP29" s="65">
        <f t="shared" si="25"/>
        <v>8</v>
      </c>
      <c r="AQ29" s="134">
        <f t="shared" si="26"/>
        <v>62.72</v>
      </c>
      <c r="AR29" s="64">
        <v>2749</v>
      </c>
      <c r="AS29" s="65">
        <f t="shared" si="27"/>
        <v>1</v>
      </c>
      <c r="AT29" s="71">
        <f t="shared" si="10"/>
        <v>7.84</v>
      </c>
      <c r="AU29" s="64">
        <v>102</v>
      </c>
      <c r="AV29" s="65">
        <f t="shared" si="28"/>
        <v>1</v>
      </c>
      <c r="AW29" s="71">
        <f t="shared" si="29"/>
        <v>7.84</v>
      </c>
    </row>
    <row r="30" spans="1:49" s="3" customFormat="1" ht="27.95" customHeight="1" x14ac:dyDescent="0.25">
      <c r="A30" s="77">
        <v>45377</v>
      </c>
      <c r="B30" s="67">
        <v>18866869</v>
      </c>
      <c r="C30" s="65">
        <f t="shared" ref="C30:C35" si="33">IF(ISBLANK(B30),"0",B30-B29)</f>
        <v>7657</v>
      </c>
      <c r="D30" s="65">
        <v>19805286</v>
      </c>
      <c r="E30" s="65">
        <f t="shared" ref="E30:E35" si="34">IF(ISBLANK(D30),"0",D30-D29)</f>
        <v>6738</v>
      </c>
      <c r="F30" s="65">
        <v>450917</v>
      </c>
      <c r="G30" s="65">
        <f t="shared" ref="G30:G35" si="35">IF(ISBLANK(F30),"0",F30-F29)</f>
        <v>131</v>
      </c>
      <c r="H30" s="66">
        <f t="shared" ref="H30:H35" si="36">C30+E30+G30</f>
        <v>14526</v>
      </c>
      <c r="I30" s="89">
        <f t="shared" ref="I30:I35" si="37">H30*0.2</f>
        <v>2905.2000000000003</v>
      </c>
      <c r="J30" s="67">
        <v>77617</v>
      </c>
      <c r="K30" s="65">
        <f t="shared" ref="K30:K35" si="38">IF(ISBLANK(J30),"0",J30-J29)</f>
        <v>87</v>
      </c>
      <c r="L30" s="45">
        <f t="shared" ref="L30:L35" si="39">K30*7.84</f>
        <v>682.08</v>
      </c>
      <c r="M30" s="64">
        <v>35224</v>
      </c>
      <c r="N30" s="65">
        <f t="shared" ref="N30:N35" si="40">IF(ISBLANK(M30),"0",M30-M29)</f>
        <v>18</v>
      </c>
      <c r="O30" s="65">
        <v>20124</v>
      </c>
      <c r="P30" s="68">
        <f t="shared" ref="P30:P34" si="41">IF(ISBLANK(O30),"0",O30-O29)</f>
        <v>15</v>
      </c>
      <c r="Q30" s="68">
        <f t="shared" ref="Q30:Q34" si="42">N30+P30</f>
        <v>33</v>
      </c>
      <c r="R30" s="69">
        <v>51489</v>
      </c>
      <c r="S30" s="68">
        <f t="shared" ref="S30:S34" si="43">IF(ISBLANK(R30),"0",R30-R29)</f>
        <v>33</v>
      </c>
      <c r="T30" s="81">
        <f t="shared" ref="T30:T34" si="44">S30*1.0557</f>
        <v>34.838100000000004</v>
      </c>
      <c r="U30" s="79">
        <f t="shared" si="6"/>
        <v>594.63800500000002</v>
      </c>
      <c r="V30" s="64">
        <v>67035</v>
      </c>
      <c r="W30" s="65">
        <f t="shared" si="32"/>
        <v>21</v>
      </c>
      <c r="X30" s="70">
        <f t="shared" ref="X30:X35" si="45">IF(ISBLANK(V30),"0 ",W30*284.345)</f>
        <v>5971.2450000000008</v>
      </c>
      <c r="Y30" s="70">
        <f t="shared" si="31"/>
        <v>2055.3025290000005</v>
      </c>
      <c r="Z30" s="70">
        <f t="shared" si="8"/>
        <v>4243.4694354838712</v>
      </c>
      <c r="AA30" s="43">
        <f t="shared" ref="AA30:AA35" si="46">Y30+Z30</f>
        <v>6298.7719644838717</v>
      </c>
      <c r="AB30" s="69">
        <v>6040539</v>
      </c>
      <c r="AC30" s="144">
        <f t="shared" si="18"/>
        <v>6968</v>
      </c>
      <c r="AD30" s="127">
        <v>0.87619999999999998</v>
      </c>
      <c r="AE30" s="134">
        <v>380</v>
      </c>
      <c r="AF30" s="64">
        <v>13275903</v>
      </c>
      <c r="AG30" s="65">
        <f t="shared" si="19"/>
        <v>4918</v>
      </c>
      <c r="AH30" s="71">
        <f t="shared" si="20"/>
        <v>983.6</v>
      </c>
      <c r="AI30" s="64">
        <v>6167357</v>
      </c>
      <c r="AJ30" s="65">
        <f t="shared" si="21"/>
        <v>2123</v>
      </c>
      <c r="AK30" s="71">
        <f t="shared" si="22"/>
        <v>424.6</v>
      </c>
      <c r="AL30" s="67">
        <v>119060</v>
      </c>
      <c r="AM30" s="65">
        <f t="shared" si="23"/>
        <v>244</v>
      </c>
      <c r="AN30" s="71">
        <f t="shared" si="24"/>
        <v>48.800000000000004</v>
      </c>
      <c r="AO30" s="67">
        <v>6015</v>
      </c>
      <c r="AP30" s="65">
        <f t="shared" si="25"/>
        <v>10</v>
      </c>
      <c r="AQ30" s="134">
        <f t="shared" si="26"/>
        <v>78.400000000000006</v>
      </c>
      <c r="AR30" s="64">
        <v>2750</v>
      </c>
      <c r="AS30" s="65">
        <f t="shared" si="27"/>
        <v>1</v>
      </c>
      <c r="AT30" s="71">
        <f t="shared" si="10"/>
        <v>7.84</v>
      </c>
      <c r="AU30" s="64">
        <v>103</v>
      </c>
      <c r="AV30" s="65">
        <f t="shared" si="28"/>
        <v>1</v>
      </c>
      <c r="AW30" s="71">
        <f t="shared" si="29"/>
        <v>7.84</v>
      </c>
    </row>
    <row r="31" spans="1:49" s="3" customFormat="1" ht="27.95" customHeight="1" x14ac:dyDescent="0.25">
      <c r="A31" s="77">
        <v>45378</v>
      </c>
      <c r="B31" s="67">
        <v>18874762</v>
      </c>
      <c r="C31" s="65">
        <f t="shared" si="33"/>
        <v>7893</v>
      </c>
      <c r="D31" s="65">
        <v>19812058</v>
      </c>
      <c r="E31" s="65">
        <f t="shared" si="34"/>
        <v>6772</v>
      </c>
      <c r="F31" s="65">
        <v>451050</v>
      </c>
      <c r="G31" s="65">
        <f t="shared" si="35"/>
        <v>133</v>
      </c>
      <c r="H31" s="66">
        <f t="shared" si="36"/>
        <v>14798</v>
      </c>
      <c r="I31" s="89">
        <f t="shared" si="37"/>
        <v>2959.6000000000004</v>
      </c>
      <c r="J31" s="67">
        <v>77733</v>
      </c>
      <c r="K31" s="65">
        <f t="shared" si="38"/>
        <v>116</v>
      </c>
      <c r="L31" s="45">
        <f t="shared" si="39"/>
        <v>909.43999999999994</v>
      </c>
      <c r="M31" s="64">
        <v>35242</v>
      </c>
      <c r="N31" s="65">
        <f t="shared" si="40"/>
        <v>18</v>
      </c>
      <c r="O31" s="65">
        <v>20134</v>
      </c>
      <c r="P31" s="68">
        <f t="shared" si="15"/>
        <v>10</v>
      </c>
      <c r="Q31" s="68">
        <f t="shared" si="4"/>
        <v>28</v>
      </c>
      <c r="R31" s="69">
        <v>51514</v>
      </c>
      <c r="S31" s="68">
        <f t="shared" si="16"/>
        <v>25</v>
      </c>
      <c r="T31" s="81">
        <f t="shared" si="5"/>
        <v>26.392500000000002</v>
      </c>
      <c r="U31" s="79">
        <f t="shared" si="6"/>
        <v>501.31412499999999</v>
      </c>
      <c r="V31" s="64">
        <v>67053</v>
      </c>
      <c r="W31" s="65">
        <f t="shared" si="32"/>
        <v>18</v>
      </c>
      <c r="X31" s="70">
        <f t="shared" si="45"/>
        <v>5118.2100000000009</v>
      </c>
      <c r="Y31" s="70">
        <f t="shared" si="31"/>
        <v>1761.6878820000004</v>
      </c>
      <c r="Z31" s="70">
        <f t="shared" si="8"/>
        <v>4243.4694354838712</v>
      </c>
      <c r="AA31" s="43">
        <f t="shared" si="46"/>
        <v>6005.1573174838713</v>
      </c>
      <c r="AB31" s="69">
        <v>6046381</v>
      </c>
      <c r="AC31" s="144">
        <f t="shared" si="18"/>
        <v>5842</v>
      </c>
      <c r="AD31" s="127">
        <v>0.9587</v>
      </c>
      <c r="AE31" s="134">
        <v>439</v>
      </c>
      <c r="AF31" s="64">
        <v>13280909</v>
      </c>
      <c r="AG31" s="65">
        <f t="shared" si="19"/>
        <v>5006</v>
      </c>
      <c r="AH31" s="71">
        <f t="shared" si="20"/>
        <v>1001.2</v>
      </c>
      <c r="AI31" s="64">
        <v>6169602</v>
      </c>
      <c r="AJ31" s="65">
        <f t="shared" si="21"/>
        <v>2245</v>
      </c>
      <c r="AK31" s="71">
        <f t="shared" si="22"/>
        <v>449</v>
      </c>
      <c r="AL31" s="67">
        <v>119260</v>
      </c>
      <c r="AM31" s="65">
        <f t="shared" si="23"/>
        <v>200</v>
      </c>
      <c r="AN31" s="71">
        <f t="shared" si="24"/>
        <v>40</v>
      </c>
      <c r="AO31" s="67">
        <v>6024</v>
      </c>
      <c r="AP31" s="65">
        <f t="shared" si="25"/>
        <v>9</v>
      </c>
      <c r="AQ31" s="134">
        <f t="shared" si="26"/>
        <v>70.56</v>
      </c>
      <c r="AR31" s="64">
        <v>2751</v>
      </c>
      <c r="AS31" s="65">
        <f t="shared" si="27"/>
        <v>1</v>
      </c>
      <c r="AT31" s="71">
        <f t="shared" si="10"/>
        <v>7.84</v>
      </c>
      <c r="AU31" s="64">
        <v>104</v>
      </c>
      <c r="AV31" s="65">
        <f t="shared" si="28"/>
        <v>1</v>
      </c>
      <c r="AW31" s="71">
        <f t="shared" si="29"/>
        <v>7.84</v>
      </c>
    </row>
    <row r="32" spans="1:49" s="3" customFormat="1" ht="27.95" customHeight="1" x14ac:dyDescent="0.25">
      <c r="A32" s="77">
        <v>45379</v>
      </c>
      <c r="B32" s="67">
        <v>18882509</v>
      </c>
      <c r="C32" s="65">
        <f t="shared" si="33"/>
        <v>7747</v>
      </c>
      <c r="D32" s="65">
        <v>19819020</v>
      </c>
      <c r="E32" s="65">
        <f t="shared" si="34"/>
        <v>6962</v>
      </c>
      <c r="F32" s="65">
        <v>451185</v>
      </c>
      <c r="G32" s="65">
        <f t="shared" si="35"/>
        <v>135</v>
      </c>
      <c r="H32" s="66">
        <f t="shared" si="36"/>
        <v>14844</v>
      </c>
      <c r="I32" s="89">
        <f t="shared" si="37"/>
        <v>2968.8</v>
      </c>
      <c r="J32" s="67">
        <v>77856</v>
      </c>
      <c r="K32" s="65">
        <f t="shared" si="38"/>
        <v>123</v>
      </c>
      <c r="L32" s="45">
        <f t="shared" si="39"/>
        <v>964.31999999999994</v>
      </c>
      <c r="M32" s="64">
        <v>35261</v>
      </c>
      <c r="N32" s="65">
        <f t="shared" si="40"/>
        <v>19</v>
      </c>
      <c r="O32" s="65">
        <v>20145</v>
      </c>
      <c r="P32" s="68">
        <f t="shared" si="41"/>
        <v>11</v>
      </c>
      <c r="Q32" s="68">
        <f t="shared" si="42"/>
        <v>30</v>
      </c>
      <c r="R32" s="69">
        <v>51542</v>
      </c>
      <c r="S32" s="68">
        <f t="shared" si="43"/>
        <v>28</v>
      </c>
      <c r="T32" s="81">
        <f t="shared" si="44"/>
        <v>29.559600000000003</v>
      </c>
      <c r="U32" s="79">
        <f t="shared" si="6"/>
        <v>536.31058000000007</v>
      </c>
      <c r="V32" s="64">
        <v>67072</v>
      </c>
      <c r="W32" s="65">
        <f t="shared" si="32"/>
        <v>19</v>
      </c>
      <c r="X32" s="70">
        <f t="shared" si="45"/>
        <v>5402.5550000000003</v>
      </c>
      <c r="Y32" s="70">
        <f t="shared" si="31"/>
        <v>1859.5594310000001</v>
      </c>
      <c r="Z32" s="70">
        <f t="shared" si="8"/>
        <v>4243.4694354838712</v>
      </c>
      <c r="AA32" s="43">
        <f t="shared" si="46"/>
        <v>6103.0288664838718</v>
      </c>
      <c r="AB32" s="69">
        <v>6052580</v>
      </c>
      <c r="AC32" s="144">
        <f t="shared" si="18"/>
        <v>6199</v>
      </c>
      <c r="AD32" s="127">
        <v>0.80320000000000003</v>
      </c>
      <c r="AE32" s="134">
        <v>379</v>
      </c>
      <c r="AF32" s="64">
        <v>13285876</v>
      </c>
      <c r="AG32" s="65">
        <f t="shared" si="19"/>
        <v>4967</v>
      </c>
      <c r="AH32" s="71">
        <f t="shared" si="20"/>
        <v>993.40000000000009</v>
      </c>
      <c r="AI32" s="64">
        <v>6171799</v>
      </c>
      <c r="AJ32" s="65">
        <f t="shared" si="21"/>
        <v>2197</v>
      </c>
      <c r="AK32" s="71">
        <f t="shared" si="22"/>
        <v>439.40000000000003</v>
      </c>
      <c r="AL32" s="67">
        <v>119477</v>
      </c>
      <c r="AM32" s="65">
        <f t="shared" si="23"/>
        <v>217</v>
      </c>
      <c r="AN32" s="71">
        <f t="shared" si="24"/>
        <v>43.400000000000006</v>
      </c>
      <c r="AO32" s="67">
        <v>6033</v>
      </c>
      <c r="AP32" s="65">
        <f t="shared" si="25"/>
        <v>9</v>
      </c>
      <c r="AQ32" s="134">
        <f t="shared" si="26"/>
        <v>70.56</v>
      </c>
      <c r="AR32" s="64">
        <v>2752</v>
      </c>
      <c r="AS32" s="65">
        <f t="shared" si="27"/>
        <v>1</v>
      </c>
      <c r="AT32" s="71">
        <f t="shared" si="10"/>
        <v>7.84</v>
      </c>
      <c r="AU32" s="64">
        <v>105</v>
      </c>
      <c r="AV32" s="65">
        <f t="shared" si="28"/>
        <v>1</v>
      </c>
      <c r="AW32" s="71">
        <f t="shared" si="29"/>
        <v>7.84</v>
      </c>
    </row>
    <row r="33" spans="1:165" s="3" customFormat="1" ht="27.95" customHeight="1" x14ac:dyDescent="0.25">
      <c r="A33" s="77">
        <v>45380</v>
      </c>
      <c r="B33" s="67">
        <v>18890341</v>
      </c>
      <c r="C33" s="65">
        <f t="shared" si="33"/>
        <v>7832</v>
      </c>
      <c r="D33" s="65">
        <v>19826083</v>
      </c>
      <c r="E33" s="65">
        <f t="shared" si="34"/>
        <v>7063</v>
      </c>
      <c r="F33" s="65">
        <v>451318</v>
      </c>
      <c r="G33" s="65">
        <f t="shared" si="35"/>
        <v>133</v>
      </c>
      <c r="H33" s="66">
        <f t="shared" si="36"/>
        <v>15028</v>
      </c>
      <c r="I33" s="89">
        <f t="shared" si="37"/>
        <v>3005.6000000000004</v>
      </c>
      <c r="J33" s="67">
        <v>77962</v>
      </c>
      <c r="K33" s="65">
        <f t="shared" si="38"/>
        <v>106</v>
      </c>
      <c r="L33" s="45">
        <f t="shared" si="39"/>
        <v>831.04</v>
      </c>
      <c r="M33" s="64">
        <v>35280</v>
      </c>
      <c r="N33" s="65">
        <f t="shared" si="40"/>
        <v>19</v>
      </c>
      <c r="O33" s="65">
        <v>20162</v>
      </c>
      <c r="P33" s="68">
        <f t="shared" si="15"/>
        <v>17</v>
      </c>
      <c r="Q33" s="68">
        <f t="shared" si="4"/>
        <v>36</v>
      </c>
      <c r="R33" s="69">
        <v>51577</v>
      </c>
      <c r="S33" s="68">
        <f t="shared" si="16"/>
        <v>35</v>
      </c>
      <c r="T33" s="81">
        <f t="shared" si="5"/>
        <v>36.9495</v>
      </c>
      <c r="U33" s="79">
        <f t="shared" si="6"/>
        <v>617.968975</v>
      </c>
      <c r="V33" s="64">
        <v>67092</v>
      </c>
      <c r="W33" s="65">
        <f t="shared" si="32"/>
        <v>20</v>
      </c>
      <c r="X33" s="70">
        <f t="shared" si="45"/>
        <v>5686.9000000000005</v>
      </c>
      <c r="Y33" s="70">
        <f t="shared" si="31"/>
        <v>1957.4309800000003</v>
      </c>
      <c r="Z33" s="70">
        <f t="shared" si="8"/>
        <v>4243.4694354838712</v>
      </c>
      <c r="AA33" s="43">
        <f t="shared" si="46"/>
        <v>6200.9004154838713</v>
      </c>
      <c r="AB33" s="69">
        <v>6058909</v>
      </c>
      <c r="AC33" s="144">
        <f t="shared" si="18"/>
        <v>6329</v>
      </c>
      <c r="AD33" s="127">
        <v>0.75870000000000004</v>
      </c>
      <c r="AE33" s="134">
        <v>391</v>
      </c>
      <c r="AF33" s="64">
        <v>13290671</v>
      </c>
      <c r="AG33" s="65">
        <f t="shared" si="19"/>
        <v>4795</v>
      </c>
      <c r="AH33" s="71">
        <f t="shared" si="20"/>
        <v>959</v>
      </c>
      <c r="AI33" s="64">
        <v>6173972</v>
      </c>
      <c r="AJ33" s="65">
        <f t="shared" si="21"/>
        <v>2173</v>
      </c>
      <c r="AK33" s="71">
        <f t="shared" si="22"/>
        <v>434.6</v>
      </c>
      <c r="AL33" s="67">
        <v>119688</v>
      </c>
      <c r="AM33" s="65">
        <f t="shared" si="23"/>
        <v>211</v>
      </c>
      <c r="AN33" s="71">
        <f t="shared" si="24"/>
        <v>42.2</v>
      </c>
      <c r="AO33" s="67">
        <v>6044</v>
      </c>
      <c r="AP33" s="65">
        <f t="shared" si="25"/>
        <v>11</v>
      </c>
      <c r="AQ33" s="134">
        <f t="shared" si="26"/>
        <v>86.24</v>
      </c>
      <c r="AR33" s="64">
        <v>2754</v>
      </c>
      <c r="AS33" s="65">
        <f t="shared" si="27"/>
        <v>2</v>
      </c>
      <c r="AT33" s="71">
        <f t="shared" si="10"/>
        <v>15.68</v>
      </c>
      <c r="AU33" s="64">
        <v>106</v>
      </c>
      <c r="AV33" s="65">
        <f t="shared" si="28"/>
        <v>1</v>
      </c>
      <c r="AW33" s="71">
        <f t="shared" si="29"/>
        <v>7.84</v>
      </c>
    </row>
    <row r="34" spans="1:165" s="3" customFormat="1" ht="27.95" customHeight="1" x14ac:dyDescent="0.25">
      <c r="A34" s="77">
        <v>45381</v>
      </c>
      <c r="B34" s="67">
        <v>18898137</v>
      </c>
      <c r="C34" s="65">
        <f t="shared" si="33"/>
        <v>7796</v>
      </c>
      <c r="D34" s="65">
        <v>19833158</v>
      </c>
      <c r="E34" s="65">
        <f t="shared" si="34"/>
        <v>7075</v>
      </c>
      <c r="F34" s="65">
        <v>451446</v>
      </c>
      <c r="G34" s="65">
        <f t="shared" si="35"/>
        <v>128</v>
      </c>
      <c r="H34" s="66">
        <f t="shared" si="36"/>
        <v>14999</v>
      </c>
      <c r="I34" s="89">
        <f t="shared" si="37"/>
        <v>2999.8</v>
      </c>
      <c r="J34" s="67">
        <v>78055</v>
      </c>
      <c r="K34" s="65">
        <f t="shared" si="38"/>
        <v>93</v>
      </c>
      <c r="L34" s="45">
        <f t="shared" si="39"/>
        <v>729.12</v>
      </c>
      <c r="M34" s="64">
        <v>35299</v>
      </c>
      <c r="N34" s="65">
        <f t="shared" si="40"/>
        <v>19</v>
      </c>
      <c r="O34" s="65">
        <v>20179</v>
      </c>
      <c r="P34" s="68">
        <f t="shared" si="41"/>
        <v>17</v>
      </c>
      <c r="Q34" s="68">
        <f t="shared" si="42"/>
        <v>36</v>
      </c>
      <c r="R34" s="69">
        <v>51611</v>
      </c>
      <c r="S34" s="68">
        <f t="shared" si="43"/>
        <v>34</v>
      </c>
      <c r="T34" s="81">
        <f t="shared" si="44"/>
        <v>35.893800000000006</v>
      </c>
      <c r="U34" s="79">
        <f t="shared" si="6"/>
        <v>606.30349000000012</v>
      </c>
      <c r="V34" s="165">
        <v>67112</v>
      </c>
      <c r="W34" s="65">
        <f t="shared" si="32"/>
        <v>20</v>
      </c>
      <c r="X34" s="70">
        <f t="shared" si="45"/>
        <v>5686.9000000000005</v>
      </c>
      <c r="Y34" s="70">
        <f t="shared" si="31"/>
        <v>1957.4309800000003</v>
      </c>
      <c r="Z34" s="70">
        <f t="shared" si="8"/>
        <v>4243.4694354838712</v>
      </c>
      <c r="AA34" s="43">
        <f t="shared" si="46"/>
        <v>6200.9004154838713</v>
      </c>
      <c r="AB34" s="168">
        <v>6065397</v>
      </c>
      <c r="AC34" s="144">
        <f t="shared" si="18"/>
        <v>6488</v>
      </c>
      <c r="AD34" s="127">
        <v>0.70789999999999997</v>
      </c>
      <c r="AE34" s="134">
        <v>360</v>
      </c>
      <c r="AF34" s="165">
        <v>13294959</v>
      </c>
      <c r="AG34" s="65">
        <f t="shared" si="19"/>
        <v>4288</v>
      </c>
      <c r="AH34" s="71">
        <f t="shared" si="20"/>
        <v>857.6</v>
      </c>
      <c r="AI34" s="165">
        <v>6176061</v>
      </c>
      <c r="AJ34" s="65">
        <f t="shared" si="21"/>
        <v>2089</v>
      </c>
      <c r="AK34" s="71">
        <f t="shared" si="22"/>
        <v>417.8</v>
      </c>
      <c r="AL34" s="67">
        <v>119907</v>
      </c>
      <c r="AM34" s="65">
        <f t="shared" si="23"/>
        <v>219</v>
      </c>
      <c r="AN34" s="71">
        <f t="shared" si="24"/>
        <v>43.800000000000004</v>
      </c>
      <c r="AO34" s="67">
        <v>6054</v>
      </c>
      <c r="AP34" s="65">
        <f t="shared" si="25"/>
        <v>10</v>
      </c>
      <c r="AQ34" s="134">
        <f t="shared" si="26"/>
        <v>78.400000000000006</v>
      </c>
      <c r="AR34" s="64">
        <v>2755</v>
      </c>
      <c r="AS34" s="65">
        <f t="shared" si="27"/>
        <v>1</v>
      </c>
      <c r="AT34" s="71">
        <f t="shared" si="10"/>
        <v>7.84</v>
      </c>
      <c r="AU34" s="64">
        <v>107</v>
      </c>
      <c r="AV34" s="65">
        <f t="shared" si="28"/>
        <v>1</v>
      </c>
      <c r="AW34" s="71">
        <f t="shared" si="29"/>
        <v>7.84</v>
      </c>
    </row>
    <row r="35" spans="1:165" s="3" customFormat="1" ht="27.95" customHeight="1" thickBot="1" x14ac:dyDescent="0.3">
      <c r="A35" s="77">
        <v>45382</v>
      </c>
      <c r="B35" s="67">
        <v>18905507</v>
      </c>
      <c r="C35" s="65">
        <f t="shared" si="33"/>
        <v>7370</v>
      </c>
      <c r="D35" s="65">
        <v>19839933</v>
      </c>
      <c r="E35" s="65">
        <f t="shared" si="34"/>
        <v>6775</v>
      </c>
      <c r="F35" s="65">
        <v>451579</v>
      </c>
      <c r="G35" s="65">
        <f t="shared" si="35"/>
        <v>133</v>
      </c>
      <c r="H35" s="66">
        <f t="shared" si="36"/>
        <v>14278</v>
      </c>
      <c r="I35" s="89">
        <f t="shared" si="37"/>
        <v>2855.6000000000004</v>
      </c>
      <c r="J35" s="67">
        <v>78151</v>
      </c>
      <c r="K35" s="65">
        <f t="shared" si="38"/>
        <v>96</v>
      </c>
      <c r="L35" s="45">
        <f t="shared" si="39"/>
        <v>752.64</v>
      </c>
      <c r="M35" s="64">
        <v>35317</v>
      </c>
      <c r="N35" s="65">
        <f t="shared" si="40"/>
        <v>18</v>
      </c>
      <c r="O35" s="65">
        <v>20194</v>
      </c>
      <c r="P35" s="68">
        <f t="shared" si="15"/>
        <v>15</v>
      </c>
      <c r="Q35" s="68">
        <f t="shared" si="4"/>
        <v>33</v>
      </c>
      <c r="R35" s="69">
        <v>51644</v>
      </c>
      <c r="S35" s="68">
        <f t="shared" si="16"/>
        <v>33</v>
      </c>
      <c r="T35" s="81">
        <f t="shared" si="5"/>
        <v>34.838100000000004</v>
      </c>
      <c r="U35" s="79">
        <f t="shared" si="6"/>
        <v>594.63800500000002</v>
      </c>
      <c r="V35" s="165">
        <v>67133</v>
      </c>
      <c r="W35" s="65">
        <f t="shared" si="32"/>
        <v>21</v>
      </c>
      <c r="X35" s="166">
        <f t="shared" si="45"/>
        <v>5971.2450000000008</v>
      </c>
      <c r="Y35" s="166">
        <f t="shared" si="31"/>
        <v>2055.3025290000005</v>
      </c>
      <c r="Z35" s="166">
        <f t="shared" si="8"/>
        <v>4243.4694354838712</v>
      </c>
      <c r="AA35" s="167">
        <f t="shared" si="46"/>
        <v>6298.7719644838717</v>
      </c>
      <c r="AB35" s="168">
        <v>6071978</v>
      </c>
      <c r="AC35" s="144">
        <f t="shared" si="18"/>
        <v>6581</v>
      </c>
      <c r="AD35" s="127">
        <v>0.71109999999999995</v>
      </c>
      <c r="AE35" s="134">
        <v>332</v>
      </c>
      <c r="AF35" s="132">
        <v>13299071</v>
      </c>
      <c r="AG35" s="65">
        <f t="shared" si="19"/>
        <v>4112</v>
      </c>
      <c r="AH35" s="71">
        <f t="shared" si="20"/>
        <v>822.40000000000009</v>
      </c>
      <c r="AI35" s="132">
        <v>6178017</v>
      </c>
      <c r="AJ35" s="65">
        <f t="shared" si="21"/>
        <v>1956</v>
      </c>
      <c r="AK35" s="149">
        <f t="shared" si="22"/>
        <v>391.20000000000005</v>
      </c>
      <c r="AL35" s="67">
        <v>120132</v>
      </c>
      <c r="AM35" s="65">
        <f t="shared" si="23"/>
        <v>225</v>
      </c>
      <c r="AN35" s="71">
        <f t="shared" si="24"/>
        <v>45</v>
      </c>
      <c r="AO35" s="67">
        <v>6061</v>
      </c>
      <c r="AP35" s="65">
        <f t="shared" si="25"/>
        <v>7</v>
      </c>
      <c r="AQ35" s="134">
        <f t="shared" si="26"/>
        <v>54.879999999999995</v>
      </c>
      <c r="AR35" s="64">
        <v>2755</v>
      </c>
      <c r="AS35" s="65">
        <f t="shared" si="27"/>
        <v>0</v>
      </c>
      <c r="AT35" s="71">
        <f t="shared" si="10"/>
        <v>0</v>
      </c>
      <c r="AU35" s="64">
        <v>109</v>
      </c>
      <c r="AV35" s="65">
        <f t="shared" si="28"/>
        <v>2</v>
      </c>
      <c r="AW35" s="71">
        <f t="shared" si="29"/>
        <v>15.68</v>
      </c>
    </row>
    <row r="36" spans="1:165" s="55" customFormat="1" ht="27.95" customHeight="1" thickBot="1" x14ac:dyDescent="0.3">
      <c r="A36" s="154"/>
      <c r="B36" s="46"/>
      <c r="C36" s="47">
        <f>SUM(C5:C35)</f>
        <v>234928</v>
      </c>
      <c r="D36" s="47"/>
      <c r="E36" s="47">
        <f>SUM(E5:E35)</f>
        <v>207976</v>
      </c>
      <c r="F36" s="48"/>
      <c r="G36" s="47">
        <f>SUM(G5:G35)</f>
        <v>3895</v>
      </c>
      <c r="H36" s="49">
        <f>SUM(H5:H35)</f>
        <v>446799</v>
      </c>
      <c r="I36" s="63">
        <f>H36*0.2</f>
        <v>89359.8</v>
      </c>
      <c r="J36" s="46"/>
      <c r="K36" s="47">
        <f>SUM(K5:K35)</f>
        <v>3047</v>
      </c>
      <c r="L36" s="63">
        <f>K36*7.84</f>
        <v>23888.48</v>
      </c>
      <c r="M36" s="46"/>
      <c r="N36" s="49">
        <f>SUM(N5:N35)</f>
        <v>569</v>
      </c>
      <c r="O36" s="50"/>
      <c r="P36" s="49">
        <f>SUM(P5:P35)</f>
        <v>452</v>
      </c>
      <c r="Q36" s="49">
        <f>SUM(Q5:Q35)</f>
        <v>1021</v>
      </c>
      <c r="R36" s="50"/>
      <c r="S36" s="50">
        <f>SUM(S5:S35)</f>
        <v>987</v>
      </c>
      <c r="T36" s="88">
        <f>SUM(T5:T35)</f>
        <v>1041.9759000000006</v>
      </c>
      <c r="U36" s="62">
        <f>SUM(U5:U35)</f>
        <v>18013.820695000002</v>
      </c>
      <c r="V36" s="46"/>
      <c r="W36" s="47">
        <f>SUM(W5:W35)</f>
        <v>611</v>
      </c>
      <c r="X36" s="51">
        <f>SUM(X5:X35)</f>
        <v>173734.79499999993</v>
      </c>
      <c r="Y36" s="52">
        <f>SUM(Y5:Y35)</f>
        <v>59799.516438999999</v>
      </c>
      <c r="Z36" s="52">
        <f>SUM(Z5:Z35)</f>
        <v>131547.55250000002</v>
      </c>
      <c r="AA36" s="62">
        <f>SUM(AA5:AA35)</f>
        <v>191347.06893899999</v>
      </c>
      <c r="AB36" s="53"/>
      <c r="AC36" s="92">
        <f>SUM(AC5:AC35)</f>
        <v>200198</v>
      </c>
      <c r="AD36" s="54">
        <f>AVERAGE(AD5:AD35)</f>
        <v>0.7819838709677418</v>
      </c>
      <c r="AE36" s="136">
        <f>SUM(AE5:AE35)</f>
        <v>11099</v>
      </c>
      <c r="AF36" s="46"/>
      <c r="AG36" s="142">
        <f>SUM(AG5:AG35)</f>
        <v>146661</v>
      </c>
      <c r="AH36" s="143">
        <f>SUM(AH5:AH35)</f>
        <v>29332.199999999997</v>
      </c>
      <c r="AI36" s="46"/>
      <c r="AJ36" s="142">
        <f>SUM(AJ5:AJ35)</f>
        <v>65750</v>
      </c>
      <c r="AK36" s="143">
        <f>SUM(AK5:AK35)</f>
        <v>13150</v>
      </c>
      <c r="AL36" s="46"/>
      <c r="AM36" s="142">
        <f>SUM(AM5:AM35)</f>
        <v>6928</v>
      </c>
      <c r="AN36" s="143">
        <f>SUM(AN5:AN35)</f>
        <v>1385.6000000000004</v>
      </c>
      <c r="AO36" s="46"/>
      <c r="AP36" s="142">
        <f>SUM(AP5:AP35)</f>
        <v>296</v>
      </c>
      <c r="AQ36" s="143">
        <f>SUM(AQ5:AQ35)</f>
        <v>2320.6400000000003</v>
      </c>
      <c r="AR36" s="46"/>
      <c r="AS36" s="142">
        <f>SUM(AS5:AS35)</f>
        <v>39</v>
      </c>
      <c r="AT36" s="143">
        <f>SUM(AT5:AT35)</f>
        <v>305.75999999999993</v>
      </c>
      <c r="AU36" s="46"/>
      <c r="AV36" s="142">
        <f>SUM(AV5:AV35)</f>
        <v>27</v>
      </c>
      <c r="AW36" s="143">
        <f>SUM(AW5:AW35)</f>
        <v>211.68000000000006</v>
      </c>
    </row>
    <row r="37" spans="1:165" s="8" customFormat="1" ht="22.5" customHeight="1" thickBot="1" x14ac:dyDescent="0.3">
      <c r="A37" s="282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4"/>
      <c r="V37" s="255" t="s">
        <v>24</v>
      </c>
      <c r="W37" s="256"/>
      <c r="X37" s="256"/>
      <c r="Y37" s="256"/>
      <c r="Z37" s="256"/>
      <c r="AA37" s="256"/>
      <c r="AB37" s="257"/>
      <c r="AC37" s="93"/>
      <c r="AD37" s="72"/>
      <c r="AE37" s="72"/>
      <c r="AF37" s="73"/>
      <c r="AG37" s="73"/>
      <c r="AH37" s="73"/>
    </row>
    <row r="38" spans="1:165" ht="27.95" customHeight="1" x14ac:dyDescent="0.25">
      <c r="A38" s="153"/>
      <c r="B38" s="251" t="s">
        <v>3</v>
      </c>
      <c r="C38" s="207"/>
      <c r="D38" s="207" t="s">
        <v>13</v>
      </c>
      <c r="E38" s="207"/>
      <c r="F38" s="207"/>
      <c r="G38" s="207" t="s">
        <v>14</v>
      </c>
      <c r="H38" s="207"/>
      <c r="I38" s="208"/>
      <c r="J38" s="301" t="s">
        <v>4</v>
      </c>
      <c r="K38" s="278"/>
      <c r="L38" s="74" t="s">
        <v>13</v>
      </c>
      <c r="M38" s="278" t="s">
        <v>49</v>
      </c>
      <c r="N38" s="279"/>
      <c r="O38" s="280" t="s">
        <v>25</v>
      </c>
      <c r="P38" s="281"/>
      <c r="Q38" s="281"/>
      <c r="R38" s="281" t="s">
        <v>13</v>
      </c>
      <c r="S38" s="281"/>
      <c r="T38" s="281" t="s">
        <v>49</v>
      </c>
      <c r="U38" s="304"/>
      <c r="V38" s="252" t="s">
        <v>15</v>
      </c>
      <c r="W38" s="217"/>
      <c r="X38" s="217" t="s">
        <v>13</v>
      </c>
      <c r="Y38" s="217"/>
      <c r="Z38" s="217" t="s">
        <v>16</v>
      </c>
      <c r="AA38" s="217"/>
      <c r="AB38" s="218"/>
      <c r="AC38" s="96"/>
      <c r="AD38" s="163"/>
      <c r="AE38" s="163"/>
      <c r="AF38"/>
      <c r="AG38" s="162">
        <f>131547.55*3</f>
        <v>394642.64999999997</v>
      </c>
      <c r="AH38" s="314" t="s">
        <v>53</v>
      </c>
      <c r="AI38" s="315"/>
      <c r="AJ38" s="315"/>
      <c r="AK38" s="316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42" customFormat="1" ht="27.95" customHeight="1" x14ac:dyDescent="0.25">
      <c r="A39" s="73"/>
      <c r="B39" s="226" t="s">
        <v>80</v>
      </c>
      <c r="C39" s="227"/>
      <c r="D39" s="259">
        <f>I36</f>
        <v>89359.8</v>
      </c>
      <c r="E39" s="259"/>
      <c r="F39" s="259"/>
      <c r="G39" s="209">
        <f t="shared" ref="G39:G44" si="47">D39/0.2</f>
        <v>446799</v>
      </c>
      <c r="H39" s="209"/>
      <c r="I39" s="210"/>
      <c r="J39" s="226" t="str">
        <f t="shared" ref="J39:J44" si="48">B39</f>
        <v>Actual March 2024</v>
      </c>
      <c r="K39" s="227"/>
      <c r="L39" s="102">
        <f>L36</f>
        <v>23888.48</v>
      </c>
      <c r="M39" s="209">
        <f>K36</f>
        <v>3047</v>
      </c>
      <c r="N39" s="210"/>
      <c r="O39" s="226" t="str">
        <f t="shared" ref="O39:O44" si="49">B39</f>
        <v>Actual March 2024</v>
      </c>
      <c r="P39" s="227"/>
      <c r="Q39" s="227"/>
      <c r="R39" s="260">
        <f>U36</f>
        <v>18013.820695000002</v>
      </c>
      <c r="S39" s="260"/>
      <c r="T39" s="209">
        <f>T36</f>
        <v>1041.9759000000006</v>
      </c>
      <c r="U39" s="210"/>
      <c r="V39" s="226" t="str">
        <f t="shared" ref="V39:V44" si="50">B39</f>
        <v>Actual March 2024</v>
      </c>
      <c r="W39" s="227"/>
      <c r="X39" s="259">
        <f>AA36</f>
        <v>191347.06893899999</v>
      </c>
      <c r="Y39" s="259"/>
      <c r="Z39" s="209">
        <f>X36</f>
        <v>173734.79499999993</v>
      </c>
      <c r="AA39" s="209"/>
      <c r="AB39" s="210"/>
      <c r="AC39" s="94"/>
      <c r="AD39" s="97">
        <f>AC36</f>
        <v>200198</v>
      </c>
      <c r="AE39" s="98">
        <f>AD39-X36</f>
        <v>26463.205000000075</v>
      </c>
      <c r="AF39" s="164"/>
      <c r="AG39" s="108">
        <f>126488.42*3</f>
        <v>379465.26</v>
      </c>
      <c r="AH39" s="314" t="s">
        <v>51</v>
      </c>
      <c r="AI39" s="315"/>
      <c r="AJ39" s="315"/>
      <c r="AK39" s="316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42" customFormat="1" ht="27.95" customHeight="1" x14ac:dyDescent="0.25">
      <c r="A40" s="73"/>
      <c r="B40" s="226" t="s">
        <v>81</v>
      </c>
      <c r="C40" s="227"/>
      <c r="D40" s="258">
        <v>98626.5</v>
      </c>
      <c r="E40" s="258"/>
      <c r="F40" s="258"/>
      <c r="G40" s="209">
        <f t="shared" si="47"/>
        <v>493132.5</v>
      </c>
      <c r="H40" s="209"/>
      <c r="I40" s="210"/>
      <c r="J40" s="226" t="str">
        <f t="shared" si="48"/>
        <v>Budget March 2024</v>
      </c>
      <c r="K40" s="227"/>
      <c r="L40" s="103">
        <v>23584.25</v>
      </c>
      <c r="M40" s="209">
        <f>L40/7.84</f>
        <v>3008.1951530612246</v>
      </c>
      <c r="N40" s="210"/>
      <c r="O40" s="226" t="str">
        <f t="shared" si="49"/>
        <v>Budget March 2024</v>
      </c>
      <c r="P40" s="227"/>
      <c r="Q40" s="227"/>
      <c r="R40" s="225">
        <v>17940.87</v>
      </c>
      <c r="S40" s="225"/>
      <c r="T40" s="209">
        <f>(R40-6500)/11.05</f>
        <v>1035.3728506787329</v>
      </c>
      <c r="U40" s="210"/>
      <c r="V40" s="226" t="str">
        <f t="shared" si="50"/>
        <v>Budget March 2024</v>
      </c>
      <c r="W40" s="227"/>
      <c r="X40" s="258">
        <v>193048.33</v>
      </c>
      <c r="Y40" s="258"/>
      <c r="Z40" s="209">
        <f>AG40/0.3442</f>
        <v>178677.45496804183</v>
      </c>
      <c r="AA40" s="209"/>
      <c r="AB40" s="210"/>
      <c r="AC40" s="95"/>
      <c r="AD40" s="157"/>
      <c r="AE40" s="158"/>
      <c r="AF40" s="160"/>
      <c r="AG40" s="99">
        <f>X40-131547.55</f>
        <v>61500.78</v>
      </c>
      <c r="AH40" s="314" t="s">
        <v>54</v>
      </c>
      <c r="AI40" s="315"/>
      <c r="AJ40" s="315"/>
      <c r="AK40" s="316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91" customFormat="1" ht="27.95" customHeight="1" x14ac:dyDescent="0.25">
      <c r="A41" s="90"/>
      <c r="B41" s="226" t="s">
        <v>82</v>
      </c>
      <c r="C41" s="227"/>
      <c r="D41" s="258">
        <v>97535.8</v>
      </c>
      <c r="E41" s="258"/>
      <c r="F41" s="258"/>
      <c r="G41" s="209">
        <f t="shared" si="47"/>
        <v>487679</v>
      </c>
      <c r="H41" s="209"/>
      <c r="I41" s="210"/>
      <c r="J41" s="226" t="str">
        <f t="shared" si="48"/>
        <v>Actual March 2023</v>
      </c>
      <c r="K41" s="227"/>
      <c r="L41" s="103">
        <v>22375.360000000001</v>
      </c>
      <c r="M41" s="209">
        <f>L41/7.84</f>
        <v>2854</v>
      </c>
      <c r="N41" s="210"/>
      <c r="O41" s="226" t="str">
        <f t="shared" si="49"/>
        <v>Actual March 2023</v>
      </c>
      <c r="P41" s="227"/>
      <c r="Q41" s="227"/>
      <c r="R41" s="225">
        <v>16247.56</v>
      </c>
      <c r="S41" s="225"/>
      <c r="T41" s="209">
        <f>(R41-6500)/11.05</f>
        <v>882.13212669683253</v>
      </c>
      <c r="U41" s="210"/>
      <c r="V41" s="226" t="str">
        <f t="shared" si="50"/>
        <v>Actual March 2023</v>
      </c>
      <c r="W41" s="227"/>
      <c r="X41" s="258">
        <v>184957.55</v>
      </c>
      <c r="Y41" s="258"/>
      <c r="Z41" s="209">
        <f>AG41/0.3435</f>
        <v>170215.80786026196</v>
      </c>
      <c r="AA41" s="209"/>
      <c r="AB41" s="210"/>
      <c r="AC41" s="95"/>
      <c r="AD41" s="159"/>
      <c r="AE41" s="42"/>
      <c r="AF41" s="160"/>
      <c r="AG41" s="100">
        <f>X41-126488.42</f>
        <v>58469.12999999999</v>
      </c>
      <c r="AH41" s="314" t="s">
        <v>55</v>
      </c>
      <c r="AI41" s="315"/>
      <c r="AJ41" s="315"/>
      <c r="AK41" s="316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42" customFormat="1" ht="27" customHeight="1" x14ac:dyDescent="0.25">
      <c r="A42" s="73"/>
      <c r="B42" s="226" t="s">
        <v>76</v>
      </c>
      <c r="C42" s="227"/>
      <c r="D42" s="259">
        <f>D39</f>
        <v>89359.8</v>
      </c>
      <c r="E42" s="259"/>
      <c r="F42" s="259"/>
      <c r="G42" s="209">
        <f t="shared" si="47"/>
        <v>446799</v>
      </c>
      <c r="H42" s="209"/>
      <c r="I42" s="210"/>
      <c r="J42" s="226" t="str">
        <f t="shared" si="48"/>
        <v>Actual YTD 2024</v>
      </c>
      <c r="K42" s="227"/>
      <c r="L42" s="102">
        <f>L39</f>
        <v>23888.48</v>
      </c>
      <c r="M42" s="209">
        <f>L42/7.84</f>
        <v>3047</v>
      </c>
      <c r="N42" s="210"/>
      <c r="O42" s="265" t="str">
        <f t="shared" si="49"/>
        <v>Actual YTD 2024</v>
      </c>
      <c r="P42" s="266"/>
      <c r="Q42" s="267"/>
      <c r="R42" s="260">
        <f>R39</f>
        <v>18013.820695000002</v>
      </c>
      <c r="S42" s="260"/>
      <c r="T42" s="209">
        <f>(R42-6500*3)/11.05</f>
        <v>-134.49586470588216</v>
      </c>
      <c r="U42" s="210"/>
      <c r="V42" s="226" t="str">
        <f t="shared" si="50"/>
        <v>Actual YTD 2024</v>
      </c>
      <c r="W42" s="227"/>
      <c r="X42" s="259">
        <f>X39</f>
        <v>191347.06893899999</v>
      </c>
      <c r="Y42" s="259"/>
      <c r="Z42" s="209">
        <f>AG42/0.3442</f>
        <v>-590632.13556362572</v>
      </c>
      <c r="AA42" s="209"/>
      <c r="AB42" s="210"/>
      <c r="AC42" s="95"/>
      <c r="AD42" s="159"/>
      <c r="AF42" s="160"/>
      <c r="AG42" s="99">
        <f>X42-AG38</f>
        <v>-203295.58106099998</v>
      </c>
      <c r="AH42" s="314" t="s">
        <v>56</v>
      </c>
      <c r="AI42" s="315"/>
      <c r="AJ42" s="315"/>
      <c r="AK42" s="316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42" customFormat="1" ht="27.95" customHeight="1" x14ac:dyDescent="0.25">
      <c r="A43" s="73"/>
      <c r="B43" s="226" t="s">
        <v>77</v>
      </c>
      <c r="C43" s="227"/>
      <c r="D43" s="258">
        <f>D40+187992</f>
        <v>286618.5</v>
      </c>
      <c r="E43" s="258"/>
      <c r="F43" s="258"/>
      <c r="G43" s="209">
        <f t="shared" si="47"/>
        <v>1433092.5</v>
      </c>
      <c r="H43" s="209"/>
      <c r="I43" s="210"/>
      <c r="J43" s="226" t="str">
        <f t="shared" si="48"/>
        <v>Budget YTD 2024</v>
      </c>
      <c r="K43" s="227"/>
      <c r="L43" s="103">
        <f>L40+49427.56</f>
        <v>73011.81</v>
      </c>
      <c r="M43" s="209">
        <f>L43/7.84</f>
        <v>9312.7308673469379</v>
      </c>
      <c r="N43" s="210"/>
      <c r="O43" s="226" t="str">
        <f t="shared" si="49"/>
        <v>Budget YTD 2024</v>
      </c>
      <c r="P43" s="227"/>
      <c r="Q43" s="227"/>
      <c r="R43" s="225">
        <f>R40+37105.68</f>
        <v>55046.55</v>
      </c>
      <c r="S43" s="225"/>
      <c r="T43" s="209">
        <f>(R43-6500*3)/11.05</f>
        <v>3216.8823529411766</v>
      </c>
      <c r="U43" s="210"/>
      <c r="V43" s="226" t="str">
        <f t="shared" si="50"/>
        <v>Budget YTD 2024</v>
      </c>
      <c r="W43" s="227"/>
      <c r="X43" s="258">
        <f>X40+365536.93</f>
        <v>558585.26</v>
      </c>
      <c r="Y43" s="258"/>
      <c r="Z43" s="214">
        <f>AG43/0.3442</f>
        <v>476300.43579314364</v>
      </c>
      <c r="AA43" s="215"/>
      <c r="AB43" s="216"/>
      <c r="AC43" s="95"/>
      <c r="AD43" s="159"/>
      <c r="AF43" s="160"/>
      <c r="AG43" s="99">
        <f>X43-AG38</f>
        <v>163942.61000000004</v>
      </c>
      <c r="AH43" s="314" t="s">
        <v>57</v>
      </c>
      <c r="AI43" s="315"/>
      <c r="AJ43" s="315"/>
      <c r="AK43" s="316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42" customFormat="1" ht="27.95" customHeight="1" thickBot="1" x14ac:dyDescent="0.3">
      <c r="A44" s="61"/>
      <c r="B44" s="261" t="s">
        <v>52</v>
      </c>
      <c r="C44" s="262"/>
      <c r="D44" s="263">
        <v>280810.59999999998</v>
      </c>
      <c r="E44" s="263"/>
      <c r="F44" s="263"/>
      <c r="G44" s="212">
        <f t="shared" si="47"/>
        <v>1404052.9999999998</v>
      </c>
      <c r="H44" s="212"/>
      <c r="I44" s="213"/>
      <c r="J44" s="261" t="str">
        <f t="shared" si="48"/>
        <v>Actual YTD 2023</v>
      </c>
      <c r="K44" s="262"/>
      <c r="L44" s="104">
        <v>63041.440000000002</v>
      </c>
      <c r="M44" s="212">
        <f>L44/7.84</f>
        <v>8041</v>
      </c>
      <c r="N44" s="213"/>
      <c r="O44" s="261" t="str">
        <f t="shared" si="49"/>
        <v>Actual YTD 2023</v>
      </c>
      <c r="P44" s="262"/>
      <c r="Q44" s="262"/>
      <c r="R44" s="264">
        <v>48040.97</v>
      </c>
      <c r="S44" s="264"/>
      <c r="T44" s="212">
        <f>(R44-6500*3)/11.05</f>
        <v>2582.8932126696832</v>
      </c>
      <c r="U44" s="213"/>
      <c r="V44" s="261" t="str">
        <f t="shared" si="50"/>
        <v>Actual YTD 2023</v>
      </c>
      <c r="W44" s="262"/>
      <c r="X44" s="263">
        <v>530478.5</v>
      </c>
      <c r="Y44" s="263"/>
      <c r="Z44" s="212">
        <f>AG44/0.3435</f>
        <v>439630.97525473067</v>
      </c>
      <c r="AA44" s="212"/>
      <c r="AB44" s="213"/>
      <c r="AC44" s="95"/>
      <c r="AD44" s="159"/>
      <c r="AF44" s="160"/>
      <c r="AG44" s="101">
        <f>X44-AG39</f>
        <v>151013.24</v>
      </c>
      <c r="AH44" s="314" t="s">
        <v>58</v>
      </c>
      <c r="AI44" s="315"/>
      <c r="AJ44" s="315"/>
      <c r="AK44" s="316"/>
      <c r="AL44" s="8"/>
      <c r="AM44" s="8"/>
      <c r="AN44" s="8"/>
      <c r="AO44" s="8"/>
      <c r="AP44" s="8"/>
    </row>
    <row r="45" spans="1:165" ht="27.95" customHeight="1" x14ac:dyDescent="0.25">
      <c r="G45" s="124"/>
      <c r="H45" s="124">
        <v>45352</v>
      </c>
      <c r="I45" s="56">
        <f ca="1">TODAY()</f>
        <v>45426</v>
      </c>
      <c r="J45" s="9">
        <f ca="1">I45-H45</f>
        <v>74</v>
      </c>
      <c r="T45" s="2"/>
      <c r="U45" s="2"/>
      <c r="V45" s="2"/>
      <c r="W45" s="2"/>
      <c r="X45" s="2"/>
      <c r="Y45" s="2"/>
      <c r="AB45"/>
      <c r="AC45"/>
      <c r="AD45" s="161"/>
      <c r="AE45" s="161"/>
      <c r="AF45" s="161"/>
      <c r="AG45" s="156"/>
      <c r="AH45" s="156"/>
      <c r="AI45" s="155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34" t="s">
        <v>26</v>
      </c>
      <c r="B46" s="235"/>
      <c r="D46" s="222" t="s">
        <v>27</v>
      </c>
      <c r="E46" s="223"/>
      <c r="F46" s="223"/>
      <c r="G46" s="224"/>
      <c r="H46" s="11"/>
      <c r="I46" s="236" t="s">
        <v>28</v>
      </c>
      <c r="J46" s="237"/>
      <c r="K46" s="237"/>
      <c r="L46" s="238"/>
      <c r="M46" s="12"/>
      <c r="N46" s="222" t="s">
        <v>29</v>
      </c>
      <c r="O46" s="223"/>
      <c r="P46" s="223"/>
      <c r="Q46" s="223"/>
      <c r="R46" s="223"/>
      <c r="S46" s="224"/>
      <c r="T46" s="2"/>
      <c r="U46" s="222" t="s">
        <v>30</v>
      </c>
      <c r="V46" s="223"/>
      <c r="W46" s="223"/>
      <c r="X46" s="224"/>
      <c r="Y46"/>
      <c r="Z46" s="222" t="s">
        <v>59</v>
      </c>
      <c r="AA46" s="223"/>
      <c r="AB46" s="224"/>
      <c r="AC46"/>
      <c r="AD46" s="311" t="s">
        <v>60</v>
      </c>
      <c r="AE46" s="312"/>
      <c r="AF46" s="313"/>
      <c r="AG46" s="120" t="s">
        <v>61</v>
      </c>
      <c r="AH46" s="111" t="s">
        <v>62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26" t="s">
        <v>3</v>
      </c>
      <c r="B47" s="27">
        <f>D40</f>
        <v>98626.5</v>
      </c>
      <c r="C47" s="13"/>
      <c r="D47" s="230" t="s">
        <v>3</v>
      </c>
      <c r="E47" s="231"/>
      <c r="F47" s="231"/>
      <c r="G47" s="30">
        <f>B47/31</f>
        <v>3181.5</v>
      </c>
      <c r="H47" s="125"/>
      <c r="I47" s="230" t="s">
        <v>3</v>
      </c>
      <c r="J47" s="231"/>
      <c r="K47" s="231"/>
      <c r="L47" s="105">
        <f ca="1">I36/J45</f>
        <v>1207.5648648648648</v>
      </c>
      <c r="M47" s="14"/>
      <c r="N47" s="230" t="s">
        <v>3</v>
      </c>
      <c r="O47" s="231"/>
      <c r="P47" s="231"/>
      <c r="Q47" s="231"/>
      <c r="R47" s="228">
        <f ca="1">G47*J45</f>
        <v>235431</v>
      </c>
      <c r="S47" s="229"/>
      <c r="T47" s="15"/>
      <c r="U47" s="230" t="s">
        <v>3</v>
      </c>
      <c r="V47" s="231"/>
      <c r="W47" s="219">
        <f>I36</f>
        <v>89359.8</v>
      </c>
      <c r="X47" s="220"/>
      <c r="Y47" s="16">
        <f ca="1">R47-W47</f>
        <v>146071.20000000001</v>
      </c>
      <c r="Z47" s="230" t="s">
        <v>3</v>
      </c>
      <c r="AA47" s="231"/>
      <c r="AB47" s="112">
        <f ca="1">R47</f>
        <v>235431</v>
      </c>
      <c r="AC47"/>
      <c r="AD47" s="230" t="s">
        <v>3</v>
      </c>
      <c r="AE47" s="231"/>
      <c r="AF47" s="114">
        <f>W47</f>
        <v>89359.8</v>
      </c>
      <c r="AG47" s="115">
        <f ca="1">AB47-AF47</f>
        <v>146071.20000000001</v>
      </c>
      <c r="AH47" s="116">
        <f ca="1">AF47-AB47</f>
        <v>-146071.20000000001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26" t="s">
        <v>4</v>
      </c>
      <c r="B48" s="27">
        <f>L40</f>
        <v>23584.25</v>
      </c>
      <c r="C48" s="13"/>
      <c r="D48" s="230" t="s">
        <v>4</v>
      </c>
      <c r="E48" s="231"/>
      <c r="F48" s="231"/>
      <c r="G48" s="30">
        <f>B48/31</f>
        <v>760.7822580645161</v>
      </c>
      <c r="H48" s="125"/>
      <c r="I48" s="230" t="s">
        <v>4</v>
      </c>
      <c r="J48" s="231"/>
      <c r="K48" s="231"/>
      <c r="L48" s="106">
        <f ca="1">L36/J45</f>
        <v>322.81729729729727</v>
      </c>
      <c r="M48" s="14"/>
      <c r="N48" s="230" t="s">
        <v>4</v>
      </c>
      <c r="O48" s="231"/>
      <c r="P48" s="231"/>
      <c r="Q48" s="231"/>
      <c r="R48" s="228">
        <f ca="1">G48*J45</f>
        <v>56297.88709677419</v>
      </c>
      <c r="S48" s="229"/>
      <c r="T48" s="15"/>
      <c r="U48" s="230" t="s">
        <v>4</v>
      </c>
      <c r="V48" s="231"/>
      <c r="W48" s="219">
        <f>L36</f>
        <v>23888.48</v>
      </c>
      <c r="X48" s="220"/>
      <c r="Y48" s="16">
        <f ca="1">R48-W48</f>
        <v>32409.40709677419</v>
      </c>
      <c r="Z48" s="230" t="s">
        <v>4</v>
      </c>
      <c r="AA48" s="231"/>
      <c r="AB48" s="112">
        <f ca="1">R48</f>
        <v>56297.88709677419</v>
      </c>
      <c r="AC48"/>
      <c r="AD48" s="230" t="s">
        <v>4</v>
      </c>
      <c r="AE48" s="231"/>
      <c r="AF48" s="114">
        <f>W48</f>
        <v>23888.48</v>
      </c>
      <c r="AG48" s="115">
        <f ca="1">AB48-AF48</f>
        <v>32409.40709677419</v>
      </c>
      <c r="AH48" s="116">
        <f ca="1">AF48-AB48</f>
        <v>-32409.40709677419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26" t="s">
        <v>25</v>
      </c>
      <c r="B49" s="27">
        <f>R40</f>
        <v>17940.87</v>
      </c>
      <c r="C49" s="13"/>
      <c r="D49" s="230" t="s">
        <v>25</v>
      </c>
      <c r="E49" s="231"/>
      <c r="F49" s="231"/>
      <c r="G49" s="30">
        <f>B49/31</f>
        <v>578.73774193548388</v>
      </c>
      <c r="H49" s="14"/>
      <c r="I49" s="230" t="s">
        <v>25</v>
      </c>
      <c r="J49" s="231"/>
      <c r="K49" s="231"/>
      <c r="L49" s="106">
        <f ca="1">U36/J45</f>
        <v>243.43000939189193</v>
      </c>
      <c r="M49" s="14"/>
      <c r="N49" s="230" t="s">
        <v>25</v>
      </c>
      <c r="O49" s="231"/>
      <c r="P49" s="231"/>
      <c r="Q49" s="231"/>
      <c r="R49" s="228">
        <f ca="1">G49*J45</f>
        <v>42826.592903225806</v>
      </c>
      <c r="S49" s="229"/>
      <c r="T49" s="15"/>
      <c r="U49" s="230" t="s">
        <v>25</v>
      </c>
      <c r="V49" s="231"/>
      <c r="W49" s="219">
        <f>U36</f>
        <v>18013.820695000002</v>
      </c>
      <c r="X49" s="220"/>
      <c r="Y49" s="16">
        <f ca="1">R49-W49</f>
        <v>24812.772208225804</v>
      </c>
      <c r="Z49" s="230" t="s">
        <v>25</v>
      </c>
      <c r="AA49" s="231"/>
      <c r="AB49" s="112">
        <f ca="1">R49</f>
        <v>42826.592903225806</v>
      </c>
      <c r="AC49"/>
      <c r="AD49" s="230" t="s">
        <v>25</v>
      </c>
      <c r="AE49" s="231"/>
      <c r="AF49" s="114">
        <f>W49</f>
        <v>18013.820695000002</v>
      </c>
      <c r="AG49" s="115">
        <f ca="1">AB49-AF49</f>
        <v>24812.772208225804</v>
      </c>
      <c r="AH49" s="116">
        <f ca="1">AF49-AB49</f>
        <v>-24812.772208225804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28" t="s">
        <v>15</v>
      </c>
      <c r="B50" s="29">
        <f>X40</f>
        <v>193048.33</v>
      </c>
      <c r="C50" s="25"/>
      <c r="D50" s="201" t="s">
        <v>15</v>
      </c>
      <c r="E50" s="202"/>
      <c r="F50" s="202"/>
      <c r="G50" s="109">
        <f>B50/31</f>
        <v>6227.3654838709672</v>
      </c>
      <c r="H50" s="17"/>
      <c r="I50" s="201" t="s">
        <v>15</v>
      </c>
      <c r="J50" s="202"/>
      <c r="K50" s="202"/>
      <c r="L50" s="107">
        <f ca="1">AA36/J45</f>
        <v>2585.7712018783782</v>
      </c>
      <c r="M50" s="17"/>
      <c r="N50" s="201" t="s">
        <v>15</v>
      </c>
      <c r="O50" s="202"/>
      <c r="P50" s="202"/>
      <c r="Q50" s="202"/>
      <c r="R50" s="268">
        <f ca="1">G50*J45</f>
        <v>460825.04580645158</v>
      </c>
      <c r="S50" s="269"/>
      <c r="T50" s="15"/>
      <c r="U50" s="201" t="s">
        <v>15</v>
      </c>
      <c r="V50" s="202"/>
      <c r="W50" s="205">
        <f>AA36</f>
        <v>191347.06893899999</v>
      </c>
      <c r="X50" s="206"/>
      <c r="Y50" s="16">
        <f ca="1">R50-W50</f>
        <v>269477.97686745157</v>
      </c>
      <c r="Z50" s="201" t="s">
        <v>15</v>
      </c>
      <c r="AA50" s="202"/>
      <c r="AB50" s="29">
        <f ca="1">R50</f>
        <v>460825.04580645158</v>
      </c>
      <c r="AC50"/>
      <c r="AD50" s="201" t="s">
        <v>15</v>
      </c>
      <c r="AE50" s="202"/>
      <c r="AF50" s="121">
        <f>W50</f>
        <v>191347.06893899999</v>
      </c>
      <c r="AG50" s="122">
        <f ca="1">AB50-AF50</f>
        <v>269477.97686745157</v>
      </c>
      <c r="AH50" s="123">
        <f ca="1">AF50-AB50</f>
        <v>-269477.97686745157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18">
        <f>SUM(B47:B50)</f>
        <v>333199.94999999995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211">
        <f ca="1">SUM(R47:S50)</f>
        <v>795380.52580645157</v>
      </c>
      <c r="S51" s="211"/>
      <c r="T51" s="20"/>
      <c r="U51" s="20"/>
      <c r="V51" s="20"/>
      <c r="W51" s="211">
        <f>SUM(W47:X50)</f>
        <v>322609.16963399999</v>
      </c>
      <c r="X51" s="211"/>
      <c r="Y51" s="16">
        <f ca="1">R51-W51</f>
        <v>472771.35617245157</v>
      </c>
      <c r="Z51" s="221"/>
      <c r="AA51" s="221" t="s">
        <v>63</v>
      </c>
      <c r="AB51" s="113">
        <f ca="1">SUM(AB47:AB50)</f>
        <v>795380.52580645157</v>
      </c>
      <c r="AD51" s="117"/>
      <c r="AF51" s="113">
        <f>SUM(AF47:AF50)</f>
        <v>322609.16963399999</v>
      </c>
      <c r="AG51" s="118">
        <f ca="1">AB51-AF51</f>
        <v>472771.35617245157</v>
      </c>
      <c r="AH51" s="113"/>
      <c r="AI51" s="118"/>
      <c r="AJ51" s="118"/>
      <c r="AK51" s="118"/>
      <c r="AL51" s="119"/>
      <c r="AM51" s="119"/>
      <c r="AN51" s="119"/>
      <c r="AO51"/>
      <c r="AP51"/>
      <c r="AQ51"/>
    </row>
    <row r="52" spans="1:43" ht="27.95" customHeight="1" x14ac:dyDescent="0.25">
      <c r="B52" s="18">
        <f ca="1">B51*X52</f>
        <v>198052.86542359457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 ca="1">1-(W51/R51)</f>
        <v>0.59439644400785352</v>
      </c>
      <c r="Y52" s="23"/>
      <c r="Z52"/>
      <c r="AA52"/>
      <c r="AB52"/>
      <c r="AC52"/>
      <c r="AD52"/>
      <c r="AE52"/>
      <c r="AF52" s="22">
        <f ca="1">1-(AF51/AB51)</f>
        <v>0.59439644400785352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34" t="s">
        <v>41</v>
      </c>
      <c r="B54" s="235"/>
      <c r="D54" s="222" t="s">
        <v>42</v>
      </c>
      <c r="E54" s="223"/>
      <c r="F54" s="223"/>
      <c r="G54" s="224"/>
      <c r="H54" s="11"/>
      <c r="I54" s="236" t="s">
        <v>43</v>
      </c>
      <c r="J54" s="237"/>
      <c r="K54" s="237"/>
      <c r="L54" s="238"/>
      <c r="M54" s="12"/>
      <c r="N54" s="222" t="s">
        <v>30</v>
      </c>
      <c r="O54" s="223"/>
      <c r="P54" s="223"/>
      <c r="Q54" s="223"/>
      <c r="R54" s="223"/>
      <c r="S54" s="224"/>
      <c r="T54" s="2"/>
      <c r="U54" s="222" t="s">
        <v>44</v>
      </c>
      <c r="V54" s="223"/>
      <c r="W54" s="223"/>
      <c r="X54" s="224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 s="146"/>
      <c r="AG54" s="146"/>
      <c r="AH54" s="146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26" t="s">
        <v>3</v>
      </c>
      <c r="B55" s="27">
        <f>D41</f>
        <v>97535.8</v>
      </c>
      <c r="C55" s="13"/>
      <c r="D55" s="230" t="s">
        <v>3</v>
      </c>
      <c r="E55" s="231"/>
      <c r="F55" s="231"/>
      <c r="G55" s="30">
        <f>B55/31</f>
        <v>3146.3161290322582</v>
      </c>
      <c r="H55" s="14"/>
      <c r="I55" s="230" t="s">
        <v>3</v>
      </c>
      <c r="J55" s="231"/>
      <c r="K55" s="231"/>
      <c r="L55" s="31" t="s">
        <v>78</v>
      </c>
      <c r="M55" s="14"/>
      <c r="N55" s="230" t="s">
        <v>3</v>
      </c>
      <c r="O55" s="231"/>
      <c r="P55" s="231"/>
      <c r="Q55" s="231"/>
      <c r="R55" s="232">
        <f>W47</f>
        <v>89359.8</v>
      </c>
      <c r="S55" s="233"/>
      <c r="T55" s="15"/>
      <c r="U55" s="230" t="s">
        <v>3</v>
      </c>
      <c r="V55" s="231"/>
      <c r="W55" s="219" t="e">
        <f>L55-R55</f>
        <v>#VALUE!</v>
      </c>
      <c r="X55" s="220"/>
      <c r="Y55" s="16"/>
      <c r="Z55" s="87">
        <f ca="1">L47*31</f>
        <v>37434.510810810811</v>
      </c>
      <c r="AA55" s="37">
        <f ca="1">Z55</f>
        <v>37434.510810810811</v>
      </c>
      <c r="AB55" s="13"/>
      <c r="AC55" s="13"/>
      <c r="AD55" s="33">
        <f ca="1">D41-Z55</f>
        <v>60101.289189189192</v>
      </c>
      <c r="AE55" s="34">
        <f ca="1">D44-AA55</f>
        <v>243376.08918918917</v>
      </c>
      <c r="AF55" s="147"/>
      <c r="AG55" s="147"/>
      <c r="AH55" s="147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26" t="s">
        <v>4</v>
      </c>
      <c r="B56" s="27">
        <f>L41</f>
        <v>22375.360000000001</v>
      </c>
      <c r="C56" s="13"/>
      <c r="D56" s="230" t="s">
        <v>4</v>
      </c>
      <c r="E56" s="231"/>
      <c r="F56" s="231"/>
      <c r="G56" s="30">
        <f>B56/31</f>
        <v>721.78580645161287</v>
      </c>
      <c r="H56" s="14"/>
      <c r="I56" s="230" t="s">
        <v>4</v>
      </c>
      <c r="J56" s="231"/>
      <c r="K56" s="231"/>
      <c r="L56" s="31">
        <f ca="1">G56*J45</f>
        <v>53412.149677419351</v>
      </c>
      <c r="M56" s="14"/>
      <c r="N56" s="230" t="s">
        <v>4</v>
      </c>
      <c r="O56" s="231"/>
      <c r="P56" s="231"/>
      <c r="Q56" s="231"/>
      <c r="R56" s="232">
        <f>W48</f>
        <v>23888.48</v>
      </c>
      <c r="S56" s="233"/>
      <c r="T56" s="15"/>
      <c r="U56" s="230" t="s">
        <v>4</v>
      </c>
      <c r="V56" s="231"/>
      <c r="W56" s="219">
        <f ca="1">L56-R56</f>
        <v>29523.669677419352</v>
      </c>
      <c r="X56" s="220"/>
      <c r="Y56" s="16"/>
      <c r="Z56" s="174">
        <f ca="1">L48*31</f>
        <v>10007.336216216216</v>
      </c>
      <c r="AA56" s="34">
        <f ca="1">Z56</f>
        <v>10007.336216216216</v>
      </c>
      <c r="AB56" s="13"/>
      <c r="AC56" s="13"/>
      <c r="AD56" s="33">
        <f ca="1">L41-Z56</f>
        <v>12368.023783783785</v>
      </c>
      <c r="AE56" s="34">
        <f ca="1">L44-AA56</f>
        <v>53034.103783783787</v>
      </c>
      <c r="AF56" s="147"/>
      <c r="AG56" s="147"/>
      <c r="AH56" s="147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26" t="s">
        <v>25</v>
      </c>
      <c r="B57" s="27">
        <f>R41</f>
        <v>16247.56</v>
      </c>
      <c r="C57" s="13"/>
      <c r="D57" s="230" t="s">
        <v>25</v>
      </c>
      <c r="E57" s="231"/>
      <c r="F57" s="231"/>
      <c r="G57" s="30">
        <f>B57/31</f>
        <v>524.11483870967743</v>
      </c>
      <c r="H57" s="14"/>
      <c r="I57" s="230" t="s">
        <v>25</v>
      </c>
      <c r="J57" s="231"/>
      <c r="K57" s="231"/>
      <c r="L57" s="31">
        <f ca="1">G57*J45</f>
        <v>38784.498064516127</v>
      </c>
      <c r="M57" s="14"/>
      <c r="N57" s="230" t="s">
        <v>25</v>
      </c>
      <c r="O57" s="231"/>
      <c r="P57" s="231"/>
      <c r="Q57" s="231"/>
      <c r="R57" s="232">
        <f>W49</f>
        <v>18013.820695000002</v>
      </c>
      <c r="S57" s="233"/>
      <c r="T57" s="15"/>
      <c r="U57" s="230" t="s">
        <v>25</v>
      </c>
      <c r="V57" s="231"/>
      <c r="W57" s="219">
        <f ca="1">L57-R57</f>
        <v>20770.677369516125</v>
      </c>
      <c r="X57" s="220"/>
      <c r="Y57" s="16"/>
      <c r="Z57" s="174">
        <f ca="1">L49*31</f>
        <v>7546.3302911486498</v>
      </c>
      <c r="AA57" s="34">
        <f ca="1">Z57</f>
        <v>7546.3302911486498</v>
      </c>
      <c r="AB57" s="13"/>
      <c r="AC57" s="13"/>
      <c r="AD57" s="33">
        <f ca="1">R41-Z57</f>
        <v>8701.2297088513496</v>
      </c>
      <c r="AE57" s="34">
        <f ca="1">R44-AA57</f>
        <v>40494.639708851348</v>
      </c>
      <c r="AF57" s="147"/>
      <c r="AG57" s="147"/>
      <c r="AH57" s="147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28" t="s">
        <v>15</v>
      </c>
      <c r="B58" s="29">
        <f>X41</f>
        <v>184957.55</v>
      </c>
      <c r="C58" s="25"/>
      <c r="D58" s="201" t="s">
        <v>15</v>
      </c>
      <c r="E58" s="202"/>
      <c r="F58" s="202"/>
      <c r="G58" s="109">
        <f>B58/31</f>
        <v>5966.3725806451612</v>
      </c>
      <c r="H58" s="17"/>
      <c r="I58" s="201" t="s">
        <v>15</v>
      </c>
      <c r="J58" s="202"/>
      <c r="K58" s="202"/>
      <c r="L58" s="32">
        <f ca="1">G58*J45</f>
        <v>441511.57096774195</v>
      </c>
      <c r="M58" s="17"/>
      <c r="N58" s="201" t="s">
        <v>15</v>
      </c>
      <c r="O58" s="202"/>
      <c r="P58" s="202"/>
      <c r="Q58" s="202"/>
      <c r="R58" s="203">
        <f>W50</f>
        <v>191347.06893899999</v>
      </c>
      <c r="S58" s="204"/>
      <c r="T58" s="15"/>
      <c r="U58" s="201" t="s">
        <v>15</v>
      </c>
      <c r="V58" s="202"/>
      <c r="W58" s="205">
        <f ca="1">L58-R58</f>
        <v>250164.50202874196</v>
      </c>
      <c r="X58" s="206"/>
      <c r="Y58" s="16"/>
      <c r="Z58" s="174">
        <f ca="1">L50*31</f>
        <v>80158.907258229723</v>
      </c>
      <c r="AA58" s="34">
        <f ca="1">Z58</f>
        <v>80158.907258229723</v>
      </c>
      <c r="AB58" s="13"/>
      <c r="AC58" s="13"/>
      <c r="AD58" s="33">
        <f ca="1">X41-Z58</f>
        <v>104798.64274177027</v>
      </c>
      <c r="AE58" s="34">
        <f ca="1">Z44-AA58</f>
        <v>359472.06799650093</v>
      </c>
      <c r="AF58" s="147"/>
      <c r="AG58" s="147"/>
      <c r="AH58" s="147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3"/>
      <c r="B59" s="18">
        <f>SUM(B55:B58)</f>
        <v>321116.27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 ca="1">SUM(L55:L58)</f>
        <v>533708.21870967746</v>
      </c>
      <c r="M59" s="17"/>
      <c r="N59" s="17"/>
      <c r="O59" s="17"/>
      <c r="P59" s="17"/>
      <c r="Q59" s="17"/>
      <c r="R59" s="211">
        <f>SUM(R55:S58)</f>
        <v>322609.16963399999</v>
      </c>
      <c r="S59" s="211"/>
      <c r="T59" s="20"/>
      <c r="U59" s="20"/>
      <c r="V59" s="20"/>
      <c r="W59" s="211" t="e">
        <f>SUM(W55:X58)</f>
        <v>#VALUE!</v>
      </c>
      <c r="X59" s="211"/>
      <c r="Y59" s="16"/>
      <c r="Z59" s="110">
        <f ca="1">SUM(Z55:Z58)</f>
        <v>135147.08457640541</v>
      </c>
      <c r="AA59" s="36">
        <f ca="1">SUM(AA55:AA58)</f>
        <v>135147.08457640541</v>
      </c>
      <c r="AB59" s="13"/>
      <c r="AC59" s="13"/>
      <c r="AD59" s="35">
        <f ca="1">SUM(AD55:AD58)</f>
        <v>185969.18542359461</v>
      </c>
      <c r="AE59" s="36">
        <f ca="1">SUM(AE55:AE58)</f>
        <v>696376.90067832521</v>
      </c>
      <c r="AF59" s="147"/>
      <c r="AG59" s="147"/>
      <c r="AH59" s="147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3"/>
      <c r="B60" s="18">
        <f ca="1">B59*X60</f>
        <v>127011.98307122744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 ca="1">1-(R59/L59)</f>
        <v>0.39553269309969075</v>
      </c>
      <c r="Y60" s="23"/>
      <c r="Z60" s="13"/>
      <c r="AA60" s="13"/>
      <c r="AB60" s="13"/>
      <c r="AC60" s="13"/>
      <c r="AD60" s="13"/>
      <c r="AE60" s="13"/>
      <c r="AF60" s="13"/>
      <c r="AG60" s="13"/>
      <c r="AH60" s="13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 s="15"/>
      <c r="AG61" s="15"/>
      <c r="AH61" s="15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59"/>
      <c r="B62" s="199"/>
      <c r="C62" s="199"/>
      <c r="D62" s="199"/>
      <c r="E62" s="199"/>
      <c r="F62" s="199"/>
      <c r="G62" s="199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57"/>
      <c r="AA62" s="57"/>
      <c r="AB62" s="199"/>
      <c r="AC62" s="199"/>
      <c r="AD62" s="199"/>
      <c r="AE62" s="57"/>
      <c r="AF62" s="57"/>
      <c r="AG62" s="57"/>
      <c r="AH62" s="57"/>
      <c r="AI62"/>
      <c r="AJ62"/>
      <c r="AK62"/>
      <c r="AL62"/>
      <c r="AM62"/>
      <c r="AN62"/>
      <c r="AO62"/>
      <c r="AP62"/>
      <c r="AQ62"/>
    </row>
    <row r="63" spans="1:43" s="13" customFormat="1" ht="27.95" customHeight="1" x14ac:dyDescent="0.2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  <c r="AF63" s="57"/>
      <c r="AG63" s="57"/>
      <c r="AH63" s="57"/>
    </row>
    <row r="64" spans="1:43" s="13" customFormat="1" ht="27.95" customHeight="1" x14ac:dyDescent="0.2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  <c r="AF64" s="57"/>
      <c r="AG64" s="57"/>
      <c r="AH64" s="57"/>
    </row>
    <row r="65" spans="1:43" s="13" customFormat="1" ht="27.95" customHeight="1" x14ac:dyDescent="0.2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  <c r="AF65" s="57"/>
      <c r="AG65" s="57"/>
      <c r="AH65" s="57"/>
    </row>
    <row r="66" spans="1:43" s="13" customFormat="1" ht="27.95" customHeight="1" x14ac:dyDescent="0.2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  <c r="AF66" s="57"/>
      <c r="AG66" s="57"/>
      <c r="AH66" s="57"/>
    </row>
    <row r="67" spans="1:43" s="13" customFormat="1" ht="27.95" customHeight="1" x14ac:dyDescent="0.2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  <c r="AF67" s="57"/>
      <c r="AG67" s="57"/>
      <c r="AH67" s="57"/>
    </row>
    <row r="68" spans="1:43" s="13" customFormat="1" ht="27.95" customHeight="1" x14ac:dyDescent="0.2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  <c r="AF68" s="57"/>
      <c r="AG68" s="57"/>
      <c r="AH68" s="57"/>
    </row>
    <row r="69" spans="1:43" s="13" customFormat="1" ht="27.95" customHeight="1" x14ac:dyDescent="0.2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57"/>
      <c r="AG69" s="57"/>
      <c r="AH69" s="57"/>
      <c r="AI69" s="15"/>
      <c r="AJ69" s="15"/>
      <c r="AK69" s="15"/>
      <c r="AL69" s="15"/>
      <c r="AM69" s="15"/>
      <c r="AN69" s="15"/>
      <c r="AO69" s="15"/>
      <c r="AP69" s="15"/>
      <c r="AQ69" s="15"/>
    </row>
    <row r="70" spans="1:43" s="57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57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57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57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57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57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57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57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X43:Y43"/>
    <mergeCell ref="X40:Y40"/>
    <mergeCell ref="AI3:AK3"/>
    <mergeCell ref="AL3:AN3"/>
    <mergeCell ref="AO3:AQ3"/>
    <mergeCell ref="AR3:AT3"/>
    <mergeCell ref="V2:AC2"/>
    <mergeCell ref="AC3:AC4"/>
    <mergeCell ref="AH40:AK40"/>
    <mergeCell ref="AH41:AK41"/>
    <mergeCell ref="AH42:AK42"/>
    <mergeCell ref="AH43:AK43"/>
    <mergeCell ref="AH39:AK39"/>
    <mergeCell ref="AH38:AK38"/>
    <mergeCell ref="AU3:AW3"/>
    <mergeCell ref="AF2:AW2"/>
    <mergeCell ref="AF3:AH3"/>
    <mergeCell ref="AD46:AF46"/>
    <mergeCell ref="Z47:AA47"/>
    <mergeCell ref="AD47:AE47"/>
    <mergeCell ref="Z48:AA48"/>
    <mergeCell ref="AD48:AE48"/>
    <mergeCell ref="Z49:AA49"/>
    <mergeCell ref="AD49:AE49"/>
    <mergeCell ref="AD2:AE2"/>
    <mergeCell ref="AH44:AK44"/>
    <mergeCell ref="Z50:AA50"/>
    <mergeCell ref="AD50:AE50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D42:F42"/>
    <mergeCell ref="D43:F43"/>
    <mergeCell ref="B2:I2"/>
    <mergeCell ref="F3:G3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A46:B46"/>
    <mergeCell ref="D46:G46"/>
    <mergeCell ref="I46:L46"/>
    <mergeCell ref="N46:S46"/>
    <mergeCell ref="U46:X46"/>
    <mergeCell ref="J40:K40"/>
    <mergeCell ref="M40:N40"/>
    <mergeCell ref="V40:W40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X44:Y44"/>
    <mergeCell ref="O42:Q42"/>
    <mergeCell ref="J42:K42"/>
    <mergeCell ref="B41:C41"/>
    <mergeCell ref="X41:Y41"/>
    <mergeCell ref="V41:W41"/>
    <mergeCell ref="G42:I42"/>
    <mergeCell ref="B39:C39"/>
    <mergeCell ref="B40:C40"/>
    <mergeCell ref="B42:C42"/>
    <mergeCell ref="AB3:AB4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K3:K4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G38:I38"/>
    <mergeCell ref="G39:I39"/>
    <mergeCell ref="G40:I40"/>
    <mergeCell ref="R59:S59"/>
    <mergeCell ref="W59:X59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Z51:AA51"/>
    <mergeCell ref="Z46:AB46"/>
    <mergeCell ref="T41:U41"/>
    <mergeCell ref="R41:S41"/>
    <mergeCell ref="O41:Q41"/>
    <mergeCell ref="M41:N41"/>
    <mergeCell ref="J41:K41"/>
    <mergeCell ref="G41:I41"/>
    <mergeCell ref="R47:S47"/>
    <mergeCell ref="G43:I43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</mergeCells>
  <phoneticPr fontId="15" type="noConversion"/>
  <conditionalFormatting sqref="I5:I35">
    <cfRule type="cellIs" dxfId="88" priority="52" operator="greaterThan">
      <formula>$G$47</formula>
    </cfRule>
    <cfRule type="cellIs" dxfId="87" priority="43" operator="lessThan">
      <formula>$G$47</formula>
    </cfRule>
    <cfRule type="cellIs" dxfId="86" priority="44" operator="greaterThan">
      <formula>$G$47</formula>
    </cfRule>
    <cfRule type="cellIs" dxfId="85" priority="51" operator="lessThan">
      <formula>$G$47</formula>
    </cfRule>
  </conditionalFormatting>
  <conditionalFormatting sqref="L5:L35">
    <cfRule type="cellIs" dxfId="84" priority="49" operator="lessThan">
      <formula>$G$48</formula>
    </cfRule>
    <cfRule type="cellIs" dxfId="83" priority="41" operator="lessThan">
      <formula>$G$48</formula>
    </cfRule>
    <cfRule type="cellIs" dxfId="82" priority="42" operator="greaterThan">
      <formula>$G$48</formula>
    </cfRule>
    <cfRule type="cellIs" dxfId="81" priority="50" operator="greaterThan">
      <formula>$G$48</formula>
    </cfRule>
  </conditionalFormatting>
  <conditionalFormatting sqref="L47">
    <cfRule type="cellIs" dxfId="80" priority="158" operator="lessThan">
      <formula>$G$47</formula>
    </cfRule>
    <cfRule type="cellIs" dxfId="79" priority="25" operator="lessThan">
      <formula>$G$47</formula>
    </cfRule>
    <cfRule type="cellIs" dxfId="78" priority="26" operator="greaterThan">
      <formula>$G$47</formula>
    </cfRule>
    <cfRule type="cellIs" dxfId="77" priority="171" operator="greaterThan">
      <formula>$G$47</formula>
    </cfRule>
    <cfRule type="cellIs" dxfId="76" priority="68" operator="greaterThan">
      <formula>$G$47</formula>
    </cfRule>
    <cfRule type="cellIs" dxfId="75" priority="67" operator="lessThan">
      <formula>$G$47</formula>
    </cfRule>
  </conditionalFormatting>
  <conditionalFormatting sqref="L48">
    <cfRule type="cellIs" dxfId="74" priority="170" operator="greaterThan">
      <formula>$G$48</formula>
    </cfRule>
    <cfRule type="cellIs" dxfId="73" priority="157" operator="lessThan">
      <formula>$G$48</formula>
    </cfRule>
    <cfRule type="cellIs" dxfId="72" priority="21" operator="lessThan">
      <formula>$G$48</formula>
    </cfRule>
    <cfRule type="cellIs" dxfId="71" priority="24" operator="greaterThan">
      <formula>$G$48</formula>
    </cfRule>
    <cfRule type="cellIs" dxfId="70" priority="66" operator="greaterThan">
      <formula>$G$48</formula>
    </cfRule>
    <cfRule type="cellIs" dxfId="69" priority="65" operator="lessThan">
      <formula>$G$48</formula>
    </cfRule>
  </conditionalFormatting>
  <conditionalFormatting sqref="L49">
    <cfRule type="cellIs" dxfId="68" priority="23" operator="greaterThan">
      <formula>$G$49</formula>
    </cfRule>
    <cfRule type="cellIs" dxfId="67" priority="64" operator="greaterThan">
      <formula>$G$49</formula>
    </cfRule>
    <cfRule type="cellIs" dxfId="66" priority="63" operator="lessThan">
      <formula>$G$49</formula>
    </cfRule>
    <cfRule type="cellIs" dxfId="65" priority="169" operator="greaterThan">
      <formula>$G$49</formula>
    </cfRule>
    <cfRule type="cellIs" dxfId="64" priority="20" operator="lessThan">
      <formula>$G$49</formula>
    </cfRule>
    <cfRule type="cellIs" dxfId="63" priority="156" operator="lessThan">
      <formula>$G$49</formula>
    </cfRule>
  </conditionalFormatting>
  <conditionalFormatting sqref="L50">
    <cfRule type="cellIs" dxfId="62" priority="62" operator="greaterThan">
      <formula>$G$50</formula>
    </cfRule>
    <cfRule type="cellIs" dxfId="61" priority="61" operator="lessThan">
      <formula>$G$50</formula>
    </cfRule>
    <cfRule type="cellIs" dxfId="60" priority="155" operator="lessThan">
      <formula>$G$50</formula>
    </cfRule>
    <cfRule type="cellIs" dxfId="59" priority="168" operator="greaterThan">
      <formula>$G$50</formula>
    </cfRule>
    <cfRule type="cellIs" dxfId="58" priority="19" operator="lessThan">
      <formula>$G$50</formula>
    </cfRule>
    <cfRule type="cellIs" dxfId="57" priority="22" operator="greaterThan">
      <formula>$G$50</formula>
    </cfRule>
  </conditionalFormatting>
  <conditionalFormatting sqref="L55">
    <cfRule type="cellIs" dxfId="56" priority="16" operator="greaterThan">
      <formula>$R$55</formula>
    </cfRule>
    <cfRule type="cellIs" dxfId="55" priority="30" operator="lessThan">
      <formula>$G$55</formula>
    </cfRule>
    <cfRule type="cellIs" dxfId="54" priority="4" operator="lessThan">
      <formula>$R$55</formula>
    </cfRule>
    <cfRule type="cellIs" dxfId="53" priority="34" operator="greaterThan">
      <formula>$G$55</formula>
    </cfRule>
    <cfRule type="cellIs" dxfId="52" priority="59" operator="lessThan">
      <formula>$W$47</formula>
    </cfRule>
    <cfRule type="cellIs" dxfId="51" priority="60" operator="greaterThan">
      <formula>$W$47</formula>
    </cfRule>
    <cfRule type="cellIs" dxfId="50" priority="8" operator="greaterThan">
      <formula>$R$55</formula>
    </cfRule>
    <cfRule type="cellIs" dxfId="49" priority="94" operator="lessThan">
      <formula>$G$47</formula>
    </cfRule>
    <cfRule type="cellIs" dxfId="48" priority="98" operator="greaterThan">
      <formula>$G$47</formula>
    </cfRule>
    <cfRule type="cellIs" dxfId="47" priority="15" operator="lessThan">
      <formula>$R$55</formula>
    </cfRule>
  </conditionalFormatting>
  <conditionalFormatting sqref="L56">
    <cfRule type="cellIs" dxfId="46" priority="57" operator="lessThan">
      <formula>$W$48</formula>
    </cfRule>
    <cfRule type="cellIs" dxfId="45" priority="3" operator="lessThan">
      <formula>$R$56</formula>
    </cfRule>
    <cfRule type="cellIs" dxfId="44" priority="7" operator="greaterThan">
      <formula>$R$56</formula>
    </cfRule>
    <cfRule type="cellIs" dxfId="43" priority="29" operator="lessThan">
      <formula>$G$56</formula>
    </cfRule>
    <cfRule type="cellIs" dxfId="42" priority="58" operator="greaterThan">
      <formula>$W$48</formula>
    </cfRule>
    <cfRule type="cellIs" dxfId="41" priority="14" operator="greaterThan">
      <formula>$R$56</formula>
    </cfRule>
    <cfRule type="cellIs" dxfId="40" priority="97" operator="greaterThan">
      <formula>$G$48</formula>
    </cfRule>
    <cfRule type="cellIs" dxfId="39" priority="93" operator="lessThan">
      <formula>$G$48</formula>
    </cfRule>
    <cfRule type="cellIs" dxfId="38" priority="33" operator="greaterThan">
      <formula>$G$56</formula>
    </cfRule>
    <cfRule type="cellIs" dxfId="37" priority="13" operator="lessThan">
      <formula>$R$56</formula>
    </cfRule>
  </conditionalFormatting>
  <conditionalFormatting sqref="L57">
    <cfRule type="cellIs" dxfId="36" priority="32" operator="greaterThan">
      <formula>$G$57</formula>
    </cfRule>
    <cfRule type="cellIs" dxfId="35" priority="6" operator="greaterThan">
      <formula>$R$57</formula>
    </cfRule>
    <cfRule type="cellIs" dxfId="34" priority="2" operator="lessThan">
      <formula>$R$57</formula>
    </cfRule>
    <cfRule type="cellIs" dxfId="33" priority="92" operator="lessThan">
      <formula>$G$49</formula>
    </cfRule>
    <cfRule type="cellIs" dxfId="32" priority="55" operator="lessThan">
      <formula>$W$49</formula>
    </cfRule>
    <cfRule type="cellIs" dxfId="31" priority="56" operator="greaterThan">
      <formula>$W$49</formula>
    </cfRule>
    <cfRule type="cellIs" dxfId="30" priority="28" operator="lessThan">
      <formula>$G$57</formula>
    </cfRule>
    <cfRule type="cellIs" dxfId="29" priority="12" operator="greaterThan">
      <formula>$R$57</formula>
    </cfRule>
    <cfRule type="cellIs" dxfId="28" priority="96" operator="greaterThan">
      <formula>$G$49</formula>
    </cfRule>
    <cfRule type="cellIs" dxfId="27" priority="11" operator="lessThan">
      <formula>$R$57</formula>
    </cfRule>
  </conditionalFormatting>
  <conditionalFormatting sqref="L58">
    <cfRule type="cellIs" dxfId="26" priority="54" operator="greaterThan">
      <formula>$W$50</formula>
    </cfRule>
    <cfRule type="cellIs" dxfId="25" priority="9" operator="lessThan">
      <formula>$R$58</formula>
    </cfRule>
    <cfRule type="cellIs" dxfId="24" priority="31" operator="greaterThan">
      <formula>$G$58</formula>
    </cfRule>
    <cfRule type="cellIs" dxfId="23" priority="95" operator="greaterThan">
      <formula>$G$50</formula>
    </cfRule>
    <cfRule type="cellIs" dxfId="22" priority="27" operator="lessThan">
      <formula>$G$58</formula>
    </cfRule>
    <cfRule type="cellIs" dxfId="21" priority="53" operator="lessThan">
      <formula>$W$50</formula>
    </cfRule>
    <cfRule type="cellIs" dxfId="20" priority="1" operator="lessThan">
      <formula>$R$58</formula>
    </cfRule>
    <cfRule type="cellIs" dxfId="19" priority="91" operator="lessThan">
      <formula>$G$50</formula>
    </cfRule>
    <cfRule type="cellIs" dxfId="18" priority="5" operator="greaterThan">
      <formula>$R$58</formula>
    </cfRule>
    <cfRule type="cellIs" dxfId="17" priority="10" operator="greaterThan">
      <formula>$R$58</formula>
    </cfRule>
  </conditionalFormatting>
  <conditionalFormatting sqref="U5:U35">
    <cfRule type="cellIs" dxfId="16" priority="35" operator="lessThan">
      <formula>$G$49</formula>
    </cfRule>
    <cfRule type="cellIs" dxfId="15" priority="36" operator="greaterThan">
      <formula>$G$49</formula>
    </cfRule>
  </conditionalFormatting>
  <conditionalFormatting sqref="W47">
    <cfRule type="cellIs" dxfId="14" priority="163" operator="lessThan">
      <formula>#REF!</formula>
    </cfRule>
    <cfRule type="cellIs" dxfId="13" priority="167" operator="greaterThan">
      <formula>#REF!</formula>
    </cfRule>
  </conditionalFormatting>
  <conditionalFormatting sqref="W48">
    <cfRule type="cellIs" dxfId="12" priority="162" operator="lessThan">
      <formula>#REF!</formula>
    </cfRule>
  </conditionalFormatting>
  <conditionalFormatting sqref="W48:W50">
    <cfRule type="cellIs" dxfId="11" priority="164" operator="greaterThan">
      <formula>#REF!</formula>
    </cfRule>
  </conditionalFormatting>
  <conditionalFormatting sqref="W48:W58">
    <cfRule type="cellIs" dxfId="10" priority="103" operator="lessThan">
      <formula>#REF!</formula>
    </cfRule>
  </conditionalFormatting>
  <conditionalFormatting sqref="W55:W58">
    <cfRule type="cellIs" dxfId="9" priority="108" operator="greaterThan">
      <formula>#REF!</formula>
    </cfRule>
  </conditionalFormatting>
  <conditionalFormatting sqref="W56">
    <cfRule type="cellIs" dxfId="8" priority="106" operator="lessThan">
      <formula>#REF!</formula>
    </cfRule>
  </conditionalFormatting>
  <conditionalFormatting sqref="AA5:AA35">
    <cfRule type="cellIs" dxfId="7" priority="37" operator="lessThan">
      <formula>$G$50</formula>
    </cfRule>
    <cfRule type="cellIs" dxfId="6" priority="45" operator="lessThan">
      <formula>$G$50</formula>
    </cfRule>
    <cfRule type="cellIs" dxfId="5" priority="38" operator="greaterThan">
      <formula>$G$50</formula>
    </cfRule>
    <cfRule type="cellIs" dxfId="4" priority="46" operator="greaterThan">
      <formula>$G$50</formula>
    </cfRule>
  </conditionalFormatting>
  <conditionalFormatting sqref="AG51">
    <cfRule type="cellIs" dxfId="3" priority="18" operator="greaterThan">
      <formula>#REF!</formula>
    </cfRule>
    <cfRule type="cellIs" dxfId="2" priority="17" operator="lessThan">
      <formula>#REF!</formula>
    </cfRule>
  </conditionalFormatting>
  <conditionalFormatting sqref="AI51:AK51">
    <cfRule type="cellIs" dxfId="1" priority="77" operator="lessThan">
      <formula>#REF!</formula>
    </cfRule>
    <cfRule type="cellIs" dxfId="0" priority="7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5745CF40-3F1D-42B9-ABE7-0CA9AA73986B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2024</vt:lpstr>
      <vt:lpstr>'Mar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2024-05-14T14:13:53Z</dcterms:modified>
</cp:coreProperties>
</file>