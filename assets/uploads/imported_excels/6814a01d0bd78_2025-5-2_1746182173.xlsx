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ADB397A3-48C6-4FD6-BF30-D1FFAD70E4A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2" r:id="rId1"/>
    <sheet name="APR 2025" sheetId="5" r:id="rId2"/>
  </sheets>
  <definedNames>
    <definedName name="_xlnm.Print_Area" localSheetId="1">'APR 2025'!$A$1:$AN$43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6" i="5" l="1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B5" i="5"/>
  <c r="AA5" i="5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56" i="5"/>
  <c r="G56" i="5" s="1"/>
  <c r="L56" i="5" s="1"/>
  <c r="B55" i="5"/>
  <c r="G55" i="5" s="1"/>
  <c r="L55" i="5" s="1"/>
  <c r="B54" i="5"/>
  <c r="G54" i="5" s="1"/>
  <c r="L54" i="5" s="1"/>
  <c r="L53" i="5"/>
  <c r="B53" i="5"/>
  <c r="G53" i="5" s="1"/>
  <c r="S50" i="5"/>
  <c r="AA49" i="5"/>
  <c r="B49" i="5"/>
  <c r="G49" i="5" s="1"/>
  <c r="S49" i="5" s="1"/>
  <c r="B48" i="5"/>
  <c r="G48" i="5" s="1"/>
  <c r="S48" i="5" s="1"/>
  <c r="AP47" i="5"/>
  <c r="S47" i="5"/>
  <c r="G47" i="5"/>
  <c r="B47" i="5"/>
  <c r="AP46" i="5"/>
  <c r="AP43" i="5" s="1"/>
  <c r="AH43" i="5" s="1"/>
  <c r="AA46" i="5"/>
  <c r="B46" i="5"/>
  <c r="G46" i="5" s="1"/>
  <c r="S46" i="5" s="1"/>
  <c r="AP45" i="5"/>
  <c r="AB43" i="5"/>
  <c r="X43" i="5"/>
  <c r="T43" i="5"/>
  <c r="Z43" i="5" s="1"/>
  <c r="K43" i="5"/>
  <c r="AP42" i="5"/>
  <c r="AH42" i="5"/>
  <c r="AD42" i="5"/>
  <c r="AB42" i="5"/>
  <c r="X42" i="5"/>
  <c r="T42" i="5"/>
  <c r="Z42" i="5" s="1"/>
  <c r="K42" i="5"/>
  <c r="AP41" i="5"/>
  <c r="AH41" i="5"/>
  <c r="AF41" i="5"/>
  <c r="AA41" i="5"/>
  <c r="AB41" i="5" s="1"/>
  <c r="V41" i="5"/>
  <c r="X41" i="5" s="1"/>
  <c r="T41" i="5"/>
  <c r="G41" i="5"/>
  <c r="K41" i="5" s="1"/>
  <c r="T40" i="5"/>
  <c r="AB39" i="5"/>
  <c r="Z39" i="5"/>
  <c r="X39" i="5"/>
  <c r="T39" i="5"/>
  <c r="AD39" i="5" s="1"/>
  <c r="K39" i="5"/>
  <c r="AI38" i="5"/>
  <c r="AD38" i="5"/>
  <c r="Z38" i="5"/>
  <c r="T38" i="5"/>
  <c r="AN35" i="5"/>
  <c r="AM35" i="5"/>
  <c r="AC35" i="5"/>
  <c r="Z35" i="5"/>
  <c r="AK34" i="5"/>
  <c r="AL34" i="5" s="1"/>
  <c r="AH34" i="5"/>
  <c r="AE34" i="5"/>
  <c r="AF34" i="5" s="1"/>
  <c r="AG34" i="5" s="1"/>
  <c r="W34" i="5"/>
  <c r="X34" i="5" s="1"/>
  <c r="Y34" i="5" s="1"/>
  <c r="U34" i="5"/>
  <c r="Q34" i="5"/>
  <c r="P34" i="5"/>
  <c r="M34" i="5"/>
  <c r="N34" i="5" s="1"/>
  <c r="K34" i="5"/>
  <c r="H34" i="5"/>
  <c r="I34" i="5" s="1"/>
  <c r="E34" i="5"/>
  <c r="F34" i="5" s="1"/>
  <c r="R34" i="5" s="1"/>
  <c r="S34" i="5" s="1"/>
  <c r="C34" i="5"/>
  <c r="AK33" i="5"/>
  <c r="AL33" i="5" s="1"/>
  <c r="AH33" i="5"/>
  <c r="AE33" i="5"/>
  <c r="AF33" i="5" s="1"/>
  <c r="AG33" i="5" s="1"/>
  <c r="AI33" i="5" s="1"/>
  <c r="X33" i="5"/>
  <c r="Y33" i="5" s="1"/>
  <c r="W33" i="5"/>
  <c r="U33" i="5"/>
  <c r="R33" i="5"/>
  <c r="S33" i="5" s="1"/>
  <c r="P33" i="5"/>
  <c r="Q33" i="5" s="1"/>
  <c r="N33" i="5"/>
  <c r="M33" i="5"/>
  <c r="K33" i="5"/>
  <c r="H33" i="5"/>
  <c r="I33" i="5" s="1"/>
  <c r="F33" i="5"/>
  <c r="E33" i="5"/>
  <c r="C33" i="5"/>
  <c r="AL32" i="5"/>
  <c r="AK32" i="5"/>
  <c r="AH32" i="5"/>
  <c r="AG32" i="5"/>
  <c r="AI32" i="5" s="1"/>
  <c r="AF32" i="5"/>
  <c r="AE32" i="5"/>
  <c r="Y32" i="5"/>
  <c r="W32" i="5"/>
  <c r="U32" i="5"/>
  <c r="X32" i="5" s="1"/>
  <c r="P32" i="5"/>
  <c r="Q32" i="5" s="1"/>
  <c r="N32" i="5"/>
  <c r="M32" i="5"/>
  <c r="K32" i="5"/>
  <c r="I32" i="5"/>
  <c r="H32" i="5"/>
  <c r="E32" i="5"/>
  <c r="F32" i="5" s="1"/>
  <c r="C32" i="5"/>
  <c r="AL31" i="5"/>
  <c r="AK31" i="5"/>
  <c r="AH31" i="5"/>
  <c r="AE31" i="5"/>
  <c r="AF31" i="5" s="1"/>
  <c r="AG31" i="5" s="1"/>
  <c r="AI31" i="5" s="1"/>
  <c r="W31" i="5"/>
  <c r="U31" i="5"/>
  <c r="X31" i="5" s="1"/>
  <c r="Y31" i="5" s="1"/>
  <c r="Q31" i="5"/>
  <c r="P31" i="5"/>
  <c r="M31" i="5"/>
  <c r="N31" i="5" s="1"/>
  <c r="K31" i="5"/>
  <c r="I31" i="5"/>
  <c r="H31" i="5"/>
  <c r="E31" i="5"/>
  <c r="F31" i="5" s="1"/>
  <c r="C31" i="5"/>
  <c r="R31" i="5" s="1"/>
  <c r="S31" i="5" s="1"/>
  <c r="AK30" i="5"/>
  <c r="AL30" i="5" s="1"/>
  <c r="AH30" i="5"/>
  <c r="AE30" i="5"/>
  <c r="AF30" i="5" s="1"/>
  <c r="AG30" i="5" s="1"/>
  <c r="AI30" i="5" s="1"/>
  <c r="W30" i="5"/>
  <c r="X30" i="5" s="1"/>
  <c r="Y30" i="5" s="1"/>
  <c r="U30" i="5"/>
  <c r="Q30" i="5"/>
  <c r="P30" i="5"/>
  <c r="M30" i="5"/>
  <c r="N30" i="5" s="1"/>
  <c r="K30" i="5"/>
  <c r="H30" i="5"/>
  <c r="I30" i="5" s="1"/>
  <c r="F30" i="5"/>
  <c r="R30" i="5" s="1"/>
  <c r="S30" i="5" s="1"/>
  <c r="E30" i="5"/>
  <c r="C30" i="5"/>
  <c r="AK29" i="5"/>
  <c r="AL29" i="5" s="1"/>
  <c r="AH29" i="5"/>
  <c r="AE29" i="5"/>
  <c r="AF29" i="5" s="1"/>
  <c r="AG29" i="5" s="1"/>
  <c r="AI29" i="5" s="1"/>
  <c r="Y29" i="5"/>
  <c r="X29" i="5"/>
  <c r="W29" i="5"/>
  <c r="U29" i="5"/>
  <c r="P29" i="5"/>
  <c r="Q29" i="5" s="1"/>
  <c r="N29" i="5"/>
  <c r="M29" i="5"/>
  <c r="K29" i="5"/>
  <c r="H29" i="5"/>
  <c r="I29" i="5" s="1"/>
  <c r="F29" i="5"/>
  <c r="R29" i="5" s="1"/>
  <c r="S29" i="5" s="1"/>
  <c r="E29" i="5"/>
  <c r="C29" i="5"/>
  <c r="AK28" i="5"/>
  <c r="AL28" i="5" s="1"/>
  <c r="AH28" i="5"/>
  <c r="AF28" i="5"/>
  <c r="AG28" i="5" s="1"/>
  <c r="AI28" i="5" s="1"/>
  <c r="AE28" i="5"/>
  <c r="W28" i="5"/>
  <c r="U28" i="5"/>
  <c r="X28" i="5" s="1"/>
  <c r="Y28" i="5" s="1"/>
  <c r="P28" i="5"/>
  <c r="Q28" i="5" s="1"/>
  <c r="N28" i="5"/>
  <c r="K28" i="5"/>
  <c r="H28" i="5"/>
  <c r="I28" i="5" s="1"/>
  <c r="F28" i="5"/>
  <c r="E28" i="5"/>
  <c r="C28" i="5"/>
  <c r="R28" i="5" s="1"/>
  <c r="S28" i="5" s="1"/>
  <c r="AL27" i="5"/>
  <c r="AK27" i="5"/>
  <c r="AH27" i="5"/>
  <c r="AG27" i="5"/>
  <c r="AI27" i="5" s="1"/>
  <c r="AF27" i="5"/>
  <c r="AE27" i="5"/>
  <c r="Y27" i="5"/>
  <c r="W27" i="5"/>
  <c r="U27" i="5"/>
  <c r="X27" i="5" s="1"/>
  <c r="P27" i="5"/>
  <c r="Q27" i="5" s="1"/>
  <c r="N27" i="5"/>
  <c r="M27" i="5"/>
  <c r="K27" i="5"/>
  <c r="I27" i="5"/>
  <c r="H27" i="5"/>
  <c r="E27" i="5"/>
  <c r="F27" i="5" s="1"/>
  <c r="C27" i="5"/>
  <c r="AL26" i="5"/>
  <c r="AK26" i="5"/>
  <c r="AH26" i="5"/>
  <c r="AG26" i="5"/>
  <c r="AF26" i="5"/>
  <c r="AE26" i="5"/>
  <c r="W26" i="5"/>
  <c r="U26" i="5"/>
  <c r="Q26" i="5"/>
  <c r="P26" i="5"/>
  <c r="M26" i="5"/>
  <c r="N26" i="5" s="1"/>
  <c r="K26" i="5"/>
  <c r="I26" i="5"/>
  <c r="H26" i="5"/>
  <c r="E26" i="5"/>
  <c r="F26" i="5" s="1"/>
  <c r="C26" i="5"/>
  <c r="AK25" i="5"/>
  <c r="AL25" i="5" s="1"/>
  <c r="AH25" i="5"/>
  <c r="AE25" i="5"/>
  <c r="AF25" i="5" s="1"/>
  <c r="AG25" i="5" s="1"/>
  <c r="AI25" i="5" s="1"/>
  <c r="X25" i="5"/>
  <c r="Y25" i="5" s="1"/>
  <c r="W25" i="5"/>
  <c r="U25" i="5"/>
  <c r="Q25" i="5"/>
  <c r="P25" i="5"/>
  <c r="M25" i="5"/>
  <c r="N25" i="5" s="1"/>
  <c r="K25" i="5"/>
  <c r="I25" i="5"/>
  <c r="H25" i="5"/>
  <c r="F25" i="5"/>
  <c r="R25" i="5" s="1"/>
  <c r="S25" i="5" s="1"/>
  <c r="E25" i="5"/>
  <c r="C25" i="5"/>
  <c r="AK24" i="5"/>
  <c r="AL24" i="5" s="1"/>
  <c r="AH24" i="5"/>
  <c r="AF24" i="5"/>
  <c r="AG24" i="5" s="1"/>
  <c r="AI24" i="5" s="1"/>
  <c r="AE24" i="5"/>
  <c r="Y24" i="5"/>
  <c r="X24" i="5"/>
  <c r="W24" i="5"/>
  <c r="U24" i="5"/>
  <c r="Q24" i="5"/>
  <c r="P24" i="5"/>
  <c r="N24" i="5"/>
  <c r="M24" i="5"/>
  <c r="K24" i="5"/>
  <c r="H24" i="5"/>
  <c r="I24" i="5" s="1"/>
  <c r="F24" i="5"/>
  <c r="R24" i="5" s="1"/>
  <c r="S24" i="5" s="1"/>
  <c r="E24" i="5"/>
  <c r="C24" i="5"/>
  <c r="AK23" i="5"/>
  <c r="AL23" i="5" s="1"/>
  <c r="AH23" i="5"/>
  <c r="AF23" i="5"/>
  <c r="AG23" i="5" s="1"/>
  <c r="AI23" i="5" s="1"/>
  <c r="AE23" i="5"/>
  <c r="W23" i="5"/>
  <c r="U23" i="5"/>
  <c r="X23" i="5" s="1"/>
  <c r="Y23" i="5" s="1"/>
  <c r="P23" i="5"/>
  <c r="Q23" i="5" s="1"/>
  <c r="N23" i="5"/>
  <c r="M23" i="5"/>
  <c r="K23" i="5"/>
  <c r="H23" i="5"/>
  <c r="I23" i="5" s="1"/>
  <c r="F23" i="5"/>
  <c r="E23" i="5"/>
  <c r="C23" i="5"/>
  <c r="AL22" i="5"/>
  <c r="AK22" i="5"/>
  <c r="AH22" i="5"/>
  <c r="AG22" i="5"/>
  <c r="AF22" i="5"/>
  <c r="AE22" i="5"/>
  <c r="W22" i="5"/>
  <c r="U22" i="5"/>
  <c r="X22" i="5" s="1"/>
  <c r="Y22" i="5" s="1"/>
  <c r="Q22" i="5"/>
  <c r="P22" i="5"/>
  <c r="N22" i="5"/>
  <c r="M22" i="5"/>
  <c r="K22" i="5"/>
  <c r="I22" i="5"/>
  <c r="H22" i="5"/>
  <c r="E22" i="5"/>
  <c r="F22" i="5" s="1"/>
  <c r="C22" i="5"/>
  <c r="AL21" i="5"/>
  <c r="AK21" i="5"/>
  <c r="AI21" i="5"/>
  <c r="AH21" i="5"/>
  <c r="AE21" i="5"/>
  <c r="AF21" i="5" s="1"/>
  <c r="AG21" i="5" s="1"/>
  <c r="X21" i="5"/>
  <c r="Y21" i="5" s="1"/>
  <c r="W21" i="5"/>
  <c r="U21" i="5"/>
  <c r="Q21" i="5"/>
  <c r="P21" i="5"/>
  <c r="M21" i="5"/>
  <c r="N21" i="5" s="1"/>
  <c r="K21" i="5"/>
  <c r="I21" i="5"/>
  <c r="H21" i="5"/>
  <c r="E21" i="5"/>
  <c r="F21" i="5" s="1"/>
  <c r="R21" i="5" s="1"/>
  <c r="S21" i="5" s="1"/>
  <c r="C21" i="5"/>
  <c r="AK20" i="5"/>
  <c r="AL20" i="5" s="1"/>
  <c r="AH20" i="5"/>
  <c r="AF20" i="5"/>
  <c r="AG20" i="5" s="1"/>
  <c r="AI20" i="5" s="1"/>
  <c r="AE20" i="5"/>
  <c r="W20" i="5"/>
  <c r="U20" i="5"/>
  <c r="X20" i="5" s="1"/>
  <c r="Y20" i="5" s="1"/>
  <c r="P20" i="5"/>
  <c r="Q20" i="5" s="1"/>
  <c r="N20" i="5"/>
  <c r="M20" i="5"/>
  <c r="K20" i="5"/>
  <c r="I20" i="5"/>
  <c r="H20" i="5"/>
  <c r="F20" i="5"/>
  <c r="E20" i="5"/>
  <c r="C20" i="5"/>
  <c r="R20" i="5" s="1"/>
  <c r="S20" i="5" s="1"/>
  <c r="AL19" i="5"/>
  <c r="AK19" i="5"/>
  <c r="AH19" i="5"/>
  <c r="AG19" i="5"/>
  <c r="AI19" i="5" s="1"/>
  <c r="AF19" i="5"/>
  <c r="AE19" i="5"/>
  <c r="W19" i="5"/>
  <c r="U19" i="5"/>
  <c r="X19" i="5" s="1"/>
  <c r="Y19" i="5" s="1"/>
  <c r="Q19" i="5"/>
  <c r="P19" i="5"/>
  <c r="N19" i="5"/>
  <c r="M19" i="5"/>
  <c r="K19" i="5"/>
  <c r="I19" i="5"/>
  <c r="H19" i="5"/>
  <c r="E19" i="5"/>
  <c r="F19" i="5" s="1"/>
  <c r="C19" i="5"/>
  <c r="AL18" i="5"/>
  <c r="AK18" i="5"/>
  <c r="AH18" i="5"/>
  <c r="AE18" i="5"/>
  <c r="AF18" i="5" s="1"/>
  <c r="AG18" i="5" s="1"/>
  <c r="AI18" i="5" s="1"/>
  <c r="X18" i="5"/>
  <c r="Y18" i="5" s="1"/>
  <c r="W18" i="5"/>
  <c r="U18" i="5"/>
  <c r="Q18" i="5"/>
  <c r="P18" i="5"/>
  <c r="M18" i="5"/>
  <c r="N18" i="5" s="1"/>
  <c r="K18" i="5"/>
  <c r="I18" i="5"/>
  <c r="H18" i="5"/>
  <c r="F18" i="5"/>
  <c r="R18" i="5" s="1"/>
  <c r="S18" i="5" s="1"/>
  <c r="E18" i="5"/>
  <c r="C18" i="5"/>
  <c r="AK17" i="5"/>
  <c r="AL17" i="5" s="1"/>
  <c r="AH17" i="5"/>
  <c r="AF17" i="5"/>
  <c r="AG17" i="5" s="1"/>
  <c r="AI17" i="5" s="1"/>
  <c r="AE17" i="5"/>
  <c r="Y17" i="5"/>
  <c r="X17" i="5"/>
  <c r="W17" i="5"/>
  <c r="U17" i="5"/>
  <c r="Q17" i="5"/>
  <c r="P17" i="5"/>
  <c r="N17" i="5"/>
  <c r="M17" i="5"/>
  <c r="K17" i="5"/>
  <c r="H17" i="5"/>
  <c r="I17" i="5" s="1"/>
  <c r="F17" i="5"/>
  <c r="R17" i="5" s="1"/>
  <c r="S17" i="5" s="1"/>
  <c r="E17" i="5"/>
  <c r="C17" i="5"/>
  <c r="AL16" i="5"/>
  <c r="AK16" i="5"/>
  <c r="AH16" i="5"/>
  <c r="AG16" i="5"/>
  <c r="AI16" i="5" s="1"/>
  <c r="AF16" i="5"/>
  <c r="AE16" i="5"/>
  <c r="W16" i="5"/>
  <c r="U16" i="5"/>
  <c r="X16" i="5" s="1"/>
  <c r="Y16" i="5" s="1"/>
  <c r="P16" i="5"/>
  <c r="Q16" i="5" s="1"/>
  <c r="N16" i="5"/>
  <c r="M16" i="5"/>
  <c r="K16" i="5"/>
  <c r="I16" i="5"/>
  <c r="H16" i="5"/>
  <c r="F16" i="5"/>
  <c r="E16" i="5"/>
  <c r="C16" i="5"/>
  <c r="R16" i="5" s="1"/>
  <c r="S16" i="5" s="1"/>
  <c r="AL15" i="5"/>
  <c r="AK15" i="5"/>
  <c r="AH15" i="5"/>
  <c r="AG15" i="5"/>
  <c r="AI15" i="5" s="1"/>
  <c r="AF15" i="5"/>
  <c r="AE15" i="5"/>
  <c r="W15" i="5"/>
  <c r="U15" i="5"/>
  <c r="X15" i="5" s="1"/>
  <c r="Y15" i="5" s="1"/>
  <c r="Q15" i="5"/>
  <c r="P15" i="5"/>
  <c r="N15" i="5"/>
  <c r="M15" i="5"/>
  <c r="K15" i="5"/>
  <c r="I15" i="5"/>
  <c r="H15" i="5"/>
  <c r="E15" i="5"/>
  <c r="F15" i="5" s="1"/>
  <c r="C15" i="5"/>
  <c r="R15" i="5" s="1"/>
  <c r="S15" i="5" s="1"/>
  <c r="AL14" i="5"/>
  <c r="AK14" i="5"/>
  <c r="AH14" i="5"/>
  <c r="AE14" i="5"/>
  <c r="AF14" i="5" s="1"/>
  <c r="AG14" i="5" s="1"/>
  <c r="AI14" i="5" s="1"/>
  <c r="X14" i="5"/>
  <c r="Y14" i="5" s="1"/>
  <c r="W14" i="5"/>
  <c r="U14" i="5"/>
  <c r="Q14" i="5"/>
  <c r="P14" i="5"/>
  <c r="M14" i="5"/>
  <c r="N14" i="5" s="1"/>
  <c r="K14" i="5"/>
  <c r="I14" i="5"/>
  <c r="H14" i="5"/>
  <c r="F14" i="5"/>
  <c r="R14" i="5" s="1"/>
  <c r="S14" i="5" s="1"/>
  <c r="E14" i="5"/>
  <c r="C14" i="5"/>
  <c r="AK13" i="5"/>
  <c r="AL13" i="5" s="1"/>
  <c r="AH13" i="5"/>
  <c r="AF13" i="5"/>
  <c r="AG13" i="5" s="1"/>
  <c r="AI13" i="5" s="1"/>
  <c r="AE13" i="5"/>
  <c r="Y13" i="5"/>
  <c r="X13" i="5"/>
  <c r="W13" i="5"/>
  <c r="U13" i="5"/>
  <c r="Q13" i="5"/>
  <c r="P13" i="5"/>
  <c r="N13" i="5"/>
  <c r="M13" i="5"/>
  <c r="K13" i="5"/>
  <c r="H13" i="5"/>
  <c r="I13" i="5" s="1"/>
  <c r="F13" i="5"/>
  <c r="R13" i="5" s="1"/>
  <c r="S13" i="5" s="1"/>
  <c r="E13" i="5"/>
  <c r="C13" i="5"/>
  <c r="AL12" i="5"/>
  <c r="AK12" i="5"/>
  <c r="AH12" i="5"/>
  <c r="AG12" i="5"/>
  <c r="AI12" i="5" s="1"/>
  <c r="AF12" i="5"/>
  <c r="AE12" i="5"/>
  <c r="W12" i="5"/>
  <c r="U12" i="5"/>
  <c r="X12" i="5" s="1"/>
  <c r="Y12" i="5" s="1"/>
  <c r="P12" i="5"/>
  <c r="Q12" i="5" s="1"/>
  <c r="N12" i="5"/>
  <c r="M12" i="5"/>
  <c r="K12" i="5"/>
  <c r="I12" i="5"/>
  <c r="H12" i="5"/>
  <c r="F12" i="5"/>
  <c r="E12" i="5"/>
  <c r="C12" i="5"/>
  <c r="R12" i="5" s="1"/>
  <c r="S12" i="5" s="1"/>
  <c r="AL11" i="5"/>
  <c r="AK11" i="5"/>
  <c r="AH11" i="5"/>
  <c r="AG11" i="5"/>
  <c r="AI11" i="5" s="1"/>
  <c r="AF11" i="5"/>
  <c r="AE11" i="5"/>
  <c r="W11" i="5"/>
  <c r="U11" i="5"/>
  <c r="X11" i="5" s="1"/>
  <c r="Y11" i="5" s="1"/>
  <c r="Q11" i="5"/>
  <c r="P11" i="5"/>
  <c r="M11" i="5"/>
  <c r="N11" i="5" s="1"/>
  <c r="K11" i="5"/>
  <c r="I11" i="5"/>
  <c r="H11" i="5"/>
  <c r="E11" i="5"/>
  <c r="F11" i="5" s="1"/>
  <c r="C11" i="5"/>
  <c r="R11" i="5" s="1"/>
  <c r="S11" i="5" s="1"/>
  <c r="AL10" i="5"/>
  <c r="AK10" i="5"/>
  <c r="AH10" i="5"/>
  <c r="AE10" i="5"/>
  <c r="AF10" i="5" s="1"/>
  <c r="AG10" i="5" s="1"/>
  <c r="AI10" i="5" s="1"/>
  <c r="X10" i="5"/>
  <c r="Y10" i="5" s="1"/>
  <c r="W10" i="5"/>
  <c r="U10" i="5"/>
  <c r="Q10" i="5"/>
  <c r="P10" i="5"/>
  <c r="M10" i="5"/>
  <c r="N10" i="5" s="1"/>
  <c r="K10" i="5"/>
  <c r="I10" i="5"/>
  <c r="H10" i="5"/>
  <c r="F10" i="5"/>
  <c r="R10" i="5" s="1"/>
  <c r="S10" i="5" s="1"/>
  <c r="E10" i="5"/>
  <c r="C10" i="5"/>
  <c r="AK9" i="5"/>
  <c r="AL9" i="5" s="1"/>
  <c r="AH9" i="5"/>
  <c r="AF9" i="5"/>
  <c r="AG9" i="5" s="1"/>
  <c r="AI9" i="5" s="1"/>
  <c r="AE9" i="5"/>
  <c r="Y9" i="5"/>
  <c r="X9" i="5"/>
  <c r="W9" i="5"/>
  <c r="U9" i="5"/>
  <c r="Q9" i="5"/>
  <c r="P9" i="5"/>
  <c r="N9" i="5"/>
  <c r="M9" i="5"/>
  <c r="K9" i="5"/>
  <c r="H9" i="5"/>
  <c r="I9" i="5" s="1"/>
  <c r="F9" i="5"/>
  <c r="R9" i="5" s="1"/>
  <c r="S9" i="5" s="1"/>
  <c r="E9" i="5"/>
  <c r="C9" i="5"/>
  <c r="AL8" i="5"/>
  <c r="AK8" i="5"/>
  <c r="AH8" i="5"/>
  <c r="AG8" i="5"/>
  <c r="AI8" i="5" s="1"/>
  <c r="AF8" i="5"/>
  <c r="AE8" i="5"/>
  <c r="W8" i="5"/>
  <c r="U8" i="5"/>
  <c r="X8" i="5" s="1"/>
  <c r="Y8" i="5" s="1"/>
  <c r="P8" i="5"/>
  <c r="Q8" i="5" s="1"/>
  <c r="N8" i="5"/>
  <c r="M8" i="5"/>
  <c r="K8" i="5"/>
  <c r="I8" i="5"/>
  <c r="H8" i="5"/>
  <c r="F8" i="5"/>
  <c r="E8" i="5"/>
  <c r="C8" i="5"/>
  <c r="R8" i="5" s="1"/>
  <c r="S8" i="5" s="1"/>
  <c r="AL7" i="5"/>
  <c r="AK7" i="5"/>
  <c r="AH7" i="5"/>
  <c r="AG7" i="5"/>
  <c r="AI7" i="5" s="1"/>
  <c r="AF7" i="5"/>
  <c r="W7" i="5"/>
  <c r="U7" i="5"/>
  <c r="X7" i="5" s="1"/>
  <c r="Y7" i="5" s="1"/>
  <c r="P7" i="5"/>
  <c r="Q7" i="5" s="1"/>
  <c r="N7" i="5"/>
  <c r="M7" i="5"/>
  <c r="K7" i="5"/>
  <c r="I7" i="5"/>
  <c r="H7" i="5"/>
  <c r="F7" i="5"/>
  <c r="E7" i="5"/>
  <c r="C7" i="5"/>
  <c r="R7" i="5" s="1"/>
  <c r="S7" i="5" s="1"/>
  <c r="AL6" i="5"/>
  <c r="AK6" i="5"/>
  <c r="AH6" i="5"/>
  <c r="AG6" i="5"/>
  <c r="AI6" i="5" s="1"/>
  <c r="AF6" i="5"/>
  <c r="AE6" i="5"/>
  <c r="AE35" i="5" s="1"/>
  <c r="W6" i="5"/>
  <c r="W35" i="5" s="1"/>
  <c r="U6" i="5"/>
  <c r="U35" i="5" s="1"/>
  <c r="Q6" i="5"/>
  <c r="P6" i="5"/>
  <c r="N6" i="5"/>
  <c r="M6" i="5"/>
  <c r="K6" i="5"/>
  <c r="K35" i="5" s="1"/>
  <c r="I6" i="5"/>
  <c r="H6" i="5"/>
  <c r="E6" i="5"/>
  <c r="F6" i="5" s="1"/>
  <c r="C6" i="5"/>
  <c r="C35" i="5" s="1"/>
  <c r="AL5" i="5"/>
  <c r="AH5" i="5"/>
  <c r="AH35" i="5" s="1"/>
  <c r="AP39" i="5" s="1"/>
  <c r="AH39" i="5" s="1"/>
  <c r="AG5" i="5"/>
  <c r="AI5" i="5" s="1"/>
  <c r="AF5" i="5"/>
  <c r="AA35" i="5"/>
  <c r="Y5" i="5"/>
  <c r="X5" i="5"/>
  <c r="Q5" i="5"/>
  <c r="N5" i="5"/>
  <c r="N35" i="5" s="1"/>
  <c r="I5" i="5"/>
  <c r="F5" i="5"/>
  <c r="R5" i="5" s="1"/>
  <c r="S5" i="5" l="1"/>
  <c r="R19" i="5"/>
  <c r="S19" i="5" s="1"/>
  <c r="I35" i="5"/>
  <c r="AB35" i="5"/>
  <c r="R6" i="5"/>
  <c r="S6" i="5" s="1"/>
  <c r="X6" i="5"/>
  <c r="Y6" i="5" s="1"/>
  <c r="Y35" i="5" s="1"/>
  <c r="AI26" i="5"/>
  <c r="R27" i="5"/>
  <c r="S27" i="5" s="1"/>
  <c r="R32" i="5"/>
  <c r="S32" i="5" s="1"/>
  <c r="F35" i="5"/>
  <c r="X35" i="5"/>
  <c r="X38" i="5" s="1"/>
  <c r="AF35" i="5"/>
  <c r="AH38" i="5" s="1"/>
  <c r="AL35" i="5"/>
  <c r="AK35" i="5"/>
  <c r="AI22" i="5"/>
  <c r="AI35" i="5" s="1"/>
  <c r="R23" i="5"/>
  <c r="S23" i="5" s="1"/>
  <c r="AI34" i="5"/>
  <c r="Z40" i="5"/>
  <c r="AD40" i="5"/>
  <c r="Z41" i="5"/>
  <c r="AD41" i="5"/>
  <c r="AI41" i="5" s="1"/>
  <c r="AA48" i="5"/>
  <c r="Q35" i="5"/>
  <c r="AG35" i="5"/>
  <c r="R22" i="5"/>
  <c r="S22" i="5" s="1"/>
  <c r="R26" i="5"/>
  <c r="S26" i="5" s="1"/>
  <c r="X26" i="5"/>
  <c r="Y26" i="5" s="1"/>
  <c r="AA50" i="5"/>
  <c r="AA47" i="5"/>
  <c r="L57" i="5"/>
  <c r="AD43" i="5"/>
  <c r="AI43" i="5" s="1"/>
  <c r="B57" i="5"/>
  <c r="R56" i="5" l="1"/>
  <c r="W56" i="5" s="1"/>
  <c r="W49" i="5"/>
  <c r="AF38" i="5"/>
  <c r="L49" i="5"/>
  <c r="AD56" i="5" s="1"/>
  <c r="R54" i="5"/>
  <c r="W54" i="5" s="1"/>
  <c r="L47" i="5"/>
  <c r="AD54" i="5" s="1"/>
  <c r="W47" i="5"/>
  <c r="V38" i="5"/>
  <c r="V40" i="5" s="1"/>
  <c r="R35" i="5"/>
  <c r="S35" i="5" s="1"/>
  <c r="AA38" i="5"/>
  <c r="L48" i="5"/>
  <c r="AD55" i="5" s="1"/>
  <c r="R55" i="5"/>
  <c r="W55" i="5" s="1"/>
  <c r="W48" i="5"/>
  <c r="AI39" i="5"/>
  <c r="X48" i="5" l="1"/>
  <c r="X40" i="5"/>
  <c r="AA54" i="5"/>
  <c r="AE56" i="5"/>
  <c r="AH56" i="5" s="1"/>
  <c r="AG56" i="5"/>
  <c r="AF47" i="5"/>
  <c r="X47" i="5"/>
  <c r="AF40" i="5"/>
  <c r="AI42" i="5"/>
  <c r="AG55" i="5"/>
  <c r="AE55" i="5"/>
  <c r="AH55" i="5" s="1"/>
  <c r="W46" i="5"/>
  <c r="R53" i="5"/>
  <c r="G38" i="5"/>
  <c r="L46" i="5"/>
  <c r="AD53" i="5" s="1"/>
  <c r="AE54" i="5"/>
  <c r="AH54" i="5" s="1"/>
  <c r="AG54" i="5"/>
  <c r="AF49" i="5"/>
  <c r="X49" i="5"/>
  <c r="AA40" i="5"/>
  <c r="AB38" i="5"/>
  <c r="AD57" i="5" l="1"/>
  <c r="AG53" i="5"/>
  <c r="AG57" i="5" s="1"/>
  <c r="AE53" i="5"/>
  <c r="G40" i="5"/>
  <c r="AF46" i="5" s="1"/>
  <c r="K38" i="5"/>
  <c r="AH47" i="5"/>
  <c r="AG47" i="5"/>
  <c r="AH49" i="5"/>
  <c r="AG49" i="5"/>
  <c r="R57" i="5"/>
  <c r="W58" i="5" s="1"/>
  <c r="W53" i="5"/>
  <c r="W57" i="5" s="1"/>
  <c r="AA55" i="5"/>
  <c r="AB40" i="5"/>
  <c r="W50" i="5"/>
  <c r="X50" i="5" s="1"/>
  <c r="X46" i="5"/>
  <c r="AA56" i="5"/>
  <c r="AP40" i="5"/>
  <c r="AH40" i="5" s="1"/>
  <c r="AF48" i="5"/>
  <c r="AH46" i="5" l="1"/>
  <c r="AF50" i="5"/>
  <c r="AG50" i="5" s="1"/>
  <c r="AG46" i="5"/>
  <c r="AH53" i="5"/>
  <c r="AH57" i="5" s="1"/>
  <c r="AE57" i="5"/>
  <c r="AA53" i="5"/>
  <c r="AA57" i="5" s="1"/>
  <c r="K40" i="5"/>
  <c r="AH48" i="5"/>
  <c r="AG48" i="5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<sst xmlns="http://schemas.openxmlformats.org/spreadsheetml/2006/main" count="197" uniqueCount="98">
  <si>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</si>
  <si>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</si>
  <si>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</si>
  <si>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</si>
  <si>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</si>
  <si>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</si>
  <si>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</si>
  <si>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</si>
  <si>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</si>
  <si>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</si>
  <si>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</si>
  <si>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</si>
  <si>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</si>
  <si>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</si>
  <si>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</si>
  <si>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r>
      <t>M</t>
    </r>
    <r>
      <rPr>
        <b/>
        <vertAlign val="superscript"/>
        <sz val="12"/>
        <rFont val="Calibri"/>
        <family val="2"/>
        <scheme val="minor"/>
      </rPr>
      <t>3</t>
    </r>
  </si>
  <si>
    <t>Chilled Water</t>
  </si>
  <si>
    <t>Ton Hour</t>
  </si>
  <si>
    <t>Additional Info</t>
  </si>
  <si>
    <t>Adl. &amp; Chl.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</si>
  <si>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</si>
  <si>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Total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</si>
  <si>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No of Cylinder</t>
  </si>
  <si>
    <t>Cons. Ltrs</t>
  </si>
  <si>
    <t>Gas</t>
  </si>
  <si>
    <t>Litres</t>
  </si>
  <si>
    <t>Hotel Reading</t>
  </si>
  <si>
    <t>Irrigation water BHP</t>
  </si>
  <si>
    <t>To be deducted       from Hotel Meter.</t>
  </si>
  <si>
    <t>Total ELE Cons.
KW</t>
  </si>
  <si>
    <t>Hotel BTU Meter Energy Reading</t>
  </si>
  <si>
    <t>1st Floor Kitchen</t>
  </si>
  <si>
    <t>Gas 
AED</t>
  </si>
  <si>
    <t>AVT Charges should be Zero in the DC invoice - Please notify if not</t>
  </si>
  <si>
    <t>Daily Budget</t>
  </si>
  <si>
    <t>MTD Average</t>
  </si>
  <si>
    <t>MTD Budget</t>
  </si>
  <si>
    <t>MTD Actual</t>
  </si>
  <si>
    <t>Monthly Budget</t>
  </si>
  <si>
    <t>YTD Budget</t>
  </si>
  <si>
    <t>YTD Actual</t>
  </si>
  <si>
    <t>Total Energy cost</t>
  </si>
  <si>
    <t>Total Energy Cost YTD</t>
  </si>
  <si>
    <t>LP Gas</t>
  </si>
  <si>
    <t>Savings</t>
  </si>
  <si>
    <t>Exceeds</t>
  </si>
  <si>
    <t>MDB #2</t>
  </si>
  <si>
    <t>MDB #3</t>
  </si>
  <si>
    <t>MDB #1
MDB-E</t>
  </si>
  <si>
    <t>MDB #1
SMDB Kitchen</t>
  </si>
  <si>
    <t>MDB #1
Fire Pump #1</t>
  </si>
  <si>
    <t>MDB #1
Fire Pump #2</t>
  </si>
  <si>
    <r>
      <t xml:space="preserve">Hotel share </t>
    </r>
    <r>
      <rPr>
        <u/>
        <sz val="9"/>
        <color theme="1"/>
        <rFont val="Calibri"/>
        <family val="2"/>
        <scheme val="minor"/>
      </rPr>
      <t>94.38 %</t>
    </r>
  </si>
  <si>
    <r>
      <t xml:space="preserve">Hotel  share </t>
    </r>
    <r>
      <rPr>
        <u/>
        <sz val="9"/>
        <color theme="1"/>
        <rFont val="Calibri"/>
        <family val="2"/>
        <scheme val="minor"/>
      </rPr>
      <t>65.36 %</t>
    </r>
  </si>
  <si>
    <r>
      <t xml:space="preserve">Hotel share </t>
    </r>
    <r>
      <rPr>
        <u/>
        <sz val="9"/>
        <color theme="1"/>
        <rFont val="Calibri"/>
        <family val="2"/>
        <scheme val="minor"/>
      </rPr>
      <t>50 %</t>
    </r>
  </si>
  <si>
    <t>Actual Last Year</t>
  </si>
  <si>
    <t>Average Daily Consumption Last Year</t>
  </si>
  <si>
    <t>MTD Average Last Year</t>
  </si>
  <si>
    <t>MTD Actual Vs Last Year</t>
  </si>
  <si>
    <t>YTD Actual Vs Last Year</t>
  </si>
  <si>
    <t>MTD Savings Forecast Vs LY</t>
  </si>
  <si>
    <t>YTD Savings Forecast Vs LY</t>
  </si>
  <si>
    <t>MTD Fcast</t>
  </si>
  <si>
    <t>YTD Fcast</t>
  </si>
  <si>
    <t>Gas Cylinder purchased
(50 litres)</t>
  </si>
  <si>
    <t>Actual YTD 2024</t>
  </si>
  <si>
    <t>CHW Consumption Charges (Actual 2024 YTD)</t>
  </si>
  <si>
    <t>CHW Fixed Charges YTD 2024</t>
  </si>
  <si>
    <t>Bulk ETS Energy Meter Reading</t>
  </si>
  <si>
    <t>ETS Cons.
Ton Hours</t>
  </si>
  <si>
    <t>ETS Cons.
MWH</t>
  </si>
  <si>
    <t>Actual YTD 2025</t>
  </si>
  <si>
    <t>Budget YTD 2025</t>
  </si>
  <si>
    <t>CHW Fixed Charges YTD 2025</t>
  </si>
  <si>
    <t>CHW Consumption Charges (Budget 2025 MTD)</t>
  </si>
  <si>
    <t>CHW Consumption Charges (Actual 2025 YTD)</t>
  </si>
  <si>
    <t>CHW Consumption Charges (Budget 2025 YTD)</t>
  </si>
  <si>
    <t>CHW Consumption Charges (Actual 2024 MTD)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</si>
  <si>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</si>
  <si>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</si>
  <si>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</si>
  <si>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</si>
  <si>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</si>
  <si>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</si>
  <si>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</si>
  <si>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</si>
  <si>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</si>
  <si>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</si>
  <si>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</si>
  <si>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</si>
  <si>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>Capital Centre Arjaan</t>
  </si>
  <si>
    <t xml:space="preserve">LPG (Liters) </t>
  </si>
  <si>
    <t>LPG $/Liters</t>
  </si>
  <si>
    <t>Hotel Occupancy %</t>
  </si>
  <si>
    <t>CAPITAL CENTRE ARJAAN UTILITIES CONSUMPTION - April 2025.</t>
  </si>
  <si>
    <t>Actual April 2025</t>
  </si>
  <si>
    <t>Budget April 2025</t>
  </si>
  <si>
    <t>Actual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</si>
</sst>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_ ;\-#,##0.00\ "/>
    <numFmt numFmtId="167" formatCode="0;&quot;&quot;"/>
    <numFmt numFmtId="168" formatCode="_(* #,##0.00_);_(* \(#,##0.00\);_(* &quot;-&quot;_);_(@_)"/>
    <numFmt numFmtId="169" formatCode="_-* #,##0_-;\-* #,##0_-;_-* &quot;-&quot;??_-;_-@_-"/>
    <numFmt numFmtId="170" formatCode="_(* #,##0_);[Red]_(* \(#,##0\);_(* &quot;-&quot;??_);_(@_)\ "/>
    <numFmt numFmtId="171" formatCode="0.0000"/>
  </numFmts>
  <fonts count="43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6">
    <xf numFmtId="0" fontId="0" fillId="0" borderId="0"/>
    <xf numFmtId="9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9" fontId="1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9" fillId="0" borderId="17">
      <alignment horizontal="center" vertical="center"/>
    </xf>
    <xf numFmtId="0" fontId="20" fillId="0" borderId="0">
      <alignment vertical="top"/>
    </xf>
    <xf numFmtId="0" fontId="17" fillId="0" borderId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</cellStyleXfs>
  <cellXfs count="34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0" borderId="0" xfId="0" applyFont="1"/>
    <xf numFmtId="0" fontId="12" fillId="0" borderId="0" xfId="0" applyFont="1"/>
    <xf numFmtId="0" fontId="22" fillId="8" borderId="7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23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10" fontId="0" fillId="0" borderId="0" xfId="0" applyNumberFormat="1"/>
    <xf numFmtId="165" fontId="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22" fillId="8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5" fontId="26" fillId="0" borderId="0" xfId="18" applyFont="1" applyBorder="1" applyAlignment="1">
      <alignment vertical="center"/>
    </xf>
    <xf numFmtId="165" fontId="30" fillId="0" borderId="0" xfId="18" applyFont="1" applyBorder="1" applyAlignment="1">
      <alignment vertical="center"/>
    </xf>
    <xf numFmtId="0" fontId="14" fillId="0" borderId="0" xfId="0" applyFont="1" applyAlignment="1">
      <alignment horizontal="center"/>
    </xf>
    <xf numFmtId="0" fontId="25" fillId="0" borderId="0" xfId="0" applyFont="1" applyAlignment="1">
      <alignment horizontal="center" vertical="center" wrapText="1"/>
    </xf>
    <xf numFmtId="165" fontId="27" fillId="0" borderId="26" xfId="18" applyFont="1" applyBorder="1" applyAlignment="1">
      <alignment vertical="center"/>
    </xf>
    <xf numFmtId="167" fontId="24" fillId="0" borderId="26" xfId="18" applyNumberFormat="1" applyFont="1" applyBorder="1" applyAlignment="1">
      <alignment horizontal="center" vertical="center"/>
    </xf>
    <xf numFmtId="167" fontId="14" fillId="0" borderId="27" xfId="18" applyNumberFormat="1" applyFont="1" applyBorder="1" applyAlignment="1">
      <alignment horizontal="center" vertical="center"/>
    </xf>
    <xf numFmtId="165" fontId="27" fillId="0" borderId="29" xfId="18" applyFont="1" applyBorder="1" applyAlignment="1">
      <alignment vertical="center"/>
    </xf>
    <xf numFmtId="167" fontId="24" fillId="0" borderId="29" xfId="18" applyNumberFormat="1" applyFont="1" applyBorder="1" applyAlignment="1">
      <alignment horizontal="center" vertical="center"/>
    </xf>
    <xf numFmtId="167" fontId="14" fillId="0" borderId="30" xfId="18" applyNumberFormat="1" applyFont="1" applyBorder="1" applyAlignment="1">
      <alignment horizontal="center" vertical="center"/>
    </xf>
    <xf numFmtId="165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165" fontId="27" fillId="0" borderId="32" xfId="18" applyFont="1" applyBorder="1" applyAlignment="1">
      <alignment horizontal="center" vertical="center"/>
    </xf>
    <xf numFmtId="167" fontId="27" fillId="0" borderId="33" xfId="18" applyNumberFormat="1" applyFont="1" applyBorder="1" applyAlignment="1">
      <alignment horizontal="center" vertical="center"/>
    </xf>
    <xf numFmtId="165" fontId="27" fillId="0" borderId="30" xfId="18" applyFont="1" applyBorder="1" applyAlignment="1">
      <alignment vertical="center"/>
    </xf>
    <xf numFmtId="165" fontId="27" fillId="0" borderId="27" xfId="18" applyFont="1" applyBorder="1" applyAlignment="1">
      <alignment vertical="center"/>
    </xf>
    <xf numFmtId="165" fontId="27" fillId="0" borderId="33" xfId="18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165" fontId="23" fillId="0" borderId="27" xfId="18" applyFont="1" applyBorder="1" applyAlignment="1">
      <alignment horizontal="center" vertical="center"/>
    </xf>
    <xf numFmtId="165" fontId="23" fillId="0" borderId="30" xfId="18" applyFont="1" applyBorder="1" applyAlignment="1">
      <alignment horizontal="center" vertical="center"/>
    </xf>
    <xf numFmtId="165" fontId="23" fillId="0" borderId="33" xfId="18" applyFont="1" applyBorder="1" applyAlignment="1">
      <alignment horizontal="center" vertical="center"/>
    </xf>
    <xf numFmtId="0" fontId="24" fillId="0" borderId="25" xfId="0" applyFont="1" applyBorder="1" applyAlignment="1">
      <alignment vertical="center"/>
    </xf>
    <xf numFmtId="166" fontId="27" fillId="0" borderId="27" xfId="18" applyNumberFormat="1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166" fontId="27" fillId="0" borderId="30" xfId="18" applyNumberFormat="1" applyFont="1" applyBorder="1" applyAlignment="1">
      <alignment vertical="center"/>
    </xf>
    <xf numFmtId="0" fontId="24" fillId="0" borderId="31" xfId="0" applyFont="1" applyBorder="1" applyAlignment="1">
      <alignment vertical="center"/>
    </xf>
    <xf numFmtId="0" fontId="28" fillId="0" borderId="0" xfId="0" applyFont="1" applyAlignment="1">
      <alignment horizontal="left" vertical="center"/>
    </xf>
    <xf numFmtId="165" fontId="27" fillId="0" borderId="0" xfId="18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27" fillId="0" borderId="0" xfId="18" applyFont="1" applyBorder="1" applyAlignment="1">
      <alignment horizontal="center"/>
    </xf>
    <xf numFmtId="167" fontId="27" fillId="0" borderId="0" xfId="18" applyNumberFormat="1" applyFont="1" applyBorder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/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horizontal="center"/>
    </xf>
    <xf numFmtId="165" fontId="35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/>
    </xf>
    <xf numFmtId="3" fontId="35" fillId="0" borderId="0" xfId="0" applyNumberFormat="1" applyFont="1"/>
    <xf numFmtId="0" fontId="38" fillId="0" borderId="0" xfId="0" applyFont="1"/>
    <xf numFmtId="168" fontId="37" fillId="0" borderId="0" xfId="0" applyNumberFormat="1" applyFont="1" applyAlignment="1">
      <alignment horizontal="center"/>
    </xf>
    <xf numFmtId="165" fontId="37" fillId="0" borderId="0" xfId="0" applyNumberFormat="1" applyFont="1" applyAlignment="1">
      <alignment horizontal="center"/>
    </xf>
    <xf numFmtId="10" fontId="35" fillId="0" borderId="0" xfId="0" applyNumberFormat="1" applyFont="1" applyAlignment="1">
      <alignment horizontal="right"/>
    </xf>
    <xf numFmtId="165" fontId="35" fillId="0" borderId="0" xfId="0" applyNumberFormat="1" applyFont="1"/>
    <xf numFmtId="0" fontId="0" fillId="0" borderId="35" xfId="0" applyBorder="1" applyAlignment="1">
      <alignment horizontal="center" vertical="center"/>
    </xf>
    <xf numFmtId="1" fontId="3" fillId="0" borderId="35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" fontId="5" fillId="0" borderId="29" xfId="0" applyNumberFormat="1" applyFont="1" applyBorder="1" applyAlignment="1">
      <alignment horizontal="center" vertical="center"/>
    </xf>
    <xf numFmtId="1" fontId="3" fillId="0" borderId="29" xfId="0" applyNumberFormat="1" applyFon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3" fontId="3" fillId="0" borderId="29" xfId="0" applyNumberFormat="1" applyFont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1" fontId="5" fillId="6" borderId="29" xfId="0" applyNumberFormat="1" applyFont="1" applyFill="1" applyBorder="1" applyAlignment="1">
      <alignment horizontal="center" vertical="center"/>
    </xf>
    <xf numFmtId="1" fontId="3" fillId="6" borderId="29" xfId="0" applyNumberFormat="1" applyFont="1" applyFill="1" applyBorder="1" applyAlignment="1">
      <alignment horizontal="center" vertical="center"/>
    </xf>
    <xf numFmtId="3" fontId="3" fillId="6" borderId="29" xfId="0" applyNumberFormat="1" applyFont="1" applyFill="1" applyBorder="1" applyAlignment="1">
      <alignment horizontal="center" vertical="center"/>
    </xf>
    <xf numFmtId="3" fontId="4" fillId="0" borderId="43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3" fontId="4" fillId="0" borderId="42" xfId="0" applyNumberFormat="1" applyFont="1" applyBorder="1" applyAlignment="1">
      <alignment horizontal="center" vertical="center"/>
    </xf>
    <xf numFmtId="3" fontId="5" fillId="0" borderId="44" xfId="0" applyNumberFormat="1" applyFont="1" applyBorder="1" applyAlignment="1">
      <alignment horizontal="center" vertical="center"/>
    </xf>
    <xf numFmtId="0" fontId="12" fillId="6" borderId="37" xfId="0" applyFont="1" applyFill="1" applyBorder="1" applyAlignment="1">
      <alignment vertical="center"/>
    </xf>
    <xf numFmtId="4" fontId="12" fillId="6" borderId="29" xfId="18" applyNumberFormat="1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vertical="center"/>
    </xf>
    <xf numFmtId="0" fontId="29" fillId="7" borderId="42" xfId="0" applyFont="1" applyFill="1" applyBorder="1" applyAlignment="1">
      <alignment horizontal="center" vertical="center"/>
    </xf>
    <xf numFmtId="0" fontId="9" fillId="7" borderId="43" xfId="0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5" fontId="34" fillId="0" borderId="0" xfId="18" applyFont="1" applyBorder="1" applyAlignment="1">
      <alignment vertical="center"/>
    </xf>
    <xf numFmtId="0" fontId="39" fillId="0" borderId="0" xfId="0" applyFont="1" applyAlignment="1">
      <alignment horizontal="center" vertical="center"/>
    </xf>
    <xf numFmtId="169" fontId="23" fillId="0" borderId="30" xfId="18" applyNumberFormat="1" applyFont="1" applyBorder="1" applyAlignment="1">
      <alignment horizontal="center" vertical="center"/>
    </xf>
    <xf numFmtId="169" fontId="23" fillId="0" borderId="33" xfId="18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5" fontId="14" fillId="0" borderId="0" xfId="18" applyFont="1" applyBorder="1" applyAlignment="1">
      <alignment horizontal="center" vertical="center"/>
    </xf>
    <xf numFmtId="37" fontId="27" fillId="0" borderId="27" xfId="18" applyNumberFormat="1" applyFont="1" applyBorder="1" applyAlignment="1">
      <alignment vertical="center"/>
    </xf>
    <xf numFmtId="37" fontId="27" fillId="0" borderId="30" xfId="18" applyNumberFormat="1" applyFont="1" applyBorder="1" applyAlignment="1">
      <alignment vertical="center"/>
    </xf>
    <xf numFmtId="37" fontId="27" fillId="0" borderId="33" xfId="18" applyNumberFormat="1" applyFont="1" applyBorder="1" applyAlignment="1">
      <alignment vertical="center"/>
    </xf>
    <xf numFmtId="170" fontId="39" fillId="0" borderId="24" xfId="0" applyNumberFormat="1" applyFont="1" applyBorder="1" applyAlignment="1">
      <alignment horizontal="right" vertic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70" fontId="34" fillId="0" borderId="32" xfId="18" applyNumberFormat="1" applyFont="1" applyBorder="1" applyAlignment="1">
      <alignment horizontal="center" vertical="center"/>
    </xf>
    <xf numFmtId="4" fontId="12" fillId="0" borderId="0" xfId="0" applyNumberFormat="1" applyFont="1"/>
    <xf numFmtId="14" fontId="0" fillId="0" borderId="48" xfId="0" applyNumberForma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3" fontId="0" fillId="0" borderId="29" xfId="0" applyNumberFormat="1" applyBorder="1" applyAlignment="1">
      <alignment horizontal="center" vertical="center"/>
    </xf>
    <xf numFmtId="4" fontId="14" fillId="0" borderId="29" xfId="0" applyNumberFormat="1" applyFont="1" applyBorder="1" applyAlignment="1">
      <alignment horizontal="center" vertical="center"/>
    </xf>
    <xf numFmtId="4" fontId="12" fillId="6" borderId="38" xfId="0" applyNumberFormat="1" applyFont="1" applyFill="1" applyBorder="1" applyAlignment="1">
      <alignment horizontal="center" vertical="center"/>
    </xf>
    <xf numFmtId="4" fontId="14" fillId="6" borderId="35" xfId="0" applyNumberFormat="1" applyFont="1" applyFill="1" applyBorder="1" applyAlignment="1">
      <alignment horizontal="center" vertical="center"/>
    </xf>
    <xf numFmtId="4" fontId="12" fillId="6" borderId="4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2" fillId="7" borderId="46" xfId="0" applyFont="1" applyFill="1" applyBorder="1" applyAlignment="1">
      <alignment horizontal="center" vertical="center" wrapText="1"/>
    </xf>
    <xf numFmtId="0" fontId="2" fillId="7" borderId="47" xfId="0" applyFont="1" applyFill="1" applyBorder="1" applyAlignment="1">
      <alignment horizontal="center" vertical="center" wrapText="1"/>
    </xf>
    <xf numFmtId="1" fontId="3" fillId="0" borderId="36" xfId="0" applyNumberFormat="1" applyFont="1" applyBorder="1" applyAlignment="1">
      <alignment horizontal="center" vertical="center"/>
    </xf>
    <xf numFmtId="1" fontId="3" fillId="0" borderId="38" xfId="0" applyNumberFormat="1" applyFont="1" applyBorder="1" applyAlignment="1">
      <alignment horizontal="center" vertical="center"/>
    </xf>
    <xf numFmtId="1" fontId="3" fillId="6" borderId="38" xfId="0" applyNumberFormat="1" applyFont="1" applyFill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 vertical="center"/>
    </xf>
    <xf numFmtId="3" fontId="5" fillId="0" borderId="43" xfId="0" applyNumberFormat="1" applyFont="1" applyBorder="1" applyAlignment="1">
      <alignment horizontal="center" vertical="center"/>
    </xf>
    <xf numFmtId="3" fontId="5" fillId="0" borderId="43" xfId="18" applyNumberFormat="1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4" fontId="2" fillId="0" borderId="43" xfId="0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45" xfId="0" applyNumberFormat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33" fillId="0" borderId="0" xfId="0" applyFont="1" applyAlignment="1">
      <alignment vertical="center"/>
    </xf>
    <xf numFmtId="165" fontId="36" fillId="0" borderId="30" xfId="18" applyFont="1" applyBorder="1" applyAlignment="1">
      <alignment horizontal="center" vertical="center"/>
    </xf>
    <xf numFmtId="168" fontId="36" fillId="0" borderId="30" xfId="24" applyNumberFormat="1" applyFont="1" applyBorder="1" applyAlignment="1">
      <alignment horizontal="center" vertical="center"/>
    </xf>
    <xf numFmtId="168" fontId="36" fillId="0" borderId="33" xfId="24" applyNumberFormat="1" applyFont="1" applyBorder="1" applyAlignment="1">
      <alignment horizontal="center" vertical="center"/>
    </xf>
    <xf numFmtId="0" fontId="33" fillId="0" borderId="28" xfId="0" applyFont="1" applyBorder="1" applyAlignment="1">
      <alignment vertical="center"/>
    </xf>
    <xf numFmtId="166" fontId="34" fillId="0" borderId="30" xfId="18" applyNumberFormat="1" applyFont="1" applyBorder="1" applyAlignment="1">
      <alignment vertical="center"/>
    </xf>
    <xf numFmtId="0" fontId="33" fillId="0" borderId="31" xfId="0" applyFont="1" applyBorder="1" applyAlignment="1">
      <alignment vertical="center"/>
    </xf>
    <xf numFmtId="165" fontId="34" fillId="0" borderId="33" xfId="18" applyFont="1" applyBorder="1" applyAlignment="1">
      <alignment vertical="center"/>
    </xf>
    <xf numFmtId="4" fontId="8" fillId="6" borderId="29" xfId="0" applyNumberFormat="1" applyFont="1" applyFill="1" applyBorder="1" applyAlignment="1">
      <alignment horizontal="center" vertical="center"/>
    </xf>
    <xf numFmtId="4" fontId="8" fillId="6" borderId="40" xfId="18" applyNumberFormat="1" applyFont="1" applyFill="1" applyBorder="1" applyAlignment="1">
      <alignment horizontal="center" vertical="center"/>
    </xf>
    <xf numFmtId="4" fontId="13" fillId="0" borderId="0" xfId="0" applyNumberFormat="1" applyFont="1"/>
    <xf numFmtId="0" fontId="0" fillId="0" borderId="56" xfId="0" applyBorder="1" applyAlignment="1">
      <alignment horizontal="center" vertical="center"/>
    </xf>
    <xf numFmtId="3" fontId="5" fillId="0" borderId="58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165" fontId="27" fillId="0" borderId="33" xfId="18" applyFont="1" applyBorder="1" applyAlignment="1">
      <alignment vertical="center"/>
    </xf>
    <xf numFmtId="1" fontId="0" fillId="0" borderId="37" xfId="0" applyNumberFormat="1" applyBorder="1" applyAlignment="1">
      <alignment horizontal="center" vertical="center"/>
    </xf>
    <xf numFmtId="165" fontId="36" fillId="0" borderId="33" xfId="18" applyFont="1" applyBorder="1" applyAlignment="1">
      <alignment horizontal="center" vertical="center"/>
    </xf>
    <xf numFmtId="165" fontId="34" fillId="0" borderId="30" xfId="18" applyFont="1" applyBorder="1" applyAlignment="1">
      <alignment vertical="center"/>
    </xf>
    <xf numFmtId="170" fontId="34" fillId="0" borderId="30" xfId="18" applyNumberFormat="1" applyFont="1" applyBorder="1" applyAlignment="1">
      <alignment vertical="center"/>
    </xf>
    <xf numFmtId="170" fontId="34" fillId="0" borderId="33" xfId="18" applyNumberFormat="1" applyFont="1" applyBorder="1" applyAlignment="1">
      <alignment vertical="center"/>
    </xf>
    <xf numFmtId="4" fontId="12" fillId="6" borderId="59" xfId="0" applyNumberFormat="1" applyFont="1" applyFill="1" applyBorder="1" applyAlignment="1">
      <alignment horizontal="center" vertical="center"/>
    </xf>
    <xf numFmtId="4" fontId="12" fillId="6" borderId="60" xfId="0" applyNumberFormat="1" applyFont="1" applyFill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0" fontId="13" fillId="6" borderId="29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 wrapText="1"/>
    </xf>
    <xf numFmtId="4" fontId="35" fillId="0" borderId="63" xfId="0" applyNumberFormat="1" applyFont="1" applyBorder="1" applyAlignment="1">
      <alignment horizontal="center" vertical="center"/>
    </xf>
    <xf numFmtId="4" fontId="35" fillId="0" borderId="6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70" fontId="39" fillId="0" borderId="0" xfId="18" applyNumberFormat="1" applyFont="1" applyBorder="1" applyAlignment="1">
      <alignment vertical="center"/>
    </xf>
    <xf numFmtId="170" fontId="39" fillId="0" borderId="0" xfId="0" applyNumberFormat="1" applyFont="1" applyAlignment="1">
      <alignment vertical="center"/>
    </xf>
    <xf numFmtId="169" fontId="23" fillId="0" borderId="27" xfId="18" applyNumberFormat="1" applyFont="1" applyBorder="1" applyAlignment="1">
      <alignment horizontal="center" vertical="center"/>
    </xf>
    <xf numFmtId="0" fontId="2" fillId="0" borderId="65" xfId="35" applyFont="1" applyBorder="1" applyAlignment="1">
      <alignment horizontal="center" vertical="center"/>
    </xf>
    <xf numFmtId="0" fontId="2" fillId="0" borderId="65" xfId="35" applyFont="1" applyBorder="1" applyAlignment="1">
      <alignment horizontal="center" vertical="center" wrapText="1"/>
    </xf>
    <xf numFmtId="2" fontId="21" fillId="0" borderId="65" xfId="35" applyNumberFormat="1" applyFont="1" applyBorder="1" applyAlignment="1">
      <alignment horizontal="center" vertical="center" wrapText="1"/>
    </xf>
    <xf numFmtId="0" fontId="21" fillId="0" borderId="65" xfId="35" applyFont="1" applyBorder="1" applyAlignment="1">
      <alignment horizontal="center" vertical="center" wrapText="1"/>
    </xf>
    <xf numFmtId="0" fontId="2" fillId="0" borderId="0" xfId="35" applyFont="1" applyAlignment="1">
      <alignment horizontal="center" vertical="center"/>
    </xf>
    <xf numFmtId="0" fontId="18" fillId="0" borderId="0" xfId="35" applyFont="1" applyAlignment="1">
      <alignment horizontal="center"/>
    </xf>
    <xf numFmtId="0" fontId="2" fillId="0" borderId="0" xfId="35" applyFont="1" applyAlignment="1">
      <alignment horizontal="center"/>
    </xf>
    <xf numFmtId="1" fontId="15" fillId="0" borderId="0" xfId="35" applyNumberFormat="1" applyAlignment="1">
      <alignment horizontal="center"/>
    </xf>
    <xf numFmtId="2" fontId="42" fillId="0" borderId="0" xfId="35" applyNumberFormat="1" applyFont="1" applyAlignment="1">
      <alignment horizontal="center"/>
    </xf>
    <xf numFmtId="171" fontId="42" fillId="0" borderId="0" xfId="35" applyNumberFormat="1" applyFont="1" applyAlignment="1">
      <alignment horizontal="center"/>
    </xf>
    <xf numFmtId="0" fontId="15" fillId="0" borderId="0" xfId="35" applyAlignment="1">
      <alignment horizontal="center"/>
    </xf>
    <xf numFmtId="0" fontId="2" fillId="0" borderId="0" xfId="35" applyFont="1"/>
    <xf numFmtId="0" fontId="42" fillId="0" borderId="0" xfId="35" applyFont="1" applyAlignment="1">
      <alignment horizontal="center"/>
    </xf>
    <xf numFmtId="0" fontId="15" fillId="0" borderId="0" xfId="35"/>
    <xf numFmtId="1" fontId="0" fillId="0" borderId="38" xfId="0" applyNumberFormat="1" applyBorder="1" applyAlignment="1">
      <alignment horizontal="center" vertical="center"/>
    </xf>
    <xf numFmtId="9" fontId="0" fillId="0" borderId="34" xfId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9" fontId="0" fillId="0" borderId="37" xfId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" fontId="0" fillId="0" borderId="40" xfId="0" applyNumberFormat="1" applyBorder="1" applyAlignment="1">
      <alignment horizontal="center" vertical="center"/>
    </xf>
    <xf numFmtId="10" fontId="4" fillId="0" borderId="42" xfId="0" applyNumberFormat="1" applyFont="1" applyBorder="1" applyAlignment="1">
      <alignment horizontal="center" vertical="center"/>
    </xf>
    <xf numFmtId="1" fontId="4" fillId="0" borderId="44" xfId="0" applyNumberFormat="1" applyFont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 wrapText="1"/>
    </xf>
    <xf numFmtId="0" fontId="2" fillId="4" borderId="47" xfId="0" applyFont="1" applyFill="1" applyBorder="1" applyAlignment="1">
      <alignment horizontal="center" vertical="center" wrapText="1"/>
    </xf>
    <xf numFmtId="0" fontId="22" fillId="8" borderId="47" xfId="0" applyFont="1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2" fontId="0" fillId="0" borderId="71" xfId="0" applyNumberFormat="1" applyBorder="1" applyAlignment="1">
      <alignment horizontal="center" vertical="center"/>
    </xf>
    <xf numFmtId="1" fontId="5" fillId="0" borderId="71" xfId="0" applyNumberFormat="1" applyFont="1" applyBorder="1" applyAlignment="1">
      <alignment horizontal="center" vertical="center"/>
    </xf>
    <xf numFmtId="1" fontId="5" fillId="0" borderId="60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0" fontId="40" fillId="6" borderId="20" xfId="0" applyFont="1" applyFill="1" applyBorder="1" applyAlignment="1">
      <alignment horizontal="center"/>
    </xf>
    <xf numFmtId="0" fontId="40" fillId="6" borderId="18" xfId="0" applyFont="1" applyFill="1" applyBorder="1" applyAlignment="1">
      <alignment horizontal="center"/>
    </xf>
    <xf numFmtId="0" fontId="40" fillId="6" borderId="0" xfId="0" applyFont="1" applyFill="1" applyAlignment="1">
      <alignment horizontal="center"/>
    </xf>
    <xf numFmtId="0" fontId="2" fillId="5" borderId="5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41" fillId="4" borderId="10" xfId="0" applyFont="1" applyFill="1" applyBorder="1" applyAlignment="1">
      <alignment horizontal="center" vertical="center"/>
    </xf>
    <xf numFmtId="0" fontId="41" fillId="4" borderId="4" xfId="0" applyFont="1" applyFill="1" applyBorder="1" applyAlignment="1">
      <alignment horizontal="center" vertical="center"/>
    </xf>
    <xf numFmtId="0" fontId="41" fillId="4" borderId="1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1" fillId="3" borderId="3" xfId="0" applyFont="1" applyFill="1" applyBorder="1" applyAlignment="1">
      <alignment horizontal="center" vertical="center"/>
    </xf>
    <xf numFmtId="0" fontId="41" fillId="7" borderId="10" xfId="0" applyFont="1" applyFill="1" applyBorder="1" applyAlignment="1">
      <alignment horizontal="center" vertical="center"/>
    </xf>
    <xf numFmtId="0" fontId="41" fillId="7" borderId="4" xfId="0" applyFont="1" applyFill="1" applyBorder="1" applyAlignment="1">
      <alignment horizontal="center" vertical="center"/>
    </xf>
    <xf numFmtId="0" fontId="41" fillId="7" borderId="1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2" xfId="0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2" fillId="4" borderId="15" xfId="0" applyFont="1" applyFill="1" applyBorder="1" applyAlignment="1">
      <alignment horizontal="center" vertical="top" wrapText="1"/>
    </xf>
    <xf numFmtId="0" fontId="2" fillId="4" borderId="23" xfId="0" applyFont="1" applyFill="1" applyBorder="1" applyAlignment="1">
      <alignment horizontal="center" vertical="top" wrapText="1"/>
    </xf>
    <xf numFmtId="0" fontId="2" fillId="4" borderId="22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4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6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5" borderId="6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29" fillId="4" borderId="42" xfId="0" applyFont="1" applyFill="1" applyBorder="1" applyAlignment="1">
      <alignment horizontal="center" vertical="center"/>
    </xf>
    <xf numFmtId="0" fontId="29" fillId="4" borderId="43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29" fillId="3" borderId="42" xfId="0" applyFont="1" applyFill="1" applyBorder="1" applyAlignment="1">
      <alignment horizontal="center" vertical="center"/>
    </xf>
    <xf numFmtId="0" fontId="29" fillId="3" borderId="43" xfId="0" applyFont="1" applyFill="1" applyBorder="1" applyAlignment="1">
      <alignment horizontal="center" vertical="center"/>
    </xf>
    <xf numFmtId="0" fontId="9" fillId="3" borderId="43" xfId="0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43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horizontal="left" vertical="center"/>
    </xf>
    <xf numFmtId="0" fontId="12" fillId="6" borderId="35" xfId="0" applyFont="1" applyFill="1" applyBorder="1" applyAlignment="1">
      <alignment horizontal="left" vertical="center"/>
    </xf>
    <xf numFmtId="4" fontId="14" fillId="6" borderId="35" xfId="0" applyNumberFormat="1" applyFont="1" applyFill="1" applyBorder="1" applyAlignment="1">
      <alignment horizontal="center" vertical="center"/>
    </xf>
    <xf numFmtId="4" fontId="12" fillId="6" borderId="35" xfId="0" applyNumberFormat="1" applyFont="1" applyFill="1" applyBorder="1" applyAlignment="1">
      <alignment horizontal="center" vertical="center"/>
    </xf>
    <xf numFmtId="4" fontId="12" fillId="6" borderId="36" xfId="0" applyNumberFormat="1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0" fontId="12" fillId="6" borderId="35" xfId="0" applyFont="1" applyFill="1" applyBorder="1" applyAlignment="1">
      <alignment horizontal="center" vertical="center"/>
    </xf>
    <xf numFmtId="3" fontId="12" fillId="6" borderId="35" xfId="0" applyNumberFormat="1" applyFont="1" applyFill="1" applyBorder="1" applyAlignment="1">
      <alignment horizontal="center" vertical="center"/>
    </xf>
    <xf numFmtId="3" fontId="12" fillId="6" borderId="36" xfId="0" applyNumberFormat="1" applyFont="1" applyFill="1" applyBorder="1" applyAlignment="1">
      <alignment horizontal="center" vertical="center"/>
    </xf>
    <xf numFmtId="0" fontId="12" fillId="6" borderId="37" xfId="0" applyFont="1" applyFill="1" applyBorder="1" applyAlignment="1">
      <alignment horizontal="left" vertical="center"/>
    </xf>
    <xf numFmtId="0" fontId="12" fillId="6" borderId="29" xfId="0" applyFont="1" applyFill="1" applyBorder="1" applyAlignment="1">
      <alignment horizontal="left" vertical="center"/>
    </xf>
    <xf numFmtId="4" fontId="12" fillId="6" borderId="29" xfId="0" applyNumberFormat="1" applyFont="1" applyFill="1" applyBorder="1" applyAlignment="1">
      <alignment horizontal="center" vertical="center"/>
    </xf>
    <xf numFmtId="3" fontId="12" fillId="6" borderId="29" xfId="0" applyNumberFormat="1" applyFont="1" applyFill="1" applyBorder="1" applyAlignment="1">
      <alignment horizontal="center" vertical="center"/>
    </xf>
    <xf numFmtId="3" fontId="12" fillId="6" borderId="38" xfId="0" applyNumberFormat="1" applyFont="1" applyFill="1" applyBorder="1" applyAlignment="1">
      <alignment horizontal="center" vertical="center"/>
    </xf>
    <xf numFmtId="4" fontId="14" fillId="0" borderId="29" xfId="0" applyNumberFormat="1" applyFont="1" applyBorder="1" applyAlignment="1">
      <alignment horizontal="center" vertical="center"/>
    </xf>
    <xf numFmtId="4" fontId="12" fillId="0" borderId="29" xfId="0" applyNumberFormat="1" applyFont="1" applyBorder="1" applyAlignment="1">
      <alignment horizontal="center" vertical="center"/>
    </xf>
    <xf numFmtId="4" fontId="12" fillId="0" borderId="38" xfId="0" applyNumberFormat="1" applyFont="1" applyBorder="1" applyAlignment="1">
      <alignment horizontal="center" vertical="center"/>
    </xf>
    <xf numFmtId="0" fontId="12" fillId="6" borderId="37" xfId="0" applyFont="1" applyFill="1" applyBorder="1" applyAlignment="1">
      <alignment horizontal="center" vertical="center"/>
    </xf>
    <xf numFmtId="0" fontId="12" fillId="6" borderId="29" xfId="0" applyFont="1" applyFill="1" applyBorder="1" applyAlignment="1">
      <alignment horizontal="center" vertical="center"/>
    </xf>
    <xf numFmtId="4" fontId="12" fillId="6" borderId="38" xfId="0" applyNumberFormat="1" applyFont="1" applyFill="1" applyBorder="1" applyAlignment="1">
      <alignment horizontal="center" vertical="center"/>
    </xf>
    <xf numFmtId="3" fontId="12" fillId="0" borderId="29" xfId="0" applyNumberFormat="1" applyFont="1" applyBorder="1" applyAlignment="1">
      <alignment horizontal="center" vertical="center"/>
    </xf>
    <xf numFmtId="3" fontId="12" fillId="0" borderId="38" xfId="0" applyNumberFormat="1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0" fontId="12" fillId="6" borderId="39" xfId="0" applyFont="1" applyFill="1" applyBorder="1" applyAlignment="1">
      <alignment horizontal="left" vertical="center"/>
    </xf>
    <xf numFmtId="0" fontId="12" fillId="6" borderId="40" xfId="0" applyFont="1" applyFill="1" applyBorder="1" applyAlignment="1">
      <alignment horizontal="left" vertical="center"/>
    </xf>
    <xf numFmtId="4" fontId="8" fillId="6" borderId="40" xfId="0" applyNumberFormat="1" applyFont="1" applyFill="1" applyBorder="1" applyAlignment="1">
      <alignment horizontal="center" vertical="center"/>
    </xf>
    <xf numFmtId="3" fontId="12" fillId="6" borderId="40" xfId="0" applyNumberFormat="1" applyFont="1" applyFill="1" applyBorder="1" applyAlignment="1">
      <alignment horizontal="center" vertical="center"/>
    </xf>
    <xf numFmtId="3" fontId="12" fillId="6" borderId="4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" fontId="12" fillId="6" borderId="40" xfId="0" applyNumberFormat="1" applyFont="1" applyFill="1" applyBorder="1" applyAlignment="1">
      <alignment horizontal="center" vertical="center"/>
    </xf>
    <xf numFmtId="4" fontId="12" fillId="6" borderId="41" xfId="0" applyNumberFormat="1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/>
    </xf>
    <xf numFmtId="0" fontId="12" fillId="6" borderId="40" xfId="0" applyFont="1" applyFill="1" applyBorder="1" applyAlignment="1">
      <alignment horizontal="center" vertical="center"/>
    </xf>
    <xf numFmtId="0" fontId="24" fillId="0" borderId="28" xfId="0" applyFont="1" applyBorder="1" applyAlignment="1">
      <alignment horizontal="left" vertical="center"/>
    </xf>
    <xf numFmtId="0" fontId="24" fillId="0" borderId="29" xfId="0" applyFont="1" applyBorder="1" applyAlignment="1">
      <alignment horizontal="left" vertical="center"/>
    </xf>
    <xf numFmtId="0" fontId="24" fillId="0" borderId="25" xfId="0" applyFont="1" applyBorder="1" applyAlignment="1">
      <alignment horizontal="left" vertical="center"/>
    </xf>
    <xf numFmtId="0" fontId="24" fillId="0" borderId="26" xfId="0" applyFont="1" applyBorder="1" applyAlignment="1">
      <alignment horizontal="left" vertical="center"/>
    </xf>
    <xf numFmtId="0" fontId="24" fillId="0" borderId="31" xfId="0" applyFont="1" applyBorder="1" applyAlignment="1">
      <alignment horizontal="left" vertical="center"/>
    </xf>
    <xf numFmtId="0" fontId="24" fillId="0" borderId="32" xfId="0" applyFont="1" applyBorder="1" applyAlignment="1">
      <alignment horizontal="left" vertical="center"/>
    </xf>
    <xf numFmtId="0" fontId="33" fillId="0" borderId="28" xfId="0" applyFont="1" applyBorder="1" applyAlignment="1">
      <alignment horizontal="left" vertical="center"/>
    </xf>
    <xf numFmtId="0" fontId="33" fillId="0" borderId="29" xfId="0" applyFont="1" applyBorder="1" applyAlignment="1">
      <alignment horizontal="left" vertical="center"/>
    </xf>
    <xf numFmtId="165" fontId="36" fillId="0" borderId="29" xfId="18" applyFont="1" applyBorder="1" applyAlignment="1">
      <alignment horizontal="center" vertical="center"/>
    </xf>
    <xf numFmtId="165" fontId="36" fillId="0" borderId="30" xfId="18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7" fillId="0" borderId="25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4" fontId="27" fillId="0" borderId="25" xfId="0" applyNumberFormat="1" applyFont="1" applyBorder="1" applyAlignment="1">
      <alignment horizontal="center" vertical="center"/>
    </xf>
    <xf numFmtId="14" fontId="27" fillId="0" borderId="26" xfId="0" applyNumberFormat="1" applyFont="1" applyBorder="1" applyAlignment="1">
      <alignment horizontal="center" vertical="center"/>
    </xf>
    <xf numFmtId="14" fontId="27" fillId="0" borderId="27" xfId="0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/>
    </xf>
    <xf numFmtId="165" fontId="36" fillId="0" borderId="57" xfId="18" applyFont="1" applyBorder="1" applyAlignment="1">
      <alignment horizontal="center" vertical="center"/>
    </xf>
    <xf numFmtId="165" fontId="36" fillId="0" borderId="54" xfId="18" applyFont="1" applyBorder="1" applyAlignment="1">
      <alignment horizontal="center" vertical="center"/>
    </xf>
    <xf numFmtId="3" fontId="35" fillId="0" borderId="0" xfId="0" applyNumberFormat="1" applyFont="1" applyAlignment="1">
      <alignment horizontal="right"/>
    </xf>
    <xf numFmtId="0" fontId="28" fillId="0" borderId="0" xfId="0" applyFont="1" applyAlignment="1">
      <alignment horizontal="left" vertical="center"/>
    </xf>
    <xf numFmtId="0" fontId="33" fillId="0" borderId="31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165" fontId="36" fillId="0" borderId="32" xfId="18" applyFont="1" applyBorder="1" applyAlignment="1">
      <alignment horizontal="center" vertical="center"/>
    </xf>
    <xf numFmtId="165" fontId="36" fillId="0" borderId="33" xfId="18" applyFont="1" applyBorder="1" applyAlignment="1">
      <alignment horizontal="center" vertical="center"/>
    </xf>
    <xf numFmtId="3" fontId="3" fillId="0" borderId="36" xfId="0" applyNumberFormat="1" applyFont="1" applyBorder="1" applyAlignment="1">
      <alignment horizontal="center" vertical="center"/>
    </xf>
    <xf numFmtId="3" fontId="3" fillId="0" borderId="38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</cellXfs>
  <cellStyles count="36">
    <cellStyle name="Comma" xfId="18" builtinId="3"/>
    <cellStyle name="Comma [0]" xfId="24" builtinId="6"/>
    <cellStyle name="Comma [0] 2" xfId="34" xr:uid="{A899D049-DA93-4FD0-8D4E-5DFBF3D97A51}"/>
    <cellStyle name="Comma 2" xfId="2" xr:uid="{00000000-0005-0000-0000-000001000000}"/>
    <cellStyle name="Comma 2 2" xfId="3" xr:uid="{00000000-0005-0000-0000-000002000000}"/>
    <cellStyle name="Comma 2 2 2" xfId="20" xr:uid="{C6E974CF-3359-4F35-91C2-E1E8F67060F3}"/>
    <cellStyle name="Comma 2 2 2 2" xfId="30" xr:uid="{58DA782F-BEA2-4431-B98A-CC06F2626CA3}"/>
    <cellStyle name="Comma 2 2 3" xfId="26" xr:uid="{BB1CF9EA-7FED-46AA-87D6-07DC6CE5CAF6}"/>
    <cellStyle name="Comma 2 3" xfId="4" xr:uid="{00000000-0005-0000-0000-000003000000}"/>
    <cellStyle name="Comma 2 3 2" xfId="21" xr:uid="{F0B83743-C316-4501-A9D4-F449AF7E66A9}"/>
    <cellStyle name="Comma 2 3 2 2" xfId="31" xr:uid="{898D5B54-5344-4BEF-8F2B-D205F91A569E}"/>
    <cellStyle name="Comma 2 3 3" xfId="27" xr:uid="{B822C519-8E16-4D8C-A647-C3C50867D1E3}"/>
    <cellStyle name="Comma 2 4" xfId="19" xr:uid="{89BF41D9-676D-4C12-B87E-4425C90039D3}"/>
    <cellStyle name="Comma 2 4 2" xfId="29" xr:uid="{B8B6EDFC-9F16-45DD-965D-213E2C4BFB9E}"/>
    <cellStyle name="Comma 2 5" xfId="25" xr:uid="{6B6C28E0-3F00-4BC0-822B-1F3C75558B4E}"/>
    <cellStyle name="Comma 3" xfId="5" xr:uid="{00000000-0005-0000-0000-000004000000}"/>
    <cellStyle name="Comma 3 2" xfId="22" xr:uid="{35074402-1867-4358-8538-26217DD821A1}"/>
    <cellStyle name="Comma 3 2 2" xfId="32" xr:uid="{8A562F1C-FD57-4CEC-AAA1-679731C847E0}"/>
    <cellStyle name="Comma 4" xfId="23" xr:uid="{CD9BEABD-AE55-41CC-9005-D13BC78D18E3}"/>
    <cellStyle name="Comma 4 2" xfId="33" xr:uid="{3BE59BE0-E37D-4246-8305-AEA0B4344FFC}"/>
    <cellStyle name="Comma 5" xfId="28" xr:uid="{C1C53BC0-A380-421F-8747-1D7AFE02FBD1}"/>
    <cellStyle name="Normal" xfId="0" builtinId="0"/>
    <cellStyle name="Normal 2" xfId="6" xr:uid="{00000000-0005-0000-0000-000007000000}"/>
    <cellStyle name="Normal 2 2" xfId="17" xr:uid="{00000000-0005-0000-0000-000008000000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3 4" xfId="35" xr:uid="{DCF8C052-02B4-4930-968A-2A9183C8512A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55AB-27C4-42A9-9A18-469C00ECA894}">
  <dimension ref="A1:Z32"/>
  <sheetViews>
    <sheetView workbookViewId="0">
      <selection activeCell="Q23" sqref="Q23"/>
    </sheetView>
  </sheetViews>
  <sheetFormatPr defaultColWidth="11.5703125" defaultRowHeight="15" x14ac:dyDescent="0.25"/>
  <cols>
    <col min="1" max="1" width="29.140625" style="186" bestFit="1" customWidth="1"/>
    <col min="2" max="3" width="11.5703125" style="181"/>
    <col min="4" max="4" width="13.42578125" style="181" customWidth="1"/>
    <col min="5" max="5" width="12.5703125" style="185" customWidth="1"/>
    <col min="6" max="6" width="12.5703125" style="183" customWidth="1"/>
    <col min="7" max="7" width="11.5703125" style="185"/>
    <col min="8" max="8" width="11.5703125" style="187"/>
    <col min="9" max="9" width="12.5703125" style="185" customWidth="1"/>
    <col min="10" max="10" width="12.5703125" style="183" customWidth="1"/>
    <col min="11" max="11" width="11.5703125" style="185"/>
    <col min="12" max="12" width="11.5703125" style="187"/>
    <col min="13" max="26" width="11.5703125" style="185"/>
    <col min="27" max="16384" width="11.5703125" style="188"/>
  </cols>
  <sheetData>
    <row r="1" spans="1:14" s="179" customFormat="1" ht="60" x14ac:dyDescent="0.25">
      <c r="A1" s="175" t="s">
        <v>78</v>
      </c>
      <c r="B1" s="175" t="s">
        <v>79</v>
      </c>
      <c r="C1" s="175" t="s">
        <v>80</v>
      </c>
      <c r="D1" s="175" t="s">
        <v>81</v>
      </c>
      <c r="E1" s="176" t="s">
        <v>82</v>
      </c>
      <c r="F1" s="177" t="s">
        <v>83</v>
      </c>
      <c r="G1" s="176" t="s">
        <v>84</v>
      </c>
      <c r="H1" s="178" t="s">
        <v>85</v>
      </c>
      <c r="I1" s="176" t="s">
        <v>91</v>
      </c>
      <c r="J1" s="177" t="s">
        <v>92</v>
      </c>
      <c r="K1" s="176" t="s">
        <v>86</v>
      </c>
      <c r="L1" s="178" t="s">
        <v>87</v>
      </c>
      <c r="M1" s="176" t="s">
        <v>88</v>
      </c>
      <c r="N1" s="176" t="s">
        <v>89</v>
      </c>
    </row>
    <row r="2" spans="1:14" x14ac:dyDescent="0.25">
      <c r="A2" s="180" t="s">
        <v>90</v>
      </c>
      <c r="B2" s="181">
        <v>1</v>
      </c>
      <c r="C2" s="181">
        <v>4</v>
      </c>
      <c r="D2" s="181">
        <v>2025</v>
      </c>
      <c r="E2" s="182">
        <f>IF('APR 2025'!R5&gt;=0,'APR 2025'!R5,0)</f>
        <v>11487.574000000001</v>
      </c>
      <c r="F2" s="183">
        <v>0.2</v>
      </c>
      <c r="G2" s="182">
        <f>IF('APR 2025'!X5&gt;=0,'APR 2025'!X5,0)</f>
        <v>72</v>
      </c>
      <c r="H2" s="183">
        <v>7.84</v>
      </c>
      <c r="I2" s="182">
        <f>IF('APR 2025'!AA5&gt;=0,'APR 2025'!AA5,0)</f>
        <v>44.452016</v>
      </c>
      <c r="J2" s="183">
        <v>2.77</v>
      </c>
      <c r="K2" s="182">
        <f>IF('APR 2025'!AF5&gt;=0,'APR 2025'!AF5,0)</f>
        <v>3412.1400000000003</v>
      </c>
      <c r="L2" s="184">
        <v>0.34489999999999998</v>
      </c>
      <c r="M2" s="182">
        <f>'APR 2025'!AM5*259</f>
        <v>236.0008</v>
      </c>
      <c r="N2" s="182">
        <f>'APR 2025'!AN5</f>
        <v>304</v>
      </c>
    </row>
    <row r="3" spans="1:14" x14ac:dyDescent="0.25">
      <c r="A3" s="180" t="s">
        <v>90</v>
      </c>
      <c r="B3" s="181">
        <f>B2+1</f>
        <v>2</v>
      </c>
      <c r="C3" s="181">
        <v>4</v>
      </c>
      <c r="D3" s="181">
        <v>2025</v>
      </c>
      <c r="E3" s="182">
        <f>IF('APR 2025'!R6&gt;=0,'APR 2025'!R6,0)</f>
        <v>11210.7924</v>
      </c>
      <c r="F3" s="183">
        <v>0.2</v>
      </c>
      <c r="G3" s="182">
        <f>IF('APR 2025'!X6&gt;=0,'APR 2025'!X6,0)</f>
        <v>76</v>
      </c>
      <c r="H3" s="183">
        <v>7.84</v>
      </c>
      <c r="I3" s="182">
        <f>IF('APR 2025'!AA6&gt;=0,'APR 2025'!AA6,0)</f>
        <v>44.452016</v>
      </c>
      <c r="J3" s="183">
        <v>2.77</v>
      </c>
      <c r="K3" s="182">
        <f>IF('APR 2025'!AF6&gt;=0,'APR 2025'!AF6,0)</f>
        <v>3412.1400000000003</v>
      </c>
      <c r="L3" s="184">
        <v>0.34489999999999998</v>
      </c>
      <c r="M3" s="182">
        <f>'APR 2025'!AM6*259</f>
        <v>239.98939999999999</v>
      </c>
      <c r="N3" s="182">
        <f>'APR 2025'!AN6</f>
        <v>307</v>
      </c>
    </row>
    <row r="4" spans="1:14" x14ac:dyDescent="0.25">
      <c r="A4" s="180" t="s">
        <v>90</v>
      </c>
      <c r="B4" s="181">
        <f t="shared" ref="B4:B31" si="0">B3+1</f>
        <v>3</v>
      </c>
      <c r="C4" s="181">
        <v>4</v>
      </c>
      <c r="D4" s="181">
        <v>2025</v>
      </c>
      <c r="E4" s="182">
        <f>IF('APR 2025'!R7&gt;=0,'APR 2025'!R7,0)</f>
        <v>10603.5214</v>
      </c>
      <c r="F4" s="183">
        <v>0.2</v>
      </c>
      <c r="G4" s="182">
        <f>IF('APR 2025'!X7&gt;=0,'APR 2025'!X7,0)</f>
        <v>52</v>
      </c>
      <c r="H4" s="183">
        <v>7.84</v>
      </c>
      <c r="I4" s="182">
        <f>IF('APR 2025'!AA7&gt;=0,'APR 2025'!AA7,0)</f>
        <v>44.452016</v>
      </c>
      <c r="J4" s="183">
        <v>2.77</v>
      </c>
      <c r="K4" s="182">
        <f>IF('APR 2025'!AF7&gt;=0,'APR 2025'!AF7,0)</f>
        <v>3412.1400000000003</v>
      </c>
      <c r="L4" s="184">
        <v>0.34489999999999998</v>
      </c>
      <c r="M4" s="182">
        <f>'APR 2025'!AM7*259</f>
        <v>244.9881</v>
      </c>
      <c r="N4" s="182">
        <f>'APR 2025'!AN7</f>
        <v>317</v>
      </c>
    </row>
    <row r="5" spans="1:14" x14ac:dyDescent="0.25">
      <c r="A5" s="180" t="s">
        <v>90</v>
      </c>
      <c r="B5" s="181">
        <f t="shared" si="0"/>
        <v>4</v>
      </c>
      <c r="C5" s="181">
        <v>4</v>
      </c>
      <c r="D5" s="181">
        <v>2025</v>
      </c>
      <c r="E5" s="182">
        <f>IF('APR 2025'!R8&gt;=0,'APR 2025'!R8,0)</f>
        <v>10877.314199999999</v>
      </c>
      <c r="F5" s="183">
        <v>0.2</v>
      </c>
      <c r="G5" s="182">
        <f>IF('APR 2025'!X8&gt;=0,'APR 2025'!X8,0)</f>
        <v>68</v>
      </c>
      <c r="H5" s="183">
        <v>7.84</v>
      </c>
      <c r="I5" s="182">
        <f>IF('APR 2025'!AA8&gt;=0,'APR 2025'!AA8,0)</f>
        <v>88.904032000000001</v>
      </c>
      <c r="J5" s="183">
        <v>2.77</v>
      </c>
      <c r="K5" s="182">
        <f>IF('APR 2025'!AF8&gt;=0,'APR 2025'!AF8,0)</f>
        <v>3696.4850000000006</v>
      </c>
      <c r="L5" s="184">
        <v>0.34489999999999998</v>
      </c>
      <c r="M5" s="182">
        <f>'APR 2025'!AM8*259</f>
        <v>216.006</v>
      </c>
      <c r="N5" s="182">
        <f>'APR 2025'!AN8</f>
        <v>270</v>
      </c>
    </row>
    <row r="6" spans="1:14" x14ac:dyDescent="0.25">
      <c r="A6" s="180" t="s">
        <v>90</v>
      </c>
      <c r="B6" s="181">
        <f t="shared" si="0"/>
        <v>5</v>
      </c>
      <c r="C6" s="181">
        <v>4</v>
      </c>
      <c r="D6" s="181">
        <v>2025</v>
      </c>
      <c r="E6" s="182">
        <f>IF('APR 2025'!R9&gt;=0,'APR 2025'!R9,0)</f>
        <v>10445.7436</v>
      </c>
      <c r="F6" s="183">
        <v>0.2</v>
      </c>
      <c r="G6" s="182">
        <f>IF('APR 2025'!X9&gt;=0,'APR 2025'!X9,0)</f>
        <v>75</v>
      </c>
      <c r="H6" s="183">
        <v>7.84</v>
      </c>
      <c r="I6" s="182">
        <f>IF('APR 2025'!AA9&gt;=0,'APR 2025'!AA9,0)</f>
        <v>44.452016</v>
      </c>
      <c r="J6" s="183">
        <v>2.77</v>
      </c>
      <c r="K6" s="182">
        <f>IF('APR 2025'!AF9&gt;=0,'APR 2025'!AF9,0)</f>
        <v>5402.5550000000003</v>
      </c>
      <c r="L6" s="184">
        <v>0.34489999999999998</v>
      </c>
      <c r="M6" s="182">
        <f>'APR 2025'!AM9*259</f>
        <v>226.98759999999999</v>
      </c>
      <c r="N6" s="182">
        <f>'APR 2025'!AN9</f>
        <v>278</v>
      </c>
    </row>
    <row r="7" spans="1:14" x14ac:dyDescent="0.25">
      <c r="A7" s="180" t="s">
        <v>90</v>
      </c>
      <c r="B7" s="181">
        <f t="shared" si="0"/>
        <v>6</v>
      </c>
      <c r="C7" s="181">
        <v>4</v>
      </c>
      <c r="D7" s="181">
        <v>2025</v>
      </c>
      <c r="E7" s="182">
        <f>IF('APR 2025'!R10&gt;=0,'APR 2025'!R10,0)</f>
        <v>11374.638199999999</v>
      </c>
      <c r="F7" s="183">
        <v>0.2</v>
      </c>
      <c r="G7" s="182">
        <f>IF('APR 2025'!X10&gt;=0,'APR 2025'!X10,0)</f>
        <v>55</v>
      </c>
      <c r="H7" s="183">
        <v>7.84</v>
      </c>
      <c r="I7" s="182">
        <f>IF('APR 2025'!AA10&gt;=0,'APR 2025'!AA10,0)</f>
        <v>88.904032000000001</v>
      </c>
      <c r="J7" s="183">
        <v>2.77</v>
      </c>
      <c r="K7" s="182">
        <f>IF('APR 2025'!AF10&gt;=0,'APR 2025'!AF10,0)</f>
        <v>5402.5550000000003</v>
      </c>
      <c r="L7" s="184">
        <v>0.34489999999999998</v>
      </c>
      <c r="M7" s="182">
        <f>'APR 2025'!AM10*259</f>
        <v>259</v>
      </c>
      <c r="N7" s="182">
        <f>'APR 2025'!AN10</f>
        <v>310</v>
      </c>
    </row>
    <row r="8" spans="1:14" x14ac:dyDescent="0.25">
      <c r="A8" s="180" t="s">
        <v>90</v>
      </c>
      <c r="B8" s="181">
        <f t="shared" si="0"/>
        <v>7</v>
      </c>
      <c r="C8" s="181">
        <v>4</v>
      </c>
      <c r="D8" s="181">
        <v>2025</v>
      </c>
      <c r="E8" s="182">
        <f>IF('APR 2025'!R11&gt;=0,'APR 2025'!R11,0)</f>
        <v>11698.0514</v>
      </c>
      <c r="F8" s="183">
        <v>0.2</v>
      </c>
      <c r="G8" s="182">
        <f>IF('APR 2025'!X11&gt;=0,'APR 2025'!X11,0)</f>
        <v>69</v>
      </c>
      <c r="H8" s="183">
        <v>7.84</v>
      </c>
      <c r="I8" s="182">
        <f>IF('APR 2025'!AA11&gt;=0,'APR 2025'!AA11,0)</f>
        <v>44.452016</v>
      </c>
      <c r="J8" s="183">
        <v>2.77</v>
      </c>
      <c r="K8" s="182">
        <f>IF('APR 2025'!AF11&gt;=0,'APR 2025'!AF11,0)</f>
        <v>5402.5550000000003</v>
      </c>
      <c r="L8" s="184">
        <v>0.34489999999999998</v>
      </c>
      <c r="M8" s="182">
        <f>'APR 2025'!AM11*259</f>
        <v>259</v>
      </c>
      <c r="N8" s="182">
        <f>'APR 2025'!AN11</f>
        <v>308</v>
      </c>
    </row>
    <row r="9" spans="1:14" x14ac:dyDescent="0.25">
      <c r="A9" s="180" t="s">
        <v>90</v>
      </c>
      <c r="B9" s="181">
        <f t="shared" si="0"/>
        <v>8</v>
      </c>
      <c r="C9" s="181">
        <v>4</v>
      </c>
      <c r="D9" s="181">
        <v>2025</v>
      </c>
      <c r="E9" s="182">
        <f>IF('APR 2025'!R12&gt;=0,'APR 2025'!R12,0)</f>
        <v>11383.2822</v>
      </c>
      <c r="F9" s="183">
        <v>0.2</v>
      </c>
      <c r="G9" s="182">
        <f>IF('APR 2025'!X12&gt;=0,'APR 2025'!X12,0)</f>
        <v>44</v>
      </c>
      <c r="H9" s="183">
        <v>7.84</v>
      </c>
      <c r="I9" s="182">
        <f>IF('APR 2025'!AA12&gt;=0,'APR 2025'!AA12,0)</f>
        <v>44.452016</v>
      </c>
      <c r="J9" s="183">
        <v>2.77</v>
      </c>
      <c r="K9" s="182">
        <f>IF('APR 2025'!AF12&gt;=0,'APR 2025'!AF12,0)</f>
        <v>5118.2100000000009</v>
      </c>
      <c r="L9" s="184">
        <v>0.34489999999999998</v>
      </c>
      <c r="M9" s="182">
        <f>'APR 2025'!AM12*259</f>
        <v>259</v>
      </c>
      <c r="N9" s="182">
        <f>'APR 2025'!AN12</f>
        <v>306</v>
      </c>
    </row>
    <row r="10" spans="1:14" x14ac:dyDescent="0.25">
      <c r="A10" s="180" t="s">
        <v>90</v>
      </c>
      <c r="B10" s="181">
        <f t="shared" si="0"/>
        <v>9</v>
      </c>
      <c r="C10" s="181">
        <v>4</v>
      </c>
      <c r="D10" s="181">
        <v>2025</v>
      </c>
      <c r="E10" s="182">
        <f>IF('APR 2025'!R13&gt;=0,'APR 2025'!R13,0)</f>
        <v>11558.181199999999</v>
      </c>
      <c r="F10" s="183">
        <v>0.2</v>
      </c>
      <c r="G10" s="182">
        <f>IF('APR 2025'!X13&gt;=0,'APR 2025'!X13,0)</f>
        <v>65</v>
      </c>
      <c r="H10" s="183">
        <v>7.84</v>
      </c>
      <c r="I10" s="182">
        <f>IF('APR 2025'!AA13&gt;=0,'APR 2025'!AA13,0)</f>
        <v>44.452016</v>
      </c>
      <c r="J10" s="183">
        <v>2.77</v>
      </c>
      <c r="K10" s="182">
        <f>IF('APR 2025'!AF13&gt;=0,'APR 2025'!AF13,0)</f>
        <v>5118.2100000000009</v>
      </c>
      <c r="L10" s="184">
        <v>0.34489999999999998</v>
      </c>
      <c r="M10" s="182">
        <f>'APR 2025'!AM13*259</f>
        <v>255.01140000000001</v>
      </c>
      <c r="N10" s="182">
        <f>'APR 2025'!AN13</f>
        <v>295</v>
      </c>
    </row>
    <row r="11" spans="1:14" x14ac:dyDescent="0.25">
      <c r="A11" s="180" t="s">
        <v>90</v>
      </c>
      <c r="B11" s="181">
        <f t="shared" si="0"/>
        <v>10</v>
      </c>
      <c r="C11" s="181">
        <v>4</v>
      </c>
      <c r="D11" s="181">
        <v>2025</v>
      </c>
      <c r="E11" s="182">
        <f>IF('APR 2025'!R14&gt;=0,'APR 2025'!R14,0)</f>
        <v>11749.2714</v>
      </c>
      <c r="F11" s="183">
        <v>0.2</v>
      </c>
      <c r="G11" s="182">
        <f>IF('APR 2025'!X14&gt;=0,'APR 2025'!X14,0)</f>
        <v>53</v>
      </c>
      <c r="H11" s="183">
        <v>7.84</v>
      </c>
      <c r="I11" s="182">
        <f>IF('APR 2025'!AA14&gt;=0,'APR 2025'!AA14,0)</f>
        <v>44.452016</v>
      </c>
      <c r="J11" s="183">
        <v>2.77</v>
      </c>
      <c r="K11" s="182">
        <f>IF('APR 2025'!AF14&gt;=0,'APR 2025'!AF14,0)</f>
        <v>5402.5550000000003</v>
      </c>
      <c r="L11" s="184">
        <v>0.34489999999999998</v>
      </c>
      <c r="M11" s="182">
        <f>'APR 2025'!AM14*259</f>
        <v>226.0034</v>
      </c>
      <c r="N11" s="182">
        <f>'APR 2025'!AN14</f>
        <v>273</v>
      </c>
    </row>
    <row r="12" spans="1:14" x14ac:dyDescent="0.25">
      <c r="A12" s="180" t="s">
        <v>90</v>
      </c>
      <c r="B12" s="181">
        <f t="shared" si="0"/>
        <v>11</v>
      </c>
      <c r="C12" s="181">
        <v>4</v>
      </c>
      <c r="D12" s="181">
        <v>2025</v>
      </c>
      <c r="E12" s="182">
        <f>IF('APR 2025'!R15&gt;=0,'APR 2025'!R15,0)</f>
        <v>11543.207399999999</v>
      </c>
      <c r="F12" s="183">
        <v>0.2</v>
      </c>
      <c r="G12" s="182">
        <f>IF('APR 2025'!X15&gt;=0,'APR 2025'!X15,0)</f>
        <v>77</v>
      </c>
      <c r="H12" s="183">
        <v>7.84</v>
      </c>
      <c r="I12" s="182">
        <f>IF('APR 2025'!AA15&gt;=0,'APR 2025'!AA15,0)</f>
        <v>44.452016</v>
      </c>
      <c r="J12" s="183">
        <v>2.77</v>
      </c>
      <c r="K12" s="182">
        <f>IF('APR 2025'!AF15&gt;=0,'APR 2025'!AF15,0)</f>
        <v>5118.2100000000009</v>
      </c>
      <c r="L12" s="184">
        <v>0.34489999999999998</v>
      </c>
      <c r="M12" s="182">
        <f>'APR 2025'!AM15*259</f>
        <v>193.99100000000001</v>
      </c>
      <c r="N12" s="182">
        <f>'APR 2025'!AN15</f>
        <v>228</v>
      </c>
    </row>
    <row r="13" spans="1:14" x14ac:dyDescent="0.25">
      <c r="A13" s="180" t="s">
        <v>90</v>
      </c>
      <c r="B13" s="181">
        <f t="shared" si="0"/>
        <v>12</v>
      </c>
      <c r="C13" s="181">
        <v>4</v>
      </c>
      <c r="D13" s="181">
        <v>2025</v>
      </c>
      <c r="E13" s="182">
        <f>IF('APR 2025'!R16&gt;=0,'APR 2025'!R16,0)</f>
        <v>11224.520399999999</v>
      </c>
      <c r="F13" s="183">
        <v>0.2</v>
      </c>
      <c r="G13" s="182">
        <f>IF('APR 2025'!X16&gt;=0,'APR 2025'!X16,0)</f>
        <v>52</v>
      </c>
      <c r="H13" s="183">
        <v>7.84</v>
      </c>
      <c r="I13" s="182">
        <f>IF('APR 2025'!AA16&gt;=0,'APR 2025'!AA16,0)</f>
        <v>88.904032000000001</v>
      </c>
      <c r="J13" s="183">
        <v>2.77</v>
      </c>
      <c r="K13" s="182">
        <f>IF('APR 2025'!AF16&gt;=0,'APR 2025'!AF16,0)</f>
        <v>5402.5550000000003</v>
      </c>
      <c r="L13" s="184">
        <v>0.34489999999999998</v>
      </c>
      <c r="M13" s="182">
        <f>'APR 2025'!AM16*259</f>
        <v>196.99540000000002</v>
      </c>
      <c r="N13" s="182">
        <f>'APR 2025'!AN16</f>
        <v>234</v>
      </c>
    </row>
    <row r="14" spans="1:14" x14ac:dyDescent="0.25">
      <c r="A14" s="180" t="s">
        <v>90</v>
      </c>
      <c r="B14" s="181">
        <f t="shared" si="0"/>
        <v>13</v>
      </c>
      <c r="C14" s="181">
        <v>4</v>
      </c>
      <c r="D14" s="181">
        <v>2025</v>
      </c>
      <c r="E14" s="182">
        <f>IF('APR 2025'!R17&gt;=0,'APR 2025'!R17,0)</f>
        <v>11075.555</v>
      </c>
      <c r="F14" s="183">
        <v>0.2</v>
      </c>
      <c r="G14" s="182">
        <f>IF('APR 2025'!X17&gt;=0,'APR 2025'!X17,0)</f>
        <v>82</v>
      </c>
      <c r="H14" s="183">
        <v>7.84</v>
      </c>
      <c r="I14" s="182">
        <f>IF('APR 2025'!AA17&gt;=0,'APR 2025'!AA17,0)</f>
        <v>88.904032000000001</v>
      </c>
      <c r="J14" s="183">
        <v>2.77</v>
      </c>
      <c r="K14" s="182">
        <f>IF('APR 2025'!AF17&gt;=0,'APR 2025'!AF17,0)</f>
        <v>4265.1750000000002</v>
      </c>
      <c r="L14" s="184">
        <v>0.34489999999999998</v>
      </c>
      <c r="M14" s="182">
        <f>'APR 2025'!AM17*259</f>
        <v>196.99540000000002</v>
      </c>
      <c r="N14" s="182">
        <f>'APR 2025'!AN17</f>
        <v>234</v>
      </c>
    </row>
    <row r="15" spans="1:14" x14ac:dyDescent="0.25">
      <c r="A15" s="180" t="s">
        <v>90</v>
      </c>
      <c r="B15" s="181">
        <f t="shared" si="0"/>
        <v>14</v>
      </c>
      <c r="C15" s="181">
        <v>4</v>
      </c>
      <c r="D15" s="181">
        <v>2025</v>
      </c>
      <c r="E15" s="182">
        <f>IF('APR 2025'!R18&gt;=0,'APR 2025'!R18,0)</f>
        <v>11016.301600000001</v>
      </c>
      <c r="F15" s="183">
        <v>0.2</v>
      </c>
      <c r="G15" s="182">
        <f>IF('APR 2025'!X18&gt;=0,'APR 2025'!X18,0)</f>
        <v>117</v>
      </c>
      <c r="H15" s="183">
        <v>7.84</v>
      </c>
      <c r="I15" s="182">
        <f>IF('APR 2025'!AA18&gt;=0,'APR 2025'!AA18,0)</f>
        <v>88.904032000000001</v>
      </c>
      <c r="J15" s="183">
        <v>2.77</v>
      </c>
      <c r="K15" s="182">
        <f>IF('APR 2025'!AF18&gt;=0,'APR 2025'!AF18,0)</f>
        <v>4265.1750000000002</v>
      </c>
      <c r="L15" s="184">
        <v>0.34489999999999998</v>
      </c>
      <c r="M15" s="182">
        <f>'APR 2025'!AM18*259</f>
        <v>237.99510000000001</v>
      </c>
      <c r="N15" s="182">
        <f>'APR 2025'!AN18</f>
        <v>286</v>
      </c>
    </row>
    <row r="16" spans="1:14" x14ac:dyDescent="0.25">
      <c r="A16" s="180" t="s">
        <v>90</v>
      </c>
      <c r="B16" s="181">
        <f t="shared" si="0"/>
        <v>15</v>
      </c>
      <c r="C16" s="181">
        <v>4</v>
      </c>
      <c r="D16" s="181">
        <v>2025</v>
      </c>
      <c r="E16" s="182">
        <f>IF('APR 2025'!R19&gt;=0,'APR 2025'!R19,0)</f>
        <v>11808.618399999999</v>
      </c>
      <c r="F16" s="183">
        <v>0.2</v>
      </c>
      <c r="G16" s="182">
        <f>IF('APR 2025'!X19&gt;=0,'APR 2025'!X19,0)</f>
        <v>95</v>
      </c>
      <c r="H16" s="183">
        <v>7.84</v>
      </c>
      <c r="I16" s="182">
        <f>IF('APR 2025'!AA19&gt;=0,'APR 2025'!AA19,0)</f>
        <v>88.904032000000001</v>
      </c>
      <c r="J16" s="183">
        <v>2.77</v>
      </c>
      <c r="K16" s="182">
        <f>IF('APR 2025'!AF19&gt;=0,'APR 2025'!AF19,0)</f>
        <v>4265.1750000000002</v>
      </c>
      <c r="L16" s="184">
        <v>0.34489999999999998</v>
      </c>
      <c r="M16" s="182">
        <f>'APR 2025'!AM19*259</f>
        <v>255.9956</v>
      </c>
      <c r="N16" s="182">
        <f>'APR 2025'!AN19</f>
        <v>306</v>
      </c>
    </row>
    <row r="17" spans="1:14" x14ac:dyDescent="0.25">
      <c r="A17" s="180" t="s">
        <v>90</v>
      </c>
      <c r="B17" s="181">
        <f t="shared" si="0"/>
        <v>16</v>
      </c>
      <c r="C17" s="181">
        <v>4</v>
      </c>
      <c r="D17" s="181">
        <v>2025</v>
      </c>
      <c r="E17" s="182">
        <f>IF('APR 2025'!R20&gt;=0,'APR 2025'!R20,0)</f>
        <v>12096.547399999999</v>
      </c>
      <c r="F17" s="183">
        <v>0.2</v>
      </c>
      <c r="G17" s="182">
        <f>IF('APR 2025'!X20&gt;=0,'APR 2025'!X20,0)</f>
        <v>55</v>
      </c>
      <c r="H17" s="183">
        <v>7.84</v>
      </c>
      <c r="I17" s="182">
        <f>IF('APR 2025'!AA20&gt;=0,'APR 2025'!AA20,0)</f>
        <v>44.452016</v>
      </c>
      <c r="J17" s="183">
        <v>2.77</v>
      </c>
      <c r="K17" s="182">
        <f>IF('APR 2025'!AF20&gt;=0,'APR 2025'!AF20,0)</f>
        <v>4265.1750000000002</v>
      </c>
      <c r="L17" s="184">
        <v>0.34489999999999998</v>
      </c>
      <c r="M17" s="182">
        <f>'APR 2025'!AM20*259</f>
        <v>257.00569999999999</v>
      </c>
      <c r="N17" s="182">
        <f>'APR 2025'!AN20</f>
        <v>304</v>
      </c>
    </row>
    <row r="18" spans="1:14" x14ac:dyDescent="0.25">
      <c r="A18" s="180" t="s">
        <v>90</v>
      </c>
      <c r="B18" s="181">
        <f t="shared" si="0"/>
        <v>17</v>
      </c>
      <c r="C18" s="181">
        <v>4</v>
      </c>
      <c r="D18" s="181">
        <v>2025</v>
      </c>
      <c r="E18" s="182">
        <f>IF('APR 2025'!R21&gt;=0,'APR 2025'!R21,0)</f>
        <v>12189.492399999999</v>
      </c>
      <c r="F18" s="183">
        <v>0.2</v>
      </c>
      <c r="G18" s="182">
        <f>IF('APR 2025'!X21&gt;=0,'APR 2025'!X21,0)</f>
        <v>55</v>
      </c>
      <c r="H18" s="183">
        <v>7.84</v>
      </c>
      <c r="I18" s="182">
        <f>IF('APR 2025'!AA21&gt;=0,'APR 2025'!AA21,0)</f>
        <v>88.904032000000001</v>
      </c>
      <c r="J18" s="183">
        <v>2.77</v>
      </c>
      <c r="K18" s="182">
        <f>IF('APR 2025'!AF21&gt;=0,'APR 2025'!AF21,0)</f>
        <v>4265.1750000000002</v>
      </c>
      <c r="L18" s="184">
        <v>0.34489999999999998</v>
      </c>
      <c r="M18" s="182">
        <f>'APR 2025'!AM21*259</f>
        <v>254.00130000000001</v>
      </c>
      <c r="N18" s="182">
        <f>'APR 2025'!AN21</f>
        <v>327</v>
      </c>
    </row>
    <row r="19" spans="1:14" x14ac:dyDescent="0.25">
      <c r="A19" s="180" t="s">
        <v>90</v>
      </c>
      <c r="B19" s="181">
        <f t="shared" si="0"/>
        <v>18</v>
      </c>
      <c r="C19" s="181">
        <v>4</v>
      </c>
      <c r="D19" s="181">
        <v>2025</v>
      </c>
      <c r="E19" s="182">
        <f>IF('APR 2025'!R22&gt;=0,'APR 2025'!R22,0)</f>
        <v>11756.129800000001</v>
      </c>
      <c r="F19" s="183">
        <v>0.2</v>
      </c>
      <c r="G19" s="182">
        <f>IF('APR 2025'!X22&gt;=0,'APR 2025'!X22,0)</f>
        <v>74</v>
      </c>
      <c r="H19" s="183">
        <v>7.84</v>
      </c>
      <c r="I19" s="182">
        <f>IF('APR 2025'!AA22&gt;=0,'APR 2025'!AA22,0)</f>
        <v>88.904032000000001</v>
      </c>
      <c r="J19" s="183">
        <v>2.77</v>
      </c>
      <c r="K19" s="182">
        <f>IF('APR 2025'!AF22&gt;=0,'APR 2025'!AF22,0)</f>
        <v>4265.1750000000002</v>
      </c>
      <c r="L19" s="184">
        <v>0.34489999999999998</v>
      </c>
      <c r="M19" s="182">
        <f>'APR 2025'!AM22*259</f>
        <v>259</v>
      </c>
      <c r="N19" s="182">
        <f>'APR 2025'!AN22</f>
        <v>351</v>
      </c>
    </row>
    <row r="20" spans="1:14" x14ac:dyDescent="0.25">
      <c r="A20" s="180" t="s">
        <v>90</v>
      </c>
      <c r="B20" s="181">
        <f t="shared" si="0"/>
        <v>19</v>
      </c>
      <c r="C20" s="181">
        <v>4</v>
      </c>
      <c r="D20" s="181">
        <v>2025</v>
      </c>
      <c r="E20" s="182">
        <f>IF('APR 2025'!R23&gt;=0,'APR 2025'!R23,0)</f>
        <v>11280.9486</v>
      </c>
      <c r="F20" s="183">
        <v>0.2</v>
      </c>
      <c r="G20" s="182">
        <f>IF('APR 2025'!X23&gt;=0,'APR 2025'!X23,0)</f>
        <v>66</v>
      </c>
      <c r="H20" s="183">
        <v>7.84</v>
      </c>
      <c r="I20" s="182">
        <f>IF('APR 2025'!AA23&gt;=0,'APR 2025'!AA23,0)</f>
        <v>88.904032000000001</v>
      </c>
      <c r="J20" s="183">
        <v>2.77</v>
      </c>
      <c r="K20" s="182">
        <f>IF('APR 2025'!AF23&gt;=0,'APR 2025'!AF23,0)</f>
        <v>4265.1750000000002</v>
      </c>
      <c r="L20" s="184">
        <v>0.34489999999999998</v>
      </c>
      <c r="M20" s="182">
        <f>'APR 2025'!AM23*259</f>
        <v>239.0052</v>
      </c>
      <c r="N20" s="182">
        <f>'APR 2025'!AN23</f>
        <v>324</v>
      </c>
    </row>
    <row r="21" spans="1:14" x14ac:dyDescent="0.25">
      <c r="A21" s="180" t="s">
        <v>90</v>
      </c>
      <c r="B21" s="181">
        <f t="shared" si="0"/>
        <v>20</v>
      </c>
      <c r="C21" s="181">
        <v>4</v>
      </c>
      <c r="D21" s="181">
        <v>2025</v>
      </c>
      <c r="E21" s="182">
        <f>IF('APR 2025'!R24&gt;=0,'APR 2025'!R24,0)</f>
        <v>11244.208199999999</v>
      </c>
      <c r="F21" s="183">
        <v>0.2</v>
      </c>
      <c r="G21" s="182">
        <f>IF('APR 2025'!X24&gt;=0,'APR 2025'!X24,0)</f>
        <v>36</v>
      </c>
      <c r="H21" s="183">
        <v>7.84</v>
      </c>
      <c r="I21" s="182">
        <f>IF('APR 2025'!AA24&gt;=0,'APR 2025'!AA24,0)</f>
        <v>88.904032000000001</v>
      </c>
      <c r="J21" s="183">
        <v>2.77</v>
      </c>
      <c r="K21" s="182">
        <f>IF('APR 2025'!AF24&gt;=0,'APR 2025'!AF24,0)</f>
        <v>4265.1750000000002</v>
      </c>
      <c r="L21" s="184">
        <v>0.34489999999999998</v>
      </c>
      <c r="M21" s="182">
        <f>'APR 2025'!AM24*259</f>
        <v>229.99199999999999</v>
      </c>
      <c r="N21" s="182">
        <f>'APR 2025'!AN24</f>
        <v>287</v>
      </c>
    </row>
    <row r="22" spans="1:14" x14ac:dyDescent="0.25">
      <c r="A22" s="180" t="s">
        <v>90</v>
      </c>
      <c r="B22" s="181">
        <f t="shared" si="0"/>
        <v>21</v>
      </c>
      <c r="C22" s="181">
        <v>4</v>
      </c>
      <c r="D22" s="181">
        <v>2025</v>
      </c>
      <c r="E22" s="182">
        <f>IF('APR 2025'!R25&gt;=0,'APR 2025'!R25,0)</f>
        <v>11386.436400000001</v>
      </c>
      <c r="F22" s="183">
        <v>0.2</v>
      </c>
      <c r="G22" s="182">
        <f>IF('APR 2025'!X25&gt;=0,'APR 2025'!X25,0)</f>
        <v>61</v>
      </c>
      <c r="H22" s="183">
        <v>7.84</v>
      </c>
      <c r="I22" s="182">
        <f>IF('APR 2025'!AA25&gt;=0,'APR 2025'!AA25,0)</f>
        <v>44.452016</v>
      </c>
      <c r="J22" s="183">
        <v>2.77</v>
      </c>
      <c r="K22" s="182">
        <f>IF('APR 2025'!AF25&gt;=0,'APR 2025'!AF25,0)</f>
        <v>4265.1750000000002</v>
      </c>
      <c r="L22" s="184">
        <v>0.34489999999999998</v>
      </c>
      <c r="M22" s="182">
        <f>'APR 2025'!AM25*259</f>
        <v>211.00729999999999</v>
      </c>
      <c r="N22" s="182">
        <f>'APR 2025'!AN25</f>
        <v>242</v>
      </c>
    </row>
    <row r="23" spans="1:14" x14ac:dyDescent="0.25">
      <c r="A23" s="180" t="s">
        <v>90</v>
      </c>
      <c r="B23" s="181">
        <f t="shared" si="0"/>
        <v>22</v>
      </c>
      <c r="C23" s="181">
        <v>4</v>
      </c>
      <c r="D23" s="181">
        <v>2025</v>
      </c>
      <c r="E23" s="182">
        <f>IF('APR 2025'!R26&gt;=0,'APR 2025'!R26,0)</f>
        <v>11041.166799999999</v>
      </c>
      <c r="F23" s="183">
        <v>0.2</v>
      </c>
      <c r="G23" s="182">
        <f>IF('APR 2025'!X26&gt;=0,'APR 2025'!X26,0)</f>
        <v>64</v>
      </c>
      <c r="H23" s="183">
        <v>7.84</v>
      </c>
      <c r="I23" s="182">
        <f>IF('APR 2025'!AA26&gt;=0,'APR 2025'!AA26,0)</f>
        <v>44.452016</v>
      </c>
      <c r="J23" s="183">
        <v>2.77</v>
      </c>
      <c r="K23" s="182">
        <f>IF('APR 2025'!AF26&gt;=0,'APR 2025'!AF26,0)</f>
        <v>2843.4500000000003</v>
      </c>
      <c r="L23" s="184">
        <v>0.34489999999999998</v>
      </c>
      <c r="M23" s="182">
        <f>'APR 2025'!AM26*259</f>
        <v>234.9907</v>
      </c>
      <c r="N23" s="182">
        <f>'APR 2025'!AN26</f>
        <v>272</v>
      </c>
    </row>
    <row r="24" spans="1:14" x14ac:dyDescent="0.25">
      <c r="A24" s="180" t="s">
        <v>90</v>
      </c>
      <c r="B24" s="181">
        <f t="shared" si="0"/>
        <v>23</v>
      </c>
      <c r="C24" s="181">
        <v>4</v>
      </c>
      <c r="D24" s="181">
        <v>2025</v>
      </c>
      <c r="E24" s="182">
        <f>IF('APR 2025'!R27&gt;=0,'APR 2025'!R27,0)</f>
        <v>11249.8856</v>
      </c>
      <c r="F24" s="183">
        <v>0.2</v>
      </c>
      <c r="G24" s="182">
        <f>IF('APR 2025'!X27&gt;=0,'APR 2025'!X27,0)</f>
        <v>35</v>
      </c>
      <c r="H24" s="183">
        <v>7.84</v>
      </c>
      <c r="I24" s="182">
        <f>IF('APR 2025'!AA27&gt;=0,'APR 2025'!AA27,0)</f>
        <v>88.904032000000001</v>
      </c>
      <c r="J24" s="183">
        <v>2.77</v>
      </c>
      <c r="K24" s="182">
        <f>IF('APR 2025'!AF27&gt;=0,'APR 2025'!AF27,0)</f>
        <v>4265.1750000000002</v>
      </c>
      <c r="L24" s="184">
        <v>0.34489999999999998</v>
      </c>
      <c r="M24" s="182">
        <f>'APR 2025'!AM27*259</f>
        <v>245.9982</v>
      </c>
      <c r="N24" s="182">
        <f>'APR 2025'!AN27</f>
        <v>246</v>
      </c>
    </row>
    <row r="25" spans="1:14" x14ac:dyDescent="0.25">
      <c r="A25" s="180" t="s">
        <v>90</v>
      </c>
      <c r="B25" s="181">
        <f t="shared" si="0"/>
        <v>24</v>
      </c>
      <c r="C25" s="181">
        <v>4</v>
      </c>
      <c r="D25" s="181">
        <v>2025</v>
      </c>
      <c r="E25" s="182">
        <f>IF('APR 2025'!R28&gt;=0,'APR 2025'!R28,0)</f>
        <v>10936.7626</v>
      </c>
      <c r="F25" s="183">
        <v>0.2</v>
      </c>
      <c r="G25" s="182">
        <f>IF('APR 2025'!X28&gt;=0,'APR 2025'!X28,0)</f>
        <v>80</v>
      </c>
      <c r="H25" s="183">
        <v>7.84</v>
      </c>
      <c r="I25" s="182">
        <f>IF('APR 2025'!AA28&gt;=0,'APR 2025'!AA28,0)</f>
        <v>44.452016</v>
      </c>
      <c r="J25" s="183">
        <v>2.77</v>
      </c>
      <c r="K25" s="182">
        <f>IF('APR 2025'!AF28&gt;=0,'APR 2025'!AF28,0)</f>
        <v>4265.1750000000002</v>
      </c>
      <c r="L25" s="184">
        <v>0.34489999999999998</v>
      </c>
      <c r="M25" s="182">
        <f>'APR 2025'!AM28*259</f>
        <v>250.01270000000002</v>
      </c>
      <c r="N25" s="182">
        <f>'APR 2025'!AN28</f>
        <v>250</v>
      </c>
    </row>
    <row r="26" spans="1:14" x14ac:dyDescent="0.25">
      <c r="A26" s="180" t="s">
        <v>90</v>
      </c>
      <c r="B26" s="181">
        <f>B25+1</f>
        <v>25</v>
      </c>
      <c r="C26" s="181">
        <v>4</v>
      </c>
      <c r="D26" s="181">
        <v>2025</v>
      </c>
      <c r="E26" s="182">
        <f>IF('APR 2025'!R29&gt;=0,'APR 2025'!R29,0)</f>
        <v>11215.1978</v>
      </c>
      <c r="F26" s="183">
        <v>0.2</v>
      </c>
      <c r="G26" s="182">
        <f>IF('APR 2025'!X29&gt;=0,'APR 2025'!X29,0)</f>
        <v>64</v>
      </c>
      <c r="H26" s="183">
        <v>7.84</v>
      </c>
      <c r="I26" s="182">
        <f>IF('APR 2025'!AA29&gt;=0,'APR 2025'!AA29,0)</f>
        <v>88.904032000000001</v>
      </c>
      <c r="J26" s="183">
        <v>2.77</v>
      </c>
      <c r="K26" s="182">
        <f>IF('APR 2025'!AF29&gt;=0,'APR 2025'!AF29,0)</f>
        <v>4265.1750000000002</v>
      </c>
      <c r="L26" s="184">
        <v>0.34489999999999998</v>
      </c>
      <c r="M26" s="182">
        <f>'APR 2025'!AM29*259</f>
        <v>254.00130000000001</v>
      </c>
      <c r="N26" s="182">
        <f>'APR 2025'!AN29</f>
        <v>319</v>
      </c>
    </row>
    <row r="27" spans="1:14" x14ac:dyDescent="0.25">
      <c r="A27" s="180" t="s">
        <v>90</v>
      </c>
      <c r="B27" s="181">
        <f t="shared" si="0"/>
        <v>26</v>
      </c>
      <c r="C27" s="181">
        <v>4</v>
      </c>
      <c r="D27" s="181">
        <v>2025</v>
      </c>
      <c r="E27" s="182">
        <f>IF('APR 2025'!R30&gt;=0,'APR 2025'!R30,0)</f>
        <v>11387.027</v>
      </c>
      <c r="F27" s="183">
        <v>0.2</v>
      </c>
      <c r="G27" s="182">
        <f>IF('APR 2025'!X30&gt;=0,'APR 2025'!X30,0)</f>
        <v>64</v>
      </c>
      <c r="H27" s="183">
        <v>7.84</v>
      </c>
      <c r="I27" s="182">
        <f>IF('APR 2025'!AA30&gt;=0,'APR 2025'!AA30,0)</f>
        <v>88.904032000000001</v>
      </c>
      <c r="J27" s="183">
        <v>2.77</v>
      </c>
      <c r="K27" s="182">
        <f>IF('APR 2025'!AF30&gt;=0,'APR 2025'!AF30,0)</f>
        <v>4265.1750000000002</v>
      </c>
      <c r="L27" s="184">
        <v>0.34489999999999998</v>
      </c>
      <c r="M27" s="182">
        <f>'APR 2025'!AM30*259</f>
        <v>257.00569999999999</v>
      </c>
      <c r="N27" s="182">
        <f>'APR 2025'!AN30</f>
        <v>313</v>
      </c>
    </row>
    <row r="28" spans="1:14" x14ac:dyDescent="0.25">
      <c r="A28" s="180" t="s">
        <v>90</v>
      </c>
      <c r="B28" s="181">
        <f t="shared" si="0"/>
        <v>27</v>
      </c>
      <c r="C28" s="181">
        <v>4</v>
      </c>
      <c r="D28" s="181">
        <v>2025</v>
      </c>
      <c r="E28" s="182">
        <f>IF('APR 2025'!R31&gt;=0,'APR 2025'!R31,0)</f>
        <v>11203.1662</v>
      </c>
      <c r="F28" s="183">
        <v>0.2</v>
      </c>
      <c r="G28" s="182">
        <f>IF('APR 2025'!X31&gt;=0,'APR 2025'!X31,0)</f>
        <v>67</v>
      </c>
      <c r="H28" s="183">
        <v>7.84</v>
      </c>
      <c r="I28" s="182">
        <f>IF('APR 2025'!AA31&gt;=0,'APR 2025'!AA31,0)</f>
        <v>88.904032000000001</v>
      </c>
      <c r="J28" s="183">
        <v>2.77</v>
      </c>
      <c r="K28" s="182">
        <f>IF('APR 2025'!AF31&gt;=0,'APR 2025'!AF31,0)</f>
        <v>4265.1750000000002</v>
      </c>
      <c r="L28" s="184">
        <v>0.34489999999999998</v>
      </c>
      <c r="M28" s="182">
        <f>'APR 2025'!AM31*259</f>
        <v>247.99250000000001</v>
      </c>
      <c r="N28" s="182">
        <f>'APR 2025'!AN31</f>
        <v>289</v>
      </c>
    </row>
    <row r="29" spans="1:14" x14ac:dyDescent="0.25">
      <c r="A29" s="180" t="s">
        <v>90</v>
      </c>
      <c r="B29" s="181">
        <f t="shared" si="0"/>
        <v>28</v>
      </c>
      <c r="C29" s="181">
        <v>4</v>
      </c>
      <c r="D29" s="181">
        <v>2025</v>
      </c>
      <c r="E29" s="182">
        <f>IF('APR 2025'!R32&gt;=0,'APR 2025'!R32,0)</f>
        <v>11020.341</v>
      </c>
      <c r="F29" s="183">
        <v>0.2</v>
      </c>
      <c r="G29" s="182">
        <f>IF('APR 2025'!X32&gt;=0,'APR 2025'!X32,0)</f>
        <v>83</v>
      </c>
      <c r="H29" s="183">
        <v>7.84</v>
      </c>
      <c r="I29" s="182">
        <f>IF('APR 2025'!AA32&gt;=0,'APR 2025'!AA32,0)</f>
        <v>44.452016</v>
      </c>
      <c r="J29" s="183">
        <v>2.77</v>
      </c>
      <c r="K29" s="182">
        <f>IF('APR 2025'!AF32&gt;=0,'APR 2025'!AF32,0)</f>
        <v>3412.1400000000003</v>
      </c>
      <c r="L29" s="184">
        <v>0.34489999999999998</v>
      </c>
      <c r="M29" s="182">
        <f>'APR 2025'!AM32*259</f>
        <v>252.00700000000001</v>
      </c>
      <c r="N29" s="182">
        <f>'APR 2025'!AN32</f>
        <v>298</v>
      </c>
    </row>
    <row r="30" spans="1:14" x14ac:dyDescent="0.25">
      <c r="A30" s="180" t="s">
        <v>90</v>
      </c>
      <c r="B30" s="181">
        <f t="shared" si="0"/>
        <v>29</v>
      </c>
      <c r="C30" s="181">
        <v>4</v>
      </c>
      <c r="D30" s="181">
        <v>2025</v>
      </c>
      <c r="E30" s="182">
        <f>IF('APR 2025'!R33&gt;=0,'APR 2025'!R33,0)</f>
        <v>10840.845600000001</v>
      </c>
      <c r="F30" s="183">
        <v>0.2</v>
      </c>
      <c r="G30" s="182">
        <f>IF('APR 2025'!X33&gt;=0,'APR 2025'!X33,0)</f>
        <v>124</v>
      </c>
      <c r="H30" s="183">
        <v>7.84</v>
      </c>
      <c r="I30" s="182">
        <f>IF('APR 2025'!AA33&gt;=0,'APR 2025'!AA33,0)</f>
        <v>88.904032000000001</v>
      </c>
      <c r="J30" s="183">
        <v>2.77</v>
      </c>
      <c r="K30" s="182">
        <f>IF('APR 2025'!AF33&gt;=0,'APR 2025'!AF33,0)</f>
        <v>3412.1400000000003</v>
      </c>
      <c r="L30" s="184">
        <v>0.34489999999999998</v>
      </c>
      <c r="M30" s="182">
        <f>'APR 2025'!AM33*259</f>
        <v>250.01270000000002</v>
      </c>
      <c r="N30" s="182">
        <f>'APR 2025'!AN33</f>
        <v>301</v>
      </c>
    </row>
    <row r="31" spans="1:14" x14ac:dyDescent="0.25">
      <c r="A31" s="180" t="s">
        <v>90</v>
      </c>
      <c r="B31" s="181">
        <f t="shared" si="0"/>
        <v>30</v>
      </c>
      <c r="C31" s="181">
        <v>4</v>
      </c>
      <c r="D31" s="181">
        <v>2025</v>
      </c>
      <c r="E31" s="182">
        <f>IF('APR 2025'!R34&gt;=0,'APR 2025'!R34,0)</f>
        <v>10941.614799999999</v>
      </c>
      <c r="F31" s="183">
        <v>0.2</v>
      </c>
      <c r="G31" s="182">
        <f>IF('APR 2025'!X34&gt;=0,'APR 2025'!X34,0)</f>
        <v>64</v>
      </c>
      <c r="H31" s="183">
        <v>7.84</v>
      </c>
      <c r="I31" s="182">
        <f>IF('APR 2025'!AA34&gt;=0,'APR 2025'!AA34,0)</f>
        <v>88.904032000000001</v>
      </c>
      <c r="J31" s="183">
        <v>2.77</v>
      </c>
      <c r="K31" s="182">
        <f>IF('APR 2025'!AF34&gt;=0,'APR 2025'!AF34,0)</f>
        <v>3412.1400000000003</v>
      </c>
      <c r="L31" s="184">
        <v>0.34489999999999998</v>
      </c>
      <c r="M31" s="182">
        <f>'APR 2025'!AM34*259</f>
        <v>249.0026</v>
      </c>
      <c r="N31" s="182">
        <f>'APR 2025'!AN34</f>
        <v>300</v>
      </c>
    </row>
    <row r="32" spans="1:14" x14ac:dyDescent="0.25">
      <c r="E32" s="18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123E-F625-4ADA-B762-5526C4C9E4A6}">
  <sheetPr>
    <pageSetUpPr fitToPage="1"/>
  </sheetPr>
  <dimension ref="A1:EJ74"/>
  <sheetViews>
    <sheetView showGridLines="0" tabSelected="1" view="pageBreakPreview" topLeftCell="V1" zoomScale="80" zoomScaleNormal="75" zoomScaleSheetLayoutView="80" workbookViewId="0">
      <selection activeCell="AE14" sqref="AE14"/>
    </sheetView>
  </sheetViews>
  <sheetFormatPr defaultColWidth="9.140625" defaultRowHeight="15" x14ac:dyDescent="0.25"/>
  <cols>
    <col min="1" max="1" width="14.42578125" customWidth="1"/>
    <col min="2" max="2" width="15.7109375" customWidth="1"/>
    <col min="3" max="3" width="9.140625" customWidth="1"/>
    <col min="4" max="4" width="11" customWidth="1"/>
    <col min="5" max="5" width="8.5703125" customWidth="1"/>
    <col min="6" max="6" width="11" customWidth="1"/>
    <col min="7" max="7" width="13.42578125" style="1" customWidth="1"/>
    <col min="8" max="8" width="9" style="1" customWidth="1"/>
    <col min="9" max="9" width="11.5703125" style="1" customWidth="1"/>
    <col min="10" max="10" width="11.42578125" style="1" customWidth="1"/>
    <col min="11" max="11" width="8.85546875" style="1" customWidth="1"/>
    <col min="12" max="12" width="15.42578125" style="1" customWidth="1"/>
    <col min="13" max="13" width="5.85546875" style="1" customWidth="1"/>
    <col min="14" max="14" width="6.7109375" style="1" customWidth="1"/>
    <col min="15" max="15" width="8.140625" style="1" customWidth="1"/>
    <col min="16" max="16" width="5.85546875" style="1" customWidth="1"/>
    <col min="17" max="17" width="11.140625" style="1" customWidth="1"/>
    <col min="18" max="18" width="11" style="1" customWidth="1"/>
    <col min="19" max="19" width="12.42578125" style="1" customWidth="1"/>
    <col min="20" max="20" width="13.5703125" style="2" customWidth="1"/>
    <col min="21" max="21" width="10.7109375" style="2" customWidth="1"/>
    <col min="22" max="22" width="16.7109375" style="2" customWidth="1"/>
    <col min="23" max="23" width="13.28515625" style="2" customWidth="1"/>
    <col min="24" max="24" width="12.7109375" style="2" customWidth="1"/>
    <col min="25" max="25" width="13.140625" style="2" customWidth="1"/>
    <col min="26" max="26" width="24" style="2" customWidth="1"/>
    <col min="27" max="27" width="16.28515625" style="2" customWidth="1"/>
    <col min="28" max="29" width="13.7109375" customWidth="1"/>
    <col min="30" max="30" width="12.42578125" customWidth="1"/>
    <col min="31" max="31" width="14.85546875" customWidth="1"/>
    <col min="32" max="32" width="15.85546875" customWidth="1"/>
    <col min="33" max="33" width="16.42578125" customWidth="1"/>
    <col min="34" max="34" width="16.28515625" customWidth="1"/>
    <col min="35" max="35" width="12.28515625" customWidth="1"/>
    <col min="36" max="38" width="13.42578125" customWidth="1"/>
    <col min="39" max="39" width="12.7109375" customWidth="1"/>
    <col min="40" max="40" width="12.5703125" customWidth="1"/>
    <col min="41" max="41" width="9.140625" customWidth="1"/>
    <col min="42" max="42" width="15.5703125" customWidth="1"/>
    <col min="43" max="43" width="47.140625" bestFit="1" customWidth="1"/>
    <col min="44" max="140" width="9.140625" customWidth="1"/>
  </cols>
  <sheetData>
    <row r="1" spans="1:43" s="4" customFormat="1" ht="24.75" customHeight="1" thickBot="1" x14ac:dyDescent="0.4">
      <c r="A1" s="209" t="s">
        <v>94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1"/>
      <c r="AL1" s="211"/>
      <c r="AM1" s="211"/>
      <c r="AN1" s="211"/>
    </row>
    <row r="2" spans="1:43" s="7" customFormat="1" ht="24.75" customHeight="1" thickBot="1" x14ac:dyDescent="0.35">
      <c r="A2" s="212" t="s">
        <v>0</v>
      </c>
      <c r="B2" s="214" t="s">
        <v>3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6"/>
      <c r="T2" s="217" t="s">
        <v>4</v>
      </c>
      <c r="U2" s="218"/>
      <c r="V2" s="218"/>
      <c r="W2" s="218"/>
      <c r="X2" s="218"/>
      <c r="Y2" s="219"/>
      <c r="Z2" s="220" t="s">
        <v>43</v>
      </c>
      <c r="AA2" s="221"/>
      <c r="AB2" s="221"/>
      <c r="AC2" s="222"/>
      <c r="AD2" s="223" t="s">
        <v>2</v>
      </c>
      <c r="AE2" s="224"/>
      <c r="AF2" s="224"/>
      <c r="AG2" s="224"/>
      <c r="AH2" s="224"/>
      <c r="AI2" s="224"/>
      <c r="AJ2" s="224"/>
      <c r="AK2" s="224"/>
      <c r="AL2" s="225"/>
      <c r="AM2" s="226" t="s">
        <v>18</v>
      </c>
      <c r="AN2" s="227"/>
    </row>
    <row r="3" spans="1:43" s="5" customFormat="1" ht="36.75" customHeight="1" x14ac:dyDescent="0.25">
      <c r="A3" s="213"/>
      <c r="B3" s="228" t="s">
        <v>46</v>
      </c>
      <c r="C3" s="229"/>
      <c r="D3" s="230" t="s">
        <v>47</v>
      </c>
      <c r="E3" s="231"/>
      <c r="F3" s="232"/>
      <c r="G3" s="230" t="s">
        <v>48</v>
      </c>
      <c r="H3" s="231"/>
      <c r="I3" s="232"/>
      <c r="J3" s="229" t="s">
        <v>49</v>
      </c>
      <c r="K3" s="229"/>
      <c r="L3" s="230" t="s">
        <v>50</v>
      </c>
      <c r="M3" s="231"/>
      <c r="N3" s="232"/>
      <c r="O3" s="230" t="s">
        <v>51</v>
      </c>
      <c r="P3" s="231"/>
      <c r="Q3" s="232"/>
      <c r="R3" s="241" t="s">
        <v>29</v>
      </c>
      <c r="S3" s="243" t="s">
        <v>7</v>
      </c>
      <c r="T3" s="245" t="s">
        <v>26</v>
      </c>
      <c r="U3" s="233" t="s">
        <v>20</v>
      </c>
      <c r="V3" s="11" t="s">
        <v>27</v>
      </c>
      <c r="W3" s="233" t="s">
        <v>20</v>
      </c>
      <c r="X3" s="233" t="s">
        <v>21</v>
      </c>
      <c r="Y3" s="235" t="s">
        <v>6</v>
      </c>
      <c r="Z3" s="237" t="s">
        <v>31</v>
      </c>
      <c r="AA3" s="238"/>
      <c r="AB3" s="239" t="s">
        <v>32</v>
      </c>
      <c r="AC3" s="254" t="s">
        <v>64</v>
      </c>
      <c r="AD3" s="256" t="s">
        <v>30</v>
      </c>
      <c r="AE3" s="247" t="s">
        <v>8</v>
      </c>
      <c r="AF3" s="247" t="s">
        <v>9</v>
      </c>
      <c r="AG3" s="247" t="s">
        <v>10</v>
      </c>
      <c r="AH3" s="247" t="s">
        <v>11</v>
      </c>
      <c r="AI3" s="247" t="s">
        <v>12</v>
      </c>
      <c r="AJ3" s="247" t="s">
        <v>68</v>
      </c>
      <c r="AK3" s="247" t="s">
        <v>69</v>
      </c>
      <c r="AL3" s="249" t="s">
        <v>70</v>
      </c>
      <c r="AM3" s="251" t="s">
        <v>93</v>
      </c>
      <c r="AN3" s="253" t="s">
        <v>19</v>
      </c>
    </row>
    <row r="4" spans="1:43" s="5" customFormat="1" ht="36.75" customHeight="1" thickBot="1" x14ac:dyDescent="0.3">
      <c r="A4" s="213"/>
      <c r="B4" s="199" t="s">
        <v>1</v>
      </c>
      <c r="C4" s="200" t="s">
        <v>5</v>
      </c>
      <c r="D4" s="200" t="s">
        <v>1</v>
      </c>
      <c r="E4" s="200" t="s">
        <v>5</v>
      </c>
      <c r="F4" s="201" t="s">
        <v>52</v>
      </c>
      <c r="G4" s="200" t="s">
        <v>1</v>
      </c>
      <c r="H4" s="200" t="s">
        <v>5</v>
      </c>
      <c r="I4" s="201" t="s">
        <v>53</v>
      </c>
      <c r="J4" s="200" t="s">
        <v>1</v>
      </c>
      <c r="K4" s="200" t="s">
        <v>5</v>
      </c>
      <c r="L4" s="200" t="s">
        <v>1</v>
      </c>
      <c r="M4" s="200" t="s">
        <v>5</v>
      </c>
      <c r="N4" s="201" t="s">
        <v>54</v>
      </c>
      <c r="O4" s="200" t="s">
        <v>1</v>
      </c>
      <c r="P4" s="200" t="s">
        <v>5</v>
      </c>
      <c r="Q4" s="201" t="s">
        <v>54</v>
      </c>
      <c r="R4" s="242"/>
      <c r="S4" s="244"/>
      <c r="T4" s="246"/>
      <c r="U4" s="234"/>
      <c r="V4" s="22" t="s">
        <v>28</v>
      </c>
      <c r="W4" s="234"/>
      <c r="X4" s="234"/>
      <c r="Y4" s="236"/>
      <c r="Z4" s="121" t="s">
        <v>22</v>
      </c>
      <c r="AA4" s="122" t="s">
        <v>23</v>
      </c>
      <c r="AB4" s="240"/>
      <c r="AC4" s="255"/>
      <c r="AD4" s="257"/>
      <c r="AE4" s="248"/>
      <c r="AF4" s="248"/>
      <c r="AG4" s="248"/>
      <c r="AH4" s="248"/>
      <c r="AI4" s="248"/>
      <c r="AJ4" s="248"/>
      <c r="AK4" s="248"/>
      <c r="AL4" s="250"/>
      <c r="AM4" s="252"/>
      <c r="AN4" s="253"/>
    </row>
    <row r="5" spans="1:43" s="3" customFormat="1" ht="27.95" customHeight="1" x14ac:dyDescent="0.25">
      <c r="A5" s="110">
        <v>45748</v>
      </c>
      <c r="B5" s="202">
        <v>9930792</v>
      </c>
      <c r="C5" s="203">
        <v>2422</v>
      </c>
      <c r="D5" s="204">
        <v>24169280</v>
      </c>
      <c r="E5" s="204">
        <v>6074</v>
      </c>
      <c r="F5" s="205">
        <f>E5*0.9438</f>
        <v>5732.6412</v>
      </c>
      <c r="G5" s="204">
        <v>15655606</v>
      </c>
      <c r="H5" s="204">
        <v>3398</v>
      </c>
      <c r="I5" s="205">
        <f>H5*0.6536</f>
        <v>2220.9328</v>
      </c>
      <c r="J5" s="204">
        <v>3786744</v>
      </c>
      <c r="K5" s="204">
        <v>1112</v>
      </c>
      <c r="L5" s="204">
        <v>1665</v>
      </c>
      <c r="M5" s="204">
        <v>0</v>
      </c>
      <c r="N5" s="204">
        <f>M5*0.5</f>
        <v>0</v>
      </c>
      <c r="O5" s="204">
        <v>973</v>
      </c>
      <c r="P5" s="204">
        <v>0</v>
      </c>
      <c r="Q5" s="204">
        <f>P5*0.5</f>
        <v>0</v>
      </c>
      <c r="R5" s="206">
        <f>C5+F5+I5+K5+N5+Q5</f>
        <v>11487.574000000001</v>
      </c>
      <c r="S5" s="207">
        <f t="shared" ref="S5:S34" si="0">R5*0.2</f>
        <v>2297.5148000000004</v>
      </c>
      <c r="T5" s="82">
        <v>85276</v>
      </c>
      <c r="U5" s="148">
        <v>79</v>
      </c>
      <c r="V5" s="68">
        <v>37475</v>
      </c>
      <c r="W5" s="68">
        <v>7</v>
      </c>
      <c r="X5" s="69">
        <f>U5-W5</f>
        <v>72</v>
      </c>
      <c r="Y5" s="123">
        <f>X5*7.84</f>
        <v>564.48</v>
      </c>
      <c r="Z5" s="82">
        <v>1</v>
      </c>
      <c r="AA5" s="126">
        <f>Z5*22.6796*1.96</f>
        <v>44.452016</v>
      </c>
      <c r="AB5" s="69">
        <f>AA5*2.7659</f>
        <v>122.94983105439999</v>
      </c>
      <c r="AC5" s="343">
        <v>4</v>
      </c>
      <c r="AD5" s="82">
        <v>83058</v>
      </c>
      <c r="AE5" s="68">
        <v>12</v>
      </c>
      <c r="AF5" s="126">
        <f t="shared" ref="AF5:AF34" si="1">IF(ISBLANK(AD5),"0 ",AE5*284.345)</f>
        <v>3412.1400000000003</v>
      </c>
      <c r="AG5" s="165">
        <f>AF5*0.3449</f>
        <v>1176.847086</v>
      </c>
      <c r="AH5" s="165">
        <f>IF(ISBLANK(AD5),"0",1754*1608.73/12/30*0.66)</f>
        <v>5173.1394366666664</v>
      </c>
      <c r="AI5" s="127">
        <f>AG5+AH5</f>
        <v>6349.9865226666661</v>
      </c>
      <c r="AJ5" s="68">
        <v>2748093</v>
      </c>
      <c r="AK5" s="68">
        <v>6226</v>
      </c>
      <c r="AL5" s="189">
        <f t="shared" ref="AL5:AL34" si="2">IF(ISBLANK(AK5),"0 ",AK5/284.345)</f>
        <v>21.895936274596</v>
      </c>
      <c r="AM5" s="190">
        <v>0.91120000000000001</v>
      </c>
      <c r="AN5" s="191">
        <v>304</v>
      </c>
    </row>
    <row r="6" spans="1:43" s="3" customFormat="1" ht="27.95" customHeight="1" x14ac:dyDescent="0.25">
      <c r="A6" s="110">
        <v>45749</v>
      </c>
      <c r="B6" s="83">
        <v>9933217</v>
      </c>
      <c r="C6" s="70">
        <f>IF(ISBLANK(B6),"0",B6-B5)</f>
        <v>2425</v>
      </c>
      <c r="D6" s="70">
        <v>24174930</v>
      </c>
      <c r="E6" s="70">
        <f t="shared" ref="E6:E34" si="3">IF(ISBLANK(D6),"0",D6-D5)</f>
        <v>5650</v>
      </c>
      <c r="F6" s="71">
        <f>E6*0.9438</f>
        <v>5332.47</v>
      </c>
      <c r="G6" s="72">
        <v>15659140</v>
      </c>
      <c r="H6" s="70">
        <f>IF(ISBLANK(G6),"0",G6-G5)</f>
        <v>3534</v>
      </c>
      <c r="I6" s="71">
        <f>H6*0.6536</f>
        <v>2309.8224</v>
      </c>
      <c r="J6" s="72">
        <v>3787887</v>
      </c>
      <c r="K6" s="70">
        <f>IF(ISBLANK(J6),"0",J6-J5)</f>
        <v>1143</v>
      </c>
      <c r="L6" s="70">
        <v>1665</v>
      </c>
      <c r="M6" s="70">
        <f>IF(ISBLANK(L6),"0",L6-L5)</f>
        <v>0</v>
      </c>
      <c r="N6" s="70">
        <f>M6*0.5</f>
        <v>0</v>
      </c>
      <c r="O6" s="70">
        <v>974</v>
      </c>
      <c r="P6" s="70">
        <f>IF(ISBLANK(O6),"0",O6-O5)</f>
        <v>1</v>
      </c>
      <c r="Q6" s="70">
        <f>P6*0.5</f>
        <v>0.5</v>
      </c>
      <c r="R6" s="73">
        <f>C6+F6+I6+K6+N6+Q6</f>
        <v>11210.7924</v>
      </c>
      <c r="S6" s="128">
        <f t="shared" si="0"/>
        <v>2242.1584800000001</v>
      </c>
      <c r="T6" s="83">
        <v>85362</v>
      </c>
      <c r="U6" s="70">
        <f t="shared" ref="U6:U34" si="4">IF(ISBLANK(T6),"0",T6-T5)</f>
        <v>86</v>
      </c>
      <c r="V6" s="70">
        <v>37485</v>
      </c>
      <c r="W6" s="70">
        <f t="shared" ref="W6:W34" si="5">IF(ISBLANK(V6),"0",V6-V5)</f>
        <v>10</v>
      </c>
      <c r="X6" s="74">
        <f>U6-W6</f>
        <v>76</v>
      </c>
      <c r="Y6" s="124">
        <f>X6*7.84</f>
        <v>595.84</v>
      </c>
      <c r="Z6" s="83">
        <v>1</v>
      </c>
      <c r="AA6" s="75">
        <f t="shared" ref="AA6:AA34" si="6">Z6*22.6796*1.96</f>
        <v>44.452016</v>
      </c>
      <c r="AB6" s="74">
        <f t="shared" ref="AB6:AB34" si="7">AA6*2.7659</f>
        <v>122.94983105439999</v>
      </c>
      <c r="AC6" s="344">
        <v>0</v>
      </c>
      <c r="AD6" s="83">
        <v>83070</v>
      </c>
      <c r="AE6" s="70">
        <f t="shared" ref="AE6:AE34" si="8">IF(ISBLANK(AD6),"0",AD6-AD5)</f>
        <v>12</v>
      </c>
      <c r="AF6" s="75">
        <f t="shared" si="1"/>
        <v>3412.1400000000003</v>
      </c>
      <c r="AG6" s="113">
        <f>AF6*0.3449</f>
        <v>1176.847086</v>
      </c>
      <c r="AH6" s="113">
        <f>IF(ISBLANK(AD6),"0",1754*1608.73/12/30*0.66)</f>
        <v>5173.1394366666664</v>
      </c>
      <c r="AI6" s="76">
        <f t="shared" ref="AI6:AI34" si="9">AG6+AH6</f>
        <v>6349.9865226666661</v>
      </c>
      <c r="AJ6" s="72">
        <v>2754743</v>
      </c>
      <c r="AK6" s="72">
        <f>IF(ISBLANK(AJ6),"0",AJ6-AJ5)</f>
        <v>6650</v>
      </c>
      <c r="AL6" s="189">
        <f t="shared" si="2"/>
        <v>23.387082593328525</v>
      </c>
      <c r="AM6" s="192">
        <v>0.92659999999999998</v>
      </c>
      <c r="AN6" s="193">
        <v>307</v>
      </c>
      <c r="AQ6" s="107"/>
    </row>
    <row r="7" spans="1:43" s="3" customFormat="1" ht="27.95" customHeight="1" x14ac:dyDescent="0.25">
      <c r="A7" s="110">
        <v>45750</v>
      </c>
      <c r="B7" s="83">
        <v>9935612</v>
      </c>
      <c r="C7" s="70">
        <f t="shared" ref="C7:C34" si="10">IF(ISBLANK(B7),"0",B7-B6)</f>
        <v>2395</v>
      </c>
      <c r="D7" s="70">
        <v>24180047</v>
      </c>
      <c r="E7" s="70">
        <f t="shared" si="3"/>
        <v>5117</v>
      </c>
      <c r="F7" s="71">
        <f t="shared" ref="F7:F34" si="11">E7*0.9438</f>
        <v>4829.4246000000003</v>
      </c>
      <c r="G7" s="70">
        <v>15662653</v>
      </c>
      <c r="H7" s="70">
        <f t="shared" ref="H7:H34" si="12">IF(ISBLANK(G7),"0",G7-G6)</f>
        <v>3513</v>
      </c>
      <c r="I7" s="71">
        <f t="shared" ref="I7:I34" si="13">H7*0.6536</f>
        <v>2296.0967999999998</v>
      </c>
      <c r="J7" s="70">
        <v>3788970</v>
      </c>
      <c r="K7" s="70">
        <f t="shared" ref="K7:K34" si="14">IF(ISBLANK(J7),"0",J7-J6)</f>
        <v>1083</v>
      </c>
      <c r="L7" s="70">
        <v>1665</v>
      </c>
      <c r="M7" s="70">
        <f t="shared" ref="M7:M34" si="15">IF(ISBLANK(L7),"0",L7-L6)</f>
        <v>0</v>
      </c>
      <c r="N7" s="70">
        <f t="shared" ref="N7:N34" si="16">M7*0.5</f>
        <v>0</v>
      </c>
      <c r="O7" s="70">
        <v>974</v>
      </c>
      <c r="P7" s="70">
        <f t="shared" ref="P7:P34" si="17">IF(ISBLANK(O7),"0",O7-O6)</f>
        <v>0</v>
      </c>
      <c r="Q7" s="70">
        <f t="shared" ref="Q7:Q34" si="18">P7*0.5</f>
        <v>0</v>
      </c>
      <c r="R7" s="73">
        <f t="shared" ref="R7:R34" si="19">C7+F7+I7+K7+N7+Q7</f>
        <v>10603.5214</v>
      </c>
      <c r="S7" s="128">
        <f t="shared" si="0"/>
        <v>2120.7042799999999</v>
      </c>
      <c r="T7" s="83">
        <v>85421</v>
      </c>
      <c r="U7" s="70">
        <f t="shared" si="4"/>
        <v>59</v>
      </c>
      <c r="V7" s="70">
        <v>37492</v>
      </c>
      <c r="W7" s="70">
        <f t="shared" si="5"/>
        <v>7</v>
      </c>
      <c r="X7" s="74">
        <f t="shared" ref="X7:X34" si="20">U7-W7</f>
        <v>52</v>
      </c>
      <c r="Y7" s="124">
        <f t="shared" ref="Y7:Y34" si="21">X7*7.84</f>
        <v>407.68</v>
      </c>
      <c r="Z7" s="83">
        <v>1</v>
      </c>
      <c r="AA7" s="75">
        <f t="shared" si="6"/>
        <v>44.452016</v>
      </c>
      <c r="AB7" s="74">
        <f t="shared" si="7"/>
        <v>122.94983105439999</v>
      </c>
      <c r="AC7" s="344">
        <v>0</v>
      </c>
      <c r="AD7" s="83">
        <v>82869</v>
      </c>
      <c r="AE7" s="70">
        <v>12</v>
      </c>
      <c r="AF7" s="75">
        <f t="shared" si="1"/>
        <v>3412.1400000000003</v>
      </c>
      <c r="AG7" s="113">
        <f t="shared" ref="AG7:AG34" si="22">AF7*0.3449</f>
        <v>1176.847086</v>
      </c>
      <c r="AH7" s="113">
        <f t="shared" ref="AH7:AH34" si="23">IF(ISBLANK(AD7),"0",1754*1608.73/12/30*0.66)</f>
        <v>5173.1394366666664</v>
      </c>
      <c r="AI7" s="76">
        <f t="shared" si="9"/>
        <v>6349.9865226666661</v>
      </c>
      <c r="AJ7" s="72">
        <v>2761796</v>
      </c>
      <c r="AK7" s="72">
        <f t="shared" ref="AK7:AK34" si="24">IF(ISBLANK(AJ7),"0",AJ7-AJ6)</f>
        <v>7053</v>
      </c>
      <c r="AL7" s="189">
        <f t="shared" si="2"/>
        <v>24.804374967029485</v>
      </c>
      <c r="AM7" s="192">
        <v>0.94589999999999996</v>
      </c>
      <c r="AN7" s="193">
        <v>317</v>
      </c>
    </row>
    <row r="8" spans="1:43" s="3" customFormat="1" ht="27.95" customHeight="1" x14ac:dyDescent="0.25">
      <c r="A8" s="110">
        <v>45751</v>
      </c>
      <c r="B8" s="83">
        <v>9938027</v>
      </c>
      <c r="C8" s="70">
        <f t="shared" si="10"/>
        <v>2415</v>
      </c>
      <c r="D8" s="70">
        <v>24185364</v>
      </c>
      <c r="E8" s="70">
        <f t="shared" si="3"/>
        <v>5317</v>
      </c>
      <c r="F8" s="71">
        <f t="shared" si="11"/>
        <v>5018.1845999999996</v>
      </c>
      <c r="G8" s="70">
        <v>15666189</v>
      </c>
      <c r="H8" s="70">
        <f t="shared" si="12"/>
        <v>3536</v>
      </c>
      <c r="I8" s="71">
        <f t="shared" si="13"/>
        <v>2311.1295999999998</v>
      </c>
      <c r="J8" s="70">
        <v>3790103</v>
      </c>
      <c r="K8" s="70">
        <f t="shared" si="14"/>
        <v>1133</v>
      </c>
      <c r="L8" s="70">
        <v>1665</v>
      </c>
      <c r="M8" s="70">
        <f t="shared" si="15"/>
        <v>0</v>
      </c>
      <c r="N8" s="70">
        <f t="shared" si="16"/>
        <v>0</v>
      </c>
      <c r="O8" s="70">
        <v>974</v>
      </c>
      <c r="P8" s="70">
        <f t="shared" si="17"/>
        <v>0</v>
      </c>
      <c r="Q8" s="70">
        <f t="shared" si="18"/>
        <v>0</v>
      </c>
      <c r="R8" s="73">
        <f>C8+F8+I8+K8+N8+Q8</f>
        <v>10877.314199999999</v>
      </c>
      <c r="S8" s="128">
        <f t="shared" si="0"/>
        <v>2175.4628399999997</v>
      </c>
      <c r="T8" s="83">
        <v>85499</v>
      </c>
      <c r="U8" s="70">
        <f>IF(ISBLANK(T8),"0",T8-T7)</f>
        <v>78</v>
      </c>
      <c r="V8" s="70">
        <v>37502</v>
      </c>
      <c r="W8" s="70">
        <f t="shared" si="5"/>
        <v>10</v>
      </c>
      <c r="X8" s="74">
        <f t="shared" si="20"/>
        <v>68</v>
      </c>
      <c r="Y8" s="124">
        <f t="shared" si="21"/>
        <v>533.12</v>
      </c>
      <c r="Z8" s="83">
        <v>2</v>
      </c>
      <c r="AA8" s="75">
        <f t="shared" si="6"/>
        <v>88.904032000000001</v>
      </c>
      <c r="AB8" s="74">
        <f t="shared" si="7"/>
        <v>245.89966210879999</v>
      </c>
      <c r="AC8" s="344">
        <v>0</v>
      </c>
      <c r="AD8" s="83">
        <v>82882</v>
      </c>
      <c r="AE8" s="70">
        <f t="shared" si="8"/>
        <v>13</v>
      </c>
      <c r="AF8" s="75">
        <f t="shared" si="1"/>
        <v>3696.4850000000006</v>
      </c>
      <c r="AG8" s="113">
        <f t="shared" si="22"/>
        <v>1274.9176765000002</v>
      </c>
      <c r="AH8" s="113">
        <f t="shared" si="23"/>
        <v>5173.1394366666664</v>
      </c>
      <c r="AI8" s="76">
        <f t="shared" si="9"/>
        <v>6448.0571131666666</v>
      </c>
      <c r="AJ8" s="72">
        <v>2769229</v>
      </c>
      <c r="AK8" s="72">
        <f t="shared" si="24"/>
        <v>7433</v>
      </c>
      <c r="AL8" s="189">
        <f t="shared" si="2"/>
        <v>26.140779686648258</v>
      </c>
      <c r="AM8" s="192">
        <v>0.83399999999999996</v>
      </c>
      <c r="AN8" s="193">
        <v>270</v>
      </c>
    </row>
    <row r="9" spans="1:43" s="3" customFormat="1" ht="27.95" customHeight="1" x14ac:dyDescent="0.25">
      <c r="A9" s="110">
        <v>45752</v>
      </c>
      <c r="B9" s="83">
        <v>9940316</v>
      </c>
      <c r="C9" s="70">
        <f t="shared" si="10"/>
        <v>2289</v>
      </c>
      <c r="D9" s="70">
        <v>24190470</v>
      </c>
      <c r="E9" s="70">
        <f t="shared" si="3"/>
        <v>5106</v>
      </c>
      <c r="F9" s="71">
        <f t="shared" si="11"/>
        <v>4819.0428000000002</v>
      </c>
      <c r="G9" s="70">
        <v>15669592</v>
      </c>
      <c r="H9" s="70">
        <f t="shared" si="12"/>
        <v>3403</v>
      </c>
      <c r="I9" s="71">
        <f t="shared" si="13"/>
        <v>2224.2008000000001</v>
      </c>
      <c r="J9" s="70">
        <v>3791196</v>
      </c>
      <c r="K9" s="70">
        <f t="shared" si="14"/>
        <v>1093</v>
      </c>
      <c r="L9" s="70">
        <v>1693</v>
      </c>
      <c r="M9" s="70">
        <f t="shared" si="15"/>
        <v>28</v>
      </c>
      <c r="N9" s="70">
        <f t="shared" si="16"/>
        <v>14</v>
      </c>
      <c r="O9" s="70">
        <v>987</v>
      </c>
      <c r="P9" s="70">
        <f t="shared" si="17"/>
        <v>13</v>
      </c>
      <c r="Q9" s="70">
        <f t="shared" si="18"/>
        <v>6.5</v>
      </c>
      <c r="R9" s="73">
        <f t="shared" si="19"/>
        <v>10445.7436</v>
      </c>
      <c r="S9" s="128">
        <f t="shared" si="0"/>
        <v>2089.1487200000001</v>
      </c>
      <c r="T9" s="83">
        <v>85581</v>
      </c>
      <c r="U9" s="70">
        <f t="shared" si="4"/>
        <v>82</v>
      </c>
      <c r="V9" s="70">
        <v>37509</v>
      </c>
      <c r="W9" s="70">
        <f t="shared" si="5"/>
        <v>7</v>
      </c>
      <c r="X9" s="74">
        <f t="shared" si="20"/>
        <v>75</v>
      </c>
      <c r="Y9" s="124">
        <f t="shared" si="21"/>
        <v>588</v>
      </c>
      <c r="Z9" s="83">
        <v>1</v>
      </c>
      <c r="AA9" s="75">
        <f t="shared" si="6"/>
        <v>44.452016</v>
      </c>
      <c r="AB9" s="74">
        <f t="shared" si="7"/>
        <v>122.94983105439999</v>
      </c>
      <c r="AC9" s="344">
        <v>5</v>
      </c>
      <c r="AD9" s="83">
        <v>82901</v>
      </c>
      <c r="AE9" s="70">
        <f t="shared" si="8"/>
        <v>19</v>
      </c>
      <c r="AF9" s="75">
        <f t="shared" si="1"/>
        <v>5402.5550000000003</v>
      </c>
      <c r="AG9" s="113">
        <f t="shared" si="22"/>
        <v>1863.3412195000001</v>
      </c>
      <c r="AH9" s="113">
        <f t="shared" si="23"/>
        <v>5173.1394366666664</v>
      </c>
      <c r="AI9" s="76">
        <f t="shared" si="9"/>
        <v>7036.4806561666664</v>
      </c>
      <c r="AJ9" s="72">
        <v>2776967</v>
      </c>
      <c r="AK9" s="72">
        <f t="shared" si="24"/>
        <v>7738</v>
      </c>
      <c r="AL9" s="189">
        <f t="shared" si="2"/>
        <v>27.213420316868589</v>
      </c>
      <c r="AM9" s="192">
        <v>0.87639999999999996</v>
      </c>
      <c r="AN9" s="193">
        <v>278</v>
      </c>
    </row>
    <row r="10" spans="1:43" s="3" customFormat="1" ht="27.95" customHeight="1" x14ac:dyDescent="0.25">
      <c r="A10" s="110">
        <v>45753</v>
      </c>
      <c r="B10" s="83">
        <v>9942697</v>
      </c>
      <c r="C10" s="70">
        <f>IF(ISBLANK(B10),"0",B10-B9)</f>
        <v>2381</v>
      </c>
      <c r="D10" s="70">
        <v>24196359</v>
      </c>
      <c r="E10" s="70">
        <f t="shared" si="3"/>
        <v>5889</v>
      </c>
      <c r="F10" s="71">
        <f t="shared" si="11"/>
        <v>5558.0382</v>
      </c>
      <c r="G10" s="70">
        <v>15673092</v>
      </c>
      <c r="H10" s="70">
        <f t="shared" si="12"/>
        <v>3500</v>
      </c>
      <c r="I10" s="71">
        <f t="shared" si="13"/>
        <v>2287.6</v>
      </c>
      <c r="J10" s="70">
        <v>3792344</v>
      </c>
      <c r="K10" s="70">
        <f t="shared" si="14"/>
        <v>1148</v>
      </c>
      <c r="L10" s="70">
        <v>1693</v>
      </c>
      <c r="M10" s="70">
        <f t="shared" si="15"/>
        <v>0</v>
      </c>
      <c r="N10" s="70">
        <f t="shared" si="16"/>
        <v>0</v>
      </c>
      <c r="O10" s="70">
        <v>987</v>
      </c>
      <c r="P10" s="70">
        <f t="shared" si="17"/>
        <v>0</v>
      </c>
      <c r="Q10" s="70">
        <f t="shared" si="18"/>
        <v>0</v>
      </c>
      <c r="R10" s="73">
        <f t="shared" si="19"/>
        <v>11374.638199999999</v>
      </c>
      <c r="S10" s="128">
        <f t="shared" si="0"/>
        <v>2274.9276399999999</v>
      </c>
      <c r="T10" s="83">
        <v>85647</v>
      </c>
      <c r="U10" s="70">
        <f t="shared" si="4"/>
        <v>66</v>
      </c>
      <c r="V10" s="70">
        <v>37520</v>
      </c>
      <c r="W10" s="70">
        <f t="shared" si="5"/>
        <v>11</v>
      </c>
      <c r="X10" s="74">
        <f t="shared" si="20"/>
        <v>55</v>
      </c>
      <c r="Y10" s="124">
        <f t="shared" si="21"/>
        <v>431.2</v>
      </c>
      <c r="Z10" s="83">
        <v>2</v>
      </c>
      <c r="AA10" s="75">
        <f t="shared" si="6"/>
        <v>88.904032000000001</v>
      </c>
      <c r="AB10" s="74">
        <f t="shared" si="7"/>
        <v>245.89966210879999</v>
      </c>
      <c r="AC10" s="344">
        <v>0</v>
      </c>
      <c r="AD10" s="83">
        <v>82920</v>
      </c>
      <c r="AE10" s="70">
        <f t="shared" si="8"/>
        <v>19</v>
      </c>
      <c r="AF10" s="75">
        <f t="shared" si="1"/>
        <v>5402.5550000000003</v>
      </c>
      <c r="AG10" s="113">
        <f t="shared" si="22"/>
        <v>1863.3412195000001</v>
      </c>
      <c r="AH10" s="113">
        <f t="shared" si="23"/>
        <v>5173.1394366666664</v>
      </c>
      <c r="AI10" s="76">
        <f t="shared" si="9"/>
        <v>7036.4806561666664</v>
      </c>
      <c r="AJ10" s="72">
        <v>2784864</v>
      </c>
      <c r="AK10" s="72">
        <f t="shared" si="24"/>
        <v>7897</v>
      </c>
      <c r="AL10" s="189">
        <f t="shared" si="2"/>
        <v>27.772600186393287</v>
      </c>
      <c r="AM10" s="192">
        <v>1</v>
      </c>
      <c r="AN10" s="193">
        <v>310</v>
      </c>
    </row>
    <row r="11" spans="1:43" s="3" customFormat="1" ht="27.95" customHeight="1" x14ac:dyDescent="0.25">
      <c r="A11" s="110">
        <v>45754</v>
      </c>
      <c r="B11" s="83">
        <v>9944995</v>
      </c>
      <c r="C11" s="70">
        <f t="shared" si="10"/>
        <v>2298</v>
      </c>
      <c r="D11" s="70">
        <v>24202662</v>
      </c>
      <c r="E11" s="70">
        <f t="shared" si="3"/>
        <v>6303</v>
      </c>
      <c r="F11" s="71">
        <f t="shared" si="11"/>
        <v>5948.7713999999996</v>
      </c>
      <c r="G11" s="70">
        <v>15676642</v>
      </c>
      <c r="H11" s="70">
        <f t="shared" si="12"/>
        <v>3550</v>
      </c>
      <c r="I11" s="71">
        <f t="shared" si="13"/>
        <v>2320.2799999999997</v>
      </c>
      <c r="J11" s="70">
        <v>3793475</v>
      </c>
      <c r="K11" s="70">
        <f t="shared" si="14"/>
        <v>1131</v>
      </c>
      <c r="L11" s="70">
        <v>1693</v>
      </c>
      <c r="M11" s="70">
        <f t="shared" si="15"/>
        <v>0</v>
      </c>
      <c r="N11" s="70">
        <f t="shared" si="16"/>
        <v>0</v>
      </c>
      <c r="O11" s="70">
        <v>987</v>
      </c>
      <c r="P11" s="70">
        <f t="shared" si="17"/>
        <v>0</v>
      </c>
      <c r="Q11" s="70">
        <f t="shared" si="18"/>
        <v>0</v>
      </c>
      <c r="R11" s="73">
        <f t="shared" si="19"/>
        <v>11698.0514</v>
      </c>
      <c r="S11" s="128">
        <f t="shared" si="0"/>
        <v>2339.6102800000003</v>
      </c>
      <c r="T11" s="83">
        <v>85723</v>
      </c>
      <c r="U11" s="70">
        <f t="shared" si="4"/>
        <v>76</v>
      </c>
      <c r="V11" s="70">
        <v>37527</v>
      </c>
      <c r="W11" s="70">
        <f t="shared" si="5"/>
        <v>7</v>
      </c>
      <c r="X11" s="74">
        <f t="shared" si="20"/>
        <v>69</v>
      </c>
      <c r="Y11" s="124">
        <f t="shared" si="21"/>
        <v>540.96</v>
      </c>
      <c r="Z11" s="83">
        <v>1</v>
      </c>
      <c r="AA11" s="75">
        <f t="shared" si="6"/>
        <v>44.452016</v>
      </c>
      <c r="AB11" s="74">
        <f t="shared" si="7"/>
        <v>122.94983105439999</v>
      </c>
      <c r="AC11" s="344">
        <v>0</v>
      </c>
      <c r="AD11" s="83">
        <v>82939</v>
      </c>
      <c r="AE11" s="70">
        <f t="shared" si="8"/>
        <v>19</v>
      </c>
      <c r="AF11" s="75">
        <f t="shared" si="1"/>
        <v>5402.5550000000003</v>
      </c>
      <c r="AG11" s="113">
        <f t="shared" si="22"/>
        <v>1863.3412195000001</v>
      </c>
      <c r="AH11" s="113">
        <f t="shared" si="23"/>
        <v>5173.1394366666664</v>
      </c>
      <c r="AI11" s="76">
        <f t="shared" si="9"/>
        <v>7036.4806561666664</v>
      </c>
      <c r="AJ11" s="72">
        <v>2792860</v>
      </c>
      <c r="AK11" s="72">
        <f t="shared" si="24"/>
        <v>7996</v>
      </c>
      <c r="AL11" s="189">
        <f t="shared" si="2"/>
        <v>28.120768784399232</v>
      </c>
      <c r="AM11" s="192">
        <v>1</v>
      </c>
      <c r="AN11" s="193">
        <v>308</v>
      </c>
    </row>
    <row r="12" spans="1:43" s="3" customFormat="1" ht="27.95" customHeight="1" x14ac:dyDescent="0.25">
      <c r="A12" s="110">
        <v>45755</v>
      </c>
      <c r="B12" s="83">
        <v>9947201</v>
      </c>
      <c r="C12" s="70">
        <f t="shared" si="10"/>
        <v>2206</v>
      </c>
      <c r="D12" s="70">
        <v>24208799</v>
      </c>
      <c r="E12" s="70">
        <f t="shared" si="3"/>
        <v>6137</v>
      </c>
      <c r="F12" s="71">
        <f t="shared" si="11"/>
        <v>5792.1005999999998</v>
      </c>
      <c r="G12" s="70">
        <v>15680123</v>
      </c>
      <c r="H12" s="70">
        <f t="shared" si="12"/>
        <v>3481</v>
      </c>
      <c r="I12" s="71">
        <f t="shared" si="13"/>
        <v>2275.1815999999999</v>
      </c>
      <c r="J12" s="70">
        <v>3794585</v>
      </c>
      <c r="K12" s="70">
        <f t="shared" si="14"/>
        <v>1110</v>
      </c>
      <c r="L12" s="70">
        <v>1693</v>
      </c>
      <c r="M12" s="70">
        <f t="shared" si="15"/>
        <v>0</v>
      </c>
      <c r="N12" s="70">
        <f t="shared" si="16"/>
        <v>0</v>
      </c>
      <c r="O12" s="70">
        <v>987</v>
      </c>
      <c r="P12" s="70">
        <f t="shared" si="17"/>
        <v>0</v>
      </c>
      <c r="Q12" s="70">
        <f t="shared" si="18"/>
        <v>0</v>
      </c>
      <c r="R12" s="73">
        <f t="shared" si="19"/>
        <v>11383.2822</v>
      </c>
      <c r="S12" s="128">
        <f>R12*0.2</f>
        <v>2276.6564400000002</v>
      </c>
      <c r="T12" s="83">
        <v>85782</v>
      </c>
      <c r="U12" s="70">
        <f t="shared" si="4"/>
        <v>59</v>
      </c>
      <c r="V12" s="70">
        <v>37542</v>
      </c>
      <c r="W12" s="70">
        <f t="shared" si="5"/>
        <v>15</v>
      </c>
      <c r="X12" s="74">
        <f>U12-W12</f>
        <v>44</v>
      </c>
      <c r="Y12" s="124">
        <f t="shared" si="21"/>
        <v>344.96</v>
      </c>
      <c r="Z12" s="83">
        <v>1</v>
      </c>
      <c r="AA12" s="75">
        <f t="shared" si="6"/>
        <v>44.452016</v>
      </c>
      <c r="AB12" s="74">
        <f t="shared" si="7"/>
        <v>122.94983105439999</v>
      </c>
      <c r="AC12" s="344">
        <v>0</v>
      </c>
      <c r="AD12" s="83">
        <v>82957</v>
      </c>
      <c r="AE12" s="70">
        <f t="shared" si="8"/>
        <v>18</v>
      </c>
      <c r="AF12" s="75">
        <f t="shared" si="1"/>
        <v>5118.2100000000009</v>
      </c>
      <c r="AG12" s="113">
        <f t="shared" si="22"/>
        <v>1765.2706290000003</v>
      </c>
      <c r="AH12" s="113">
        <f t="shared" si="23"/>
        <v>5173.1394366666664</v>
      </c>
      <c r="AI12" s="76">
        <f t="shared" si="9"/>
        <v>6938.4100656666669</v>
      </c>
      <c r="AJ12" s="72">
        <v>2800705</v>
      </c>
      <c r="AK12" s="72">
        <f t="shared" si="24"/>
        <v>7845</v>
      </c>
      <c r="AL12" s="189">
        <f t="shared" si="2"/>
        <v>27.589723751077035</v>
      </c>
      <c r="AM12" s="192">
        <v>1</v>
      </c>
      <c r="AN12" s="193">
        <v>306</v>
      </c>
    </row>
    <row r="13" spans="1:43" s="3" customFormat="1" ht="27.95" customHeight="1" x14ac:dyDescent="0.25">
      <c r="A13" s="110">
        <v>45756</v>
      </c>
      <c r="B13" s="83">
        <v>9949471</v>
      </c>
      <c r="C13" s="70">
        <f t="shared" si="10"/>
        <v>2270</v>
      </c>
      <c r="D13" s="70">
        <v>24215017</v>
      </c>
      <c r="E13" s="70">
        <f t="shared" si="3"/>
        <v>6218</v>
      </c>
      <c r="F13" s="71">
        <f t="shared" si="11"/>
        <v>5868.5483999999997</v>
      </c>
      <c r="G13" s="70">
        <v>15683646</v>
      </c>
      <c r="H13" s="70">
        <f t="shared" si="12"/>
        <v>3523</v>
      </c>
      <c r="I13" s="71">
        <f t="shared" si="13"/>
        <v>2302.6327999999999</v>
      </c>
      <c r="J13" s="70">
        <v>3795702</v>
      </c>
      <c r="K13" s="70">
        <f t="shared" si="14"/>
        <v>1117</v>
      </c>
      <c r="L13" s="70">
        <v>1693</v>
      </c>
      <c r="M13" s="70">
        <f t="shared" si="15"/>
        <v>0</v>
      </c>
      <c r="N13" s="70">
        <f t="shared" si="16"/>
        <v>0</v>
      </c>
      <c r="O13" s="70">
        <v>987</v>
      </c>
      <c r="P13" s="70">
        <f t="shared" si="17"/>
        <v>0</v>
      </c>
      <c r="Q13" s="70">
        <f t="shared" si="18"/>
        <v>0</v>
      </c>
      <c r="R13" s="73">
        <f t="shared" si="19"/>
        <v>11558.181199999999</v>
      </c>
      <c r="S13" s="128">
        <f>R13*0.2</f>
        <v>2311.6362399999998</v>
      </c>
      <c r="T13" s="83">
        <v>85854</v>
      </c>
      <c r="U13" s="70">
        <f t="shared" si="4"/>
        <v>72</v>
      </c>
      <c r="V13" s="70">
        <v>37549</v>
      </c>
      <c r="W13" s="70">
        <f t="shared" si="5"/>
        <v>7</v>
      </c>
      <c r="X13" s="74">
        <f t="shared" si="20"/>
        <v>65</v>
      </c>
      <c r="Y13" s="124">
        <f t="shared" si="21"/>
        <v>509.59999999999997</v>
      </c>
      <c r="Z13" s="83">
        <v>1</v>
      </c>
      <c r="AA13" s="75">
        <f t="shared" si="6"/>
        <v>44.452016</v>
      </c>
      <c r="AB13" s="74">
        <f t="shared" si="7"/>
        <v>122.94983105439999</v>
      </c>
      <c r="AC13" s="344">
        <v>5</v>
      </c>
      <c r="AD13" s="83">
        <v>82975</v>
      </c>
      <c r="AE13" s="70">
        <f t="shared" si="8"/>
        <v>18</v>
      </c>
      <c r="AF13" s="75">
        <f t="shared" si="1"/>
        <v>5118.2100000000009</v>
      </c>
      <c r="AG13" s="113">
        <f t="shared" si="22"/>
        <v>1765.2706290000003</v>
      </c>
      <c r="AH13" s="113">
        <f t="shared" si="23"/>
        <v>5173.1394366666664</v>
      </c>
      <c r="AI13" s="76">
        <f t="shared" si="9"/>
        <v>6938.4100656666669</v>
      </c>
      <c r="AJ13" s="72">
        <v>2808326</v>
      </c>
      <c r="AK13" s="72">
        <f t="shared" si="24"/>
        <v>7621</v>
      </c>
      <c r="AL13" s="189">
        <f t="shared" si="2"/>
        <v>26.801948337407019</v>
      </c>
      <c r="AM13" s="192">
        <v>0.98460000000000003</v>
      </c>
      <c r="AN13" s="193">
        <v>295</v>
      </c>
    </row>
    <row r="14" spans="1:43" s="3" customFormat="1" ht="27.75" customHeight="1" x14ac:dyDescent="0.25">
      <c r="A14" s="110">
        <v>45757</v>
      </c>
      <c r="B14" s="83">
        <v>9951795</v>
      </c>
      <c r="C14" s="70">
        <f t="shared" si="10"/>
        <v>2324</v>
      </c>
      <c r="D14" s="70">
        <v>24221344</v>
      </c>
      <c r="E14" s="70">
        <f t="shared" si="3"/>
        <v>6327</v>
      </c>
      <c r="F14" s="71">
        <f t="shared" si="11"/>
        <v>5971.4225999999999</v>
      </c>
      <c r="G14" s="70">
        <v>15687229</v>
      </c>
      <c r="H14" s="70">
        <f t="shared" si="12"/>
        <v>3583</v>
      </c>
      <c r="I14" s="71">
        <f t="shared" si="13"/>
        <v>2341.8487999999998</v>
      </c>
      <c r="J14" s="70">
        <v>3796814</v>
      </c>
      <c r="K14" s="70">
        <f t="shared" si="14"/>
        <v>1112</v>
      </c>
      <c r="L14" s="70">
        <v>1693</v>
      </c>
      <c r="M14" s="70">
        <f t="shared" si="15"/>
        <v>0</v>
      </c>
      <c r="N14" s="70">
        <f t="shared" si="16"/>
        <v>0</v>
      </c>
      <c r="O14" s="70">
        <v>987</v>
      </c>
      <c r="P14" s="70">
        <f t="shared" si="17"/>
        <v>0</v>
      </c>
      <c r="Q14" s="70">
        <f>P14*0.5</f>
        <v>0</v>
      </c>
      <c r="R14" s="73">
        <f t="shared" si="19"/>
        <v>11749.2714</v>
      </c>
      <c r="S14" s="128">
        <f t="shared" si="0"/>
        <v>2349.85428</v>
      </c>
      <c r="T14" s="83">
        <v>85914</v>
      </c>
      <c r="U14" s="70">
        <f t="shared" si="4"/>
        <v>60</v>
      </c>
      <c r="V14" s="70">
        <v>37556</v>
      </c>
      <c r="W14" s="70">
        <f t="shared" si="5"/>
        <v>7</v>
      </c>
      <c r="X14" s="74">
        <f t="shared" si="20"/>
        <v>53</v>
      </c>
      <c r="Y14" s="124">
        <f t="shared" si="21"/>
        <v>415.52</v>
      </c>
      <c r="Z14" s="83">
        <v>1</v>
      </c>
      <c r="AA14" s="75">
        <f t="shared" si="6"/>
        <v>44.452016</v>
      </c>
      <c r="AB14" s="74">
        <f t="shared" si="7"/>
        <v>122.94983105439999</v>
      </c>
      <c r="AC14" s="344">
        <v>4</v>
      </c>
      <c r="AD14" s="83">
        <v>82994</v>
      </c>
      <c r="AE14" s="70">
        <f t="shared" si="8"/>
        <v>19</v>
      </c>
      <c r="AF14" s="75">
        <f t="shared" si="1"/>
        <v>5402.5550000000003</v>
      </c>
      <c r="AG14" s="113">
        <f t="shared" si="22"/>
        <v>1863.3412195000001</v>
      </c>
      <c r="AH14" s="113">
        <f t="shared" si="23"/>
        <v>5173.1394366666664</v>
      </c>
      <c r="AI14" s="76">
        <f t="shared" si="9"/>
        <v>7036.4806561666664</v>
      </c>
      <c r="AJ14" s="72">
        <v>2815752</v>
      </c>
      <c r="AK14" s="72">
        <f t="shared" si="24"/>
        <v>7426</v>
      </c>
      <c r="AL14" s="189">
        <f t="shared" si="2"/>
        <v>26.11616170497107</v>
      </c>
      <c r="AM14" s="194">
        <v>0.87260000000000004</v>
      </c>
      <c r="AN14" s="193">
        <v>273</v>
      </c>
    </row>
    <row r="15" spans="1:43" s="3" customFormat="1" ht="27.95" customHeight="1" x14ac:dyDescent="0.25">
      <c r="A15" s="110">
        <v>45758</v>
      </c>
      <c r="B15" s="83">
        <v>9954082</v>
      </c>
      <c r="C15" s="70">
        <f t="shared" si="10"/>
        <v>2287</v>
      </c>
      <c r="D15" s="70">
        <v>24227567</v>
      </c>
      <c r="E15" s="70">
        <f t="shared" si="3"/>
        <v>6223</v>
      </c>
      <c r="F15" s="71">
        <f t="shared" si="11"/>
        <v>5873.2673999999997</v>
      </c>
      <c r="G15" s="70">
        <v>15690754</v>
      </c>
      <c r="H15" s="70">
        <f t="shared" si="12"/>
        <v>3525</v>
      </c>
      <c r="I15" s="71">
        <f t="shared" si="13"/>
        <v>2303.94</v>
      </c>
      <c r="J15" s="70">
        <v>3797893</v>
      </c>
      <c r="K15" s="70">
        <f t="shared" si="14"/>
        <v>1079</v>
      </c>
      <c r="L15" s="70">
        <v>1693</v>
      </c>
      <c r="M15" s="70">
        <f t="shared" si="15"/>
        <v>0</v>
      </c>
      <c r="N15" s="70">
        <f t="shared" si="16"/>
        <v>0</v>
      </c>
      <c r="O15" s="70">
        <v>987</v>
      </c>
      <c r="P15" s="70">
        <f t="shared" si="17"/>
        <v>0</v>
      </c>
      <c r="Q15" s="70">
        <f t="shared" si="18"/>
        <v>0</v>
      </c>
      <c r="R15" s="73">
        <f t="shared" si="19"/>
        <v>11543.207399999999</v>
      </c>
      <c r="S15" s="128">
        <f t="shared" si="0"/>
        <v>2308.6414799999998</v>
      </c>
      <c r="T15" s="83">
        <v>86005</v>
      </c>
      <c r="U15" s="70">
        <f t="shared" si="4"/>
        <v>91</v>
      </c>
      <c r="V15" s="70">
        <v>37570</v>
      </c>
      <c r="W15" s="70">
        <f t="shared" si="5"/>
        <v>14</v>
      </c>
      <c r="X15" s="74">
        <f t="shared" si="20"/>
        <v>77</v>
      </c>
      <c r="Y15" s="124">
        <f t="shared" si="21"/>
        <v>603.67999999999995</v>
      </c>
      <c r="Z15" s="83">
        <v>1</v>
      </c>
      <c r="AA15" s="75">
        <f t="shared" si="6"/>
        <v>44.452016</v>
      </c>
      <c r="AB15" s="74">
        <f t="shared" si="7"/>
        <v>122.94983105439999</v>
      </c>
      <c r="AC15" s="344">
        <v>0</v>
      </c>
      <c r="AD15" s="158">
        <v>83012</v>
      </c>
      <c r="AE15" s="70">
        <f t="shared" si="8"/>
        <v>18</v>
      </c>
      <c r="AF15" s="75">
        <f t="shared" si="1"/>
        <v>5118.2100000000009</v>
      </c>
      <c r="AG15" s="113">
        <f t="shared" si="22"/>
        <v>1765.2706290000003</v>
      </c>
      <c r="AH15" s="113">
        <f t="shared" si="23"/>
        <v>5173.1394366666664</v>
      </c>
      <c r="AI15" s="76">
        <f t="shared" si="9"/>
        <v>6938.4100656666669</v>
      </c>
      <c r="AJ15" s="72">
        <v>2822978</v>
      </c>
      <c r="AK15" s="72">
        <f t="shared" si="24"/>
        <v>7226</v>
      </c>
      <c r="AL15" s="189">
        <f t="shared" si="2"/>
        <v>25.41279079990856</v>
      </c>
      <c r="AM15" s="192">
        <v>0.749</v>
      </c>
      <c r="AN15" s="193">
        <v>228</v>
      </c>
    </row>
    <row r="16" spans="1:43" s="3" customFormat="1" ht="27.95" customHeight="1" x14ac:dyDescent="0.25">
      <c r="A16" s="110">
        <v>45759</v>
      </c>
      <c r="B16" s="83">
        <v>9956432</v>
      </c>
      <c r="C16" s="70">
        <f t="shared" si="10"/>
        <v>2350</v>
      </c>
      <c r="D16" s="70">
        <v>24233385</v>
      </c>
      <c r="E16" s="70">
        <f t="shared" si="3"/>
        <v>5818</v>
      </c>
      <c r="F16" s="71">
        <f t="shared" si="11"/>
        <v>5491.0284000000001</v>
      </c>
      <c r="G16" s="70">
        <v>15694224</v>
      </c>
      <c r="H16" s="70">
        <f t="shared" si="12"/>
        <v>3470</v>
      </c>
      <c r="I16" s="71">
        <f t="shared" si="13"/>
        <v>2267.9919999999997</v>
      </c>
      <c r="J16" s="70">
        <v>3798998</v>
      </c>
      <c r="K16" s="70">
        <f t="shared" si="14"/>
        <v>1105</v>
      </c>
      <c r="L16" s="70">
        <v>1706</v>
      </c>
      <c r="M16" s="70">
        <f t="shared" si="15"/>
        <v>13</v>
      </c>
      <c r="N16" s="70">
        <f t="shared" si="16"/>
        <v>6.5</v>
      </c>
      <c r="O16" s="70">
        <v>995</v>
      </c>
      <c r="P16" s="70">
        <f t="shared" si="17"/>
        <v>8</v>
      </c>
      <c r="Q16" s="70">
        <f t="shared" si="18"/>
        <v>4</v>
      </c>
      <c r="R16" s="73">
        <f t="shared" si="19"/>
        <v>11224.520399999999</v>
      </c>
      <c r="S16" s="128">
        <f t="shared" si="0"/>
        <v>2244.9040799999998</v>
      </c>
      <c r="T16" s="83">
        <v>86064</v>
      </c>
      <c r="U16" s="70">
        <f t="shared" si="4"/>
        <v>59</v>
      </c>
      <c r="V16" s="70">
        <v>37577</v>
      </c>
      <c r="W16" s="70">
        <f t="shared" si="5"/>
        <v>7</v>
      </c>
      <c r="X16" s="74">
        <f t="shared" si="20"/>
        <v>52</v>
      </c>
      <c r="Y16" s="124">
        <f t="shared" si="21"/>
        <v>407.68</v>
      </c>
      <c r="Z16" s="83">
        <v>2</v>
      </c>
      <c r="AA16" s="75">
        <f t="shared" si="6"/>
        <v>88.904032000000001</v>
      </c>
      <c r="AB16" s="74">
        <f t="shared" si="7"/>
        <v>245.89966210879999</v>
      </c>
      <c r="AC16" s="344">
        <v>0</v>
      </c>
      <c r="AD16" s="83">
        <v>83031</v>
      </c>
      <c r="AE16" s="70">
        <f t="shared" si="8"/>
        <v>19</v>
      </c>
      <c r="AF16" s="75">
        <f t="shared" si="1"/>
        <v>5402.5550000000003</v>
      </c>
      <c r="AG16" s="113">
        <f t="shared" si="22"/>
        <v>1863.3412195000001</v>
      </c>
      <c r="AH16" s="113">
        <f t="shared" si="23"/>
        <v>5173.1394366666664</v>
      </c>
      <c r="AI16" s="76">
        <f t="shared" si="9"/>
        <v>7036.4806561666664</v>
      </c>
      <c r="AJ16" s="72">
        <v>2830242</v>
      </c>
      <c r="AK16" s="72">
        <f t="shared" si="24"/>
        <v>7264</v>
      </c>
      <c r="AL16" s="189">
        <f t="shared" si="2"/>
        <v>25.546431271870436</v>
      </c>
      <c r="AM16" s="192">
        <v>0.76060000000000005</v>
      </c>
      <c r="AN16" s="193">
        <v>234</v>
      </c>
    </row>
    <row r="17" spans="1:40" s="3" customFormat="1" ht="27.95" customHeight="1" x14ac:dyDescent="0.25">
      <c r="A17" s="110">
        <v>45760</v>
      </c>
      <c r="B17" s="83">
        <v>9958782</v>
      </c>
      <c r="C17" s="70">
        <f t="shared" si="10"/>
        <v>2350</v>
      </c>
      <c r="D17" s="70">
        <v>24239078</v>
      </c>
      <c r="E17" s="70">
        <f t="shared" si="3"/>
        <v>5693</v>
      </c>
      <c r="F17" s="71">
        <f t="shared" si="11"/>
        <v>5373.0533999999998</v>
      </c>
      <c r="G17" s="70">
        <v>15697655</v>
      </c>
      <c r="H17" s="70">
        <f t="shared" si="12"/>
        <v>3431</v>
      </c>
      <c r="I17" s="71">
        <f t="shared" si="13"/>
        <v>2242.5016000000001</v>
      </c>
      <c r="J17" s="70">
        <v>3800108</v>
      </c>
      <c r="K17" s="70">
        <f t="shared" si="14"/>
        <v>1110</v>
      </c>
      <c r="L17" s="70">
        <v>1706</v>
      </c>
      <c r="M17" s="70">
        <f t="shared" si="15"/>
        <v>0</v>
      </c>
      <c r="N17" s="70">
        <f t="shared" si="16"/>
        <v>0</v>
      </c>
      <c r="O17" s="70">
        <v>995</v>
      </c>
      <c r="P17" s="70">
        <f t="shared" si="17"/>
        <v>0</v>
      </c>
      <c r="Q17" s="70">
        <f t="shared" si="18"/>
        <v>0</v>
      </c>
      <c r="R17" s="73">
        <f t="shared" si="19"/>
        <v>11075.555</v>
      </c>
      <c r="S17" s="128">
        <f t="shared" si="0"/>
        <v>2215.1110000000003</v>
      </c>
      <c r="T17" s="83">
        <v>86165</v>
      </c>
      <c r="U17" s="70">
        <f t="shared" si="4"/>
        <v>101</v>
      </c>
      <c r="V17" s="70">
        <v>37596</v>
      </c>
      <c r="W17" s="70">
        <f t="shared" si="5"/>
        <v>19</v>
      </c>
      <c r="X17" s="74">
        <f t="shared" si="20"/>
        <v>82</v>
      </c>
      <c r="Y17" s="124">
        <f t="shared" si="21"/>
        <v>642.88</v>
      </c>
      <c r="Z17" s="83">
        <v>2</v>
      </c>
      <c r="AA17" s="75">
        <f t="shared" si="6"/>
        <v>88.904032000000001</v>
      </c>
      <c r="AB17" s="74">
        <f t="shared" si="7"/>
        <v>245.89966210879999</v>
      </c>
      <c r="AC17" s="344">
        <v>6</v>
      </c>
      <c r="AD17" s="83">
        <v>83046</v>
      </c>
      <c r="AE17" s="70">
        <f t="shared" si="8"/>
        <v>15</v>
      </c>
      <c r="AF17" s="75">
        <f t="shared" si="1"/>
        <v>4265.1750000000002</v>
      </c>
      <c r="AG17" s="113">
        <f t="shared" si="22"/>
        <v>1471.0588574999999</v>
      </c>
      <c r="AH17" s="113">
        <f t="shared" si="23"/>
        <v>5173.1394366666664</v>
      </c>
      <c r="AI17" s="76">
        <f t="shared" si="9"/>
        <v>6644.1982941666665</v>
      </c>
      <c r="AJ17" s="72">
        <v>2838396</v>
      </c>
      <c r="AK17" s="72">
        <f t="shared" si="24"/>
        <v>8154</v>
      </c>
      <c r="AL17" s="189">
        <f t="shared" si="2"/>
        <v>28.676431799398614</v>
      </c>
      <c r="AM17" s="192">
        <v>0.76060000000000005</v>
      </c>
      <c r="AN17" s="193">
        <v>234</v>
      </c>
    </row>
    <row r="18" spans="1:40" s="3" customFormat="1" ht="27.95" customHeight="1" x14ac:dyDescent="0.25">
      <c r="A18" s="110">
        <v>45761</v>
      </c>
      <c r="B18" s="83">
        <v>9961178</v>
      </c>
      <c r="C18" s="70">
        <f t="shared" si="10"/>
        <v>2396</v>
      </c>
      <c r="D18" s="70">
        <v>24244542</v>
      </c>
      <c r="E18" s="70">
        <f t="shared" si="3"/>
        <v>5464</v>
      </c>
      <c r="F18" s="71">
        <f t="shared" si="11"/>
        <v>5156.9232000000002</v>
      </c>
      <c r="G18" s="70">
        <v>15701274</v>
      </c>
      <c r="H18" s="70">
        <f t="shared" si="12"/>
        <v>3619</v>
      </c>
      <c r="I18" s="71">
        <f t="shared" si="13"/>
        <v>2365.3784000000001</v>
      </c>
      <c r="J18" s="70">
        <v>3801206</v>
      </c>
      <c r="K18" s="70">
        <f t="shared" si="14"/>
        <v>1098</v>
      </c>
      <c r="L18" s="70">
        <v>1706</v>
      </c>
      <c r="M18" s="70">
        <f t="shared" si="15"/>
        <v>0</v>
      </c>
      <c r="N18" s="70">
        <f t="shared" si="16"/>
        <v>0</v>
      </c>
      <c r="O18" s="70">
        <v>995</v>
      </c>
      <c r="P18" s="70">
        <f t="shared" si="17"/>
        <v>0</v>
      </c>
      <c r="Q18" s="70">
        <f t="shared" si="18"/>
        <v>0</v>
      </c>
      <c r="R18" s="73">
        <f t="shared" si="19"/>
        <v>11016.301600000001</v>
      </c>
      <c r="S18" s="128">
        <f t="shared" si="0"/>
        <v>2203.2603200000003</v>
      </c>
      <c r="T18" s="83">
        <v>86282</v>
      </c>
      <c r="U18" s="70">
        <f t="shared" si="4"/>
        <v>117</v>
      </c>
      <c r="V18" s="70">
        <v>37596</v>
      </c>
      <c r="W18" s="70">
        <f t="shared" si="5"/>
        <v>0</v>
      </c>
      <c r="X18" s="74">
        <f t="shared" si="20"/>
        <v>117</v>
      </c>
      <c r="Y18" s="124">
        <f t="shared" si="21"/>
        <v>917.28</v>
      </c>
      <c r="Z18" s="83">
        <v>2</v>
      </c>
      <c r="AA18" s="75">
        <f t="shared" si="6"/>
        <v>88.904032000000001</v>
      </c>
      <c r="AB18" s="74">
        <f t="shared" si="7"/>
        <v>245.89966210879999</v>
      </c>
      <c r="AC18" s="344">
        <v>4</v>
      </c>
      <c r="AD18" s="83">
        <v>83061</v>
      </c>
      <c r="AE18" s="70">
        <f t="shared" si="8"/>
        <v>15</v>
      </c>
      <c r="AF18" s="75">
        <f t="shared" si="1"/>
        <v>4265.1750000000002</v>
      </c>
      <c r="AG18" s="113">
        <f t="shared" si="22"/>
        <v>1471.0588574999999</v>
      </c>
      <c r="AH18" s="113">
        <f t="shared" si="23"/>
        <v>5173.1394366666664</v>
      </c>
      <c r="AI18" s="76">
        <f t="shared" si="9"/>
        <v>6644.1982941666665</v>
      </c>
      <c r="AJ18" s="72">
        <v>2847617</v>
      </c>
      <c r="AK18" s="72">
        <f t="shared" si="24"/>
        <v>9221</v>
      </c>
      <c r="AL18" s="189">
        <f t="shared" si="2"/>
        <v>32.428915577907119</v>
      </c>
      <c r="AM18" s="192">
        <v>0.91890000000000005</v>
      </c>
      <c r="AN18" s="195">
        <v>286</v>
      </c>
    </row>
    <row r="19" spans="1:40" s="3" customFormat="1" ht="27.95" customHeight="1" x14ac:dyDescent="0.25">
      <c r="A19" s="110">
        <v>45762</v>
      </c>
      <c r="B19" s="83">
        <v>9963629</v>
      </c>
      <c r="C19" s="70">
        <f t="shared" si="10"/>
        <v>2451</v>
      </c>
      <c r="D19" s="70">
        <v>24250802</v>
      </c>
      <c r="E19" s="70">
        <f t="shared" si="3"/>
        <v>6260</v>
      </c>
      <c r="F19" s="71">
        <f t="shared" si="11"/>
        <v>5908.1880000000001</v>
      </c>
      <c r="G19" s="70">
        <v>15704838</v>
      </c>
      <c r="H19" s="70">
        <f t="shared" si="12"/>
        <v>3564</v>
      </c>
      <c r="I19" s="71">
        <f t="shared" si="13"/>
        <v>2329.4303999999997</v>
      </c>
      <c r="J19" s="70">
        <v>3802326</v>
      </c>
      <c r="K19" s="70">
        <f t="shared" si="14"/>
        <v>1120</v>
      </c>
      <c r="L19" s="70">
        <v>1706</v>
      </c>
      <c r="M19" s="70">
        <f t="shared" si="15"/>
        <v>0</v>
      </c>
      <c r="N19" s="70">
        <f t="shared" si="16"/>
        <v>0</v>
      </c>
      <c r="O19" s="70">
        <v>995</v>
      </c>
      <c r="P19" s="70">
        <f t="shared" si="17"/>
        <v>0</v>
      </c>
      <c r="Q19" s="70">
        <f t="shared" si="18"/>
        <v>0</v>
      </c>
      <c r="R19" s="73">
        <f t="shared" si="19"/>
        <v>11808.618399999999</v>
      </c>
      <c r="S19" s="128">
        <f t="shared" si="0"/>
        <v>2361.7236800000001</v>
      </c>
      <c r="T19" s="83">
        <v>86391</v>
      </c>
      <c r="U19" s="70">
        <f t="shared" si="4"/>
        <v>109</v>
      </c>
      <c r="V19" s="70">
        <v>37610</v>
      </c>
      <c r="W19" s="70">
        <f t="shared" si="5"/>
        <v>14</v>
      </c>
      <c r="X19" s="74">
        <f t="shared" si="20"/>
        <v>95</v>
      </c>
      <c r="Y19" s="124">
        <f t="shared" si="21"/>
        <v>744.8</v>
      </c>
      <c r="Z19" s="83">
        <v>2</v>
      </c>
      <c r="AA19" s="75">
        <f t="shared" si="6"/>
        <v>88.904032000000001</v>
      </c>
      <c r="AB19" s="74">
        <f t="shared" si="7"/>
        <v>245.89966210879999</v>
      </c>
      <c r="AC19" s="344">
        <v>0</v>
      </c>
      <c r="AD19" s="83">
        <v>83076</v>
      </c>
      <c r="AE19" s="70">
        <f t="shared" si="8"/>
        <v>15</v>
      </c>
      <c r="AF19" s="75">
        <f t="shared" si="1"/>
        <v>4265.1750000000002</v>
      </c>
      <c r="AG19" s="113">
        <f t="shared" si="22"/>
        <v>1471.0588574999999</v>
      </c>
      <c r="AH19" s="113">
        <f t="shared" si="23"/>
        <v>5173.1394366666664</v>
      </c>
      <c r="AI19" s="76">
        <f t="shared" si="9"/>
        <v>6644.1982941666665</v>
      </c>
      <c r="AJ19" s="72">
        <v>2856813</v>
      </c>
      <c r="AK19" s="72">
        <f t="shared" si="24"/>
        <v>9196</v>
      </c>
      <c r="AL19" s="189">
        <f t="shared" si="2"/>
        <v>32.340994214774305</v>
      </c>
      <c r="AM19" s="192">
        <v>0.98839999999999995</v>
      </c>
      <c r="AN19" s="193">
        <v>306</v>
      </c>
    </row>
    <row r="20" spans="1:40" s="3" customFormat="1" ht="27.95" customHeight="1" x14ac:dyDescent="0.25">
      <c r="A20" s="110">
        <v>45763</v>
      </c>
      <c r="B20" s="83">
        <v>9966093</v>
      </c>
      <c r="C20" s="70">
        <f t="shared" si="10"/>
        <v>2464</v>
      </c>
      <c r="D20" s="70">
        <v>24257309</v>
      </c>
      <c r="E20" s="70">
        <f t="shared" si="3"/>
        <v>6507</v>
      </c>
      <c r="F20" s="71">
        <f t="shared" si="11"/>
        <v>6141.3065999999999</v>
      </c>
      <c r="G20" s="70">
        <v>15708391</v>
      </c>
      <c r="H20" s="70">
        <f t="shared" si="12"/>
        <v>3553</v>
      </c>
      <c r="I20" s="71">
        <f t="shared" si="13"/>
        <v>2322.2408</v>
      </c>
      <c r="J20" s="70">
        <v>3803495</v>
      </c>
      <c r="K20" s="70">
        <f t="shared" si="14"/>
        <v>1169</v>
      </c>
      <c r="L20" s="70">
        <v>1706</v>
      </c>
      <c r="M20" s="70">
        <f t="shared" si="15"/>
        <v>0</v>
      </c>
      <c r="N20" s="70">
        <f t="shared" si="16"/>
        <v>0</v>
      </c>
      <c r="O20" s="70">
        <v>995</v>
      </c>
      <c r="P20" s="70">
        <f t="shared" si="17"/>
        <v>0</v>
      </c>
      <c r="Q20" s="70">
        <f t="shared" si="18"/>
        <v>0</v>
      </c>
      <c r="R20" s="73">
        <f t="shared" si="19"/>
        <v>12096.547399999999</v>
      </c>
      <c r="S20" s="128">
        <f t="shared" si="0"/>
        <v>2419.3094799999999</v>
      </c>
      <c r="T20" s="83">
        <v>86463</v>
      </c>
      <c r="U20" s="70">
        <f t="shared" si="4"/>
        <v>72</v>
      </c>
      <c r="V20" s="70">
        <v>37627</v>
      </c>
      <c r="W20" s="70">
        <f t="shared" si="5"/>
        <v>17</v>
      </c>
      <c r="X20" s="74">
        <f t="shared" si="20"/>
        <v>55</v>
      </c>
      <c r="Y20" s="124">
        <f t="shared" si="21"/>
        <v>431.2</v>
      </c>
      <c r="Z20" s="83">
        <v>1</v>
      </c>
      <c r="AA20" s="75">
        <f t="shared" si="6"/>
        <v>44.452016</v>
      </c>
      <c r="AB20" s="74">
        <f t="shared" si="7"/>
        <v>122.94983105439999</v>
      </c>
      <c r="AC20" s="344">
        <v>0</v>
      </c>
      <c r="AD20" s="83">
        <v>83091</v>
      </c>
      <c r="AE20" s="70">
        <f t="shared" si="8"/>
        <v>15</v>
      </c>
      <c r="AF20" s="75">
        <f t="shared" si="1"/>
        <v>4265.1750000000002</v>
      </c>
      <c r="AG20" s="113">
        <f t="shared" si="22"/>
        <v>1471.0588574999999</v>
      </c>
      <c r="AH20" s="113">
        <f t="shared" si="23"/>
        <v>5173.1394366666664</v>
      </c>
      <c r="AI20" s="76">
        <f t="shared" si="9"/>
        <v>6644.1982941666665</v>
      </c>
      <c r="AJ20" s="72">
        <v>2865055</v>
      </c>
      <c r="AK20" s="72">
        <f t="shared" si="24"/>
        <v>8242</v>
      </c>
      <c r="AL20" s="189">
        <f t="shared" si="2"/>
        <v>28.985914997626121</v>
      </c>
      <c r="AM20" s="192">
        <v>0.99229999999999996</v>
      </c>
      <c r="AN20" s="193">
        <v>304</v>
      </c>
    </row>
    <row r="21" spans="1:40" s="3" customFormat="1" ht="27.95" customHeight="1" x14ac:dyDescent="0.25">
      <c r="A21" s="110">
        <v>45764</v>
      </c>
      <c r="B21" s="83">
        <v>9968542</v>
      </c>
      <c r="C21" s="70">
        <f>IF(ISBLANK(B21),"0",B21-B20)</f>
        <v>2449</v>
      </c>
      <c r="D21" s="70">
        <v>24263907</v>
      </c>
      <c r="E21" s="70">
        <f>IF(ISBLANK(D21),"0",D21-D20)</f>
        <v>6598</v>
      </c>
      <c r="F21" s="71">
        <f t="shared" si="11"/>
        <v>6227.1923999999999</v>
      </c>
      <c r="G21" s="70">
        <v>15712016</v>
      </c>
      <c r="H21" s="70">
        <f>IF(ISBLANK(G21),"0",G21-G20)</f>
        <v>3625</v>
      </c>
      <c r="I21" s="71">
        <f>H21*0.6536</f>
        <v>2369.2999999999997</v>
      </c>
      <c r="J21" s="70">
        <v>3804639</v>
      </c>
      <c r="K21" s="70">
        <f>IF(ISBLANK(J21),"0",J21-J20)</f>
        <v>1144</v>
      </c>
      <c r="L21" s="70">
        <v>1706</v>
      </c>
      <c r="M21" s="70">
        <f t="shared" si="15"/>
        <v>0</v>
      </c>
      <c r="N21" s="70">
        <f t="shared" si="16"/>
        <v>0</v>
      </c>
      <c r="O21" s="70">
        <v>995</v>
      </c>
      <c r="P21" s="70">
        <f t="shared" si="17"/>
        <v>0</v>
      </c>
      <c r="Q21" s="70">
        <f t="shared" si="18"/>
        <v>0</v>
      </c>
      <c r="R21" s="73">
        <f>C21+F21+I21+K21+N21+Q21</f>
        <v>12189.492399999999</v>
      </c>
      <c r="S21" s="128">
        <f>R21*0.2</f>
        <v>2437.8984799999998</v>
      </c>
      <c r="T21" s="83">
        <v>86531</v>
      </c>
      <c r="U21" s="70">
        <f t="shared" si="4"/>
        <v>68</v>
      </c>
      <c r="V21" s="70">
        <v>37640</v>
      </c>
      <c r="W21" s="70">
        <f>IF(ISBLANK(V21),"0",V21-V20)</f>
        <v>13</v>
      </c>
      <c r="X21" s="74">
        <f>U21-W21</f>
        <v>55</v>
      </c>
      <c r="Y21" s="124">
        <f>X21*7.84</f>
        <v>431.2</v>
      </c>
      <c r="Z21" s="83">
        <v>2</v>
      </c>
      <c r="AA21" s="75">
        <f t="shared" si="6"/>
        <v>88.904032000000001</v>
      </c>
      <c r="AB21" s="74">
        <f t="shared" si="7"/>
        <v>245.89966210879999</v>
      </c>
      <c r="AC21" s="344">
        <v>5</v>
      </c>
      <c r="AD21" s="83">
        <v>83106</v>
      </c>
      <c r="AE21" s="70">
        <f t="shared" si="8"/>
        <v>15</v>
      </c>
      <c r="AF21" s="75">
        <f t="shared" si="1"/>
        <v>4265.1750000000002</v>
      </c>
      <c r="AG21" s="113">
        <f t="shared" si="22"/>
        <v>1471.0588574999999</v>
      </c>
      <c r="AH21" s="113">
        <f t="shared" si="23"/>
        <v>5173.1394366666664</v>
      </c>
      <c r="AI21" s="76">
        <f>AG21+AH21</f>
        <v>6644.1982941666665</v>
      </c>
      <c r="AJ21" s="72">
        <v>2872833</v>
      </c>
      <c r="AK21" s="72">
        <f t="shared" si="24"/>
        <v>7778</v>
      </c>
      <c r="AL21" s="189">
        <f t="shared" si="2"/>
        <v>27.354094497881093</v>
      </c>
      <c r="AM21" s="192">
        <v>0.98070000000000002</v>
      </c>
      <c r="AN21" s="193">
        <v>327</v>
      </c>
    </row>
    <row r="22" spans="1:40" s="3" customFormat="1" ht="27.95" customHeight="1" x14ac:dyDescent="0.25">
      <c r="A22" s="110">
        <v>45765</v>
      </c>
      <c r="B22" s="83">
        <v>9971029</v>
      </c>
      <c r="C22" s="70">
        <f t="shared" ref="C22" si="25">IF(ISBLANK(B22),"0",B22-B21)</f>
        <v>2487</v>
      </c>
      <c r="D22" s="70">
        <v>24270078</v>
      </c>
      <c r="E22" s="70">
        <f t="shared" ref="E22" si="26">IF(ISBLANK(D22),"0",D22-D21)</f>
        <v>6171</v>
      </c>
      <c r="F22" s="71">
        <f t="shared" si="11"/>
        <v>5824.1898000000001</v>
      </c>
      <c r="G22" s="70">
        <v>15715541</v>
      </c>
      <c r="H22" s="70">
        <f t="shared" ref="H22" si="27">IF(ISBLANK(G22),"0",G22-G21)</f>
        <v>3525</v>
      </c>
      <c r="I22" s="71">
        <f t="shared" ref="I22" si="28">H22*0.6536</f>
        <v>2303.94</v>
      </c>
      <c r="J22" s="70">
        <v>3805780</v>
      </c>
      <c r="K22" s="70">
        <f t="shared" ref="K22" si="29">IF(ISBLANK(J22),"0",J22-J21)</f>
        <v>1141</v>
      </c>
      <c r="L22" s="70">
        <v>1706</v>
      </c>
      <c r="M22" s="70">
        <f t="shared" si="15"/>
        <v>0</v>
      </c>
      <c r="N22" s="70">
        <f t="shared" si="16"/>
        <v>0</v>
      </c>
      <c r="O22" s="70">
        <v>995</v>
      </c>
      <c r="P22" s="70">
        <f t="shared" si="17"/>
        <v>0</v>
      </c>
      <c r="Q22" s="70">
        <f t="shared" si="18"/>
        <v>0</v>
      </c>
      <c r="R22" s="73">
        <f t="shared" ref="R22" si="30">C22+F22+I22+K22+N22+Q22</f>
        <v>11756.129800000001</v>
      </c>
      <c r="S22" s="128">
        <f t="shared" ref="S22" si="31">R22*0.2</f>
        <v>2351.2259600000002</v>
      </c>
      <c r="T22" s="83">
        <v>86623</v>
      </c>
      <c r="U22" s="70">
        <f t="shared" si="4"/>
        <v>92</v>
      </c>
      <c r="V22" s="70">
        <v>37658</v>
      </c>
      <c r="W22" s="70">
        <f t="shared" ref="W22" si="32">IF(ISBLANK(V22),"0",V22-V21)</f>
        <v>18</v>
      </c>
      <c r="X22" s="74">
        <f t="shared" ref="X22" si="33">U22-W22</f>
        <v>74</v>
      </c>
      <c r="Y22" s="124">
        <f t="shared" ref="Y22" si="34">X22*7.84</f>
        <v>580.16</v>
      </c>
      <c r="Z22" s="83">
        <v>2</v>
      </c>
      <c r="AA22" s="75">
        <f t="shared" si="6"/>
        <v>88.904032000000001</v>
      </c>
      <c r="AB22" s="74">
        <f t="shared" si="7"/>
        <v>245.89966210879999</v>
      </c>
      <c r="AC22" s="344">
        <v>0</v>
      </c>
      <c r="AD22" s="83">
        <v>83121</v>
      </c>
      <c r="AE22" s="70">
        <f t="shared" si="8"/>
        <v>15</v>
      </c>
      <c r="AF22" s="75">
        <f t="shared" si="1"/>
        <v>4265.1750000000002</v>
      </c>
      <c r="AG22" s="113">
        <f t="shared" si="22"/>
        <v>1471.0588574999999</v>
      </c>
      <c r="AH22" s="113">
        <f t="shared" si="23"/>
        <v>5173.1394366666664</v>
      </c>
      <c r="AI22" s="76">
        <f t="shared" ref="AI22" si="35">AG22+AH22</f>
        <v>6644.1982941666665</v>
      </c>
      <c r="AJ22" s="72">
        <v>2880077</v>
      </c>
      <c r="AK22" s="72">
        <f t="shared" si="24"/>
        <v>7244</v>
      </c>
      <c r="AL22" s="189">
        <f t="shared" si="2"/>
        <v>25.476094181364186</v>
      </c>
      <c r="AM22" s="192">
        <v>1</v>
      </c>
      <c r="AN22" s="193">
        <v>351</v>
      </c>
    </row>
    <row r="23" spans="1:40" s="3" customFormat="1" ht="27.95" customHeight="1" x14ac:dyDescent="0.25">
      <c r="A23" s="110">
        <v>45766</v>
      </c>
      <c r="B23" s="83">
        <v>9973542</v>
      </c>
      <c r="C23" s="70">
        <f>IF(ISBLANK(B23),"0",B23-B22)</f>
        <v>2513</v>
      </c>
      <c r="D23" s="70">
        <v>24275703</v>
      </c>
      <c r="E23" s="70">
        <f>IF(ISBLANK(D23),"0",D23-D22)</f>
        <v>5625</v>
      </c>
      <c r="F23" s="71">
        <f t="shared" si="11"/>
        <v>5308.875</v>
      </c>
      <c r="G23" s="70">
        <v>15718992</v>
      </c>
      <c r="H23" s="70">
        <f>IF(ISBLANK(G23),"0",G23-G22)</f>
        <v>3451</v>
      </c>
      <c r="I23" s="71">
        <f t="shared" si="13"/>
        <v>2255.5735999999997</v>
      </c>
      <c r="J23" s="70">
        <v>3806973</v>
      </c>
      <c r="K23" s="70">
        <f t="shared" si="14"/>
        <v>1193</v>
      </c>
      <c r="L23" s="70">
        <v>1719</v>
      </c>
      <c r="M23" s="70">
        <f t="shared" si="15"/>
        <v>13</v>
      </c>
      <c r="N23" s="70">
        <f t="shared" si="16"/>
        <v>6.5</v>
      </c>
      <c r="O23" s="70">
        <v>1003</v>
      </c>
      <c r="P23" s="70">
        <f t="shared" si="17"/>
        <v>8</v>
      </c>
      <c r="Q23" s="70">
        <f t="shared" si="18"/>
        <v>4</v>
      </c>
      <c r="R23" s="73">
        <f>C23+F23+I23+K23+N23+Q23</f>
        <v>11280.9486</v>
      </c>
      <c r="S23" s="128">
        <f t="shared" si="0"/>
        <v>2256.1897199999999</v>
      </c>
      <c r="T23" s="83">
        <v>86703</v>
      </c>
      <c r="U23" s="70">
        <f t="shared" si="4"/>
        <v>80</v>
      </c>
      <c r="V23" s="70">
        <v>37672</v>
      </c>
      <c r="W23" s="70">
        <f t="shared" si="5"/>
        <v>14</v>
      </c>
      <c r="X23" s="74">
        <f>U23-W23</f>
        <v>66</v>
      </c>
      <c r="Y23" s="124">
        <f t="shared" si="21"/>
        <v>517.43999999999994</v>
      </c>
      <c r="Z23" s="83">
        <v>2</v>
      </c>
      <c r="AA23" s="75">
        <f t="shared" si="6"/>
        <v>88.904032000000001</v>
      </c>
      <c r="AB23" s="74">
        <f t="shared" si="7"/>
        <v>245.89966210879999</v>
      </c>
      <c r="AC23" s="344">
        <v>0</v>
      </c>
      <c r="AD23" s="83">
        <v>83136</v>
      </c>
      <c r="AE23" s="70">
        <f t="shared" si="8"/>
        <v>15</v>
      </c>
      <c r="AF23" s="75">
        <f t="shared" si="1"/>
        <v>4265.1750000000002</v>
      </c>
      <c r="AG23" s="113">
        <f t="shared" si="22"/>
        <v>1471.0588574999999</v>
      </c>
      <c r="AH23" s="113">
        <f t="shared" si="23"/>
        <v>5173.1394366666664</v>
      </c>
      <c r="AI23" s="76">
        <f t="shared" si="9"/>
        <v>6644.1982941666665</v>
      </c>
      <c r="AJ23" s="72">
        <v>2886944</v>
      </c>
      <c r="AK23" s="72">
        <f t="shared" si="24"/>
        <v>6867</v>
      </c>
      <c r="AL23" s="189">
        <f t="shared" si="2"/>
        <v>24.150240025321349</v>
      </c>
      <c r="AM23" s="192">
        <v>0.92279999999999995</v>
      </c>
      <c r="AN23" s="193">
        <v>324</v>
      </c>
    </row>
    <row r="24" spans="1:40" s="3" customFormat="1" ht="27.95" customHeight="1" x14ac:dyDescent="0.25">
      <c r="A24" s="110">
        <v>45767</v>
      </c>
      <c r="B24" s="83">
        <v>9975945</v>
      </c>
      <c r="C24" s="70">
        <f t="shared" si="10"/>
        <v>2403</v>
      </c>
      <c r="D24" s="70">
        <v>24281498</v>
      </c>
      <c r="E24" s="70">
        <f t="shared" si="3"/>
        <v>5795</v>
      </c>
      <c r="F24" s="71">
        <f t="shared" si="11"/>
        <v>5469.3209999999999</v>
      </c>
      <c r="G24" s="70">
        <v>15722419</v>
      </c>
      <c r="H24" s="70">
        <f t="shared" si="12"/>
        <v>3427</v>
      </c>
      <c r="I24" s="71">
        <f t="shared" si="13"/>
        <v>2239.8871999999997</v>
      </c>
      <c r="J24" s="70">
        <v>3808105</v>
      </c>
      <c r="K24" s="70">
        <f t="shared" si="14"/>
        <v>1132</v>
      </c>
      <c r="L24" s="70">
        <v>1719</v>
      </c>
      <c r="M24" s="70">
        <f t="shared" si="15"/>
        <v>0</v>
      </c>
      <c r="N24" s="70">
        <f t="shared" si="16"/>
        <v>0</v>
      </c>
      <c r="O24" s="70">
        <v>1003</v>
      </c>
      <c r="P24" s="70">
        <f t="shared" si="17"/>
        <v>0</v>
      </c>
      <c r="Q24" s="70">
        <f t="shared" si="18"/>
        <v>0</v>
      </c>
      <c r="R24" s="73">
        <f t="shared" si="19"/>
        <v>11244.208199999999</v>
      </c>
      <c r="S24" s="128">
        <f t="shared" si="0"/>
        <v>2248.8416400000001</v>
      </c>
      <c r="T24" s="83">
        <v>86753</v>
      </c>
      <c r="U24" s="70">
        <f t="shared" si="4"/>
        <v>50</v>
      </c>
      <c r="V24" s="70">
        <v>37686</v>
      </c>
      <c r="W24" s="70">
        <f t="shared" si="5"/>
        <v>14</v>
      </c>
      <c r="X24" s="74">
        <f t="shared" si="20"/>
        <v>36</v>
      </c>
      <c r="Y24" s="124">
        <f t="shared" si="21"/>
        <v>282.24</v>
      </c>
      <c r="Z24" s="83">
        <v>2</v>
      </c>
      <c r="AA24" s="75">
        <f t="shared" si="6"/>
        <v>88.904032000000001</v>
      </c>
      <c r="AB24" s="74">
        <f t="shared" si="7"/>
        <v>245.89966210879999</v>
      </c>
      <c r="AC24" s="344">
        <v>5</v>
      </c>
      <c r="AD24" s="83">
        <v>83151</v>
      </c>
      <c r="AE24" s="70">
        <f t="shared" si="8"/>
        <v>15</v>
      </c>
      <c r="AF24" s="75">
        <f t="shared" si="1"/>
        <v>4265.1750000000002</v>
      </c>
      <c r="AG24" s="113">
        <f t="shared" si="22"/>
        <v>1471.0588574999999</v>
      </c>
      <c r="AH24" s="113">
        <f t="shared" si="23"/>
        <v>5173.1394366666664</v>
      </c>
      <c r="AI24" s="76">
        <f t="shared" si="9"/>
        <v>6644.1982941666665</v>
      </c>
      <c r="AJ24" s="72">
        <v>2893603</v>
      </c>
      <c r="AK24" s="72">
        <f t="shared" si="24"/>
        <v>6659</v>
      </c>
      <c r="AL24" s="189">
        <f t="shared" si="2"/>
        <v>23.418734284056338</v>
      </c>
      <c r="AM24" s="192">
        <v>0.88800000000000001</v>
      </c>
      <c r="AN24" s="193">
        <v>287</v>
      </c>
    </row>
    <row r="25" spans="1:40" s="16" customFormat="1" ht="27.95" customHeight="1" x14ac:dyDescent="0.25">
      <c r="A25" s="110">
        <v>45768</v>
      </c>
      <c r="B25" s="84">
        <v>9978274</v>
      </c>
      <c r="C25" s="70">
        <f t="shared" si="10"/>
        <v>2329</v>
      </c>
      <c r="D25" s="77">
        <v>24287492</v>
      </c>
      <c r="E25" s="70">
        <f t="shared" si="3"/>
        <v>5994</v>
      </c>
      <c r="F25" s="71">
        <f t="shared" si="11"/>
        <v>5657.1372000000001</v>
      </c>
      <c r="G25" s="77">
        <v>15725891</v>
      </c>
      <c r="H25" s="70">
        <f t="shared" si="12"/>
        <v>3472</v>
      </c>
      <c r="I25" s="71">
        <f t="shared" si="13"/>
        <v>2269.2991999999999</v>
      </c>
      <c r="J25" s="77">
        <v>3809236</v>
      </c>
      <c r="K25" s="70">
        <f t="shared" si="14"/>
        <v>1131</v>
      </c>
      <c r="L25" s="77">
        <v>1719</v>
      </c>
      <c r="M25" s="70">
        <f t="shared" si="15"/>
        <v>0</v>
      </c>
      <c r="N25" s="70">
        <f t="shared" si="16"/>
        <v>0</v>
      </c>
      <c r="O25" s="77">
        <v>1003</v>
      </c>
      <c r="P25" s="70">
        <f t="shared" si="17"/>
        <v>0</v>
      </c>
      <c r="Q25" s="70">
        <f t="shared" si="18"/>
        <v>0</v>
      </c>
      <c r="R25" s="78">
        <f t="shared" si="19"/>
        <v>11386.436400000001</v>
      </c>
      <c r="S25" s="128">
        <f t="shared" si="0"/>
        <v>2277.28728</v>
      </c>
      <c r="T25" s="84">
        <v>86827</v>
      </c>
      <c r="U25" s="70">
        <f t="shared" si="4"/>
        <v>74</v>
      </c>
      <c r="V25" s="77">
        <v>37699</v>
      </c>
      <c r="W25" s="70">
        <f t="shared" si="5"/>
        <v>13</v>
      </c>
      <c r="X25" s="79">
        <f t="shared" si="20"/>
        <v>61</v>
      </c>
      <c r="Y25" s="125">
        <f t="shared" si="21"/>
        <v>478.24</v>
      </c>
      <c r="Z25" s="84">
        <v>1</v>
      </c>
      <c r="AA25" s="75">
        <f t="shared" si="6"/>
        <v>44.452016</v>
      </c>
      <c r="AB25" s="74">
        <f t="shared" si="7"/>
        <v>122.94983105439999</v>
      </c>
      <c r="AC25" s="344">
        <v>0</v>
      </c>
      <c r="AD25" s="83">
        <v>83166</v>
      </c>
      <c r="AE25" s="70">
        <f t="shared" si="8"/>
        <v>15</v>
      </c>
      <c r="AF25" s="75">
        <f t="shared" si="1"/>
        <v>4265.1750000000002</v>
      </c>
      <c r="AG25" s="113">
        <f t="shared" si="22"/>
        <v>1471.0588574999999</v>
      </c>
      <c r="AH25" s="113">
        <f t="shared" si="23"/>
        <v>5173.1394366666664</v>
      </c>
      <c r="AI25" s="80">
        <f t="shared" si="9"/>
        <v>6644.1982941666665</v>
      </c>
      <c r="AJ25" s="166">
        <v>2900936</v>
      </c>
      <c r="AK25" s="72">
        <f t="shared" si="24"/>
        <v>7333</v>
      </c>
      <c r="AL25" s="189">
        <f t="shared" si="2"/>
        <v>25.789094234117002</v>
      </c>
      <c r="AM25" s="192">
        <v>0.81469999999999998</v>
      </c>
      <c r="AN25" s="193">
        <v>242</v>
      </c>
    </row>
    <row r="26" spans="1:40" s="3" customFormat="1" ht="27.95" customHeight="1" x14ac:dyDescent="0.25">
      <c r="A26" s="110">
        <v>45769</v>
      </c>
      <c r="B26" s="83">
        <v>9980596</v>
      </c>
      <c r="C26" s="70">
        <f t="shared" si="10"/>
        <v>2322</v>
      </c>
      <c r="D26" s="70">
        <v>24293154</v>
      </c>
      <c r="E26" s="70">
        <f t="shared" si="3"/>
        <v>5662</v>
      </c>
      <c r="F26" s="71">
        <f t="shared" si="11"/>
        <v>5343.7955999999995</v>
      </c>
      <c r="G26" s="70">
        <v>15729383</v>
      </c>
      <c r="H26" s="70">
        <f t="shared" si="12"/>
        <v>3492</v>
      </c>
      <c r="I26" s="71">
        <f t="shared" si="13"/>
        <v>2282.3712</v>
      </c>
      <c r="J26" s="70">
        <v>3810329</v>
      </c>
      <c r="K26" s="70">
        <f t="shared" si="14"/>
        <v>1093</v>
      </c>
      <c r="L26" s="70">
        <v>1719</v>
      </c>
      <c r="M26" s="70">
        <f t="shared" si="15"/>
        <v>0</v>
      </c>
      <c r="N26" s="70">
        <f t="shared" si="16"/>
        <v>0</v>
      </c>
      <c r="O26" s="70">
        <v>1003</v>
      </c>
      <c r="P26" s="70">
        <f t="shared" si="17"/>
        <v>0</v>
      </c>
      <c r="Q26" s="70">
        <f t="shared" si="18"/>
        <v>0</v>
      </c>
      <c r="R26" s="73">
        <f t="shared" si="19"/>
        <v>11041.166799999999</v>
      </c>
      <c r="S26" s="128">
        <f t="shared" si="0"/>
        <v>2208.2333599999997</v>
      </c>
      <c r="T26" s="83">
        <v>86898</v>
      </c>
      <c r="U26" s="70">
        <f t="shared" si="4"/>
        <v>71</v>
      </c>
      <c r="V26" s="70">
        <v>37706</v>
      </c>
      <c r="W26" s="70">
        <f t="shared" si="5"/>
        <v>7</v>
      </c>
      <c r="X26" s="74">
        <f t="shared" si="20"/>
        <v>64</v>
      </c>
      <c r="Y26" s="124">
        <f t="shared" si="21"/>
        <v>501.76</v>
      </c>
      <c r="Z26" s="83">
        <v>1</v>
      </c>
      <c r="AA26" s="75">
        <f t="shared" si="6"/>
        <v>44.452016</v>
      </c>
      <c r="AB26" s="74">
        <f t="shared" si="7"/>
        <v>122.94983105439999</v>
      </c>
      <c r="AC26" s="344">
        <v>0</v>
      </c>
      <c r="AD26" s="83">
        <v>83176</v>
      </c>
      <c r="AE26" s="70">
        <f t="shared" si="8"/>
        <v>10</v>
      </c>
      <c r="AF26" s="75">
        <f t="shared" si="1"/>
        <v>2843.4500000000003</v>
      </c>
      <c r="AG26" s="113">
        <f t="shared" si="22"/>
        <v>980.70590500000003</v>
      </c>
      <c r="AH26" s="113">
        <f t="shared" si="23"/>
        <v>5173.1394366666664</v>
      </c>
      <c r="AI26" s="76">
        <f t="shared" si="9"/>
        <v>6153.8453416666662</v>
      </c>
      <c r="AJ26" s="72">
        <v>2908856</v>
      </c>
      <c r="AK26" s="72">
        <f t="shared" si="24"/>
        <v>7920</v>
      </c>
      <c r="AL26" s="189">
        <f t="shared" si="2"/>
        <v>27.853487840475477</v>
      </c>
      <c r="AM26" s="192">
        <v>0.9073</v>
      </c>
      <c r="AN26" s="193">
        <v>272</v>
      </c>
    </row>
    <row r="27" spans="1:40" s="3" customFormat="1" ht="27.95" customHeight="1" x14ac:dyDescent="0.25">
      <c r="A27" s="110">
        <v>45770</v>
      </c>
      <c r="B27" s="83">
        <v>9982952</v>
      </c>
      <c r="C27" s="70">
        <f t="shared" si="10"/>
        <v>2356</v>
      </c>
      <c r="D27" s="70">
        <v>24298878</v>
      </c>
      <c r="E27" s="70">
        <f t="shared" si="3"/>
        <v>5724</v>
      </c>
      <c r="F27" s="71">
        <f t="shared" si="11"/>
        <v>5402.3112000000001</v>
      </c>
      <c r="G27" s="70">
        <v>15732987</v>
      </c>
      <c r="H27" s="70">
        <f t="shared" si="12"/>
        <v>3604</v>
      </c>
      <c r="I27" s="71">
        <f t="shared" si="13"/>
        <v>2355.5744</v>
      </c>
      <c r="J27" s="70">
        <v>3811465</v>
      </c>
      <c r="K27" s="70">
        <f t="shared" si="14"/>
        <v>1136</v>
      </c>
      <c r="L27" s="70">
        <v>1719</v>
      </c>
      <c r="M27" s="70">
        <f t="shared" si="15"/>
        <v>0</v>
      </c>
      <c r="N27" s="70">
        <f t="shared" si="16"/>
        <v>0</v>
      </c>
      <c r="O27" s="70">
        <v>1003</v>
      </c>
      <c r="P27" s="70">
        <f t="shared" si="17"/>
        <v>0</v>
      </c>
      <c r="Q27" s="70">
        <f t="shared" si="18"/>
        <v>0</v>
      </c>
      <c r="R27" s="78">
        <f t="shared" si="19"/>
        <v>11249.8856</v>
      </c>
      <c r="S27" s="128">
        <f t="shared" si="0"/>
        <v>2249.97712</v>
      </c>
      <c r="T27" s="83">
        <v>86946</v>
      </c>
      <c r="U27" s="70">
        <f t="shared" si="4"/>
        <v>48</v>
      </c>
      <c r="V27" s="70">
        <v>37719</v>
      </c>
      <c r="W27" s="70">
        <f t="shared" si="5"/>
        <v>13</v>
      </c>
      <c r="X27" s="79">
        <f t="shared" si="20"/>
        <v>35</v>
      </c>
      <c r="Y27" s="125">
        <f t="shared" si="21"/>
        <v>274.39999999999998</v>
      </c>
      <c r="Z27" s="83">
        <v>2</v>
      </c>
      <c r="AA27" s="75">
        <f t="shared" si="6"/>
        <v>88.904032000000001</v>
      </c>
      <c r="AB27" s="74">
        <f t="shared" si="7"/>
        <v>245.89966210879999</v>
      </c>
      <c r="AC27" s="344">
        <v>0</v>
      </c>
      <c r="AD27" s="83">
        <v>83191</v>
      </c>
      <c r="AE27" s="70">
        <f t="shared" si="8"/>
        <v>15</v>
      </c>
      <c r="AF27" s="75">
        <f t="shared" si="1"/>
        <v>4265.1750000000002</v>
      </c>
      <c r="AG27" s="113">
        <f t="shared" si="22"/>
        <v>1471.0588574999999</v>
      </c>
      <c r="AH27" s="113">
        <f t="shared" si="23"/>
        <v>5173.1394366666664</v>
      </c>
      <c r="AI27" s="80">
        <f t="shared" si="9"/>
        <v>6644.1982941666665</v>
      </c>
      <c r="AJ27" s="72">
        <v>2917494</v>
      </c>
      <c r="AK27" s="72">
        <f t="shared" si="24"/>
        <v>8638</v>
      </c>
      <c r="AL27" s="189">
        <f t="shared" si="2"/>
        <v>30.378589389649893</v>
      </c>
      <c r="AM27" s="192">
        <v>0.94979999999999998</v>
      </c>
      <c r="AN27" s="193">
        <v>246</v>
      </c>
    </row>
    <row r="28" spans="1:40" s="3" customFormat="1" ht="27.95" customHeight="1" x14ac:dyDescent="0.25">
      <c r="A28" s="110">
        <v>45771</v>
      </c>
      <c r="B28" s="83">
        <v>9985304</v>
      </c>
      <c r="C28" s="70">
        <f t="shared" si="10"/>
        <v>2352</v>
      </c>
      <c r="D28" s="70">
        <v>24304301</v>
      </c>
      <c r="E28" s="70">
        <f t="shared" si="3"/>
        <v>5423</v>
      </c>
      <c r="F28" s="71">
        <f t="shared" si="11"/>
        <v>5118.2273999999998</v>
      </c>
      <c r="G28" s="70">
        <v>15736594</v>
      </c>
      <c r="H28" s="70">
        <f t="shared" si="12"/>
        <v>3607</v>
      </c>
      <c r="I28" s="71">
        <f t="shared" si="13"/>
        <v>2357.5351999999998</v>
      </c>
      <c r="J28" s="70">
        <v>3812574</v>
      </c>
      <c r="K28" s="70">
        <f t="shared" si="14"/>
        <v>1109</v>
      </c>
      <c r="L28" s="70">
        <v>1719</v>
      </c>
      <c r="M28" s="70">
        <v>0</v>
      </c>
      <c r="N28" s="70">
        <f t="shared" si="16"/>
        <v>0</v>
      </c>
      <c r="O28" s="70">
        <v>1003</v>
      </c>
      <c r="P28" s="70">
        <f t="shared" si="17"/>
        <v>0</v>
      </c>
      <c r="Q28" s="70">
        <f t="shared" si="18"/>
        <v>0</v>
      </c>
      <c r="R28" s="73">
        <f t="shared" si="19"/>
        <v>10936.7626</v>
      </c>
      <c r="S28" s="128">
        <f t="shared" si="0"/>
        <v>2187.3525199999999</v>
      </c>
      <c r="T28" s="83">
        <v>87045</v>
      </c>
      <c r="U28" s="70">
        <f t="shared" si="4"/>
        <v>99</v>
      </c>
      <c r="V28" s="70">
        <v>37738</v>
      </c>
      <c r="W28" s="70">
        <f t="shared" si="5"/>
        <v>19</v>
      </c>
      <c r="X28" s="74">
        <f t="shared" si="20"/>
        <v>80</v>
      </c>
      <c r="Y28" s="124">
        <f t="shared" si="21"/>
        <v>627.20000000000005</v>
      </c>
      <c r="Z28" s="83">
        <v>1</v>
      </c>
      <c r="AA28" s="75">
        <f t="shared" si="6"/>
        <v>44.452016</v>
      </c>
      <c r="AB28" s="74">
        <f t="shared" si="7"/>
        <v>122.94983105439999</v>
      </c>
      <c r="AC28" s="344">
        <v>5</v>
      </c>
      <c r="AD28" s="83">
        <v>83206</v>
      </c>
      <c r="AE28" s="70">
        <f t="shared" si="8"/>
        <v>15</v>
      </c>
      <c r="AF28" s="75">
        <f t="shared" si="1"/>
        <v>4265.1750000000002</v>
      </c>
      <c r="AG28" s="113">
        <f t="shared" si="22"/>
        <v>1471.0588574999999</v>
      </c>
      <c r="AH28" s="113">
        <f t="shared" si="23"/>
        <v>5173.1394366666664</v>
      </c>
      <c r="AI28" s="76">
        <f t="shared" si="9"/>
        <v>6644.1982941666665</v>
      </c>
      <c r="AJ28" s="72">
        <v>2925873</v>
      </c>
      <c r="AK28" s="72">
        <f t="shared" si="24"/>
        <v>8379</v>
      </c>
      <c r="AL28" s="189">
        <f t="shared" si="2"/>
        <v>29.467724067593942</v>
      </c>
      <c r="AM28" s="192">
        <v>0.96530000000000005</v>
      </c>
      <c r="AN28" s="193">
        <v>250</v>
      </c>
    </row>
    <row r="29" spans="1:40" s="3" customFormat="1" ht="27.95" customHeight="1" x14ac:dyDescent="0.25">
      <c r="A29" s="110">
        <v>45772</v>
      </c>
      <c r="B29" s="83">
        <v>9987790</v>
      </c>
      <c r="C29" s="70">
        <f t="shared" si="10"/>
        <v>2486</v>
      </c>
      <c r="D29" s="70">
        <v>24309860</v>
      </c>
      <c r="E29" s="70">
        <f t="shared" si="3"/>
        <v>5559</v>
      </c>
      <c r="F29" s="71">
        <f t="shared" si="11"/>
        <v>5246.5842000000002</v>
      </c>
      <c r="G29" s="70">
        <v>15740195</v>
      </c>
      <c r="H29" s="70">
        <f t="shared" si="12"/>
        <v>3601</v>
      </c>
      <c r="I29" s="71">
        <f t="shared" si="13"/>
        <v>2353.6135999999997</v>
      </c>
      <c r="J29" s="70">
        <v>3813703</v>
      </c>
      <c r="K29" s="70">
        <f t="shared" si="14"/>
        <v>1129</v>
      </c>
      <c r="L29" s="70">
        <v>1719</v>
      </c>
      <c r="M29" s="70">
        <f t="shared" si="15"/>
        <v>0</v>
      </c>
      <c r="N29" s="70">
        <f t="shared" si="16"/>
        <v>0</v>
      </c>
      <c r="O29" s="70">
        <v>1003</v>
      </c>
      <c r="P29" s="70">
        <f t="shared" si="17"/>
        <v>0</v>
      </c>
      <c r="Q29" s="70">
        <f t="shared" si="18"/>
        <v>0</v>
      </c>
      <c r="R29" s="78">
        <f t="shared" si="19"/>
        <v>11215.1978</v>
      </c>
      <c r="S29" s="128">
        <f t="shared" si="0"/>
        <v>2243.0395600000002</v>
      </c>
      <c r="T29" s="83">
        <v>87112</v>
      </c>
      <c r="U29" s="70">
        <f t="shared" si="4"/>
        <v>67</v>
      </c>
      <c r="V29" s="70">
        <v>37741</v>
      </c>
      <c r="W29" s="70">
        <f t="shared" si="5"/>
        <v>3</v>
      </c>
      <c r="X29" s="79">
        <f t="shared" si="20"/>
        <v>64</v>
      </c>
      <c r="Y29" s="125">
        <f t="shared" si="21"/>
        <v>501.76</v>
      </c>
      <c r="Z29" s="83">
        <v>2</v>
      </c>
      <c r="AA29" s="75">
        <f t="shared" si="6"/>
        <v>88.904032000000001</v>
      </c>
      <c r="AB29" s="74">
        <f t="shared" si="7"/>
        <v>245.89966210879999</v>
      </c>
      <c r="AC29" s="344">
        <v>0</v>
      </c>
      <c r="AD29" s="83">
        <v>83221</v>
      </c>
      <c r="AE29" s="70">
        <f t="shared" si="8"/>
        <v>15</v>
      </c>
      <c r="AF29" s="75">
        <f t="shared" si="1"/>
        <v>4265.1750000000002</v>
      </c>
      <c r="AG29" s="113">
        <f t="shared" si="22"/>
        <v>1471.0588574999999</v>
      </c>
      <c r="AH29" s="113">
        <f t="shared" si="23"/>
        <v>5173.1394366666664</v>
      </c>
      <c r="AI29" s="80">
        <f t="shared" si="9"/>
        <v>6644.1982941666665</v>
      </c>
      <c r="AJ29" s="72">
        <v>2934581</v>
      </c>
      <c r="AK29" s="72">
        <f t="shared" si="24"/>
        <v>8708</v>
      </c>
      <c r="AL29" s="189">
        <f t="shared" si="2"/>
        <v>30.624769206421774</v>
      </c>
      <c r="AM29" s="192">
        <v>0.98070000000000002</v>
      </c>
      <c r="AN29" s="193">
        <v>319</v>
      </c>
    </row>
    <row r="30" spans="1:40" s="3" customFormat="1" ht="27.95" customHeight="1" x14ac:dyDescent="0.25">
      <c r="A30" s="110">
        <v>45773</v>
      </c>
      <c r="B30" s="83">
        <v>9990350</v>
      </c>
      <c r="C30" s="70">
        <f t="shared" si="10"/>
        <v>2560</v>
      </c>
      <c r="D30" s="70">
        <v>24315481</v>
      </c>
      <c r="E30" s="70">
        <f t="shared" si="3"/>
        <v>5621</v>
      </c>
      <c r="F30" s="71">
        <f t="shared" si="11"/>
        <v>5305.0998</v>
      </c>
      <c r="G30" s="70">
        <v>15743772</v>
      </c>
      <c r="H30" s="70">
        <f t="shared" si="12"/>
        <v>3577</v>
      </c>
      <c r="I30" s="71">
        <f t="shared" si="13"/>
        <v>2337.9271999999996</v>
      </c>
      <c r="J30" s="70">
        <v>3814876</v>
      </c>
      <c r="K30" s="70">
        <f t="shared" si="14"/>
        <v>1173</v>
      </c>
      <c r="L30" s="70">
        <v>1734</v>
      </c>
      <c r="M30" s="70">
        <f t="shared" si="15"/>
        <v>15</v>
      </c>
      <c r="N30" s="70">
        <f t="shared" si="16"/>
        <v>7.5</v>
      </c>
      <c r="O30" s="70">
        <v>1010</v>
      </c>
      <c r="P30" s="70">
        <f t="shared" si="17"/>
        <v>7</v>
      </c>
      <c r="Q30" s="70">
        <f t="shared" si="18"/>
        <v>3.5</v>
      </c>
      <c r="R30" s="78">
        <f t="shared" si="19"/>
        <v>11387.027</v>
      </c>
      <c r="S30" s="128">
        <f t="shared" si="0"/>
        <v>2277.4054000000001</v>
      </c>
      <c r="T30" s="83">
        <v>87199</v>
      </c>
      <c r="U30" s="70">
        <f t="shared" si="4"/>
        <v>87</v>
      </c>
      <c r="V30" s="70">
        <v>37764</v>
      </c>
      <c r="W30" s="70">
        <f t="shared" si="5"/>
        <v>23</v>
      </c>
      <c r="X30" s="79">
        <f t="shared" si="20"/>
        <v>64</v>
      </c>
      <c r="Y30" s="125">
        <f t="shared" si="21"/>
        <v>501.76</v>
      </c>
      <c r="Z30" s="83">
        <v>2</v>
      </c>
      <c r="AA30" s="75">
        <f t="shared" si="6"/>
        <v>88.904032000000001</v>
      </c>
      <c r="AB30" s="74">
        <f t="shared" si="7"/>
        <v>245.89966210879999</v>
      </c>
      <c r="AC30" s="344">
        <v>0</v>
      </c>
      <c r="AD30" s="83">
        <v>83236</v>
      </c>
      <c r="AE30" s="70">
        <f t="shared" si="8"/>
        <v>15</v>
      </c>
      <c r="AF30" s="75">
        <f t="shared" si="1"/>
        <v>4265.1750000000002</v>
      </c>
      <c r="AG30" s="113">
        <f t="shared" si="22"/>
        <v>1471.0588574999999</v>
      </c>
      <c r="AH30" s="113">
        <f t="shared" si="23"/>
        <v>5173.1394366666664</v>
      </c>
      <c r="AI30" s="80">
        <f t="shared" si="9"/>
        <v>6644.1982941666665</v>
      </c>
      <c r="AJ30" s="72">
        <v>2943167</v>
      </c>
      <c r="AK30" s="72">
        <f t="shared" si="24"/>
        <v>8586</v>
      </c>
      <c r="AL30" s="189">
        <f t="shared" si="2"/>
        <v>30.19571295433364</v>
      </c>
      <c r="AM30" s="192">
        <v>0.99229999999999996</v>
      </c>
      <c r="AN30" s="193">
        <v>313</v>
      </c>
    </row>
    <row r="31" spans="1:40" s="3" customFormat="1" ht="27.95" customHeight="1" x14ac:dyDescent="0.25">
      <c r="A31" s="110">
        <v>45774</v>
      </c>
      <c r="B31" s="83">
        <v>9992865</v>
      </c>
      <c r="C31" s="70">
        <f t="shared" si="10"/>
        <v>2515</v>
      </c>
      <c r="D31" s="70">
        <v>24321078</v>
      </c>
      <c r="E31" s="70">
        <f t="shared" si="3"/>
        <v>5597</v>
      </c>
      <c r="F31" s="71">
        <f t="shared" si="11"/>
        <v>5282.4485999999997</v>
      </c>
      <c r="G31" s="70">
        <v>15747263</v>
      </c>
      <c r="H31" s="70">
        <f t="shared" si="12"/>
        <v>3491</v>
      </c>
      <c r="I31" s="71">
        <f t="shared" si="13"/>
        <v>2281.7175999999999</v>
      </c>
      <c r="J31" s="70">
        <v>3816000</v>
      </c>
      <c r="K31" s="70">
        <f t="shared" si="14"/>
        <v>1124</v>
      </c>
      <c r="L31" s="70">
        <v>1734</v>
      </c>
      <c r="M31" s="70">
        <f t="shared" si="15"/>
        <v>0</v>
      </c>
      <c r="N31" s="70">
        <f t="shared" si="16"/>
        <v>0</v>
      </c>
      <c r="O31" s="70">
        <v>1010</v>
      </c>
      <c r="P31" s="70">
        <f t="shared" si="17"/>
        <v>0</v>
      </c>
      <c r="Q31" s="70">
        <f t="shared" si="18"/>
        <v>0</v>
      </c>
      <c r="R31" s="78">
        <f t="shared" si="19"/>
        <v>11203.1662</v>
      </c>
      <c r="S31" s="128">
        <f t="shared" si="0"/>
        <v>2240.6332400000001</v>
      </c>
      <c r="T31" s="83">
        <v>87266</v>
      </c>
      <c r="U31" s="70">
        <f t="shared" si="4"/>
        <v>67</v>
      </c>
      <c r="V31" s="70">
        <v>37764</v>
      </c>
      <c r="W31" s="70">
        <f t="shared" si="5"/>
        <v>0</v>
      </c>
      <c r="X31" s="79">
        <f t="shared" si="20"/>
        <v>67</v>
      </c>
      <c r="Y31" s="125">
        <f t="shared" si="21"/>
        <v>525.28</v>
      </c>
      <c r="Z31" s="83">
        <v>2</v>
      </c>
      <c r="AA31" s="75">
        <f t="shared" si="6"/>
        <v>88.904032000000001</v>
      </c>
      <c r="AB31" s="74">
        <f t="shared" si="7"/>
        <v>245.89966210879999</v>
      </c>
      <c r="AC31" s="344">
        <v>5</v>
      </c>
      <c r="AD31" s="83">
        <v>83251</v>
      </c>
      <c r="AE31" s="70">
        <f t="shared" si="8"/>
        <v>15</v>
      </c>
      <c r="AF31" s="75">
        <f t="shared" si="1"/>
        <v>4265.1750000000002</v>
      </c>
      <c r="AG31" s="113">
        <f t="shared" si="22"/>
        <v>1471.0588574999999</v>
      </c>
      <c r="AH31" s="113">
        <f t="shared" si="23"/>
        <v>5173.1394366666664</v>
      </c>
      <c r="AI31" s="80">
        <f t="shared" si="9"/>
        <v>6644.1982941666665</v>
      </c>
      <c r="AJ31" s="72">
        <v>2952252</v>
      </c>
      <c r="AK31" s="72">
        <f t="shared" si="24"/>
        <v>9085</v>
      </c>
      <c r="AL31" s="189">
        <f t="shared" si="2"/>
        <v>31.950623362464608</v>
      </c>
      <c r="AM31" s="192">
        <v>0.95750000000000002</v>
      </c>
      <c r="AN31" s="193">
        <v>289</v>
      </c>
    </row>
    <row r="32" spans="1:40" s="3" customFormat="1" ht="27.95" customHeight="1" x14ac:dyDescent="0.25">
      <c r="A32" s="110">
        <v>45775</v>
      </c>
      <c r="B32" s="83">
        <v>9995305</v>
      </c>
      <c r="C32" s="70">
        <f t="shared" si="10"/>
        <v>2440</v>
      </c>
      <c r="D32" s="70">
        <v>24326841</v>
      </c>
      <c r="E32" s="70">
        <f t="shared" si="3"/>
        <v>5763</v>
      </c>
      <c r="F32" s="71">
        <f t="shared" si="11"/>
        <v>5439.1193999999996</v>
      </c>
      <c r="G32" s="70">
        <v>15750894</v>
      </c>
      <c r="H32" s="70">
        <f t="shared" si="12"/>
        <v>3631</v>
      </c>
      <c r="I32" s="71">
        <f t="shared" si="13"/>
        <v>2373.2215999999999</v>
      </c>
      <c r="J32" s="70">
        <v>3816768</v>
      </c>
      <c r="K32" s="70">
        <f t="shared" si="14"/>
        <v>768</v>
      </c>
      <c r="L32" s="70">
        <v>1734</v>
      </c>
      <c r="M32" s="70">
        <f t="shared" si="15"/>
        <v>0</v>
      </c>
      <c r="N32" s="70">
        <f t="shared" si="16"/>
        <v>0</v>
      </c>
      <c r="O32" s="70">
        <v>1010</v>
      </c>
      <c r="P32" s="70">
        <f t="shared" si="17"/>
        <v>0</v>
      </c>
      <c r="Q32" s="70">
        <f t="shared" si="18"/>
        <v>0</v>
      </c>
      <c r="R32" s="78">
        <f t="shared" si="19"/>
        <v>11020.341</v>
      </c>
      <c r="S32" s="128">
        <f t="shared" si="0"/>
        <v>2204.0682000000002</v>
      </c>
      <c r="T32" s="83">
        <v>87378</v>
      </c>
      <c r="U32" s="70">
        <f t="shared" si="4"/>
        <v>112</v>
      </c>
      <c r="V32" s="70">
        <v>37793</v>
      </c>
      <c r="W32" s="70">
        <f t="shared" si="5"/>
        <v>29</v>
      </c>
      <c r="X32" s="79">
        <f t="shared" si="20"/>
        <v>83</v>
      </c>
      <c r="Y32" s="125">
        <f t="shared" si="21"/>
        <v>650.72</v>
      </c>
      <c r="Z32" s="83">
        <v>1</v>
      </c>
      <c r="AA32" s="75">
        <f t="shared" si="6"/>
        <v>44.452016</v>
      </c>
      <c r="AB32" s="74">
        <f t="shared" si="7"/>
        <v>122.94983105439999</v>
      </c>
      <c r="AC32" s="344">
        <v>0</v>
      </c>
      <c r="AD32" s="83">
        <v>83263</v>
      </c>
      <c r="AE32" s="70">
        <f t="shared" si="8"/>
        <v>12</v>
      </c>
      <c r="AF32" s="75">
        <f t="shared" si="1"/>
        <v>3412.1400000000003</v>
      </c>
      <c r="AG32" s="113">
        <f t="shared" si="22"/>
        <v>1176.847086</v>
      </c>
      <c r="AH32" s="113">
        <f t="shared" si="23"/>
        <v>5173.1394366666664</v>
      </c>
      <c r="AI32" s="80">
        <f t="shared" si="9"/>
        <v>6349.9865226666661</v>
      </c>
      <c r="AJ32" s="72">
        <v>2961607</v>
      </c>
      <c r="AK32" s="72">
        <f t="shared" si="24"/>
        <v>9355</v>
      </c>
      <c r="AL32" s="189">
        <f t="shared" si="2"/>
        <v>32.900174084299003</v>
      </c>
      <c r="AM32" s="192">
        <v>0.97299999999999998</v>
      </c>
      <c r="AN32" s="193">
        <v>298</v>
      </c>
    </row>
    <row r="33" spans="1:140" s="3" customFormat="1" ht="27.95" customHeight="1" x14ac:dyDescent="0.25">
      <c r="A33" s="110">
        <v>45776</v>
      </c>
      <c r="B33" s="83">
        <v>9997659</v>
      </c>
      <c r="C33" s="70">
        <f t="shared" si="10"/>
        <v>2354</v>
      </c>
      <c r="D33" s="70">
        <v>24332465</v>
      </c>
      <c r="E33" s="70">
        <f t="shared" si="3"/>
        <v>5624</v>
      </c>
      <c r="F33" s="71">
        <f t="shared" si="11"/>
        <v>5307.9312</v>
      </c>
      <c r="G33" s="70">
        <v>15754523</v>
      </c>
      <c r="H33" s="70">
        <f t="shared" si="12"/>
        <v>3629</v>
      </c>
      <c r="I33" s="71">
        <f t="shared" si="13"/>
        <v>2371.9143999999997</v>
      </c>
      <c r="J33" s="70">
        <v>3817575</v>
      </c>
      <c r="K33" s="70">
        <f t="shared" si="14"/>
        <v>807</v>
      </c>
      <c r="L33" s="70">
        <v>1734</v>
      </c>
      <c r="M33" s="70">
        <f t="shared" si="15"/>
        <v>0</v>
      </c>
      <c r="N33" s="70">
        <f t="shared" si="16"/>
        <v>0</v>
      </c>
      <c r="O33" s="70">
        <v>1010</v>
      </c>
      <c r="P33" s="70">
        <f t="shared" si="17"/>
        <v>0</v>
      </c>
      <c r="Q33" s="70">
        <f t="shared" si="18"/>
        <v>0</v>
      </c>
      <c r="R33" s="78">
        <f t="shared" si="19"/>
        <v>10840.845600000001</v>
      </c>
      <c r="S33" s="128">
        <f t="shared" si="0"/>
        <v>2168.16912</v>
      </c>
      <c r="T33" s="83">
        <v>87519</v>
      </c>
      <c r="U33" s="70">
        <f t="shared" si="4"/>
        <v>141</v>
      </c>
      <c r="V33" s="70">
        <v>37810</v>
      </c>
      <c r="W33" s="70">
        <f t="shared" si="5"/>
        <v>17</v>
      </c>
      <c r="X33" s="79">
        <f t="shared" si="20"/>
        <v>124</v>
      </c>
      <c r="Y33" s="125">
        <f t="shared" si="21"/>
        <v>972.16</v>
      </c>
      <c r="Z33" s="83">
        <v>2</v>
      </c>
      <c r="AA33" s="75">
        <f t="shared" si="6"/>
        <v>88.904032000000001</v>
      </c>
      <c r="AB33" s="74">
        <f t="shared" si="7"/>
        <v>245.89966210879999</v>
      </c>
      <c r="AC33" s="344">
        <v>0</v>
      </c>
      <c r="AD33" s="83">
        <v>83275</v>
      </c>
      <c r="AE33" s="70">
        <f t="shared" si="8"/>
        <v>12</v>
      </c>
      <c r="AF33" s="75">
        <f t="shared" si="1"/>
        <v>3412.1400000000003</v>
      </c>
      <c r="AG33" s="113">
        <f t="shared" si="22"/>
        <v>1176.847086</v>
      </c>
      <c r="AH33" s="113">
        <f t="shared" si="23"/>
        <v>5173.1394366666664</v>
      </c>
      <c r="AI33" s="80">
        <f t="shared" si="9"/>
        <v>6349.9865226666661</v>
      </c>
      <c r="AJ33" s="72">
        <v>2971402</v>
      </c>
      <c r="AK33" s="72">
        <f t="shared" si="24"/>
        <v>9795</v>
      </c>
      <c r="AL33" s="189">
        <f t="shared" si="2"/>
        <v>34.447590075436523</v>
      </c>
      <c r="AM33" s="192">
        <v>0.96530000000000005</v>
      </c>
      <c r="AN33" s="193">
        <v>301</v>
      </c>
    </row>
    <row r="34" spans="1:140" s="3" customFormat="1" ht="27.95" customHeight="1" thickBot="1" x14ac:dyDescent="0.3">
      <c r="A34" s="110">
        <v>45777</v>
      </c>
      <c r="B34" s="83">
        <v>10000097</v>
      </c>
      <c r="C34" s="70">
        <f t="shared" si="10"/>
        <v>2438</v>
      </c>
      <c r="D34" s="70">
        <v>24338183</v>
      </c>
      <c r="E34" s="70">
        <f t="shared" si="3"/>
        <v>5718</v>
      </c>
      <c r="F34" s="71">
        <f t="shared" si="11"/>
        <v>5396.6484</v>
      </c>
      <c r="G34" s="70">
        <v>15758097</v>
      </c>
      <c r="H34" s="70">
        <f t="shared" si="12"/>
        <v>3574</v>
      </c>
      <c r="I34" s="71">
        <f t="shared" si="13"/>
        <v>2335.9663999999998</v>
      </c>
      <c r="J34" s="70">
        <v>3818346</v>
      </c>
      <c r="K34" s="70">
        <f t="shared" si="14"/>
        <v>771</v>
      </c>
      <c r="L34" s="70">
        <v>1734</v>
      </c>
      <c r="M34" s="70">
        <f t="shared" si="15"/>
        <v>0</v>
      </c>
      <c r="N34" s="70">
        <f t="shared" si="16"/>
        <v>0</v>
      </c>
      <c r="O34" s="70">
        <v>1010</v>
      </c>
      <c r="P34" s="70">
        <f t="shared" si="17"/>
        <v>0</v>
      </c>
      <c r="Q34" s="70">
        <f t="shared" si="18"/>
        <v>0</v>
      </c>
      <c r="R34" s="78">
        <f t="shared" si="19"/>
        <v>10941.614799999999</v>
      </c>
      <c r="S34" s="128">
        <f t="shared" si="0"/>
        <v>2188.32296</v>
      </c>
      <c r="T34" s="83">
        <v>87596</v>
      </c>
      <c r="U34" s="70">
        <f t="shared" si="4"/>
        <v>77</v>
      </c>
      <c r="V34" s="70">
        <v>37823</v>
      </c>
      <c r="W34" s="70">
        <f t="shared" si="5"/>
        <v>13</v>
      </c>
      <c r="X34" s="79">
        <f t="shared" si="20"/>
        <v>64</v>
      </c>
      <c r="Y34" s="125">
        <f t="shared" si="21"/>
        <v>501.76</v>
      </c>
      <c r="Z34" s="345">
        <v>2</v>
      </c>
      <c r="AA34" s="196">
        <f t="shared" si="6"/>
        <v>88.904032000000001</v>
      </c>
      <c r="AB34" s="208">
        <f t="shared" si="7"/>
        <v>245.89966210879999</v>
      </c>
      <c r="AC34" s="346">
        <v>5</v>
      </c>
      <c r="AD34" s="83">
        <v>83287</v>
      </c>
      <c r="AE34" s="70">
        <f t="shared" si="8"/>
        <v>12</v>
      </c>
      <c r="AF34" s="75">
        <f t="shared" si="1"/>
        <v>3412.1400000000003</v>
      </c>
      <c r="AG34" s="113">
        <f t="shared" si="22"/>
        <v>1176.847086</v>
      </c>
      <c r="AH34" s="113">
        <f t="shared" si="23"/>
        <v>5173.1394366666664</v>
      </c>
      <c r="AI34" s="80">
        <f t="shared" si="9"/>
        <v>6349.9865226666661</v>
      </c>
      <c r="AJ34" s="72">
        <v>2981178</v>
      </c>
      <c r="AK34" s="72">
        <f t="shared" si="24"/>
        <v>9776</v>
      </c>
      <c r="AL34" s="189">
        <f t="shared" si="2"/>
        <v>34.380769839455589</v>
      </c>
      <c r="AM34" s="192">
        <v>0.96140000000000003</v>
      </c>
      <c r="AN34" s="193">
        <v>300</v>
      </c>
    </row>
    <row r="35" spans="1:140" s="6" customFormat="1" ht="39.950000000000003" customHeight="1" thickBot="1" x14ac:dyDescent="0.3">
      <c r="A35" s="134"/>
      <c r="B35" s="85"/>
      <c r="C35" s="81">
        <f>SUM(C5:C34)</f>
        <v>71727</v>
      </c>
      <c r="D35" s="81"/>
      <c r="E35" s="81"/>
      <c r="F35" s="81">
        <f>SUM(F5:F34)</f>
        <v>165143.29259999996</v>
      </c>
      <c r="G35" s="129"/>
      <c r="H35" s="129"/>
      <c r="I35" s="81">
        <f>SUM(I5:I34)</f>
        <v>69209.050399999993</v>
      </c>
      <c r="J35" s="129"/>
      <c r="K35" s="81">
        <f>SUM(K5:K34)</f>
        <v>32714</v>
      </c>
      <c r="L35" s="81"/>
      <c r="M35" s="81"/>
      <c r="N35" s="81">
        <f>SUM(N5:N34)</f>
        <v>34.5</v>
      </c>
      <c r="O35" s="81"/>
      <c r="P35" s="81"/>
      <c r="Q35" s="81">
        <f>SUM(Q5:Q34)</f>
        <v>18.5</v>
      </c>
      <c r="R35" s="130">
        <f>SUM(R5:R34)</f>
        <v>338846.34299999999</v>
      </c>
      <c r="S35" s="86">
        <f>R35*0.2</f>
        <v>67769.268599999996</v>
      </c>
      <c r="T35" s="131"/>
      <c r="U35" s="81">
        <f>SUM(U5:U34)</f>
        <v>2399</v>
      </c>
      <c r="V35" s="132"/>
      <c r="W35" s="81">
        <f t="shared" ref="W35:AC35" si="36">SUM(W5:W34)</f>
        <v>355</v>
      </c>
      <c r="X35" s="129">
        <f t="shared" si="36"/>
        <v>2044</v>
      </c>
      <c r="Y35" s="86">
        <f t="shared" si="36"/>
        <v>16024.960000000003</v>
      </c>
      <c r="Z35" s="85">
        <f t="shared" si="36"/>
        <v>46</v>
      </c>
      <c r="AA35" s="81">
        <f t="shared" si="36"/>
        <v>2044.7927359999992</v>
      </c>
      <c r="AB35" s="149">
        <f t="shared" si="36"/>
        <v>5655.6922285024002</v>
      </c>
      <c r="AC35" s="86">
        <f t="shared" si="36"/>
        <v>53</v>
      </c>
      <c r="AD35" s="85"/>
      <c r="AE35" s="81">
        <f>SUM(AE5:AE34)</f>
        <v>454</v>
      </c>
      <c r="AF35" s="81">
        <f>SUM(AF5:AF34)</f>
        <v>129092.63000000003</v>
      </c>
      <c r="AG35" s="81">
        <f>SUM(AG5:AG34)</f>
        <v>44524.04808700001</v>
      </c>
      <c r="AH35" s="133">
        <f>SUM(AH5:AH34)</f>
        <v>155194.18310000002</v>
      </c>
      <c r="AI35" s="81">
        <f>SUM(AI5:AI34)</f>
        <v>199718.23118700008</v>
      </c>
      <c r="AJ35" s="167"/>
      <c r="AK35" s="81">
        <f>SUM(AK5:AK34)</f>
        <v>239311</v>
      </c>
      <c r="AL35" s="81">
        <f>SUM(AL5:AL34)</f>
        <v>841.6219733070742</v>
      </c>
      <c r="AM35" s="197">
        <f>AVERAGE(AM5:AM34)</f>
        <v>0.92599666666666658</v>
      </c>
      <c r="AN35" s="198">
        <f>SUM(AN5:AN34)</f>
        <v>8679</v>
      </c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</row>
    <row r="36" spans="1:140" s="8" customFormat="1" ht="24.95" customHeight="1" thickBot="1" x14ac:dyDescent="0.3">
      <c r="A36" s="135"/>
      <c r="B36" s="150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2"/>
      <c r="T36" s="153"/>
      <c r="U36" s="154"/>
      <c r="V36" s="154"/>
      <c r="W36" s="154"/>
      <c r="X36" s="154"/>
      <c r="Y36" s="155"/>
      <c r="Z36" s="156"/>
      <c r="AA36" s="156"/>
      <c r="AB36" s="156"/>
      <c r="AC36" s="118"/>
      <c r="AD36" s="258" t="s">
        <v>33</v>
      </c>
      <c r="AE36" s="259"/>
      <c r="AF36" s="259"/>
      <c r="AG36" s="259"/>
      <c r="AH36" s="259"/>
      <c r="AI36" s="260"/>
      <c r="AJ36" s="261"/>
      <c r="AK36" s="262"/>
      <c r="AL36" s="262"/>
      <c r="AM36" s="263"/>
      <c r="AN36" s="264"/>
    </row>
    <row r="37" spans="1:140" s="9" customFormat="1" ht="39.950000000000003" customHeight="1" thickBot="1" x14ac:dyDescent="0.3">
      <c r="A37" s="136"/>
      <c r="B37" s="265" t="s">
        <v>3</v>
      </c>
      <c r="C37" s="266"/>
      <c r="D37" s="266"/>
      <c r="E37" s="266"/>
      <c r="F37" s="266"/>
      <c r="G37" s="267" t="s">
        <v>13</v>
      </c>
      <c r="H37" s="267"/>
      <c r="I37" s="267"/>
      <c r="J37" s="267"/>
      <c r="K37" s="267" t="s">
        <v>14</v>
      </c>
      <c r="L37" s="267"/>
      <c r="M37" s="267"/>
      <c r="N37" s="267"/>
      <c r="O37" s="267"/>
      <c r="P37" s="267"/>
      <c r="Q37" s="267"/>
      <c r="R37" s="267"/>
      <c r="S37" s="268"/>
      <c r="T37" s="269" t="s">
        <v>4</v>
      </c>
      <c r="U37" s="270"/>
      <c r="V37" s="271" t="s">
        <v>13</v>
      </c>
      <c r="W37" s="271"/>
      <c r="X37" s="271" t="s">
        <v>15</v>
      </c>
      <c r="Y37" s="272"/>
      <c r="Z37" s="90" t="s">
        <v>24</v>
      </c>
      <c r="AA37" s="91" t="s">
        <v>13</v>
      </c>
      <c r="AB37" s="92" t="s">
        <v>25</v>
      </c>
      <c r="AC37" s="119"/>
      <c r="AD37" s="273" t="s">
        <v>2</v>
      </c>
      <c r="AE37" s="274"/>
      <c r="AF37" s="275" t="s">
        <v>13</v>
      </c>
      <c r="AG37" s="275"/>
      <c r="AH37" s="275" t="s">
        <v>17</v>
      </c>
      <c r="AI37" s="276"/>
      <c r="AQ37" s="147"/>
    </row>
    <row r="38" spans="1:140" s="10" customFormat="1" ht="39.950000000000003" customHeight="1" x14ac:dyDescent="0.25">
      <c r="A38" s="99"/>
      <c r="B38" s="277" t="s">
        <v>95</v>
      </c>
      <c r="C38" s="278"/>
      <c r="D38" s="278"/>
      <c r="E38" s="278"/>
      <c r="F38" s="278"/>
      <c r="G38" s="279">
        <f>S35</f>
        <v>67769.268599999996</v>
      </c>
      <c r="H38" s="279"/>
      <c r="I38" s="279"/>
      <c r="J38" s="279"/>
      <c r="K38" s="280">
        <f t="shared" ref="K38:K43" si="37">G38/0.2</f>
        <v>338846.34299999994</v>
      </c>
      <c r="L38" s="280"/>
      <c r="M38" s="280"/>
      <c r="N38" s="280"/>
      <c r="O38" s="280"/>
      <c r="P38" s="280"/>
      <c r="Q38" s="280"/>
      <c r="R38" s="280"/>
      <c r="S38" s="281"/>
      <c r="T38" s="282" t="str">
        <f>B38</f>
        <v>Actual April 2025</v>
      </c>
      <c r="U38" s="283"/>
      <c r="V38" s="279">
        <f>Y35</f>
        <v>16024.960000000003</v>
      </c>
      <c r="W38" s="279"/>
      <c r="X38" s="280">
        <f>X35</f>
        <v>2044</v>
      </c>
      <c r="Y38" s="281"/>
      <c r="Z38" s="93" t="str">
        <f>T38</f>
        <v>Actual April 2025</v>
      </c>
      <c r="AA38" s="116">
        <f>AB35</f>
        <v>5655.6922285024002</v>
      </c>
      <c r="AB38" s="163">
        <f>AA38/1.2551</f>
        <v>4506.1686148533181</v>
      </c>
      <c r="AC38" s="120"/>
      <c r="AD38" s="277" t="str">
        <f>T38</f>
        <v>Actual April 2025</v>
      </c>
      <c r="AE38" s="278"/>
      <c r="AF38" s="279">
        <f>AI35</f>
        <v>199718.23118700008</v>
      </c>
      <c r="AG38" s="279"/>
      <c r="AH38" s="284">
        <f>AF35</f>
        <v>129092.63000000003</v>
      </c>
      <c r="AI38" s="285" t="e">
        <f>(AD38-#REF!)/0.3428</f>
        <v>#VALUE!</v>
      </c>
      <c r="AM38" s="109"/>
      <c r="AP38" s="10">
        <v>149225.57999999999</v>
      </c>
      <c r="AQ38" s="119"/>
    </row>
    <row r="39" spans="1:140" s="10" customFormat="1" ht="40.5" customHeight="1" x14ac:dyDescent="0.25">
      <c r="A39" s="99"/>
      <c r="B39" s="286" t="s">
        <v>96</v>
      </c>
      <c r="C39" s="287"/>
      <c r="D39" s="287"/>
      <c r="E39" s="287"/>
      <c r="F39" s="287"/>
      <c r="G39" s="292">
        <v>73255.350418948001</v>
      </c>
      <c r="H39" s="292"/>
      <c r="I39" s="292"/>
      <c r="J39" s="292"/>
      <c r="K39" s="288">
        <f t="shared" si="37"/>
        <v>366276.75209473999</v>
      </c>
      <c r="L39" s="288"/>
      <c r="M39" s="288"/>
      <c r="N39" s="288"/>
      <c r="O39" s="288"/>
      <c r="P39" s="288"/>
      <c r="Q39" s="288"/>
      <c r="R39" s="288"/>
      <c r="S39" s="296"/>
      <c r="T39" s="294" t="str">
        <f>B39</f>
        <v>Budget April 2025</v>
      </c>
      <c r="U39" s="295"/>
      <c r="V39" s="288">
        <v>15955.064210991601</v>
      </c>
      <c r="W39" s="288"/>
      <c r="X39" s="288">
        <f>V39/7.84</f>
        <v>2035.084720789745</v>
      </c>
      <c r="Y39" s="296"/>
      <c r="Z39" s="87" t="str">
        <f>T39</f>
        <v>Budget April 2025</v>
      </c>
      <c r="AA39" s="88">
        <v>4843.4275064305302</v>
      </c>
      <c r="AB39" s="115">
        <f t="shared" ref="AB39:AB41" si="38">AA39/1.2551</f>
        <v>3858.9972961760259</v>
      </c>
      <c r="AC39" s="120"/>
      <c r="AD39" s="286" t="str">
        <f>T39</f>
        <v>Budget April 2025</v>
      </c>
      <c r="AE39" s="287"/>
      <c r="AF39" s="288">
        <v>204200.25698800001</v>
      </c>
      <c r="AG39" s="288"/>
      <c r="AH39" s="289">
        <f>AP39/0.3449</f>
        <v>142087.77584227308</v>
      </c>
      <c r="AI39" s="290" t="e">
        <f t="shared" ref="AI39" si="39">(AD39-AF35)/0.3428</f>
        <v>#VALUE!</v>
      </c>
      <c r="AM39" s="109"/>
      <c r="AP39" s="109">
        <f>AF39-AH35</f>
        <v>49006.073887999984</v>
      </c>
      <c r="AQ39" s="112" t="s">
        <v>74</v>
      </c>
    </row>
    <row r="40" spans="1:140" s="10" customFormat="1" ht="40.5" customHeight="1" x14ac:dyDescent="0.25">
      <c r="A40" s="99"/>
      <c r="B40" s="286" t="s">
        <v>71</v>
      </c>
      <c r="C40" s="287"/>
      <c r="D40" s="287"/>
      <c r="E40" s="287"/>
      <c r="F40" s="287"/>
      <c r="G40" s="291">
        <f>G38+212523.64</f>
        <v>280292.90860000002</v>
      </c>
      <c r="H40" s="291"/>
      <c r="I40" s="291"/>
      <c r="J40" s="291"/>
      <c r="K40" s="292">
        <f t="shared" si="37"/>
        <v>1401464.5430000001</v>
      </c>
      <c r="L40" s="292"/>
      <c r="M40" s="292"/>
      <c r="N40" s="292"/>
      <c r="O40" s="292"/>
      <c r="P40" s="292"/>
      <c r="Q40" s="292"/>
      <c r="R40" s="292"/>
      <c r="S40" s="293"/>
      <c r="T40" s="294" t="str">
        <f t="shared" ref="T40:T43" si="40">B40</f>
        <v>Actual YTD 2025</v>
      </c>
      <c r="U40" s="295"/>
      <c r="V40" s="291">
        <f>V38+39599.84</f>
        <v>55624.800000000003</v>
      </c>
      <c r="W40" s="291"/>
      <c r="X40" s="292">
        <f>V40/7.84</f>
        <v>7095.0000000000009</v>
      </c>
      <c r="Y40" s="293"/>
      <c r="Z40" s="87" t="str">
        <f t="shared" ref="Z40:Z43" si="41">T40</f>
        <v>Actual YTD 2025</v>
      </c>
      <c r="AA40" s="114">
        <f>AA38+11930.98</f>
        <v>17586.672228502401</v>
      </c>
      <c r="AB40" s="115">
        <f t="shared" si="38"/>
        <v>14012.168136803761</v>
      </c>
      <c r="AC40" s="120"/>
      <c r="AD40" s="286" t="str">
        <f t="shared" ref="AD40:AD43" si="42">T40</f>
        <v>Actual YTD 2025</v>
      </c>
      <c r="AE40" s="287"/>
      <c r="AF40" s="291">
        <f>AF38+555709.42</f>
        <v>755427.6511870001</v>
      </c>
      <c r="AG40" s="291"/>
      <c r="AH40" s="297">
        <f>AP40/0.3449</f>
        <v>1740311.6010060892</v>
      </c>
      <c r="AI40" s="298"/>
      <c r="AM40" s="111"/>
      <c r="AP40" s="109">
        <f>AF40-AP45</f>
        <v>600233.47118700016</v>
      </c>
      <c r="AQ40" s="112" t="s">
        <v>75</v>
      </c>
    </row>
    <row r="41" spans="1:140" s="10" customFormat="1" ht="40.5" customHeight="1" x14ac:dyDescent="0.25">
      <c r="A41" s="104"/>
      <c r="B41" s="286" t="s">
        <v>72</v>
      </c>
      <c r="C41" s="287"/>
      <c r="D41" s="287"/>
      <c r="E41" s="287"/>
      <c r="F41" s="287"/>
      <c r="G41" s="288">
        <f>221940.81+G39</f>
        <v>295196.16041894798</v>
      </c>
      <c r="H41" s="288"/>
      <c r="I41" s="288"/>
      <c r="J41" s="288"/>
      <c r="K41" s="288">
        <f t="shared" si="37"/>
        <v>1475980.8020947399</v>
      </c>
      <c r="L41" s="288"/>
      <c r="M41" s="288"/>
      <c r="N41" s="288"/>
      <c r="O41" s="288"/>
      <c r="P41" s="288"/>
      <c r="Q41" s="288"/>
      <c r="R41" s="288"/>
      <c r="S41" s="296"/>
      <c r="T41" s="294" t="str">
        <f t="shared" si="40"/>
        <v>Budget YTD 2025</v>
      </c>
      <c r="U41" s="295"/>
      <c r="V41" s="288">
        <f>42738.51+V39</f>
        <v>58693.574210991603</v>
      </c>
      <c r="W41" s="288"/>
      <c r="X41" s="288">
        <f>V41/7.84</f>
        <v>7486.4252820142356</v>
      </c>
      <c r="Y41" s="296"/>
      <c r="Z41" s="87" t="str">
        <f t="shared" si="41"/>
        <v>Budget YTD 2025</v>
      </c>
      <c r="AA41" s="88">
        <f>13299.29+AA39</f>
        <v>18142.71750643053</v>
      </c>
      <c r="AB41" s="164">
        <f t="shared" si="38"/>
        <v>14455.196802191482</v>
      </c>
      <c r="AC41" s="120"/>
      <c r="AD41" s="286" t="str">
        <f t="shared" si="42"/>
        <v>Budget YTD 2025</v>
      </c>
      <c r="AE41" s="287"/>
      <c r="AF41" s="288">
        <f>573908.57+AF39</f>
        <v>778108.82698799996</v>
      </c>
      <c r="AG41" s="288"/>
      <c r="AH41" s="289">
        <f>AP41/0.3449</f>
        <v>1806073.2008930126</v>
      </c>
      <c r="AI41" s="290" t="e">
        <f t="shared" ref="AI41:AI43" si="43">(AD41-AF37)/0.3428</f>
        <v>#VALUE!</v>
      </c>
      <c r="AM41" s="111"/>
      <c r="AP41" s="109">
        <f>AF41-AP45</f>
        <v>622914.64698800002</v>
      </c>
      <c r="AQ41" s="112" t="s">
        <v>76</v>
      </c>
    </row>
    <row r="42" spans="1:140" s="10" customFormat="1" ht="40.5" customHeight="1" x14ac:dyDescent="0.25">
      <c r="A42" s="8"/>
      <c r="B42" s="286" t="s">
        <v>97</v>
      </c>
      <c r="C42" s="287"/>
      <c r="D42" s="287"/>
      <c r="E42" s="287"/>
      <c r="F42" s="287"/>
      <c r="G42" s="299">
        <v>68841.94</v>
      </c>
      <c r="H42" s="299"/>
      <c r="I42" s="299"/>
      <c r="J42" s="299"/>
      <c r="K42" s="288">
        <f t="shared" si="37"/>
        <v>344209.7</v>
      </c>
      <c r="L42" s="288"/>
      <c r="M42" s="288"/>
      <c r="N42" s="288"/>
      <c r="O42" s="288"/>
      <c r="P42" s="288"/>
      <c r="Q42" s="288"/>
      <c r="R42" s="288"/>
      <c r="S42" s="296"/>
      <c r="T42" s="294" t="str">
        <f t="shared" si="40"/>
        <v>Actual April 2024</v>
      </c>
      <c r="U42" s="295"/>
      <c r="V42" s="299">
        <v>13829.76</v>
      </c>
      <c r="W42" s="299"/>
      <c r="X42" s="288">
        <f t="shared" ref="X42:X43" si="44">V42/7.84</f>
        <v>1764</v>
      </c>
      <c r="Y42" s="296"/>
      <c r="Z42" s="87" t="str">
        <f t="shared" si="41"/>
        <v>Actual April 2024</v>
      </c>
      <c r="AA42" s="145">
        <v>2604</v>
      </c>
      <c r="AB42" s="115">
        <f t="shared" ref="AB42:AB43" si="45">AA42/0.8571</f>
        <v>3038.1519075953797</v>
      </c>
      <c r="AC42" s="120"/>
      <c r="AD42" s="286" t="str">
        <f t="shared" si="42"/>
        <v>Actual April 2024</v>
      </c>
      <c r="AE42" s="287"/>
      <c r="AF42" s="299">
        <v>193444.73</v>
      </c>
      <c r="AG42" s="299"/>
      <c r="AH42" s="289">
        <f>AP42/0.3442</f>
        <v>145145.61301568864</v>
      </c>
      <c r="AI42" s="290" t="e">
        <f t="shared" si="43"/>
        <v>#VALUE!</v>
      </c>
      <c r="AM42" s="111"/>
      <c r="AP42" s="109">
        <f>AF42-AP47</f>
        <v>49959.120000000024</v>
      </c>
      <c r="AQ42" s="112" t="s">
        <v>77</v>
      </c>
    </row>
    <row r="43" spans="1:140" s="10" customFormat="1" ht="40.5" customHeight="1" thickBot="1" x14ac:dyDescent="0.3">
      <c r="A43" s="8"/>
      <c r="B43" s="303" t="s">
        <v>65</v>
      </c>
      <c r="C43" s="304"/>
      <c r="D43" s="304"/>
      <c r="E43" s="304"/>
      <c r="F43" s="304"/>
      <c r="G43" s="305">
        <v>289440.84000000003</v>
      </c>
      <c r="H43" s="305"/>
      <c r="I43" s="305"/>
      <c r="J43" s="305"/>
      <c r="K43" s="309">
        <f t="shared" si="37"/>
        <v>1447204.2</v>
      </c>
      <c r="L43" s="309"/>
      <c r="M43" s="309"/>
      <c r="N43" s="309"/>
      <c r="O43" s="309"/>
      <c r="P43" s="309"/>
      <c r="Q43" s="309"/>
      <c r="R43" s="309"/>
      <c r="S43" s="310"/>
      <c r="T43" s="311" t="str">
        <f t="shared" si="40"/>
        <v>Actual YTD 2024</v>
      </c>
      <c r="U43" s="312"/>
      <c r="V43" s="305">
        <v>53335.519999999997</v>
      </c>
      <c r="W43" s="305"/>
      <c r="X43" s="309">
        <f t="shared" si="44"/>
        <v>6803</v>
      </c>
      <c r="Y43" s="310"/>
      <c r="Z43" s="89" t="str">
        <f t="shared" si="41"/>
        <v>Actual YTD 2024</v>
      </c>
      <c r="AA43" s="146">
        <v>13419.07</v>
      </c>
      <c r="AB43" s="117">
        <f t="shared" si="45"/>
        <v>15656.364484890912</v>
      </c>
      <c r="AC43" s="120"/>
      <c r="AD43" s="303" t="str">
        <f t="shared" si="42"/>
        <v>Actual YTD 2024</v>
      </c>
      <c r="AE43" s="304"/>
      <c r="AF43" s="305">
        <v>738900.12</v>
      </c>
      <c r="AG43" s="305"/>
      <c r="AH43" s="306">
        <f>AP43/0.3442</f>
        <v>1713174.142940151</v>
      </c>
      <c r="AI43" s="307" t="e">
        <f t="shared" si="43"/>
        <v>#VALUE!</v>
      </c>
      <c r="AM43" s="111"/>
      <c r="AP43" s="109">
        <f>AF43-AP46</f>
        <v>589674.54</v>
      </c>
      <c r="AQ43" s="112" t="s">
        <v>66</v>
      </c>
    </row>
    <row r="44" spans="1:140" ht="24" customHeight="1" x14ac:dyDescent="0.25">
      <c r="G44" s="308">
        <v>45748</v>
      </c>
      <c r="H44" s="308"/>
      <c r="I44" s="12">
        <v>45777</v>
      </c>
      <c r="J44" s="23">
        <v>30</v>
      </c>
      <c r="V44" s="291"/>
      <c r="W44" s="291"/>
      <c r="Z44" s="106"/>
      <c r="AA44" s="114"/>
      <c r="AE44" s="105"/>
      <c r="AF44" s="291"/>
      <c r="AG44" s="291"/>
    </row>
    <row r="45" spans="1:140" ht="36" customHeight="1" x14ac:dyDescent="0.25">
      <c r="A45" s="300" t="s">
        <v>38</v>
      </c>
      <c r="B45" s="300"/>
      <c r="D45" s="301" t="s">
        <v>34</v>
      </c>
      <c r="E45" s="301"/>
      <c r="F45" s="301"/>
      <c r="G45" s="301"/>
      <c r="H45" s="14"/>
      <c r="I45" s="302" t="s">
        <v>35</v>
      </c>
      <c r="J45" s="302"/>
      <c r="K45" s="302"/>
      <c r="L45" s="302"/>
      <c r="M45" s="15"/>
      <c r="N45" s="301" t="s">
        <v>36</v>
      </c>
      <c r="O45" s="301"/>
      <c r="P45" s="301"/>
      <c r="Q45" s="301"/>
      <c r="R45" s="301"/>
      <c r="S45" s="301"/>
      <c r="U45" s="301" t="s">
        <v>37</v>
      </c>
      <c r="V45" s="301"/>
      <c r="W45" s="301"/>
      <c r="X45" s="17"/>
      <c r="Y45" s="301" t="s">
        <v>39</v>
      </c>
      <c r="Z45" s="301"/>
      <c r="AA45" s="301"/>
      <c r="AD45" s="301" t="s">
        <v>40</v>
      </c>
      <c r="AE45" s="301"/>
      <c r="AF45" s="301"/>
      <c r="AG45" s="27" t="s">
        <v>44</v>
      </c>
      <c r="AH45" s="27" t="s">
        <v>45</v>
      </c>
      <c r="AI45" s="18"/>
      <c r="AP45" s="9">
        <f>155194.18</f>
        <v>155194.18</v>
      </c>
      <c r="AQ45" s="9" t="s">
        <v>73</v>
      </c>
      <c r="AR45" s="9"/>
      <c r="AS45" s="9"/>
    </row>
    <row r="46" spans="1:140" ht="30" customHeight="1" x14ac:dyDescent="0.25">
      <c r="A46" s="45" t="s">
        <v>3</v>
      </c>
      <c r="B46" s="46">
        <f>G39</f>
        <v>73255.350418948001</v>
      </c>
      <c r="D46" s="315" t="s">
        <v>3</v>
      </c>
      <c r="E46" s="316"/>
      <c r="F46" s="316"/>
      <c r="G46" s="42">
        <f>B46/30</f>
        <v>2441.8450139649335</v>
      </c>
      <c r="H46" s="13"/>
      <c r="I46" s="315" t="s">
        <v>3</v>
      </c>
      <c r="J46" s="316"/>
      <c r="K46" s="316"/>
      <c r="L46" s="42">
        <f>S35/J44</f>
        <v>2258.9756199999997</v>
      </c>
      <c r="M46" s="13"/>
      <c r="N46" s="315" t="s">
        <v>3</v>
      </c>
      <c r="O46" s="316"/>
      <c r="P46" s="316"/>
      <c r="Q46" s="316"/>
      <c r="R46" s="316"/>
      <c r="S46" s="174">
        <f>G46*J44</f>
        <v>73255.350418948001</v>
      </c>
      <c r="U46" s="315" t="s">
        <v>3</v>
      </c>
      <c r="V46" s="316"/>
      <c r="W46" s="101">
        <f>S35</f>
        <v>67769.268599999996</v>
      </c>
      <c r="X46" s="25">
        <f>S46-W46</f>
        <v>5486.0818189480051</v>
      </c>
      <c r="Y46" s="315" t="s">
        <v>3</v>
      </c>
      <c r="Z46" s="316"/>
      <c r="AA46" s="39">
        <f>S46+G41</f>
        <v>368451.51083789597</v>
      </c>
      <c r="AD46" s="315" t="s">
        <v>3</v>
      </c>
      <c r="AE46" s="316"/>
      <c r="AF46" s="28">
        <f>W46+G40</f>
        <v>348062.17720000003</v>
      </c>
      <c r="AG46" s="29">
        <f>AA46-AF46</f>
        <v>20389.333637895936</v>
      </c>
      <c r="AH46" s="30">
        <f>AF46-AA46</f>
        <v>-20389.333637895936</v>
      </c>
      <c r="AI46" s="19"/>
      <c r="AJ46" s="10"/>
      <c r="AK46" s="10"/>
      <c r="AL46" s="10"/>
      <c r="AP46" s="9">
        <f>149225.58</f>
        <v>149225.57999999999</v>
      </c>
      <c r="AQ46" s="10" t="s">
        <v>67</v>
      </c>
      <c r="AR46" s="9"/>
      <c r="AS46" s="9"/>
    </row>
    <row r="47" spans="1:140" ht="30" customHeight="1" x14ac:dyDescent="0.25">
      <c r="A47" s="47" t="s">
        <v>4</v>
      </c>
      <c r="B47" s="48">
        <f>V39</f>
        <v>15955.064210991601</v>
      </c>
      <c r="D47" s="313" t="s">
        <v>4</v>
      </c>
      <c r="E47" s="314"/>
      <c r="F47" s="314"/>
      <c r="G47" s="43">
        <f>B47/30</f>
        <v>531.83547369972007</v>
      </c>
      <c r="H47" s="13"/>
      <c r="I47" s="313" t="s">
        <v>4</v>
      </c>
      <c r="J47" s="314"/>
      <c r="K47" s="314"/>
      <c r="L47" s="43">
        <f>Y35/J44</f>
        <v>534.16533333333348</v>
      </c>
      <c r="M47" s="13"/>
      <c r="N47" s="313" t="s">
        <v>4</v>
      </c>
      <c r="O47" s="314"/>
      <c r="P47" s="314"/>
      <c r="Q47" s="314"/>
      <c r="R47" s="314"/>
      <c r="S47" s="97">
        <f>G47*J44</f>
        <v>15955.064210991603</v>
      </c>
      <c r="U47" s="313" t="s">
        <v>4</v>
      </c>
      <c r="V47" s="314"/>
      <c r="W47" s="102">
        <f>Y35</f>
        <v>16024.960000000003</v>
      </c>
      <c r="X47" s="25">
        <f>S47-W47</f>
        <v>-69.895789008400243</v>
      </c>
      <c r="Y47" s="313" t="s">
        <v>4</v>
      </c>
      <c r="Z47" s="314"/>
      <c r="AA47" s="38">
        <f>S47+V41</f>
        <v>74648.638421983211</v>
      </c>
      <c r="AD47" s="313" t="s">
        <v>4</v>
      </c>
      <c r="AE47" s="314"/>
      <c r="AF47" s="31">
        <f>W47+V40</f>
        <v>71649.760000000009</v>
      </c>
      <c r="AG47" s="32">
        <f>AA47-AF47</f>
        <v>2998.8784219832014</v>
      </c>
      <c r="AH47" s="33">
        <f t="shared" ref="AH47:AH49" si="46">AF47-AA47</f>
        <v>-2998.8784219832014</v>
      </c>
      <c r="AI47" s="19"/>
      <c r="AP47" s="9">
        <f>143485.61</f>
        <v>143485.60999999999</v>
      </c>
      <c r="AQ47" s="9"/>
      <c r="AR47" s="9"/>
      <c r="AS47" s="9"/>
    </row>
    <row r="48" spans="1:140" ht="30" customHeight="1" x14ac:dyDescent="0.25">
      <c r="A48" s="47" t="s">
        <v>24</v>
      </c>
      <c r="B48" s="48">
        <f>AA39</f>
        <v>4843.4275064305302</v>
      </c>
      <c r="D48" s="313" t="s">
        <v>24</v>
      </c>
      <c r="E48" s="314"/>
      <c r="F48" s="314"/>
      <c r="G48" s="43">
        <f>B48/30</f>
        <v>161.44758354768433</v>
      </c>
      <c r="H48" s="13"/>
      <c r="I48" s="313" t="s">
        <v>24</v>
      </c>
      <c r="J48" s="314"/>
      <c r="K48" s="314"/>
      <c r="L48" s="43">
        <f>AB35/J44</f>
        <v>188.52307428341334</v>
      </c>
      <c r="M48" s="13"/>
      <c r="N48" s="313" t="s">
        <v>24</v>
      </c>
      <c r="O48" s="314"/>
      <c r="P48" s="314"/>
      <c r="Q48" s="314"/>
      <c r="R48" s="314"/>
      <c r="S48" s="97">
        <f>G48*J44</f>
        <v>4843.4275064305302</v>
      </c>
      <c r="U48" s="313" t="s">
        <v>24</v>
      </c>
      <c r="V48" s="314"/>
      <c r="W48" s="102">
        <f>AB35</f>
        <v>5655.6922285024002</v>
      </c>
      <c r="X48" s="25">
        <f>S48-W48</f>
        <v>-812.26472207186998</v>
      </c>
      <c r="Y48" s="313" t="s">
        <v>24</v>
      </c>
      <c r="Z48" s="314"/>
      <c r="AA48" s="38">
        <f>S48+AA41</f>
        <v>22986.14501286106</v>
      </c>
      <c r="AD48" s="313" t="s">
        <v>24</v>
      </c>
      <c r="AE48" s="314"/>
      <c r="AF48" s="31">
        <f>W48+AA40</f>
        <v>23242.364457004802</v>
      </c>
      <c r="AG48" s="32">
        <f t="shared" ref="AG48" si="47">AA48-AF48</f>
        <v>-256.21944414374229</v>
      </c>
      <c r="AH48" s="33">
        <f t="shared" si="46"/>
        <v>256.21944414374229</v>
      </c>
      <c r="AI48" s="19"/>
    </row>
    <row r="49" spans="1:39" ht="30" customHeight="1" x14ac:dyDescent="0.25">
      <c r="A49" s="49" t="s">
        <v>16</v>
      </c>
      <c r="B49" s="157">
        <f>AF39</f>
        <v>204200.25698800001</v>
      </c>
      <c r="C49" s="41"/>
      <c r="D49" s="317" t="s">
        <v>16</v>
      </c>
      <c r="E49" s="318"/>
      <c r="F49" s="318"/>
      <c r="G49" s="44">
        <f>B49/30</f>
        <v>6806.675232933334</v>
      </c>
      <c r="I49" s="317" t="s">
        <v>16</v>
      </c>
      <c r="J49" s="318"/>
      <c r="K49" s="318"/>
      <c r="L49" s="44">
        <f>AI35/J44</f>
        <v>6657.2743729000031</v>
      </c>
      <c r="N49" s="317" t="s">
        <v>16</v>
      </c>
      <c r="O49" s="318"/>
      <c r="P49" s="318"/>
      <c r="Q49" s="318"/>
      <c r="R49" s="318"/>
      <c r="S49" s="98">
        <f>G49*J44</f>
        <v>204200.25698800001</v>
      </c>
      <c r="U49" s="317" t="s">
        <v>16</v>
      </c>
      <c r="V49" s="318"/>
      <c r="W49" s="103">
        <f>AI35</f>
        <v>199718.23118700008</v>
      </c>
      <c r="X49" s="25">
        <f>S49-W49</f>
        <v>4482.0258009999234</v>
      </c>
      <c r="Y49" s="313" t="s">
        <v>16</v>
      </c>
      <c r="Z49" s="314"/>
      <c r="AA49" s="38">
        <f>S49+AF41</f>
        <v>982309.08397599997</v>
      </c>
      <c r="AD49" s="313" t="s">
        <v>16</v>
      </c>
      <c r="AE49" s="314"/>
      <c r="AF49" s="31">
        <f>W49+AF40</f>
        <v>955145.88237400015</v>
      </c>
      <c r="AG49" s="32">
        <f>AA49-AF49</f>
        <v>27163.201601999812</v>
      </c>
      <c r="AH49" s="33">
        <f t="shared" si="46"/>
        <v>-27163.201601999812</v>
      </c>
      <c r="AI49" s="19"/>
    </row>
    <row r="50" spans="1:39" ht="15.75" x14ac:dyDescent="0.25">
      <c r="F50" s="323"/>
      <c r="G50" s="323"/>
      <c r="H50" s="323"/>
      <c r="I50" s="323"/>
      <c r="J50" s="323"/>
      <c r="K50" s="323"/>
      <c r="S50" s="20">
        <f>SUM(S46:S49)</f>
        <v>298254.09912437014</v>
      </c>
      <c r="T50" s="20"/>
      <c r="U50" s="20"/>
      <c r="V50" s="20"/>
      <c r="W50" s="20">
        <f t="shared" ref="W50" si="48">SUM(W46:W49)</f>
        <v>289168.15201550251</v>
      </c>
      <c r="X50" s="25">
        <f t="shared" ref="X50" si="49">S50-W50</f>
        <v>9085.9471088676364</v>
      </c>
      <c r="Y50" s="317" t="s">
        <v>42</v>
      </c>
      <c r="Z50" s="318" t="s">
        <v>41</v>
      </c>
      <c r="AA50" s="40">
        <f>SUM(AA46:AA49)</f>
        <v>1448395.3782487402</v>
      </c>
      <c r="AB50" s="2"/>
      <c r="AC50" s="2"/>
      <c r="AD50" s="34"/>
      <c r="AE50" s="35"/>
      <c r="AF50" s="36">
        <f>SUM(AF46:AF49)</f>
        <v>1398100.184031005</v>
      </c>
      <c r="AG50" s="108">
        <f>AA50-AF50</f>
        <v>50295.194217735203</v>
      </c>
      <c r="AH50" s="37"/>
      <c r="AI50" s="19"/>
    </row>
    <row r="51" spans="1:39" ht="18.75" x14ac:dyDescent="0.25">
      <c r="F51" s="26"/>
      <c r="G51" s="26"/>
      <c r="H51" s="26"/>
      <c r="I51" s="26"/>
      <c r="J51" s="26"/>
      <c r="K51" s="26"/>
      <c r="S51" s="20"/>
      <c r="T51" s="20"/>
      <c r="U51" s="20"/>
      <c r="V51" s="20"/>
      <c r="W51" s="20"/>
      <c r="X51" s="25"/>
      <c r="Y51" s="50"/>
      <c r="Z51" s="50"/>
      <c r="AA51" s="51"/>
      <c r="AB51" s="2"/>
      <c r="AC51" s="2"/>
      <c r="AD51" s="52"/>
      <c r="AE51" s="2"/>
      <c r="AF51" s="100"/>
      <c r="AG51" s="53"/>
      <c r="AH51" s="54"/>
      <c r="AI51" s="19"/>
    </row>
    <row r="52" spans="1:39" ht="36" customHeight="1" x14ac:dyDescent="0.25">
      <c r="A52" s="324" t="s">
        <v>55</v>
      </c>
      <c r="B52" s="325"/>
      <c r="D52" s="326" t="s">
        <v>56</v>
      </c>
      <c r="E52" s="327"/>
      <c r="F52" s="327"/>
      <c r="G52" s="328"/>
      <c r="H52" s="55"/>
      <c r="I52" s="329" t="s">
        <v>57</v>
      </c>
      <c r="J52" s="330"/>
      <c r="K52" s="330"/>
      <c r="L52" s="331"/>
      <c r="M52" s="56"/>
      <c r="N52" s="326" t="s">
        <v>37</v>
      </c>
      <c r="O52" s="327"/>
      <c r="P52" s="327"/>
      <c r="Q52" s="327"/>
      <c r="R52" s="327"/>
      <c r="S52" s="328"/>
      <c r="U52" s="332" t="s">
        <v>58</v>
      </c>
      <c r="V52" s="333"/>
      <c r="W52" s="334"/>
      <c r="X52" s="94"/>
      <c r="Y52" s="332" t="s">
        <v>59</v>
      </c>
      <c r="Z52" s="333"/>
      <c r="AA52" s="334"/>
      <c r="AD52" s="168" t="s">
        <v>62</v>
      </c>
      <c r="AE52" s="168" t="s">
        <v>63</v>
      </c>
      <c r="AG52" s="168" t="s">
        <v>60</v>
      </c>
      <c r="AH52" s="168" t="s">
        <v>61</v>
      </c>
      <c r="AK52" s="171"/>
      <c r="AL52" s="171"/>
      <c r="AM52" s="171"/>
    </row>
    <row r="53" spans="1:39" s="57" customFormat="1" ht="30" customHeight="1" x14ac:dyDescent="0.2">
      <c r="A53" s="141" t="s">
        <v>3</v>
      </c>
      <c r="B53" s="142">
        <f>G42</f>
        <v>68841.94</v>
      </c>
      <c r="D53" s="319" t="s">
        <v>3</v>
      </c>
      <c r="E53" s="320"/>
      <c r="F53" s="320"/>
      <c r="G53" s="138">
        <f>B53/30</f>
        <v>2294.7313333333336</v>
      </c>
      <c r="H53" s="58"/>
      <c r="I53" s="319" t="s">
        <v>3</v>
      </c>
      <c r="J53" s="320"/>
      <c r="K53" s="320"/>
      <c r="L53" s="139">
        <f>G53*J44</f>
        <v>68841.94</v>
      </c>
      <c r="M53" s="58"/>
      <c r="N53" s="319" t="s">
        <v>3</v>
      </c>
      <c r="O53" s="320"/>
      <c r="P53" s="320"/>
      <c r="Q53" s="320"/>
      <c r="R53" s="321">
        <f>S35</f>
        <v>67769.268599999996</v>
      </c>
      <c r="S53" s="322"/>
      <c r="T53" s="59"/>
      <c r="U53" s="319" t="s">
        <v>3</v>
      </c>
      <c r="V53" s="320"/>
      <c r="W53" s="161">
        <f>L53-R53</f>
        <v>1072.6714000000065</v>
      </c>
      <c r="X53" s="95"/>
      <c r="Y53" s="319" t="s">
        <v>3</v>
      </c>
      <c r="Z53" s="320"/>
      <c r="AA53" s="160">
        <f>G43-G40</f>
        <v>9147.9314000000013</v>
      </c>
      <c r="AD53" s="169">
        <f>L46*31</f>
        <v>70028.244219999993</v>
      </c>
      <c r="AE53" s="169">
        <f>AD53+301630.76</f>
        <v>371659.00422</v>
      </c>
      <c r="AF53" s="96"/>
      <c r="AG53" s="169">
        <f>G42-AD53</f>
        <v>-1186.3042199999909</v>
      </c>
      <c r="AH53" s="169">
        <f>G43-AE53</f>
        <v>-82218.164219999977</v>
      </c>
      <c r="AK53" s="172"/>
      <c r="AL53" s="172"/>
      <c r="AM53" s="172"/>
    </row>
    <row r="54" spans="1:39" s="57" customFormat="1" ht="30" customHeight="1" x14ac:dyDescent="0.2">
      <c r="A54" s="141" t="s">
        <v>4</v>
      </c>
      <c r="B54" s="142">
        <f>V42</f>
        <v>13829.76</v>
      </c>
      <c r="D54" s="319" t="s">
        <v>4</v>
      </c>
      <c r="E54" s="320"/>
      <c r="F54" s="320"/>
      <c r="G54" s="138">
        <f>B54/30</f>
        <v>460.99200000000002</v>
      </c>
      <c r="H54" s="58"/>
      <c r="I54" s="319" t="s">
        <v>4</v>
      </c>
      <c r="J54" s="320"/>
      <c r="K54" s="320"/>
      <c r="L54" s="139">
        <f>G54*J44</f>
        <v>13829.76</v>
      </c>
      <c r="M54" s="58"/>
      <c r="N54" s="319" t="s">
        <v>4</v>
      </c>
      <c r="O54" s="320"/>
      <c r="P54" s="320"/>
      <c r="Q54" s="320"/>
      <c r="R54" s="335">
        <f>Y35</f>
        <v>16024.960000000003</v>
      </c>
      <c r="S54" s="336"/>
      <c r="T54" s="59"/>
      <c r="U54" s="319" t="s">
        <v>4</v>
      </c>
      <c r="V54" s="320"/>
      <c r="W54" s="161">
        <f>L54-R54</f>
        <v>-2195.2000000000025</v>
      </c>
      <c r="X54" s="95"/>
      <c r="Y54" s="319" t="s">
        <v>4</v>
      </c>
      <c r="Z54" s="320"/>
      <c r="AA54" s="160">
        <f>V43-V40</f>
        <v>-2289.2800000000061</v>
      </c>
      <c r="AD54" s="169">
        <f>L47*31</f>
        <v>16559.125333333337</v>
      </c>
      <c r="AE54" s="169">
        <f>AD54+60399.36</f>
        <v>76958.485333333345</v>
      </c>
      <c r="AF54" s="96"/>
      <c r="AG54" s="169">
        <f>V42-AD54</f>
        <v>-2729.3653333333368</v>
      </c>
      <c r="AH54" s="169">
        <f>V43-AE54</f>
        <v>-23622.965333333348</v>
      </c>
      <c r="AK54" s="172"/>
      <c r="AL54" s="172"/>
      <c r="AM54" s="172"/>
    </row>
    <row r="55" spans="1:39" s="57" customFormat="1" ht="30" customHeight="1" x14ac:dyDescent="0.2">
      <c r="A55" s="141" t="s">
        <v>24</v>
      </c>
      <c r="B55" s="142">
        <f>AA42</f>
        <v>2604</v>
      </c>
      <c r="D55" s="319" t="s">
        <v>24</v>
      </c>
      <c r="E55" s="320"/>
      <c r="F55" s="320"/>
      <c r="G55" s="138">
        <f>B55/30</f>
        <v>86.8</v>
      </c>
      <c r="H55" s="58"/>
      <c r="I55" s="319" t="s">
        <v>24</v>
      </c>
      <c r="J55" s="320"/>
      <c r="K55" s="320"/>
      <c r="L55" s="139">
        <f>G55*J44</f>
        <v>2604</v>
      </c>
      <c r="M55" s="58"/>
      <c r="N55" s="319" t="s">
        <v>24</v>
      </c>
      <c r="O55" s="320"/>
      <c r="P55" s="320"/>
      <c r="Q55" s="320"/>
      <c r="R55" s="321">
        <f>AB35</f>
        <v>5655.6922285024002</v>
      </c>
      <c r="S55" s="322"/>
      <c r="T55" s="59"/>
      <c r="U55" s="319" t="s">
        <v>24</v>
      </c>
      <c r="V55" s="320"/>
      <c r="W55" s="161">
        <f>L55-R55</f>
        <v>-3051.6922285024002</v>
      </c>
      <c r="X55" s="95"/>
      <c r="Y55" s="319" t="s">
        <v>24</v>
      </c>
      <c r="Z55" s="320"/>
      <c r="AA55" s="160">
        <f>AA43-AA40</f>
        <v>-4167.602228502401</v>
      </c>
      <c r="AD55" s="169">
        <f>L48*31</f>
        <v>5844.215302785813</v>
      </c>
      <c r="AE55" s="169">
        <f>AD55+15239.92</f>
        <v>21084.135302785813</v>
      </c>
      <c r="AF55" s="96"/>
      <c r="AG55" s="169">
        <f>AA42-AD55</f>
        <v>-3240.215302785813</v>
      </c>
      <c r="AH55" s="169">
        <f>AA43-AE55</f>
        <v>-7665.0653027858134</v>
      </c>
      <c r="AK55" s="172"/>
      <c r="AL55" s="172"/>
      <c r="AM55" s="172"/>
    </row>
    <row r="56" spans="1:39" s="57" customFormat="1" ht="30" customHeight="1" x14ac:dyDescent="0.2">
      <c r="A56" s="143" t="s">
        <v>16</v>
      </c>
      <c r="B56" s="144">
        <f>AF42</f>
        <v>193444.73</v>
      </c>
      <c r="C56" s="137"/>
      <c r="D56" s="339" t="s">
        <v>16</v>
      </c>
      <c r="E56" s="340"/>
      <c r="F56" s="340"/>
      <c r="G56" s="159">
        <f>B56/30</f>
        <v>6448.157666666667</v>
      </c>
      <c r="H56" s="61"/>
      <c r="I56" s="339" t="s">
        <v>16</v>
      </c>
      <c r="J56" s="340"/>
      <c r="K56" s="340"/>
      <c r="L56" s="140">
        <f>G56*J44</f>
        <v>193444.73</v>
      </c>
      <c r="M56" s="61"/>
      <c r="N56" s="339" t="s">
        <v>16</v>
      </c>
      <c r="O56" s="340"/>
      <c r="P56" s="340"/>
      <c r="Q56" s="340"/>
      <c r="R56" s="341">
        <f>AI35</f>
        <v>199718.23118700008</v>
      </c>
      <c r="S56" s="342"/>
      <c r="T56" s="59"/>
      <c r="U56" s="339" t="s">
        <v>16</v>
      </c>
      <c r="V56" s="340"/>
      <c r="W56" s="162">
        <f>L56-R56</f>
        <v>-6273.5011870000744</v>
      </c>
      <c r="X56" s="95"/>
      <c r="Y56" s="339" t="s">
        <v>16</v>
      </c>
      <c r="Z56" s="340"/>
      <c r="AA56" s="144">
        <f>AF43-AF40</f>
        <v>-16527.531187000102</v>
      </c>
      <c r="AD56" s="169">
        <f>L49*31</f>
        <v>206375.50555990011</v>
      </c>
      <c r="AE56" s="169">
        <f>AD56+720892.09</f>
        <v>927267.59555990004</v>
      </c>
      <c r="AF56" s="96"/>
      <c r="AG56" s="169">
        <f>AF42-AD56</f>
        <v>-12930.775559900096</v>
      </c>
      <c r="AH56" s="169">
        <f>AF43-AE56</f>
        <v>-188367.47555990005</v>
      </c>
      <c r="AK56" s="172"/>
      <c r="AL56" s="172"/>
      <c r="AM56" s="172"/>
    </row>
    <row r="57" spans="1:39" s="57" customFormat="1" ht="30" customHeight="1" x14ac:dyDescent="0.2">
      <c r="B57" s="62">
        <f>SUM(B53:B56)</f>
        <v>278720.43</v>
      </c>
      <c r="F57" s="63"/>
      <c r="G57" s="63"/>
      <c r="H57" s="63"/>
      <c r="I57" s="63"/>
      <c r="J57" s="63"/>
      <c r="K57" s="63"/>
      <c r="L57" s="64">
        <f>SUM(L53:L56)</f>
        <v>278720.43</v>
      </c>
      <c r="M57" s="61"/>
      <c r="N57" s="61"/>
      <c r="O57" s="61"/>
      <c r="P57" s="61"/>
      <c r="Q57" s="61"/>
      <c r="R57" s="337">
        <f>SUM(R53:S56)</f>
        <v>289168.15201550251</v>
      </c>
      <c r="S57" s="337"/>
      <c r="T57" s="65"/>
      <c r="U57" s="65"/>
      <c r="V57" s="65"/>
      <c r="W57" s="62">
        <f>SUM(W53:W56)</f>
        <v>-10447.72201550247</v>
      </c>
      <c r="X57" s="62"/>
      <c r="Y57" s="60"/>
      <c r="AA57" s="67">
        <f>SUM(AA53:AA56)</f>
        <v>-13836.482015502508</v>
      </c>
      <c r="AD57" s="170">
        <f>SUM(AD53:AD56)</f>
        <v>298807.09041601926</v>
      </c>
      <c r="AE57" s="170">
        <f>SUM(AE53:AE56)</f>
        <v>1396969.2204160192</v>
      </c>
      <c r="AF57" s="96"/>
      <c r="AG57" s="170">
        <f>SUM(AG53:AG56)</f>
        <v>-20086.660416019236</v>
      </c>
      <c r="AH57" s="170">
        <f>SUM(AH53:AH56)</f>
        <v>-301873.67041601916</v>
      </c>
      <c r="AK57" s="173"/>
      <c r="AL57" s="173"/>
      <c r="AM57" s="173"/>
    </row>
    <row r="58" spans="1:39" s="57" customFormat="1" ht="12.75" x14ac:dyDescent="0.2">
      <c r="B58" s="62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59"/>
      <c r="U58" s="59"/>
      <c r="V58" s="59"/>
      <c r="W58" s="66">
        <f>1-(R57/L57)</f>
        <v>-3.748459348854527E-2</v>
      </c>
      <c r="Y58" s="67"/>
    </row>
    <row r="59" spans="1:39" ht="15.75" x14ac:dyDescent="0.25">
      <c r="W59" s="21"/>
      <c r="X59" s="24"/>
      <c r="AF59" s="21"/>
      <c r="AG59" s="19"/>
      <c r="AI59" s="19"/>
    </row>
    <row r="60" spans="1:39" ht="18.75" x14ac:dyDescent="0.25">
      <c r="S60" s="20"/>
      <c r="T60" s="20"/>
      <c r="U60" s="20"/>
      <c r="V60" s="20"/>
      <c r="W60" s="20"/>
      <c r="X60" s="25"/>
      <c r="Y60" s="338"/>
      <c r="Z60" s="338"/>
      <c r="AA60" s="51"/>
      <c r="AB60" s="2"/>
      <c r="AC60" s="2"/>
      <c r="AD60" s="52"/>
      <c r="AE60" s="2"/>
      <c r="AF60" s="51"/>
      <c r="AG60" s="53"/>
      <c r="AH60" s="54"/>
      <c r="AI60" s="19"/>
    </row>
    <row r="62" spans="1:39" ht="15.75" x14ac:dyDescent="0.25">
      <c r="F62" s="323"/>
      <c r="G62" s="323"/>
      <c r="H62" s="323"/>
      <c r="I62" s="323"/>
      <c r="J62" s="323"/>
      <c r="K62" s="323"/>
      <c r="Y62"/>
      <c r="Z62"/>
      <c r="AA62"/>
    </row>
    <row r="63" spans="1:39" x14ac:dyDescent="0.25">
      <c r="Y63"/>
      <c r="Z63"/>
      <c r="AA63"/>
    </row>
    <row r="64" spans="1:39" x14ac:dyDescent="0.25">
      <c r="Y64"/>
      <c r="Z64"/>
      <c r="AA64"/>
    </row>
    <row r="65" spans="25:27" x14ac:dyDescent="0.25">
      <c r="Y65"/>
      <c r="Z65"/>
      <c r="AA65"/>
    </row>
    <row r="66" spans="25:27" x14ac:dyDescent="0.25">
      <c r="Y66"/>
      <c r="Z66"/>
      <c r="AA66"/>
    </row>
    <row r="67" spans="25:27" x14ac:dyDescent="0.25">
      <c r="Y67"/>
      <c r="Z67"/>
      <c r="AA67"/>
    </row>
    <row r="68" spans="25:27" x14ac:dyDescent="0.25">
      <c r="Y68"/>
      <c r="Z68"/>
      <c r="AA68"/>
    </row>
    <row r="69" spans="25:27" x14ac:dyDescent="0.25">
      <c r="Y69"/>
      <c r="Z69"/>
      <c r="AA69"/>
    </row>
    <row r="70" spans="25:27" x14ac:dyDescent="0.25">
      <c r="Y70"/>
      <c r="Z70"/>
      <c r="AA70"/>
    </row>
    <row r="71" spans="25:27" x14ac:dyDescent="0.25">
      <c r="Y71"/>
      <c r="Z71"/>
      <c r="AA71"/>
    </row>
    <row r="72" spans="25:27" x14ac:dyDescent="0.25">
      <c r="Y72"/>
      <c r="Z72"/>
      <c r="AA72"/>
    </row>
    <row r="73" spans="25:27" x14ac:dyDescent="0.25">
      <c r="Y73"/>
      <c r="Z73"/>
      <c r="AA73"/>
    </row>
    <row r="74" spans="25:27" x14ac:dyDescent="0.25">
      <c r="Y74"/>
      <c r="Z74"/>
      <c r="AA74"/>
    </row>
  </sheetData>
  <sheetProtection selectLockedCells="1"/>
  <mergeCells count="168">
    <mergeCell ref="R57:S57"/>
    <mergeCell ref="Y60:Z60"/>
    <mergeCell ref="F62:K62"/>
    <mergeCell ref="D56:F56"/>
    <mergeCell ref="I56:K56"/>
    <mergeCell ref="N56:Q56"/>
    <mergeCell ref="R56:S56"/>
    <mergeCell ref="U56:V56"/>
    <mergeCell ref="Y56:Z56"/>
    <mergeCell ref="D55:F55"/>
    <mergeCell ref="I55:K55"/>
    <mergeCell ref="N55:Q55"/>
    <mergeCell ref="R55:S55"/>
    <mergeCell ref="U55:V55"/>
    <mergeCell ref="Y55:Z55"/>
    <mergeCell ref="D54:F54"/>
    <mergeCell ref="I54:K54"/>
    <mergeCell ref="N54:Q54"/>
    <mergeCell ref="R54:S54"/>
    <mergeCell ref="U54:V54"/>
    <mergeCell ref="Y54:Z54"/>
    <mergeCell ref="D53:F53"/>
    <mergeCell ref="I53:K53"/>
    <mergeCell ref="N53:Q53"/>
    <mergeCell ref="R53:S53"/>
    <mergeCell ref="U53:V53"/>
    <mergeCell ref="Y53:Z53"/>
    <mergeCell ref="F50:K50"/>
    <mergeCell ref="Y50:Z50"/>
    <mergeCell ref="A52:B52"/>
    <mergeCell ref="D52:G52"/>
    <mergeCell ref="I52:L52"/>
    <mergeCell ref="N52:S52"/>
    <mergeCell ref="U52:W52"/>
    <mergeCell ref="Y52:AA52"/>
    <mergeCell ref="D49:F49"/>
    <mergeCell ref="I49:K49"/>
    <mergeCell ref="N49:R49"/>
    <mergeCell ref="U49:V49"/>
    <mergeCell ref="Y49:Z49"/>
    <mergeCell ref="AD49:AE49"/>
    <mergeCell ref="D48:F48"/>
    <mergeCell ref="I48:K48"/>
    <mergeCell ref="N48:R48"/>
    <mergeCell ref="U48:V48"/>
    <mergeCell ref="Y48:Z48"/>
    <mergeCell ref="AD48:AE48"/>
    <mergeCell ref="D47:F47"/>
    <mergeCell ref="I47:K47"/>
    <mergeCell ref="N47:R47"/>
    <mergeCell ref="U47:V47"/>
    <mergeCell ref="Y47:Z47"/>
    <mergeCell ref="AD47:AE47"/>
    <mergeCell ref="AD45:AF45"/>
    <mergeCell ref="D46:F46"/>
    <mergeCell ref="I46:K46"/>
    <mergeCell ref="N46:R46"/>
    <mergeCell ref="U46:V46"/>
    <mergeCell ref="Y46:Z46"/>
    <mergeCell ref="AD46:AE46"/>
    <mergeCell ref="A45:B45"/>
    <mergeCell ref="D45:G45"/>
    <mergeCell ref="I45:L45"/>
    <mergeCell ref="N45:S45"/>
    <mergeCell ref="U45:W45"/>
    <mergeCell ref="Y45:AA45"/>
    <mergeCell ref="AD43:AE43"/>
    <mergeCell ref="AF43:AG43"/>
    <mergeCell ref="AH43:AI43"/>
    <mergeCell ref="G44:H44"/>
    <mergeCell ref="V44:W44"/>
    <mergeCell ref="AF44:AG44"/>
    <mergeCell ref="B43:F43"/>
    <mergeCell ref="G43:J43"/>
    <mergeCell ref="K43:S43"/>
    <mergeCell ref="T43:U43"/>
    <mergeCell ref="V43:W43"/>
    <mergeCell ref="X43:Y43"/>
    <mergeCell ref="AH41:AI41"/>
    <mergeCell ref="B42:F42"/>
    <mergeCell ref="G42:J42"/>
    <mergeCell ref="K42:S42"/>
    <mergeCell ref="T42:U42"/>
    <mergeCell ref="V42:W42"/>
    <mergeCell ref="X42:Y42"/>
    <mergeCell ref="AD42:AE42"/>
    <mergeCell ref="AF42:AG42"/>
    <mergeCell ref="AH42:AI42"/>
    <mergeCell ref="AF40:AG40"/>
    <mergeCell ref="AH40:AI40"/>
    <mergeCell ref="B41:F41"/>
    <mergeCell ref="G41:J41"/>
    <mergeCell ref="K41:S41"/>
    <mergeCell ref="T41:U41"/>
    <mergeCell ref="V41:W41"/>
    <mergeCell ref="X41:Y41"/>
    <mergeCell ref="AD41:AE41"/>
    <mergeCell ref="AF41:AG41"/>
    <mergeCell ref="AD39:AE39"/>
    <mergeCell ref="AF39:AG39"/>
    <mergeCell ref="AH39:AI39"/>
    <mergeCell ref="B40:F40"/>
    <mergeCell ref="G40:J40"/>
    <mergeCell ref="K40:S40"/>
    <mergeCell ref="T40:U40"/>
    <mergeCell ref="V40:W40"/>
    <mergeCell ref="X40:Y40"/>
    <mergeCell ref="AD40:AE40"/>
    <mergeCell ref="B39:F39"/>
    <mergeCell ref="G39:J39"/>
    <mergeCell ref="K39:S39"/>
    <mergeCell ref="T39:U39"/>
    <mergeCell ref="V39:W39"/>
    <mergeCell ref="X39:Y39"/>
    <mergeCell ref="AH37:AI37"/>
    <mergeCell ref="B38:F38"/>
    <mergeCell ref="G38:J38"/>
    <mergeCell ref="K38:S38"/>
    <mergeCell ref="T38:U38"/>
    <mergeCell ref="V38:W38"/>
    <mergeCell ref="X38:Y38"/>
    <mergeCell ref="AD38:AE38"/>
    <mergeCell ref="AF38:AG38"/>
    <mergeCell ref="AH38:AI38"/>
    <mergeCell ref="AD36:AI36"/>
    <mergeCell ref="AJ36:AN36"/>
    <mergeCell ref="B37:F37"/>
    <mergeCell ref="G37:J37"/>
    <mergeCell ref="K37:S37"/>
    <mergeCell ref="T37:U37"/>
    <mergeCell ref="V37:W37"/>
    <mergeCell ref="X37:Y37"/>
    <mergeCell ref="AD37:AE37"/>
    <mergeCell ref="AF37:AG37"/>
    <mergeCell ref="AI3:AI4"/>
    <mergeCell ref="AJ3:AJ4"/>
    <mergeCell ref="AK3:AK4"/>
    <mergeCell ref="AL3:AL4"/>
    <mergeCell ref="AM3:AM4"/>
    <mergeCell ref="AN3:AN4"/>
    <mergeCell ref="AC3:AC4"/>
    <mergeCell ref="AD3:AD4"/>
    <mergeCell ref="AE3:AE4"/>
    <mergeCell ref="AF3:AF4"/>
    <mergeCell ref="AG3:AG4"/>
    <mergeCell ref="AH3:AH4"/>
    <mergeCell ref="U3:U4"/>
    <mergeCell ref="W3:W4"/>
    <mergeCell ref="X3:X4"/>
    <mergeCell ref="Y3:Y4"/>
    <mergeCell ref="Z3:AA3"/>
    <mergeCell ref="AB3:AB4"/>
    <mergeCell ref="J3:K3"/>
    <mergeCell ref="L3:N3"/>
    <mergeCell ref="O3:Q3"/>
    <mergeCell ref="R3:R4"/>
    <mergeCell ref="S3:S4"/>
    <mergeCell ref="T3:T4"/>
    <mergeCell ref="A1:AN1"/>
    <mergeCell ref="A2:A4"/>
    <mergeCell ref="B2:S2"/>
    <mergeCell ref="T2:Y2"/>
    <mergeCell ref="Z2:AC2"/>
    <mergeCell ref="AD2:AL2"/>
    <mergeCell ref="AM2:AN2"/>
    <mergeCell ref="B3:C3"/>
    <mergeCell ref="D3:F3"/>
    <mergeCell ref="G3:I3"/>
  </mergeCells>
  <conditionalFormatting sqref="L46">
    <cfRule type="cellIs" dxfId="55" priority="43" operator="lessThan">
      <formula>$G$46</formula>
    </cfRule>
    <cfRule type="cellIs" dxfId="54" priority="56" operator="greaterThan">
      <formula>$G$46</formula>
    </cfRule>
  </conditionalFormatting>
  <conditionalFormatting sqref="L47">
    <cfRule type="cellIs" dxfId="53" priority="42" operator="lessThan">
      <formula>$G$47</formula>
    </cfRule>
    <cfRule type="cellIs" dxfId="52" priority="55" operator="greaterThan">
      <formula>$G$47</formula>
    </cfRule>
  </conditionalFormatting>
  <conditionalFormatting sqref="L48">
    <cfRule type="cellIs" dxfId="51" priority="41" operator="lessThan">
      <formula>$G$48</formula>
    </cfRule>
    <cfRule type="cellIs" dxfId="50" priority="54" operator="greaterThan">
      <formula>$G$48</formula>
    </cfRule>
  </conditionalFormatting>
  <conditionalFormatting sqref="L49">
    <cfRule type="cellIs" dxfId="49" priority="40" operator="lessThan">
      <formula>$G$49</formula>
    </cfRule>
    <cfRule type="cellIs" dxfId="48" priority="53" operator="greaterThan">
      <formula>$G$49</formula>
    </cfRule>
  </conditionalFormatting>
  <conditionalFormatting sqref="L53">
    <cfRule type="cellIs" dxfId="47" priority="9" operator="lessThan">
      <formula>$R$53</formula>
    </cfRule>
    <cfRule type="cellIs" dxfId="46" priority="10" operator="greaterThan">
      <formula>$R$53</formula>
    </cfRule>
    <cfRule type="cellIs" dxfId="45" priority="20" operator="lessThan">
      <formula>$G$46</formula>
    </cfRule>
    <cfRule type="cellIs" dxfId="44" priority="24" operator="greaterThan">
      <formula>$G$46</formula>
    </cfRule>
  </conditionalFormatting>
  <conditionalFormatting sqref="L54">
    <cfRule type="cellIs" dxfId="43" priority="7" operator="lessThan">
      <formula>$R$54</formula>
    </cfRule>
    <cfRule type="cellIs" dxfId="42" priority="8" operator="greaterThan">
      <formula>$R$54</formula>
    </cfRule>
    <cfRule type="cellIs" dxfId="41" priority="19" operator="lessThan">
      <formula>$G$47</formula>
    </cfRule>
    <cfRule type="cellIs" dxfId="40" priority="23" operator="greaterThan">
      <formula>$G$47</formula>
    </cfRule>
  </conditionalFormatting>
  <conditionalFormatting sqref="L55">
    <cfRule type="cellIs" dxfId="39" priority="5" operator="lessThan">
      <formula>$R$55</formula>
    </cfRule>
    <cfRule type="cellIs" dxfId="38" priority="6" operator="greaterThan">
      <formula>$R$55</formula>
    </cfRule>
    <cfRule type="cellIs" dxfId="37" priority="18" operator="lessThan">
      <formula>$G$48</formula>
    </cfRule>
    <cfRule type="cellIs" dxfId="36" priority="22" operator="greaterThan">
      <formula>$G$48</formula>
    </cfRule>
  </conditionalFormatting>
  <conditionalFormatting sqref="L56">
    <cfRule type="cellIs" dxfId="35" priority="3" operator="lessThan">
      <formula>$R$56</formula>
    </cfRule>
    <cfRule type="cellIs" dxfId="34" priority="4" operator="greaterThan">
      <formula>$R$56</formula>
    </cfRule>
    <cfRule type="cellIs" dxfId="33" priority="17" operator="lessThan">
      <formula>$G$49</formula>
    </cfRule>
    <cfRule type="cellIs" dxfId="32" priority="21" operator="greaterThan">
      <formula>$G$49</formula>
    </cfRule>
  </conditionalFormatting>
  <conditionalFormatting sqref="W46">
    <cfRule type="cellIs" dxfId="31" priority="48" operator="lessThan">
      <formula>$S$46</formula>
    </cfRule>
    <cfRule type="cellIs" dxfId="30" priority="52" operator="greaterThan">
      <formula>$S$46</formula>
    </cfRule>
  </conditionalFormatting>
  <conditionalFormatting sqref="W47">
    <cfRule type="cellIs" dxfId="29" priority="46" operator="lessThan">
      <formula>$S$47</formula>
    </cfRule>
    <cfRule type="cellIs" dxfId="28" priority="47" operator="lessThan">
      <formula>$S$47</formula>
    </cfRule>
    <cfRule type="cellIs" dxfId="27" priority="51" operator="greaterThan">
      <formula>$S$47</formula>
    </cfRule>
  </conditionalFormatting>
  <conditionalFormatting sqref="W48">
    <cfRule type="cellIs" dxfId="26" priority="45" operator="lessThan">
      <formula>$S$48</formula>
    </cfRule>
    <cfRule type="cellIs" dxfId="25" priority="50" operator="greaterThan">
      <formula>$S$48</formula>
    </cfRule>
  </conditionalFormatting>
  <conditionalFormatting sqref="W49">
    <cfRule type="cellIs" dxfId="24" priority="44" operator="lessThan">
      <formula>$S$49</formula>
    </cfRule>
    <cfRule type="cellIs" dxfId="23" priority="49" operator="greaterThan">
      <formula>$S$49</formula>
    </cfRule>
  </conditionalFormatting>
  <conditionalFormatting sqref="W53:W56">
    <cfRule type="cellIs" dxfId="22" priority="25" operator="lessThan">
      <formula>#REF!</formula>
    </cfRule>
    <cfRule type="cellIs" dxfId="21" priority="27" operator="greaterThan">
      <formula>#REF!</formula>
    </cfRule>
  </conditionalFormatting>
  <conditionalFormatting sqref="W54 W56">
    <cfRule type="cellIs" dxfId="20" priority="26" operator="lessThan">
      <formula>#REF!</formula>
    </cfRule>
  </conditionalFormatting>
  <conditionalFormatting sqref="AA53:AA56">
    <cfRule type="cellIs" dxfId="19" priority="14" operator="lessThan">
      <formula>#REF!</formula>
    </cfRule>
    <cfRule type="cellIs" dxfId="18" priority="16" operator="greaterThan">
      <formula>#REF!</formula>
    </cfRule>
  </conditionalFormatting>
  <conditionalFormatting sqref="AA54 AA56">
    <cfRule type="cellIs" dxfId="17" priority="15" operator="lessThan">
      <formula>#REF!</formula>
    </cfRule>
  </conditionalFormatting>
  <conditionalFormatting sqref="AF46">
    <cfRule type="cellIs" dxfId="16" priority="35" operator="lessThan">
      <formula>$AA$46</formula>
    </cfRule>
    <cfRule type="cellIs" dxfId="15" priority="39" operator="greaterThan">
      <formula>$AA$46</formula>
    </cfRule>
  </conditionalFormatting>
  <conditionalFormatting sqref="AF47">
    <cfRule type="cellIs" dxfId="14" priority="34" operator="lessThan">
      <formula>$AA$47</formula>
    </cfRule>
    <cfRule type="cellIs" dxfId="13" priority="38" operator="greaterThan">
      <formula>$AA$47</formula>
    </cfRule>
  </conditionalFormatting>
  <conditionalFormatting sqref="AF48">
    <cfRule type="cellIs" dxfId="12" priority="28" operator="lessThan">
      <formula>$AA$48</formula>
    </cfRule>
    <cfRule type="cellIs" dxfId="11" priority="29" operator="greaterThan">
      <formula>$AA$48</formula>
    </cfRule>
    <cfRule type="cellIs" dxfId="10" priority="30" operator="lessThan">
      <formula>$AA$48</formula>
    </cfRule>
    <cfRule type="cellIs" dxfId="9" priority="31" operator="lessThan">
      <formula>$AA$48</formula>
    </cfRule>
    <cfRule type="cellIs" dxfId="8" priority="32" operator="greaterThan">
      <formula>$AA$48</formula>
    </cfRule>
    <cfRule type="cellIs" dxfId="7" priority="37" operator="greaterThan">
      <formula>$AA$48</formula>
    </cfRule>
  </conditionalFormatting>
  <conditionalFormatting sqref="AF49">
    <cfRule type="cellIs" dxfId="6" priority="33" operator="lessThan">
      <formula>$AA$49</formula>
    </cfRule>
    <cfRule type="cellIs" dxfId="5" priority="36" operator="greaterThan">
      <formula>$AA$49</formula>
    </cfRule>
  </conditionalFormatting>
  <conditionalFormatting sqref="AG50">
    <cfRule type="cellIs" dxfId="4" priority="1" operator="lessThan">
      <formula>#REF!</formula>
    </cfRule>
    <cfRule type="cellIs" dxfId="3" priority="2" operator="greaterThan">
      <formula>#REF!</formula>
    </cfRule>
  </conditionalFormatting>
  <conditionalFormatting sqref="AK53:AL56">
    <cfRule type="cellIs" dxfId="2" priority="11" operator="lessThan">
      <formula>#REF!</formula>
    </cfRule>
    <cfRule type="cellIs" dxfId="1" priority="13" operator="greaterThan">
      <formula>#REF!</formula>
    </cfRule>
  </conditionalFormatting>
  <conditionalFormatting sqref="AK54:AL54 AK56:AL56">
    <cfRule type="cellIs" dxfId="0" priority="12" operator="lessThan">
      <formula>#REF!</formula>
    </cfRule>
  </conditionalFormatting>
  <dataValidations count="3">
    <dataValidation type="textLength" errorStyle="information" allowBlank="1" showInputMessage="1" showErrorMessage="1" error="XLBVal:5=31291.78_x000d__x000a_" sqref="V39" xr:uid="{70616F17-034E-4C20-B685-250BA5425EE2}">
      <formula1>0</formula1>
      <formula2>300</formula2>
    </dataValidation>
    <dataValidation type="textLength" errorStyle="information" allowBlank="1" showInputMessage="1" showErrorMessage="1" error="XLBVal:5=320133_x000d__x000a_" sqref="G39" xr:uid="{C6F24CBF-AFB1-4BCD-9D3D-007B0017FEE7}">
      <formula1>0</formula1>
      <formula2>300</formula2>
    </dataValidation>
    <dataValidation type="textLength" errorStyle="information" allowBlank="1" showInputMessage="1" showErrorMessage="1" error="XLBVal:5=0_x000d__x000a_" sqref="AA39" xr:uid="{036401A1-47F3-4115-9FCF-B3ABA38CCAEB}">
      <formula1>0</formula1>
      <formula2>300</formula2>
    </dataValidation>
  </dataValidations>
  <pageMargins left="0.39370078740157483" right="0.19685039370078741" top="0.31496062992125984" bottom="0.23622047244094491" header="0.31496062992125984" footer="0.31496062992125984"/>
  <pageSetup paperSize="9" scale="28" fitToHeight="0" orientation="landscape" r:id="rId1"/>
  <headerFooter>
    <oddHeader>&amp;C&amp;"-,Bold"UTILITY CONSUMPTION DAILY REPORT JANUARY 2015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APR 2025</vt:lpstr>
      <vt:lpstr>'APR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2025-05-02T10:35:49Z</dcterms:modified>
</cp:coreProperties>
</file>