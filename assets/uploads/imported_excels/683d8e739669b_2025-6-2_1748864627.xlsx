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27BEB9B6-6379-49DB-9ABC-6B94AAA5FA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K29" i="2" s="1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F11" i="2"/>
  <c r="G11" i="2" s="1"/>
  <c r="C11" i="2"/>
  <c r="J10" i="2"/>
  <c r="F10" i="2"/>
  <c r="C10" i="2"/>
  <c r="F9" i="2"/>
  <c r="G9" i="2" s="1"/>
  <c r="C9" i="2"/>
  <c r="J8" i="2"/>
  <c r="F8" i="2"/>
  <c r="C8" i="2"/>
  <c r="K7" i="2"/>
  <c r="F7" i="2"/>
  <c r="G7" i="2" s="1"/>
  <c r="G34" i="2" l="1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<sst xmlns="http://schemas.openxmlformats.org/spreadsheetml/2006/main" count="92" uniqueCount="40">
  <si>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</si>
  <si>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</si>
  <si>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</si>
  <si>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</si>
  <si>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</si>
  <si>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</si>
  <si>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</si>
  <si>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</si>
  <si>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</si>
  <si>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</si>
  <si>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</si>
  <si>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</si>
  <si>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</si>
  <si>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</si>
  <si>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</si>
  <si>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</si>
  <si>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</si>
  <si>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</si>
  <si>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</si>
  <si>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</si>
  <si>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</si>
  <si>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</si>
  <si>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</si>
  <si>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</si>
  <si>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</si>
  <si>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</si>
  <si>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</si>
  <si>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</si>
  <si>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</si>
  <si>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</si>
  <si>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</si>
  <si>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April-2025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</si>
  <si>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</si>
  <si>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</si>
  <si>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</si>
  <si>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</si>
  <si>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</si>
  <si>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</si>
  <si>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</si>
  <si>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ADDC meter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</si>
</sst>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1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abSelected="1" topLeftCell="A13" workbookViewId="0">
      <selection activeCell="L31" sqref="L31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3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3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4793</v>
      </c>
      <c r="F2" s="45">
        <v>0.2</v>
      </c>
      <c r="G2" s="44"/>
      <c r="I2" s="44">
        <f>Sheet2!K8</f>
        <v>0</v>
      </c>
      <c r="J2" s="46">
        <v>7.84</v>
      </c>
      <c r="K2" s="44">
        <v>103</v>
      </c>
      <c r="L2" s="44">
        <v>134</v>
      </c>
    </row>
    <row r="3" spans="1:13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4793</v>
      </c>
      <c r="F3" s="45">
        <v>0.2</v>
      </c>
      <c r="G3" s="44"/>
      <c r="I3" s="44">
        <f>Sheet2!K9</f>
        <v>0</v>
      </c>
      <c r="J3" s="46">
        <v>7.84</v>
      </c>
      <c r="K3" s="44">
        <v>104</v>
      </c>
      <c r="L3" s="44">
        <v>132</v>
      </c>
      <c r="M3" s="47" t="s">
        <v>39</v>
      </c>
    </row>
    <row r="4" spans="1:13">
      <c r="A4" s="42" t="s">
        <v>24</v>
      </c>
      <c r="B4" s="43">
        <f t="shared" ref="B4:B31" si="0">B3+1</f>
        <v>3</v>
      </c>
      <c r="C4" s="43">
        <v>4</v>
      </c>
      <c r="D4" s="43">
        <v>2025</v>
      </c>
      <c r="E4" s="44">
        <f>Sheet2!G10</f>
        <v>5300</v>
      </c>
      <c r="F4" s="45">
        <v>0.2</v>
      </c>
      <c r="G4" s="44"/>
      <c r="I4" s="44">
        <f>Sheet2!K10</f>
        <v>0</v>
      </c>
      <c r="J4" s="46">
        <v>7.84</v>
      </c>
      <c r="K4" s="44">
        <v>101</v>
      </c>
      <c r="L4" s="44">
        <v>126</v>
      </c>
      <c r="M4" s="47" t="s">
        <v>39</v>
      </c>
    </row>
    <row r="5" spans="1:13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5827</v>
      </c>
      <c r="F5" s="45">
        <v>0.2</v>
      </c>
      <c r="G5" s="44"/>
      <c r="I5" s="44">
        <f>Sheet2!K11</f>
        <v>0</v>
      </c>
      <c r="J5" s="46">
        <v>7.84</v>
      </c>
      <c r="K5" s="44">
        <v>92</v>
      </c>
      <c r="L5" s="44">
        <v>117</v>
      </c>
      <c r="M5" s="47" t="s">
        <v>39</v>
      </c>
    </row>
    <row r="6" spans="1:13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5697</v>
      </c>
      <c r="F6" s="45">
        <v>0.2</v>
      </c>
      <c r="G6" s="44"/>
      <c r="I6" s="44">
        <f>Sheet2!K12</f>
        <v>0</v>
      </c>
      <c r="J6" s="46">
        <v>7.84</v>
      </c>
      <c r="K6" s="44">
        <v>90</v>
      </c>
      <c r="L6" s="44">
        <v>117</v>
      </c>
      <c r="M6" s="47" t="s">
        <v>39</v>
      </c>
    </row>
    <row r="7" spans="1:13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5863</v>
      </c>
      <c r="F7" s="45">
        <v>0.2</v>
      </c>
      <c r="G7" s="44"/>
      <c r="I7" s="44">
        <f>Sheet2!K13</f>
        <v>0</v>
      </c>
      <c r="J7" s="46">
        <v>7.84</v>
      </c>
      <c r="K7" s="44">
        <v>86</v>
      </c>
      <c r="L7" s="44">
        <v>100</v>
      </c>
      <c r="M7" s="47" t="s">
        <v>39</v>
      </c>
    </row>
    <row r="8" spans="1:13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5674</v>
      </c>
      <c r="F8" s="45">
        <v>0.2</v>
      </c>
      <c r="G8" s="44"/>
      <c r="I8" s="44">
        <f>Sheet2!K14</f>
        <v>0</v>
      </c>
      <c r="J8" s="46">
        <v>7.84</v>
      </c>
      <c r="K8" s="44">
        <v>105</v>
      </c>
      <c r="L8" s="44">
        <v>124</v>
      </c>
      <c r="M8" s="47" t="s">
        <v>39</v>
      </c>
    </row>
    <row r="9" spans="1:13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5830</v>
      </c>
      <c r="F9" s="45">
        <v>0.2</v>
      </c>
      <c r="G9" s="44"/>
      <c r="I9" s="44">
        <f>Sheet2!K15</f>
        <v>0</v>
      </c>
      <c r="J9" s="46">
        <v>7.84</v>
      </c>
      <c r="K9" s="44">
        <v>108</v>
      </c>
      <c r="L9" s="44">
        <v>136</v>
      </c>
      <c r="M9" s="47" t="s">
        <v>39</v>
      </c>
    </row>
    <row r="10" spans="1:13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5624</v>
      </c>
      <c r="F10" s="45">
        <v>0.2</v>
      </c>
      <c r="G10" s="44"/>
      <c r="I10" s="44">
        <f>Sheet2!K16</f>
        <v>0</v>
      </c>
      <c r="J10" s="46">
        <v>7.84</v>
      </c>
      <c r="K10" s="44">
        <v>108</v>
      </c>
      <c r="L10" s="44">
        <v>130</v>
      </c>
      <c r="M10" s="47" t="s">
        <v>39</v>
      </c>
    </row>
    <row r="11" spans="1:13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5570</v>
      </c>
      <c r="F11" s="45">
        <v>0.2</v>
      </c>
      <c r="G11" s="44"/>
      <c r="I11" s="44">
        <f>Sheet2!K17</f>
        <v>22</v>
      </c>
      <c r="J11" s="46">
        <v>7.84</v>
      </c>
      <c r="K11" s="44">
        <v>108</v>
      </c>
      <c r="L11" s="44">
        <v>134</v>
      </c>
    </row>
    <row r="12" spans="1:13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5435</v>
      </c>
      <c r="F12" s="45">
        <v>0.2</v>
      </c>
      <c r="G12" s="44"/>
      <c r="I12" s="44">
        <f>Sheet2!K18</f>
        <v>28</v>
      </c>
      <c r="J12" s="46">
        <v>7.84</v>
      </c>
      <c r="K12" s="44">
        <v>107</v>
      </c>
      <c r="L12" s="44">
        <v>137</v>
      </c>
    </row>
    <row r="13" spans="1:13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5785</v>
      </c>
      <c r="F13" s="45">
        <v>0.2</v>
      </c>
      <c r="G13" s="44"/>
      <c r="I13" s="44">
        <f>Sheet2!K19</f>
        <v>29</v>
      </c>
      <c r="J13" s="46">
        <v>7.84</v>
      </c>
      <c r="K13" s="44">
        <v>108</v>
      </c>
      <c r="L13" s="44">
        <v>140</v>
      </c>
    </row>
    <row r="14" spans="1:13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5885</v>
      </c>
      <c r="F14" s="45">
        <v>0.2</v>
      </c>
      <c r="G14" s="44"/>
      <c r="I14" s="44">
        <f>Sheet2!K20</f>
        <v>29</v>
      </c>
      <c r="J14" s="46">
        <v>7.84</v>
      </c>
      <c r="K14" s="44">
        <v>104</v>
      </c>
      <c r="L14" s="44">
        <v>130</v>
      </c>
    </row>
    <row r="15" spans="1:13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5815</v>
      </c>
      <c r="F15" s="45">
        <v>0.2</v>
      </c>
      <c r="G15" s="44"/>
      <c r="I15" s="44">
        <f>Sheet2!K21</f>
        <v>28</v>
      </c>
      <c r="J15" s="46">
        <v>7.84</v>
      </c>
      <c r="K15" s="44">
        <v>106</v>
      </c>
      <c r="L15" s="44">
        <v>134</v>
      </c>
    </row>
    <row r="16" spans="1:13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5695</v>
      </c>
      <c r="F16" s="45">
        <v>0.2</v>
      </c>
      <c r="G16" s="44"/>
      <c r="I16" s="44">
        <f>Sheet2!K22</f>
        <v>27</v>
      </c>
      <c r="J16" s="46">
        <v>7.84</v>
      </c>
      <c r="K16" s="44">
        <v>108</v>
      </c>
      <c r="L16" s="44">
        <v>138</v>
      </c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5647</v>
      </c>
      <c r="F17" s="45">
        <v>0.2</v>
      </c>
      <c r="G17" s="44"/>
      <c r="I17" s="44">
        <f>Sheet2!K23</f>
        <v>29</v>
      </c>
      <c r="J17" s="46">
        <v>7.84</v>
      </c>
      <c r="K17" s="44">
        <v>108</v>
      </c>
      <c r="L17" s="44">
        <v>139</v>
      </c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5493</v>
      </c>
      <c r="F18" s="45">
        <v>0.2</v>
      </c>
      <c r="G18" s="44"/>
      <c r="I18" s="44">
        <f>Sheet2!K24</f>
        <v>29</v>
      </c>
      <c r="J18" s="46">
        <v>7.84</v>
      </c>
      <c r="K18" s="44">
        <v>108</v>
      </c>
      <c r="L18" s="44">
        <v>141</v>
      </c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5229</v>
      </c>
      <c r="F19" s="45">
        <v>0.2</v>
      </c>
      <c r="G19" s="44"/>
      <c r="I19" s="44">
        <f>Sheet2!K25</f>
        <v>30</v>
      </c>
      <c r="J19" s="46">
        <v>7.84</v>
      </c>
      <c r="K19" s="44">
        <v>108</v>
      </c>
      <c r="L19" s="44">
        <v>144</v>
      </c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5610</v>
      </c>
      <c r="F20" s="45">
        <v>0.2</v>
      </c>
      <c r="G20" s="44"/>
      <c r="I20" s="44">
        <f>Sheet2!K26</f>
        <v>28</v>
      </c>
      <c r="J20" s="46">
        <v>7.84</v>
      </c>
      <c r="K20" s="44">
        <v>108</v>
      </c>
      <c r="L20" s="44">
        <v>137</v>
      </c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5632</v>
      </c>
      <c r="F21" s="45">
        <v>0.2</v>
      </c>
      <c r="G21" s="44"/>
      <c r="I21" s="44">
        <f>Sheet2!K27</f>
        <v>31</v>
      </c>
      <c r="J21" s="46">
        <v>7.84</v>
      </c>
      <c r="K21" s="44">
        <v>102</v>
      </c>
      <c r="L21" s="44">
        <v>127</v>
      </c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5599</v>
      </c>
      <c r="F22" s="45">
        <v>0.2</v>
      </c>
      <c r="G22" s="44"/>
      <c r="I22" s="44">
        <f>Sheet2!K28</f>
        <v>28</v>
      </c>
      <c r="J22" s="46">
        <v>7.84</v>
      </c>
      <c r="K22" s="44">
        <v>104</v>
      </c>
      <c r="L22" s="44">
        <v>121</v>
      </c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5679</v>
      </c>
      <c r="F23" s="45">
        <v>0.2</v>
      </c>
      <c r="G23" s="44"/>
      <c r="I23" s="44">
        <f>Sheet2!K29</f>
        <v>22</v>
      </c>
      <c r="J23" s="46">
        <v>7.84</v>
      </c>
      <c r="K23" s="44">
        <v>108</v>
      </c>
      <c r="L23" s="44">
        <v>119</v>
      </c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5891</v>
      </c>
      <c r="F24" s="45">
        <v>0.2</v>
      </c>
      <c r="G24" s="44"/>
      <c r="I24" s="44">
        <f>Sheet2!K30</f>
        <v>28</v>
      </c>
      <c r="J24" s="46">
        <v>7.84</v>
      </c>
      <c r="K24" s="44">
        <v>107</v>
      </c>
      <c r="L24" s="44">
        <v>122</v>
      </c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5756</v>
      </c>
      <c r="F25" s="45">
        <v>0.2</v>
      </c>
      <c r="G25" s="44"/>
      <c r="I25" s="44">
        <f>Sheet2!K31</f>
        <v>29</v>
      </c>
      <c r="J25" s="46">
        <v>7.84</v>
      </c>
      <c r="K25" s="44">
        <v>103</v>
      </c>
      <c r="L25" s="44">
        <v>123</v>
      </c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5824</v>
      </c>
      <c r="F26" s="45">
        <v>0.2</v>
      </c>
      <c r="G26" s="44"/>
      <c r="I26" s="44">
        <f>Sheet2!K32</f>
        <v>29</v>
      </c>
      <c r="J26" s="46">
        <v>7.84</v>
      </c>
      <c r="K26" s="44">
        <v>108</v>
      </c>
      <c r="L26" s="44">
        <v>139</v>
      </c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6320</v>
      </c>
      <c r="F27" s="45">
        <v>0.2</v>
      </c>
      <c r="G27" s="44"/>
      <c r="I27" s="44">
        <f>Sheet2!K33</f>
        <v>30</v>
      </c>
      <c r="J27" s="46">
        <v>7.84</v>
      </c>
      <c r="K27" s="44">
        <v>108</v>
      </c>
      <c r="L27" s="44">
        <v>141</v>
      </c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6410</v>
      </c>
      <c r="F28" s="45">
        <v>0.2</v>
      </c>
      <c r="G28" s="44"/>
      <c r="I28" s="44">
        <f>Sheet2!K34</f>
        <v>31</v>
      </c>
      <c r="J28" s="46">
        <v>7.84</v>
      </c>
      <c r="K28" s="44">
        <v>100</v>
      </c>
      <c r="L28" s="44">
        <v>118</v>
      </c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6275</v>
      </c>
      <c r="F29" s="45">
        <v>0.2</v>
      </c>
      <c r="G29" s="44"/>
      <c r="I29" s="44">
        <f>Sheet2!K35</f>
        <v>34</v>
      </c>
      <c r="J29" s="46">
        <v>7.84</v>
      </c>
      <c r="K29" s="44">
        <v>106</v>
      </c>
      <c r="L29" s="44">
        <v>119</v>
      </c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6449</v>
      </c>
      <c r="F30" s="45">
        <v>0.2</v>
      </c>
      <c r="G30" s="44"/>
      <c r="I30" s="44">
        <f>Sheet2!K36</f>
        <v>27</v>
      </c>
      <c r="J30" s="46">
        <v>7.84</v>
      </c>
      <c r="K30" s="44">
        <v>108</v>
      </c>
      <c r="L30" s="44">
        <v>127</v>
      </c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6383</v>
      </c>
      <c r="F31" s="45">
        <v>0.2</v>
      </c>
      <c r="G31" s="44"/>
      <c r="I31" s="44">
        <f>Sheet2!K37</f>
        <v>29</v>
      </c>
      <c r="J31" s="46">
        <v>7.84</v>
      </c>
      <c r="K31" s="44">
        <v>102</v>
      </c>
      <c r="L31" s="44">
        <v>119</v>
      </c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opLeftCell="A24" zoomScaleNormal="100" workbookViewId="0">
      <selection activeCell="P41" sqref="P41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5" ht="31.5" thickBot="1">
      <c r="A1" s="97" t="s">
        <v>25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5" ht="29.25" customHeight="1" thickBot="1">
      <c r="A2" s="99" t="s">
        <v>31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3" spans="1:15">
      <c r="A3" s="1" t="s">
        <v>0</v>
      </c>
      <c r="B3" s="115" t="s">
        <v>1</v>
      </c>
      <c r="C3" s="116"/>
      <c r="D3" s="119" t="s">
        <v>2</v>
      </c>
      <c r="E3" s="120"/>
      <c r="F3" s="120"/>
      <c r="G3" s="121"/>
      <c r="H3" s="125" t="s">
        <v>3</v>
      </c>
      <c r="I3" s="126"/>
      <c r="J3" s="126"/>
      <c r="K3" s="127"/>
      <c r="L3" s="101" t="s">
        <v>26</v>
      </c>
      <c r="M3" s="102"/>
      <c r="N3" s="102"/>
    </row>
    <row r="4" spans="1:15">
      <c r="A4" s="1"/>
      <c r="B4" s="117"/>
      <c r="C4" s="118"/>
      <c r="D4" s="122"/>
      <c r="E4" s="123"/>
      <c r="F4" s="123"/>
      <c r="G4" s="124"/>
      <c r="H4" s="128"/>
      <c r="I4" s="129"/>
      <c r="J4" s="129"/>
      <c r="K4" s="130"/>
      <c r="L4" s="51" t="s">
        <v>27</v>
      </c>
      <c r="M4" s="103" t="s">
        <v>28</v>
      </c>
      <c r="N4" s="105" t="s">
        <v>29</v>
      </c>
    </row>
    <row r="5" spans="1:15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4"/>
      <c r="N5" s="106"/>
    </row>
    <row r="6" spans="1:15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5" ht="15.75" customHeight="1">
      <c r="A7" s="20">
        <v>31</v>
      </c>
      <c r="B7" s="21"/>
      <c r="C7" s="22"/>
      <c r="D7" s="23">
        <v>34209544</v>
      </c>
      <c r="E7" s="24">
        <v>0</v>
      </c>
      <c r="F7" s="25">
        <f t="shared" ref="F7:F37" si="0">(D7+E7)</f>
        <v>34209544</v>
      </c>
      <c r="G7" s="26">
        <f t="shared" ref="G7:G37" si="1">(F7-F6)</f>
        <v>34209544</v>
      </c>
      <c r="H7" s="23">
        <v>78076</v>
      </c>
      <c r="I7" s="24">
        <v>615</v>
      </c>
      <c r="J7" s="25">
        <v>615</v>
      </c>
      <c r="K7" s="22">
        <f t="shared" ref="K7:K37" si="2">(J7-J6)</f>
        <v>615</v>
      </c>
      <c r="L7" s="21"/>
      <c r="M7" s="56"/>
      <c r="N7" s="57"/>
    </row>
    <row r="8" spans="1:15" ht="15" customHeight="1" thickBot="1">
      <c r="A8" s="20">
        <v>1</v>
      </c>
      <c r="B8" s="27"/>
      <c r="C8" s="28">
        <f t="shared" ref="C8:C33" si="3">(229/100*B8)</f>
        <v>0</v>
      </c>
      <c r="D8" s="24">
        <v>34214337</v>
      </c>
      <c r="E8" s="24">
        <v>0</v>
      </c>
      <c r="F8" s="25">
        <f t="shared" si="0"/>
        <v>34214337</v>
      </c>
      <c r="G8" s="29">
        <f t="shared" si="1"/>
        <v>4793</v>
      </c>
      <c r="H8" s="30">
        <v>0</v>
      </c>
      <c r="I8" s="24">
        <v>615</v>
      </c>
      <c r="J8" s="25">
        <f>H8+I8</f>
        <v>615</v>
      </c>
      <c r="K8" s="22">
        <f t="shared" si="2"/>
        <v>0</v>
      </c>
      <c r="L8" s="27"/>
      <c r="M8" s="58"/>
      <c r="N8" s="59"/>
      <c r="O8" s="30" t="s">
        <v>39</v>
      </c>
    </row>
    <row r="9" spans="1:15" ht="15.75" thickTop="1">
      <c r="A9" s="20">
        <v>2</v>
      </c>
      <c r="B9" s="31"/>
      <c r="C9" s="32">
        <f t="shared" si="3"/>
        <v>0</v>
      </c>
      <c r="D9" s="24">
        <v>34219130</v>
      </c>
      <c r="E9" s="24">
        <v>0</v>
      </c>
      <c r="F9" s="25">
        <f t="shared" si="0"/>
        <v>34219130</v>
      </c>
      <c r="G9" s="26">
        <f t="shared" si="1"/>
        <v>4793</v>
      </c>
      <c r="H9" s="30">
        <v>0</v>
      </c>
      <c r="I9" s="24">
        <v>615</v>
      </c>
      <c r="J9" s="25">
        <f>H9+I9</f>
        <v>615</v>
      </c>
      <c r="K9" s="22">
        <f t="shared" si="2"/>
        <v>0</v>
      </c>
      <c r="L9" s="60"/>
      <c r="M9" s="56"/>
      <c r="N9" s="61"/>
      <c r="O9" s="30" t="s">
        <v>39</v>
      </c>
    </row>
    <row r="10" spans="1:15">
      <c r="A10" s="20">
        <v>3</v>
      </c>
      <c r="B10" s="21"/>
      <c r="C10" s="22">
        <f t="shared" si="3"/>
        <v>0</v>
      </c>
      <c r="D10" s="33">
        <v>34224430</v>
      </c>
      <c r="E10" s="24">
        <v>0</v>
      </c>
      <c r="F10" s="25">
        <f t="shared" si="0"/>
        <v>34224430</v>
      </c>
      <c r="G10" s="26">
        <f t="shared" si="1"/>
        <v>5300</v>
      </c>
      <c r="H10" s="30">
        <v>0</v>
      </c>
      <c r="I10" s="24">
        <v>615</v>
      </c>
      <c r="J10" s="25">
        <f t="shared" ref="J10:J37" si="4">H10+I10</f>
        <v>615</v>
      </c>
      <c r="K10" s="22">
        <f t="shared" si="2"/>
        <v>0</v>
      </c>
      <c r="L10" s="60"/>
      <c r="M10" s="56"/>
      <c r="N10" s="61"/>
      <c r="O10" s="30" t="s">
        <v>39</v>
      </c>
    </row>
    <row r="11" spans="1:15">
      <c r="A11" s="20">
        <v>4</v>
      </c>
      <c r="B11" s="21"/>
      <c r="C11" s="22">
        <f t="shared" si="3"/>
        <v>0</v>
      </c>
      <c r="D11" s="23">
        <v>34230257</v>
      </c>
      <c r="E11" s="24">
        <v>0</v>
      </c>
      <c r="F11" s="25">
        <f t="shared" si="0"/>
        <v>34230257</v>
      </c>
      <c r="G11" s="26">
        <f t="shared" si="1"/>
        <v>5827</v>
      </c>
      <c r="H11" s="30">
        <v>0</v>
      </c>
      <c r="I11" s="24">
        <v>615</v>
      </c>
      <c r="J11" s="25">
        <f t="shared" si="4"/>
        <v>615</v>
      </c>
      <c r="K11" s="22">
        <f t="shared" si="2"/>
        <v>0</v>
      </c>
      <c r="L11" s="60"/>
      <c r="M11" s="56"/>
      <c r="N11" s="61"/>
      <c r="O11" s="30" t="s">
        <v>39</v>
      </c>
    </row>
    <row r="12" spans="1:15">
      <c r="A12" s="20">
        <v>5</v>
      </c>
      <c r="B12" s="21"/>
      <c r="C12" s="22">
        <f t="shared" si="3"/>
        <v>0</v>
      </c>
      <c r="D12" s="23">
        <v>34235954</v>
      </c>
      <c r="E12" s="24">
        <v>0</v>
      </c>
      <c r="F12" s="25">
        <f t="shared" si="0"/>
        <v>34235954</v>
      </c>
      <c r="G12" s="26">
        <f t="shared" si="1"/>
        <v>5697</v>
      </c>
      <c r="H12" s="30">
        <v>0</v>
      </c>
      <c r="I12" s="24">
        <v>615</v>
      </c>
      <c r="J12" s="25">
        <f t="shared" si="4"/>
        <v>615</v>
      </c>
      <c r="K12" s="22">
        <f t="shared" si="2"/>
        <v>0</v>
      </c>
      <c r="L12" s="60"/>
      <c r="M12" s="56"/>
      <c r="N12" s="61"/>
      <c r="O12" s="30" t="s">
        <v>39</v>
      </c>
    </row>
    <row r="13" spans="1:15">
      <c r="A13" s="20">
        <v>6</v>
      </c>
      <c r="B13" s="21"/>
      <c r="C13" s="22">
        <f t="shared" si="3"/>
        <v>0</v>
      </c>
      <c r="D13" s="23">
        <v>34241817</v>
      </c>
      <c r="E13" s="24">
        <v>0</v>
      </c>
      <c r="F13" s="25">
        <f t="shared" si="0"/>
        <v>34241817</v>
      </c>
      <c r="G13" s="26">
        <f t="shared" si="1"/>
        <v>5863</v>
      </c>
      <c r="H13" s="30">
        <v>0</v>
      </c>
      <c r="I13" s="24">
        <v>615</v>
      </c>
      <c r="J13" s="25">
        <f t="shared" si="4"/>
        <v>615</v>
      </c>
      <c r="K13" s="22">
        <f t="shared" si="2"/>
        <v>0</v>
      </c>
      <c r="L13" s="60"/>
      <c r="M13" s="56"/>
      <c r="N13" s="61"/>
      <c r="O13" s="30" t="s">
        <v>39</v>
      </c>
    </row>
    <row r="14" spans="1:15">
      <c r="A14" s="20">
        <v>7</v>
      </c>
      <c r="B14" s="21"/>
      <c r="C14" s="22">
        <f t="shared" si="3"/>
        <v>0</v>
      </c>
      <c r="D14" s="23">
        <v>34247491</v>
      </c>
      <c r="E14" s="24">
        <v>0</v>
      </c>
      <c r="F14" s="25">
        <f t="shared" si="0"/>
        <v>34247491</v>
      </c>
      <c r="G14" s="26">
        <f t="shared" si="1"/>
        <v>5674</v>
      </c>
      <c r="H14" s="30">
        <v>0</v>
      </c>
      <c r="I14" s="24">
        <v>615</v>
      </c>
      <c r="J14" s="25">
        <f t="shared" si="4"/>
        <v>615</v>
      </c>
      <c r="K14" s="22">
        <f t="shared" si="2"/>
        <v>0</v>
      </c>
      <c r="L14" s="60"/>
      <c r="M14" s="56"/>
      <c r="N14" s="61"/>
      <c r="O14" s="30" t="s">
        <v>39</v>
      </c>
    </row>
    <row r="15" spans="1:15">
      <c r="A15" s="20">
        <v>8</v>
      </c>
      <c r="B15" s="21"/>
      <c r="C15" s="22">
        <f t="shared" si="3"/>
        <v>0</v>
      </c>
      <c r="D15" s="23">
        <v>34253321</v>
      </c>
      <c r="E15" s="24">
        <v>0</v>
      </c>
      <c r="F15" s="25">
        <f t="shared" si="0"/>
        <v>34253321</v>
      </c>
      <c r="G15" s="26">
        <f t="shared" si="1"/>
        <v>5830</v>
      </c>
      <c r="H15" s="30">
        <v>0</v>
      </c>
      <c r="I15" s="24">
        <v>615</v>
      </c>
      <c r="J15" s="25">
        <f t="shared" si="4"/>
        <v>615</v>
      </c>
      <c r="K15" s="22">
        <f t="shared" si="2"/>
        <v>0</v>
      </c>
      <c r="L15" s="60"/>
      <c r="M15" s="56"/>
      <c r="N15" s="61"/>
      <c r="O15" s="30" t="s">
        <v>39</v>
      </c>
    </row>
    <row r="16" spans="1:15">
      <c r="A16" s="20">
        <v>9</v>
      </c>
      <c r="B16" s="21"/>
      <c r="C16" s="22">
        <f t="shared" si="3"/>
        <v>0</v>
      </c>
      <c r="D16" s="23">
        <v>34258945</v>
      </c>
      <c r="E16" s="24">
        <v>0</v>
      </c>
      <c r="F16" s="25">
        <f t="shared" si="0"/>
        <v>34258945</v>
      </c>
      <c r="G16" s="26">
        <f t="shared" si="1"/>
        <v>5624</v>
      </c>
      <c r="H16" s="30">
        <v>0</v>
      </c>
      <c r="I16" s="24">
        <v>615</v>
      </c>
      <c r="J16" s="25">
        <f t="shared" si="4"/>
        <v>615</v>
      </c>
      <c r="K16" s="22">
        <f t="shared" si="2"/>
        <v>0</v>
      </c>
      <c r="L16" s="21"/>
      <c r="M16" s="56"/>
      <c r="N16" s="61"/>
      <c r="O16" s="30" t="s">
        <v>39</v>
      </c>
    </row>
    <row r="17" spans="1:14">
      <c r="A17" s="20">
        <v>10</v>
      </c>
      <c r="B17" s="21"/>
      <c r="C17" s="22">
        <f t="shared" si="3"/>
        <v>0</v>
      </c>
      <c r="D17" s="23">
        <v>34264515</v>
      </c>
      <c r="E17" s="24">
        <v>0</v>
      </c>
      <c r="F17" s="25">
        <f t="shared" si="0"/>
        <v>34264515</v>
      </c>
      <c r="G17" s="26">
        <f t="shared" si="1"/>
        <v>5570</v>
      </c>
      <c r="H17" s="30">
        <v>22</v>
      </c>
      <c r="I17" s="24">
        <v>615</v>
      </c>
      <c r="J17" s="25">
        <f t="shared" si="4"/>
        <v>637</v>
      </c>
      <c r="K17" s="22">
        <f t="shared" si="2"/>
        <v>22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>
        <v>34269950</v>
      </c>
      <c r="E18" s="24">
        <v>0</v>
      </c>
      <c r="F18" s="25">
        <f t="shared" si="0"/>
        <v>34269950</v>
      </c>
      <c r="G18" s="26">
        <f t="shared" si="1"/>
        <v>5435</v>
      </c>
      <c r="H18" s="30">
        <v>50</v>
      </c>
      <c r="I18" s="24">
        <v>615</v>
      </c>
      <c r="J18" s="25">
        <f t="shared" si="4"/>
        <v>665</v>
      </c>
      <c r="K18" s="22">
        <f t="shared" si="2"/>
        <v>28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>
        <v>34275735</v>
      </c>
      <c r="E19" s="24">
        <v>0</v>
      </c>
      <c r="F19" s="25">
        <f t="shared" si="0"/>
        <v>34275735</v>
      </c>
      <c r="G19" s="26">
        <f t="shared" si="1"/>
        <v>5785</v>
      </c>
      <c r="H19" s="30">
        <v>79</v>
      </c>
      <c r="I19" s="24">
        <v>615</v>
      </c>
      <c r="J19" s="25">
        <f t="shared" si="4"/>
        <v>694</v>
      </c>
      <c r="K19" s="22">
        <f t="shared" si="2"/>
        <v>29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>
        <v>34281620</v>
      </c>
      <c r="E20" s="24">
        <v>0</v>
      </c>
      <c r="F20" s="25">
        <f t="shared" si="0"/>
        <v>34281620</v>
      </c>
      <c r="G20" s="26">
        <f t="shared" si="1"/>
        <v>5885</v>
      </c>
      <c r="H20" s="30">
        <v>108</v>
      </c>
      <c r="I20" s="24">
        <v>615</v>
      </c>
      <c r="J20" s="25">
        <f t="shared" si="4"/>
        <v>723</v>
      </c>
      <c r="K20" s="22">
        <f t="shared" si="2"/>
        <v>29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>
        <v>34287435</v>
      </c>
      <c r="E21" s="24">
        <v>0</v>
      </c>
      <c r="F21" s="25">
        <f t="shared" si="0"/>
        <v>34287435</v>
      </c>
      <c r="G21" s="26">
        <f t="shared" si="1"/>
        <v>5815</v>
      </c>
      <c r="H21" s="30">
        <v>136</v>
      </c>
      <c r="I21" s="24">
        <v>615</v>
      </c>
      <c r="J21" s="25">
        <f t="shared" si="4"/>
        <v>751</v>
      </c>
      <c r="K21" s="22">
        <f t="shared" si="2"/>
        <v>28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>
        <v>34293130</v>
      </c>
      <c r="E22" s="24">
        <v>0</v>
      </c>
      <c r="F22" s="25">
        <f t="shared" si="0"/>
        <v>34293130</v>
      </c>
      <c r="G22" s="26">
        <f t="shared" si="1"/>
        <v>5695</v>
      </c>
      <c r="H22" s="23">
        <v>163</v>
      </c>
      <c r="I22" s="24">
        <v>615</v>
      </c>
      <c r="J22" s="25">
        <f t="shared" si="4"/>
        <v>778</v>
      </c>
      <c r="K22" s="22">
        <f t="shared" si="2"/>
        <v>27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>
        <v>34298777</v>
      </c>
      <c r="E23" s="24">
        <v>0</v>
      </c>
      <c r="F23" s="25">
        <f t="shared" si="0"/>
        <v>34298777</v>
      </c>
      <c r="G23" s="26">
        <f t="shared" si="1"/>
        <v>5647</v>
      </c>
      <c r="H23" s="23">
        <v>192</v>
      </c>
      <c r="I23" s="24">
        <v>615</v>
      </c>
      <c r="J23" s="25">
        <f t="shared" si="4"/>
        <v>807</v>
      </c>
      <c r="K23" s="22">
        <f t="shared" si="2"/>
        <v>29</v>
      </c>
      <c r="L23" s="21"/>
      <c r="M23" s="56"/>
      <c r="N23" s="61"/>
    </row>
    <row r="24" spans="1:14">
      <c r="A24" s="20">
        <v>251</v>
      </c>
      <c r="B24" s="21"/>
      <c r="C24" s="22">
        <f t="shared" si="3"/>
        <v>0</v>
      </c>
      <c r="D24" s="23">
        <v>34304270</v>
      </c>
      <c r="E24" s="24">
        <v>0</v>
      </c>
      <c r="F24" s="25">
        <f t="shared" si="0"/>
        <v>34304270</v>
      </c>
      <c r="G24" s="26">
        <f t="shared" si="1"/>
        <v>5493</v>
      </c>
      <c r="H24" s="23">
        <v>221</v>
      </c>
      <c r="I24" s="24">
        <v>615</v>
      </c>
      <c r="J24" s="25">
        <f t="shared" si="4"/>
        <v>836</v>
      </c>
      <c r="K24" s="22">
        <f t="shared" si="2"/>
        <v>29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>
        <v>34309499</v>
      </c>
      <c r="E25" s="24">
        <v>0</v>
      </c>
      <c r="F25" s="25">
        <f t="shared" si="0"/>
        <v>34309499</v>
      </c>
      <c r="G25" s="26">
        <f t="shared" si="1"/>
        <v>5229</v>
      </c>
      <c r="H25" s="23">
        <v>251</v>
      </c>
      <c r="I25" s="24">
        <v>615</v>
      </c>
      <c r="J25" s="25">
        <f t="shared" si="4"/>
        <v>866</v>
      </c>
      <c r="K25" s="22">
        <f t="shared" si="2"/>
        <v>30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>
        <v>34315109</v>
      </c>
      <c r="E26" s="24">
        <v>0</v>
      </c>
      <c r="F26" s="25">
        <f t="shared" si="0"/>
        <v>34315109</v>
      </c>
      <c r="G26" s="26">
        <f t="shared" si="1"/>
        <v>5610</v>
      </c>
      <c r="H26" s="23">
        <v>279</v>
      </c>
      <c r="I26" s="24">
        <v>615</v>
      </c>
      <c r="J26" s="25">
        <f t="shared" si="4"/>
        <v>894</v>
      </c>
      <c r="K26" s="22">
        <f t="shared" si="2"/>
        <v>28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>
        <v>34320741</v>
      </c>
      <c r="E27" s="24">
        <v>0</v>
      </c>
      <c r="F27" s="25">
        <f t="shared" si="0"/>
        <v>34320741</v>
      </c>
      <c r="G27" s="26">
        <f t="shared" si="1"/>
        <v>5632</v>
      </c>
      <c r="H27" s="23">
        <v>310</v>
      </c>
      <c r="I27" s="24">
        <v>615</v>
      </c>
      <c r="J27" s="25">
        <f t="shared" si="4"/>
        <v>925</v>
      </c>
      <c r="K27" s="22">
        <f t="shared" si="2"/>
        <v>31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>
        <v>34326340</v>
      </c>
      <c r="E28" s="24">
        <v>0</v>
      </c>
      <c r="F28" s="25">
        <f t="shared" si="0"/>
        <v>34326340</v>
      </c>
      <c r="G28" s="26">
        <f t="shared" si="1"/>
        <v>5599</v>
      </c>
      <c r="H28" s="23">
        <v>338</v>
      </c>
      <c r="I28" s="24">
        <v>615</v>
      </c>
      <c r="J28" s="25">
        <f t="shared" si="4"/>
        <v>953</v>
      </c>
      <c r="K28" s="22">
        <f t="shared" si="2"/>
        <v>28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>
        <v>34332019</v>
      </c>
      <c r="E29" s="24">
        <v>0</v>
      </c>
      <c r="F29" s="25">
        <f t="shared" si="0"/>
        <v>34332019</v>
      </c>
      <c r="G29" s="26">
        <f t="shared" si="1"/>
        <v>5679</v>
      </c>
      <c r="H29" s="23">
        <v>360</v>
      </c>
      <c r="I29" s="24">
        <v>615</v>
      </c>
      <c r="J29" s="25">
        <f t="shared" si="4"/>
        <v>975</v>
      </c>
      <c r="K29" s="22">
        <f t="shared" si="2"/>
        <v>22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>
        <v>34337910</v>
      </c>
      <c r="E30" s="24">
        <v>0</v>
      </c>
      <c r="F30" s="25">
        <f t="shared" si="0"/>
        <v>34337910</v>
      </c>
      <c r="G30" s="26">
        <f t="shared" si="1"/>
        <v>5891</v>
      </c>
      <c r="H30" s="23">
        <v>388</v>
      </c>
      <c r="I30" s="24">
        <v>615</v>
      </c>
      <c r="J30" s="25">
        <f t="shared" si="4"/>
        <v>1003</v>
      </c>
      <c r="K30" s="22">
        <f t="shared" si="2"/>
        <v>28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>
        <v>34343666</v>
      </c>
      <c r="E31" s="24">
        <v>0</v>
      </c>
      <c r="F31" s="25">
        <f t="shared" si="0"/>
        <v>34343666</v>
      </c>
      <c r="G31" s="26">
        <f t="shared" si="1"/>
        <v>5756</v>
      </c>
      <c r="H31" s="23">
        <v>417</v>
      </c>
      <c r="I31" s="24">
        <v>615</v>
      </c>
      <c r="J31" s="25">
        <f t="shared" si="4"/>
        <v>1032</v>
      </c>
      <c r="K31" s="22">
        <f t="shared" si="2"/>
        <v>29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>
        <v>34349490</v>
      </c>
      <c r="E32" s="24">
        <v>0</v>
      </c>
      <c r="F32" s="25">
        <f t="shared" si="0"/>
        <v>34349490</v>
      </c>
      <c r="G32" s="26">
        <f t="shared" si="1"/>
        <v>5824</v>
      </c>
      <c r="H32" s="23">
        <v>446</v>
      </c>
      <c r="I32" s="24">
        <v>615</v>
      </c>
      <c r="J32" s="25">
        <f t="shared" si="4"/>
        <v>1061</v>
      </c>
      <c r="K32" s="22">
        <f t="shared" si="2"/>
        <v>29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>
        <v>34355810</v>
      </c>
      <c r="E33" s="24">
        <v>0</v>
      </c>
      <c r="F33" s="25">
        <f t="shared" si="0"/>
        <v>34355810</v>
      </c>
      <c r="G33" s="26">
        <f t="shared" si="1"/>
        <v>6320</v>
      </c>
      <c r="H33" s="35">
        <v>476</v>
      </c>
      <c r="I33" s="24">
        <v>615</v>
      </c>
      <c r="J33" s="25">
        <f t="shared" si="4"/>
        <v>1091</v>
      </c>
      <c r="K33" s="22">
        <f t="shared" si="2"/>
        <v>30</v>
      </c>
      <c r="L33" s="21"/>
      <c r="M33" s="56"/>
      <c r="N33" s="61"/>
    </row>
    <row r="34" spans="1:14">
      <c r="A34" s="20">
        <v>27</v>
      </c>
      <c r="B34" s="21"/>
      <c r="C34" s="22"/>
      <c r="D34" s="23">
        <v>34362220</v>
      </c>
      <c r="E34" s="24">
        <v>0</v>
      </c>
      <c r="F34" s="25">
        <f t="shared" si="0"/>
        <v>34362220</v>
      </c>
      <c r="G34" s="26">
        <f t="shared" si="1"/>
        <v>6410</v>
      </c>
      <c r="H34" s="23">
        <v>507</v>
      </c>
      <c r="I34" s="24">
        <v>615</v>
      </c>
      <c r="J34" s="25">
        <f t="shared" si="4"/>
        <v>1122</v>
      </c>
      <c r="K34" s="22">
        <f t="shared" si="2"/>
        <v>31</v>
      </c>
      <c r="L34" s="21"/>
      <c r="M34" s="56"/>
      <c r="N34" s="61"/>
    </row>
    <row r="35" spans="1:14">
      <c r="A35" s="20">
        <v>28</v>
      </c>
      <c r="B35" s="21"/>
      <c r="C35" s="22"/>
      <c r="D35" s="23">
        <v>34368495</v>
      </c>
      <c r="E35" s="24">
        <v>0</v>
      </c>
      <c r="F35" s="25">
        <f t="shared" si="0"/>
        <v>34368495</v>
      </c>
      <c r="G35" s="26">
        <f t="shared" si="1"/>
        <v>6275</v>
      </c>
      <c r="H35" s="23">
        <v>541</v>
      </c>
      <c r="I35" s="24">
        <v>615</v>
      </c>
      <c r="J35" s="25">
        <f t="shared" si="4"/>
        <v>1156</v>
      </c>
      <c r="K35" s="22">
        <f t="shared" si="2"/>
        <v>34</v>
      </c>
      <c r="L35" s="21"/>
      <c r="M35" s="56"/>
      <c r="N35" s="61"/>
    </row>
    <row r="36" spans="1:14">
      <c r="A36" s="20">
        <v>29</v>
      </c>
      <c r="B36" s="21"/>
      <c r="C36" s="22"/>
      <c r="D36" s="63">
        <v>34374944</v>
      </c>
      <c r="E36" s="64">
        <v>0</v>
      </c>
      <c r="F36" s="25">
        <f t="shared" si="0"/>
        <v>34374944</v>
      </c>
      <c r="G36" s="26">
        <f t="shared" si="1"/>
        <v>6449</v>
      </c>
      <c r="H36" s="63">
        <v>568</v>
      </c>
      <c r="I36" s="24">
        <v>615</v>
      </c>
      <c r="J36" s="25">
        <f t="shared" si="4"/>
        <v>1183</v>
      </c>
      <c r="K36" s="22">
        <f t="shared" si="2"/>
        <v>27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>
        <v>34381327</v>
      </c>
      <c r="E37" s="64">
        <v>0</v>
      </c>
      <c r="F37" s="25">
        <f t="shared" si="0"/>
        <v>34381327</v>
      </c>
      <c r="G37" s="26">
        <f t="shared" si="1"/>
        <v>6383</v>
      </c>
      <c r="H37" s="63">
        <v>597</v>
      </c>
      <c r="I37" s="64">
        <v>615</v>
      </c>
      <c r="J37" s="25">
        <f t="shared" si="4"/>
        <v>1212</v>
      </c>
      <c r="K37" s="22">
        <f t="shared" si="2"/>
        <v>29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171783</v>
      </c>
      <c r="H38" s="72"/>
      <c r="I38" s="69"/>
      <c r="J38" s="73"/>
      <c r="K38" s="71">
        <f>SUM(K8:K37)</f>
        <v>597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107" t="s">
        <v>32</v>
      </c>
      <c r="E40" s="108"/>
      <c r="F40" s="84" t="s">
        <v>33</v>
      </c>
      <c r="G40" s="85" t="s">
        <v>34</v>
      </c>
      <c r="H40" s="109" t="s">
        <v>35</v>
      </c>
      <c r="I40" s="110"/>
      <c r="J40" s="86" t="s">
        <v>33</v>
      </c>
      <c r="K40" s="86" t="s">
        <v>36</v>
      </c>
      <c r="L40" s="87" t="s">
        <v>37</v>
      </c>
      <c r="M40" s="88"/>
      <c r="N40" s="89" t="s">
        <v>33</v>
      </c>
    </row>
    <row r="41" spans="1:14" ht="30" thickTop="1" thickBot="1">
      <c r="B41" s="83"/>
      <c r="C41" s="83"/>
      <c r="D41" s="111" t="s">
        <v>38</v>
      </c>
      <c r="E41" s="112"/>
      <c r="F41" s="90">
        <f>(G38*0.2)</f>
        <v>34356.6</v>
      </c>
      <c r="G41" s="91">
        <f>G38</f>
        <v>171783</v>
      </c>
      <c r="H41" s="113" t="s">
        <v>38</v>
      </c>
      <c r="I41" s="114"/>
      <c r="J41" s="92">
        <f>(K38*7.84)</f>
        <v>4680.4799999999996</v>
      </c>
      <c r="K41" s="93">
        <f>K38</f>
        <v>597</v>
      </c>
      <c r="L41" s="94" t="s">
        <v>38</v>
      </c>
      <c r="M41" s="95"/>
      <c r="N41" s="96">
        <f>(O41)</f>
        <v>0</v>
      </c>
    </row>
    <row r="42" spans="1:14" ht="15.75" thickTop="1"/>
  </sheetData>
  <mergeCells count="12">
    <mergeCell ref="D40:E40"/>
    <mergeCell ref="H40:I40"/>
    <mergeCell ref="D41:E41"/>
    <mergeCell ref="H41:I41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2025-05-01T04:29:07Z</dcterms:modified>
</cp:coreProperties>
</file>