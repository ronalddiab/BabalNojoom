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01" documentId="8_{8847650D-614C-4264-8C87-30D8B5EB4252}" xr6:coauthVersionLast="47" xr6:coauthVersionMax="47" xr10:uidLastSave="{6C4C2B41-D10C-4B12-84B5-B9C96ED297C4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LPG!$A$5:$N$5</definedName>
    <definedName name="_xlnm.Print_Area" localSheetId="2">LPG!$A$1:$M$40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0" i="3" l="1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M7" i="6" l="1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M6" i="6"/>
  <c r="K6" i="6"/>
  <c r="I6" i="6"/>
  <c r="G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6" i="6"/>
  <c r="N34" i="6" l="1"/>
  <c r="G30" i="2" s="1"/>
  <c r="AF21" i="3"/>
  <c r="AG21" i="3"/>
  <c r="AH21" i="3"/>
  <c r="N35" i="6" l="1"/>
  <c r="G31" i="2" s="1"/>
  <c r="N36" i="6"/>
  <c r="G32" i="2" s="1"/>
  <c r="N12" i="6" l="1"/>
  <c r="G8" i="2" s="1"/>
  <c r="N24" i="6"/>
  <c r="G20" i="2" s="1"/>
  <c r="N13" i="6" l="1"/>
  <c r="G9" i="2" s="1"/>
  <c r="N25" i="6"/>
  <c r="G21" i="2" s="1"/>
  <c r="N31" i="6"/>
  <c r="G27" i="2" s="1"/>
  <c r="N7" i="6"/>
  <c r="G3" i="2" s="1"/>
  <c r="N19" i="6"/>
  <c r="G15" i="2" s="1"/>
  <c r="N29" i="6"/>
  <c r="G25" i="2" s="1"/>
  <c r="N17" i="6"/>
  <c r="G13" i="2" s="1"/>
  <c r="G37" i="6"/>
  <c r="N26" i="6"/>
  <c r="G22" i="2" s="1"/>
  <c r="M37" i="6"/>
  <c r="N20" i="6"/>
  <c r="G16" i="2" s="1"/>
  <c r="K37" i="6"/>
  <c r="N23" i="6"/>
  <c r="G19" i="2" s="1"/>
  <c r="N30" i="6"/>
  <c r="G26" i="2" s="1"/>
  <c r="N18" i="6"/>
  <c r="G14" i="2" s="1"/>
  <c r="N21" i="6"/>
  <c r="G17" i="2" s="1"/>
  <c r="N11" i="6"/>
  <c r="G7" i="2" s="1"/>
  <c r="N8" i="6"/>
  <c r="G4" i="2" s="1"/>
  <c r="I37" i="6"/>
  <c r="N33" i="6"/>
  <c r="G29" i="2" s="1"/>
  <c r="N22" i="6"/>
  <c r="G18" i="2" s="1"/>
  <c r="N10" i="6"/>
  <c r="G6" i="2" s="1"/>
  <c r="N32" i="6"/>
  <c r="G28" i="2" s="1"/>
  <c r="N15" i="6"/>
  <c r="G11" i="2" s="1"/>
  <c r="N6" i="6"/>
  <c r="G2" i="2" s="1"/>
  <c r="N16" i="6"/>
  <c r="G12" i="2" s="1"/>
  <c r="N28" i="6"/>
  <c r="G24" i="2" s="1"/>
  <c r="E37" i="6"/>
  <c r="N14" i="6"/>
  <c r="G10" i="2" s="1"/>
  <c r="N9" i="6"/>
  <c r="G5" i="2" s="1"/>
  <c r="N27" i="6"/>
  <c r="G23" i="2" s="1"/>
  <c r="C37" i="6"/>
  <c r="C39" i="6" s="1"/>
  <c r="C40" i="6" l="1"/>
  <c r="C41" i="6" s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<sst xmlns="http://schemas.openxmlformats.org/spreadsheetml/2006/main" count="134" uniqueCount="98">
  <si>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</si>
  <si>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</si>
  <si>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</si>
  <si>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</si>
  <si>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</si>
  <si>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</si>
  <si>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</si>
  <si>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</si>
  <si>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</si>
  <si>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</si>
  <si>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</si>
  <si>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</si>
  <si>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</si>
  <si>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</si>
  <si>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</si>
  <si>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</si>
  <si>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</si>
  <si>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</si>
  <si>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</si>
  <si>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</si>
  <si>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</si>
  <si>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</si>
  <si>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</si>
  <si>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</si>
  <si>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</si>
  <si>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</si>
  <si>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</si>
  <si>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</si>
  <si>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</si>
  <si>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</si>
  <si>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</si>
  <si>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</si>
  <si>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</si>
  <si>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</si>
  <si>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</si>
  <si>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</si>
  <si>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</si>
  <si>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</si>
  <si>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</si>
  <si>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</si>
  <si>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</si>
  <si>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</si>
  <si>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</si>
  <si>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</si>
  <si>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</si>
  <si>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</si>
  <si>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</si>
  <si>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</si>
  <si>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</si>
  <si>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</si>
  <si>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</si>
  <si>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</si>
  <si>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</si>
  <si>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</si>
  <si>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</si>
  <si>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</si>
  <si>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</si>
  <si>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</si>
  <si>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</si>
  <si>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</si>
  <si>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</si>
  <si>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</si>
  <si>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</si>
  <si>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</si>
  <si>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</si>
  <si>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</si>
  <si>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</si>
  <si>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</si>
  <si>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</si>
  <si>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</si>
  <si>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</si>
  <si>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</si>
  <si>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</si>
  <si>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</si>
  <si>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</si>
  <si>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>BOILER 1 &amp; 2</t>
  </si>
  <si>
    <t>MAIN KITCHEN</t>
  </si>
  <si>
    <t>PASTRY KITCHEN</t>
  </si>
  <si>
    <t>GINGER KITCHEN</t>
  </si>
  <si>
    <t>TEATRO</t>
  </si>
  <si>
    <t>COOPER'S KITCHEN</t>
  </si>
  <si>
    <t>PRESSURE        (mBar)</t>
  </si>
  <si>
    <t xml:space="preserve">                                       </t>
  </si>
  <si>
    <t>TOTAL Consumption</t>
  </si>
  <si>
    <t>TOTAL BOILER</t>
  </si>
  <si>
    <t>TOTAL KITCHEN</t>
  </si>
  <si>
    <t>TOTAL Boiler &amp; Kitchen</t>
  </si>
  <si>
    <t>Daily Consumption</t>
  </si>
  <si>
    <t>29</t>
  </si>
  <si>
    <t>30</t>
  </si>
  <si>
    <t>Occupied</t>
  </si>
  <si>
    <t># Guest</t>
  </si>
  <si>
    <t>Date</t>
  </si>
  <si>
    <t>TOTAL MTD</t>
  </si>
  <si>
    <t>DAILY ELECTRICITY METER READINGS &amp; CONSUMPTION SEPTEMBER 2024</t>
  </si>
  <si>
    <t>DAILY GAS METER READINGS &amp; CONSUMPTION (Liters) SEPTEMBER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</si>
  <si>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SEPTEMBER  2024</t>
    </r>
  </si>
  <si>
    <t>Occupied Room &amp; Number of Guest
September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</si>
</sst>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0" fillId="13" borderId="0" xfId="0" applyNumberFormat="1" applyFill="1" applyAlignment="1">
      <alignment horizontal="center" vertical="center" wrapText="1"/>
    </xf>
    <xf numFmtId="3" fontId="0" fillId="13" borderId="0" xfId="0" applyNumberForma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3" fontId="2" fillId="9" borderId="0" xfId="0" applyNumberFormat="1" applyFont="1" applyFill="1" applyAlignment="1">
      <alignment horizontal="center" vertical="center"/>
    </xf>
    <xf numFmtId="3" fontId="29" fillId="13" borderId="0" xfId="0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9</v>
      </c>
      <c r="D2" s="10">
        <v>2024</v>
      </c>
      <c r="E2" s="4" cm="1">
        <f t="array" ref="E2:E32">TRANSPOSE(Electricity!E21:AI21)</f>
        <v>43879.8</v>
      </c>
      <c r="F2" s="11">
        <v>0.2</v>
      </c>
      <c r="G2" s="4">
        <f>LPG!N6</f>
        <v>2853.9579999999778</v>
      </c>
      <c r="H2" s="11">
        <v>1.6</v>
      </c>
      <c r="I2" s="4" cm="1">
        <f t="array" ref="I2:I32">TRANSPOSE(Water!E15:AI15)</f>
        <v>328.00100000000003</v>
      </c>
      <c r="J2" s="11">
        <v>7.84</v>
      </c>
      <c r="K2" s="4">
        <f>'Occupied &amp; No. of Guest'!B3</f>
        <v>465</v>
      </c>
      <c r="L2" s="4">
        <f>'Occupied &amp; No. of Guest'!C3</f>
        <v>592</v>
      </c>
    </row>
    <row r="3" spans="1:12" x14ac:dyDescent="0.25">
      <c r="A3" s="9" t="s">
        <v>52</v>
      </c>
      <c r="B3" s="10">
        <f>B2+1</f>
        <v>2</v>
      </c>
      <c r="C3" s="10">
        <v>9</v>
      </c>
      <c r="D3" s="10">
        <v>2024</v>
      </c>
      <c r="E3" s="4">
        <v>44703</v>
      </c>
      <c r="F3" s="11">
        <v>0.2</v>
      </c>
      <c r="G3" s="4">
        <f>LPG!N7</f>
        <v>2630.3299999999399</v>
      </c>
      <c r="H3" s="11">
        <v>1.6</v>
      </c>
      <c r="I3" s="4">
        <v>291.66400000001568</v>
      </c>
      <c r="J3" s="11">
        <v>7.84</v>
      </c>
      <c r="K3" s="4">
        <f>'Occupied &amp; No. of Guest'!B4</f>
        <v>476</v>
      </c>
      <c r="L3" s="4">
        <f>'Occupied &amp; No. of Guest'!C4</f>
        <v>572</v>
      </c>
    </row>
    <row r="4" spans="1:12" x14ac:dyDescent="0.25">
      <c r="A4" s="9" t="s">
        <v>52</v>
      </c>
      <c r="B4" s="10">
        <f t="shared" ref="B4:B32" si="0">B3+1</f>
        <v>3</v>
      </c>
      <c r="C4" s="10">
        <v>9</v>
      </c>
      <c r="D4" s="10">
        <v>2024</v>
      </c>
      <c r="E4" s="4">
        <v>46035.600000000006</v>
      </c>
      <c r="F4" s="11">
        <v>0.2</v>
      </c>
      <c r="G4" s="4">
        <f>LPG!N8</f>
        <v>2654.898000000062</v>
      </c>
      <c r="H4" s="11">
        <v>1.6</v>
      </c>
      <c r="I4" s="4">
        <v>299.5599999999842</v>
      </c>
      <c r="J4" s="11">
        <v>7.84</v>
      </c>
      <c r="K4" s="4">
        <f>'Occupied &amp; No. of Guest'!B5</f>
        <v>480</v>
      </c>
      <c r="L4" s="4">
        <f>'Occupied &amp; No. of Guest'!C5</f>
        <v>590</v>
      </c>
    </row>
    <row r="5" spans="1:12" x14ac:dyDescent="0.25">
      <c r="A5" s="9" t="s">
        <v>52</v>
      </c>
      <c r="B5" s="10">
        <f t="shared" si="0"/>
        <v>4</v>
      </c>
      <c r="C5" s="10">
        <v>9</v>
      </c>
      <c r="D5" s="10">
        <v>2024</v>
      </c>
      <c r="E5" s="4">
        <v>46235.8</v>
      </c>
      <c r="F5" s="11">
        <v>0.2</v>
      </c>
      <c r="G5" s="4">
        <f>LPG!N9</f>
        <v>2655.7860000000123</v>
      </c>
      <c r="H5" s="11">
        <v>1.6</v>
      </c>
      <c r="I5" s="4">
        <v>360.00399999999507</v>
      </c>
      <c r="J5" s="11">
        <v>7.84</v>
      </c>
      <c r="K5" s="4">
        <f>'Occupied &amp; No. of Guest'!B6</f>
        <v>484</v>
      </c>
      <c r="L5" s="4">
        <f>'Occupied &amp; No. of Guest'!C6</f>
        <v>605</v>
      </c>
    </row>
    <row r="6" spans="1:12" x14ac:dyDescent="0.25">
      <c r="A6" s="9" t="s">
        <v>52</v>
      </c>
      <c r="B6" s="10">
        <f t="shared" si="0"/>
        <v>5</v>
      </c>
      <c r="C6" s="10">
        <v>9</v>
      </c>
      <c r="D6" s="10">
        <v>2024</v>
      </c>
      <c r="E6" s="4">
        <v>45813.4</v>
      </c>
      <c r="F6" s="11">
        <v>0.2</v>
      </c>
      <c r="G6" s="4">
        <f>LPG!N10</f>
        <v>2938.3179999999929</v>
      </c>
      <c r="H6" s="11">
        <v>1.6</v>
      </c>
      <c r="I6" s="4">
        <v>361.24800000001039</v>
      </c>
      <c r="J6" s="11">
        <v>7.84</v>
      </c>
      <c r="K6" s="4">
        <f>'Occupied &amp; No. of Guest'!B7</f>
        <v>438</v>
      </c>
      <c r="L6" s="4">
        <f>'Occupied &amp; No. of Guest'!C7</f>
        <v>554</v>
      </c>
    </row>
    <row r="7" spans="1:12" x14ac:dyDescent="0.25">
      <c r="A7" s="9" t="s">
        <v>52</v>
      </c>
      <c r="B7" s="10">
        <f t="shared" si="0"/>
        <v>6</v>
      </c>
      <c r="C7" s="10">
        <v>9</v>
      </c>
      <c r="D7" s="10">
        <v>2024</v>
      </c>
      <c r="E7" s="4">
        <v>47109.8</v>
      </c>
      <c r="F7" s="11">
        <v>0.2</v>
      </c>
      <c r="G7" s="4">
        <f>LPG!N11</f>
        <v>2716.79899999999</v>
      </c>
      <c r="H7" s="11">
        <v>1.6</v>
      </c>
      <c r="I7" s="4">
        <v>326.69100000001009</v>
      </c>
      <c r="J7" s="11">
        <v>7.84</v>
      </c>
      <c r="K7" s="4">
        <f>'Occupied &amp; No. of Guest'!B8</f>
        <v>425</v>
      </c>
      <c r="L7" s="4">
        <f>'Occupied &amp; No. of Guest'!C8</f>
        <v>590</v>
      </c>
    </row>
    <row r="8" spans="1:12" x14ac:dyDescent="0.25">
      <c r="A8" s="9" t="s">
        <v>52</v>
      </c>
      <c r="B8" s="10">
        <f t="shared" si="0"/>
        <v>7</v>
      </c>
      <c r="C8" s="10">
        <v>9</v>
      </c>
      <c r="D8" s="10">
        <v>2024</v>
      </c>
      <c r="E8" s="4">
        <v>46709</v>
      </c>
      <c r="F8" s="11">
        <v>0.2</v>
      </c>
      <c r="G8" s="4">
        <f>LPG!N12</f>
        <v>2689.2340000000258</v>
      </c>
      <c r="H8" s="11">
        <v>1.6</v>
      </c>
      <c r="I8" s="4">
        <v>264.97099999998983</v>
      </c>
      <c r="J8" s="11">
        <v>7.84</v>
      </c>
      <c r="K8" s="4">
        <f>'Occupied &amp; No. of Guest'!B9</f>
        <v>398</v>
      </c>
      <c r="L8" s="4">
        <f>'Occupied &amp; No. of Guest'!C9</f>
        <v>554</v>
      </c>
    </row>
    <row r="9" spans="1:12" x14ac:dyDescent="0.25">
      <c r="A9" s="9" t="s">
        <v>52</v>
      </c>
      <c r="B9" s="10">
        <f t="shared" si="0"/>
        <v>8</v>
      </c>
      <c r="C9" s="10">
        <v>9</v>
      </c>
      <c r="D9" s="10">
        <v>2024</v>
      </c>
      <c r="E9" s="4">
        <v>46375.4</v>
      </c>
      <c r="F9" s="11">
        <v>0.2</v>
      </c>
      <c r="G9" s="4">
        <f>LPG!N13</f>
        <v>2726.82599999996</v>
      </c>
      <c r="H9" s="11">
        <v>1.6</v>
      </c>
      <c r="I9" s="4">
        <v>357.77299999998968</v>
      </c>
      <c r="J9" s="11">
        <v>7.84</v>
      </c>
      <c r="K9" s="4">
        <f>'Occupied &amp; No. of Guest'!B10</f>
        <v>420</v>
      </c>
      <c r="L9" s="4">
        <f>'Occupied &amp; No. of Guest'!C10</f>
        <v>537</v>
      </c>
    </row>
    <row r="10" spans="1:12" x14ac:dyDescent="0.25">
      <c r="A10" s="9" t="s">
        <v>52</v>
      </c>
      <c r="B10" s="10">
        <f t="shared" si="0"/>
        <v>9</v>
      </c>
      <c r="C10" s="10">
        <v>9</v>
      </c>
      <c r="D10" s="10">
        <v>2024</v>
      </c>
      <c r="E10" s="4">
        <v>46737.4</v>
      </c>
      <c r="F10" s="11">
        <v>0.2</v>
      </c>
      <c r="G10" s="4">
        <f>LPG!N14</f>
        <v>2746.7690000000757</v>
      </c>
      <c r="H10" s="11">
        <v>1.6</v>
      </c>
      <c r="I10" s="4">
        <v>337.30900000000463</v>
      </c>
      <c r="J10" s="11">
        <v>7.84</v>
      </c>
      <c r="K10" s="4">
        <f>'Occupied &amp; No. of Guest'!B11</f>
        <v>458</v>
      </c>
      <c r="L10" s="4">
        <f>'Occupied &amp; No. of Guest'!C11</f>
        <v>560</v>
      </c>
    </row>
    <row r="11" spans="1:12" x14ac:dyDescent="0.25">
      <c r="A11" s="9" t="s">
        <v>52</v>
      </c>
      <c r="B11" s="10">
        <f t="shared" si="0"/>
        <v>10</v>
      </c>
      <c r="C11" s="10">
        <v>9</v>
      </c>
      <c r="D11" s="10">
        <v>2024</v>
      </c>
      <c r="E11" s="4">
        <v>47579.199999999997</v>
      </c>
      <c r="F11" s="11">
        <v>0.2</v>
      </c>
      <c r="G11" s="4">
        <f>LPG!N15</f>
        <v>2685.348999999946</v>
      </c>
      <c r="H11" s="11">
        <v>1.6</v>
      </c>
      <c r="I11" s="4">
        <v>330.21300000001582</v>
      </c>
      <c r="J11" s="11">
        <v>7.84</v>
      </c>
      <c r="K11" s="4">
        <f>'Occupied &amp; No. of Guest'!B12</f>
        <v>458</v>
      </c>
      <c r="L11" s="4">
        <f>'Occupied &amp; No. of Guest'!C12</f>
        <v>571</v>
      </c>
    </row>
    <row r="12" spans="1:12" x14ac:dyDescent="0.25">
      <c r="A12" s="9" t="s">
        <v>52</v>
      </c>
      <c r="B12" s="10">
        <f t="shared" si="0"/>
        <v>11</v>
      </c>
      <c r="C12" s="10">
        <v>9</v>
      </c>
      <c r="D12" s="10">
        <v>2024</v>
      </c>
      <c r="E12" s="4">
        <v>45535.4</v>
      </c>
      <c r="F12" s="11">
        <v>0.2</v>
      </c>
      <c r="G12" s="4">
        <f>LPG!N16</f>
        <v>2774.7409999999691</v>
      </c>
      <c r="H12" s="11">
        <v>1.6</v>
      </c>
      <c r="I12" s="4">
        <v>332.6289999999899</v>
      </c>
      <c r="J12" s="11">
        <v>7.84</v>
      </c>
      <c r="K12" s="4">
        <f>'Occupied &amp; No. of Guest'!B13</f>
        <v>470</v>
      </c>
      <c r="L12" s="4">
        <f>'Occupied &amp; No. of Guest'!C13</f>
        <v>616</v>
      </c>
    </row>
    <row r="13" spans="1:12" x14ac:dyDescent="0.25">
      <c r="A13" s="9" t="s">
        <v>52</v>
      </c>
      <c r="B13" s="10">
        <f t="shared" si="0"/>
        <v>12</v>
      </c>
      <c r="C13" s="10">
        <v>9</v>
      </c>
      <c r="D13" s="10">
        <v>2024</v>
      </c>
      <c r="E13" s="4">
        <v>43798.400000000001</v>
      </c>
      <c r="F13" s="11">
        <v>0.2</v>
      </c>
      <c r="G13" s="4">
        <f>LPG!N17</f>
        <v>2644.8821000000321</v>
      </c>
      <c r="H13" s="11">
        <v>1.6</v>
      </c>
      <c r="I13" s="4">
        <v>314.22800000001018</v>
      </c>
      <c r="J13" s="11">
        <v>7.84</v>
      </c>
      <c r="K13" s="4">
        <f>'Occupied &amp; No. of Guest'!B14</f>
        <v>431</v>
      </c>
      <c r="L13" s="4">
        <f>'Occupied &amp; No. of Guest'!C14</f>
        <v>593</v>
      </c>
    </row>
    <row r="14" spans="1:12" x14ac:dyDescent="0.25">
      <c r="A14" s="9" t="s">
        <v>52</v>
      </c>
      <c r="B14" s="10">
        <f t="shared" si="0"/>
        <v>13</v>
      </c>
      <c r="C14" s="10">
        <v>9</v>
      </c>
      <c r="D14" s="10">
        <v>2024</v>
      </c>
      <c r="E14" s="4">
        <v>44103.199999999997</v>
      </c>
      <c r="F14" s="11">
        <v>0.2</v>
      </c>
      <c r="G14" s="4">
        <f>LPG!N18</f>
        <v>2800.0748999999491</v>
      </c>
      <c r="H14" s="11">
        <v>1.6</v>
      </c>
      <c r="I14" s="4">
        <v>341.42399999997923</v>
      </c>
      <c r="J14" s="11">
        <v>7.84</v>
      </c>
      <c r="K14" s="4">
        <f>'Occupied &amp; No. of Guest'!B15</f>
        <v>400</v>
      </c>
      <c r="L14" s="4">
        <f>'Occupied &amp; No. of Guest'!C15</f>
        <v>583</v>
      </c>
    </row>
    <row r="15" spans="1:12" x14ac:dyDescent="0.25">
      <c r="A15" s="9" t="s">
        <v>52</v>
      </c>
      <c r="B15" s="10">
        <f t="shared" si="0"/>
        <v>14</v>
      </c>
      <c r="C15" s="10">
        <v>9</v>
      </c>
      <c r="D15" s="10">
        <v>2024</v>
      </c>
      <c r="E15" s="4">
        <v>43678.8</v>
      </c>
      <c r="F15" s="11">
        <v>0.2</v>
      </c>
      <c r="G15" s="4">
        <f>LPG!N19</f>
        <v>2698.5210000000825</v>
      </c>
      <c r="H15" s="11">
        <v>1.6</v>
      </c>
      <c r="I15" s="4">
        <v>268.8190000000107</v>
      </c>
      <c r="J15" s="11">
        <v>7.84</v>
      </c>
      <c r="K15" s="4">
        <f>'Occupied &amp; No. of Guest'!B16</f>
        <v>412</v>
      </c>
      <c r="L15" s="4">
        <f>'Occupied &amp; No. of Guest'!C16</f>
        <v>597</v>
      </c>
    </row>
    <row r="16" spans="1:12" x14ac:dyDescent="0.25">
      <c r="A16" s="9" t="s">
        <v>52</v>
      </c>
      <c r="B16" s="10">
        <f t="shared" si="0"/>
        <v>15</v>
      </c>
      <c r="C16" s="10">
        <v>9</v>
      </c>
      <c r="D16" s="10">
        <v>2024</v>
      </c>
      <c r="E16" s="4">
        <v>41672.400000000001</v>
      </c>
      <c r="F16" s="11">
        <v>0.2</v>
      </c>
      <c r="G16" s="4">
        <f>LPG!N20</f>
        <v>2769.2279999999546</v>
      </c>
      <c r="H16" s="11">
        <v>1.6</v>
      </c>
      <c r="I16" s="4">
        <v>347.61800000000477</v>
      </c>
      <c r="J16" s="11">
        <v>7.84</v>
      </c>
      <c r="K16" s="4">
        <f>'Occupied &amp; No. of Guest'!B17</f>
        <v>331</v>
      </c>
      <c r="L16" s="4">
        <f>'Occupied &amp; No. of Guest'!C17</f>
        <v>417</v>
      </c>
    </row>
    <row r="17" spans="1:12" x14ac:dyDescent="0.25">
      <c r="A17" s="9" t="s">
        <v>52</v>
      </c>
      <c r="B17" s="10">
        <f t="shared" si="0"/>
        <v>16</v>
      </c>
      <c r="C17" s="10">
        <v>9</v>
      </c>
      <c r="D17" s="10">
        <v>2024</v>
      </c>
      <c r="E17" s="4">
        <v>42417.4</v>
      </c>
      <c r="F17" s="11">
        <v>0.2</v>
      </c>
      <c r="G17" s="4">
        <f>LPG!N21</f>
        <v>2898.2840000000042</v>
      </c>
      <c r="H17" s="11">
        <v>1.6</v>
      </c>
      <c r="I17" s="4">
        <v>325.0900000000056</v>
      </c>
      <c r="J17" s="11">
        <v>7.84</v>
      </c>
      <c r="K17" s="4">
        <f>'Occupied &amp; No. of Guest'!B18</f>
        <v>378</v>
      </c>
      <c r="L17" s="4">
        <f>'Occupied &amp; No. of Guest'!C18</f>
        <v>483</v>
      </c>
    </row>
    <row r="18" spans="1:12" x14ac:dyDescent="0.25">
      <c r="A18" s="9" t="s">
        <v>52</v>
      </c>
      <c r="B18" s="10">
        <f t="shared" si="0"/>
        <v>17</v>
      </c>
      <c r="C18" s="10">
        <v>9</v>
      </c>
      <c r="D18" s="10">
        <v>2024</v>
      </c>
      <c r="E18" s="4">
        <v>42062.600000000006</v>
      </c>
      <c r="F18" s="11">
        <v>0.2</v>
      </c>
      <c r="G18" s="4">
        <f>LPG!N22</f>
        <v>2788.431000000061</v>
      </c>
      <c r="H18" s="11">
        <v>1.6</v>
      </c>
      <c r="I18" s="4">
        <v>333.16699999999491</v>
      </c>
      <c r="J18" s="11">
        <v>7.84</v>
      </c>
      <c r="K18" s="4">
        <f>'Occupied &amp; No. of Guest'!B19</f>
        <v>396</v>
      </c>
      <c r="L18" s="4">
        <f>'Occupied &amp; No. of Guest'!C19</f>
        <v>503</v>
      </c>
    </row>
    <row r="19" spans="1:12" x14ac:dyDescent="0.25">
      <c r="A19" s="9" t="s">
        <v>52</v>
      </c>
      <c r="B19" s="10">
        <f t="shared" si="0"/>
        <v>18</v>
      </c>
      <c r="C19" s="10">
        <v>9</v>
      </c>
      <c r="D19" s="10">
        <v>2024</v>
      </c>
      <c r="E19" s="4">
        <v>43942.2</v>
      </c>
      <c r="F19" s="11">
        <v>0.2</v>
      </c>
      <c r="G19" s="4">
        <f>LPG!N23</f>
        <v>2723.0149999999007</v>
      </c>
      <c r="H19" s="11">
        <v>1.6</v>
      </c>
      <c r="I19" s="4">
        <v>364.6539999999838</v>
      </c>
      <c r="J19" s="11">
        <v>7.84</v>
      </c>
      <c r="K19" s="4">
        <f>'Occupied &amp; No. of Guest'!B20</f>
        <v>383</v>
      </c>
      <c r="L19" s="4">
        <f>'Occupied &amp; No. of Guest'!C20</f>
        <v>509</v>
      </c>
    </row>
    <row r="20" spans="1:12" x14ac:dyDescent="0.25">
      <c r="A20" s="9" t="s">
        <v>52</v>
      </c>
      <c r="B20" s="10">
        <f t="shared" si="0"/>
        <v>19</v>
      </c>
      <c r="C20" s="10">
        <v>9</v>
      </c>
      <c r="D20" s="10">
        <v>2024</v>
      </c>
      <c r="E20" s="4">
        <v>43892.800000000003</v>
      </c>
      <c r="F20" s="11">
        <v>0.2</v>
      </c>
      <c r="G20" s="4">
        <f>LPG!N24</f>
        <v>2961.1100000000511</v>
      </c>
      <c r="H20" s="11">
        <v>1.6</v>
      </c>
      <c r="I20" s="4">
        <v>349.74000000000552</v>
      </c>
      <c r="J20" s="11">
        <v>7.84</v>
      </c>
      <c r="K20" s="4">
        <f>'Occupied &amp; No. of Guest'!B21</f>
        <v>384</v>
      </c>
      <c r="L20" s="4">
        <f>'Occupied &amp; No. of Guest'!C21</f>
        <v>530</v>
      </c>
    </row>
    <row r="21" spans="1:12" x14ac:dyDescent="0.25">
      <c r="A21" s="9" t="s">
        <v>52</v>
      </c>
      <c r="B21" s="10">
        <f t="shared" si="0"/>
        <v>20</v>
      </c>
      <c r="C21" s="10">
        <v>9</v>
      </c>
      <c r="D21" s="10">
        <v>2024</v>
      </c>
      <c r="E21" s="4">
        <v>42222.2</v>
      </c>
      <c r="F21" s="11">
        <v>0.2</v>
      </c>
      <c r="G21" s="4">
        <f>LPG!N25</f>
        <v>2806.2280000000255</v>
      </c>
      <c r="H21" s="11">
        <v>1.6</v>
      </c>
      <c r="I21" s="4">
        <v>308.50700000001063</v>
      </c>
      <c r="J21" s="11">
        <v>7.84</v>
      </c>
      <c r="K21" s="4">
        <f>'Occupied &amp; No. of Guest'!B22</f>
        <v>321</v>
      </c>
      <c r="L21" s="4">
        <f>'Occupied &amp; No. of Guest'!C22</f>
        <v>464</v>
      </c>
    </row>
    <row r="22" spans="1:12" x14ac:dyDescent="0.25">
      <c r="A22" s="9" t="s">
        <v>52</v>
      </c>
      <c r="B22" s="10">
        <f t="shared" si="0"/>
        <v>21</v>
      </c>
      <c r="C22" s="10">
        <v>9</v>
      </c>
      <c r="D22" s="10">
        <v>2024</v>
      </c>
      <c r="E22" s="4">
        <v>43743.600000000006</v>
      </c>
      <c r="F22" s="11">
        <v>0.2</v>
      </c>
      <c r="G22" s="4">
        <f>LPG!N26</f>
        <v>2808.0039999999462</v>
      </c>
      <c r="H22" s="11">
        <v>1.6</v>
      </c>
      <c r="I22" s="4">
        <v>313.91699999998445</v>
      </c>
      <c r="J22" s="11">
        <v>7.84</v>
      </c>
      <c r="K22" s="4">
        <f>'Occupied &amp; No. of Guest'!B23</f>
        <v>317</v>
      </c>
      <c r="L22" s="4">
        <f>'Occupied &amp; No. of Guest'!C23</f>
        <v>460</v>
      </c>
    </row>
    <row r="23" spans="1:12" x14ac:dyDescent="0.25">
      <c r="A23" s="9" t="s">
        <v>52</v>
      </c>
      <c r="B23" s="10">
        <f t="shared" si="0"/>
        <v>22</v>
      </c>
      <c r="C23" s="10">
        <v>9</v>
      </c>
      <c r="D23" s="10">
        <v>2024</v>
      </c>
      <c r="E23" s="4">
        <v>41561.4</v>
      </c>
      <c r="F23" s="11">
        <v>0.2</v>
      </c>
      <c r="G23" s="4">
        <f>LPG!N27</f>
        <v>2723.237000000021</v>
      </c>
      <c r="H23" s="11">
        <v>1.6</v>
      </c>
      <c r="I23" s="4">
        <v>275.31500000000534</v>
      </c>
      <c r="J23" s="11">
        <v>7.84</v>
      </c>
      <c r="K23" s="4">
        <f>'Occupied &amp; No. of Guest'!B24</f>
        <v>415</v>
      </c>
      <c r="L23" s="4">
        <f>'Occupied &amp; No. of Guest'!C24</f>
        <v>559</v>
      </c>
    </row>
    <row r="24" spans="1:12" x14ac:dyDescent="0.25">
      <c r="A24" s="9" t="s">
        <v>52</v>
      </c>
      <c r="B24" s="10">
        <f t="shared" si="0"/>
        <v>23</v>
      </c>
      <c r="C24" s="10">
        <v>9</v>
      </c>
      <c r="D24" s="10">
        <v>2024</v>
      </c>
      <c r="E24" s="4">
        <v>43290.400000000001</v>
      </c>
      <c r="F24" s="11">
        <v>0.2</v>
      </c>
      <c r="G24" s="4">
        <f>LPG!N28</f>
        <v>2758.4239999999681</v>
      </c>
      <c r="H24" s="11">
        <v>1.6</v>
      </c>
      <c r="I24" s="4">
        <v>378.5500000000153</v>
      </c>
      <c r="J24" s="11">
        <v>7.84</v>
      </c>
      <c r="K24" s="4">
        <f>'Occupied &amp; No. of Guest'!B25</f>
        <v>489</v>
      </c>
      <c r="L24" s="4">
        <f>'Occupied &amp; No. of Guest'!C25</f>
        <v>679</v>
      </c>
    </row>
    <row r="25" spans="1:12" x14ac:dyDescent="0.25">
      <c r="A25" s="9" t="s">
        <v>52</v>
      </c>
      <c r="B25" s="10">
        <f t="shared" si="0"/>
        <v>24</v>
      </c>
      <c r="C25" s="10">
        <v>9</v>
      </c>
      <c r="D25" s="10">
        <v>2024</v>
      </c>
      <c r="E25" s="4">
        <v>44126</v>
      </c>
      <c r="F25" s="11">
        <v>0.2</v>
      </c>
      <c r="G25" s="4">
        <f>LPG!N29</f>
        <v>2783.1030000000596</v>
      </c>
      <c r="H25" s="11">
        <v>1.6</v>
      </c>
      <c r="I25" s="4">
        <v>364.61299999998465</v>
      </c>
      <c r="J25" s="11">
        <v>7.84</v>
      </c>
      <c r="K25" s="4">
        <f>'Occupied &amp; No. of Guest'!B26</f>
        <v>487</v>
      </c>
      <c r="L25" s="4">
        <f>'Occupied &amp; No. of Guest'!C26</f>
        <v>646</v>
      </c>
    </row>
    <row r="26" spans="1:12" x14ac:dyDescent="0.25">
      <c r="A26" s="9" t="s">
        <v>52</v>
      </c>
      <c r="B26" s="10">
        <f>B25+1</f>
        <v>25</v>
      </c>
      <c r="C26" s="10">
        <v>9</v>
      </c>
      <c r="D26" s="10">
        <v>2024</v>
      </c>
      <c r="E26" s="4">
        <v>44830.8</v>
      </c>
      <c r="F26" s="11">
        <v>0.2</v>
      </c>
      <c r="G26" s="4">
        <f>LPG!N30</f>
        <v>0</v>
      </c>
      <c r="H26" s="11">
        <v>1.6</v>
      </c>
      <c r="I26" s="4">
        <v>370.30400000001026</v>
      </c>
      <c r="J26" s="11">
        <v>7.84</v>
      </c>
      <c r="K26" s="4">
        <f>'Occupied &amp; No. of Guest'!B27</f>
        <v>479</v>
      </c>
      <c r="L26" s="4">
        <f>'Occupied &amp; No. of Guest'!C27</f>
        <v>635</v>
      </c>
    </row>
    <row r="27" spans="1:12" x14ac:dyDescent="0.25">
      <c r="A27" s="9" t="s">
        <v>52</v>
      </c>
      <c r="B27" s="10">
        <f t="shared" si="0"/>
        <v>26</v>
      </c>
      <c r="C27" s="10">
        <v>9</v>
      </c>
      <c r="D27" s="10">
        <v>2024</v>
      </c>
      <c r="E27" s="4">
        <v>45298.400000000001</v>
      </c>
      <c r="F27" s="11">
        <v>0.2</v>
      </c>
      <c r="G27" s="4">
        <f>LPG!N31</f>
        <v>5532.9060000000172</v>
      </c>
      <c r="H27" s="11">
        <v>1.6</v>
      </c>
      <c r="I27" s="4">
        <v>384.72799999998404</v>
      </c>
      <c r="J27" s="11">
        <v>7.84</v>
      </c>
      <c r="K27" s="4">
        <f>'Occupied &amp; No. of Guest'!B28</f>
        <v>423</v>
      </c>
      <c r="L27" s="4">
        <f>'Occupied &amp; No. of Guest'!C28</f>
        <v>541</v>
      </c>
    </row>
    <row r="28" spans="1:12" x14ac:dyDescent="0.25">
      <c r="A28" s="9" t="s">
        <v>52</v>
      </c>
      <c r="B28" s="10">
        <f t="shared" si="0"/>
        <v>27</v>
      </c>
      <c r="C28" s="10">
        <v>9</v>
      </c>
      <c r="D28" s="10">
        <v>2024</v>
      </c>
      <c r="E28" s="4">
        <v>45670</v>
      </c>
      <c r="F28" s="11">
        <v>0.2</v>
      </c>
      <c r="G28" s="4">
        <f>LPG!N32</f>
        <v>2785.8779999999406</v>
      </c>
      <c r="H28" s="11">
        <v>1.6</v>
      </c>
      <c r="I28" s="4">
        <v>398.79100000001029</v>
      </c>
      <c r="J28" s="11">
        <v>7.84</v>
      </c>
      <c r="K28" s="4">
        <f>'Occupied &amp; No. of Guest'!B29</f>
        <v>486</v>
      </c>
      <c r="L28" s="4">
        <f>'Occupied &amp; No. of Guest'!C29</f>
        <v>654</v>
      </c>
    </row>
    <row r="29" spans="1:12" x14ac:dyDescent="0.25">
      <c r="A29" s="9" t="s">
        <v>52</v>
      </c>
      <c r="B29" s="10">
        <f t="shared" si="0"/>
        <v>28</v>
      </c>
      <c r="C29" s="10">
        <v>9</v>
      </c>
      <c r="D29" s="10">
        <v>2024</v>
      </c>
      <c r="E29" s="4">
        <v>45208.600000000006</v>
      </c>
      <c r="F29" s="11">
        <v>0.2</v>
      </c>
      <c r="G29" s="4">
        <f>LPG!N33</f>
        <v>2797.4960000000606</v>
      </c>
      <c r="H29" s="11">
        <v>1.6</v>
      </c>
      <c r="I29" s="4">
        <v>376.95100000000059</v>
      </c>
      <c r="J29" s="11">
        <v>7.84</v>
      </c>
      <c r="K29" s="4">
        <f>'Occupied &amp; No. of Guest'!B30</f>
        <v>477</v>
      </c>
      <c r="L29" s="4">
        <f>'Occupied &amp; No. of Guest'!C30</f>
        <v>681</v>
      </c>
    </row>
    <row r="30" spans="1:12" x14ac:dyDescent="0.25">
      <c r="A30" s="9" t="s">
        <v>52</v>
      </c>
      <c r="B30" s="10">
        <f t="shared" si="0"/>
        <v>29</v>
      </c>
      <c r="C30" s="10">
        <v>9</v>
      </c>
      <c r="D30" s="10">
        <v>2024</v>
      </c>
      <c r="E30" s="4">
        <v>42754.400000000001</v>
      </c>
      <c r="F30" s="11">
        <v>0.2</v>
      </c>
      <c r="G30" s="4">
        <f>LPG!N34</f>
        <v>2865.2430000000018</v>
      </c>
      <c r="H30" s="11">
        <v>1.6</v>
      </c>
      <c r="I30" s="4">
        <v>455.48299999998909</v>
      </c>
      <c r="J30" s="11">
        <v>7.84</v>
      </c>
      <c r="K30" s="4">
        <f>'Occupied &amp; No. of Guest'!B31</f>
        <v>474</v>
      </c>
      <c r="L30" s="4">
        <f>'Occupied &amp; No. of Guest'!C31</f>
        <v>619</v>
      </c>
    </row>
    <row r="31" spans="1:12" x14ac:dyDescent="0.25">
      <c r="A31" s="9" t="s">
        <v>52</v>
      </c>
      <c r="B31" s="10">
        <f t="shared" si="0"/>
        <v>30</v>
      </c>
      <c r="C31" s="10">
        <v>9</v>
      </c>
      <c r="D31" s="10">
        <v>2024</v>
      </c>
      <c r="E31" s="4">
        <v>41512.600000000006</v>
      </c>
      <c r="F31" s="11">
        <v>0.2</v>
      </c>
      <c r="G31" s="4">
        <f>LPG!N35</f>
        <v>3199.9079999999753</v>
      </c>
      <c r="H31" s="11">
        <v>1.6</v>
      </c>
      <c r="I31" s="4">
        <v>518.05400000001589</v>
      </c>
      <c r="J31" s="11">
        <v>7.84</v>
      </c>
      <c r="K31" s="4">
        <f>'Occupied &amp; No. of Guest'!B32</f>
        <v>483</v>
      </c>
      <c r="L31" s="4">
        <f>'Occupied &amp; No. of Guest'!C32</f>
        <v>627</v>
      </c>
    </row>
    <row r="32" spans="1:12" x14ac:dyDescent="0.25">
      <c r="A32" s="9" t="s">
        <v>52</v>
      </c>
      <c r="B32" s="10">
        <f t="shared" si="0"/>
        <v>31</v>
      </c>
      <c r="C32" s="10">
        <v>9</v>
      </c>
      <c r="D32" s="10">
        <v>2024</v>
      </c>
      <c r="E32" s="4">
        <v>0</v>
      </c>
      <c r="F32" s="11">
        <v>0.2</v>
      </c>
      <c r="G32" s="4">
        <f>LPG!N36</f>
        <v>0</v>
      </c>
      <c r="H32" s="11">
        <v>1.6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D17" sqref="D17:AH20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9" t="s">
        <v>94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67" s="14" customFormat="1" ht="29.25" customHeight="1" thickBot="1" x14ac:dyDescent="0.3"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71">
        <v>1</v>
      </c>
      <c r="B5" s="20" t="s">
        <v>14</v>
      </c>
      <c r="C5" s="73" t="s">
        <v>15</v>
      </c>
      <c r="D5" s="21">
        <v>12082286</v>
      </c>
      <c r="E5" s="21">
        <v>12104415</v>
      </c>
      <c r="F5" s="21">
        <v>12126257</v>
      </c>
      <c r="G5" s="21">
        <v>12147913</v>
      </c>
      <c r="H5" s="21">
        <v>12169857</v>
      </c>
      <c r="I5" s="21">
        <v>12191832</v>
      </c>
      <c r="J5" s="21">
        <v>12214358</v>
      </c>
      <c r="K5" s="21">
        <v>12237381</v>
      </c>
      <c r="L5" s="21">
        <v>12259173</v>
      </c>
      <c r="M5" s="21">
        <v>12281569</v>
      </c>
      <c r="N5" s="21">
        <v>12303955</v>
      </c>
      <c r="O5" s="21">
        <v>12326184</v>
      </c>
      <c r="P5" s="21">
        <v>12348064</v>
      </c>
      <c r="Q5" s="21">
        <v>12370599</v>
      </c>
      <c r="R5" s="21">
        <v>12392872</v>
      </c>
      <c r="S5" s="21">
        <v>12414410</v>
      </c>
      <c r="T5" s="21">
        <v>12436642</v>
      </c>
      <c r="U5" s="21">
        <v>12459168</v>
      </c>
      <c r="V5" s="21">
        <v>12481898</v>
      </c>
      <c r="W5" s="21">
        <v>12504500</v>
      </c>
      <c r="X5" s="21">
        <v>12526232</v>
      </c>
      <c r="Y5" s="21">
        <v>12548362</v>
      </c>
      <c r="Z5" s="21">
        <v>12569441</v>
      </c>
      <c r="AA5" s="21">
        <v>12592922</v>
      </c>
      <c r="AB5" s="21">
        <v>12614916</v>
      </c>
      <c r="AC5" s="21">
        <v>12637758</v>
      </c>
      <c r="AD5" s="21">
        <v>12660434</v>
      </c>
      <c r="AE5" s="21">
        <v>12683157</v>
      </c>
      <c r="AF5" s="21">
        <v>12706215</v>
      </c>
      <c r="AG5" s="21">
        <v>12728729</v>
      </c>
      <c r="AH5" s="21">
        <v>12751384</v>
      </c>
      <c r="AI5" s="21"/>
    </row>
    <row r="6" spans="1:67" s="24" customFormat="1" ht="21.75" customHeight="1" thickBot="1" x14ac:dyDescent="0.25">
      <c r="A6" s="72"/>
      <c r="B6" s="22"/>
      <c r="C6" s="74"/>
      <c r="D6" s="23"/>
      <c r="E6" s="23">
        <f t="shared" ref="E6:AH6" si="0">E5-D5</f>
        <v>22129</v>
      </c>
      <c r="F6" s="23">
        <f t="shared" si="0"/>
        <v>21842</v>
      </c>
      <c r="G6" s="23">
        <f t="shared" si="0"/>
        <v>21656</v>
      </c>
      <c r="H6" s="23">
        <f t="shared" si="0"/>
        <v>21944</v>
      </c>
      <c r="I6" s="23">
        <f t="shared" si="0"/>
        <v>21975</v>
      </c>
      <c r="J6" s="23">
        <f t="shared" si="0"/>
        <v>22526</v>
      </c>
      <c r="K6" s="23">
        <f>K5-J5</f>
        <v>23023</v>
      </c>
      <c r="L6" s="23">
        <f t="shared" si="0"/>
        <v>21792</v>
      </c>
      <c r="M6" s="23">
        <f t="shared" si="0"/>
        <v>22396</v>
      </c>
      <c r="N6" s="23">
        <f t="shared" si="0"/>
        <v>22386</v>
      </c>
      <c r="O6" s="23">
        <f t="shared" si="0"/>
        <v>22229</v>
      </c>
      <c r="P6" s="23">
        <f t="shared" si="0"/>
        <v>21880</v>
      </c>
      <c r="Q6" s="23">
        <f t="shared" si="0"/>
        <v>22535</v>
      </c>
      <c r="R6" s="23">
        <f t="shared" si="0"/>
        <v>22273</v>
      </c>
      <c r="S6" s="23">
        <f t="shared" si="0"/>
        <v>21538</v>
      </c>
      <c r="T6" s="23">
        <f t="shared" si="0"/>
        <v>22232</v>
      </c>
      <c r="U6" s="23">
        <f t="shared" si="0"/>
        <v>22526</v>
      </c>
      <c r="V6" s="23">
        <f t="shared" si="0"/>
        <v>22730</v>
      </c>
      <c r="W6" s="23">
        <f t="shared" si="0"/>
        <v>22602</v>
      </c>
      <c r="X6" s="23">
        <f t="shared" si="0"/>
        <v>21732</v>
      </c>
      <c r="Y6" s="23">
        <f t="shared" si="0"/>
        <v>22130</v>
      </c>
      <c r="Z6" s="23">
        <f t="shared" si="0"/>
        <v>21079</v>
      </c>
      <c r="AA6" s="23">
        <f t="shared" si="0"/>
        <v>23481</v>
      </c>
      <c r="AB6" s="23">
        <f t="shared" si="0"/>
        <v>21994</v>
      </c>
      <c r="AC6" s="23">
        <f t="shared" si="0"/>
        <v>22842</v>
      </c>
      <c r="AD6" s="23">
        <f t="shared" si="0"/>
        <v>22676</v>
      </c>
      <c r="AE6" s="23">
        <f t="shared" si="0"/>
        <v>22723</v>
      </c>
      <c r="AF6" s="23">
        <f t="shared" si="0"/>
        <v>23058</v>
      </c>
      <c r="AG6" s="23">
        <f t="shared" si="0"/>
        <v>22514</v>
      </c>
      <c r="AH6" s="23">
        <f t="shared" si="0"/>
        <v>22655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5">
        <v>2</v>
      </c>
      <c r="B7" s="25" t="s">
        <v>16</v>
      </c>
      <c r="C7" s="77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76"/>
      <c r="B8" s="22"/>
      <c r="C8" s="74"/>
      <c r="D8" s="23"/>
      <c r="E8" s="23">
        <f t="shared" ref="E8:AH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82">
        <v>3</v>
      </c>
      <c r="B9" s="36" t="s">
        <v>53</v>
      </c>
      <c r="C9" s="84" t="s">
        <v>54</v>
      </c>
      <c r="D9" s="21">
        <v>12908588</v>
      </c>
      <c r="E9" s="21">
        <v>12928042</v>
      </c>
      <c r="F9" s="21">
        <v>12949305</v>
      </c>
      <c r="G9" s="21">
        <v>12971688</v>
      </c>
      <c r="H9" s="21">
        <v>12994042</v>
      </c>
      <c r="I9" s="21">
        <v>13016101</v>
      </c>
      <c r="J9" s="21">
        <v>13038142</v>
      </c>
      <c r="K9" s="21">
        <v>13061799</v>
      </c>
      <c r="L9" s="21">
        <v>13084493</v>
      </c>
      <c r="M9" s="21">
        <v>13105655</v>
      </c>
      <c r="N9" s="21">
        <v>13127864</v>
      </c>
      <c r="O9" s="21">
        <v>13149220</v>
      </c>
      <c r="P9" s="21">
        <v>13171258</v>
      </c>
      <c r="Q9" s="21">
        <v>13193839</v>
      </c>
      <c r="R9" s="21">
        <v>13216039</v>
      </c>
      <c r="S9" s="21">
        <v>13239767</v>
      </c>
      <c r="T9" s="21">
        <v>13262263</v>
      </c>
      <c r="U9" s="21">
        <v>13285521</v>
      </c>
      <c r="V9" s="21">
        <v>13307516</v>
      </c>
      <c r="W9" s="21">
        <v>13330757</v>
      </c>
      <c r="X9" s="21">
        <v>13353058</v>
      </c>
      <c r="Y9" s="21">
        <v>13374047</v>
      </c>
      <c r="Z9" s="21">
        <v>13413118</v>
      </c>
      <c r="AA9" s="21">
        <v>13437737</v>
      </c>
      <c r="AB9" s="21">
        <v>13469321</v>
      </c>
      <c r="AC9" s="21">
        <v>13507755</v>
      </c>
      <c r="AD9" s="21">
        <v>13538062</v>
      </c>
      <c r="AE9" s="21">
        <v>13577515</v>
      </c>
      <c r="AF9" s="21">
        <v>13616482</v>
      </c>
      <c r="AG9" s="21">
        <v>13654568</v>
      </c>
      <c r="AH9" s="21">
        <v>13682987</v>
      </c>
      <c r="AI9" s="21"/>
    </row>
    <row r="10" spans="1:67" s="24" customFormat="1" ht="21.75" customHeight="1" thickBot="1" x14ac:dyDescent="0.25">
      <c r="A10" s="83"/>
      <c r="B10" s="37"/>
      <c r="C10" s="81"/>
      <c r="D10" s="23"/>
      <c r="E10" s="23">
        <f t="shared" ref="E10:AH10" si="2">E9-D9</f>
        <v>19454</v>
      </c>
      <c r="F10" s="23">
        <f t="shared" si="2"/>
        <v>21263</v>
      </c>
      <c r="G10" s="23">
        <f t="shared" si="2"/>
        <v>22383</v>
      </c>
      <c r="H10" s="23">
        <f t="shared" si="2"/>
        <v>22354</v>
      </c>
      <c r="I10" s="23">
        <f t="shared" si="2"/>
        <v>22059</v>
      </c>
      <c r="J10" s="23">
        <f>J9-I9</f>
        <v>22041</v>
      </c>
      <c r="K10" s="23">
        <f t="shared" si="2"/>
        <v>23657</v>
      </c>
      <c r="L10" s="23">
        <f t="shared" si="2"/>
        <v>22694</v>
      </c>
      <c r="M10" s="23">
        <f t="shared" si="2"/>
        <v>21162</v>
      </c>
      <c r="N10" s="23">
        <f t="shared" si="2"/>
        <v>22209</v>
      </c>
      <c r="O10" s="23">
        <f t="shared" si="2"/>
        <v>21356</v>
      </c>
      <c r="P10" s="23">
        <f t="shared" si="2"/>
        <v>22038</v>
      </c>
      <c r="Q10" s="23">
        <f t="shared" si="2"/>
        <v>22581</v>
      </c>
      <c r="R10" s="23">
        <f t="shared" si="2"/>
        <v>22200</v>
      </c>
      <c r="S10" s="23">
        <f t="shared" si="2"/>
        <v>23728</v>
      </c>
      <c r="T10" s="23">
        <f t="shared" si="2"/>
        <v>22496</v>
      </c>
      <c r="U10" s="23">
        <f t="shared" si="2"/>
        <v>23258</v>
      </c>
      <c r="V10" s="23">
        <f t="shared" si="2"/>
        <v>21995</v>
      </c>
      <c r="W10" s="23">
        <f t="shared" si="2"/>
        <v>23241</v>
      </c>
      <c r="X10" s="23">
        <f t="shared" si="2"/>
        <v>22301</v>
      </c>
      <c r="Y10" s="23">
        <f t="shared" si="2"/>
        <v>20989</v>
      </c>
      <c r="Z10" s="23">
        <f t="shared" si="2"/>
        <v>39071</v>
      </c>
      <c r="AA10" s="23">
        <f t="shared" si="2"/>
        <v>24619</v>
      </c>
      <c r="AB10" s="23">
        <f t="shared" si="2"/>
        <v>31584</v>
      </c>
      <c r="AC10" s="23">
        <f t="shared" si="2"/>
        <v>38434</v>
      </c>
      <c r="AD10" s="23">
        <f t="shared" si="2"/>
        <v>30307</v>
      </c>
      <c r="AE10" s="23">
        <f t="shared" si="2"/>
        <v>39453</v>
      </c>
      <c r="AF10" s="23">
        <f t="shared" si="2"/>
        <v>38967</v>
      </c>
      <c r="AG10" s="23">
        <f t="shared" si="2"/>
        <v>38086</v>
      </c>
      <c r="AH10" s="23">
        <f t="shared" si="2"/>
        <v>28419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8">
        <v>4</v>
      </c>
      <c r="B11" s="36" t="s">
        <v>55</v>
      </c>
      <c r="C11" s="84" t="s">
        <v>56</v>
      </c>
      <c r="D11" s="21">
        <v>9198145</v>
      </c>
      <c r="E11" s="21">
        <v>9232318</v>
      </c>
      <c r="F11" s="21">
        <v>9267435</v>
      </c>
      <c r="G11" s="21">
        <v>9305176</v>
      </c>
      <c r="H11" s="21">
        <v>9342794</v>
      </c>
      <c r="I11" s="21">
        <v>9379571</v>
      </c>
      <c r="J11" s="21">
        <v>9418217</v>
      </c>
      <c r="K11" s="21">
        <v>9453025</v>
      </c>
      <c r="L11" s="21">
        <v>9491037</v>
      </c>
      <c r="M11" s="21">
        <v>9529966</v>
      </c>
      <c r="N11" s="21">
        <v>9569960</v>
      </c>
      <c r="O11" s="21">
        <v>9606110</v>
      </c>
      <c r="P11" s="21">
        <v>9638098</v>
      </c>
      <c r="Q11" s="21">
        <v>9668685</v>
      </c>
      <c r="R11" s="21">
        <v>9699197</v>
      </c>
      <c r="S11" s="21">
        <v>9725045</v>
      </c>
      <c r="T11" s="21">
        <v>9752260</v>
      </c>
      <c r="U11" s="21">
        <v>9777081</v>
      </c>
      <c r="V11" s="21">
        <v>9807424</v>
      </c>
      <c r="W11" s="21">
        <v>9836640</v>
      </c>
      <c r="X11" s="21">
        <v>9864817</v>
      </c>
      <c r="Y11" s="21">
        <v>9897072</v>
      </c>
      <c r="Z11" s="21">
        <v>9908377</v>
      </c>
      <c r="AA11" s="21">
        <v>9932549</v>
      </c>
      <c r="AB11" s="21">
        <v>9955500</v>
      </c>
      <c r="AC11" s="21">
        <v>9971313</v>
      </c>
      <c r="AD11" s="21">
        <v>9996767</v>
      </c>
      <c r="AE11" s="21">
        <v>10013874</v>
      </c>
      <c r="AF11" s="21">
        <v>10029511</v>
      </c>
      <c r="AG11" s="21">
        <v>10041221</v>
      </c>
      <c r="AH11" s="21">
        <v>10059196</v>
      </c>
      <c r="AI11" s="21"/>
    </row>
    <row r="12" spans="1:67" s="38" customFormat="1" ht="21.75" customHeight="1" thickBot="1" x14ac:dyDescent="0.25">
      <c r="A12" s="79"/>
      <c r="B12" s="37"/>
      <c r="C12" s="81"/>
      <c r="D12" s="23"/>
      <c r="E12" s="23">
        <f t="shared" ref="E12:AH12" si="3">E11-D11</f>
        <v>34173</v>
      </c>
      <c r="F12" s="23">
        <f t="shared" si="3"/>
        <v>35117</v>
      </c>
      <c r="G12" s="23">
        <f t="shared" si="3"/>
        <v>37741</v>
      </c>
      <c r="H12" s="23">
        <f t="shared" si="3"/>
        <v>37618</v>
      </c>
      <c r="I12" s="23">
        <f t="shared" si="3"/>
        <v>36777</v>
      </c>
      <c r="J12" s="23">
        <f>J11-I11</f>
        <v>38646</v>
      </c>
      <c r="K12" s="23">
        <f t="shared" si="3"/>
        <v>34808</v>
      </c>
      <c r="L12" s="23">
        <f t="shared" si="3"/>
        <v>38012</v>
      </c>
      <c r="M12" s="23">
        <f t="shared" si="3"/>
        <v>38929</v>
      </c>
      <c r="N12" s="23">
        <f t="shared" si="3"/>
        <v>39994</v>
      </c>
      <c r="O12" s="23">
        <f t="shared" si="3"/>
        <v>36150</v>
      </c>
      <c r="P12" s="23">
        <f t="shared" si="3"/>
        <v>31988</v>
      </c>
      <c r="Q12" s="23">
        <f t="shared" si="3"/>
        <v>30587</v>
      </c>
      <c r="R12" s="23">
        <f t="shared" si="3"/>
        <v>30512</v>
      </c>
      <c r="S12" s="23">
        <f t="shared" si="3"/>
        <v>25848</v>
      </c>
      <c r="T12" s="23">
        <f t="shared" si="3"/>
        <v>27215</v>
      </c>
      <c r="U12" s="23">
        <f t="shared" si="3"/>
        <v>24821</v>
      </c>
      <c r="V12" s="23">
        <f t="shared" si="3"/>
        <v>30343</v>
      </c>
      <c r="W12" s="23">
        <f t="shared" si="3"/>
        <v>29216</v>
      </c>
      <c r="X12" s="23">
        <f t="shared" si="3"/>
        <v>28177</v>
      </c>
      <c r="Y12" s="23">
        <f t="shared" si="3"/>
        <v>32255</v>
      </c>
      <c r="Z12" s="23">
        <f t="shared" si="3"/>
        <v>11305</v>
      </c>
      <c r="AA12" s="23">
        <f t="shared" si="3"/>
        <v>24172</v>
      </c>
      <c r="AB12" s="23">
        <f t="shared" si="3"/>
        <v>22951</v>
      </c>
      <c r="AC12" s="23">
        <f t="shared" si="3"/>
        <v>15813</v>
      </c>
      <c r="AD12" s="23">
        <f t="shared" si="3"/>
        <v>25454</v>
      </c>
      <c r="AE12" s="23">
        <f t="shared" si="3"/>
        <v>17107</v>
      </c>
      <c r="AF12" s="23">
        <f t="shared" si="3"/>
        <v>15637</v>
      </c>
      <c r="AG12" s="23">
        <f t="shared" si="3"/>
        <v>11710</v>
      </c>
      <c r="AH12" s="23">
        <f t="shared" si="3"/>
        <v>17975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82">
        <v>7</v>
      </c>
      <c r="B13" s="39" t="s">
        <v>57</v>
      </c>
      <c r="C13" s="80" t="s">
        <v>58</v>
      </c>
      <c r="D13" s="40">
        <v>3309</v>
      </c>
      <c r="E13" s="40">
        <v>3309</v>
      </c>
      <c r="F13" s="40">
        <v>3309</v>
      </c>
      <c r="G13" s="40">
        <v>3309</v>
      </c>
      <c r="H13" s="40">
        <v>3309</v>
      </c>
      <c r="I13" s="40">
        <v>3309</v>
      </c>
      <c r="J13" s="40">
        <v>3309</v>
      </c>
      <c r="K13" s="40">
        <v>3309</v>
      </c>
      <c r="L13" s="40">
        <v>3309</v>
      </c>
      <c r="M13" s="40">
        <v>3309</v>
      </c>
      <c r="N13" s="40">
        <v>3309</v>
      </c>
      <c r="O13" s="40">
        <v>3309</v>
      </c>
      <c r="P13" s="40">
        <v>3309</v>
      </c>
      <c r="Q13" s="40">
        <v>3309</v>
      </c>
      <c r="R13" s="40">
        <v>3309</v>
      </c>
      <c r="S13" s="40">
        <v>3309</v>
      </c>
      <c r="T13" s="40">
        <v>3309</v>
      </c>
      <c r="U13" s="40">
        <v>3309</v>
      </c>
      <c r="V13" s="40">
        <v>3309</v>
      </c>
      <c r="W13" s="40">
        <v>3309</v>
      </c>
      <c r="X13" s="40">
        <v>3309</v>
      </c>
      <c r="Y13" s="40">
        <v>3314</v>
      </c>
      <c r="Z13" s="40">
        <v>3314</v>
      </c>
      <c r="AA13" s="40">
        <v>3314</v>
      </c>
      <c r="AB13" s="40">
        <v>3314</v>
      </c>
      <c r="AC13" s="40">
        <v>3315</v>
      </c>
      <c r="AD13" s="40">
        <v>3315</v>
      </c>
      <c r="AE13" s="40">
        <v>3316</v>
      </c>
      <c r="AF13" s="40">
        <v>3316</v>
      </c>
      <c r="AG13" s="40">
        <v>3316</v>
      </c>
      <c r="AH13" s="40">
        <v>3316</v>
      </c>
      <c r="AI13" s="40"/>
    </row>
    <row r="14" spans="1:67" s="24" customFormat="1" ht="21.75" customHeight="1" thickBot="1" x14ac:dyDescent="0.25">
      <c r="A14" s="83"/>
      <c r="B14" s="41"/>
      <c r="C14" s="81"/>
      <c r="D14" s="42"/>
      <c r="E14" s="42">
        <f t="shared" ref="E14:AH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5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1</v>
      </c>
      <c r="AD14" s="42">
        <f t="shared" si="4"/>
        <v>0</v>
      </c>
      <c r="AE14" s="42">
        <f t="shared" si="4"/>
        <v>1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8">
        <v>8</v>
      </c>
      <c r="B15" s="39" t="s">
        <v>59</v>
      </c>
      <c r="C15" s="80" t="s">
        <v>60</v>
      </c>
      <c r="D15" s="40">
        <v>472</v>
      </c>
      <c r="E15" s="40">
        <v>472</v>
      </c>
      <c r="F15" s="40">
        <v>472</v>
      </c>
      <c r="G15" s="40">
        <v>473</v>
      </c>
      <c r="H15" s="40">
        <v>473</v>
      </c>
      <c r="I15" s="40">
        <v>473</v>
      </c>
      <c r="J15" s="40">
        <v>473</v>
      </c>
      <c r="K15" s="40">
        <v>473</v>
      </c>
      <c r="L15" s="40">
        <v>473</v>
      </c>
      <c r="M15" s="40">
        <v>473</v>
      </c>
      <c r="N15" s="40">
        <v>473</v>
      </c>
      <c r="O15" s="40">
        <v>473</v>
      </c>
      <c r="P15" s="40">
        <v>473</v>
      </c>
      <c r="Q15" s="40">
        <v>473</v>
      </c>
      <c r="R15" s="40">
        <v>473</v>
      </c>
      <c r="S15" s="40">
        <v>474</v>
      </c>
      <c r="T15" s="40">
        <v>474</v>
      </c>
      <c r="U15" s="40">
        <v>474</v>
      </c>
      <c r="V15" s="40">
        <v>474</v>
      </c>
      <c r="W15" s="40">
        <v>474</v>
      </c>
      <c r="X15" s="40">
        <v>474</v>
      </c>
      <c r="Y15" s="40">
        <v>475</v>
      </c>
      <c r="Z15" s="40">
        <v>475</v>
      </c>
      <c r="AA15" s="40">
        <v>475</v>
      </c>
      <c r="AB15" s="40">
        <v>475</v>
      </c>
      <c r="AC15" s="40">
        <v>476</v>
      </c>
      <c r="AD15" s="40">
        <v>476</v>
      </c>
      <c r="AE15" s="40">
        <v>476</v>
      </c>
      <c r="AF15" s="40">
        <v>476</v>
      </c>
      <c r="AG15" s="40">
        <v>476</v>
      </c>
      <c r="AH15" s="40">
        <v>476</v>
      </c>
      <c r="AI15" s="40"/>
    </row>
    <row r="16" spans="1:67" s="24" customFormat="1" ht="21.75" customHeight="1" thickBot="1" x14ac:dyDescent="0.25">
      <c r="A16" s="79"/>
      <c r="B16" s="41"/>
      <c r="C16" s="81"/>
      <c r="D16" s="42"/>
      <c r="E16" s="42">
        <f t="shared" ref="E16:AH16" si="5">E15-D15</f>
        <v>0</v>
      </c>
      <c r="F16" s="42">
        <f t="shared" si="5"/>
        <v>0</v>
      </c>
      <c r="G16" s="42">
        <f t="shared" si="5"/>
        <v>1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1</v>
      </c>
      <c r="T16" s="42">
        <f t="shared" si="5"/>
        <v>0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1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1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8">
        <v>13</v>
      </c>
      <c r="B17" s="39" t="s">
        <v>61</v>
      </c>
      <c r="C17" s="80" t="s">
        <v>62</v>
      </c>
      <c r="D17" s="40">
        <v>1434167</v>
      </c>
      <c r="E17" s="40">
        <v>1434419</v>
      </c>
      <c r="F17" s="40">
        <v>1434678</v>
      </c>
      <c r="G17" s="40">
        <v>1434956</v>
      </c>
      <c r="H17" s="40">
        <v>1435212</v>
      </c>
      <c r="I17" s="40">
        <v>1435469</v>
      </c>
      <c r="J17" s="40">
        <v>1435728</v>
      </c>
      <c r="K17" s="40">
        <v>1435979</v>
      </c>
      <c r="L17" s="40">
        <v>1436231</v>
      </c>
      <c r="M17" s="40">
        <v>1436486</v>
      </c>
      <c r="N17" s="40">
        <v>1436747</v>
      </c>
      <c r="O17" s="40">
        <v>1437002</v>
      </c>
      <c r="P17" s="40">
        <v>1437261</v>
      </c>
      <c r="Q17" s="40">
        <v>1437513</v>
      </c>
      <c r="R17" s="40">
        <v>1437781</v>
      </c>
      <c r="S17" s="40">
        <v>1438035</v>
      </c>
      <c r="T17" s="40">
        <v>1438286</v>
      </c>
      <c r="U17" s="40">
        <v>1438541</v>
      </c>
      <c r="V17" s="40">
        <v>1438770</v>
      </c>
      <c r="W17" s="40">
        <v>1439028</v>
      </c>
      <c r="X17" s="40">
        <v>1439280</v>
      </c>
      <c r="Y17" s="40">
        <v>1439541</v>
      </c>
      <c r="Z17" s="40">
        <v>1439826</v>
      </c>
      <c r="AA17" s="40">
        <v>1440071</v>
      </c>
      <c r="AB17" s="40">
        <v>1440337</v>
      </c>
      <c r="AC17" s="40">
        <v>1440577</v>
      </c>
      <c r="AD17" s="40">
        <v>1440848</v>
      </c>
      <c r="AE17" s="40">
        <v>1441120</v>
      </c>
      <c r="AF17" s="40">
        <v>1441381</v>
      </c>
      <c r="AG17" s="40">
        <v>1441654</v>
      </c>
      <c r="AH17" s="40">
        <v>1441909</v>
      </c>
      <c r="AI17" s="40"/>
    </row>
    <row r="18" spans="1:35" ht="21.75" customHeight="1" thickBot="1" x14ac:dyDescent="0.25">
      <c r="A18" s="86"/>
      <c r="B18" s="43"/>
      <c r="C18" s="87"/>
      <c r="D18" s="42"/>
      <c r="E18" s="42">
        <f t="shared" ref="E18:AH18" si="6">E17-D17</f>
        <v>252</v>
      </c>
      <c r="F18" s="42">
        <f t="shared" si="6"/>
        <v>259</v>
      </c>
      <c r="G18" s="42">
        <f t="shared" si="6"/>
        <v>278</v>
      </c>
      <c r="H18" s="42">
        <f t="shared" si="6"/>
        <v>256</v>
      </c>
      <c r="I18" s="42">
        <f t="shared" si="6"/>
        <v>257</v>
      </c>
      <c r="J18" s="42">
        <f t="shared" si="6"/>
        <v>259</v>
      </c>
      <c r="K18" s="42">
        <f t="shared" si="6"/>
        <v>251</v>
      </c>
      <c r="L18" s="42">
        <f t="shared" si="6"/>
        <v>252</v>
      </c>
      <c r="M18" s="42">
        <f t="shared" si="6"/>
        <v>255</v>
      </c>
      <c r="N18" s="42">
        <f t="shared" si="6"/>
        <v>261</v>
      </c>
      <c r="O18" s="42">
        <f t="shared" si="6"/>
        <v>255</v>
      </c>
      <c r="P18" s="42">
        <f t="shared" si="6"/>
        <v>259</v>
      </c>
      <c r="Q18" s="42">
        <f t="shared" si="6"/>
        <v>252</v>
      </c>
      <c r="R18" s="42">
        <f t="shared" si="6"/>
        <v>268</v>
      </c>
      <c r="S18" s="42">
        <f t="shared" si="6"/>
        <v>254</v>
      </c>
      <c r="T18" s="42">
        <f t="shared" si="6"/>
        <v>251</v>
      </c>
      <c r="U18" s="42">
        <f t="shared" si="6"/>
        <v>255</v>
      </c>
      <c r="V18" s="42">
        <f t="shared" si="6"/>
        <v>229</v>
      </c>
      <c r="W18" s="42">
        <f t="shared" si="6"/>
        <v>258</v>
      </c>
      <c r="X18" s="42">
        <f t="shared" si="6"/>
        <v>252</v>
      </c>
      <c r="Y18" s="42">
        <f t="shared" si="6"/>
        <v>261</v>
      </c>
      <c r="Z18" s="42">
        <f t="shared" si="6"/>
        <v>285</v>
      </c>
      <c r="AA18" s="42">
        <f t="shared" si="6"/>
        <v>245</v>
      </c>
      <c r="AB18" s="42">
        <f t="shared" si="6"/>
        <v>266</v>
      </c>
      <c r="AC18" s="42">
        <f t="shared" si="6"/>
        <v>240</v>
      </c>
      <c r="AD18" s="42">
        <f t="shared" si="6"/>
        <v>271</v>
      </c>
      <c r="AE18" s="42">
        <f t="shared" si="6"/>
        <v>272</v>
      </c>
      <c r="AF18" s="42">
        <f t="shared" si="6"/>
        <v>261</v>
      </c>
      <c r="AG18" s="42">
        <f t="shared" si="6"/>
        <v>273</v>
      </c>
      <c r="AH18" s="42">
        <f t="shared" si="6"/>
        <v>255</v>
      </c>
      <c r="AI18" s="42"/>
    </row>
    <row r="19" spans="1:35" ht="21.75" customHeight="1" x14ac:dyDescent="0.2">
      <c r="A19" s="88">
        <v>14</v>
      </c>
      <c r="B19" s="39" t="s">
        <v>63</v>
      </c>
      <c r="C19" s="80" t="s">
        <v>64</v>
      </c>
      <c r="D19" s="40">
        <v>381806</v>
      </c>
      <c r="E19" s="40">
        <v>381854</v>
      </c>
      <c r="F19" s="40">
        <v>381904</v>
      </c>
      <c r="G19" s="40">
        <v>381955</v>
      </c>
      <c r="H19" s="40">
        <v>382002</v>
      </c>
      <c r="I19" s="40">
        <v>382049</v>
      </c>
      <c r="J19" s="40">
        <v>382099</v>
      </c>
      <c r="K19" s="40">
        <v>382148</v>
      </c>
      <c r="L19" s="40">
        <v>382197</v>
      </c>
      <c r="M19" s="40">
        <v>382247</v>
      </c>
      <c r="N19" s="40">
        <v>382298</v>
      </c>
      <c r="O19" s="40">
        <v>382347</v>
      </c>
      <c r="P19" s="40">
        <v>382396</v>
      </c>
      <c r="Q19" s="40">
        <v>382445</v>
      </c>
      <c r="R19" s="40">
        <v>382498</v>
      </c>
      <c r="S19" s="40">
        <v>382547</v>
      </c>
      <c r="T19" s="40">
        <v>382597</v>
      </c>
      <c r="U19" s="40">
        <v>382647</v>
      </c>
      <c r="V19" s="40">
        <v>382695</v>
      </c>
      <c r="W19" s="40">
        <v>382745</v>
      </c>
      <c r="X19" s="40">
        <v>382792</v>
      </c>
      <c r="Y19" s="40">
        <v>382841</v>
      </c>
      <c r="Z19" s="40">
        <v>382888</v>
      </c>
      <c r="AA19" s="40">
        <v>382936</v>
      </c>
      <c r="AB19" s="40">
        <v>382988</v>
      </c>
      <c r="AC19" s="40">
        <v>383036</v>
      </c>
      <c r="AD19" s="40">
        <v>383083</v>
      </c>
      <c r="AE19" s="40">
        <v>383133</v>
      </c>
      <c r="AF19" s="40">
        <v>383181</v>
      </c>
      <c r="AG19" s="40">
        <v>383230</v>
      </c>
      <c r="AH19" s="40">
        <v>383275</v>
      </c>
      <c r="AI19" s="40"/>
    </row>
    <row r="20" spans="1:35" ht="21.75" customHeight="1" thickBot="1" x14ac:dyDescent="0.25">
      <c r="A20" s="83"/>
      <c r="B20" s="43"/>
      <c r="C20" s="87"/>
      <c r="D20" s="42"/>
      <c r="E20" s="42">
        <f>E19-D19</f>
        <v>48</v>
      </c>
      <c r="F20" s="42">
        <f t="shared" ref="F20:AH20" si="7">F19-E19</f>
        <v>50</v>
      </c>
      <c r="G20" s="42">
        <f t="shared" si="7"/>
        <v>51</v>
      </c>
      <c r="H20" s="42">
        <f t="shared" si="7"/>
        <v>47</v>
      </c>
      <c r="I20" s="42">
        <f t="shared" si="7"/>
        <v>47</v>
      </c>
      <c r="J20" s="42">
        <f t="shared" si="7"/>
        <v>50</v>
      </c>
      <c r="K20" s="42">
        <f t="shared" si="7"/>
        <v>49</v>
      </c>
      <c r="L20" s="42">
        <f t="shared" si="7"/>
        <v>49</v>
      </c>
      <c r="M20" s="42">
        <f t="shared" si="7"/>
        <v>50</v>
      </c>
      <c r="N20" s="42">
        <f t="shared" si="7"/>
        <v>51</v>
      </c>
      <c r="O20" s="42">
        <f t="shared" si="7"/>
        <v>49</v>
      </c>
      <c r="P20" s="42">
        <f t="shared" si="7"/>
        <v>49</v>
      </c>
      <c r="Q20" s="42">
        <f t="shared" si="7"/>
        <v>49</v>
      </c>
      <c r="R20" s="42">
        <f t="shared" si="7"/>
        <v>53</v>
      </c>
      <c r="S20" s="42">
        <f t="shared" si="7"/>
        <v>49</v>
      </c>
      <c r="T20" s="42">
        <f t="shared" si="7"/>
        <v>50</v>
      </c>
      <c r="U20" s="42">
        <f t="shared" si="7"/>
        <v>50</v>
      </c>
      <c r="V20" s="42">
        <f t="shared" si="7"/>
        <v>48</v>
      </c>
      <c r="W20" s="42">
        <f t="shared" si="7"/>
        <v>50</v>
      </c>
      <c r="X20" s="42">
        <f t="shared" si="7"/>
        <v>47</v>
      </c>
      <c r="Y20" s="42">
        <f t="shared" si="7"/>
        <v>49</v>
      </c>
      <c r="Z20" s="42">
        <f t="shared" si="7"/>
        <v>47</v>
      </c>
      <c r="AA20" s="42">
        <f t="shared" si="7"/>
        <v>48</v>
      </c>
      <c r="AB20" s="42">
        <f t="shared" si="7"/>
        <v>52</v>
      </c>
      <c r="AC20" s="42">
        <f t="shared" si="7"/>
        <v>48</v>
      </c>
      <c r="AD20" s="42">
        <f t="shared" si="7"/>
        <v>47</v>
      </c>
      <c r="AE20" s="42">
        <f t="shared" si="7"/>
        <v>50</v>
      </c>
      <c r="AF20" s="42">
        <f t="shared" si="7"/>
        <v>48</v>
      </c>
      <c r="AG20" s="42">
        <f t="shared" si="7"/>
        <v>49</v>
      </c>
      <c r="AH20" s="42">
        <f t="shared" si="7"/>
        <v>45</v>
      </c>
      <c r="AI20" s="42"/>
    </row>
    <row r="21" spans="1:35" ht="27" customHeight="1" x14ac:dyDescent="0.3">
      <c r="B21" s="89" t="s">
        <v>65</v>
      </c>
      <c r="C21" s="89"/>
      <c r="D21" s="44"/>
      <c r="E21" s="64">
        <f>((E6+E8)+((E10+E12)*40%)+(E14+E16+E18+E20))</f>
        <v>43879.8</v>
      </c>
      <c r="F21" s="64">
        <f t="shared" ref="F21:AI21" si="8">((F6+F8)+((F10+F12)*40%)+(F14+F16+F18+F20))</f>
        <v>44703</v>
      </c>
      <c r="G21" s="64">
        <f t="shared" si="8"/>
        <v>46035.600000000006</v>
      </c>
      <c r="H21" s="64">
        <f t="shared" si="8"/>
        <v>46235.8</v>
      </c>
      <c r="I21" s="64">
        <f t="shared" si="8"/>
        <v>45813.4</v>
      </c>
      <c r="J21" s="64">
        <f t="shared" si="8"/>
        <v>47109.8</v>
      </c>
      <c r="K21" s="64">
        <f t="shared" si="8"/>
        <v>46709</v>
      </c>
      <c r="L21" s="64">
        <f t="shared" si="8"/>
        <v>46375.4</v>
      </c>
      <c r="M21" s="64">
        <f t="shared" si="8"/>
        <v>46737.4</v>
      </c>
      <c r="N21" s="64">
        <f t="shared" si="8"/>
        <v>47579.199999999997</v>
      </c>
      <c r="O21" s="64">
        <f t="shared" si="8"/>
        <v>45535.4</v>
      </c>
      <c r="P21" s="64">
        <f t="shared" si="8"/>
        <v>43798.400000000001</v>
      </c>
      <c r="Q21" s="64">
        <f t="shared" si="8"/>
        <v>44103.199999999997</v>
      </c>
      <c r="R21" s="64">
        <f t="shared" si="8"/>
        <v>43678.8</v>
      </c>
      <c r="S21" s="64">
        <f t="shared" si="8"/>
        <v>41672.400000000001</v>
      </c>
      <c r="T21" s="64">
        <f t="shared" si="8"/>
        <v>42417.4</v>
      </c>
      <c r="U21" s="64">
        <f t="shared" si="8"/>
        <v>42062.600000000006</v>
      </c>
      <c r="V21" s="64">
        <f t="shared" si="8"/>
        <v>43942.2</v>
      </c>
      <c r="W21" s="64">
        <f t="shared" si="8"/>
        <v>43892.800000000003</v>
      </c>
      <c r="X21" s="64">
        <f t="shared" si="8"/>
        <v>42222.2</v>
      </c>
      <c r="Y21" s="64">
        <f t="shared" si="8"/>
        <v>43743.600000000006</v>
      </c>
      <c r="Z21" s="64">
        <f t="shared" si="8"/>
        <v>41561.4</v>
      </c>
      <c r="AA21" s="64">
        <f t="shared" si="8"/>
        <v>43290.400000000001</v>
      </c>
      <c r="AB21" s="64">
        <f t="shared" si="8"/>
        <v>44126</v>
      </c>
      <c r="AC21" s="64">
        <f t="shared" si="8"/>
        <v>44830.8</v>
      </c>
      <c r="AD21" s="64">
        <f t="shared" si="8"/>
        <v>45298.400000000001</v>
      </c>
      <c r="AE21" s="64">
        <f t="shared" si="8"/>
        <v>45670</v>
      </c>
      <c r="AF21" s="64">
        <f t="shared" si="8"/>
        <v>45208.600000000006</v>
      </c>
      <c r="AG21" s="64">
        <f t="shared" si="8"/>
        <v>42754.400000000001</v>
      </c>
      <c r="AH21" s="64">
        <f t="shared" si="8"/>
        <v>41512.600000000006</v>
      </c>
      <c r="AI21" s="64">
        <f t="shared" si="8"/>
        <v>0</v>
      </c>
    </row>
    <row r="22" spans="1:35" ht="27" customHeight="1" x14ac:dyDescent="0.3">
      <c r="B22" s="85" t="s">
        <v>66</v>
      </c>
      <c r="C22" s="85"/>
      <c r="D22" s="44"/>
      <c r="E22" s="64">
        <f>SUM(E21:AI21)</f>
        <v>1332500.0000000002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R41"/>
  <sheetViews>
    <sheetView zoomScaleNormal="100" workbookViewId="0">
      <pane ySplit="5" topLeftCell="A6" activePane="bottomLeft" state="frozen"/>
      <selection pane="bottomLeft" activeCell="C39" sqref="C39:D41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  <col min="4" max="13" width="10.7109375" customWidth="1"/>
    <col min="14" max="14" width="13.85546875" customWidth="1"/>
  </cols>
  <sheetData>
    <row r="1" spans="1:18" ht="50.25" customHeight="1" x14ac:dyDescent="0.25">
      <c r="A1" s="92" t="s">
        <v>95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3" spans="1:18" ht="30" x14ac:dyDescent="0.25">
      <c r="A3" s="51" t="s">
        <v>12</v>
      </c>
      <c r="B3" s="93" t="s">
        <v>75</v>
      </c>
      <c r="C3" s="93"/>
      <c r="D3" s="93" t="s">
        <v>76</v>
      </c>
      <c r="E3" s="93"/>
      <c r="F3" s="93" t="s">
        <v>77</v>
      </c>
      <c r="G3" s="93"/>
      <c r="H3" s="93" t="s">
        <v>78</v>
      </c>
      <c r="I3" s="93"/>
      <c r="J3" s="93" t="s">
        <v>79</v>
      </c>
      <c r="K3" s="93"/>
      <c r="L3" s="93" t="s">
        <v>80</v>
      </c>
      <c r="M3" s="93"/>
    </row>
    <row r="4" spans="1:18" ht="45" x14ac:dyDescent="0.25">
      <c r="A4" s="51" t="s">
        <v>81</v>
      </c>
      <c r="B4" s="90">
        <v>483</v>
      </c>
      <c r="C4" s="91"/>
      <c r="D4" s="90">
        <v>30</v>
      </c>
      <c r="E4" s="91"/>
      <c r="F4" s="90">
        <v>30</v>
      </c>
      <c r="G4" s="91"/>
      <c r="H4" s="90">
        <v>30</v>
      </c>
      <c r="I4" s="91"/>
      <c r="J4" s="90">
        <v>50</v>
      </c>
      <c r="K4" s="91"/>
      <c r="L4" s="90">
        <v>30</v>
      </c>
      <c r="M4" s="91"/>
    </row>
    <row r="5" spans="1:18" ht="48" x14ac:dyDescent="0.25">
      <c r="A5" s="52" t="s">
        <v>19</v>
      </c>
      <c r="B5" s="53">
        <v>57381</v>
      </c>
      <c r="C5" s="54"/>
      <c r="D5" s="53">
        <v>70682</v>
      </c>
      <c r="E5" s="54"/>
      <c r="F5" s="53">
        <v>8008.06</v>
      </c>
      <c r="G5" s="54"/>
      <c r="H5" s="53">
        <v>2329.58</v>
      </c>
      <c r="I5" s="54"/>
      <c r="J5" s="53">
        <v>192856.1</v>
      </c>
      <c r="K5" s="54"/>
      <c r="L5" s="53">
        <v>15052.51</v>
      </c>
      <c r="M5" s="54"/>
      <c r="N5" s="61" t="s">
        <v>87</v>
      </c>
    </row>
    <row r="6" spans="1:18" ht="28.5" customHeight="1" x14ac:dyDescent="0.25">
      <c r="A6" s="55">
        <v>1</v>
      </c>
      <c r="B6" s="53">
        <v>58125</v>
      </c>
      <c r="C6" s="54">
        <f>(B6-B5)*3.7</f>
        <v>2752.8</v>
      </c>
      <c r="D6" s="53">
        <v>70692</v>
      </c>
      <c r="E6" s="54">
        <f>(D6-D5)*3.7</f>
        <v>37</v>
      </c>
      <c r="F6" s="53">
        <v>8009.4</v>
      </c>
      <c r="G6" s="54">
        <f>(F6-F5)*3.7</f>
        <v>4.9579999999971731</v>
      </c>
      <c r="H6" s="53">
        <v>2329.7399999999998</v>
      </c>
      <c r="I6" s="54">
        <f>(H6-H5)*3.7</f>
        <v>0.59199999999946162</v>
      </c>
      <c r="J6" s="53">
        <v>192869.5</v>
      </c>
      <c r="K6" s="54">
        <f>(J6-J5)*3.7</f>
        <v>49.579999999978469</v>
      </c>
      <c r="L6" s="53">
        <v>15054.95</v>
      </c>
      <c r="M6" s="54">
        <f>(L6-L5)*3.7</f>
        <v>9.0280000000018852</v>
      </c>
      <c r="N6" s="62">
        <f>SUM(C6,E6,G6,I6,K6,M6)</f>
        <v>2853.9579999999778</v>
      </c>
    </row>
    <row r="7" spans="1:18" ht="28.5" customHeight="1" x14ac:dyDescent="0.25">
      <c r="A7" s="55">
        <v>2</v>
      </c>
      <c r="B7" s="53">
        <v>58819</v>
      </c>
      <c r="C7" s="54">
        <f t="shared" ref="C7:C36" si="0">(B7-B6)*3.7</f>
        <v>2567.8000000000002</v>
      </c>
      <c r="D7" s="53">
        <v>70699.259999999995</v>
      </c>
      <c r="E7" s="54">
        <f t="shared" ref="E7:E36" si="1">(D7-D6)*3.7</f>
        <v>26.861999999980618</v>
      </c>
      <c r="F7" s="53">
        <v>8010.46</v>
      </c>
      <c r="G7" s="54">
        <f t="shared" ref="G7:G36" si="2">(F7-F6)*3.7</f>
        <v>3.9220000000014807</v>
      </c>
      <c r="H7" s="53">
        <v>2329.7800000000002</v>
      </c>
      <c r="I7" s="54">
        <f t="shared" ref="I7:I36" si="3">(H7-H6)*3.7</f>
        <v>0.14800000000154798</v>
      </c>
      <c r="J7" s="53">
        <v>192876.79999999999</v>
      </c>
      <c r="K7" s="54">
        <f t="shared" ref="K7:K36" si="4">(J7-J6)*3.7</f>
        <v>27.009999999956928</v>
      </c>
      <c r="L7" s="53">
        <v>15056.19</v>
      </c>
      <c r="M7" s="54">
        <f t="shared" ref="M7:M36" si="5">(L7-L6)*3.7</f>
        <v>4.5879999999991927</v>
      </c>
      <c r="N7" s="62">
        <f t="shared" ref="N7:N15" si="6">SUM(C7,E7,G7,I7,K7,M7)</f>
        <v>2630.3299999999399</v>
      </c>
    </row>
    <row r="8" spans="1:18" ht="28.5" customHeight="1" x14ac:dyDescent="0.25">
      <c r="A8" s="56">
        <v>3</v>
      </c>
      <c r="B8" s="53">
        <v>59516</v>
      </c>
      <c r="C8" s="54">
        <f t="shared" si="0"/>
        <v>2578.9</v>
      </c>
      <c r="D8" s="53">
        <v>70709.37</v>
      </c>
      <c r="E8" s="54">
        <f t="shared" si="1"/>
        <v>37.407000000002157</v>
      </c>
      <c r="F8" s="53">
        <v>8011.03</v>
      </c>
      <c r="G8" s="54">
        <f t="shared" si="2"/>
        <v>2.1089999999989231</v>
      </c>
      <c r="H8" s="53">
        <v>2329.79</v>
      </c>
      <c r="I8" s="54">
        <f t="shared" si="3"/>
        <v>3.6999999999125066E-2</v>
      </c>
      <c r="J8" s="53">
        <v>192883.6</v>
      </c>
      <c r="K8" s="54">
        <f t="shared" si="4"/>
        <v>25.160000000064613</v>
      </c>
      <c r="L8" s="53">
        <v>15059.24</v>
      </c>
      <c r="M8" s="54">
        <f t="shared" si="5"/>
        <v>11.284999999997309</v>
      </c>
      <c r="N8" s="62">
        <f>SUM(C8,E8,G8,I8,K8,M8)</f>
        <v>2654.898000000062</v>
      </c>
    </row>
    <row r="9" spans="1:18" ht="28.5" customHeight="1" x14ac:dyDescent="0.25">
      <c r="A9" s="55">
        <v>4</v>
      </c>
      <c r="B9" s="53">
        <v>60216</v>
      </c>
      <c r="C9" s="54">
        <f t="shared" si="0"/>
        <v>2590</v>
      </c>
      <c r="D9" s="53">
        <v>70717.38</v>
      </c>
      <c r="E9" s="54">
        <f t="shared" si="1"/>
        <v>29.637000000034462</v>
      </c>
      <c r="F9" s="53">
        <v>8011.78</v>
      </c>
      <c r="G9" s="54">
        <f t="shared" si="2"/>
        <v>2.7750000000000004</v>
      </c>
      <c r="H9" s="53">
        <v>2329.84</v>
      </c>
      <c r="I9" s="54">
        <f t="shared" si="3"/>
        <v>0.18500000000067304</v>
      </c>
      <c r="J9" s="53">
        <v>192890.5</v>
      </c>
      <c r="K9" s="54">
        <f t="shared" si="4"/>
        <v>25.529999999978465</v>
      </c>
      <c r="L9" s="53">
        <v>15061.31</v>
      </c>
      <c r="M9" s="54">
        <f t="shared" si="5"/>
        <v>7.6589999999989233</v>
      </c>
      <c r="N9" s="62">
        <f t="shared" si="6"/>
        <v>2655.7860000000123</v>
      </c>
    </row>
    <row r="10" spans="1:18" ht="28.5" customHeight="1" x14ac:dyDescent="0.25">
      <c r="A10" s="55">
        <v>5</v>
      </c>
      <c r="B10" s="53">
        <v>60972</v>
      </c>
      <c r="C10" s="54">
        <f t="shared" si="0"/>
        <v>2797.2000000000003</v>
      </c>
      <c r="D10" s="53">
        <v>70730.12</v>
      </c>
      <c r="E10" s="54">
        <f t="shared" si="1"/>
        <v>47.137999999965544</v>
      </c>
      <c r="F10" s="53">
        <v>8012.72</v>
      </c>
      <c r="G10" s="54">
        <f t="shared" si="2"/>
        <v>3.4780000000018845</v>
      </c>
      <c r="H10" s="53">
        <v>2329.89</v>
      </c>
      <c r="I10" s="54">
        <f t="shared" si="3"/>
        <v>0.18499999999899047</v>
      </c>
      <c r="J10" s="53">
        <v>192913.1</v>
      </c>
      <c r="K10" s="54">
        <f t="shared" si="4"/>
        <v>83.620000000021534</v>
      </c>
      <c r="L10" s="53">
        <v>15063.12</v>
      </c>
      <c r="M10" s="54">
        <f t="shared" si="5"/>
        <v>6.697000000004846</v>
      </c>
      <c r="N10" s="62">
        <f t="shared" si="6"/>
        <v>2938.3179999999929</v>
      </c>
    </row>
    <row r="11" spans="1:18" ht="28.5" customHeight="1" x14ac:dyDescent="0.25">
      <c r="A11" s="55">
        <v>6</v>
      </c>
      <c r="B11" s="53">
        <v>61692</v>
      </c>
      <c r="C11" s="54">
        <f t="shared" si="0"/>
        <v>2664</v>
      </c>
      <c r="D11" s="53">
        <v>70739.649999999994</v>
      </c>
      <c r="E11" s="54">
        <f t="shared" si="1"/>
        <v>35.260999999995697</v>
      </c>
      <c r="F11" s="53">
        <v>8013.74</v>
      </c>
      <c r="G11" s="54">
        <f t="shared" si="2"/>
        <v>3.7739999999982503</v>
      </c>
      <c r="H11" s="53">
        <v>2330</v>
      </c>
      <c r="I11" s="54">
        <f t="shared" si="3"/>
        <v>0.40700000000047115</v>
      </c>
      <c r="J11" s="53">
        <v>192913.1</v>
      </c>
      <c r="K11" s="54">
        <f t="shared" si="4"/>
        <v>0</v>
      </c>
      <c r="L11" s="53">
        <v>15066.73</v>
      </c>
      <c r="M11" s="54">
        <f t="shared" si="5"/>
        <v>13.356999999995423</v>
      </c>
      <c r="N11" s="62">
        <f>SUM(C11,E11,G11,I11,K11,M11)</f>
        <v>2716.79899999999</v>
      </c>
      <c r="R11" t="s">
        <v>82</v>
      </c>
    </row>
    <row r="12" spans="1:18" ht="28.5" customHeight="1" x14ac:dyDescent="0.25">
      <c r="A12" s="55">
        <v>7</v>
      </c>
      <c r="B12" s="53">
        <v>62404</v>
      </c>
      <c r="C12" s="54">
        <f t="shared" si="0"/>
        <v>2634.4</v>
      </c>
      <c r="D12" s="53">
        <v>70750</v>
      </c>
      <c r="E12" s="54">
        <f t="shared" si="1"/>
        <v>38.295000000021538</v>
      </c>
      <c r="F12" s="53">
        <v>8015.07</v>
      </c>
      <c r="G12" s="54">
        <f t="shared" si="2"/>
        <v>4.9209999999997311</v>
      </c>
      <c r="H12" s="53">
        <v>2330.09</v>
      </c>
      <c r="I12" s="54">
        <f t="shared" si="3"/>
        <v>0.33300000000053842</v>
      </c>
      <c r="J12" s="53">
        <v>192913.1</v>
      </c>
      <c r="K12" s="54">
        <f t="shared" si="4"/>
        <v>0</v>
      </c>
      <c r="L12" s="53">
        <v>15069.78</v>
      </c>
      <c r="M12" s="54">
        <f t="shared" si="5"/>
        <v>11.28500000000404</v>
      </c>
      <c r="N12" s="62">
        <f t="shared" si="6"/>
        <v>2689.2340000000258</v>
      </c>
    </row>
    <row r="13" spans="1:18" ht="28.5" customHeight="1" x14ac:dyDescent="0.25">
      <c r="A13" s="55">
        <v>8</v>
      </c>
      <c r="B13" s="53">
        <v>63117</v>
      </c>
      <c r="C13" s="54">
        <f t="shared" si="0"/>
        <v>2638.1</v>
      </c>
      <c r="D13" s="53">
        <v>70761.820000000007</v>
      </c>
      <c r="E13" s="54">
        <f t="shared" si="1"/>
        <v>43.734000000025844</v>
      </c>
      <c r="F13" s="53">
        <v>8016.26</v>
      </c>
      <c r="G13" s="54">
        <f t="shared" si="2"/>
        <v>4.4030000000018843</v>
      </c>
      <c r="H13" s="53">
        <v>2330.15</v>
      </c>
      <c r="I13" s="54">
        <f t="shared" si="3"/>
        <v>0.22199999999979811</v>
      </c>
      <c r="J13" s="53">
        <v>192921.8</v>
      </c>
      <c r="K13" s="54">
        <f t="shared" si="4"/>
        <v>32.189999999935388</v>
      </c>
      <c r="L13" s="53">
        <v>15071.99</v>
      </c>
      <c r="M13" s="54">
        <f t="shared" si="5"/>
        <v>8.1769999999967702</v>
      </c>
      <c r="N13" s="62">
        <f t="shared" si="6"/>
        <v>2726.82599999996</v>
      </c>
    </row>
    <row r="14" spans="1:18" ht="28.5" customHeight="1" x14ac:dyDescent="0.25">
      <c r="A14" s="55">
        <v>9</v>
      </c>
      <c r="B14" s="53">
        <v>63837</v>
      </c>
      <c r="C14" s="54">
        <f t="shared" si="0"/>
        <v>2664</v>
      </c>
      <c r="D14" s="53">
        <v>70771.13</v>
      </c>
      <c r="E14" s="54">
        <f t="shared" si="1"/>
        <v>34.446999999991384</v>
      </c>
      <c r="F14" s="53">
        <v>8017.12</v>
      </c>
      <c r="G14" s="54">
        <f t="shared" si="2"/>
        <v>3.1819999999987889</v>
      </c>
      <c r="H14" s="53">
        <v>2330.1999999999998</v>
      </c>
      <c r="I14" s="54">
        <f t="shared" si="3"/>
        <v>0.18499999999899047</v>
      </c>
      <c r="J14" s="53">
        <v>192930.7</v>
      </c>
      <c r="K14" s="54">
        <f t="shared" si="4"/>
        <v>32.930000000086146</v>
      </c>
      <c r="L14" s="53">
        <v>15075.24</v>
      </c>
      <c r="M14" s="54">
        <f t="shared" si="5"/>
        <v>12.025</v>
      </c>
      <c r="N14" s="62">
        <f t="shared" si="6"/>
        <v>2746.7690000000757</v>
      </c>
    </row>
    <row r="15" spans="1:18" ht="28.5" customHeight="1" x14ac:dyDescent="0.25">
      <c r="A15" s="55">
        <v>10</v>
      </c>
      <c r="B15" s="53">
        <v>64540</v>
      </c>
      <c r="C15" s="54">
        <f t="shared" si="0"/>
        <v>2601.1</v>
      </c>
      <c r="D15" s="53">
        <v>70780.36</v>
      </c>
      <c r="E15" s="54">
        <f t="shared" si="1"/>
        <v>34.150999999984926</v>
      </c>
      <c r="F15" s="53">
        <v>8018.53</v>
      </c>
      <c r="G15" s="54">
        <f t="shared" si="2"/>
        <v>5.2169999999994614</v>
      </c>
      <c r="H15" s="53">
        <v>2330.23</v>
      </c>
      <c r="I15" s="54">
        <f t="shared" si="3"/>
        <v>0.11100000000074034</v>
      </c>
      <c r="J15" s="53">
        <v>192937</v>
      </c>
      <c r="K15" s="54">
        <f t="shared" si="4"/>
        <v>23.309999999956929</v>
      </c>
      <c r="L15" s="53">
        <v>15081.04</v>
      </c>
      <c r="M15" s="54">
        <f t="shared" si="5"/>
        <v>21.46000000000404</v>
      </c>
      <c r="N15" s="62">
        <f t="shared" si="6"/>
        <v>2685.348999999946</v>
      </c>
    </row>
    <row r="16" spans="1:18" ht="28.5" customHeight="1" x14ac:dyDescent="0.25">
      <c r="A16" s="55">
        <v>11</v>
      </c>
      <c r="B16" s="53">
        <v>65267</v>
      </c>
      <c r="C16" s="54">
        <f t="shared" si="0"/>
        <v>2689.9</v>
      </c>
      <c r="D16" s="53">
        <v>70786.490000000005</v>
      </c>
      <c r="E16" s="54">
        <f t="shared" si="1"/>
        <v>22.681000000017232</v>
      </c>
      <c r="F16" s="53">
        <v>8019.32</v>
      </c>
      <c r="G16" s="54">
        <f t="shared" si="2"/>
        <v>2.9229999999998655</v>
      </c>
      <c r="H16" s="53">
        <v>2330.2600000000002</v>
      </c>
      <c r="I16" s="54">
        <f t="shared" si="3"/>
        <v>0.11100000000074034</v>
      </c>
      <c r="J16" s="53">
        <v>192944.8</v>
      </c>
      <c r="K16" s="54">
        <f t="shared" si="4"/>
        <v>28.859999999956926</v>
      </c>
      <c r="L16" s="53">
        <v>15089.22</v>
      </c>
      <c r="M16" s="54">
        <f t="shared" si="5"/>
        <v>30.265999999994349</v>
      </c>
      <c r="N16" s="62">
        <f>SUM(C16,E16,G16,I16,K16,M16)</f>
        <v>2774.7409999999691</v>
      </c>
    </row>
    <row r="17" spans="1:15" ht="28.5" customHeight="1" x14ac:dyDescent="0.25">
      <c r="A17" s="55">
        <v>12</v>
      </c>
      <c r="B17" s="53">
        <v>65961</v>
      </c>
      <c r="C17" s="54">
        <f t="shared" si="0"/>
        <v>2567.8000000000002</v>
      </c>
      <c r="D17" s="53">
        <v>70794.12</v>
      </c>
      <c r="E17" s="54">
        <f t="shared" si="1"/>
        <v>28.230999999963387</v>
      </c>
      <c r="F17" s="53">
        <v>8020.223</v>
      </c>
      <c r="G17" s="54">
        <f t="shared" si="2"/>
        <v>3.3411000000009157</v>
      </c>
      <c r="H17" s="53">
        <v>2330.3000000000002</v>
      </c>
      <c r="I17" s="54">
        <f t="shared" si="3"/>
        <v>0.14799999999986541</v>
      </c>
      <c r="J17" s="53">
        <v>192956.1</v>
      </c>
      <c r="K17" s="54">
        <f t="shared" si="4"/>
        <v>41.810000000064612</v>
      </c>
      <c r="L17" s="53">
        <v>15090.18</v>
      </c>
      <c r="M17" s="54">
        <f t="shared" si="5"/>
        <v>3.5520000000034999</v>
      </c>
      <c r="N17" s="62">
        <f t="shared" ref="N17:N36" si="7">SUM(C17,E17,G17,I17,K17,M17)</f>
        <v>2644.8821000000321</v>
      </c>
    </row>
    <row r="18" spans="1:15" ht="28.5" customHeight="1" x14ac:dyDescent="0.25">
      <c r="A18" s="55">
        <v>13</v>
      </c>
      <c r="B18" s="53">
        <v>66701</v>
      </c>
      <c r="C18" s="54">
        <f t="shared" si="0"/>
        <v>2738</v>
      </c>
      <c r="D18" s="53">
        <v>70805</v>
      </c>
      <c r="E18" s="54">
        <f t="shared" si="1"/>
        <v>40.256000000017231</v>
      </c>
      <c r="F18" s="53">
        <v>8021.51</v>
      </c>
      <c r="G18" s="54">
        <f t="shared" si="2"/>
        <v>4.7619000000009697</v>
      </c>
      <c r="H18" s="53">
        <v>2330.5100000000002</v>
      </c>
      <c r="I18" s="54">
        <f t="shared" si="3"/>
        <v>0.77700000000013469</v>
      </c>
      <c r="J18" s="53">
        <v>192958.8</v>
      </c>
      <c r="K18" s="54">
        <f t="shared" si="4"/>
        <v>9.9899999999353906</v>
      </c>
      <c r="L18" s="53">
        <v>15091.88</v>
      </c>
      <c r="M18" s="54">
        <f t="shared" si="5"/>
        <v>6.2899999999959624</v>
      </c>
      <c r="N18" s="62">
        <f t="shared" si="7"/>
        <v>2800.0748999999491</v>
      </c>
    </row>
    <row r="19" spans="1:15" ht="28.5" customHeight="1" x14ac:dyDescent="0.25">
      <c r="A19" s="55">
        <v>14</v>
      </c>
      <c r="B19" s="53">
        <v>67408</v>
      </c>
      <c r="C19" s="54">
        <f t="shared" si="0"/>
        <v>2615.9</v>
      </c>
      <c r="D19" s="53">
        <v>70814.77</v>
      </c>
      <c r="E19" s="54">
        <f t="shared" si="1"/>
        <v>36.149000000015079</v>
      </c>
      <c r="F19" s="53">
        <v>8023.19</v>
      </c>
      <c r="G19" s="54">
        <f t="shared" si="2"/>
        <v>6.2159999999977122</v>
      </c>
      <c r="H19" s="53">
        <v>2330.5300000000002</v>
      </c>
      <c r="I19" s="54">
        <f t="shared" si="3"/>
        <v>7.3999999999932703E-2</v>
      </c>
      <c r="J19" s="53">
        <v>192966.1</v>
      </c>
      <c r="K19" s="54">
        <f t="shared" si="4"/>
        <v>27.010000000064611</v>
      </c>
      <c r="L19" s="53">
        <v>15095.44</v>
      </c>
      <c r="M19" s="54">
        <f t="shared" si="5"/>
        <v>13.172000000004846</v>
      </c>
      <c r="N19" s="62">
        <f t="shared" si="7"/>
        <v>2698.5210000000825</v>
      </c>
    </row>
    <row r="20" spans="1:15" ht="28.5" customHeight="1" x14ac:dyDescent="0.25">
      <c r="A20" s="55">
        <v>15</v>
      </c>
      <c r="B20" s="53">
        <v>68138</v>
      </c>
      <c r="C20" s="54">
        <f t="shared" si="0"/>
        <v>2701</v>
      </c>
      <c r="D20" s="53">
        <v>70821.679999999993</v>
      </c>
      <c r="E20" s="54">
        <f t="shared" si="1"/>
        <v>25.56699999995908</v>
      </c>
      <c r="F20" s="53">
        <v>8024.5</v>
      </c>
      <c r="G20" s="54">
        <f t="shared" si="2"/>
        <v>4.847000000001481</v>
      </c>
      <c r="H20" s="53">
        <v>2330.56</v>
      </c>
      <c r="I20" s="54">
        <f t="shared" si="3"/>
        <v>0.11099999999905777</v>
      </c>
      <c r="J20" s="53">
        <v>192974.1</v>
      </c>
      <c r="K20" s="54">
        <f t="shared" si="4"/>
        <v>29.6</v>
      </c>
      <c r="L20" s="53">
        <v>15097.63</v>
      </c>
      <c r="M20" s="54">
        <f t="shared" si="5"/>
        <v>8.1029999999951539</v>
      </c>
      <c r="N20" s="62">
        <f t="shared" si="7"/>
        <v>2769.2279999999546</v>
      </c>
    </row>
    <row r="21" spans="1:15" ht="28.5" customHeight="1" x14ac:dyDescent="0.25">
      <c r="A21" s="55">
        <v>16</v>
      </c>
      <c r="B21" s="53">
        <v>68900</v>
      </c>
      <c r="C21" s="54">
        <f t="shared" si="0"/>
        <v>2819.4</v>
      </c>
      <c r="D21" s="53">
        <v>70831.03</v>
      </c>
      <c r="E21" s="54">
        <f t="shared" si="1"/>
        <v>34.595000000021535</v>
      </c>
      <c r="F21" s="53">
        <v>8025.81</v>
      </c>
      <c r="G21" s="54">
        <f t="shared" si="2"/>
        <v>4.847000000001481</v>
      </c>
      <c r="H21" s="53">
        <v>2330.71</v>
      </c>
      <c r="I21" s="54">
        <f t="shared" si="3"/>
        <v>0.55500000000033656</v>
      </c>
      <c r="J21" s="53">
        <v>192982</v>
      </c>
      <c r="K21" s="54">
        <f t="shared" si="4"/>
        <v>29.229999999978464</v>
      </c>
      <c r="L21" s="53">
        <v>15100.24</v>
      </c>
      <c r="M21" s="54">
        <f t="shared" si="5"/>
        <v>9.6570000000021547</v>
      </c>
      <c r="N21" s="62">
        <f t="shared" si="7"/>
        <v>2898.2840000000042</v>
      </c>
    </row>
    <row r="22" spans="1:15" ht="28.5" customHeight="1" x14ac:dyDescent="0.25">
      <c r="A22" s="55">
        <v>17</v>
      </c>
      <c r="B22" s="53">
        <v>69630</v>
      </c>
      <c r="C22" s="54">
        <f t="shared" si="0"/>
        <v>2701</v>
      </c>
      <c r="D22" s="53">
        <v>70842.63</v>
      </c>
      <c r="E22" s="54">
        <f t="shared" si="1"/>
        <v>42.920000000021538</v>
      </c>
      <c r="F22" s="53">
        <v>8027.08</v>
      </c>
      <c r="G22" s="54">
        <f t="shared" si="2"/>
        <v>4.6989999999982501</v>
      </c>
      <c r="H22" s="53">
        <v>2330.79</v>
      </c>
      <c r="I22" s="54">
        <f t="shared" si="3"/>
        <v>0.29599999999973081</v>
      </c>
      <c r="J22" s="53">
        <v>192990.2</v>
      </c>
      <c r="K22" s="54">
        <f t="shared" si="4"/>
        <v>30.340000000043077</v>
      </c>
      <c r="L22" s="53">
        <v>15102.72</v>
      </c>
      <c r="M22" s="54">
        <f t="shared" si="5"/>
        <v>9.1759999999983854</v>
      </c>
      <c r="N22" s="62">
        <f t="shared" si="7"/>
        <v>2788.431000000061</v>
      </c>
    </row>
    <row r="23" spans="1:15" ht="28.5" customHeight="1" x14ac:dyDescent="0.25">
      <c r="A23" s="55">
        <v>18</v>
      </c>
      <c r="B23" s="53">
        <v>70344</v>
      </c>
      <c r="C23" s="54">
        <f t="shared" si="0"/>
        <v>2641.8</v>
      </c>
      <c r="D23" s="53">
        <v>70854.039999999994</v>
      </c>
      <c r="E23" s="54">
        <f t="shared" si="1"/>
        <v>42.216999999959079</v>
      </c>
      <c r="F23" s="53">
        <v>8028.09</v>
      </c>
      <c r="G23" s="54">
        <f t="shared" si="2"/>
        <v>3.7370000000008079</v>
      </c>
      <c r="H23" s="53">
        <v>2330.81</v>
      </c>
      <c r="I23" s="54">
        <f t="shared" si="3"/>
        <v>7.3999999999932703E-2</v>
      </c>
      <c r="J23" s="53">
        <v>192998.39999999999</v>
      </c>
      <c r="K23" s="54">
        <f t="shared" si="4"/>
        <v>30.33999999993539</v>
      </c>
      <c r="L23" s="53">
        <v>15104.03</v>
      </c>
      <c r="M23" s="54">
        <f t="shared" si="5"/>
        <v>4.8470000000048463</v>
      </c>
      <c r="N23" s="62">
        <f t="shared" si="7"/>
        <v>2723.0149999999007</v>
      </c>
    </row>
    <row r="24" spans="1:15" ht="28.5" customHeight="1" x14ac:dyDescent="0.25">
      <c r="A24" s="55">
        <v>19</v>
      </c>
      <c r="B24" s="53">
        <v>71123</v>
      </c>
      <c r="C24" s="54">
        <f t="shared" si="0"/>
        <v>2882.3</v>
      </c>
      <c r="D24" s="53">
        <v>70866.080000000002</v>
      </c>
      <c r="E24" s="54">
        <f t="shared" si="1"/>
        <v>44.548000000030157</v>
      </c>
      <c r="F24" s="53">
        <v>8028.53</v>
      </c>
      <c r="G24" s="54">
        <f t="shared" si="2"/>
        <v>1.6279999999985195</v>
      </c>
      <c r="H24" s="53">
        <v>2331.02</v>
      </c>
      <c r="I24" s="54">
        <f t="shared" si="3"/>
        <v>0.77700000000013469</v>
      </c>
      <c r="J24" s="53">
        <v>193005</v>
      </c>
      <c r="K24" s="54">
        <f t="shared" si="4"/>
        <v>24.420000000021538</v>
      </c>
      <c r="L24" s="53">
        <v>15106.04</v>
      </c>
      <c r="M24" s="54">
        <f t="shared" si="5"/>
        <v>7.4370000000008076</v>
      </c>
      <c r="N24" s="62">
        <f t="shared" si="7"/>
        <v>2961.1100000000511</v>
      </c>
    </row>
    <row r="25" spans="1:15" ht="28.5" customHeight="1" x14ac:dyDescent="0.25">
      <c r="A25" s="55">
        <v>20</v>
      </c>
      <c r="B25" s="53">
        <v>71858</v>
      </c>
      <c r="C25" s="54">
        <f t="shared" si="0"/>
        <v>2719.5</v>
      </c>
      <c r="D25" s="53">
        <v>70876.91</v>
      </c>
      <c r="E25" s="54">
        <f t="shared" si="1"/>
        <v>40.071000000006464</v>
      </c>
      <c r="F25" s="53">
        <v>8029.43</v>
      </c>
      <c r="G25" s="54">
        <f t="shared" si="2"/>
        <v>3.3300000000020193</v>
      </c>
      <c r="H25" s="53">
        <v>2331.1</v>
      </c>
      <c r="I25" s="54">
        <f t="shared" si="3"/>
        <v>0.29599999999973081</v>
      </c>
      <c r="J25" s="53">
        <v>193014.1</v>
      </c>
      <c r="K25" s="54">
        <f t="shared" si="4"/>
        <v>33.670000000021538</v>
      </c>
      <c r="L25" s="53">
        <v>15108.57</v>
      </c>
      <c r="M25" s="54">
        <f t="shared" si="5"/>
        <v>9.360999999995693</v>
      </c>
      <c r="N25" s="62">
        <f t="shared" si="7"/>
        <v>2806.2280000000255</v>
      </c>
    </row>
    <row r="26" spans="1:15" ht="28.5" customHeight="1" x14ac:dyDescent="0.25">
      <c r="A26" s="55">
        <v>21</v>
      </c>
      <c r="B26" s="53">
        <v>72591</v>
      </c>
      <c r="C26" s="54">
        <f t="shared" si="0"/>
        <v>2712.1</v>
      </c>
      <c r="D26" s="53">
        <v>70885</v>
      </c>
      <c r="E26" s="54">
        <f t="shared" si="1"/>
        <v>29.932999999987079</v>
      </c>
      <c r="F26" s="53">
        <v>8031.94</v>
      </c>
      <c r="G26" s="54">
        <f t="shared" si="2"/>
        <v>9.2869999999974429</v>
      </c>
      <c r="H26" s="53">
        <v>2331.4</v>
      </c>
      <c r="I26" s="54">
        <f t="shared" si="3"/>
        <v>1.1100000000006731</v>
      </c>
      <c r="J26" s="53">
        <v>193025.4</v>
      </c>
      <c r="K26" s="54">
        <f t="shared" si="4"/>
        <v>41.809999999956929</v>
      </c>
      <c r="L26" s="53">
        <v>15112.29</v>
      </c>
      <c r="M26" s="54">
        <f t="shared" si="5"/>
        <v>13.764000000004309</v>
      </c>
      <c r="N26" s="62">
        <f t="shared" si="7"/>
        <v>2808.0039999999462</v>
      </c>
    </row>
    <row r="27" spans="1:15" ht="28.5" customHeight="1" x14ac:dyDescent="0.25">
      <c r="A27" s="55">
        <v>22</v>
      </c>
      <c r="B27" s="53">
        <v>73304</v>
      </c>
      <c r="C27" s="54">
        <f t="shared" si="0"/>
        <v>2638.1</v>
      </c>
      <c r="D27" s="53">
        <v>70894</v>
      </c>
      <c r="E27" s="54">
        <f t="shared" si="1"/>
        <v>33.300000000000004</v>
      </c>
      <c r="F27" s="53">
        <v>8033.47</v>
      </c>
      <c r="G27" s="54">
        <f t="shared" si="2"/>
        <v>5.6610000000024234</v>
      </c>
      <c r="H27" s="53">
        <v>2331.4</v>
      </c>
      <c r="I27" s="54">
        <f t="shared" si="3"/>
        <v>0</v>
      </c>
      <c r="J27" s="53">
        <v>193036</v>
      </c>
      <c r="K27" s="54">
        <f t="shared" si="4"/>
        <v>39.220000000021535</v>
      </c>
      <c r="L27" s="53">
        <v>15114.17</v>
      </c>
      <c r="M27" s="54">
        <f t="shared" si="5"/>
        <v>6.9559999999970392</v>
      </c>
      <c r="N27" s="62">
        <f t="shared" si="7"/>
        <v>2723.237000000021</v>
      </c>
    </row>
    <row r="28" spans="1:15" ht="28.5" customHeight="1" x14ac:dyDescent="0.25">
      <c r="A28" s="55">
        <v>23</v>
      </c>
      <c r="B28" s="57">
        <v>74026</v>
      </c>
      <c r="C28" s="54">
        <f t="shared" si="0"/>
        <v>2671.4</v>
      </c>
      <c r="D28" s="57">
        <v>70904.42</v>
      </c>
      <c r="E28" s="54">
        <f t="shared" si="1"/>
        <v>38.553999999993543</v>
      </c>
      <c r="F28" s="57">
        <v>8034.46</v>
      </c>
      <c r="G28" s="54">
        <f t="shared" si="2"/>
        <v>3.6629999999991925</v>
      </c>
      <c r="H28" s="53">
        <v>2331.4</v>
      </c>
      <c r="I28" s="54">
        <f t="shared" si="3"/>
        <v>0</v>
      </c>
      <c r="J28" s="57">
        <v>193045.4</v>
      </c>
      <c r="K28" s="54">
        <f t="shared" si="4"/>
        <v>34.779999999978465</v>
      </c>
      <c r="L28" s="57">
        <v>15116.88</v>
      </c>
      <c r="M28" s="54">
        <f t="shared" si="5"/>
        <v>10.02699999999677</v>
      </c>
      <c r="N28" s="62">
        <f t="shared" si="7"/>
        <v>2758.4239999999681</v>
      </c>
    </row>
    <row r="29" spans="1:15" ht="28.5" customHeight="1" x14ac:dyDescent="0.25">
      <c r="A29" s="55">
        <v>24</v>
      </c>
      <c r="B29" s="53">
        <v>74757</v>
      </c>
      <c r="C29" s="54">
        <f t="shared" si="0"/>
        <v>2704.7000000000003</v>
      </c>
      <c r="D29" s="53">
        <v>70914.33</v>
      </c>
      <c r="E29" s="54">
        <f t="shared" si="1"/>
        <v>36.667000000012926</v>
      </c>
      <c r="F29" s="53">
        <v>8035.6</v>
      </c>
      <c r="G29" s="54">
        <f t="shared" si="2"/>
        <v>4.2180000000012114</v>
      </c>
      <c r="H29" s="53">
        <v>2331.4</v>
      </c>
      <c r="I29" s="54">
        <f t="shared" si="3"/>
        <v>0</v>
      </c>
      <c r="J29" s="53">
        <v>193053.1</v>
      </c>
      <c r="K29" s="54">
        <f t="shared" si="4"/>
        <v>28.490000000043075</v>
      </c>
      <c r="L29" s="53">
        <v>15119.32</v>
      </c>
      <c r="M29" s="54">
        <f t="shared" si="5"/>
        <v>9.0280000000018852</v>
      </c>
      <c r="N29" s="62">
        <f t="shared" si="7"/>
        <v>2783.1030000000596</v>
      </c>
    </row>
    <row r="30" spans="1:15" ht="28.5" customHeight="1" x14ac:dyDescent="0.25">
      <c r="A30" s="55">
        <v>25</v>
      </c>
      <c r="B30" s="58">
        <v>74757</v>
      </c>
      <c r="C30" s="54">
        <f t="shared" si="0"/>
        <v>0</v>
      </c>
      <c r="D30" s="53">
        <v>70914.33</v>
      </c>
      <c r="E30" s="54">
        <f t="shared" si="1"/>
        <v>0</v>
      </c>
      <c r="F30" s="53">
        <v>8035.6</v>
      </c>
      <c r="G30" s="54">
        <f t="shared" si="2"/>
        <v>0</v>
      </c>
      <c r="H30" s="53">
        <v>2331.4</v>
      </c>
      <c r="I30" s="54">
        <f t="shared" si="3"/>
        <v>0</v>
      </c>
      <c r="J30" s="53">
        <v>193053.1</v>
      </c>
      <c r="K30" s="54">
        <f t="shared" si="4"/>
        <v>0</v>
      </c>
      <c r="L30" s="53">
        <v>15119.32</v>
      </c>
      <c r="M30" s="54">
        <f t="shared" si="5"/>
        <v>0</v>
      </c>
      <c r="N30" s="62">
        <f t="shared" si="7"/>
        <v>0</v>
      </c>
      <c r="O30" s="59"/>
    </row>
    <row r="31" spans="1:15" ht="28.5" customHeight="1" x14ac:dyDescent="0.25">
      <c r="A31" s="55">
        <v>26</v>
      </c>
      <c r="B31" s="53">
        <v>76204</v>
      </c>
      <c r="C31" s="54">
        <f t="shared" si="0"/>
        <v>5353.9000000000005</v>
      </c>
      <c r="D31" s="53">
        <v>70934.820000000007</v>
      </c>
      <c r="E31" s="54">
        <f t="shared" si="1"/>
        <v>75.813000000019386</v>
      </c>
      <c r="F31" s="53">
        <v>8038.84</v>
      </c>
      <c r="G31" s="54">
        <f t="shared" si="2"/>
        <v>11.987999999999193</v>
      </c>
      <c r="H31" s="53">
        <v>2331.65</v>
      </c>
      <c r="I31" s="54">
        <f t="shared" si="3"/>
        <v>0.92500000000000004</v>
      </c>
      <c r="J31" s="53">
        <v>193070.1</v>
      </c>
      <c r="K31" s="54">
        <f t="shared" si="4"/>
        <v>62.900000000000006</v>
      </c>
      <c r="L31" s="53">
        <v>15126.72</v>
      </c>
      <c r="M31" s="54">
        <f t="shared" si="5"/>
        <v>27.379999999998656</v>
      </c>
      <c r="N31" s="62">
        <f t="shared" si="7"/>
        <v>5532.9060000000172</v>
      </c>
      <c r="O31" s="59"/>
    </row>
    <row r="32" spans="1:15" ht="28.5" customHeight="1" x14ac:dyDescent="0.25">
      <c r="A32" s="55">
        <v>27</v>
      </c>
      <c r="B32" s="53">
        <v>76933</v>
      </c>
      <c r="C32" s="54">
        <f t="shared" si="0"/>
        <v>2697.3</v>
      </c>
      <c r="D32" s="53">
        <v>70947.839999999997</v>
      </c>
      <c r="E32" s="54">
        <f t="shared" si="1"/>
        <v>48.173999999961239</v>
      </c>
      <c r="F32" s="53">
        <v>8039.59</v>
      </c>
      <c r="G32" s="54">
        <f t="shared" si="2"/>
        <v>2.7750000000000004</v>
      </c>
      <c r="H32" s="53">
        <v>2331.84</v>
      </c>
      <c r="I32" s="54">
        <f t="shared" si="3"/>
        <v>0.70300000000020191</v>
      </c>
      <c r="J32" s="53">
        <v>193075.5</v>
      </c>
      <c r="K32" s="54">
        <f t="shared" si="4"/>
        <v>19.979999999978464</v>
      </c>
      <c r="L32" s="53">
        <v>15131.3</v>
      </c>
      <c r="M32" s="54">
        <f t="shared" si="5"/>
        <v>16.945999999999732</v>
      </c>
      <c r="N32" s="62">
        <f>SUM(C32,E32,G32,I32,K32,M32)</f>
        <v>2785.8779999999406</v>
      </c>
    </row>
    <row r="33" spans="1:14" ht="28.5" customHeight="1" x14ac:dyDescent="0.25">
      <c r="A33" s="55">
        <v>28</v>
      </c>
      <c r="B33" s="53">
        <v>77663</v>
      </c>
      <c r="C33" s="54">
        <f t="shared" si="0"/>
        <v>2701</v>
      </c>
      <c r="D33" s="53">
        <v>70960.08</v>
      </c>
      <c r="E33" s="54">
        <f t="shared" si="1"/>
        <v>45.288000000019387</v>
      </c>
      <c r="F33" s="53">
        <v>8041.15</v>
      </c>
      <c r="G33" s="54">
        <f t="shared" si="2"/>
        <v>5.7719999999981155</v>
      </c>
      <c r="H33" s="53">
        <v>2331.92</v>
      </c>
      <c r="I33" s="54">
        <f t="shared" si="3"/>
        <v>0.29599999999973081</v>
      </c>
      <c r="J33" s="53">
        <v>193084.2</v>
      </c>
      <c r="K33" s="54">
        <f t="shared" si="4"/>
        <v>32.190000000043078</v>
      </c>
      <c r="L33" s="53">
        <v>15134.8</v>
      </c>
      <c r="M33" s="54">
        <f t="shared" si="5"/>
        <v>12.950000000000001</v>
      </c>
      <c r="N33" s="62">
        <f t="shared" si="7"/>
        <v>2797.4960000000606</v>
      </c>
    </row>
    <row r="34" spans="1:14" ht="28.5" customHeight="1" x14ac:dyDescent="0.25">
      <c r="A34" s="55">
        <v>29</v>
      </c>
      <c r="B34" s="57">
        <v>78414</v>
      </c>
      <c r="C34" s="54">
        <f t="shared" si="0"/>
        <v>2778.7000000000003</v>
      </c>
      <c r="D34" s="57">
        <v>70971.710000000006</v>
      </c>
      <c r="E34" s="54">
        <f t="shared" si="1"/>
        <v>43.031000000017229</v>
      </c>
      <c r="F34" s="57">
        <v>8042.81</v>
      </c>
      <c r="G34" s="54">
        <f t="shared" si="2"/>
        <v>6.1420000000028274</v>
      </c>
      <c r="H34" s="57">
        <v>2331.9899999999998</v>
      </c>
      <c r="I34" s="54">
        <f t="shared" si="3"/>
        <v>0.25899999999892315</v>
      </c>
      <c r="J34" s="57">
        <v>193091.6</v>
      </c>
      <c r="K34" s="54">
        <f t="shared" si="4"/>
        <v>27.379999999978466</v>
      </c>
      <c r="L34" s="57">
        <v>15137.43</v>
      </c>
      <c r="M34" s="54">
        <f t="shared" si="5"/>
        <v>9.7310000000037693</v>
      </c>
      <c r="N34" s="62">
        <f t="shared" si="7"/>
        <v>2865.2430000000018</v>
      </c>
    </row>
    <row r="35" spans="1:14" ht="28.5" customHeight="1" x14ac:dyDescent="0.25">
      <c r="A35" s="55">
        <v>30</v>
      </c>
      <c r="B35" s="53">
        <v>79264</v>
      </c>
      <c r="C35" s="54">
        <f t="shared" si="0"/>
        <v>3145</v>
      </c>
      <c r="D35" s="53">
        <v>70974.61</v>
      </c>
      <c r="E35" s="54">
        <f t="shared" si="1"/>
        <v>10.729999999978464</v>
      </c>
      <c r="F35" s="53">
        <v>8043.83</v>
      </c>
      <c r="G35" s="54">
        <f t="shared" si="2"/>
        <v>3.7739999999982503</v>
      </c>
      <c r="H35" s="53">
        <v>2332.0300000000002</v>
      </c>
      <c r="I35" s="54">
        <f t="shared" si="3"/>
        <v>0.14800000000154798</v>
      </c>
      <c r="J35" s="53">
        <v>193098.1</v>
      </c>
      <c r="K35" s="54">
        <f t="shared" si="4"/>
        <v>24.05</v>
      </c>
      <c r="L35" s="53">
        <v>15141.81</v>
      </c>
      <c r="M35" s="54">
        <f t="shared" si="5"/>
        <v>16.20599999999704</v>
      </c>
      <c r="N35" s="62">
        <f t="shared" si="7"/>
        <v>3199.9079999999753</v>
      </c>
    </row>
    <row r="36" spans="1:14" ht="28.5" customHeight="1" x14ac:dyDescent="0.25">
      <c r="A36" s="55">
        <v>31</v>
      </c>
      <c r="B36" s="53"/>
      <c r="C36" s="54"/>
      <c r="D36" s="53"/>
      <c r="E36" s="54"/>
      <c r="F36" s="53"/>
      <c r="G36" s="54"/>
      <c r="H36" s="53"/>
      <c r="I36" s="54"/>
      <c r="J36" s="53"/>
      <c r="K36" s="54"/>
      <c r="L36" s="53"/>
      <c r="M36" s="54"/>
      <c r="N36" s="62">
        <f t="shared" si="7"/>
        <v>0</v>
      </c>
    </row>
    <row r="37" spans="1:14" x14ac:dyDescent="0.25">
      <c r="A37" s="95" t="s">
        <v>83</v>
      </c>
      <c r="B37" s="95"/>
      <c r="C37" s="60">
        <f>SUM(C6:C36)</f>
        <v>80967.100000000006</v>
      </c>
      <c r="E37" s="60">
        <f>SUM(E6:E36)</f>
        <v>1082.657000000002</v>
      </c>
      <c r="G37" s="60">
        <f>SUM(G6:G36)</f>
        <v>132.34899999999826</v>
      </c>
      <c r="I37" s="60">
        <f>SUM(I6:I36)</f>
        <v>9.065000000001012</v>
      </c>
      <c r="K37" s="60">
        <f>SUM(K6:K36)</f>
        <v>895.40000000000009</v>
      </c>
      <c r="M37" s="60">
        <f>SUM(M6:M36)</f>
        <v>330.4099999999973</v>
      </c>
    </row>
    <row r="39" spans="1:14" x14ac:dyDescent="0.25">
      <c r="A39" s="96" t="s">
        <v>84</v>
      </c>
      <c r="B39" s="96"/>
      <c r="C39" s="108">
        <f>SUM(C37)</f>
        <v>80967.100000000006</v>
      </c>
      <c r="D39" s="108"/>
    </row>
    <row r="40" spans="1:14" x14ac:dyDescent="0.25">
      <c r="A40" s="96" t="s">
        <v>85</v>
      </c>
      <c r="B40" s="96"/>
      <c r="C40" s="108">
        <f>SUM(E37,G37,I37,K37,M37)</f>
        <v>2449.8809999999985</v>
      </c>
      <c r="D40" s="108"/>
    </row>
    <row r="41" spans="1:14" ht="47.25" customHeight="1" x14ac:dyDescent="0.25">
      <c r="A41" s="94" t="s">
        <v>86</v>
      </c>
      <c r="B41" s="94"/>
      <c r="C41" s="109">
        <f>SUM(C39:D40)</f>
        <v>83416.981</v>
      </c>
      <c r="D41" s="109"/>
    </row>
  </sheetData>
  <mergeCells count="20">
    <mergeCell ref="C41:D41"/>
    <mergeCell ref="A41:B41"/>
    <mergeCell ref="B4:C4"/>
    <mergeCell ref="D4:E4"/>
    <mergeCell ref="F4:G4"/>
    <mergeCell ref="A37:B37"/>
    <mergeCell ref="A39:B39"/>
    <mergeCell ref="C39:D39"/>
    <mergeCell ref="A40:B40"/>
    <mergeCell ref="C40:D40"/>
    <mergeCell ref="H4:I4"/>
    <mergeCell ref="J4:K4"/>
    <mergeCell ref="L4:M4"/>
    <mergeCell ref="A1:M1"/>
    <mergeCell ref="B3:C3"/>
    <mergeCell ref="D3:E3"/>
    <mergeCell ref="F3:G3"/>
    <mergeCell ref="H3:I3"/>
    <mergeCell ref="J3:K3"/>
    <mergeCell ref="L3:M3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AI4" sqref="AI4:AI15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9" t="s">
        <v>96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</row>
    <row r="3" spans="1:42" s="8" customFormat="1" ht="30" customHeight="1" thickBot="1" x14ac:dyDescent="0.3"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88</v>
      </c>
      <c r="AH4" s="29" t="s">
        <v>89</v>
      </c>
      <c r="AI4" s="29"/>
    </row>
    <row r="5" spans="1:42" s="8" customFormat="1" ht="40.5" customHeight="1" thickBot="1" x14ac:dyDescent="0.3">
      <c r="A5" s="102" t="s">
        <v>20</v>
      </c>
      <c r="B5" s="27" t="s">
        <v>48</v>
      </c>
      <c r="C5" s="104" t="s">
        <v>49</v>
      </c>
      <c r="D5" s="31">
        <v>146865</v>
      </c>
      <c r="E5" s="31">
        <v>147105</v>
      </c>
      <c r="F5" s="31">
        <v>147368</v>
      </c>
      <c r="G5" s="31">
        <v>147597</v>
      </c>
      <c r="H5" s="31">
        <v>147844</v>
      </c>
      <c r="I5" s="31">
        <v>148091</v>
      </c>
      <c r="J5" s="31">
        <v>148327</v>
      </c>
      <c r="K5" s="31">
        <v>148577</v>
      </c>
      <c r="L5" s="31">
        <v>148821</v>
      </c>
      <c r="M5" s="31">
        <v>149058</v>
      </c>
      <c r="N5" s="31">
        <v>149295</v>
      </c>
      <c r="O5" s="31">
        <v>149551</v>
      </c>
      <c r="P5" s="31">
        <v>149787</v>
      </c>
      <c r="Q5" s="31">
        <v>150040</v>
      </c>
      <c r="R5" s="31">
        <v>150277</v>
      </c>
      <c r="S5" s="31">
        <v>150535</v>
      </c>
      <c r="T5" s="31">
        <v>150760</v>
      </c>
      <c r="U5" s="31">
        <v>151006</v>
      </c>
      <c r="V5" s="31">
        <v>151285</v>
      </c>
      <c r="W5" s="31">
        <v>151552</v>
      </c>
      <c r="X5" s="31">
        <v>151790</v>
      </c>
      <c r="Y5" s="31">
        <v>152070</v>
      </c>
      <c r="Z5" s="31">
        <v>152311</v>
      </c>
      <c r="AA5" s="31">
        <v>152584</v>
      </c>
      <c r="AB5" s="31">
        <v>152854</v>
      </c>
      <c r="AC5" s="31">
        <v>153144</v>
      </c>
      <c r="AD5" s="31">
        <v>153451</v>
      </c>
      <c r="AE5" s="31">
        <v>153767</v>
      </c>
      <c r="AF5" s="31">
        <v>154122</v>
      </c>
      <c r="AG5" s="31">
        <v>154478</v>
      </c>
      <c r="AH5" s="31">
        <v>154855</v>
      </c>
      <c r="AI5" s="31"/>
    </row>
    <row r="6" spans="1:42" s="34" customFormat="1" ht="25.7" customHeight="1" thickBot="1" x14ac:dyDescent="0.3">
      <c r="A6" s="103"/>
      <c r="B6" s="32"/>
      <c r="C6" s="104"/>
      <c r="D6" s="33"/>
      <c r="E6" s="33">
        <v>240</v>
      </c>
      <c r="F6" s="33">
        <v>263</v>
      </c>
      <c r="G6" s="33">
        <v>229</v>
      </c>
      <c r="H6" s="33">
        <v>247</v>
      </c>
      <c r="I6" s="33">
        <v>247</v>
      </c>
      <c r="J6" s="33">
        <v>236</v>
      </c>
      <c r="K6" s="33">
        <v>250</v>
      </c>
      <c r="L6" s="33">
        <v>244</v>
      </c>
      <c r="M6" s="33">
        <v>237</v>
      </c>
      <c r="N6" s="33">
        <v>237</v>
      </c>
      <c r="O6" s="33">
        <v>256</v>
      </c>
      <c r="P6" s="33">
        <v>236</v>
      </c>
      <c r="Q6" s="33">
        <v>253</v>
      </c>
      <c r="R6" s="33">
        <v>237</v>
      </c>
      <c r="S6" s="33">
        <v>258</v>
      </c>
      <c r="T6" s="33">
        <v>225</v>
      </c>
      <c r="U6" s="33">
        <v>246</v>
      </c>
      <c r="V6" s="33">
        <v>279</v>
      </c>
      <c r="W6" s="33">
        <v>267</v>
      </c>
      <c r="X6" s="33">
        <v>238</v>
      </c>
      <c r="Y6" s="33">
        <v>280</v>
      </c>
      <c r="Z6" s="33">
        <v>241</v>
      </c>
      <c r="AA6" s="33">
        <v>273</v>
      </c>
      <c r="AB6" s="33">
        <v>270</v>
      </c>
      <c r="AC6" s="33">
        <v>290</v>
      </c>
      <c r="AD6" s="33">
        <v>307</v>
      </c>
      <c r="AE6" s="33">
        <v>316</v>
      </c>
      <c r="AF6" s="33">
        <v>355</v>
      </c>
      <c r="AG6" s="33">
        <v>356</v>
      </c>
      <c r="AH6" s="33">
        <v>377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102" t="s">
        <v>22</v>
      </c>
      <c r="B7" s="49" t="s">
        <v>69</v>
      </c>
      <c r="C7" s="104" t="s">
        <v>70</v>
      </c>
      <c r="D7" s="31">
        <v>406051.3</v>
      </c>
      <c r="E7" s="31">
        <v>406086.8</v>
      </c>
      <c r="F7" s="31">
        <v>406115.4</v>
      </c>
      <c r="G7" s="31">
        <v>406146.8</v>
      </c>
      <c r="H7" s="31">
        <v>406184.1</v>
      </c>
      <c r="I7" s="31">
        <v>406222.5</v>
      </c>
      <c r="J7" s="31">
        <v>406258.9</v>
      </c>
      <c r="K7" s="31">
        <v>406282.5</v>
      </c>
      <c r="L7" s="31">
        <v>406319.6</v>
      </c>
      <c r="M7" s="31">
        <v>406355.8</v>
      </c>
      <c r="N7" s="31">
        <v>406391.9</v>
      </c>
      <c r="O7" s="31">
        <v>406424</v>
      </c>
      <c r="P7" s="31">
        <v>406456.9</v>
      </c>
      <c r="Q7" s="31">
        <v>406488.1</v>
      </c>
      <c r="R7" s="31">
        <v>406515</v>
      </c>
      <c r="S7" s="31">
        <v>406548.2</v>
      </c>
      <c r="T7" s="31">
        <v>406581.4</v>
      </c>
      <c r="U7" s="31">
        <v>406612.7</v>
      </c>
      <c r="V7" s="31">
        <v>406644.1</v>
      </c>
      <c r="W7" s="31">
        <v>406674.3</v>
      </c>
      <c r="X7" s="31">
        <v>406707.20000000001</v>
      </c>
      <c r="Y7" s="31">
        <v>406732.6</v>
      </c>
      <c r="Z7" s="31">
        <v>406759.3</v>
      </c>
      <c r="AA7" s="31">
        <v>406800.4</v>
      </c>
      <c r="AB7" s="31">
        <v>406831.8</v>
      </c>
      <c r="AC7" s="31">
        <v>406862.2</v>
      </c>
      <c r="AD7" s="31">
        <v>406892.1</v>
      </c>
      <c r="AE7" s="31">
        <v>406924.5</v>
      </c>
      <c r="AF7" s="31">
        <v>406948.5</v>
      </c>
      <c r="AG7" s="31">
        <v>406979.6</v>
      </c>
      <c r="AH7" s="31">
        <v>407018.2</v>
      </c>
      <c r="AI7" s="31"/>
    </row>
    <row r="8" spans="1:42" s="34" customFormat="1" ht="25.7" customHeight="1" thickBot="1" x14ac:dyDescent="0.3">
      <c r="A8" s="103"/>
      <c r="B8" s="47"/>
      <c r="C8" s="104"/>
      <c r="D8" s="33"/>
      <c r="E8" s="33">
        <f>E7-D7</f>
        <v>35.5</v>
      </c>
      <c r="F8" s="33">
        <f t="shared" ref="F8:AH8" si="0">F7-E7</f>
        <v>28.600000000034925</v>
      </c>
      <c r="G8" s="33">
        <f t="shared" si="0"/>
        <v>31.399999999965075</v>
      </c>
      <c r="H8" s="33">
        <f t="shared" si="0"/>
        <v>37.299999999988358</v>
      </c>
      <c r="I8" s="33">
        <f t="shared" si="0"/>
        <v>38.400000000023283</v>
      </c>
      <c r="J8" s="33">
        <f t="shared" si="0"/>
        <v>36.400000000023283</v>
      </c>
      <c r="K8" s="33">
        <f t="shared" si="0"/>
        <v>23.599999999976717</v>
      </c>
      <c r="L8" s="33">
        <f t="shared" si="0"/>
        <v>37.099999999976717</v>
      </c>
      <c r="M8" s="33">
        <f t="shared" si="0"/>
        <v>36.200000000011642</v>
      </c>
      <c r="N8" s="33">
        <f t="shared" si="0"/>
        <v>36.100000000034925</v>
      </c>
      <c r="O8" s="33">
        <f t="shared" si="0"/>
        <v>32.099999999976717</v>
      </c>
      <c r="P8" s="33">
        <f t="shared" si="0"/>
        <v>32.900000000023283</v>
      </c>
      <c r="Q8" s="33">
        <f t="shared" si="0"/>
        <v>31.199999999953434</v>
      </c>
      <c r="R8" s="33">
        <f t="shared" si="0"/>
        <v>26.900000000023283</v>
      </c>
      <c r="S8" s="33">
        <f t="shared" si="0"/>
        <v>33.200000000011642</v>
      </c>
      <c r="T8" s="33">
        <f t="shared" si="0"/>
        <v>33.200000000011642</v>
      </c>
      <c r="U8" s="33">
        <f t="shared" si="0"/>
        <v>31.299999999988358</v>
      </c>
      <c r="V8" s="33">
        <f t="shared" si="0"/>
        <v>31.399999999965075</v>
      </c>
      <c r="W8" s="33">
        <f t="shared" si="0"/>
        <v>30.200000000011642</v>
      </c>
      <c r="X8" s="33">
        <f t="shared" si="0"/>
        <v>32.900000000023283</v>
      </c>
      <c r="Y8" s="33">
        <f>Y7-X7</f>
        <v>25.399999999965075</v>
      </c>
      <c r="Z8" s="33">
        <f t="shared" si="0"/>
        <v>26.700000000011642</v>
      </c>
      <c r="AA8" s="33">
        <f t="shared" si="0"/>
        <v>41.100000000034925</v>
      </c>
      <c r="AB8" s="33">
        <f t="shared" si="0"/>
        <v>31.399999999965075</v>
      </c>
      <c r="AC8" s="33">
        <f t="shared" si="0"/>
        <v>30.400000000023283</v>
      </c>
      <c r="AD8" s="33">
        <f t="shared" si="0"/>
        <v>29.899999999965075</v>
      </c>
      <c r="AE8" s="33">
        <f t="shared" si="0"/>
        <v>32.400000000023283</v>
      </c>
      <c r="AF8" s="33">
        <f t="shared" si="0"/>
        <v>24</v>
      </c>
      <c r="AG8" s="33">
        <f t="shared" si="0"/>
        <v>31.099999999976717</v>
      </c>
      <c r="AH8" s="33">
        <f t="shared" si="0"/>
        <v>38.600000000034925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102">
        <v>4</v>
      </c>
      <c r="B9" s="46" t="s">
        <v>67</v>
      </c>
      <c r="C9" s="104" t="s">
        <v>68</v>
      </c>
      <c r="D9" s="31">
        <v>16792</v>
      </c>
      <c r="E9" s="31">
        <v>16943</v>
      </c>
      <c r="F9" s="31">
        <v>16966</v>
      </c>
      <c r="G9" s="31">
        <v>17059</v>
      </c>
      <c r="H9" s="31">
        <v>17258</v>
      </c>
      <c r="I9" s="31">
        <v>17466</v>
      </c>
      <c r="J9" s="31">
        <v>17623</v>
      </c>
      <c r="K9" s="31">
        <v>17624</v>
      </c>
      <c r="L9" s="31">
        <v>17830</v>
      </c>
      <c r="M9" s="31">
        <v>18008</v>
      </c>
      <c r="N9" s="31">
        <v>18157</v>
      </c>
      <c r="O9" s="31">
        <v>18288</v>
      </c>
      <c r="P9" s="31">
        <v>18420</v>
      </c>
      <c r="Q9" s="31">
        <v>18576</v>
      </c>
      <c r="R9" s="31">
        <v>18610</v>
      </c>
      <c r="S9" s="31">
        <v>18768</v>
      </c>
      <c r="T9" s="31">
        <v>18942</v>
      </c>
      <c r="U9" s="31">
        <v>19096</v>
      </c>
      <c r="V9" s="31">
        <v>19244</v>
      </c>
      <c r="W9" s="31">
        <v>19385</v>
      </c>
      <c r="X9" s="31">
        <v>19497</v>
      </c>
      <c r="Y9" s="31">
        <v>19545</v>
      </c>
      <c r="Z9" s="31">
        <v>19592</v>
      </c>
      <c r="AA9" s="31">
        <v>19783</v>
      </c>
      <c r="AB9" s="31">
        <v>19934</v>
      </c>
      <c r="AC9" s="31">
        <v>20074</v>
      </c>
      <c r="AD9" s="31">
        <v>20202</v>
      </c>
      <c r="AE9" s="31">
        <v>20347</v>
      </c>
      <c r="AF9" s="31">
        <v>20356</v>
      </c>
      <c r="AG9" s="31">
        <v>20537</v>
      </c>
      <c r="AH9" s="31">
        <v>20802</v>
      </c>
      <c r="AI9" s="31"/>
    </row>
    <row r="10" spans="1:42" s="34" customFormat="1" ht="25.7" customHeight="1" thickBot="1" x14ac:dyDescent="0.3">
      <c r="A10" s="103"/>
      <c r="B10" s="47"/>
      <c r="C10" s="104"/>
      <c r="D10" s="33"/>
      <c r="E10" s="33">
        <f t="shared" ref="E10:AH10" si="1">E9-D9</f>
        <v>151</v>
      </c>
      <c r="F10" s="33">
        <f t="shared" si="1"/>
        <v>23</v>
      </c>
      <c r="G10" s="33">
        <f t="shared" si="1"/>
        <v>93</v>
      </c>
      <c r="H10" s="33">
        <f t="shared" si="1"/>
        <v>199</v>
      </c>
      <c r="I10" s="33">
        <f t="shared" si="1"/>
        <v>208</v>
      </c>
      <c r="J10" s="33">
        <f t="shared" si="1"/>
        <v>157</v>
      </c>
      <c r="K10" s="33">
        <f t="shared" si="1"/>
        <v>1</v>
      </c>
      <c r="L10" s="33">
        <f t="shared" si="1"/>
        <v>206</v>
      </c>
      <c r="M10" s="33">
        <f t="shared" si="1"/>
        <v>178</v>
      </c>
      <c r="N10" s="33">
        <f t="shared" si="1"/>
        <v>149</v>
      </c>
      <c r="O10" s="33">
        <f t="shared" si="1"/>
        <v>131</v>
      </c>
      <c r="P10" s="33">
        <f t="shared" si="1"/>
        <v>132</v>
      </c>
      <c r="Q10" s="33">
        <f t="shared" si="1"/>
        <v>156</v>
      </c>
      <c r="R10" s="33">
        <f t="shared" si="1"/>
        <v>34</v>
      </c>
      <c r="S10" s="33">
        <f t="shared" si="1"/>
        <v>158</v>
      </c>
      <c r="T10" s="33">
        <f t="shared" si="1"/>
        <v>174</v>
      </c>
      <c r="U10" s="33">
        <f t="shared" si="1"/>
        <v>154</v>
      </c>
      <c r="V10" s="33">
        <f t="shared" si="1"/>
        <v>148</v>
      </c>
      <c r="W10" s="33">
        <f t="shared" si="1"/>
        <v>141</v>
      </c>
      <c r="X10" s="33">
        <f t="shared" si="1"/>
        <v>112</v>
      </c>
      <c r="Y10" s="33">
        <f t="shared" si="1"/>
        <v>48</v>
      </c>
      <c r="Z10" s="33">
        <f t="shared" si="1"/>
        <v>47</v>
      </c>
      <c r="AA10" s="33">
        <f t="shared" si="1"/>
        <v>191</v>
      </c>
      <c r="AB10" s="33">
        <f t="shared" si="1"/>
        <v>151</v>
      </c>
      <c r="AC10" s="33">
        <f t="shared" si="1"/>
        <v>140</v>
      </c>
      <c r="AD10" s="33">
        <f t="shared" si="1"/>
        <v>128</v>
      </c>
      <c r="AE10" s="33">
        <f t="shared" si="1"/>
        <v>145</v>
      </c>
      <c r="AF10" s="33">
        <f t="shared" si="1"/>
        <v>9</v>
      </c>
      <c r="AG10" s="33">
        <f t="shared" si="1"/>
        <v>181</v>
      </c>
      <c r="AH10" s="33">
        <f t="shared" si="1"/>
        <v>265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105">
        <v>5</v>
      </c>
      <c r="B11" s="27">
        <v>68864837</v>
      </c>
      <c r="C11" s="104" t="s">
        <v>74</v>
      </c>
      <c r="D11" s="31">
        <v>2170.471</v>
      </c>
      <c r="E11" s="31">
        <v>2172.422</v>
      </c>
      <c r="F11" s="31">
        <v>2175.549</v>
      </c>
      <c r="G11" s="31">
        <v>2178.8240000000001</v>
      </c>
      <c r="H11" s="31">
        <v>2181.681</v>
      </c>
      <c r="I11" s="31">
        <v>2183.5140000000001</v>
      </c>
      <c r="J11" s="31">
        <v>2185.2399999999998</v>
      </c>
      <c r="K11" s="31">
        <v>2187.348</v>
      </c>
      <c r="L11" s="31">
        <v>2189.096</v>
      </c>
      <c r="M11" s="31">
        <v>2190.7109999999998</v>
      </c>
      <c r="N11" s="31">
        <v>2192.348</v>
      </c>
      <c r="O11" s="31">
        <v>2194.453</v>
      </c>
      <c r="P11" s="31">
        <v>2196.6039999999998</v>
      </c>
      <c r="Q11" s="31">
        <v>2198.337</v>
      </c>
      <c r="R11" s="31">
        <v>2200.2800000000002</v>
      </c>
      <c r="S11" s="31">
        <v>2201.6</v>
      </c>
      <c r="T11" s="31">
        <v>2204.5990000000002</v>
      </c>
      <c r="U11" s="31">
        <v>2207.2840000000001</v>
      </c>
      <c r="V11" s="31">
        <v>2208.9639999999999</v>
      </c>
      <c r="W11" s="31">
        <v>2210.4520000000002</v>
      </c>
      <c r="X11" s="31">
        <v>2213.201</v>
      </c>
      <c r="Y11" s="31">
        <v>2214.0880000000002</v>
      </c>
      <c r="Z11" s="31">
        <v>2215.0100000000002</v>
      </c>
      <c r="AA11" s="31">
        <v>2215.8000000000002</v>
      </c>
      <c r="AB11" s="31">
        <v>2219.7310000000002</v>
      </c>
      <c r="AC11" s="31">
        <v>2221.732</v>
      </c>
      <c r="AD11" s="31">
        <v>2224.9850000000001</v>
      </c>
      <c r="AE11" s="31">
        <v>2224.9989999999998</v>
      </c>
      <c r="AF11" s="31">
        <v>2229.0340000000001</v>
      </c>
      <c r="AG11" s="31">
        <v>2230.681</v>
      </c>
      <c r="AH11" s="31">
        <v>2232.5729999999999</v>
      </c>
      <c r="AI11" s="31"/>
    </row>
    <row r="12" spans="1:42" s="8" customFormat="1" ht="25.7" customHeight="1" thickBot="1" x14ac:dyDescent="0.3">
      <c r="A12" s="106"/>
      <c r="B12" s="48"/>
      <c r="C12" s="104"/>
      <c r="D12" s="33"/>
      <c r="E12" s="33">
        <f>E11-D11</f>
        <v>1.9510000000000218</v>
      </c>
      <c r="F12" s="33">
        <f t="shared" ref="F12:AH12" si="2">F11-E11</f>
        <v>3.1269999999999527</v>
      </c>
      <c r="G12" s="33">
        <f t="shared" si="2"/>
        <v>3.2750000000000909</v>
      </c>
      <c r="H12" s="33">
        <f t="shared" si="2"/>
        <v>2.8569999999999709</v>
      </c>
      <c r="I12" s="33">
        <f t="shared" si="2"/>
        <v>1.8330000000000837</v>
      </c>
      <c r="J12" s="33">
        <f t="shared" si="2"/>
        <v>1.725999999999658</v>
      </c>
      <c r="K12" s="33">
        <f t="shared" si="2"/>
        <v>2.1080000000001746</v>
      </c>
      <c r="L12" s="33">
        <f t="shared" si="2"/>
        <v>1.7480000000000473</v>
      </c>
      <c r="M12" s="33">
        <f t="shared" si="2"/>
        <v>1.6149999999997817</v>
      </c>
      <c r="N12" s="33">
        <f t="shared" si="2"/>
        <v>1.637000000000171</v>
      </c>
      <c r="O12" s="33">
        <f t="shared" si="2"/>
        <v>2.1050000000000182</v>
      </c>
      <c r="P12" s="33">
        <f t="shared" si="2"/>
        <v>2.1509999999998399</v>
      </c>
      <c r="Q12" s="33">
        <f t="shared" si="2"/>
        <v>1.7330000000001746</v>
      </c>
      <c r="R12" s="33">
        <f t="shared" si="2"/>
        <v>1.943000000000211</v>
      </c>
      <c r="S12" s="33">
        <f t="shared" si="2"/>
        <v>1.319999999999709</v>
      </c>
      <c r="T12" s="33">
        <f t="shared" si="2"/>
        <v>2.999000000000251</v>
      </c>
      <c r="U12" s="33">
        <f t="shared" si="2"/>
        <v>2.6849999999999454</v>
      </c>
      <c r="V12" s="33">
        <f t="shared" si="2"/>
        <v>1.6799999999998363</v>
      </c>
      <c r="W12" s="33">
        <f t="shared" si="2"/>
        <v>1.4880000000002838</v>
      </c>
      <c r="X12" s="33">
        <f t="shared" si="2"/>
        <v>2.7489999999997963</v>
      </c>
      <c r="Y12" s="33">
        <f t="shared" si="2"/>
        <v>0.88700000000017099</v>
      </c>
      <c r="Z12" s="33">
        <f t="shared" si="2"/>
        <v>0.92200000000002547</v>
      </c>
      <c r="AA12" s="33">
        <f t="shared" si="2"/>
        <v>0.78999999999996362</v>
      </c>
      <c r="AB12" s="33">
        <f t="shared" si="2"/>
        <v>3.93100000000004</v>
      </c>
      <c r="AC12" s="33">
        <f t="shared" si="2"/>
        <v>2.000999999999749</v>
      </c>
      <c r="AD12" s="33">
        <f t="shared" si="2"/>
        <v>3.2530000000001564</v>
      </c>
      <c r="AE12" s="33">
        <f t="shared" si="2"/>
        <v>1.3999999999668944E-2</v>
      </c>
      <c r="AF12" s="33">
        <f t="shared" si="2"/>
        <v>4.0350000000003092</v>
      </c>
      <c r="AG12" s="33">
        <f t="shared" si="2"/>
        <v>1.6469999999999345</v>
      </c>
      <c r="AH12" s="33">
        <f t="shared" si="2"/>
        <v>1.8919999999998254</v>
      </c>
      <c r="AI12" s="33"/>
    </row>
    <row r="13" spans="1:42" s="8" customFormat="1" ht="25.7" customHeight="1" thickBot="1" x14ac:dyDescent="0.3">
      <c r="A13" s="105">
        <v>6</v>
      </c>
      <c r="B13" s="27">
        <v>65296485</v>
      </c>
      <c r="C13" s="104" t="s">
        <v>73</v>
      </c>
      <c r="D13" s="31">
        <v>2734.482</v>
      </c>
      <c r="E13" s="31">
        <v>2736.607</v>
      </c>
      <c r="F13" s="31">
        <v>2738.924</v>
      </c>
      <c r="G13" s="31">
        <v>2750.2289999999998</v>
      </c>
      <c r="H13" s="31">
        <v>2754.0410000000002</v>
      </c>
      <c r="I13" s="31">
        <v>2755.576</v>
      </c>
      <c r="J13" s="31">
        <v>2757.511</v>
      </c>
      <c r="K13" s="31">
        <v>2759.3040000000001</v>
      </c>
      <c r="L13" s="31">
        <v>2761.9340000000002</v>
      </c>
      <c r="M13" s="31">
        <v>2764.2379999999998</v>
      </c>
      <c r="N13" s="31">
        <v>2772.5189999999998</v>
      </c>
      <c r="O13" s="31">
        <v>2773.6480000000001</v>
      </c>
      <c r="P13" s="31">
        <v>2775.52</v>
      </c>
      <c r="Q13" s="31">
        <v>2777.971</v>
      </c>
      <c r="R13" s="31">
        <v>2780.442</v>
      </c>
      <c r="S13" s="31">
        <v>2782.7</v>
      </c>
      <c r="T13" s="31">
        <v>2786.5509999999999</v>
      </c>
      <c r="U13" s="31">
        <v>2787.6480000000001</v>
      </c>
      <c r="V13" s="31">
        <v>2790.8919999999998</v>
      </c>
      <c r="W13" s="31">
        <v>2795.1039999999998</v>
      </c>
      <c r="X13" s="31">
        <v>2797.6570000000002</v>
      </c>
      <c r="Y13" s="31">
        <v>2797.6570000000002</v>
      </c>
      <c r="Z13" s="31">
        <v>2797.8850000000002</v>
      </c>
      <c r="AA13" s="31">
        <v>2798.2</v>
      </c>
      <c r="AB13" s="31">
        <v>2806.8020000000001</v>
      </c>
      <c r="AC13" s="31">
        <v>2808.4250000000002</v>
      </c>
      <c r="AD13" s="31">
        <v>2811.8449999999998</v>
      </c>
      <c r="AE13" s="31">
        <v>2814.7919999999999</v>
      </c>
      <c r="AF13" s="31">
        <v>2817.8580000000002</v>
      </c>
      <c r="AG13" s="31">
        <v>2820.2489999999998</v>
      </c>
      <c r="AH13" s="31">
        <v>2822.7910000000002</v>
      </c>
      <c r="AI13" s="31"/>
    </row>
    <row r="14" spans="1:42" s="8" customFormat="1" ht="25.7" customHeight="1" thickBot="1" x14ac:dyDescent="0.3">
      <c r="A14" s="106"/>
      <c r="B14" s="48"/>
      <c r="C14" s="104"/>
      <c r="D14" s="33"/>
      <c r="E14" s="33">
        <f>E13-D13</f>
        <v>2.125</v>
      </c>
      <c r="F14" s="33">
        <f t="shared" ref="F14:AH14" si="3">F13-E13</f>
        <v>2.3170000000000073</v>
      </c>
      <c r="G14" s="33">
        <f t="shared" si="3"/>
        <v>11.304999999999836</v>
      </c>
      <c r="H14" s="33">
        <f t="shared" si="3"/>
        <v>3.8120000000003529</v>
      </c>
      <c r="I14" s="33">
        <f t="shared" si="3"/>
        <v>1.5349999999998545</v>
      </c>
      <c r="J14" s="33">
        <f t="shared" si="3"/>
        <v>1.9349999999999454</v>
      </c>
      <c r="K14" s="33">
        <f t="shared" si="3"/>
        <v>1.7930000000001201</v>
      </c>
      <c r="L14" s="33">
        <f t="shared" si="3"/>
        <v>2.6300000000001091</v>
      </c>
      <c r="M14" s="33">
        <f t="shared" si="3"/>
        <v>2.3039999999996326</v>
      </c>
      <c r="N14" s="33">
        <f t="shared" si="3"/>
        <v>8.2809999999999491</v>
      </c>
      <c r="O14" s="33">
        <f t="shared" si="3"/>
        <v>1.1290000000003602</v>
      </c>
      <c r="P14" s="33">
        <f t="shared" si="3"/>
        <v>1.8719999999998436</v>
      </c>
      <c r="Q14" s="33">
        <f t="shared" si="3"/>
        <v>2.4510000000000218</v>
      </c>
      <c r="R14" s="33">
        <f t="shared" si="3"/>
        <v>2.4710000000000036</v>
      </c>
      <c r="S14" s="33">
        <f t="shared" si="3"/>
        <v>2.2579999999998108</v>
      </c>
      <c r="T14" s="33">
        <f t="shared" si="3"/>
        <v>3.8510000000001128</v>
      </c>
      <c r="U14" s="33">
        <f t="shared" si="3"/>
        <v>1.0970000000002074</v>
      </c>
      <c r="V14" s="33">
        <f t="shared" si="3"/>
        <v>3.2439999999996871</v>
      </c>
      <c r="W14" s="33">
        <f t="shared" si="3"/>
        <v>4.2119999999999891</v>
      </c>
      <c r="X14" s="33">
        <f t="shared" si="3"/>
        <v>2.5530000000003383</v>
      </c>
      <c r="Y14" s="33">
        <f t="shared" si="3"/>
        <v>0</v>
      </c>
      <c r="Z14" s="33">
        <f t="shared" si="3"/>
        <v>0.22800000000006548</v>
      </c>
      <c r="AA14" s="33">
        <f t="shared" si="3"/>
        <v>0.31499999999959982</v>
      </c>
      <c r="AB14" s="33">
        <f t="shared" si="3"/>
        <v>8.6020000000003165</v>
      </c>
      <c r="AC14" s="33">
        <f t="shared" si="3"/>
        <v>1.6230000000000473</v>
      </c>
      <c r="AD14" s="33">
        <f t="shared" si="3"/>
        <v>3.419999999999618</v>
      </c>
      <c r="AE14" s="33">
        <f t="shared" si="3"/>
        <v>2.9470000000001164</v>
      </c>
      <c r="AF14" s="33">
        <f t="shared" si="3"/>
        <v>3.0660000000002583</v>
      </c>
      <c r="AG14" s="33">
        <f t="shared" si="3"/>
        <v>2.3909999999996217</v>
      </c>
      <c r="AH14" s="33">
        <f t="shared" si="3"/>
        <v>2.5420000000003711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8" t="s">
        <v>71</v>
      </c>
      <c r="C15" s="98"/>
      <c r="D15" s="50"/>
      <c r="E15" s="63">
        <f>E6+((E8*45%)+(E10*45%)+(E12+E14))</f>
        <v>328.00100000000003</v>
      </c>
      <c r="F15" s="63">
        <f t="shared" ref="F15:AI15" si="4">F6+((F8*45%)+(F10*45%)+(F12+F14))</f>
        <v>291.66400000001568</v>
      </c>
      <c r="G15" s="63">
        <f t="shared" si="4"/>
        <v>299.5599999999842</v>
      </c>
      <c r="H15" s="63">
        <f t="shared" si="4"/>
        <v>360.00399999999507</v>
      </c>
      <c r="I15" s="63">
        <f t="shared" si="4"/>
        <v>361.24800000001039</v>
      </c>
      <c r="J15" s="63">
        <f t="shared" si="4"/>
        <v>326.69100000001009</v>
      </c>
      <c r="K15" s="63">
        <f t="shared" si="4"/>
        <v>264.97099999998983</v>
      </c>
      <c r="L15" s="63">
        <f t="shared" si="4"/>
        <v>357.77299999998968</v>
      </c>
      <c r="M15" s="63">
        <f t="shared" si="4"/>
        <v>337.30900000000463</v>
      </c>
      <c r="N15" s="63">
        <f t="shared" si="4"/>
        <v>330.21300000001582</v>
      </c>
      <c r="O15" s="63">
        <f t="shared" si="4"/>
        <v>332.6289999999899</v>
      </c>
      <c r="P15" s="63">
        <f t="shared" si="4"/>
        <v>314.22800000001018</v>
      </c>
      <c r="Q15" s="63">
        <f t="shared" si="4"/>
        <v>341.42399999997923</v>
      </c>
      <c r="R15" s="63">
        <f t="shared" si="4"/>
        <v>268.8190000000107</v>
      </c>
      <c r="S15" s="63">
        <f t="shared" si="4"/>
        <v>347.61800000000477</v>
      </c>
      <c r="T15" s="63">
        <f t="shared" si="4"/>
        <v>325.0900000000056</v>
      </c>
      <c r="U15" s="63">
        <f t="shared" si="4"/>
        <v>333.16699999999491</v>
      </c>
      <c r="V15" s="63">
        <f t="shared" si="4"/>
        <v>364.6539999999838</v>
      </c>
      <c r="W15" s="63">
        <f t="shared" si="4"/>
        <v>349.74000000000552</v>
      </c>
      <c r="X15" s="63">
        <f t="shared" si="4"/>
        <v>308.50700000001063</v>
      </c>
      <c r="Y15" s="63">
        <f t="shared" si="4"/>
        <v>313.91699999998445</v>
      </c>
      <c r="Z15" s="63">
        <f t="shared" si="4"/>
        <v>275.31500000000534</v>
      </c>
      <c r="AA15" s="63">
        <f t="shared" si="4"/>
        <v>378.5500000000153</v>
      </c>
      <c r="AB15" s="63">
        <f t="shared" si="4"/>
        <v>364.61299999998465</v>
      </c>
      <c r="AC15" s="63">
        <f t="shared" si="4"/>
        <v>370.30400000001026</v>
      </c>
      <c r="AD15" s="63">
        <f t="shared" si="4"/>
        <v>384.72799999998404</v>
      </c>
      <c r="AE15" s="63">
        <f t="shared" si="4"/>
        <v>398.79100000001029</v>
      </c>
      <c r="AF15" s="63">
        <f t="shared" si="4"/>
        <v>376.95100000000059</v>
      </c>
      <c r="AG15" s="63">
        <f t="shared" si="4"/>
        <v>455.48299999998909</v>
      </c>
      <c r="AH15" s="63">
        <f t="shared" si="4"/>
        <v>518.05400000001589</v>
      </c>
      <c r="AI15" s="63"/>
    </row>
    <row r="16" spans="1:42" ht="33" customHeight="1" x14ac:dyDescent="0.25">
      <c r="B16" s="97" t="s">
        <v>72</v>
      </c>
      <c r="C16" s="97"/>
      <c r="D16" s="50"/>
      <c r="E16" s="63">
        <f>SUM(E15:AI15)</f>
        <v>10380.016000000012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30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6" zoomScaleNormal="100" workbookViewId="0">
      <selection activeCell="C32" sqref="C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7" t="s">
        <v>97</v>
      </c>
      <c r="B1" s="107"/>
      <c r="C1" s="107"/>
    </row>
    <row r="2" spans="1:3" ht="24.95" customHeight="1" x14ac:dyDescent="0.25">
      <c r="A2" s="65" t="s">
        <v>92</v>
      </c>
      <c r="B2" s="65" t="s">
        <v>90</v>
      </c>
      <c r="C2" s="65" t="s">
        <v>91</v>
      </c>
    </row>
    <row r="3" spans="1:3" ht="24.95" customHeight="1" x14ac:dyDescent="0.25">
      <c r="A3" s="66">
        <v>45536</v>
      </c>
      <c r="B3" s="67">
        <v>465</v>
      </c>
      <c r="C3" s="67">
        <v>592</v>
      </c>
    </row>
    <row r="4" spans="1:3" ht="24.95" customHeight="1" x14ac:dyDescent="0.25">
      <c r="A4" s="66">
        <v>45537</v>
      </c>
      <c r="B4" s="67">
        <v>476</v>
      </c>
      <c r="C4" s="67">
        <v>572</v>
      </c>
    </row>
    <row r="5" spans="1:3" ht="24.95" customHeight="1" x14ac:dyDescent="0.25">
      <c r="A5" s="66">
        <v>45538</v>
      </c>
      <c r="B5" s="67">
        <v>480</v>
      </c>
      <c r="C5" s="67">
        <v>590</v>
      </c>
    </row>
    <row r="6" spans="1:3" ht="24.95" customHeight="1" x14ac:dyDescent="0.25">
      <c r="A6" s="66">
        <v>45539</v>
      </c>
      <c r="B6" s="67">
        <v>484</v>
      </c>
      <c r="C6" s="67">
        <v>605</v>
      </c>
    </row>
    <row r="7" spans="1:3" ht="24.95" customHeight="1" x14ac:dyDescent="0.25">
      <c r="A7" s="66">
        <v>45540</v>
      </c>
      <c r="B7" s="67">
        <v>438</v>
      </c>
      <c r="C7" s="67">
        <v>554</v>
      </c>
    </row>
    <row r="8" spans="1:3" ht="24.95" customHeight="1" x14ac:dyDescent="0.25">
      <c r="A8" s="66">
        <v>45541</v>
      </c>
      <c r="B8" s="67">
        <v>425</v>
      </c>
      <c r="C8" s="67">
        <v>590</v>
      </c>
    </row>
    <row r="9" spans="1:3" ht="24.95" customHeight="1" x14ac:dyDescent="0.25">
      <c r="A9" s="66">
        <v>45542</v>
      </c>
      <c r="B9" s="67">
        <v>398</v>
      </c>
      <c r="C9" s="67">
        <v>554</v>
      </c>
    </row>
    <row r="10" spans="1:3" ht="24.95" customHeight="1" x14ac:dyDescent="0.25">
      <c r="A10" s="66">
        <v>45543</v>
      </c>
      <c r="B10" s="67">
        <v>420</v>
      </c>
      <c r="C10" s="67">
        <v>537</v>
      </c>
    </row>
    <row r="11" spans="1:3" ht="24.95" customHeight="1" x14ac:dyDescent="0.25">
      <c r="A11" s="66">
        <v>45544</v>
      </c>
      <c r="B11" s="67">
        <v>458</v>
      </c>
      <c r="C11" s="67">
        <v>560</v>
      </c>
    </row>
    <row r="12" spans="1:3" ht="24.95" customHeight="1" x14ac:dyDescent="0.25">
      <c r="A12" s="66">
        <v>45545</v>
      </c>
      <c r="B12" s="67">
        <v>458</v>
      </c>
      <c r="C12" s="67">
        <v>571</v>
      </c>
    </row>
    <row r="13" spans="1:3" ht="24.95" customHeight="1" x14ac:dyDescent="0.25">
      <c r="A13" s="66">
        <v>45546</v>
      </c>
      <c r="B13" s="67">
        <v>470</v>
      </c>
      <c r="C13" s="67">
        <v>616</v>
      </c>
    </row>
    <row r="14" spans="1:3" ht="24.95" customHeight="1" x14ac:dyDescent="0.25">
      <c r="A14" s="66">
        <v>45547</v>
      </c>
      <c r="B14" s="67">
        <v>431</v>
      </c>
      <c r="C14" s="67">
        <v>593</v>
      </c>
    </row>
    <row r="15" spans="1:3" ht="24.95" customHeight="1" x14ac:dyDescent="0.25">
      <c r="A15" s="66">
        <v>45548</v>
      </c>
      <c r="B15" s="67">
        <v>400</v>
      </c>
      <c r="C15" s="67">
        <v>583</v>
      </c>
    </row>
    <row r="16" spans="1:3" ht="24.95" customHeight="1" x14ac:dyDescent="0.25">
      <c r="A16" s="66">
        <v>45549</v>
      </c>
      <c r="B16" s="67">
        <v>412</v>
      </c>
      <c r="C16" s="67">
        <v>597</v>
      </c>
    </row>
    <row r="17" spans="1:3" ht="24.95" customHeight="1" x14ac:dyDescent="0.25">
      <c r="A17" s="66">
        <v>45550</v>
      </c>
      <c r="B17" s="67">
        <v>331</v>
      </c>
      <c r="C17" s="67">
        <v>417</v>
      </c>
    </row>
    <row r="18" spans="1:3" ht="24.95" customHeight="1" x14ac:dyDescent="0.25">
      <c r="A18" s="66">
        <v>45551</v>
      </c>
      <c r="B18" s="67">
        <v>378</v>
      </c>
      <c r="C18" s="67">
        <v>483</v>
      </c>
    </row>
    <row r="19" spans="1:3" ht="24.95" customHeight="1" x14ac:dyDescent="0.25">
      <c r="A19" s="66">
        <v>45552</v>
      </c>
      <c r="B19" s="67">
        <v>396</v>
      </c>
      <c r="C19" s="67">
        <v>503</v>
      </c>
    </row>
    <row r="20" spans="1:3" ht="24.95" customHeight="1" x14ac:dyDescent="0.25">
      <c r="A20" s="66">
        <v>45553</v>
      </c>
      <c r="B20" s="67">
        <v>383</v>
      </c>
      <c r="C20" s="67">
        <v>509</v>
      </c>
    </row>
    <row r="21" spans="1:3" ht="24.95" customHeight="1" x14ac:dyDescent="0.25">
      <c r="A21" s="66">
        <v>45554</v>
      </c>
      <c r="B21" s="67">
        <v>384</v>
      </c>
      <c r="C21" s="67">
        <v>530</v>
      </c>
    </row>
    <row r="22" spans="1:3" ht="24.95" customHeight="1" x14ac:dyDescent="0.25">
      <c r="A22" s="66">
        <v>45555</v>
      </c>
      <c r="B22" s="67">
        <v>321</v>
      </c>
      <c r="C22" s="67">
        <v>464</v>
      </c>
    </row>
    <row r="23" spans="1:3" ht="24.95" customHeight="1" x14ac:dyDescent="0.25">
      <c r="A23" s="66">
        <v>45556</v>
      </c>
      <c r="B23" s="67">
        <v>317</v>
      </c>
      <c r="C23" s="67">
        <v>460</v>
      </c>
    </row>
    <row r="24" spans="1:3" ht="24.95" customHeight="1" x14ac:dyDescent="0.25">
      <c r="A24" s="66">
        <v>45557</v>
      </c>
      <c r="B24" s="67">
        <v>415</v>
      </c>
      <c r="C24" s="67">
        <v>559</v>
      </c>
    </row>
    <row r="25" spans="1:3" ht="24.95" customHeight="1" x14ac:dyDescent="0.25">
      <c r="A25" s="66">
        <v>45558</v>
      </c>
      <c r="B25" s="67">
        <v>489</v>
      </c>
      <c r="C25" s="67">
        <v>679</v>
      </c>
    </row>
    <row r="26" spans="1:3" ht="24.95" customHeight="1" x14ac:dyDescent="0.25">
      <c r="A26" s="66">
        <v>45559</v>
      </c>
      <c r="B26" s="67">
        <v>487</v>
      </c>
      <c r="C26" s="67">
        <v>646</v>
      </c>
    </row>
    <row r="27" spans="1:3" ht="24.95" customHeight="1" x14ac:dyDescent="0.25">
      <c r="A27" s="66">
        <v>45560</v>
      </c>
      <c r="B27" s="67">
        <v>479</v>
      </c>
      <c r="C27" s="67">
        <v>635</v>
      </c>
    </row>
    <row r="28" spans="1:3" ht="24.95" customHeight="1" x14ac:dyDescent="0.25">
      <c r="A28" s="66">
        <v>45561</v>
      </c>
      <c r="B28" s="67">
        <v>423</v>
      </c>
      <c r="C28" s="67">
        <v>541</v>
      </c>
    </row>
    <row r="29" spans="1:3" ht="24.95" customHeight="1" x14ac:dyDescent="0.25">
      <c r="A29" s="66">
        <v>45562</v>
      </c>
      <c r="B29" s="67">
        <v>486</v>
      </c>
      <c r="C29" s="67">
        <v>654</v>
      </c>
    </row>
    <row r="30" spans="1:3" ht="24.95" customHeight="1" x14ac:dyDescent="0.25">
      <c r="A30" s="66">
        <v>45563</v>
      </c>
      <c r="B30" s="67">
        <v>477</v>
      </c>
      <c r="C30" s="67">
        <v>681</v>
      </c>
    </row>
    <row r="31" spans="1:3" ht="24.95" customHeight="1" x14ac:dyDescent="0.25">
      <c r="A31" s="66">
        <v>45564</v>
      </c>
      <c r="B31" s="67">
        <v>474</v>
      </c>
      <c r="C31" s="67">
        <v>619</v>
      </c>
    </row>
    <row r="32" spans="1:3" ht="24.95" customHeight="1" x14ac:dyDescent="0.25">
      <c r="A32" s="66">
        <v>45565</v>
      </c>
      <c r="B32" s="67">
        <v>483</v>
      </c>
      <c r="C32" s="67">
        <v>627</v>
      </c>
    </row>
    <row r="33" spans="1:3" ht="24.95" customHeight="1" x14ac:dyDescent="0.25">
      <c r="A33" s="66"/>
      <c r="B33" s="67"/>
      <c r="C33" s="67"/>
    </row>
    <row r="34" spans="1:3" ht="30.75" customHeight="1" x14ac:dyDescent="0.25">
      <c r="A34" s="65" t="s">
        <v>93</v>
      </c>
      <c r="B34" s="68">
        <f>SUM(B3:B33)</f>
        <v>12938</v>
      </c>
      <c r="C34" s="68">
        <f>SUM(C3:C33)</f>
        <v>17121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2025-03-13T12:58:55Z</dcterms:modified>
</cp:coreProperties>
</file>