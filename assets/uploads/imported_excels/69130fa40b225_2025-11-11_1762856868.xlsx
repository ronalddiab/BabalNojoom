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thomas_chacko_babalnojoum_com/Documents/Desktop/"/>
    </mc:Choice>
  </mc:AlternateContent>
  <xr:revisionPtr revIDLastSave="438" documentId="13_ncr:1_{DC04FDF9-4958-45E8-ADF3-EED35EFF3F44}" xr6:coauthVersionLast="47" xr6:coauthVersionMax="47" xr10:uidLastSave="{BD39FBE5-5308-4DB6-A3EF-EA714E707C8D}"/>
  <bookViews>
    <workbookView xWindow="-108" yWindow="-108" windowWidth="23256" windowHeight="13896" tabRatio="783" firstSheet="1" activeTab="1" xr2:uid="{00000000-000D-0000-FFFF-FFFF00000000}"/>
  </bookViews>
  <sheets>
    <sheet name="Total" sheetId="15" r:id="rId1"/>
    <sheet name="BAN - EXT- Extension " sheetId="13" r:id="rId2"/>
    <sheet name="BAN Extension " sheetId="14" r:id="rId3"/>
  </sheets>
  <definedNames>
    <definedName name="_xlnm._FilterDatabase" localSheetId="1" hidden="1">'BAN - EXT- Extension '!$A$1:$G$33</definedName>
    <definedName name="_xlnm.Print_Area" localSheetId="1">'BAN - EXT- Extension '!$A$1:$G$36</definedName>
    <definedName name="_xlnm.Print_Area" localSheetId="2">'BAN Extension '!$C$1:$G$36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3" l="1"/>
  <c r="F37" i="13"/>
  <c r="D36" i="13"/>
  <c r="D37" i="13"/>
  <c r="D36" i="14"/>
  <c r="D3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18" i="13"/>
  <c r="K32" i="15"/>
  <c r="I32" i="15"/>
  <c r="E3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K31" i="15" l="1"/>
  <c r="D35" i="14"/>
  <c r="E31" i="15" s="1"/>
  <c r="K30" i="15"/>
  <c r="D34" i="14"/>
  <c r="E30" i="15" s="1"/>
  <c r="K29" i="15"/>
  <c r="D33" i="14"/>
  <c r="E29" i="15" s="1"/>
  <c r="K28" i="15"/>
  <c r="D32" i="14"/>
  <c r="E28" i="15" s="1"/>
  <c r="K27" i="15"/>
  <c r="D31" i="14"/>
  <c r="E27" i="15" s="1"/>
  <c r="K26" i="15"/>
  <c r="D30" i="14"/>
  <c r="E26" i="15" s="1"/>
  <c r="K25" i="15"/>
  <c r="D29" i="14"/>
  <c r="E25" i="15" s="1"/>
  <c r="K24" i="15"/>
  <c r="D28" i="14"/>
  <c r="E24" i="15" s="1"/>
  <c r="K23" i="15"/>
  <c r="D27" i="14"/>
  <c r="E23" i="15" s="1"/>
  <c r="K22" i="15"/>
  <c r="D26" i="14"/>
  <c r="E22" i="15" s="1"/>
  <c r="K21" i="15"/>
  <c r="D25" i="14"/>
  <c r="E21" i="15" s="1"/>
  <c r="K20" i="15"/>
  <c r="D24" i="14"/>
  <c r="E20" i="15" s="1"/>
  <c r="K19" i="15"/>
  <c r="D23" i="14"/>
  <c r="E19" i="15" s="1"/>
  <c r="K18" i="15"/>
  <c r="D22" i="14"/>
  <c r="E18" i="15" s="1"/>
  <c r="K17" i="15"/>
  <c r="D21" i="14"/>
  <c r="E17" i="15" s="1"/>
  <c r="K16" i="15"/>
  <c r="D20" i="14"/>
  <c r="E16" i="15" s="1"/>
  <c r="K15" i="15"/>
  <c r="D19" i="14"/>
  <c r="E15" i="15" s="1"/>
  <c r="K14" i="15"/>
  <c r="D18" i="14"/>
  <c r="E14" i="15" s="1"/>
  <c r="F17" i="14"/>
  <c r="K13" i="15" s="1"/>
  <c r="D17" i="14"/>
  <c r="E13" i="15" s="1"/>
  <c r="F16" i="14"/>
  <c r="K12" i="15" s="1"/>
  <c r="D16" i="14"/>
  <c r="E12" i="15" s="1"/>
  <c r="F15" i="14"/>
  <c r="K11" i="15" s="1"/>
  <c r="D15" i="14"/>
  <c r="E11" i="15" s="1"/>
  <c r="F14" i="14"/>
  <c r="K10" i="15" s="1"/>
  <c r="D14" i="14"/>
  <c r="E10" i="15" s="1"/>
  <c r="F13" i="14"/>
  <c r="K9" i="15" s="1"/>
  <c r="D13" i="14"/>
  <c r="E9" i="15" s="1"/>
  <c r="F12" i="14"/>
  <c r="K8" i="15" s="1"/>
  <c r="D12" i="14"/>
  <c r="E8" i="15" s="1"/>
  <c r="F11" i="14"/>
  <c r="K7" i="15" s="1"/>
  <c r="D11" i="14"/>
  <c r="E7" i="15" s="1"/>
  <c r="F10" i="14"/>
  <c r="K6" i="15" s="1"/>
  <c r="D10" i="14"/>
  <c r="E6" i="15" s="1"/>
  <c r="F9" i="14"/>
  <c r="K5" i="15" s="1"/>
  <c r="D9" i="14"/>
  <c r="E5" i="15" s="1"/>
  <c r="F8" i="14"/>
  <c r="K4" i="15" s="1"/>
  <c r="D8" i="14"/>
  <c r="E4" i="15" s="1"/>
  <c r="F7" i="14"/>
  <c r="K3" i="15" s="1"/>
  <c r="D7" i="14"/>
  <c r="E3" i="15" s="1"/>
  <c r="F6" i="14"/>
  <c r="K2" i="15" s="1"/>
  <c r="D6" i="14"/>
  <c r="E2" i="15" s="1"/>
  <c r="F35" i="13"/>
  <c r="D35" i="13"/>
  <c r="F34" i="13"/>
  <c r="D34" i="13"/>
  <c r="I30" i="15" s="1"/>
  <c r="F33" i="13"/>
  <c r="D33" i="13"/>
  <c r="I29" i="15" s="1"/>
  <c r="F32" i="13"/>
  <c r="D32" i="13"/>
  <c r="I28" i="15" s="1"/>
  <c r="F31" i="13"/>
  <c r="D31" i="13"/>
  <c r="I27" i="15" s="1"/>
  <c r="F30" i="13"/>
  <c r="D30" i="13"/>
  <c r="F29" i="13"/>
  <c r="D29" i="13"/>
  <c r="I25" i="15" s="1"/>
  <c r="F28" i="13"/>
  <c r="D28" i="13"/>
  <c r="I24" i="15" s="1"/>
  <c r="F27" i="13"/>
  <c r="D27" i="13"/>
  <c r="F26" i="13"/>
  <c r="D26" i="13"/>
  <c r="I22" i="15" s="1"/>
  <c r="F25" i="13"/>
  <c r="D25" i="13"/>
  <c r="I21" i="15" s="1"/>
  <c r="F24" i="13"/>
  <c r="D24" i="13"/>
  <c r="I20" i="15" s="1"/>
  <c r="F23" i="13"/>
  <c r="D23" i="13"/>
  <c r="F22" i="13"/>
  <c r="D22" i="13"/>
  <c r="I18" i="15" s="1"/>
  <c r="F21" i="13"/>
  <c r="D21" i="13"/>
  <c r="I17" i="15" s="1"/>
  <c r="F20" i="13"/>
  <c r="D20" i="13"/>
  <c r="I16" i="15" s="1"/>
  <c r="F19" i="13"/>
  <c r="D19" i="13"/>
  <c r="I15" i="15" s="1"/>
  <c r="D18" i="13"/>
  <c r="I14" i="15" s="1"/>
  <c r="F17" i="13"/>
  <c r="D17" i="13"/>
  <c r="I13" i="15" s="1"/>
  <c r="F16" i="13"/>
  <c r="D16" i="13"/>
  <c r="F15" i="13"/>
  <c r="D15" i="13"/>
  <c r="I11" i="15" s="1"/>
  <c r="F14" i="13"/>
  <c r="D14" i="13"/>
  <c r="I10" i="15" s="1"/>
  <c r="F13" i="13"/>
  <c r="D13" i="13"/>
  <c r="I9" i="15" s="1"/>
  <c r="F12" i="13"/>
  <c r="D12" i="13"/>
  <c r="I8" i="15" s="1"/>
  <c r="F11" i="13"/>
  <c r="D11" i="13"/>
  <c r="I7" i="15" s="1"/>
  <c r="F10" i="13"/>
  <c r="D10" i="13"/>
  <c r="I6" i="15" s="1"/>
  <c r="F9" i="13"/>
  <c r="D9" i="13"/>
  <c r="F8" i="13"/>
  <c r="D8" i="13"/>
  <c r="I4" i="15" s="1"/>
  <c r="F7" i="13"/>
  <c r="D7" i="13"/>
  <c r="I3" i="15" s="1"/>
  <c r="F6" i="13"/>
  <c r="D6" i="13"/>
  <c r="I2" i="15" s="1"/>
  <c r="I31" i="15" l="1"/>
  <c r="I23" i="15"/>
  <c r="I5" i="15"/>
  <c r="I12" i="15"/>
  <c r="I19" i="15"/>
  <c r="I26" i="15"/>
</calcChain>
</file>

<file path=xl/sharedStrings.xml><?xml version="1.0" encoding="utf-8"?>
<sst xmlns="http://schemas.openxmlformats.org/spreadsheetml/2006/main" count="83" uniqueCount="41">
  <si>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</si>
  <si>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</si>
  <si>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</si>
  <si>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</si>
  <si>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</si>
  <si>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</si>
  <si>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</si>
  <si>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</si>
  <si>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</si>
  <si>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</si>
  <si>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</si>
  <si>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</si>
  <si>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</si>
  <si>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</si>
  <si>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Hudayriat</t>
  </si>
  <si>
    <t>WATER METER READINGS</t>
  </si>
  <si>
    <t>TYPE</t>
  </si>
  <si>
    <t>Time</t>
  </si>
  <si>
    <t>DOMESTIC</t>
  </si>
  <si>
    <t>FM ID</t>
  </si>
  <si>
    <t>Signature</t>
  </si>
  <si>
    <t>METER NUMBER</t>
  </si>
  <si>
    <t>BAN PARKING</t>
  </si>
  <si>
    <t>VIP GATE</t>
  </si>
  <si>
    <t>DATE</t>
  </si>
  <si>
    <t>Portable water Main meter</t>
  </si>
  <si>
    <t>consumption water Daily  use</t>
  </si>
  <si>
    <t>Portable water BAN Extension  meter</t>
  </si>
  <si>
    <r>
      <rPr>
        <b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Times New Roman"/>
        <family val="1"/>
      </rPr>
      <t>³</t>
    </r>
  </si>
  <si>
    <t>`</t>
  </si>
  <si>
    <t>BAN EXTENTION - ELECTRIC METER</t>
  </si>
  <si>
    <t>consumption electricity daily use</t>
  </si>
  <si>
    <t>IRRIGATION WATER METER - BAN EXTENSION</t>
  </si>
  <si>
    <t xml:space="preserve">consumption Irrigation Daily use m3  </t>
  </si>
  <si>
    <t>FM No</t>
  </si>
  <si>
    <t>Meter</t>
  </si>
  <si>
    <t>I5T22D000453</t>
  </si>
  <si>
    <t>Electricity (kWH)</t>
  </si>
  <si>
    <t>Irrigation water (m3)</t>
  </si>
  <si>
    <t>KWH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</si>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</sst>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0" xfId="0" applyFont="1"/>
    <xf numFmtId="2" fontId="3" fillId="2" borderId="3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2" fontId="8" fillId="0" borderId="8" xfId="1" applyNumberFormat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" fontId="1" fillId="0" borderId="0" xfId="1" applyNumberFormat="1" applyAlignment="1">
      <alignment horizontal="center"/>
    </xf>
    <xf numFmtId="2" fontId="7" fillId="0" borderId="0" xfId="1" applyNumberFormat="1" applyFont="1" applyAlignment="1">
      <alignment horizontal="center"/>
    </xf>
    <xf numFmtId="0" fontId="1" fillId="0" borderId="0" xfId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/>
    <xf numFmtId="0" fontId="1" fillId="0" borderId="0" xfId="1"/>
    <xf numFmtId="1" fontId="1" fillId="4" borderId="0" xfId="1" applyNumberFormat="1" applyFill="1" applyAlignment="1">
      <alignment horizont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90382A63-7AC8-4281-9766-47312AFB99D1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WATER CONSUMPTION DOMESTIC</a:t>
            </a:r>
            <a:endPara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'BAN - EXT- Extension '!$A$6:$A$36</c:f>
              <c:numCache>
                <c:formatCode>[$-409]d\-mmm\-yyyy;@</c:formatCode>
                <c:ptCount val="31"/>
                <c:pt idx="0">
                  <c:v>45930</c:v>
                </c:pt>
                <c:pt idx="1">
                  <c:v>45931</c:v>
                </c:pt>
                <c:pt idx="2">
                  <c:v>45932</c:v>
                </c:pt>
                <c:pt idx="3">
                  <c:v>45933</c:v>
                </c:pt>
                <c:pt idx="4">
                  <c:v>45934</c:v>
                </c:pt>
                <c:pt idx="5">
                  <c:v>45935</c:v>
                </c:pt>
                <c:pt idx="6">
                  <c:v>45936</c:v>
                </c:pt>
                <c:pt idx="7">
                  <c:v>45937</c:v>
                </c:pt>
                <c:pt idx="8">
                  <c:v>45938</c:v>
                </c:pt>
                <c:pt idx="9">
                  <c:v>45939</c:v>
                </c:pt>
                <c:pt idx="10">
                  <c:v>45940</c:v>
                </c:pt>
                <c:pt idx="11">
                  <c:v>45941</c:v>
                </c:pt>
                <c:pt idx="12">
                  <c:v>45942</c:v>
                </c:pt>
                <c:pt idx="13">
                  <c:v>45943</c:v>
                </c:pt>
                <c:pt idx="14">
                  <c:v>45944</c:v>
                </c:pt>
                <c:pt idx="15">
                  <c:v>45945</c:v>
                </c:pt>
                <c:pt idx="16">
                  <c:v>45946</c:v>
                </c:pt>
                <c:pt idx="17">
                  <c:v>45947</c:v>
                </c:pt>
                <c:pt idx="18">
                  <c:v>45948</c:v>
                </c:pt>
                <c:pt idx="19">
                  <c:v>45949</c:v>
                </c:pt>
                <c:pt idx="20">
                  <c:v>45950</c:v>
                </c:pt>
                <c:pt idx="21">
                  <c:v>45951</c:v>
                </c:pt>
                <c:pt idx="22">
                  <c:v>45952</c:v>
                </c:pt>
                <c:pt idx="23">
                  <c:v>45953</c:v>
                </c:pt>
                <c:pt idx="24">
                  <c:v>45954</c:v>
                </c:pt>
                <c:pt idx="25">
                  <c:v>45955</c:v>
                </c:pt>
                <c:pt idx="26">
                  <c:v>45956</c:v>
                </c:pt>
                <c:pt idx="27">
                  <c:v>45957</c:v>
                </c:pt>
                <c:pt idx="28">
                  <c:v>45958</c:v>
                </c:pt>
                <c:pt idx="29">
                  <c:v>45959</c:v>
                </c:pt>
                <c:pt idx="30">
                  <c:v>45960</c:v>
                </c:pt>
              </c:numCache>
            </c:numRef>
          </c:cat>
          <c:val>
            <c:numRef>
              <c:f>'BAN - EXT- Extension '!$D$6:$D$36</c:f>
              <c:numCache>
                <c:formatCode>0</c:formatCode>
                <c:ptCount val="31"/>
                <c:pt idx="0">
                  <c:v>100</c:v>
                </c:pt>
                <c:pt idx="1">
                  <c:v>103</c:v>
                </c:pt>
                <c:pt idx="2">
                  <c:v>115</c:v>
                </c:pt>
                <c:pt idx="3">
                  <c:v>121</c:v>
                </c:pt>
                <c:pt idx="4">
                  <c:v>112</c:v>
                </c:pt>
                <c:pt idx="5">
                  <c:v>133</c:v>
                </c:pt>
                <c:pt idx="6">
                  <c:v>129</c:v>
                </c:pt>
                <c:pt idx="7">
                  <c:v>101</c:v>
                </c:pt>
                <c:pt idx="8">
                  <c:v>129</c:v>
                </c:pt>
                <c:pt idx="9">
                  <c:v>174</c:v>
                </c:pt>
                <c:pt idx="10">
                  <c:v>147</c:v>
                </c:pt>
                <c:pt idx="11">
                  <c:v>166</c:v>
                </c:pt>
                <c:pt idx="12">
                  <c:v>158</c:v>
                </c:pt>
                <c:pt idx="13">
                  <c:v>163</c:v>
                </c:pt>
                <c:pt idx="14">
                  <c:v>159</c:v>
                </c:pt>
                <c:pt idx="15">
                  <c:v>164</c:v>
                </c:pt>
                <c:pt idx="16">
                  <c:v>182</c:v>
                </c:pt>
                <c:pt idx="17">
                  <c:v>177</c:v>
                </c:pt>
                <c:pt idx="18">
                  <c:v>182</c:v>
                </c:pt>
                <c:pt idx="19">
                  <c:v>176</c:v>
                </c:pt>
                <c:pt idx="20">
                  <c:v>175</c:v>
                </c:pt>
                <c:pt idx="21">
                  <c:v>192</c:v>
                </c:pt>
                <c:pt idx="22">
                  <c:v>188</c:v>
                </c:pt>
                <c:pt idx="23">
                  <c:v>220</c:v>
                </c:pt>
                <c:pt idx="24">
                  <c:v>232</c:v>
                </c:pt>
                <c:pt idx="25">
                  <c:v>220</c:v>
                </c:pt>
                <c:pt idx="26">
                  <c:v>208</c:v>
                </c:pt>
                <c:pt idx="27">
                  <c:v>209</c:v>
                </c:pt>
                <c:pt idx="28">
                  <c:v>322</c:v>
                </c:pt>
                <c:pt idx="29">
                  <c:v>284</c:v>
                </c:pt>
                <c:pt idx="30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1-4B1B-8882-372E4BA71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088112"/>
        <c:axId val="1159882992"/>
      </c:barChart>
      <c:dateAx>
        <c:axId val="193088112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82992"/>
        <c:crosses val="autoZero"/>
        <c:auto val="1"/>
        <c:lblOffset val="100"/>
        <c:baseTimeUnit val="days"/>
      </c:dateAx>
      <c:valAx>
        <c:axId val="1159882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1dc797-bde9-478d-abae-071d754ea2e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BAN EXT</a:t>
            </a:r>
            <a:r>
              <a:rPr lang="en-US" baseline="0"/>
              <a:t> - Main Meter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F6C-4B82-B1D5-1D1BBFC9E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0410544"/>
        <c:axId val="1540407632"/>
      </c:bar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2153fe-064c-4bab-b879-1ee5b7340f0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BAN Extention - Main Meter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8188613983279202"/>
          <c:y val="1.10593150051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en-US"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'!$D$6:$D$36</c:f>
              <c:numCache>
                <c:formatCode>General</c:formatCode>
                <c:ptCount val="31"/>
                <c:pt idx="0">
                  <c:v>7508</c:v>
                </c:pt>
                <c:pt idx="1">
                  <c:v>6930</c:v>
                </c:pt>
                <c:pt idx="2">
                  <c:v>7205</c:v>
                </c:pt>
                <c:pt idx="3">
                  <c:v>7178</c:v>
                </c:pt>
                <c:pt idx="4">
                  <c:v>5745</c:v>
                </c:pt>
                <c:pt idx="5">
                  <c:v>7338</c:v>
                </c:pt>
                <c:pt idx="6">
                  <c:v>6330</c:v>
                </c:pt>
                <c:pt idx="7">
                  <c:v>6443</c:v>
                </c:pt>
                <c:pt idx="8">
                  <c:v>5376</c:v>
                </c:pt>
                <c:pt idx="9">
                  <c:v>7106</c:v>
                </c:pt>
                <c:pt idx="10">
                  <c:v>6026</c:v>
                </c:pt>
                <c:pt idx="11">
                  <c:v>6221</c:v>
                </c:pt>
                <c:pt idx="12">
                  <c:v>5628</c:v>
                </c:pt>
                <c:pt idx="13">
                  <c:v>6146</c:v>
                </c:pt>
                <c:pt idx="14">
                  <c:v>6074</c:v>
                </c:pt>
                <c:pt idx="15">
                  <c:v>5757</c:v>
                </c:pt>
                <c:pt idx="16">
                  <c:v>5828</c:v>
                </c:pt>
                <c:pt idx="17">
                  <c:v>5747</c:v>
                </c:pt>
                <c:pt idx="18">
                  <c:v>5836</c:v>
                </c:pt>
                <c:pt idx="19">
                  <c:v>5507</c:v>
                </c:pt>
                <c:pt idx="20">
                  <c:v>5715</c:v>
                </c:pt>
                <c:pt idx="21">
                  <c:v>5614</c:v>
                </c:pt>
                <c:pt idx="22">
                  <c:v>6023</c:v>
                </c:pt>
                <c:pt idx="23">
                  <c:v>5759</c:v>
                </c:pt>
                <c:pt idx="24">
                  <c:v>5517</c:v>
                </c:pt>
                <c:pt idx="25">
                  <c:v>5345</c:v>
                </c:pt>
                <c:pt idx="26">
                  <c:v>4907</c:v>
                </c:pt>
                <c:pt idx="27">
                  <c:v>5350</c:v>
                </c:pt>
                <c:pt idx="28">
                  <c:v>6066</c:v>
                </c:pt>
                <c:pt idx="29">
                  <c:v>7864</c:v>
                </c:pt>
                <c:pt idx="30">
                  <c:v>6539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426-4D22-9126-67BB942116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5889040"/>
        <c:axId val="1775889456"/>
      </c:bar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913a6-cd9a-4d1f-8bd6-7b15c5e367f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IRRIGATION Pump - 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'!$F$6:$F$36</c:f>
              <c:numCache>
                <c:formatCode>General</c:formatCode>
                <c:ptCount val="31"/>
                <c:pt idx="0">
                  <c:v>140</c:v>
                </c:pt>
                <c:pt idx="1">
                  <c:v>163</c:v>
                </c:pt>
                <c:pt idx="2">
                  <c:v>223</c:v>
                </c:pt>
                <c:pt idx="3">
                  <c:v>142</c:v>
                </c:pt>
                <c:pt idx="4">
                  <c:v>180</c:v>
                </c:pt>
                <c:pt idx="5">
                  <c:v>142</c:v>
                </c:pt>
                <c:pt idx="6">
                  <c:v>198</c:v>
                </c:pt>
                <c:pt idx="7">
                  <c:v>148</c:v>
                </c:pt>
                <c:pt idx="8">
                  <c:v>147</c:v>
                </c:pt>
                <c:pt idx="9">
                  <c:v>157</c:v>
                </c:pt>
                <c:pt idx="10">
                  <c:v>182</c:v>
                </c:pt>
                <c:pt idx="11">
                  <c:v>150</c:v>
                </c:pt>
                <c:pt idx="12">
                  <c:v>158</c:v>
                </c:pt>
                <c:pt idx="13">
                  <c:v>166</c:v>
                </c:pt>
                <c:pt idx="14">
                  <c:v>159</c:v>
                </c:pt>
                <c:pt idx="15">
                  <c:v>165</c:v>
                </c:pt>
                <c:pt idx="16">
                  <c:v>160</c:v>
                </c:pt>
                <c:pt idx="17">
                  <c:v>161</c:v>
                </c:pt>
                <c:pt idx="18">
                  <c:v>165</c:v>
                </c:pt>
                <c:pt idx="19">
                  <c:v>107</c:v>
                </c:pt>
                <c:pt idx="20">
                  <c:v>175</c:v>
                </c:pt>
                <c:pt idx="21">
                  <c:v>127</c:v>
                </c:pt>
                <c:pt idx="22">
                  <c:v>147</c:v>
                </c:pt>
                <c:pt idx="23">
                  <c:v>150</c:v>
                </c:pt>
                <c:pt idx="24">
                  <c:v>167</c:v>
                </c:pt>
                <c:pt idx="25">
                  <c:v>157</c:v>
                </c:pt>
                <c:pt idx="26">
                  <c:v>161</c:v>
                </c:pt>
                <c:pt idx="27">
                  <c:v>164</c:v>
                </c:pt>
                <c:pt idx="28">
                  <c:v>299</c:v>
                </c:pt>
                <c:pt idx="29">
                  <c:v>131</c:v>
                </c:pt>
                <c:pt idx="30">
                  <c:v>216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B9D-499F-8262-B1F8D202D1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9474160"/>
        <c:axId val="1346893408"/>
      </c:bar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a70bc3-e323-4142-9009-f5eb6b38b4a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478800</xdr:colOff>
      <xdr:row>7</xdr:row>
      <xdr:rowOff>358889</xdr:rowOff>
    </xdr:from>
    <xdr:to>
      <xdr:col>35</xdr:col>
      <xdr:colOff>127566</xdr:colOff>
      <xdr:row>19</xdr:row>
      <xdr:rowOff>318068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738187</xdr:colOff>
      <xdr:row>0</xdr:row>
      <xdr:rowOff>619125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807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550407</xdr:colOff>
      <xdr:row>5</xdr:row>
      <xdr:rowOff>149678</xdr:rowOff>
    </xdr:from>
    <xdr:to>
      <xdr:col>24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530998</xdr:colOff>
      <xdr:row>14</xdr:row>
      <xdr:rowOff>176891</xdr:rowOff>
    </xdr:from>
    <xdr:to>
      <xdr:col>24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550689</xdr:colOff>
      <xdr:row>23</xdr:row>
      <xdr:rowOff>248929</xdr:rowOff>
    </xdr:from>
    <xdr:to>
      <xdr:col>24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0</xdr:row>
      <xdr:rowOff>47400</xdr:rowOff>
    </xdr:from>
    <xdr:to>
      <xdr:col>3</xdr:col>
      <xdr:colOff>312810</xdr:colOff>
      <xdr:row>0</xdr:row>
      <xdr:rowOff>666525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46990"/>
          <a:ext cx="233172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E6B5-99BD-4096-8F6E-08BEE1310857}">
  <dimension ref="A1:Z33"/>
  <sheetViews>
    <sheetView topLeftCell="A15" workbookViewId="0">
      <selection activeCell="G41" sqref="G40:G41"/>
    </sheetView>
  </sheetViews>
  <sheetFormatPr defaultColWidth="11.5" defaultRowHeight="14.45"/>
  <cols>
    <col min="1" max="1" width="29.125" style="32" bestFit="1" customWidth="1"/>
    <col min="2" max="3" width="11.5" style="27"/>
    <col min="4" max="4" width="13.5" style="27" customWidth="1"/>
    <col min="5" max="5" width="12.5" style="30" customWidth="1"/>
    <col min="6" max="6" width="12.5" style="29" customWidth="1"/>
    <col min="7" max="7" width="11.5" style="30"/>
    <col min="8" max="8" width="11.5" style="29"/>
    <col min="9" max="9" width="11.5" style="30"/>
    <col min="10" max="10" width="11.5" style="31"/>
    <col min="11" max="11" width="11.5" style="30"/>
    <col min="12" max="12" width="11.5" style="31"/>
    <col min="13" max="26" width="11.5" style="30"/>
    <col min="27" max="16384" width="11.5" style="33"/>
  </cols>
  <sheetData>
    <row r="1" spans="1:14" s="25" customFormat="1" ht="43.15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2" t="s">
        <v>6</v>
      </c>
      <c r="H1" s="23" t="s">
        <v>7</v>
      </c>
      <c r="I1" s="22" t="s">
        <v>8</v>
      </c>
      <c r="J1" s="24" t="s">
        <v>9</v>
      </c>
      <c r="K1" s="22" t="s">
        <v>10</v>
      </c>
      <c r="L1" s="24" t="s">
        <v>11</v>
      </c>
      <c r="M1" s="22" t="s">
        <v>12</v>
      </c>
      <c r="N1" s="22" t="s">
        <v>13</v>
      </c>
    </row>
    <row r="2" spans="1:14">
      <c r="A2" s="26" t="s">
        <v>14</v>
      </c>
      <c r="B2" s="27">
        <v>1</v>
      </c>
      <c r="C2" s="27">
        <v>10</v>
      </c>
      <c r="D2" s="27">
        <v>2025</v>
      </c>
      <c r="E2" s="28">
        <f>IF('BAN Extension '!D6&gt;0,'BAN Extension '!D6,0)</f>
        <v>7508</v>
      </c>
      <c r="F2" s="29">
        <v>0.2</v>
      </c>
      <c r="G2" s="28"/>
      <c r="H2" s="29">
        <v>5.42</v>
      </c>
      <c r="I2" s="28">
        <f>IF('BAN - EXT- Extension '!D6+'BAN - EXT- Extension '!F6&gt;0,'BAN - EXT- Extension '!D6+'BAN - EXT- Extension '!F6,0)</f>
        <v>381</v>
      </c>
      <c r="J2" s="29">
        <v>7.84</v>
      </c>
      <c r="K2" s="28">
        <f>IF('BAN Extension '!F6&gt;0,'BAN Extension '!F6,0)</f>
        <v>140</v>
      </c>
      <c r="L2" s="29">
        <v>7.84</v>
      </c>
      <c r="M2" s="34">
        <v>29</v>
      </c>
      <c r="N2" s="34">
        <v>66</v>
      </c>
    </row>
    <row r="3" spans="1:14">
      <c r="A3" s="26" t="s">
        <v>14</v>
      </c>
      <c r="B3" s="27">
        <f>B2+1</f>
        <v>2</v>
      </c>
      <c r="C3" s="27">
        <v>10</v>
      </c>
      <c r="D3" s="27">
        <v>2025</v>
      </c>
      <c r="E3" s="28">
        <f>IF('BAN Extension '!D7&gt;0,'BAN Extension '!D7,0)</f>
        <v>6930</v>
      </c>
      <c r="F3" s="29">
        <v>0.2</v>
      </c>
      <c r="G3" s="28"/>
      <c r="H3" s="29">
        <v>5.42</v>
      </c>
      <c r="I3" s="28">
        <f>IF('BAN - EXT- Extension '!D7+'BAN - EXT- Extension '!F7&gt;0,'BAN - EXT- Extension '!D7+'BAN - EXT- Extension '!F7,0)</f>
        <v>571</v>
      </c>
      <c r="J3" s="29">
        <v>7.84</v>
      </c>
      <c r="K3" s="28">
        <f>IF('BAN Extension '!F7&gt;0,'BAN Extension '!F7,0)</f>
        <v>163</v>
      </c>
      <c r="L3" s="29">
        <v>7.84</v>
      </c>
      <c r="M3" s="34">
        <v>25</v>
      </c>
      <c r="N3" s="34">
        <v>56</v>
      </c>
    </row>
    <row r="4" spans="1:14">
      <c r="A4" s="26" t="s">
        <v>14</v>
      </c>
      <c r="B4" s="27">
        <f t="shared" ref="B4:B32" si="0">B3+1</f>
        <v>3</v>
      </c>
      <c r="C4" s="27">
        <v>10</v>
      </c>
      <c r="D4" s="27">
        <v>2025</v>
      </c>
      <c r="E4" s="28">
        <f>IF('BAN Extension '!D8&gt;0,'BAN Extension '!D8,0)</f>
        <v>7205</v>
      </c>
      <c r="F4" s="29">
        <v>0.2</v>
      </c>
      <c r="G4" s="28"/>
      <c r="H4" s="29">
        <v>5.42</v>
      </c>
      <c r="I4" s="28">
        <f>IF('BAN - EXT- Extension '!D8+'BAN - EXT- Extension '!F8&gt;0,'BAN - EXT- Extension '!D8+'BAN - EXT- Extension '!F8,0)</f>
        <v>581</v>
      </c>
      <c r="J4" s="29">
        <v>7.84</v>
      </c>
      <c r="K4" s="28">
        <f>IF('BAN Extension '!F8&gt;0,'BAN Extension '!F8,0)</f>
        <v>223</v>
      </c>
      <c r="L4" s="29">
        <v>7.84</v>
      </c>
      <c r="M4" s="34">
        <v>33</v>
      </c>
      <c r="N4" s="34">
        <v>87</v>
      </c>
    </row>
    <row r="5" spans="1:14">
      <c r="A5" s="26" t="s">
        <v>14</v>
      </c>
      <c r="B5" s="27">
        <f t="shared" si="0"/>
        <v>4</v>
      </c>
      <c r="C5" s="27">
        <v>10</v>
      </c>
      <c r="D5" s="27">
        <v>2025</v>
      </c>
      <c r="E5" s="28">
        <f>IF('BAN Extension '!D9&gt;0,'BAN Extension '!D9,0)</f>
        <v>7178</v>
      </c>
      <c r="F5" s="29">
        <v>0.2</v>
      </c>
      <c r="G5" s="28"/>
      <c r="H5" s="29">
        <v>5.42</v>
      </c>
      <c r="I5" s="28">
        <f>IF('BAN - EXT- Extension '!D9+'BAN - EXT- Extension '!F9&gt;0,'BAN - EXT- Extension '!D9+'BAN - EXT- Extension '!F9,0)</f>
        <v>490</v>
      </c>
      <c r="J5" s="29">
        <v>7.84</v>
      </c>
      <c r="K5" s="28">
        <f>IF('BAN Extension '!F9&gt;0,'BAN Extension '!F9,0)</f>
        <v>142</v>
      </c>
      <c r="L5" s="29">
        <v>7.84</v>
      </c>
      <c r="M5" s="34">
        <v>40</v>
      </c>
      <c r="N5" s="34">
        <v>116</v>
      </c>
    </row>
    <row r="6" spans="1:14">
      <c r="A6" s="26" t="s">
        <v>14</v>
      </c>
      <c r="B6" s="27">
        <f t="shared" si="0"/>
        <v>5</v>
      </c>
      <c r="C6" s="27">
        <v>10</v>
      </c>
      <c r="D6" s="27">
        <v>2025</v>
      </c>
      <c r="E6" s="28">
        <f>IF('BAN Extension '!D10&gt;0,'BAN Extension '!D10,0)</f>
        <v>5745</v>
      </c>
      <c r="F6" s="29">
        <v>0.2</v>
      </c>
      <c r="G6" s="28"/>
      <c r="H6" s="29">
        <v>5.42</v>
      </c>
      <c r="I6" s="28">
        <f>IF('BAN - EXT- Extension '!D10+'BAN - EXT- Extension '!F10&gt;0,'BAN - EXT- Extension '!D10+'BAN - EXT- Extension '!F10,0)</f>
        <v>520</v>
      </c>
      <c r="J6" s="29">
        <v>7.84</v>
      </c>
      <c r="K6" s="28">
        <f>IF('BAN Extension '!F10&gt;0,'BAN Extension '!F10,0)</f>
        <v>180</v>
      </c>
      <c r="L6" s="29">
        <v>7.84</v>
      </c>
      <c r="M6" s="34">
        <v>24</v>
      </c>
      <c r="N6" s="34">
        <v>54</v>
      </c>
    </row>
    <row r="7" spans="1:14">
      <c r="A7" s="26" t="s">
        <v>14</v>
      </c>
      <c r="B7" s="27">
        <f t="shared" si="0"/>
        <v>6</v>
      </c>
      <c r="C7" s="27">
        <v>10</v>
      </c>
      <c r="D7" s="27">
        <v>2025</v>
      </c>
      <c r="E7" s="28">
        <f>IF('BAN Extension '!D11&gt;0,'BAN Extension '!D11,0)</f>
        <v>7338</v>
      </c>
      <c r="F7" s="29">
        <v>0.2</v>
      </c>
      <c r="G7" s="28"/>
      <c r="H7" s="29">
        <v>5.42</v>
      </c>
      <c r="I7" s="28">
        <f>IF('BAN - EXT- Extension '!D11+'BAN - EXT- Extension '!F11&gt;0,'BAN - EXT- Extension '!D11+'BAN - EXT- Extension '!F11,0)</f>
        <v>591</v>
      </c>
      <c r="J7" s="29">
        <v>7.84</v>
      </c>
      <c r="K7" s="28">
        <f>IF('BAN Extension '!F11&gt;0,'BAN Extension '!F11,0)</f>
        <v>142</v>
      </c>
      <c r="L7" s="29">
        <v>7.84</v>
      </c>
      <c r="M7" s="34">
        <v>22</v>
      </c>
      <c r="N7" s="34">
        <v>50</v>
      </c>
    </row>
    <row r="8" spans="1:14">
      <c r="A8" s="26" t="s">
        <v>14</v>
      </c>
      <c r="B8" s="27">
        <f t="shared" si="0"/>
        <v>7</v>
      </c>
      <c r="C8" s="27">
        <v>10</v>
      </c>
      <c r="D8" s="27">
        <v>2025</v>
      </c>
      <c r="E8" s="28">
        <f>IF('BAN Extension '!D12&gt;0,'BAN Extension '!D12,0)</f>
        <v>6330</v>
      </c>
      <c r="F8" s="29">
        <v>0.2</v>
      </c>
      <c r="G8" s="28"/>
      <c r="H8" s="29">
        <v>5.42</v>
      </c>
      <c r="I8" s="28">
        <f>IF('BAN - EXT- Extension '!D12+'BAN - EXT- Extension '!F12&gt;0,'BAN - EXT- Extension '!D12+'BAN - EXT- Extension '!F12,0)</f>
        <v>534</v>
      </c>
      <c r="J8" s="29">
        <v>7.84</v>
      </c>
      <c r="K8" s="28">
        <f>IF('BAN Extension '!F12&gt;0,'BAN Extension '!F12,0)</f>
        <v>198</v>
      </c>
      <c r="L8" s="29">
        <v>7.84</v>
      </c>
      <c r="M8" s="34">
        <v>25</v>
      </c>
      <c r="N8" s="34">
        <v>56</v>
      </c>
    </row>
    <row r="9" spans="1:14">
      <c r="A9" s="26" t="s">
        <v>14</v>
      </c>
      <c r="B9" s="27">
        <f t="shared" si="0"/>
        <v>8</v>
      </c>
      <c r="C9" s="27">
        <v>10</v>
      </c>
      <c r="D9" s="27">
        <v>2025</v>
      </c>
      <c r="E9" s="28">
        <f>IF('BAN Extension '!D13&gt;0,'BAN Extension '!D13,0)</f>
        <v>6443</v>
      </c>
      <c r="F9" s="29">
        <v>0.2</v>
      </c>
      <c r="G9" s="28"/>
      <c r="H9" s="29">
        <v>5.42</v>
      </c>
      <c r="I9" s="28">
        <f>IF('BAN - EXT- Extension '!D13+'BAN - EXT- Extension '!F13&gt;0,'BAN - EXT- Extension '!D13+'BAN - EXT- Extension '!F13,0)</f>
        <v>352</v>
      </c>
      <c r="J9" s="29">
        <v>7.84</v>
      </c>
      <c r="K9" s="28">
        <f>IF('BAN Extension '!F13&gt;0,'BAN Extension '!F13,0)</f>
        <v>148</v>
      </c>
      <c r="L9" s="29">
        <v>7.84</v>
      </c>
      <c r="M9" s="34">
        <v>21</v>
      </c>
      <c r="N9" s="34">
        <v>49</v>
      </c>
    </row>
    <row r="10" spans="1:14">
      <c r="A10" s="26" t="s">
        <v>14</v>
      </c>
      <c r="B10" s="27">
        <f t="shared" si="0"/>
        <v>9</v>
      </c>
      <c r="C10" s="27">
        <v>10</v>
      </c>
      <c r="D10" s="27">
        <v>2025</v>
      </c>
      <c r="E10" s="28">
        <f>IF('BAN Extension '!D14&gt;0,'BAN Extension '!D14,0)</f>
        <v>5376</v>
      </c>
      <c r="F10" s="29">
        <v>0.2</v>
      </c>
      <c r="G10" s="28"/>
      <c r="H10" s="29">
        <v>5.42</v>
      </c>
      <c r="I10" s="28">
        <f>IF('BAN - EXT- Extension '!D14+'BAN - EXT- Extension '!F14&gt;0,'BAN - EXT- Extension '!D14+'BAN - EXT- Extension '!F14,0)</f>
        <v>554</v>
      </c>
      <c r="J10" s="29">
        <v>7.84</v>
      </c>
      <c r="K10" s="28">
        <f>IF('BAN Extension '!F14&gt;0,'BAN Extension '!F14,0)</f>
        <v>147</v>
      </c>
      <c r="L10" s="29">
        <v>7.84</v>
      </c>
      <c r="M10" s="34">
        <v>30</v>
      </c>
      <c r="N10" s="34">
        <v>69</v>
      </c>
    </row>
    <row r="11" spans="1:14">
      <c r="A11" s="26" t="s">
        <v>14</v>
      </c>
      <c r="B11" s="27">
        <f t="shared" si="0"/>
        <v>10</v>
      </c>
      <c r="C11" s="27">
        <v>10</v>
      </c>
      <c r="D11" s="27">
        <v>2025</v>
      </c>
      <c r="E11" s="28">
        <f>IF('BAN Extension '!D15&gt;0,'BAN Extension '!D15,0)</f>
        <v>7106</v>
      </c>
      <c r="F11" s="29">
        <v>0.2</v>
      </c>
      <c r="G11" s="28"/>
      <c r="H11" s="29">
        <v>5.42</v>
      </c>
      <c r="I11" s="28">
        <f>IF('BAN - EXT- Extension '!D15+'BAN - EXT- Extension '!F15&gt;0,'BAN - EXT- Extension '!D15+'BAN - EXT- Extension '!F15,0)</f>
        <v>919</v>
      </c>
      <c r="J11" s="29">
        <v>7.84</v>
      </c>
      <c r="K11" s="28">
        <f>IF('BAN Extension '!F15&gt;0,'BAN Extension '!F15,0)</f>
        <v>157</v>
      </c>
      <c r="L11" s="29">
        <v>7.84</v>
      </c>
      <c r="M11" s="34">
        <v>29</v>
      </c>
      <c r="N11" s="34">
        <v>73</v>
      </c>
    </row>
    <row r="12" spans="1:14">
      <c r="A12" s="26" t="s">
        <v>14</v>
      </c>
      <c r="B12" s="27">
        <f t="shared" si="0"/>
        <v>11</v>
      </c>
      <c r="C12" s="27">
        <v>10</v>
      </c>
      <c r="D12" s="27">
        <v>2025</v>
      </c>
      <c r="E12" s="28">
        <f>IF('BAN Extension '!D16&gt;0,'BAN Extension '!D16,0)</f>
        <v>6026</v>
      </c>
      <c r="F12" s="29">
        <v>0.2</v>
      </c>
      <c r="G12" s="28"/>
      <c r="H12" s="29">
        <v>5.42</v>
      </c>
      <c r="I12" s="28">
        <f>IF('BAN - EXT- Extension '!D16+'BAN - EXT- Extension '!F16&gt;0,'BAN - EXT- Extension '!D16+'BAN - EXT- Extension '!F16,0)</f>
        <v>550</v>
      </c>
      <c r="J12" s="29">
        <v>7.84</v>
      </c>
      <c r="K12" s="28">
        <f>IF('BAN Extension '!F16&gt;0,'BAN Extension '!F16,0)</f>
        <v>182</v>
      </c>
      <c r="L12" s="29">
        <v>7.84</v>
      </c>
      <c r="M12" s="34">
        <v>40</v>
      </c>
      <c r="N12" s="34">
        <v>130</v>
      </c>
    </row>
    <row r="13" spans="1:14">
      <c r="A13" s="26" t="s">
        <v>14</v>
      </c>
      <c r="B13" s="27">
        <f t="shared" si="0"/>
        <v>12</v>
      </c>
      <c r="C13" s="27">
        <v>10</v>
      </c>
      <c r="D13" s="27">
        <v>2025</v>
      </c>
      <c r="E13" s="28">
        <f>IF('BAN Extension '!D17&gt;0,'BAN Extension '!D17,0)</f>
        <v>6221</v>
      </c>
      <c r="F13" s="29">
        <v>0.2</v>
      </c>
      <c r="G13" s="28"/>
      <c r="H13" s="29">
        <v>5.42</v>
      </c>
      <c r="I13" s="28">
        <f>IF('BAN - EXT- Extension '!D17+'BAN - EXT- Extension '!F17&gt;0,'BAN - EXT- Extension '!D17+'BAN - EXT- Extension '!F17,0)</f>
        <v>650</v>
      </c>
      <c r="J13" s="29">
        <v>7.84</v>
      </c>
      <c r="K13" s="28">
        <f>IF('BAN Extension '!F17&gt;0,'BAN Extension '!F17,0)</f>
        <v>150</v>
      </c>
      <c r="L13" s="29">
        <v>7.84</v>
      </c>
      <c r="M13" s="34">
        <v>32</v>
      </c>
      <c r="N13" s="34">
        <v>91</v>
      </c>
    </row>
    <row r="14" spans="1:14">
      <c r="A14" s="26" t="s">
        <v>14</v>
      </c>
      <c r="B14" s="27">
        <f t="shared" si="0"/>
        <v>13</v>
      </c>
      <c r="C14" s="27">
        <v>10</v>
      </c>
      <c r="D14" s="27">
        <v>2025</v>
      </c>
      <c r="E14" s="28">
        <f>IF('BAN Extension '!D18&gt;0,'BAN Extension '!D18,0)</f>
        <v>5628</v>
      </c>
      <c r="F14" s="29">
        <v>0.2</v>
      </c>
      <c r="G14" s="28"/>
      <c r="H14" s="29">
        <v>5.42</v>
      </c>
      <c r="I14" s="28">
        <f>IF('BAN - EXT- Extension '!D18+'BAN - EXT- Extension '!F18&gt;0,'BAN - EXT- Extension '!D18+'BAN - EXT- Extension '!F18,0)</f>
        <v>532</v>
      </c>
      <c r="J14" s="29">
        <v>7.84</v>
      </c>
      <c r="K14" s="28">
        <f>IF('BAN Extension '!F18&gt;0,'BAN Extension '!F18,0)</f>
        <v>158</v>
      </c>
      <c r="L14" s="29">
        <v>7.84</v>
      </c>
      <c r="M14" s="34">
        <v>32</v>
      </c>
      <c r="N14" s="34">
        <v>99</v>
      </c>
    </row>
    <row r="15" spans="1:14">
      <c r="A15" s="26" t="s">
        <v>14</v>
      </c>
      <c r="B15" s="27">
        <f t="shared" si="0"/>
        <v>14</v>
      </c>
      <c r="C15" s="27">
        <v>10</v>
      </c>
      <c r="D15" s="27">
        <v>2025</v>
      </c>
      <c r="E15" s="28">
        <f>IF('BAN Extension '!D19&gt;0,'BAN Extension '!D19,0)</f>
        <v>6146</v>
      </c>
      <c r="F15" s="29">
        <v>0.2</v>
      </c>
      <c r="G15" s="28"/>
      <c r="H15" s="29">
        <v>5.42</v>
      </c>
      <c r="I15" s="28">
        <f>IF('BAN - EXT- Extension '!D19+'BAN - EXT- Extension '!F19&gt;0,'BAN - EXT- Extension '!D19+'BAN - EXT- Extension '!F19,0)</f>
        <v>630</v>
      </c>
      <c r="J15" s="29">
        <v>7.84</v>
      </c>
      <c r="K15" s="28">
        <f>IF('BAN Extension '!F19&gt;0,'BAN Extension '!F19,0)</f>
        <v>166</v>
      </c>
      <c r="L15" s="29">
        <v>7.84</v>
      </c>
      <c r="M15" s="34">
        <v>33</v>
      </c>
      <c r="N15" s="34">
        <v>102</v>
      </c>
    </row>
    <row r="16" spans="1:14">
      <c r="A16" s="26" t="s">
        <v>14</v>
      </c>
      <c r="B16" s="27">
        <f t="shared" si="0"/>
        <v>15</v>
      </c>
      <c r="C16" s="27">
        <v>10</v>
      </c>
      <c r="D16" s="27">
        <v>2025</v>
      </c>
      <c r="E16" s="28">
        <f>IF('BAN Extension '!D20&gt;0,'BAN Extension '!D20,0)</f>
        <v>6074</v>
      </c>
      <c r="F16" s="29">
        <v>0.2</v>
      </c>
      <c r="G16" s="28"/>
      <c r="H16" s="29">
        <v>5.42</v>
      </c>
      <c r="I16" s="28">
        <f>IF('BAN - EXT- Extension '!D20+'BAN - EXT- Extension '!F20&gt;0,'BAN - EXT- Extension '!D20+'BAN - EXT- Extension '!F20,0)</f>
        <v>583</v>
      </c>
      <c r="J16" s="29">
        <v>7.84</v>
      </c>
      <c r="K16" s="28">
        <f>IF('BAN Extension '!F20&gt;0,'BAN Extension '!F20,0)</f>
        <v>159</v>
      </c>
      <c r="L16" s="29">
        <v>7.84</v>
      </c>
      <c r="M16" s="34">
        <v>36</v>
      </c>
      <c r="N16" s="34">
        <v>106</v>
      </c>
    </row>
    <row r="17" spans="1:14">
      <c r="A17" s="26" t="s">
        <v>14</v>
      </c>
      <c r="B17" s="27">
        <f t="shared" si="0"/>
        <v>16</v>
      </c>
      <c r="C17" s="27">
        <v>10</v>
      </c>
      <c r="D17" s="27">
        <v>2025</v>
      </c>
      <c r="E17" s="28">
        <f>IF('BAN Extension '!D21&gt;0,'BAN Extension '!D21,0)</f>
        <v>5757</v>
      </c>
      <c r="F17" s="29">
        <v>0.2</v>
      </c>
      <c r="G17" s="28"/>
      <c r="H17" s="29">
        <v>5.42</v>
      </c>
      <c r="I17" s="28">
        <f>IF('BAN - EXT- Extension '!D21+'BAN - EXT- Extension '!F21&gt;0,'BAN - EXT- Extension '!D21+'BAN - EXT- Extension '!F21,0)</f>
        <v>624</v>
      </c>
      <c r="J17" s="29">
        <v>7.84</v>
      </c>
      <c r="K17" s="28">
        <f>IF('BAN Extension '!F21&gt;0,'BAN Extension '!F21,0)</f>
        <v>165</v>
      </c>
      <c r="L17" s="29">
        <v>7.84</v>
      </c>
      <c r="M17" s="34">
        <v>41</v>
      </c>
      <c r="N17" s="34">
        <v>128</v>
      </c>
    </row>
    <row r="18" spans="1:14">
      <c r="A18" s="26" t="s">
        <v>14</v>
      </c>
      <c r="B18" s="27">
        <f t="shared" si="0"/>
        <v>17</v>
      </c>
      <c r="C18" s="27">
        <v>10</v>
      </c>
      <c r="D18" s="27">
        <v>2025</v>
      </c>
      <c r="E18" s="28">
        <f>IF('BAN Extension '!D22&gt;0,'BAN Extension '!D22,0)</f>
        <v>5828</v>
      </c>
      <c r="F18" s="29">
        <v>0.2</v>
      </c>
      <c r="G18" s="28"/>
      <c r="H18" s="29">
        <v>5.42</v>
      </c>
      <c r="I18" s="28">
        <f>IF('BAN - EXT- Extension '!D22+'BAN - EXT- Extension '!F22&gt;0,'BAN - EXT- Extension '!D22+'BAN - EXT- Extension '!F22,0)</f>
        <v>669</v>
      </c>
      <c r="J18" s="29">
        <v>7.84</v>
      </c>
      <c r="K18" s="28">
        <f>IF('BAN Extension '!F22&gt;0,'BAN Extension '!F22,0)</f>
        <v>160</v>
      </c>
      <c r="L18" s="29">
        <v>7.84</v>
      </c>
      <c r="M18" s="34">
        <v>40</v>
      </c>
      <c r="N18" s="34">
        <v>123</v>
      </c>
    </row>
    <row r="19" spans="1:14">
      <c r="A19" s="26" t="s">
        <v>14</v>
      </c>
      <c r="B19" s="27">
        <f t="shared" si="0"/>
        <v>18</v>
      </c>
      <c r="C19" s="27">
        <v>10</v>
      </c>
      <c r="D19" s="27">
        <v>2025</v>
      </c>
      <c r="E19" s="28">
        <f>IF('BAN Extension '!D23&gt;0,'BAN Extension '!D23,0)</f>
        <v>5747</v>
      </c>
      <c r="F19" s="29">
        <v>0.2</v>
      </c>
      <c r="G19" s="28"/>
      <c r="H19" s="29">
        <v>5.42</v>
      </c>
      <c r="I19" s="28">
        <f>IF('BAN - EXT- Extension '!D23+'BAN - EXT- Extension '!F23&gt;0,'BAN - EXT- Extension '!D23+'BAN - EXT- Extension '!F23,0)</f>
        <v>627</v>
      </c>
      <c r="J19" s="29">
        <v>7.84</v>
      </c>
      <c r="K19" s="28">
        <f>IF('BAN Extension '!F23&gt;0,'BAN Extension '!F23,0)</f>
        <v>161</v>
      </c>
      <c r="L19" s="29">
        <v>7.84</v>
      </c>
      <c r="M19" s="34">
        <v>42</v>
      </c>
      <c r="N19" s="34">
        <v>128</v>
      </c>
    </row>
    <row r="20" spans="1:14">
      <c r="A20" s="26" t="s">
        <v>14</v>
      </c>
      <c r="B20" s="27">
        <f t="shared" si="0"/>
        <v>19</v>
      </c>
      <c r="C20" s="27">
        <v>10</v>
      </c>
      <c r="D20" s="27">
        <v>2025</v>
      </c>
      <c r="E20" s="28">
        <f>IF('BAN Extension '!D24&gt;0,'BAN Extension '!D24,0)</f>
        <v>5836</v>
      </c>
      <c r="F20" s="29">
        <v>0.2</v>
      </c>
      <c r="G20" s="28"/>
      <c r="H20" s="29">
        <v>5.42</v>
      </c>
      <c r="I20" s="28">
        <f>IF('BAN - EXT- Extension '!D24+'BAN - EXT- Extension '!F24&gt;0,'BAN - EXT- Extension '!D24+'BAN - EXT- Extension '!F24,0)</f>
        <v>697</v>
      </c>
      <c r="J20" s="29">
        <v>7.84</v>
      </c>
      <c r="K20" s="28">
        <f>IF('BAN Extension '!F24&gt;0,'BAN Extension '!F24,0)</f>
        <v>165</v>
      </c>
      <c r="L20" s="29">
        <v>7.84</v>
      </c>
      <c r="M20" s="34">
        <v>35</v>
      </c>
      <c r="N20" s="34">
        <v>90</v>
      </c>
    </row>
    <row r="21" spans="1:14">
      <c r="A21" s="26" t="s">
        <v>14</v>
      </c>
      <c r="B21" s="27">
        <f t="shared" si="0"/>
        <v>20</v>
      </c>
      <c r="C21" s="27">
        <v>10</v>
      </c>
      <c r="D21" s="27">
        <v>2025</v>
      </c>
      <c r="E21" s="28">
        <f>IF('BAN Extension '!D25&gt;0,'BAN Extension '!D25,0)</f>
        <v>5507</v>
      </c>
      <c r="F21" s="29">
        <v>0.2</v>
      </c>
      <c r="G21" s="28"/>
      <c r="H21" s="29">
        <v>5.42</v>
      </c>
      <c r="I21" s="28">
        <f>IF('BAN - EXT- Extension '!D25+'BAN - EXT- Extension '!F25&gt;0,'BAN - EXT- Extension '!D25+'BAN - EXT- Extension '!F25,0)</f>
        <v>766</v>
      </c>
      <c r="J21" s="29">
        <v>7.84</v>
      </c>
      <c r="K21" s="28">
        <f>IF('BAN Extension '!F25&gt;0,'BAN Extension '!F25,0)</f>
        <v>107</v>
      </c>
      <c r="L21" s="29">
        <v>7.84</v>
      </c>
      <c r="M21" s="34">
        <v>30</v>
      </c>
      <c r="N21" s="34">
        <v>78</v>
      </c>
    </row>
    <row r="22" spans="1:14">
      <c r="A22" s="26" t="s">
        <v>14</v>
      </c>
      <c r="B22" s="27">
        <f t="shared" si="0"/>
        <v>21</v>
      </c>
      <c r="C22" s="27">
        <v>10</v>
      </c>
      <c r="D22" s="27">
        <v>2025</v>
      </c>
      <c r="E22" s="28">
        <f>IF('BAN Extension '!D26&gt;0,'BAN Extension '!D26,0)</f>
        <v>5715</v>
      </c>
      <c r="F22" s="29">
        <v>0.2</v>
      </c>
      <c r="G22" s="28"/>
      <c r="H22" s="29">
        <v>5.42</v>
      </c>
      <c r="I22" s="28">
        <f>IF('BAN - EXT- Extension '!D26+'BAN - EXT- Extension '!F26&gt;0,'BAN - EXT- Extension '!D26+'BAN - EXT- Extension '!F26,0)</f>
        <v>511</v>
      </c>
      <c r="J22" s="29">
        <v>7.84</v>
      </c>
      <c r="K22" s="28">
        <f>IF('BAN Extension '!F26&gt;0,'BAN Extension '!F26,0)</f>
        <v>175</v>
      </c>
      <c r="L22" s="29">
        <v>7.84</v>
      </c>
      <c r="M22" s="34">
        <v>28</v>
      </c>
      <c r="N22" s="34">
        <v>74</v>
      </c>
    </row>
    <row r="23" spans="1:14">
      <c r="A23" s="26" t="s">
        <v>14</v>
      </c>
      <c r="B23" s="27">
        <f t="shared" si="0"/>
        <v>22</v>
      </c>
      <c r="C23" s="27">
        <v>10</v>
      </c>
      <c r="D23" s="27">
        <v>2025</v>
      </c>
      <c r="E23" s="28">
        <f>IF('BAN Extension '!D27&gt;0,'BAN Extension '!D27,0)</f>
        <v>5614</v>
      </c>
      <c r="F23" s="29">
        <v>0.2</v>
      </c>
      <c r="G23" s="28"/>
      <c r="H23" s="29">
        <v>5.42</v>
      </c>
      <c r="I23" s="28">
        <f>IF('BAN - EXT- Extension '!D27+'BAN - EXT- Extension '!F27&gt;0,'BAN - EXT- Extension '!D27+'BAN - EXT- Extension '!F27,0)</f>
        <v>788</v>
      </c>
      <c r="J23" s="29">
        <v>7.84</v>
      </c>
      <c r="K23" s="28">
        <f>IF('BAN Extension '!F27&gt;0,'BAN Extension '!F27,0)</f>
        <v>127</v>
      </c>
      <c r="L23" s="29">
        <v>7.84</v>
      </c>
      <c r="M23" s="34">
        <v>30</v>
      </c>
      <c r="N23" s="34">
        <v>73</v>
      </c>
    </row>
    <row r="24" spans="1:14">
      <c r="A24" s="26" t="s">
        <v>14</v>
      </c>
      <c r="B24" s="27">
        <f t="shared" si="0"/>
        <v>23</v>
      </c>
      <c r="C24" s="27">
        <v>10</v>
      </c>
      <c r="D24" s="27">
        <v>2025</v>
      </c>
      <c r="E24" s="28">
        <f>IF('BAN Extension '!D28&gt;0,'BAN Extension '!D28,0)</f>
        <v>6023</v>
      </c>
      <c r="F24" s="29">
        <v>0.2</v>
      </c>
      <c r="G24" s="28"/>
      <c r="H24" s="29">
        <v>5.42</v>
      </c>
      <c r="I24" s="28">
        <f>IF('BAN - EXT- Extension '!D28+'BAN - EXT- Extension '!F28&gt;0,'BAN - EXT- Extension '!D28+'BAN - EXT- Extension '!F28,0)</f>
        <v>581</v>
      </c>
      <c r="J24" s="29">
        <v>7.84</v>
      </c>
      <c r="K24" s="28">
        <f>IF('BAN Extension '!F28&gt;0,'BAN Extension '!F28,0)</f>
        <v>147</v>
      </c>
      <c r="L24" s="29">
        <v>7.84</v>
      </c>
      <c r="M24" s="34">
        <v>30</v>
      </c>
      <c r="N24" s="34">
        <v>72</v>
      </c>
    </row>
    <row r="25" spans="1:14">
      <c r="A25" s="26" t="s">
        <v>14</v>
      </c>
      <c r="B25" s="27">
        <f t="shared" si="0"/>
        <v>24</v>
      </c>
      <c r="C25" s="27">
        <v>10</v>
      </c>
      <c r="D25" s="27">
        <v>2025</v>
      </c>
      <c r="E25" s="28">
        <f>IF('BAN Extension '!D29&gt;0,'BAN Extension '!D29,0)</f>
        <v>5759</v>
      </c>
      <c r="F25" s="29">
        <v>0.2</v>
      </c>
      <c r="G25" s="28"/>
      <c r="H25" s="29">
        <v>5.42</v>
      </c>
      <c r="I25" s="28">
        <f>IF('BAN - EXT- Extension '!D29+'BAN - EXT- Extension '!F29&gt;0,'BAN - EXT- Extension '!D29+'BAN - EXT- Extension '!F29,0)</f>
        <v>811</v>
      </c>
      <c r="J25" s="29">
        <v>7.84</v>
      </c>
      <c r="K25" s="28">
        <f>IF('BAN Extension '!F29&gt;0,'BAN Extension '!F29,0)</f>
        <v>150</v>
      </c>
      <c r="L25" s="29">
        <v>7.84</v>
      </c>
      <c r="M25" s="34">
        <v>35</v>
      </c>
      <c r="N25" s="34">
        <v>98</v>
      </c>
    </row>
    <row r="26" spans="1:14">
      <c r="A26" s="26" t="s">
        <v>14</v>
      </c>
      <c r="B26" s="27">
        <f>B25+1</f>
        <v>25</v>
      </c>
      <c r="C26" s="27">
        <v>10</v>
      </c>
      <c r="D26" s="27">
        <v>2025</v>
      </c>
      <c r="E26" s="28">
        <f>IF('BAN Extension '!D30&gt;0,'BAN Extension '!D30,0)</f>
        <v>5517</v>
      </c>
      <c r="F26" s="29">
        <v>0.2</v>
      </c>
      <c r="G26" s="28"/>
      <c r="H26" s="29">
        <v>5.42</v>
      </c>
      <c r="I26" s="28">
        <f>IF('BAN - EXT- Extension '!D30+'BAN - EXT- Extension '!F30&gt;0,'BAN - EXT- Extension '!D30+'BAN - EXT- Extension '!F30,0)</f>
        <v>714</v>
      </c>
      <c r="J26" s="29">
        <v>7.84</v>
      </c>
      <c r="K26" s="28">
        <f>IF('BAN Extension '!F30&gt;0,'BAN Extension '!F30,0)</f>
        <v>167</v>
      </c>
      <c r="L26" s="29">
        <v>7.84</v>
      </c>
      <c r="M26" s="34">
        <v>41</v>
      </c>
      <c r="N26" s="34">
        <v>122</v>
      </c>
    </row>
    <row r="27" spans="1:14">
      <c r="A27" s="26" t="s">
        <v>14</v>
      </c>
      <c r="B27" s="27">
        <f t="shared" si="0"/>
        <v>26</v>
      </c>
      <c r="C27" s="27">
        <v>10</v>
      </c>
      <c r="D27" s="27">
        <v>2025</v>
      </c>
      <c r="E27" s="28">
        <f>IF('BAN Extension '!D31&gt;0,'BAN Extension '!D31,0)</f>
        <v>5345</v>
      </c>
      <c r="F27" s="29">
        <v>0.2</v>
      </c>
      <c r="G27" s="28"/>
      <c r="H27" s="29">
        <v>5.42</v>
      </c>
      <c r="I27" s="28">
        <f>IF('BAN - EXT- Extension '!D31+'BAN - EXT- Extension '!F31&gt;0,'BAN - EXT- Extension '!D31+'BAN - EXT- Extension '!F31,0)</f>
        <v>720</v>
      </c>
      <c r="J27" s="29">
        <v>7.84</v>
      </c>
      <c r="K27" s="28">
        <f>IF('BAN Extension '!F31&gt;0,'BAN Extension '!F31,0)</f>
        <v>157</v>
      </c>
      <c r="L27" s="29">
        <v>7.84</v>
      </c>
      <c r="M27" s="34">
        <v>29</v>
      </c>
      <c r="N27" s="34">
        <v>80</v>
      </c>
    </row>
    <row r="28" spans="1:14">
      <c r="A28" s="26" t="s">
        <v>14</v>
      </c>
      <c r="B28" s="27">
        <f t="shared" si="0"/>
        <v>27</v>
      </c>
      <c r="C28" s="27">
        <v>10</v>
      </c>
      <c r="D28" s="27">
        <v>2025</v>
      </c>
      <c r="E28" s="28">
        <f>IF('BAN Extension '!D32&gt;0,'BAN Extension '!D32,0)</f>
        <v>4907</v>
      </c>
      <c r="F28" s="29">
        <v>0.2</v>
      </c>
      <c r="G28" s="28"/>
      <c r="H28" s="29">
        <v>5.42</v>
      </c>
      <c r="I28" s="28">
        <f>IF('BAN - EXT- Extension '!D32+'BAN - EXT- Extension '!F32&gt;0,'BAN - EXT- Extension '!D32+'BAN - EXT- Extension '!F32,0)</f>
        <v>588</v>
      </c>
      <c r="J28" s="29">
        <v>7.84</v>
      </c>
      <c r="K28" s="28">
        <f>IF('BAN Extension '!F32&gt;0,'BAN Extension '!F32,0)</f>
        <v>161</v>
      </c>
      <c r="L28" s="29">
        <v>7.84</v>
      </c>
      <c r="M28" s="34">
        <v>36</v>
      </c>
      <c r="N28" s="34">
        <v>103</v>
      </c>
    </row>
    <row r="29" spans="1:14">
      <c r="A29" s="26" t="s">
        <v>14</v>
      </c>
      <c r="B29" s="27">
        <f t="shared" si="0"/>
        <v>28</v>
      </c>
      <c r="C29" s="27">
        <v>10</v>
      </c>
      <c r="D29" s="27">
        <v>2025</v>
      </c>
      <c r="E29" s="28">
        <f>IF('BAN Extension '!D33&gt;0,'BAN Extension '!D33,0)</f>
        <v>5350</v>
      </c>
      <c r="F29" s="29">
        <v>0.2</v>
      </c>
      <c r="G29" s="28"/>
      <c r="H29" s="29">
        <v>5.42</v>
      </c>
      <c r="I29" s="28">
        <f>IF('BAN - EXT- Extension '!D33+'BAN - EXT- Extension '!F33&gt;0,'BAN - EXT- Extension '!D33+'BAN - EXT- Extension '!F33,0)</f>
        <v>752</v>
      </c>
      <c r="J29" s="29">
        <v>7.84</v>
      </c>
      <c r="K29" s="28">
        <f>IF('BAN Extension '!F33&gt;0,'BAN Extension '!F33,0)</f>
        <v>164</v>
      </c>
      <c r="L29" s="29">
        <v>7.84</v>
      </c>
      <c r="M29" s="34">
        <v>39</v>
      </c>
      <c r="N29" s="34">
        <v>98</v>
      </c>
    </row>
    <row r="30" spans="1:14">
      <c r="A30" s="26" t="s">
        <v>14</v>
      </c>
      <c r="B30" s="27">
        <f t="shared" si="0"/>
        <v>29</v>
      </c>
      <c r="C30" s="27">
        <v>10</v>
      </c>
      <c r="D30" s="27">
        <v>2025</v>
      </c>
      <c r="E30" s="28">
        <f>IF('BAN Extension '!D34&gt;0,'BAN Extension '!D34,0)</f>
        <v>6066</v>
      </c>
      <c r="F30" s="29">
        <v>0.2</v>
      </c>
      <c r="G30" s="28"/>
      <c r="H30" s="29">
        <v>5.42</v>
      </c>
      <c r="I30" s="28">
        <f>IF('BAN - EXT- Extension '!D34+'BAN - EXT- Extension '!F34&gt;0,'BAN - EXT- Extension '!D34+'BAN - EXT- Extension '!F34,0)</f>
        <v>867</v>
      </c>
      <c r="J30" s="29">
        <v>7.84</v>
      </c>
      <c r="K30" s="28">
        <f>IF('BAN Extension '!F34&gt;0,'BAN Extension '!F34,0)</f>
        <v>299</v>
      </c>
      <c r="L30" s="29">
        <v>7.84</v>
      </c>
      <c r="M30" s="34">
        <v>37</v>
      </c>
      <c r="N30" s="34">
        <v>99</v>
      </c>
    </row>
    <row r="31" spans="1:14">
      <c r="A31" s="26" t="s">
        <v>14</v>
      </c>
      <c r="B31" s="27">
        <f t="shared" si="0"/>
        <v>30</v>
      </c>
      <c r="C31" s="27">
        <v>10</v>
      </c>
      <c r="D31" s="27">
        <v>2025</v>
      </c>
      <c r="E31" s="28">
        <f>IF('BAN Extension '!D35&gt;0,'BAN Extension '!D35,0)</f>
        <v>7864</v>
      </c>
      <c r="F31" s="29">
        <v>0.2</v>
      </c>
      <c r="G31" s="28"/>
      <c r="H31" s="29">
        <v>5.42</v>
      </c>
      <c r="I31" s="28">
        <f>IF('BAN - EXT- Extension '!D35+'BAN - EXT- Extension '!F35&gt;0,'BAN - EXT- Extension '!D35+'BAN - EXT- Extension '!F35,0)</f>
        <v>1019</v>
      </c>
      <c r="J31" s="29">
        <v>7.84</v>
      </c>
      <c r="K31" s="28">
        <f>IF('BAN Extension '!F35&gt;0,'BAN Extension '!F35,0)</f>
        <v>131</v>
      </c>
      <c r="L31" s="29">
        <v>7.84</v>
      </c>
      <c r="M31" s="34">
        <v>36</v>
      </c>
      <c r="N31" s="34">
        <v>99</v>
      </c>
    </row>
    <row r="32" spans="1:14">
      <c r="A32" s="26" t="s">
        <v>14</v>
      </c>
      <c r="B32" s="27">
        <f t="shared" si="0"/>
        <v>31</v>
      </c>
      <c r="C32" s="27">
        <v>10</v>
      </c>
      <c r="D32" s="27">
        <v>2025</v>
      </c>
      <c r="E32" s="28">
        <f>IF('BAN Extension '!D36&gt;0,'BAN Extension '!D36,0)</f>
        <v>6539</v>
      </c>
      <c r="F32" s="29">
        <v>0.2</v>
      </c>
      <c r="G32" s="28"/>
      <c r="H32" s="29">
        <v>5.42</v>
      </c>
      <c r="I32" s="28">
        <f>IF('BAN - EXT- Extension '!D36+'BAN - EXT- Extension '!F36&gt;0,'BAN - EXT- Extension '!D36+'BAN - EXT- Extension '!F36,0)</f>
        <v>820</v>
      </c>
      <c r="J32" s="29">
        <v>7.84</v>
      </c>
      <c r="K32" s="28">
        <f>IF('BAN Extension '!F36&gt;0,'BAN Extension '!F36,0)</f>
        <v>216</v>
      </c>
      <c r="L32" s="29">
        <v>7.84</v>
      </c>
      <c r="M32" s="34">
        <v>40</v>
      </c>
      <c r="N32" s="34">
        <v>109</v>
      </c>
    </row>
    <row r="33" spans="7:9">
      <c r="G33" s="28"/>
      <c r="I33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25" zoomScale="85" zoomScaleNormal="85" zoomScaleSheetLayoutView="80" workbookViewId="0">
      <selection activeCell="C28" sqref="C28"/>
    </sheetView>
  </sheetViews>
  <sheetFormatPr defaultColWidth="9" defaultRowHeight="14.45"/>
  <cols>
    <col min="1" max="2" width="24" style="1" customWidth="1"/>
    <col min="3" max="3" width="36.875" style="1" customWidth="1"/>
    <col min="4" max="4" width="41" style="1" customWidth="1"/>
    <col min="5" max="5" width="48.375" style="1" customWidth="1"/>
    <col min="6" max="6" width="44.5" style="1" customWidth="1"/>
    <col min="7" max="7" width="46.5" style="1" customWidth="1"/>
    <col min="8" max="8" width="45.125" style="1" customWidth="1"/>
  </cols>
  <sheetData>
    <row r="1" spans="1:8" ht="57.75" customHeight="1">
      <c r="A1" s="43" t="s">
        <v>15</v>
      </c>
      <c r="B1" s="44"/>
      <c r="C1" s="44"/>
      <c r="D1" s="44"/>
      <c r="E1" s="44"/>
      <c r="F1" s="44"/>
      <c r="G1" s="44"/>
      <c r="H1" s="44"/>
    </row>
    <row r="2" spans="1:8" ht="22.5" customHeight="1">
      <c r="A2" s="2" t="s">
        <v>16</v>
      </c>
      <c r="B2" s="2" t="s">
        <v>17</v>
      </c>
      <c r="C2" s="2" t="s">
        <v>18</v>
      </c>
      <c r="D2" s="2"/>
      <c r="E2" s="2" t="s">
        <v>18</v>
      </c>
      <c r="F2" s="2"/>
      <c r="G2" s="45" t="s">
        <v>19</v>
      </c>
      <c r="H2" s="45" t="s">
        <v>20</v>
      </c>
    </row>
    <row r="3" spans="1:8" ht="22.5" customHeight="1">
      <c r="A3" s="2" t="s">
        <v>21</v>
      </c>
      <c r="B3" s="2"/>
      <c r="C3" s="2" t="s">
        <v>22</v>
      </c>
      <c r="D3" s="2"/>
      <c r="E3" s="2" t="s">
        <v>23</v>
      </c>
      <c r="F3" s="2"/>
      <c r="G3" s="47"/>
      <c r="H3" s="47"/>
    </row>
    <row r="4" spans="1:8" ht="22.5" customHeight="1">
      <c r="A4" s="45" t="s">
        <v>24</v>
      </c>
      <c r="B4" s="5"/>
      <c r="C4" s="2" t="s">
        <v>25</v>
      </c>
      <c r="D4" s="2" t="s">
        <v>26</v>
      </c>
      <c r="E4" s="2" t="s">
        <v>27</v>
      </c>
      <c r="F4" s="2" t="s">
        <v>26</v>
      </c>
      <c r="G4" s="47"/>
      <c r="H4" s="47"/>
    </row>
    <row r="5" spans="1:8" ht="22.5" customHeight="1">
      <c r="A5" s="46"/>
      <c r="B5" s="6"/>
      <c r="C5" s="5" t="s">
        <v>28</v>
      </c>
      <c r="D5" s="5" t="s">
        <v>28</v>
      </c>
      <c r="E5" s="13" t="s">
        <v>28</v>
      </c>
      <c r="F5" s="5" t="s">
        <v>28</v>
      </c>
      <c r="G5" s="46"/>
      <c r="H5" s="46"/>
    </row>
    <row r="6" spans="1:8" ht="35.25" customHeight="1">
      <c r="A6" s="8">
        <v>45930</v>
      </c>
      <c r="B6" s="8"/>
      <c r="C6" s="41">
        <v>118561</v>
      </c>
      <c r="D6" s="14">
        <f>C7-C6</f>
        <v>100</v>
      </c>
      <c r="E6" s="42">
        <v>313735</v>
      </c>
      <c r="F6" s="15">
        <f>E7-E6</f>
        <v>281</v>
      </c>
      <c r="G6" s="10" t="s">
        <v>29</v>
      </c>
      <c r="H6" s="10"/>
    </row>
    <row r="7" spans="1:8" ht="35.25" customHeight="1">
      <c r="A7" s="8">
        <v>45931</v>
      </c>
      <c r="B7" s="8"/>
      <c r="C7" s="10">
        <v>118661</v>
      </c>
      <c r="D7" s="14">
        <f t="shared" ref="D7:D13" si="0">C8-C7</f>
        <v>103</v>
      </c>
      <c r="E7" s="15">
        <v>314016</v>
      </c>
      <c r="F7" s="15">
        <f t="shared" ref="F7:F13" si="1">E8-E7</f>
        <v>468</v>
      </c>
      <c r="G7" s="10"/>
      <c r="H7" s="10"/>
    </row>
    <row r="8" spans="1:8" ht="35.25" customHeight="1">
      <c r="A8" s="8">
        <v>45932</v>
      </c>
      <c r="B8" s="8"/>
      <c r="C8" s="10">
        <v>118764</v>
      </c>
      <c r="D8" s="14">
        <f t="shared" si="0"/>
        <v>115</v>
      </c>
      <c r="E8" s="15">
        <v>314484</v>
      </c>
      <c r="F8" s="15">
        <f t="shared" si="1"/>
        <v>466</v>
      </c>
      <c r="G8" s="10"/>
      <c r="H8" s="10"/>
    </row>
    <row r="9" spans="1:8" ht="35.25" customHeight="1">
      <c r="A9" s="8">
        <v>45933</v>
      </c>
      <c r="B9" s="8"/>
      <c r="C9" s="10">
        <v>118879</v>
      </c>
      <c r="D9" s="14">
        <f t="shared" si="0"/>
        <v>121</v>
      </c>
      <c r="E9" s="15">
        <v>314950</v>
      </c>
      <c r="F9" s="15">
        <f t="shared" si="1"/>
        <v>369</v>
      </c>
      <c r="G9" s="10"/>
      <c r="H9" s="10"/>
    </row>
    <row r="10" spans="1:8" ht="35.25" customHeight="1">
      <c r="A10" s="8">
        <v>45934</v>
      </c>
      <c r="B10" s="8"/>
      <c r="C10" s="10">
        <v>119000</v>
      </c>
      <c r="D10" s="14">
        <f t="shared" si="0"/>
        <v>112</v>
      </c>
      <c r="E10" s="15">
        <v>315319</v>
      </c>
      <c r="F10" s="15">
        <f t="shared" si="1"/>
        <v>408</v>
      </c>
      <c r="G10" s="10"/>
      <c r="H10" s="10"/>
    </row>
    <row r="11" spans="1:8" ht="35.25" customHeight="1">
      <c r="A11" s="8">
        <v>45935</v>
      </c>
      <c r="B11" s="8"/>
      <c r="C11" s="10">
        <v>119112</v>
      </c>
      <c r="D11" s="14">
        <f t="shared" si="0"/>
        <v>133</v>
      </c>
      <c r="E11" s="15">
        <v>315727</v>
      </c>
      <c r="F11" s="15">
        <f t="shared" si="1"/>
        <v>458</v>
      </c>
      <c r="G11" s="10"/>
      <c r="H11" s="10"/>
    </row>
    <row r="12" spans="1:8" ht="35.25" customHeight="1">
      <c r="A12" s="8">
        <v>45936</v>
      </c>
      <c r="B12" s="8"/>
      <c r="C12" s="10">
        <v>119245</v>
      </c>
      <c r="D12" s="14">
        <f t="shared" si="0"/>
        <v>129</v>
      </c>
      <c r="E12" s="15">
        <v>316185</v>
      </c>
      <c r="F12" s="15">
        <f t="shared" si="1"/>
        <v>405</v>
      </c>
      <c r="G12" s="10"/>
      <c r="H12" s="10"/>
    </row>
    <row r="13" spans="1:8" ht="35.25" customHeight="1">
      <c r="A13" s="8">
        <v>45937</v>
      </c>
      <c r="B13" s="8"/>
      <c r="C13" s="16">
        <v>119374</v>
      </c>
      <c r="D13" s="14">
        <f t="shared" si="0"/>
        <v>101</v>
      </c>
      <c r="E13" s="17">
        <v>316590</v>
      </c>
      <c r="F13" s="15">
        <f t="shared" si="1"/>
        <v>251</v>
      </c>
      <c r="G13" s="18"/>
      <c r="H13" s="18"/>
    </row>
    <row r="14" spans="1:8" ht="35.25" customHeight="1">
      <c r="A14" s="8">
        <v>45938</v>
      </c>
      <c r="B14" s="8"/>
      <c r="C14" s="14">
        <v>119475</v>
      </c>
      <c r="D14" s="14">
        <f t="shared" ref="D14:D21" si="2">C15-C14</f>
        <v>129</v>
      </c>
      <c r="E14" s="15">
        <v>316841</v>
      </c>
      <c r="F14" s="15">
        <f t="shared" ref="F14:F21" si="3">E15-E14</f>
        <v>425</v>
      </c>
      <c r="G14" s="19"/>
      <c r="H14" s="19"/>
    </row>
    <row r="15" spans="1:8" ht="35.25" customHeight="1">
      <c r="A15" s="8">
        <v>45939</v>
      </c>
      <c r="B15" s="8"/>
      <c r="C15" s="14">
        <v>119604</v>
      </c>
      <c r="D15" s="14">
        <f t="shared" si="2"/>
        <v>174</v>
      </c>
      <c r="E15" s="15">
        <v>317266</v>
      </c>
      <c r="F15" s="15">
        <f t="shared" si="3"/>
        <v>745</v>
      </c>
      <c r="G15" s="19"/>
      <c r="H15" s="19"/>
    </row>
    <row r="16" spans="1:8" ht="35.25" customHeight="1">
      <c r="A16" s="8">
        <v>45940</v>
      </c>
      <c r="B16" s="8"/>
      <c r="C16" s="14">
        <v>119778</v>
      </c>
      <c r="D16" s="14">
        <f t="shared" si="2"/>
        <v>147</v>
      </c>
      <c r="E16" s="15">
        <v>318011</v>
      </c>
      <c r="F16" s="15">
        <f t="shared" si="3"/>
        <v>403</v>
      </c>
      <c r="G16" s="19"/>
      <c r="H16" s="19"/>
    </row>
    <row r="17" spans="1:8" ht="35.25" customHeight="1">
      <c r="A17" s="8">
        <v>45941</v>
      </c>
      <c r="B17" s="8"/>
      <c r="C17" s="14">
        <v>119925</v>
      </c>
      <c r="D17" s="14">
        <f t="shared" si="2"/>
        <v>166</v>
      </c>
      <c r="E17" s="15">
        <v>318414</v>
      </c>
      <c r="F17" s="15">
        <f t="shared" si="3"/>
        <v>484</v>
      </c>
      <c r="G17" s="19"/>
      <c r="H17" s="19"/>
    </row>
    <row r="18" spans="1:8" ht="35.25" customHeight="1">
      <c r="A18" s="8">
        <v>45942</v>
      </c>
      <c r="B18" s="8"/>
      <c r="C18" s="14">
        <v>120091</v>
      </c>
      <c r="D18" s="14">
        <f t="shared" si="2"/>
        <v>158</v>
      </c>
      <c r="E18" s="15">
        <v>318898</v>
      </c>
      <c r="F18" s="15">
        <f t="shared" si="3"/>
        <v>374</v>
      </c>
      <c r="G18" s="19"/>
      <c r="H18" s="19"/>
    </row>
    <row r="19" spans="1:8" ht="35.25" customHeight="1">
      <c r="A19" s="8">
        <v>45943</v>
      </c>
      <c r="B19" s="8"/>
      <c r="C19" s="14">
        <v>120249</v>
      </c>
      <c r="D19" s="14">
        <f t="shared" si="2"/>
        <v>163</v>
      </c>
      <c r="E19" s="15">
        <v>319272</v>
      </c>
      <c r="F19" s="15">
        <f t="shared" si="3"/>
        <v>467</v>
      </c>
      <c r="G19" s="19"/>
      <c r="H19" s="19"/>
    </row>
    <row r="20" spans="1:8" ht="35.25" customHeight="1">
      <c r="A20" s="8">
        <v>45944</v>
      </c>
      <c r="B20" s="8"/>
      <c r="C20" s="14">
        <v>120412</v>
      </c>
      <c r="D20" s="14">
        <f t="shared" si="2"/>
        <v>159</v>
      </c>
      <c r="E20" s="15">
        <v>319739</v>
      </c>
      <c r="F20" s="15">
        <f t="shared" si="3"/>
        <v>424</v>
      </c>
      <c r="G20" s="19"/>
      <c r="H20" s="19"/>
    </row>
    <row r="21" spans="1:8" ht="35.25" customHeight="1">
      <c r="A21" s="8">
        <v>45945</v>
      </c>
      <c r="B21" s="8"/>
      <c r="C21" s="9">
        <v>120571</v>
      </c>
      <c r="D21" s="14">
        <f t="shared" si="2"/>
        <v>164</v>
      </c>
      <c r="E21" s="15">
        <v>320163</v>
      </c>
      <c r="F21" s="15">
        <f t="shared" si="3"/>
        <v>460</v>
      </c>
      <c r="G21" s="10"/>
      <c r="H21" s="10"/>
    </row>
    <row r="22" spans="1:8" ht="35.25" customHeight="1">
      <c r="A22" s="8">
        <v>45946</v>
      </c>
      <c r="B22" s="8"/>
      <c r="C22" s="9">
        <v>120735</v>
      </c>
      <c r="D22" s="14">
        <f t="shared" ref="D22:D27" si="4">C23-C22</f>
        <v>182</v>
      </c>
      <c r="E22" s="15">
        <v>320623</v>
      </c>
      <c r="F22" s="15">
        <f t="shared" ref="F22:F25" si="5">E23-E22</f>
        <v>487</v>
      </c>
      <c r="G22" s="10"/>
      <c r="H22" s="10"/>
    </row>
    <row r="23" spans="1:8" ht="35.25" customHeight="1">
      <c r="A23" s="8">
        <v>45947</v>
      </c>
      <c r="B23" s="8"/>
      <c r="C23" s="9">
        <v>120917</v>
      </c>
      <c r="D23" s="14">
        <f t="shared" si="4"/>
        <v>177</v>
      </c>
      <c r="E23" s="15">
        <v>321110</v>
      </c>
      <c r="F23" s="15">
        <f t="shared" si="5"/>
        <v>450</v>
      </c>
      <c r="G23" s="10"/>
      <c r="H23" s="10"/>
    </row>
    <row r="24" spans="1:8" ht="35.25" customHeight="1">
      <c r="A24" s="8">
        <v>45948</v>
      </c>
      <c r="B24" s="8"/>
      <c r="C24" s="9">
        <v>121094</v>
      </c>
      <c r="D24" s="14">
        <f t="shared" si="4"/>
        <v>182</v>
      </c>
      <c r="E24" s="15">
        <v>321560</v>
      </c>
      <c r="F24" s="15">
        <f t="shared" si="5"/>
        <v>515</v>
      </c>
      <c r="G24" s="10"/>
      <c r="H24" s="10"/>
    </row>
    <row r="25" spans="1:8" ht="35.25" customHeight="1">
      <c r="A25" s="8">
        <v>45949</v>
      </c>
      <c r="B25" s="8"/>
      <c r="C25" s="14">
        <v>121276</v>
      </c>
      <c r="D25" s="14">
        <f t="shared" si="4"/>
        <v>176</v>
      </c>
      <c r="E25" s="15">
        <v>322075</v>
      </c>
      <c r="F25" s="15">
        <f t="shared" si="5"/>
        <v>590</v>
      </c>
      <c r="G25" s="19"/>
      <c r="H25" s="19"/>
    </row>
    <row r="26" spans="1:8" ht="35.25" customHeight="1">
      <c r="A26" s="8">
        <v>45950</v>
      </c>
      <c r="B26" s="8"/>
      <c r="C26" s="14">
        <v>121452</v>
      </c>
      <c r="D26" s="14">
        <f t="shared" si="4"/>
        <v>175</v>
      </c>
      <c r="E26" s="15">
        <v>322665</v>
      </c>
      <c r="F26" s="15">
        <f t="shared" ref="F26:F37" si="6">E27-E26</f>
        <v>336</v>
      </c>
      <c r="G26" s="19"/>
      <c r="H26" s="19"/>
    </row>
    <row r="27" spans="1:8" ht="35.25" customHeight="1">
      <c r="A27" s="8">
        <v>45951</v>
      </c>
      <c r="B27" s="8"/>
      <c r="C27" s="14">
        <v>121627</v>
      </c>
      <c r="D27" s="14">
        <f t="shared" si="4"/>
        <v>192</v>
      </c>
      <c r="E27" s="15">
        <v>323001</v>
      </c>
      <c r="F27" s="15">
        <f t="shared" si="6"/>
        <v>596</v>
      </c>
      <c r="G27" s="19"/>
      <c r="H27" s="19"/>
    </row>
    <row r="28" spans="1:8" ht="35.25" customHeight="1">
      <c r="A28" s="8">
        <v>45952</v>
      </c>
      <c r="B28" s="8"/>
      <c r="C28" s="14">
        <v>121819</v>
      </c>
      <c r="D28" s="14">
        <f t="shared" ref="D28:D37" si="7">C29-C28</f>
        <v>188</v>
      </c>
      <c r="E28" s="15">
        <v>323597</v>
      </c>
      <c r="F28" s="15">
        <f t="shared" si="6"/>
        <v>393</v>
      </c>
      <c r="G28" s="19"/>
      <c r="H28" s="19"/>
    </row>
    <row r="29" spans="1:8" ht="35.25" customHeight="1">
      <c r="A29" s="8">
        <v>45953</v>
      </c>
      <c r="B29" s="8"/>
      <c r="C29" s="14">
        <v>122007</v>
      </c>
      <c r="D29" s="14">
        <f t="shared" si="7"/>
        <v>220</v>
      </c>
      <c r="E29" s="15">
        <v>323990</v>
      </c>
      <c r="F29" s="15">
        <f t="shared" si="6"/>
        <v>591</v>
      </c>
      <c r="G29" s="19"/>
      <c r="H29" s="19"/>
    </row>
    <row r="30" spans="1:8" ht="35.25" customHeight="1">
      <c r="A30" s="8">
        <v>45954</v>
      </c>
      <c r="B30" s="8"/>
      <c r="C30" s="14">
        <v>122227</v>
      </c>
      <c r="D30" s="14">
        <f t="shared" si="7"/>
        <v>232</v>
      </c>
      <c r="E30" s="15">
        <v>324581</v>
      </c>
      <c r="F30" s="15">
        <f t="shared" si="6"/>
        <v>482</v>
      </c>
      <c r="G30" s="19"/>
      <c r="H30" s="19"/>
    </row>
    <row r="31" spans="1:8" ht="35.25" customHeight="1">
      <c r="A31" s="8">
        <v>45955</v>
      </c>
      <c r="B31" s="8"/>
      <c r="C31" s="14">
        <v>122459</v>
      </c>
      <c r="D31" s="14">
        <f t="shared" si="7"/>
        <v>220</v>
      </c>
      <c r="E31" s="15">
        <v>325063</v>
      </c>
      <c r="F31" s="15">
        <f t="shared" si="6"/>
        <v>500</v>
      </c>
      <c r="G31" s="19"/>
      <c r="H31" s="19"/>
    </row>
    <row r="32" spans="1:8" ht="35.25" customHeight="1">
      <c r="A32" s="8">
        <v>45956</v>
      </c>
      <c r="B32" s="8"/>
      <c r="C32" s="14">
        <v>122679</v>
      </c>
      <c r="D32" s="14">
        <f t="shared" si="7"/>
        <v>208</v>
      </c>
      <c r="E32" s="15">
        <v>325563</v>
      </c>
      <c r="F32" s="15">
        <f t="shared" si="6"/>
        <v>380</v>
      </c>
      <c r="G32" s="19"/>
      <c r="H32" s="19"/>
    </row>
    <row r="33" spans="1:8" ht="35.25" customHeight="1">
      <c r="A33" s="8">
        <v>45957</v>
      </c>
      <c r="B33" s="8"/>
      <c r="C33" s="14">
        <v>122887</v>
      </c>
      <c r="D33" s="14">
        <f t="shared" si="7"/>
        <v>209</v>
      </c>
      <c r="E33" s="15">
        <v>325943</v>
      </c>
      <c r="F33" s="15">
        <f t="shared" si="6"/>
        <v>543</v>
      </c>
      <c r="G33" s="19"/>
      <c r="H33" s="19"/>
    </row>
    <row r="34" spans="1:8" ht="35.25" customHeight="1">
      <c r="A34" s="8">
        <v>45958</v>
      </c>
      <c r="B34" s="8"/>
      <c r="C34" s="14">
        <v>123096</v>
      </c>
      <c r="D34" s="14">
        <f t="shared" si="7"/>
        <v>322</v>
      </c>
      <c r="E34" s="15">
        <v>326486</v>
      </c>
      <c r="F34" s="15">
        <f t="shared" si="6"/>
        <v>545</v>
      </c>
      <c r="G34" s="19"/>
      <c r="H34" s="19"/>
    </row>
    <row r="35" spans="1:8" ht="35.25" customHeight="1">
      <c r="A35" s="8">
        <v>45959</v>
      </c>
      <c r="B35" s="8"/>
      <c r="C35" s="14">
        <v>123418</v>
      </c>
      <c r="D35" s="14">
        <f t="shared" si="7"/>
        <v>284</v>
      </c>
      <c r="E35" s="15">
        <v>327031</v>
      </c>
      <c r="F35" s="15">
        <f t="shared" si="6"/>
        <v>735</v>
      </c>
      <c r="G35" s="19"/>
      <c r="H35" s="19"/>
    </row>
    <row r="36" spans="1:8" ht="35.25" customHeight="1">
      <c r="A36" s="8">
        <v>45960</v>
      </c>
      <c r="B36" s="8"/>
      <c r="C36" s="14">
        <v>123702</v>
      </c>
      <c r="D36" s="14">
        <f t="shared" si="7"/>
        <v>271</v>
      </c>
      <c r="E36" s="15">
        <v>327766</v>
      </c>
      <c r="F36" s="15">
        <f t="shared" si="6"/>
        <v>549</v>
      </c>
      <c r="G36" s="19"/>
      <c r="H36" s="19"/>
    </row>
    <row r="37" spans="1:8" ht="49.5" customHeight="1">
      <c r="A37" s="8">
        <v>45961</v>
      </c>
      <c r="B37" s="8"/>
      <c r="C37" s="20">
        <v>123973</v>
      </c>
      <c r="D37" s="14">
        <f t="shared" si="7"/>
        <v>-123973</v>
      </c>
      <c r="E37" s="15">
        <v>328315</v>
      </c>
      <c r="F37" s="15">
        <f t="shared" si="6"/>
        <v>-328315</v>
      </c>
      <c r="G37" s="19"/>
      <c r="H37" s="19"/>
    </row>
    <row r="38" spans="1:8" ht="13.5"/>
    <row r="39" spans="1:8" ht="13.5"/>
  </sheetData>
  <mergeCells count="4">
    <mergeCell ref="A1:H1"/>
    <mergeCell ref="A4:A5"/>
    <mergeCell ref="G2:G5"/>
    <mergeCell ref="H2:H5"/>
  </mergeCells>
  <printOptions horizontalCentered="1" verticalCentered="1"/>
  <pageMargins left="0.25" right="0.25" top="0.75" bottom="0.75" header="0.3" footer="0.3"/>
  <pageSetup paperSize="9" scale="61" orientation="portrait"/>
  <headerFooter>
    <oddFooter>&amp;LPage &amp;P of &amp;N&amp;C
&amp;1#&amp;"Calibri"&amp;12&amp;K000000 Internal&amp;RQAH/DCT/eFM/IMS/OPHS/METREADWTR/0057 Rev 00   01/23/2019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zoomScale="85" zoomScaleNormal="85" zoomScaleSheetLayoutView="90" workbookViewId="0">
      <pane ySplit="5" topLeftCell="A34" activePane="bottomLeft" state="frozen"/>
      <selection pane="bottomLeft" activeCell="E39" sqref="E39"/>
    </sheetView>
  </sheetViews>
  <sheetFormatPr defaultColWidth="9" defaultRowHeight="14.45"/>
  <cols>
    <col min="1" max="2" width="21.375" customWidth="1"/>
    <col min="3" max="3" width="30.375" style="1" customWidth="1"/>
    <col min="4" max="4" width="20.375" style="1" customWidth="1"/>
    <col min="5" max="5" width="24.125" style="1" customWidth="1"/>
    <col min="6" max="6" width="20.375" style="1" customWidth="1"/>
    <col min="7" max="8" width="18.625" style="1" customWidth="1"/>
  </cols>
  <sheetData>
    <row r="1" spans="1:11" ht="60" customHeight="1">
      <c r="C1" s="44"/>
      <c r="D1" s="44"/>
      <c r="E1" s="44"/>
      <c r="F1" s="44"/>
      <c r="G1" s="44"/>
      <c r="H1" s="44"/>
      <c r="K1" s="12"/>
    </row>
    <row r="2" spans="1:11" s="1" customFormat="1" ht="54.75" customHeight="1">
      <c r="A2" s="2" t="s">
        <v>16</v>
      </c>
      <c r="B2" s="2" t="s">
        <v>17</v>
      </c>
      <c r="C2" s="3" t="s">
        <v>30</v>
      </c>
      <c r="D2" s="48" t="s">
        <v>31</v>
      </c>
      <c r="E2" s="3" t="s">
        <v>32</v>
      </c>
      <c r="F2" s="48" t="s">
        <v>33</v>
      </c>
      <c r="G2" s="49" t="s">
        <v>34</v>
      </c>
      <c r="H2" s="49" t="s">
        <v>20</v>
      </c>
    </row>
    <row r="3" spans="1:11" ht="24.95" customHeight="1">
      <c r="A3" s="2" t="s">
        <v>35</v>
      </c>
      <c r="B3" s="2"/>
      <c r="C3" s="3" t="s">
        <v>36</v>
      </c>
      <c r="D3" s="48"/>
      <c r="E3" s="3"/>
      <c r="F3" s="48"/>
      <c r="G3" s="50"/>
      <c r="H3" s="50" t="s">
        <v>20</v>
      </c>
    </row>
    <row r="4" spans="1:11" ht="46.5" customHeight="1">
      <c r="A4" s="45" t="s">
        <v>24</v>
      </c>
      <c r="B4" s="5"/>
      <c r="C4" s="3" t="s">
        <v>37</v>
      </c>
      <c r="D4" s="48"/>
      <c r="E4" s="4" t="s">
        <v>38</v>
      </c>
      <c r="F4" s="48"/>
      <c r="G4" s="50"/>
      <c r="H4" s="50"/>
    </row>
    <row r="5" spans="1:11" ht="24.95" customHeight="1">
      <c r="A5" s="46"/>
      <c r="B5" s="6"/>
      <c r="C5" s="7" t="s">
        <v>39</v>
      </c>
      <c r="D5" s="7" t="s">
        <v>39</v>
      </c>
      <c r="E5" s="7" t="s">
        <v>40</v>
      </c>
      <c r="F5" s="7" t="s">
        <v>40</v>
      </c>
      <c r="G5" s="51"/>
      <c r="H5" s="51"/>
    </row>
    <row r="6" spans="1:11" ht="39" customHeight="1">
      <c r="A6" s="8">
        <v>45930</v>
      </c>
      <c r="B6" s="8"/>
      <c r="C6" s="41">
        <v>4776958</v>
      </c>
      <c r="D6" s="9">
        <f>C7-C6</f>
        <v>7508</v>
      </c>
      <c r="E6" s="41">
        <v>22704</v>
      </c>
      <c r="F6" s="9">
        <f>E7-E6</f>
        <v>140</v>
      </c>
      <c r="G6" s="9"/>
      <c r="H6" s="9"/>
    </row>
    <row r="7" spans="1:11" ht="39" customHeight="1">
      <c r="A7" s="8">
        <v>45931</v>
      </c>
      <c r="B7" s="8"/>
      <c r="C7" s="9">
        <v>4784466</v>
      </c>
      <c r="D7" s="9">
        <f t="shared" ref="D7:D21" si="0">C8-C7</f>
        <v>6930</v>
      </c>
      <c r="E7" s="9">
        <v>22844</v>
      </c>
      <c r="F7" s="9">
        <f t="shared" ref="F7:F37" si="1">E8-E7</f>
        <v>163</v>
      </c>
      <c r="G7" s="9"/>
      <c r="H7" s="9"/>
    </row>
    <row r="8" spans="1:11" ht="39" customHeight="1">
      <c r="A8" s="8">
        <v>45932</v>
      </c>
      <c r="B8" s="8"/>
      <c r="C8" s="9">
        <v>4791396</v>
      </c>
      <c r="D8" s="9">
        <f t="shared" si="0"/>
        <v>7205</v>
      </c>
      <c r="E8" s="9">
        <v>23007</v>
      </c>
      <c r="F8" s="9">
        <f t="shared" si="1"/>
        <v>223</v>
      </c>
      <c r="G8" s="9"/>
      <c r="H8" s="9"/>
    </row>
    <row r="9" spans="1:11" ht="39" customHeight="1">
      <c r="A9" s="8">
        <v>45933</v>
      </c>
      <c r="B9" s="8"/>
      <c r="C9" s="9">
        <v>4798601</v>
      </c>
      <c r="D9" s="9">
        <f t="shared" si="0"/>
        <v>7178</v>
      </c>
      <c r="E9" s="9">
        <v>23230</v>
      </c>
      <c r="F9" s="9">
        <f t="shared" si="1"/>
        <v>142</v>
      </c>
      <c r="G9" s="9"/>
      <c r="H9" s="9"/>
    </row>
    <row r="10" spans="1:11" ht="39" customHeight="1">
      <c r="A10" s="8">
        <v>45934</v>
      </c>
      <c r="B10" s="8"/>
      <c r="C10" s="9">
        <v>4805779</v>
      </c>
      <c r="D10" s="9">
        <f t="shared" si="0"/>
        <v>5745</v>
      </c>
      <c r="E10" s="9">
        <v>23372</v>
      </c>
      <c r="F10" s="9">
        <f t="shared" si="1"/>
        <v>180</v>
      </c>
      <c r="G10" s="9"/>
      <c r="H10" s="9"/>
    </row>
    <row r="11" spans="1:11" ht="39" customHeight="1">
      <c r="A11" s="8">
        <v>45935</v>
      </c>
      <c r="B11" s="8"/>
      <c r="C11" s="9">
        <v>4811524</v>
      </c>
      <c r="D11" s="9">
        <f t="shared" si="0"/>
        <v>7338</v>
      </c>
      <c r="E11" s="9">
        <v>23552</v>
      </c>
      <c r="F11" s="9">
        <f t="shared" si="1"/>
        <v>142</v>
      </c>
      <c r="G11" s="9"/>
      <c r="H11" s="9"/>
    </row>
    <row r="12" spans="1:11" ht="39" customHeight="1">
      <c r="A12" s="8">
        <v>45936</v>
      </c>
      <c r="B12" s="8"/>
      <c r="C12" s="9">
        <v>4818862</v>
      </c>
      <c r="D12" s="9">
        <f t="shared" si="0"/>
        <v>6330</v>
      </c>
      <c r="E12" s="9">
        <v>23694</v>
      </c>
      <c r="F12" s="9">
        <f t="shared" si="1"/>
        <v>198</v>
      </c>
      <c r="G12" s="9"/>
      <c r="H12" s="9"/>
    </row>
    <row r="13" spans="1:11" ht="39" customHeight="1">
      <c r="A13" s="8">
        <v>45937</v>
      </c>
      <c r="B13" s="8"/>
      <c r="C13" s="10">
        <v>4825192</v>
      </c>
      <c r="D13" s="9">
        <f t="shared" si="0"/>
        <v>6443</v>
      </c>
      <c r="E13" s="9">
        <v>23892</v>
      </c>
      <c r="F13" s="9">
        <f t="shared" si="1"/>
        <v>148</v>
      </c>
      <c r="G13" s="9"/>
      <c r="H13" s="9"/>
    </row>
    <row r="14" spans="1:11" ht="39" customHeight="1">
      <c r="A14" s="8">
        <v>45938</v>
      </c>
      <c r="B14" s="8"/>
      <c r="C14" s="9">
        <v>4831635</v>
      </c>
      <c r="D14" s="9">
        <f t="shared" si="0"/>
        <v>5376</v>
      </c>
      <c r="E14" s="9">
        <v>24040</v>
      </c>
      <c r="F14" s="9">
        <f t="shared" si="1"/>
        <v>147</v>
      </c>
      <c r="G14" s="9"/>
      <c r="H14" s="9"/>
    </row>
    <row r="15" spans="1:11" ht="39" customHeight="1">
      <c r="A15" s="8">
        <v>45939</v>
      </c>
      <c r="B15" s="8"/>
      <c r="C15" s="9">
        <v>4837011</v>
      </c>
      <c r="D15" s="9">
        <f t="shared" si="0"/>
        <v>7106</v>
      </c>
      <c r="E15" s="9">
        <v>24187</v>
      </c>
      <c r="F15" s="9">
        <f t="shared" si="1"/>
        <v>157</v>
      </c>
      <c r="G15" s="9"/>
      <c r="H15" s="9"/>
    </row>
    <row r="16" spans="1:11" ht="39" customHeight="1">
      <c r="A16" s="8">
        <v>45940</v>
      </c>
      <c r="B16" s="8"/>
      <c r="C16" s="9">
        <v>4844117</v>
      </c>
      <c r="D16" s="9">
        <f t="shared" si="0"/>
        <v>6026</v>
      </c>
      <c r="E16" s="9">
        <v>24344</v>
      </c>
      <c r="F16" s="9">
        <f t="shared" si="1"/>
        <v>182</v>
      </c>
      <c r="G16" s="9"/>
      <c r="H16" s="9"/>
    </row>
    <row r="17" spans="1:8" ht="39" customHeight="1">
      <c r="A17" s="8">
        <v>45941</v>
      </c>
      <c r="B17" s="8"/>
      <c r="C17" s="9">
        <v>4850143</v>
      </c>
      <c r="D17" s="9">
        <f t="shared" si="0"/>
        <v>6221</v>
      </c>
      <c r="E17" s="9">
        <v>24526</v>
      </c>
      <c r="F17" s="9">
        <f t="shared" si="1"/>
        <v>150</v>
      </c>
      <c r="G17" s="9"/>
      <c r="H17" s="9"/>
    </row>
    <row r="18" spans="1:8" ht="39" customHeight="1">
      <c r="A18" s="8">
        <v>45942</v>
      </c>
      <c r="B18" s="8"/>
      <c r="C18" s="9">
        <v>4856364</v>
      </c>
      <c r="D18" s="9">
        <f t="shared" si="0"/>
        <v>5628</v>
      </c>
      <c r="E18" s="9">
        <v>24676</v>
      </c>
      <c r="F18" s="9">
        <f t="shared" si="1"/>
        <v>158</v>
      </c>
      <c r="G18" s="9"/>
      <c r="H18" s="9"/>
    </row>
    <row r="19" spans="1:8" ht="39" customHeight="1">
      <c r="A19" s="8">
        <v>45943</v>
      </c>
      <c r="B19" s="8"/>
      <c r="C19" s="9">
        <v>4861992</v>
      </c>
      <c r="D19" s="9">
        <f t="shared" si="0"/>
        <v>6146</v>
      </c>
      <c r="E19" s="1">
        <v>24834</v>
      </c>
      <c r="F19" s="9">
        <f t="shared" si="1"/>
        <v>166</v>
      </c>
      <c r="G19" s="9"/>
      <c r="H19" s="9"/>
    </row>
    <row r="20" spans="1:8" ht="39" customHeight="1">
      <c r="A20" s="8">
        <v>45944</v>
      </c>
      <c r="B20" s="8"/>
      <c r="C20" s="9">
        <v>4868138</v>
      </c>
      <c r="D20" s="9">
        <f t="shared" si="0"/>
        <v>6074</v>
      </c>
      <c r="E20" s="9">
        <v>25000</v>
      </c>
      <c r="F20" s="9">
        <f t="shared" si="1"/>
        <v>159</v>
      </c>
      <c r="G20" s="9"/>
      <c r="H20" s="9"/>
    </row>
    <row r="21" spans="1:8" ht="39" customHeight="1">
      <c r="A21" s="8">
        <v>45945</v>
      </c>
      <c r="B21" s="8"/>
      <c r="C21" s="9">
        <v>4874212</v>
      </c>
      <c r="D21" s="9">
        <f t="shared" si="0"/>
        <v>5757</v>
      </c>
      <c r="E21" s="9">
        <v>25159</v>
      </c>
      <c r="F21" s="9">
        <f t="shared" si="1"/>
        <v>165</v>
      </c>
      <c r="G21" s="9"/>
      <c r="H21" s="9"/>
    </row>
    <row r="22" spans="1:8" ht="39" customHeight="1">
      <c r="A22" s="8">
        <v>45946</v>
      </c>
      <c r="B22" s="8"/>
      <c r="C22" s="9">
        <v>4879969</v>
      </c>
      <c r="D22" s="9">
        <f t="shared" ref="D22:D27" si="2">C23-C22</f>
        <v>5828</v>
      </c>
      <c r="E22" s="9">
        <v>25324</v>
      </c>
      <c r="F22" s="9">
        <f t="shared" si="1"/>
        <v>160</v>
      </c>
      <c r="G22" s="9"/>
      <c r="H22" s="9"/>
    </row>
    <row r="23" spans="1:8" ht="39" customHeight="1">
      <c r="A23" s="8">
        <v>45947</v>
      </c>
      <c r="B23" s="8"/>
      <c r="C23" s="9">
        <v>4885797</v>
      </c>
      <c r="D23" s="9">
        <f t="shared" si="2"/>
        <v>5747</v>
      </c>
      <c r="E23" s="9">
        <v>25484</v>
      </c>
      <c r="F23" s="9">
        <f t="shared" si="1"/>
        <v>161</v>
      </c>
      <c r="G23" s="9"/>
      <c r="H23" s="9"/>
    </row>
    <row r="24" spans="1:8" ht="39" customHeight="1">
      <c r="A24" s="8">
        <v>45948</v>
      </c>
      <c r="B24" s="8"/>
      <c r="C24" s="9">
        <v>4891544</v>
      </c>
      <c r="D24" s="9">
        <f t="shared" si="2"/>
        <v>5836</v>
      </c>
      <c r="E24" s="9">
        <v>25645</v>
      </c>
      <c r="F24" s="9">
        <f t="shared" si="1"/>
        <v>165</v>
      </c>
      <c r="G24" s="9"/>
      <c r="H24" s="9"/>
    </row>
    <row r="25" spans="1:8" ht="39" customHeight="1">
      <c r="A25" s="8">
        <v>45949</v>
      </c>
      <c r="B25" s="8"/>
      <c r="C25" s="9">
        <v>4897380</v>
      </c>
      <c r="D25" s="9">
        <f t="shared" si="2"/>
        <v>5507</v>
      </c>
      <c r="E25" s="9">
        <v>25810</v>
      </c>
      <c r="F25" s="9">
        <f t="shared" si="1"/>
        <v>107</v>
      </c>
      <c r="G25" s="9"/>
      <c r="H25" s="9"/>
    </row>
    <row r="26" spans="1:8" ht="39" customHeight="1">
      <c r="A26" s="8">
        <v>45950</v>
      </c>
      <c r="B26" s="8"/>
      <c r="C26" s="9">
        <v>4902887</v>
      </c>
      <c r="D26" s="9">
        <f t="shared" si="2"/>
        <v>5715</v>
      </c>
      <c r="E26" s="9">
        <v>25917</v>
      </c>
      <c r="F26" s="9">
        <f t="shared" si="1"/>
        <v>175</v>
      </c>
      <c r="G26" s="9"/>
      <c r="H26" s="9"/>
    </row>
    <row r="27" spans="1:8" ht="39" customHeight="1">
      <c r="A27" s="8">
        <v>45951</v>
      </c>
      <c r="B27" s="8"/>
      <c r="C27" s="11">
        <v>4908602</v>
      </c>
      <c r="D27" s="9">
        <f t="shared" si="2"/>
        <v>5614</v>
      </c>
      <c r="E27" s="9">
        <v>26092</v>
      </c>
      <c r="F27" s="9">
        <f t="shared" si="1"/>
        <v>127</v>
      </c>
      <c r="G27" s="9"/>
      <c r="H27" s="9"/>
    </row>
    <row r="28" spans="1:8" ht="39" customHeight="1">
      <c r="A28" s="8">
        <v>45952</v>
      </c>
      <c r="B28" s="8"/>
      <c r="C28" s="9">
        <v>4914216</v>
      </c>
      <c r="D28" s="9">
        <f t="shared" ref="D28:D37" si="3">C29-C28</f>
        <v>6023</v>
      </c>
      <c r="E28" s="9">
        <v>26219</v>
      </c>
      <c r="F28" s="9">
        <f t="shared" si="1"/>
        <v>147</v>
      </c>
      <c r="G28" s="9"/>
      <c r="H28" s="9"/>
    </row>
    <row r="29" spans="1:8" ht="39" customHeight="1">
      <c r="A29" s="8">
        <v>45953</v>
      </c>
      <c r="B29" s="8"/>
      <c r="C29" s="11">
        <v>4920239</v>
      </c>
      <c r="D29" s="9">
        <f t="shared" si="3"/>
        <v>5759</v>
      </c>
      <c r="E29" s="9">
        <v>26366</v>
      </c>
      <c r="F29" s="9">
        <f t="shared" si="1"/>
        <v>150</v>
      </c>
      <c r="G29" s="9"/>
      <c r="H29" s="9"/>
    </row>
    <row r="30" spans="1:8" ht="39" customHeight="1">
      <c r="A30" s="8">
        <v>45954</v>
      </c>
      <c r="B30" s="8"/>
      <c r="C30" s="11">
        <v>4925998</v>
      </c>
      <c r="D30" s="9">
        <f t="shared" si="3"/>
        <v>5517</v>
      </c>
      <c r="E30" s="9">
        <v>26516</v>
      </c>
      <c r="F30" s="9">
        <f t="shared" si="1"/>
        <v>167</v>
      </c>
      <c r="G30" s="9"/>
      <c r="H30" s="9"/>
    </row>
    <row r="31" spans="1:8" ht="39" customHeight="1">
      <c r="A31" s="8">
        <v>45955</v>
      </c>
      <c r="B31" s="8"/>
      <c r="C31" s="11">
        <v>4931515</v>
      </c>
      <c r="D31" s="9">
        <f t="shared" si="3"/>
        <v>5345</v>
      </c>
      <c r="E31" s="1">
        <v>26683</v>
      </c>
      <c r="F31" s="9">
        <f t="shared" si="1"/>
        <v>157</v>
      </c>
      <c r="G31" s="9"/>
      <c r="H31" s="9"/>
    </row>
    <row r="32" spans="1:8" ht="39" customHeight="1">
      <c r="A32" s="8">
        <v>45956</v>
      </c>
      <c r="B32" s="8"/>
      <c r="C32" s="9">
        <v>4936860</v>
      </c>
      <c r="D32" s="9">
        <f t="shared" si="3"/>
        <v>4907</v>
      </c>
      <c r="E32" s="9">
        <v>26840</v>
      </c>
      <c r="F32" s="9">
        <f t="shared" si="1"/>
        <v>161</v>
      </c>
      <c r="G32" s="9"/>
      <c r="H32" s="9"/>
    </row>
    <row r="33" spans="1:8" ht="39" customHeight="1">
      <c r="A33" s="8">
        <v>45957</v>
      </c>
      <c r="B33" s="8"/>
      <c r="C33" s="9">
        <v>4941767</v>
      </c>
      <c r="D33" s="9">
        <f t="shared" si="3"/>
        <v>5350</v>
      </c>
      <c r="E33" s="9">
        <v>27001</v>
      </c>
      <c r="F33" s="9">
        <f t="shared" si="1"/>
        <v>164</v>
      </c>
      <c r="G33" s="9"/>
      <c r="H33" s="9"/>
    </row>
    <row r="34" spans="1:8" ht="39" customHeight="1">
      <c r="A34" s="8">
        <v>45958</v>
      </c>
      <c r="B34" s="8"/>
      <c r="C34" s="9">
        <v>4947117</v>
      </c>
      <c r="D34" s="9">
        <f t="shared" si="3"/>
        <v>6066</v>
      </c>
      <c r="E34" s="9">
        <v>27165</v>
      </c>
      <c r="F34" s="9">
        <f t="shared" si="1"/>
        <v>299</v>
      </c>
      <c r="G34" s="9"/>
      <c r="H34" s="9"/>
    </row>
    <row r="35" spans="1:8" ht="39" customHeight="1">
      <c r="A35" s="8">
        <v>45959</v>
      </c>
      <c r="B35" s="8"/>
      <c r="C35" s="9">
        <v>4953183</v>
      </c>
      <c r="D35" s="9">
        <f t="shared" si="3"/>
        <v>7864</v>
      </c>
      <c r="E35" s="9">
        <v>27464</v>
      </c>
      <c r="F35" s="9">
        <f t="shared" si="1"/>
        <v>131</v>
      </c>
      <c r="G35" s="9"/>
      <c r="H35" s="9"/>
    </row>
    <row r="36" spans="1:8" ht="39" customHeight="1">
      <c r="A36" s="36">
        <v>45960</v>
      </c>
      <c r="B36" s="36"/>
      <c r="C36" s="37">
        <v>4961047</v>
      </c>
      <c r="D36" s="9">
        <f t="shared" si="3"/>
        <v>6539</v>
      </c>
      <c r="E36" s="37">
        <v>27595</v>
      </c>
      <c r="F36" s="9">
        <f t="shared" si="1"/>
        <v>216</v>
      </c>
      <c r="G36" s="37"/>
      <c r="H36" s="37"/>
    </row>
    <row r="37" spans="1:8" ht="44.25" customHeight="1">
      <c r="A37" s="35">
        <v>45961</v>
      </c>
      <c r="B37" s="39"/>
      <c r="C37" s="40">
        <v>4967586</v>
      </c>
      <c r="D37" s="9">
        <f t="shared" si="3"/>
        <v>-4967586</v>
      </c>
      <c r="E37" s="40">
        <v>27811</v>
      </c>
      <c r="F37" s="9">
        <f t="shared" si="1"/>
        <v>-27811</v>
      </c>
      <c r="G37" s="40"/>
      <c r="H37" s="38"/>
    </row>
    <row r="38" spans="1:8" ht="13.5"/>
  </sheetData>
  <mergeCells count="6">
    <mergeCell ref="C1:H1"/>
    <mergeCell ref="A4:A5"/>
    <mergeCell ref="D2:D4"/>
    <mergeCell ref="F2:F4"/>
    <mergeCell ref="G2:G5"/>
    <mergeCell ref="H2:H5"/>
  </mergeCells>
  <pageMargins left="0.25" right="0.25" top="0.75" bottom="0.75" header="0.3" footer="0.3"/>
  <pageSetup paperSize="9" scale="55" fitToWidth="0" orientation="portrait"/>
  <headerFooter>
    <oddFooter>&amp;LPage &amp;P of &amp;N&amp;C
&amp;1#&amp;"Calibri"&amp;12&amp;K000000 Internal&amp;RQAH/DCT/eFM/IMS/OPHS/METREADPWR-FMC/0058 Rev 00 01/23/2019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Guest User</cp:lastModifiedBy>
  <cp:revision/>
  <dcterms:created xsi:type="dcterms:W3CDTF">2018-12-27T05:07:00Z</dcterms:created>
  <dcterms:modified xsi:type="dcterms:W3CDTF">2025-11-11T08:09:35Z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ICV">
    <vt:lpwstr>E6371DE6FC18476F94C763DDA609C434_13</vt:lpwstr>
  </property>
  <property fmtid="{D5CDD505-2E9C-101B-9397-08002B2CF9AE}" pid="10" name="KSOProductBuildVer">
    <vt:lpwstr>1033-12.2.0.21931</vt:lpwstr>
  </property>
</Properties>
</file>