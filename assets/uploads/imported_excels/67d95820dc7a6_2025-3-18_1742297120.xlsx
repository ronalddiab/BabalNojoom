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2/"/>
    </mc:Choice>
  </mc:AlternateContent>
  <xr:revisionPtr revIDLastSave="689" documentId="8_{8847650D-614C-4264-8C87-30D8B5EB4252}" xr6:coauthVersionLast="47" xr6:coauthVersionMax="47" xr10:uidLastSave="{55BE03BF-580D-460D-B17C-8639B228CCB8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C4" i="6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<sst xmlns="http://schemas.openxmlformats.org/spreadsheetml/2006/main" count="123" uniqueCount="88">
  <si>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</si>
  <si>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</si>
  <si>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</si>
  <si>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</si>
  <si>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</si>
  <si>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</si>
  <si>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</si>
  <si>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</si>
  <si>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</si>
  <si>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</si>
  <si>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</si>
  <si>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</si>
  <si>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</si>
  <si>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</si>
  <si>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</si>
  <si>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</si>
  <si>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</si>
  <si>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</si>
  <si>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</si>
  <si>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</si>
  <si>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</si>
  <si>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</si>
  <si>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</si>
  <si>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</si>
  <si>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</si>
  <si>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</si>
  <si>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</si>
  <si>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</si>
  <si>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</si>
  <si>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</si>
  <si>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</si>
  <si>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</si>
  <si>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</si>
  <si>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</si>
  <si>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</si>
  <si>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</si>
  <si>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</si>
  <si>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</si>
  <si>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</si>
  <si>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</si>
  <si>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</si>
  <si>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</si>
  <si>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</si>
  <si>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</si>
  <si>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</si>
  <si>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</si>
  <si>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</si>
  <si>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</si>
  <si>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</si>
  <si>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</si>
  <si>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</si>
  <si>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</si>
  <si>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</si>
  <si>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</si>
  <si>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</si>
  <si>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</si>
  <si>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</si>
  <si>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</si>
  <si>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</si>
  <si>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</si>
  <si>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</si>
  <si>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</si>
  <si>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</si>
  <si>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</si>
  <si>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</si>
  <si>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</si>
  <si>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</si>
  <si>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</si>
  <si>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</si>
  <si>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</si>
  <si>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</si>
  <si>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</si>
  <si>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</si>
  <si>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</si>
  <si>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</si>
  <si>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</si>
  <si>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</si>
  <si>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</si>
  <si>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</si>
  <si>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31</t>
  </si>
  <si>
    <t>Occupied</t>
  </si>
  <si>
    <t># Guest</t>
  </si>
  <si>
    <t>Date</t>
  </si>
  <si>
    <t>TOTAL MTD</t>
  </si>
  <si>
    <t>DAILY GAS METER READINGS &amp; CONSUMPTION (Liters) MAY 2022</t>
  </si>
  <si>
    <t>Occupied Room &amp; Number of Guest
May 2022</t>
  </si>
  <si>
    <t>DAILY ELECTRICITY METER READINGS &amp; CONSUMPTION MAY 2022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</si>
  <si>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MAY 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</si>
</sst>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9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9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 wrapText="1"/>
    </xf>
    <xf numFmtId="169" fontId="28" fillId="0" borderId="2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5</v>
      </c>
      <c r="D2" s="10">
        <v>2022</v>
      </c>
      <c r="E2" s="4" cm="1">
        <f t="array" ref="E2:E32">TRANSPOSE(Electricity!E21:AI21)</f>
        <v>35061</v>
      </c>
      <c r="F2" s="11">
        <v>0.2</v>
      </c>
      <c r="G2" s="4">
        <f>LPG!C4</f>
        <v>2031.0906451612902</v>
      </c>
      <c r="H2" s="11">
        <v>2.0999982370825401</v>
      </c>
      <c r="I2" s="4" cm="1">
        <f t="array" ref="I2:I32">TRANSPOSE(Water!E15:AI15)</f>
        <v>223.64499999999597</v>
      </c>
      <c r="J2" s="11">
        <v>7.84</v>
      </c>
      <c r="K2" s="4">
        <f>'Occupied &amp; No. of Guest'!B3</f>
        <v>322</v>
      </c>
      <c r="L2" s="4">
        <f>'Occupied &amp; No. of Guest'!C3</f>
        <v>474</v>
      </c>
    </row>
    <row r="3" spans="1:12" x14ac:dyDescent="0.25">
      <c r="A3" s="9" t="s">
        <v>52</v>
      </c>
      <c r="B3" s="10">
        <f>B2+1</f>
        <v>2</v>
      </c>
      <c r="C3" s="10">
        <v>5</v>
      </c>
      <c r="D3" s="10">
        <v>2022</v>
      </c>
      <c r="E3" s="4">
        <v>35114</v>
      </c>
      <c r="F3" s="11">
        <v>0.2</v>
      </c>
      <c r="G3" s="4">
        <f>LPG!C5</f>
        <v>2031.0906451612902</v>
      </c>
      <c r="H3" s="11">
        <v>2.0999982370825401</v>
      </c>
      <c r="I3" s="4">
        <v>188.94900000001036</v>
      </c>
      <c r="J3" s="11">
        <v>7.84</v>
      </c>
      <c r="K3" s="4">
        <f>'Occupied &amp; No. of Guest'!B4</f>
        <v>356</v>
      </c>
      <c r="L3" s="4">
        <f>'Occupied &amp; No. of Guest'!C4</f>
        <v>536</v>
      </c>
    </row>
    <row r="4" spans="1:12" x14ac:dyDescent="0.25">
      <c r="A4" s="9" t="s">
        <v>52</v>
      </c>
      <c r="B4" s="10">
        <f t="shared" ref="B4:B32" si="0">B3+1</f>
        <v>3</v>
      </c>
      <c r="C4" s="10">
        <v>5</v>
      </c>
      <c r="D4" s="10">
        <v>2022</v>
      </c>
      <c r="E4" s="4">
        <v>35490</v>
      </c>
      <c r="F4" s="11">
        <v>0.2</v>
      </c>
      <c r="G4" s="4">
        <f>LPG!C6</f>
        <v>2031.0906451612902</v>
      </c>
      <c r="H4" s="11">
        <v>2.0999982370825401</v>
      </c>
      <c r="I4" s="4">
        <v>251.22500000000761</v>
      </c>
      <c r="J4" s="11">
        <v>7.84</v>
      </c>
      <c r="K4" s="4">
        <f>'Occupied &amp; No. of Guest'!B5</f>
        <v>403</v>
      </c>
      <c r="L4" s="4">
        <f>'Occupied &amp; No. of Guest'!C5</f>
        <v>627</v>
      </c>
    </row>
    <row r="5" spans="1:12" x14ac:dyDescent="0.25">
      <c r="A5" s="9" t="s">
        <v>52</v>
      </c>
      <c r="B5" s="10">
        <f t="shared" si="0"/>
        <v>4</v>
      </c>
      <c r="C5" s="10">
        <v>5</v>
      </c>
      <c r="D5" s="10">
        <v>2022</v>
      </c>
      <c r="E5" s="4">
        <v>34328</v>
      </c>
      <c r="F5" s="11">
        <v>0.2</v>
      </c>
      <c r="G5" s="4">
        <f>LPG!C7</f>
        <v>2031.0906451612902</v>
      </c>
      <c r="H5" s="11">
        <v>2.0999982370825401</v>
      </c>
      <c r="I5" s="4">
        <v>283.4219999999703</v>
      </c>
      <c r="J5" s="11">
        <v>7.84</v>
      </c>
      <c r="K5" s="4">
        <f>'Occupied &amp; No. of Guest'!B6</f>
        <v>399</v>
      </c>
      <c r="L5" s="4">
        <f>'Occupied &amp; No. of Guest'!C6</f>
        <v>615</v>
      </c>
    </row>
    <row r="6" spans="1:12" x14ac:dyDescent="0.25">
      <c r="A6" s="9" t="s">
        <v>52</v>
      </c>
      <c r="B6" s="10">
        <f t="shared" si="0"/>
        <v>5</v>
      </c>
      <c r="C6" s="10">
        <v>5</v>
      </c>
      <c r="D6" s="10">
        <v>2022</v>
      </c>
      <c r="E6" s="4">
        <v>37313</v>
      </c>
      <c r="F6" s="11">
        <v>0.2</v>
      </c>
      <c r="G6" s="4">
        <f>LPG!C8</f>
        <v>2031.0906451612902</v>
      </c>
      <c r="H6" s="11">
        <v>2.0999982370825401</v>
      </c>
      <c r="I6" s="4">
        <v>265.50000000001796</v>
      </c>
      <c r="J6" s="11">
        <v>7.84</v>
      </c>
      <c r="K6" s="4">
        <f>'Occupied &amp; No. of Guest'!B7</f>
        <v>427</v>
      </c>
      <c r="L6" s="4">
        <f>'Occupied &amp; No. of Guest'!C7</f>
        <v>627</v>
      </c>
    </row>
    <row r="7" spans="1:12" x14ac:dyDescent="0.25">
      <c r="A7" s="9" t="s">
        <v>52</v>
      </c>
      <c r="B7" s="10">
        <f t="shared" si="0"/>
        <v>6</v>
      </c>
      <c r="C7" s="10">
        <v>5</v>
      </c>
      <c r="D7" s="10">
        <v>2022</v>
      </c>
      <c r="E7" s="4">
        <v>36100</v>
      </c>
      <c r="F7" s="11">
        <v>0.2</v>
      </c>
      <c r="G7" s="4">
        <f>LPG!C9</f>
        <v>2031.0906451612902</v>
      </c>
      <c r="H7" s="11">
        <v>2.0999982370825401</v>
      </c>
      <c r="I7" s="4">
        <v>254.4920000000443</v>
      </c>
      <c r="J7" s="11">
        <v>7.84</v>
      </c>
      <c r="K7" s="4">
        <f>'Occupied &amp; No. of Guest'!B8</f>
        <v>400</v>
      </c>
      <c r="L7" s="4">
        <f>'Occupied &amp; No. of Guest'!C8</f>
        <v>604</v>
      </c>
    </row>
    <row r="8" spans="1:12" x14ac:dyDescent="0.25">
      <c r="A8" s="9" t="s">
        <v>52</v>
      </c>
      <c r="B8" s="10">
        <f t="shared" si="0"/>
        <v>7</v>
      </c>
      <c r="C8" s="10">
        <v>5</v>
      </c>
      <c r="D8" s="10">
        <v>2022</v>
      </c>
      <c r="E8" s="4">
        <v>37125</v>
      </c>
      <c r="F8" s="11">
        <v>0.2</v>
      </c>
      <c r="G8" s="4">
        <f>LPG!C10</f>
        <v>2031.0906451612902</v>
      </c>
      <c r="H8" s="11">
        <v>2.0999982370825401</v>
      </c>
      <c r="I8" s="4">
        <v>296.48599999997145</v>
      </c>
      <c r="J8" s="11">
        <v>7.84</v>
      </c>
      <c r="K8" s="4">
        <f>'Occupied &amp; No. of Guest'!B9</f>
        <v>329</v>
      </c>
      <c r="L8" s="4">
        <f>'Occupied &amp; No. of Guest'!C9</f>
        <v>439</v>
      </c>
    </row>
    <row r="9" spans="1:12" x14ac:dyDescent="0.25">
      <c r="A9" s="9" t="s">
        <v>52</v>
      </c>
      <c r="B9" s="10">
        <f t="shared" si="0"/>
        <v>8</v>
      </c>
      <c r="C9" s="10">
        <v>5</v>
      </c>
      <c r="D9" s="10">
        <v>2022</v>
      </c>
      <c r="E9" s="4">
        <v>36503</v>
      </c>
      <c r="F9" s="11">
        <v>0.2</v>
      </c>
      <c r="G9" s="4">
        <f>LPG!C11</f>
        <v>2031.0906451612902</v>
      </c>
      <c r="H9" s="11">
        <v>2.0999982370825401</v>
      </c>
      <c r="I9" s="4">
        <v>275.04099999997271</v>
      </c>
      <c r="J9" s="11">
        <v>7.84</v>
      </c>
      <c r="K9" s="4">
        <f>'Occupied &amp; No. of Guest'!B10</f>
        <v>303</v>
      </c>
      <c r="L9" s="4">
        <f>'Occupied &amp; No. of Guest'!C10</f>
        <v>359</v>
      </c>
    </row>
    <row r="10" spans="1:12" x14ac:dyDescent="0.25">
      <c r="A10" s="9" t="s">
        <v>52</v>
      </c>
      <c r="B10" s="10">
        <f t="shared" si="0"/>
        <v>9</v>
      </c>
      <c r="C10" s="10">
        <v>5</v>
      </c>
      <c r="D10" s="10">
        <v>2022</v>
      </c>
      <c r="E10" s="4">
        <v>35915</v>
      </c>
      <c r="F10" s="11">
        <v>0.2</v>
      </c>
      <c r="G10" s="4">
        <f>LPG!C12</f>
        <v>2031.0906451612902</v>
      </c>
      <c r="H10" s="11">
        <v>2.0999982370825401</v>
      </c>
      <c r="I10" s="4">
        <v>252.44000000004536</v>
      </c>
      <c r="J10" s="11">
        <v>7.84</v>
      </c>
      <c r="K10" s="4">
        <f>'Occupied &amp; No. of Guest'!B11</f>
        <v>327</v>
      </c>
      <c r="L10" s="4">
        <f>'Occupied &amp; No. of Guest'!C11</f>
        <v>377</v>
      </c>
    </row>
    <row r="11" spans="1:12" x14ac:dyDescent="0.25">
      <c r="A11" s="9" t="s">
        <v>52</v>
      </c>
      <c r="B11" s="10">
        <f t="shared" si="0"/>
        <v>10</v>
      </c>
      <c r="C11" s="10">
        <v>5</v>
      </c>
      <c r="D11" s="10">
        <v>2022</v>
      </c>
      <c r="E11" s="4">
        <v>35704</v>
      </c>
      <c r="F11" s="11">
        <v>0.2</v>
      </c>
      <c r="G11" s="4">
        <f>LPG!C13</f>
        <v>2031.0906451612902</v>
      </c>
      <c r="H11" s="11">
        <v>2.0999982370825401</v>
      </c>
      <c r="I11" s="4">
        <v>239.43599999997141</v>
      </c>
      <c r="J11" s="11">
        <v>7.84</v>
      </c>
      <c r="K11" s="4">
        <f>'Occupied &amp; No. of Guest'!B12</f>
        <v>319</v>
      </c>
      <c r="L11" s="4">
        <f>'Occupied &amp; No. of Guest'!C12</f>
        <v>373</v>
      </c>
    </row>
    <row r="12" spans="1:12" x14ac:dyDescent="0.25">
      <c r="A12" s="9" t="s">
        <v>52</v>
      </c>
      <c r="B12" s="10">
        <f t="shared" si="0"/>
        <v>11</v>
      </c>
      <c r="C12" s="10">
        <v>5</v>
      </c>
      <c r="D12" s="10">
        <v>2022</v>
      </c>
      <c r="E12" s="4">
        <v>35926</v>
      </c>
      <c r="F12" s="11">
        <v>0.2</v>
      </c>
      <c r="G12" s="4">
        <f>LPG!C14</f>
        <v>2031.0906451612902</v>
      </c>
      <c r="H12" s="11">
        <v>2.0999982370825401</v>
      </c>
      <c r="I12" s="4">
        <v>272.49599999998725</v>
      </c>
      <c r="J12" s="11">
        <v>7.84</v>
      </c>
      <c r="K12" s="4">
        <f>'Occupied &amp; No. of Guest'!B13</f>
        <v>307</v>
      </c>
      <c r="L12" s="4">
        <f>'Occupied &amp; No. of Guest'!C13</f>
        <v>355</v>
      </c>
    </row>
    <row r="13" spans="1:12" x14ac:dyDescent="0.25">
      <c r="A13" s="9" t="s">
        <v>52</v>
      </c>
      <c r="B13" s="10">
        <f t="shared" si="0"/>
        <v>12</v>
      </c>
      <c r="C13" s="10">
        <v>5</v>
      </c>
      <c r="D13" s="10">
        <v>2022</v>
      </c>
      <c r="E13" s="4">
        <v>35111</v>
      </c>
      <c r="F13" s="11">
        <v>0.2</v>
      </c>
      <c r="G13" s="4">
        <f>LPG!C15</f>
        <v>2031.0906451612902</v>
      </c>
      <c r="H13" s="11">
        <v>2.0999982370825401</v>
      </c>
      <c r="I13" s="4">
        <v>256.25300000003608</v>
      </c>
      <c r="J13" s="11">
        <v>7.84</v>
      </c>
      <c r="K13" s="4">
        <f>'Occupied &amp; No. of Guest'!B14</f>
        <v>284</v>
      </c>
      <c r="L13" s="4">
        <f>'Occupied &amp; No. of Guest'!C14</f>
        <v>327</v>
      </c>
    </row>
    <row r="14" spans="1:12" x14ac:dyDescent="0.25">
      <c r="A14" s="9" t="s">
        <v>52</v>
      </c>
      <c r="B14" s="10">
        <f t="shared" si="0"/>
        <v>13</v>
      </c>
      <c r="C14" s="10">
        <v>5</v>
      </c>
      <c r="D14" s="10">
        <v>2022</v>
      </c>
      <c r="E14" s="4">
        <v>35527</v>
      </c>
      <c r="F14" s="11">
        <v>0.2</v>
      </c>
      <c r="G14" s="4">
        <f>LPG!C16</f>
        <v>2031.0906451612902</v>
      </c>
      <c r="H14" s="11">
        <v>2.0999982370825401</v>
      </c>
      <c r="I14" s="4">
        <v>175.95299999997684</v>
      </c>
      <c r="J14" s="11">
        <v>7.84</v>
      </c>
      <c r="K14" s="4">
        <f>'Occupied &amp; No. of Guest'!B15</f>
        <v>273</v>
      </c>
      <c r="L14" s="4">
        <f>'Occupied &amp; No. of Guest'!C15</f>
        <v>343</v>
      </c>
    </row>
    <row r="15" spans="1:12" x14ac:dyDescent="0.25">
      <c r="A15" s="9" t="s">
        <v>52</v>
      </c>
      <c r="B15" s="10">
        <f t="shared" si="0"/>
        <v>14</v>
      </c>
      <c r="C15" s="10">
        <v>5</v>
      </c>
      <c r="D15" s="10">
        <v>2022</v>
      </c>
      <c r="E15" s="4">
        <v>35709</v>
      </c>
      <c r="F15" s="11">
        <v>0.2</v>
      </c>
      <c r="G15" s="4">
        <f>LPG!C17</f>
        <v>2031.0906451612902</v>
      </c>
      <c r="H15" s="11">
        <v>2.0999982370825401</v>
      </c>
      <c r="I15" s="4">
        <v>266.22600000002728</v>
      </c>
      <c r="J15" s="11">
        <v>7.84</v>
      </c>
      <c r="K15" s="4">
        <f>'Occupied &amp; No. of Guest'!B16</f>
        <v>262</v>
      </c>
      <c r="L15" s="4">
        <f>'Occupied &amp; No. of Guest'!C16</f>
        <v>314</v>
      </c>
    </row>
    <row r="16" spans="1:12" x14ac:dyDescent="0.25">
      <c r="A16" s="9" t="s">
        <v>52</v>
      </c>
      <c r="B16" s="10">
        <f t="shared" si="0"/>
        <v>15</v>
      </c>
      <c r="C16" s="10">
        <v>5</v>
      </c>
      <c r="D16" s="10">
        <v>2022</v>
      </c>
      <c r="E16" s="4">
        <v>33899</v>
      </c>
      <c r="F16" s="11">
        <v>0.2</v>
      </c>
      <c r="G16" s="4">
        <f>LPG!C18</f>
        <v>2031.0906451612902</v>
      </c>
      <c r="H16" s="11">
        <v>2.0999982370825401</v>
      </c>
      <c r="I16" s="4">
        <v>190.1539999999884</v>
      </c>
      <c r="J16" s="11">
        <v>7.84</v>
      </c>
      <c r="K16" s="4">
        <f>'Occupied &amp; No. of Guest'!B17</f>
        <v>265</v>
      </c>
      <c r="L16" s="4">
        <f>'Occupied &amp; No. of Guest'!C17</f>
        <v>301</v>
      </c>
    </row>
    <row r="17" spans="1:12" x14ac:dyDescent="0.25">
      <c r="A17" s="9" t="s">
        <v>52</v>
      </c>
      <c r="B17" s="10">
        <f t="shared" si="0"/>
        <v>16</v>
      </c>
      <c r="C17" s="10">
        <v>5</v>
      </c>
      <c r="D17" s="10">
        <v>2022</v>
      </c>
      <c r="E17" s="4">
        <v>34908</v>
      </c>
      <c r="F17" s="11">
        <v>0.2</v>
      </c>
      <c r="G17" s="4">
        <f>LPG!C19</f>
        <v>2031.0906451612902</v>
      </c>
      <c r="H17" s="11">
        <v>2.0999982370825401</v>
      </c>
      <c r="I17" s="4">
        <v>233.13399999999072</v>
      </c>
      <c r="J17" s="11">
        <v>7.84</v>
      </c>
      <c r="K17" s="4">
        <f>'Occupied &amp; No. of Guest'!B18</f>
        <v>282</v>
      </c>
      <c r="L17" s="4">
        <f>'Occupied &amp; No. of Guest'!C18</f>
        <v>328</v>
      </c>
    </row>
    <row r="18" spans="1:12" x14ac:dyDescent="0.25">
      <c r="A18" s="9" t="s">
        <v>52</v>
      </c>
      <c r="B18" s="10">
        <f t="shared" si="0"/>
        <v>17</v>
      </c>
      <c r="C18" s="10">
        <v>5</v>
      </c>
      <c r="D18" s="10">
        <v>2022</v>
      </c>
      <c r="E18" s="4">
        <v>35905</v>
      </c>
      <c r="F18" s="11">
        <v>0.2</v>
      </c>
      <c r="G18" s="4">
        <f>LPG!C20</f>
        <v>2031.0906451612902</v>
      </c>
      <c r="H18" s="11">
        <v>2.0999982370825401</v>
      </c>
      <c r="I18" s="4">
        <v>208.15399999997555</v>
      </c>
      <c r="J18" s="11">
        <v>7.84</v>
      </c>
      <c r="K18" s="4">
        <f>'Occupied &amp; No. of Guest'!B19</f>
        <v>290</v>
      </c>
      <c r="L18" s="4">
        <f>'Occupied &amp; No. of Guest'!C19</f>
        <v>330</v>
      </c>
    </row>
    <row r="19" spans="1:12" x14ac:dyDescent="0.25">
      <c r="A19" s="9" t="s">
        <v>52</v>
      </c>
      <c r="B19" s="10">
        <f t="shared" si="0"/>
        <v>18</v>
      </c>
      <c r="C19" s="10">
        <v>5</v>
      </c>
      <c r="D19" s="10">
        <v>2022</v>
      </c>
      <c r="E19" s="4">
        <v>36114</v>
      </c>
      <c r="F19" s="11">
        <v>0.2</v>
      </c>
      <c r="G19" s="4">
        <f>LPG!C21</f>
        <v>2031.0906451612902</v>
      </c>
      <c r="H19" s="11">
        <v>2.0999982370825401</v>
      </c>
      <c r="I19" s="4">
        <v>270.82400000001155</v>
      </c>
      <c r="J19" s="11">
        <v>7.84</v>
      </c>
      <c r="K19" s="4">
        <f>'Occupied &amp; No. of Guest'!B20</f>
        <v>302</v>
      </c>
      <c r="L19" s="4">
        <f>'Occupied &amp; No. of Guest'!C20</f>
        <v>347</v>
      </c>
    </row>
    <row r="20" spans="1:12" x14ac:dyDescent="0.25">
      <c r="A20" s="9" t="s">
        <v>52</v>
      </c>
      <c r="B20" s="10">
        <f t="shared" si="0"/>
        <v>19</v>
      </c>
      <c r="C20" s="10">
        <v>5</v>
      </c>
      <c r="D20" s="10">
        <v>2022</v>
      </c>
      <c r="E20" s="4">
        <v>38110</v>
      </c>
      <c r="F20" s="11">
        <v>0.2</v>
      </c>
      <c r="G20" s="4">
        <f>LPG!C22</f>
        <v>2031.0906451612902</v>
      </c>
      <c r="H20" s="11">
        <v>2.0999982370825401</v>
      </c>
      <c r="I20" s="4">
        <v>236.70600000001286</v>
      </c>
      <c r="J20" s="11">
        <v>7.84</v>
      </c>
      <c r="K20" s="4">
        <f>'Occupied &amp; No. of Guest'!B21</f>
        <v>294</v>
      </c>
      <c r="L20" s="4">
        <f>'Occupied &amp; No. of Guest'!C21</f>
        <v>333</v>
      </c>
    </row>
    <row r="21" spans="1:12" x14ac:dyDescent="0.25">
      <c r="A21" s="9" t="s">
        <v>52</v>
      </c>
      <c r="B21" s="10">
        <f t="shared" si="0"/>
        <v>20</v>
      </c>
      <c r="C21" s="10">
        <v>5</v>
      </c>
      <c r="D21" s="10">
        <v>2022</v>
      </c>
      <c r="E21" s="4">
        <v>36709</v>
      </c>
      <c r="F21" s="11">
        <v>0.2</v>
      </c>
      <c r="G21" s="4">
        <f>LPG!C23</f>
        <v>2031.0906451612902</v>
      </c>
      <c r="H21" s="11">
        <v>2.0999982370825401</v>
      </c>
      <c r="I21" s="4">
        <v>165.27799999996506</v>
      </c>
      <c r="J21" s="11">
        <v>7.84</v>
      </c>
      <c r="K21" s="4">
        <f>'Occupied &amp; No. of Guest'!B22</f>
        <v>305</v>
      </c>
      <c r="L21" s="4">
        <f>'Occupied &amp; No. of Guest'!C22</f>
        <v>358</v>
      </c>
    </row>
    <row r="22" spans="1:12" x14ac:dyDescent="0.25">
      <c r="A22" s="9" t="s">
        <v>52</v>
      </c>
      <c r="B22" s="10">
        <f t="shared" si="0"/>
        <v>21</v>
      </c>
      <c r="C22" s="10">
        <v>5</v>
      </c>
      <c r="D22" s="10">
        <v>2022</v>
      </c>
      <c r="E22" s="4">
        <v>38903</v>
      </c>
      <c r="F22" s="11">
        <v>0.2</v>
      </c>
      <c r="G22" s="4">
        <f>LPG!C24</f>
        <v>2031.0906451612902</v>
      </c>
      <c r="H22" s="11">
        <v>2.0999982370825401</v>
      </c>
      <c r="I22" s="4">
        <v>262.83900000003899</v>
      </c>
      <c r="J22" s="11">
        <v>7.84</v>
      </c>
      <c r="K22" s="4">
        <f>'Occupied &amp; No. of Guest'!B23</f>
        <v>254</v>
      </c>
      <c r="L22" s="4">
        <f>'Occupied &amp; No. of Guest'!C23</f>
        <v>296</v>
      </c>
    </row>
    <row r="23" spans="1:12" x14ac:dyDescent="0.25">
      <c r="A23" s="9" t="s">
        <v>52</v>
      </c>
      <c r="B23" s="10">
        <f t="shared" si="0"/>
        <v>22</v>
      </c>
      <c r="C23" s="10">
        <v>5</v>
      </c>
      <c r="D23" s="10">
        <v>2022</v>
      </c>
      <c r="E23" s="4">
        <v>37493</v>
      </c>
      <c r="F23" s="11">
        <v>0.2</v>
      </c>
      <c r="G23" s="4">
        <f>LPG!C25</f>
        <v>2031.0906451612902</v>
      </c>
      <c r="H23" s="11">
        <v>2.0999982370825401</v>
      </c>
      <c r="I23" s="4">
        <v>228.39299999996101</v>
      </c>
      <c r="J23" s="11">
        <v>7.84</v>
      </c>
      <c r="K23" s="4">
        <f>'Occupied &amp; No. of Guest'!B24</f>
        <v>275</v>
      </c>
      <c r="L23" s="4">
        <f>'Occupied &amp; No. of Guest'!C24</f>
        <v>326</v>
      </c>
    </row>
    <row r="24" spans="1:12" x14ac:dyDescent="0.25">
      <c r="A24" s="9" t="s">
        <v>52</v>
      </c>
      <c r="B24" s="10">
        <f t="shared" si="0"/>
        <v>23</v>
      </c>
      <c r="C24" s="10">
        <v>5</v>
      </c>
      <c r="D24" s="10">
        <v>2022</v>
      </c>
      <c r="E24" s="4">
        <v>40328</v>
      </c>
      <c r="F24" s="11">
        <v>0.2</v>
      </c>
      <c r="G24" s="4">
        <f>LPG!C26</f>
        <v>2031.0906451612902</v>
      </c>
      <c r="H24" s="11">
        <v>2.0999982370825401</v>
      </c>
      <c r="I24" s="4">
        <v>273.20700000004535</v>
      </c>
      <c r="J24" s="11">
        <v>7.84</v>
      </c>
      <c r="K24" s="4">
        <f>'Occupied &amp; No. of Guest'!B25</f>
        <v>299</v>
      </c>
      <c r="L24" s="4">
        <f>'Occupied &amp; No. of Guest'!C25</f>
        <v>342</v>
      </c>
    </row>
    <row r="25" spans="1:12" x14ac:dyDescent="0.25">
      <c r="A25" s="9" t="s">
        <v>52</v>
      </c>
      <c r="B25" s="10">
        <f t="shared" si="0"/>
        <v>24</v>
      </c>
      <c r="C25" s="10">
        <v>5</v>
      </c>
      <c r="D25" s="10">
        <v>2022</v>
      </c>
      <c r="E25" s="4">
        <v>38889</v>
      </c>
      <c r="F25" s="11">
        <v>0.2</v>
      </c>
      <c r="G25" s="4">
        <f>LPG!C27</f>
        <v>2031.0906451612902</v>
      </c>
      <c r="H25" s="11">
        <v>2.0999982370825401</v>
      </c>
      <c r="I25" s="4">
        <v>275.18199999999882</v>
      </c>
      <c r="J25" s="11">
        <v>7.84</v>
      </c>
      <c r="K25" s="4">
        <f>'Occupied &amp; No. of Guest'!B26</f>
        <v>323</v>
      </c>
      <c r="L25" s="4">
        <f>'Occupied &amp; No. of Guest'!C26</f>
        <v>370</v>
      </c>
    </row>
    <row r="26" spans="1:12" x14ac:dyDescent="0.25">
      <c r="A26" s="9" t="s">
        <v>52</v>
      </c>
      <c r="B26" s="10">
        <f>B25+1</f>
        <v>25</v>
      </c>
      <c r="C26" s="10">
        <v>5</v>
      </c>
      <c r="D26" s="10">
        <v>2022</v>
      </c>
      <c r="E26" s="4">
        <v>38694</v>
      </c>
      <c r="F26" s="11">
        <v>0.2</v>
      </c>
      <c r="G26" s="4">
        <f>LPG!C28</f>
        <v>2031.0906451612902</v>
      </c>
      <c r="H26" s="11">
        <v>2.0999982370825401</v>
      </c>
      <c r="I26" s="4">
        <v>260.34699999998315</v>
      </c>
      <c r="J26" s="11">
        <v>7.84</v>
      </c>
      <c r="K26" s="4">
        <f>'Occupied &amp; No. of Guest'!B27</f>
        <v>332</v>
      </c>
      <c r="L26" s="4">
        <f>'Occupied &amp; No. of Guest'!C27</f>
        <v>384</v>
      </c>
    </row>
    <row r="27" spans="1:12" x14ac:dyDescent="0.25">
      <c r="A27" s="9" t="s">
        <v>52</v>
      </c>
      <c r="B27" s="10">
        <f t="shared" si="0"/>
        <v>26</v>
      </c>
      <c r="C27" s="10">
        <v>5</v>
      </c>
      <c r="D27" s="10">
        <v>2022</v>
      </c>
      <c r="E27" s="4">
        <v>37098</v>
      </c>
      <c r="F27" s="11">
        <v>0.2</v>
      </c>
      <c r="G27" s="4">
        <f>LPG!C29</f>
        <v>2031.0906451612902</v>
      </c>
      <c r="H27" s="11">
        <v>2.0999982370825401</v>
      </c>
      <c r="I27" s="4">
        <v>284.25800000001698</v>
      </c>
      <c r="J27" s="11">
        <v>7.84</v>
      </c>
      <c r="K27" s="4">
        <f>'Occupied &amp; No. of Guest'!B28</f>
        <v>320</v>
      </c>
      <c r="L27" s="4">
        <f>'Occupied &amp; No. of Guest'!C28</f>
        <v>385</v>
      </c>
    </row>
    <row r="28" spans="1:12" x14ac:dyDescent="0.25">
      <c r="A28" s="9" t="s">
        <v>52</v>
      </c>
      <c r="B28" s="10">
        <f t="shared" si="0"/>
        <v>27</v>
      </c>
      <c r="C28" s="10">
        <v>5</v>
      </c>
      <c r="D28" s="10">
        <v>2022</v>
      </c>
      <c r="E28" s="4">
        <v>36733</v>
      </c>
      <c r="F28" s="11">
        <v>0.2</v>
      </c>
      <c r="G28" s="4">
        <f>LPG!C30</f>
        <v>2031.0906451612902</v>
      </c>
      <c r="H28" s="11">
        <v>2.0999982370825401</v>
      </c>
      <c r="I28" s="4">
        <v>200.69799999996621</v>
      </c>
      <c r="J28" s="11">
        <v>7.84</v>
      </c>
      <c r="K28" s="4">
        <f>'Occupied &amp; No. of Guest'!B29</f>
        <v>291</v>
      </c>
      <c r="L28" s="4">
        <f>'Occupied &amp; No. of Guest'!C29</f>
        <v>357</v>
      </c>
    </row>
    <row r="29" spans="1:12" x14ac:dyDescent="0.25">
      <c r="A29" s="9" t="s">
        <v>52</v>
      </c>
      <c r="B29" s="10">
        <f t="shared" si="0"/>
        <v>28</v>
      </c>
      <c r="C29" s="10">
        <v>5</v>
      </c>
      <c r="D29" s="10">
        <v>2022</v>
      </c>
      <c r="E29" s="4">
        <v>38508</v>
      </c>
      <c r="F29" s="11">
        <v>0.2</v>
      </c>
      <c r="G29" s="4">
        <f>LPG!C31</f>
        <v>2031.0906451612902</v>
      </c>
      <c r="H29" s="11">
        <v>2.0999982370825401</v>
      </c>
      <c r="I29" s="4">
        <v>268.23600000001801</v>
      </c>
      <c r="J29" s="11">
        <v>7.84</v>
      </c>
      <c r="K29" s="4">
        <f>'Occupied &amp; No. of Guest'!B30</f>
        <v>269</v>
      </c>
      <c r="L29" s="4">
        <f>'Occupied &amp; No. of Guest'!C30</f>
        <v>323</v>
      </c>
    </row>
    <row r="30" spans="1:12" x14ac:dyDescent="0.25">
      <c r="A30" s="9" t="s">
        <v>52</v>
      </c>
      <c r="B30" s="10">
        <f t="shared" si="0"/>
        <v>29</v>
      </c>
      <c r="C30" s="10">
        <v>5</v>
      </c>
      <c r="D30" s="10">
        <v>2022</v>
      </c>
      <c r="E30" s="4">
        <v>36299</v>
      </c>
      <c r="F30" s="11">
        <v>0.2</v>
      </c>
      <c r="G30" s="4">
        <f>LPG!C32</f>
        <v>2031.0906451612902</v>
      </c>
      <c r="H30" s="11">
        <v>2.0999982370825401</v>
      </c>
      <c r="I30" s="4">
        <v>276.25300000002329</v>
      </c>
      <c r="J30" s="11">
        <v>7.84</v>
      </c>
      <c r="K30" s="4">
        <f>'Occupied &amp; No. of Guest'!B31</f>
        <v>311</v>
      </c>
      <c r="L30" s="4">
        <f>'Occupied &amp; No. of Guest'!C31</f>
        <v>374</v>
      </c>
    </row>
    <row r="31" spans="1:12" x14ac:dyDescent="0.25">
      <c r="A31" s="9" t="s">
        <v>52</v>
      </c>
      <c r="B31" s="10">
        <f t="shared" si="0"/>
        <v>30</v>
      </c>
      <c r="C31" s="10">
        <v>5</v>
      </c>
      <c r="D31" s="10">
        <v>2022</v>
      </c>
      <c r="E31" s="4">
        <v>39085</v>
      </c>
      <c r="F31" s="11">
        <v>0.2</v>
      </c>
      <c r="G31" s="4">
        <f>LPG!C33</f>
        <v>2031.0906451612902</v>
      </c>
      <c r="H31" s="11">
        <v>2.0999982370825401</v>
      </c>
      <c r="I31" s="4">
        <v>283.58399999996914</v>
      </c>
      <c r="J31" s="11">
        <v>7.84</v>
      </c>
      <c r="K31" s="4">
        <f>'Occupied &amp; No. of Guest'!B32</f>
        <v>320</v>
      </c>
      <c r="L31" s="4">
        <f>'Occupied &amp; No. of Guest'!C32</f>
        <v>376</v>
      </c>
    </row>
    <row r="32" spans="1:12" x14ac:dyDescent="0.25">
      <c r="A32" s="9" t="s">
        <v>52</v>
      </c>
      <c r="B32" s="10">
        <f t="shared" si="0"/>
        <v>31</v>
      </c>
      <c r="C32" s="10">
        <v>5</v>
      </c>
      <c r="D32" s="10">
        <v>2022</v>
      </c>
      <c r="E32" s="4">
        <v>38095</v>
      </c>
      <c r="F32" s="11">
        <v>0.2</v>
      </c>
      <c r="G32" s="4">
        <f>LPG!C34</f>
        <v>2031.0906451612902</v>
      </c>
      <c r="H32" s="11">
        <v>2.0999982370825401</v>
      </c>
      <c r="I32" s="4">
        <v>401.66299999999075</v>
      </c>
      <c r="J32" s="11">
        <v>7.84</v>
      </c>
      <c r="K32" s="4">
        <f>'Occupied &amp; No. of Guest'!B33</f>
        <v>345</v>
      </c>
      <c r="L32" s="4">
        <f>'Occupied &amp; No. of Guest'!C33</f>
        <v>404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8" activePane="bottomRight" state="frozen"/>
      <selection pane="topRight" activeCell="E1" sqref="E1"/>
      <selection pane="bottomLeft" activeCell="A5" sqref="A5"/>
      <selection pane="bottomRight" activeCell="A2" sqref="A2:AI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3" t="s">
        <v>86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67" s="14" customFormat="1" ht="29.25" customHeight="1" thickBot="1" x14ac:dyDescent="0.3"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65">
        <v>1</v>
      </c>
      <c r="B5" s="20" t="s">
        <v>14</v>
      </c>
      <c r="C5" s="67" t="s">
        <v>15</v>
      </c>
      <c r="D5" s="21">
        <v>86822</v>
      </c>
      <c r="E5" s="21">
        <v>86844</v>
      </c>
      <c r="F5" s="21">
        <v>86866</v>
      </c>
      <c r="G5" s="21">
        <v>86888</v>
      </c>
      <c r="H5" s="21">
        <v>86910</v>
      </c>
      <c r="I5" s="21">
        <v>86933</v>
      </c>
      <c r="J5" s="21">
        <v>86956</v>
      </c>
      <c r="K5" s="21">
        <v>86978</v>
      </c>
      <c r="L5" s="21">
        <v>87001</v>
      </c>
      <c r="M5" s="21">
        <v>87023</v>
      </c>
      <c r="N5" s="21">
        <v>87046</v>
      </c>
      <c r="O5" s="21">
        <v>87068</v>
      </c>
      <c r="P5" s="21">
        <v>87090</v>
      </c>
      <c r="Q5" s="21">
        <v>87112</v>
      </c>
      <c r="R5" s="21">
        <v>87135</v>
      </c>
      <c r="S5" s="21">
        <v>87157</v>
      </c>
      <c r="T5" s="21">
        <v>87178</v>
      </c>
      <c r="U5" s="21">
        <v>87200</v>
      </c>
      <c r="V5" s="21">
        <v>87221</v>
      </c>
      <c r="W5" s="21">
        <v>87244</v>
      </c>
      <c r="X5" s="21">
        <v>87266</v>
      </c>
      <c r="Y5" s="21">
        <v>87289</v>
      </c>
      <c r="Z5" s="21">
        <v>87311</v>
      </c>
      <c r="AA5" s="21">
        <v>87335</v>
      </c>
      <c r="AB5" s="21">
        <v>87358</v>
      </c>
      <c r="AC5" s="21">
        <v>87382</v>
      </c>
      <c r="AD5" s="21">
        <v>87404</v>
      </c>
      <c r="AE5" s="21">
        <v>87426</v>
      </c>
      <c r="AF5" s="21">
        <v>87449</v>
      </c>
      <c r="AG5" s="21">
        <v>87471</v>
      </c>
      <c r="AH5" s="21">
        <v>87495</v>
      </c>
      <c r="AI5" s="21">
        <v>87518</v>
      </c>
    </row>
    <row r="6" spans="1:67" s="24" customFormat="1" ht="21.75" customHeight="1" thickBot="1" x14ac:dyDescent="0.25">
      <c r="A6" s="66"/>
      <c r="B6" s="22"/>
      <c r="C6" s="68"/>
      <c r="D6" s="23"/>
      <c r="E6" s="23">
        <f>(E5-D5)*1000</f>
        <v>22000</v>
      </c>
      <c r="F6" s="23">
        <f t="shared" ref="F6:AI6" si="0">(F5-E5)*1000</f>
        <v>22000</v>
      </c>
      <c r="G6" s="23">
        <f t="shared" si="0"/>
        <v>22000</v>
      </c>
      <c r="H6" s="23">
        <f t="shared" si="0"/>
        <v>22000</v>
      </c>
      <c r="I6" s="23">
        <f t="shared" si="0"/>
        <v>23000</v>
      </c>
      <c r="J6" s="23">
        <f t="shared" si="0"/>
        <v>23000</v>
      </c>
      <c r="K6" s="23">
        <f t="shared" si="0"/>
        <v>22000</v>
      </c>
      <c r="L6" s="23">
        <f t="shared" si="0"/>
        <v>23000</v>
      </c>
      <c r="M6" s="23">
        <f t="shared" si="0"/>
        <v>22000</v>
      </c>
      <c r="N6" s="23">
        <f t="shared" si="0"/>
        <v>23000</v>
      </c>
      <c r="O6" s="23">
        <f t="shared" si="0"/>
        <v>22000</v>
      </c>
      <c r="P6" s="23">
        <f t="shared" si="0"/>
        <v>22000</v>
      </c>
      <c r="Q6" s="23">
        <f t="shared" si="0"/>
        <v>22000</v>
      </c>
      <c r="R6" s="23">
        <f t="shared" si="0"/>
        <v>23000</v>
      </c>
      <c r="S6" s="23">
        <f t="shared" si="0"/>
        <v>22000</v>
      </c>
      <c r="T6" s="23">
        <f t="shared" si="0"/>
        <v>21000</v>
      </c>
      <c r="U6" s="23">
        <f t="shared" si="0"/>
        <v>22000</v>
      </c>
      <c r="V6" s="23">
        <f t="shared" si="0"/>
        <v>21000</v>
      </c>
      <c r="W6" s="23">
        <f t="shared" si="0"/>
        <v>23000</v>
      </c>
      <c r="X6" s="23">
        <f t="shared" si="0"/>
        <v>22000</v>
      </c>
      <c r="Y6" s="23">
        <f t="shared" si="0"/>
        <v>23000</v>
      </c>
      <c r="Z6" s="23">
        <f t="shared" si="0"/>
        <v>22000</v>
      </c>
      <c r="AA6" s="23">
        <f t="shared" si="0"/>
        <v>24000</v>
      </c>
      <c r="AB6" s="23">
        <f t="shared" si="0"/>
        <v>23000</v>
      </c>
      <c r="AC6" s="23">
        <f t="shared" si="0"/>
        <v>24000</v>
      </c>
      <c r="AD6" s="23">
        <f t="shared" si="0"/>
        <v>22000</v>
      </c>
      <c r="AE6" s="23">
        <f t="shared" si="0"/>
        <v>22000</v>
      </c>
      <c r="AF6" s="23">
        <f t="shared" si="0"/>
        <v>23000</v>
      </c>
      <c r="AG6" s="23">
        <f t="shared" si="0"/>
        <v>22000</v>
      </c>
      <c r="AH6" s="23">
        <f t="shared" si="0"/>
        <v>24000</v>
      </c>
      <c r="AI6" s="23">
        <f t="shared" si="0"/>
        <v>23000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69">
        <v>2</v>
      </c>
      <c r="B7" s="25" t="s">
        <v>16</v>
      </c>
      <c r="C7" s="71" t="s">
        <v>17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thickBot="1" x14ac:dyDescent="0.25">
      <c r="A8" s="70"/>
      <c r="B8" s="22"/>
      <c r="C8" s="68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6">
        <v>3</v>
      </c>
      <c r="B9" s="36" t="s">
        <v>53</v>
      </c>
      <c r="C9" s="78" t="s">
        <v>54</v>
      </c>
      <c r="D9" s="21">
        <v>98701</v>
      </c>
      <c r="E9" s="21">
        <v>98705</v>
      </c>
      <c r="F9" s="21">
        <v>98709</v>
      </c>
      <c r="G9" s="21">
        <v>98715</v>
      </c>
      <c r="H9" s="21">
        <v>98717</v>
      </c>
      <c r="I9" s="21">
        <v>98721</v>
      </c>
      <c r="J9" s="21">
        <v>98732</v>
      </c>
      <c r="K9" s="21">
        <v>98749</v>
      </c>
      <c r="L9" s="21">
        <v>98767</v>
      </c>
      <c r="M9" s="21">
        <v>98786</v>
      </c>
      <c r="N9" s="21">
        <v>98801</v>
      </c>
      <c r="O9" s="21">
        <v>98821</v>
      </c>
      <c r="P9" s="21">
        <v>98836</v>
      </c>
      <c r="Q9" s="21">
        <v>98855</v>
      </c>
      <c r="R9" s="21">
        <v>98874</v>
      </c>
      <c r="S9" s="21">
        <v>98894</v>
      </c>
      <c r="T9" s="21">
        <v>98914</v>
      </c>
      <c r="U9" s="21">
        <v>98932</v>
      </c>
      <c r="V9" s="21">
        <v>98953</v>
      </c>
      <c r="W9" s="21">
        <v>98973</v>
      </c>
      <c r="X9" s="21">
        <v>98992</v>
      </c>
      <c r="Y9" s="21">
        <v>99012</v>
      </c>
      <c r="Z9" s="21">
        <v>99032</v>
      </c>
      <c r="AA9" s="21">
        <v>99054</v>
      </c>
      <c r="AB9" s="21">
        <v>99076</v>
      </c>
      <c r="AC9" s="21">
        <v>99098</v>
      </c>
      <c r="AD9" s="21">
        <v>99132</v>
      </c>
      <c r="AE9" s="21">
        <v>99166</v>
      </c>
      <c r="AF9" s="21">
        <v>99198</v>
      </c>
      <c r="AG9" s="21">
        <v>99232</v>
      </c>
      <c r="AH9" s="21">
        <v>99257</v>
      </c>
      <c r="AI9" s="21">
        <v>99276</v>
      </c>
    </row>
    <row r="10" spans="1:67" s="24" customFormat="1" ht="21.75" customHeight="1" thickBot="1" x14ac:dyDescent="0.25">
      <c r="A10" s="77"/>
      <c r="B10" s="37"/>
      <c r="C10" s="75"/>
      <c r="D10" s="23"/>
      <c r="E10" s="23">
        <f>(E9-D9)*1000</f>
        <v>4000</v>
      </c>
      <c r="F10" s="23">
        <f t="shared" ref="F10" si="31">(F9-E9)*1000</f>
        <v>4000</v>
      </c>
      <c r="G10" s="23">
        <f t="shared" ref="G10" si="32">(G9-F9)*1000</f>
        <v>6000</v>
      </c>
      <c r="H10" s="23">
        <f t="shared" ref="H10" si="33">(H9-G9)*1000</f>
        <v>2000</v>
      </c>
      <c r="I10" s="23">
        <f t="shared" ref="I10" si="34">(I9-H9)*1000</f>
        <v>4000</v>
      </c>
      <c r="J10" s="23">
        <f t="shared" ref="J10" si="35">(J9-I9)*1000</f>
        <v>11000</v>
      </c>
      <c r="K10" s="23">
        <f t="shared" ref="K10" si="36">(K9-J9)*1000</f>
        <v>17000</v>
      </c>
      <c r="L10" s="23">
        <f t="shared" ref="L10" si="37">(L9-K9)*1000</f>
        <v>18000</v>
      </c>
      <c r="M10" s="23">
        <f t="shared" ref="M10" si="38">(M9-L9)*1000</f>
        <v>19000</v>
      </c>
      <c r="N10" s="23">
        <f t="shared" ref="N10" si="39">(N9-M9)*1000</f>
        <v>15000</v>
      </c>
      <c r="O10" s="23">
        <f t="shared" ref="O10" si="40">(O9-N9)*1000</f>
        <v>20000</v>
      </c>
      <c r="P10" s="23">
        <f t="shared" ref="P10" si="41">(P9-O9)*1000</f>
        <v>15000</v>
      </c>
      <c r="Q10" s="23">
        <f t="shared" ref="Q10" si="42">(Q9-P9)*1000</f>
        <v>19000</v>
      </c>
      <c r="R10" s="23">
        <f t="shared" ref="R10" si="43">(R9-Q9)*1000</f>
        <v>19000</v>
      </c>
      <c r="S10" s="23">
        <f t="shared" ref="S10" si="44">(S9-R9)*1000</f>
        <v>20000</v>
      </c>
      <c r="T10" s="23">
        <f t="shared" ref="T10" si="45">(T9-S9)*1000</f>
        <v>20000</v>
      </c>
      <c r="U10" s="23">
        <f t="shared" ref="U10" si="46">(U9-T9)*1000</f>
        <v>18000</v>
      </c>
      <c r="V10" s="23">
        <f t="shared" ref="V10" si="47">(V9-U9)*1000</f>
        <v>21000</v>
      </c>
      <c r="W10" s="23">
        <f t="shared" ref="W10" si="48">(W9-V9)*1000</f>
        <v>20000</v>
      </c>
      <c r="X10" s="23">
        <f t="shared" ref="X10" si="49">(X9-W9)*1000</f>
        <v>19000</v>
      </c>
      <c r="Y10" s="23">
        <f t="shared" ref="Y10" si="50">(Y9-X9)*1000</f>
        <v>20000</v>
      </c>
      <c r="Z10" s="23">
        <f t="shared" ref="Z10" si="51">(Z9-Y9)*1000</f>
        <v>20000</v>
      </c>
      <c r="AA10" s="23">
        <f t="shared" ref="AA10" si="52">(AA9-Z9)*1000</f>
        <v>22000</v>
      </c>
      <c r="AB10" s="23">
        <f t="shared" ref="AB10" si="53">(AB9-AA9)*1000</f>
        <v>22000</v>
      </c>
      <c r="AC10" s="23">
        <f t="shared" ref="AC10" si="54">(AC9-AB9)*1000</f>
        <v>22000</v>
      </c>
      <c r="AD10" s="23">
        <f t="shared" ref="AD10" si="55">(AD9-AC9)*1000</f>
        <v>34000</v>
      </c>
      <c r="AE10" s="23">
        <f t="shared" ref="AE10" si="56">(AE9-AD9)*1000</f>
        <v>34000</v>
      </c>
      <c r="AF10" s="23">
        <f t="shared" ref="AF10" si="57">(AF9-AE9)*1000</f>
        <v>32000</v>
      </c>
      <c r="AG10" s="23">
        <f t="shared" ref="AG10" si="58">(AG9-AF9)*1000</f>
        <v>34000</v>
      </c>
      <c r="AH10" s="23">
        <f t="shared" ref="AH10" si="59">(AH9-AG9)*1000</f>
        <v>25000</v>
      </c>
      <c r="AI10" s="23">
        <f t="shared" ref="AI10" si="60">(AI9-AH9)*1000</f>
        <v>19000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2">
        <v>4</v>
      </c>
      <c r="B11" s="36" t="s">
        <v>55</v>
      </c>
      <c r="C11" s="78" t="s">
        <v>56</v>
      </c>
      <c r="D11" s="21">
        <v>84547</v>
      </c>
      <c r="E11" s="21">
        <v>84575</v>
      </c>
      <c r="F11" s="21">
        <v>84603</v>
      </c>
      <c r="G11" s="21">
        <v>84630</v>
      </c>
      <c r="H11" s="21">
        <v>84658</v>
      </c>
      <c r="I11" s="21">
        <v>84689</v>
      </c>
      <c r="J11" s="21">
        <v>84710</v>
      </c>
      <c r="K11" s="21">
        <v>84730</v>
      </c>
      <c r="L11" s="21">
        <v>84745</v>
      </c>
      <c r="M11" s="21">
        <v>84760</v>
      </c>
      <c r="N11" s="21">
        <v>84776</v>
      </c>
      <c r="O11" s="21">
        <v>84790</v>
      </c>
      <c r="P11" s="21">
        <v>84807</v>
      </c>
      <c r="Q11" s="21">
        <v>84821</v>
      </c>
      <c r="R11" s="21">
        <v>84833</v>
      </c>
      <c r="S11" s="21">
        <v>84842</v>
      </c>
      <c r="T11" s="21">
        <v>84856</v>
      </c>
      <c r="U11" s="21">
        <v>84872</v>
      </c>
      <c r="V11" s="21">
        <v>84888</v>
      </c>
      <c r="W11" s="21">
        <v>84905</v>
      </c>
      <c r="X11" s="21">
        <v>84922</v>
      </c>
      <c r="Y11" s="21">
        <v>84941</v>
      </c>
      <c r="Z11" s="21">
        <v>84959</v>
      </c>
      <c r="AA11" s="21">
        <v>84977</v>
      </c>
      <c r="AB11" s="21">
        <v>84994</v>
      </c>
      <c r="AC11" s="21">
        <v>85008</v>
      </c>
      <c r="AD11" s="21">
        <v>85011</v>
      </c>
      <c r="AE11" s="21">
        <v>85013</v>
      </c>
      <c r="AF11" s="21">
        <v>85019</v>
      </c>
      <c r="AG11" s="21">
        <v>85020</v>
      </c>
      <c r="AH11" s="21">
        <v>85032</v>
      </c>
      <c r="AI11" s="21">
        <v>85050</v>
      </c>
    </row>
    <row r="12" spans="1:67" s="38" customFormat="1" ht="21.75" customHeight="1" thickBot="1" x14ac:dyDescent="0.25">
      <c r="A12" s="73"/>
      <c r="B12" s="37"/>
      <c r="C12" s="75"/>
      <c r="D12" s="23"/>
      <c r="E12" s="23">
        <f>(E11-D11)*1000</f>
        <v>28000</v>
      </c>
      <c r="F12" s="23">
        <f t="shared" ref="F12" si="61">(F11-E11)*1000</f>
        <v>28000</v>
      </c>
      <c r="G12" s="23">
        <f t="shared" ref="G12" si="62">(G11-F11)*1000</f>
        <v>27000</v>
      </c>
      <c r="H12" s="23">
        <f t="shared" ref="H12" si="63">(H11-G11)*1000</f>
        <v>28000</v>
      </c>
      <c r="I12" s="23">
        <f t="shared" ref="I12" si="64">(I11-H11)*1000</f>
        <v>31000</v>
      </c>
      <c r="J12" s="23">
        <f t="shared" ref="J12" si="65">(J11-I11)*1000</f>
        <v>21000</v>
      </c>
      <c r="K12" s="23">
        <f t="shared" ref="K12" si="66">(K11-J11)*1000</f>
        <v>20000</v>
      </c>
      <c r="L12" s="23">
        <f t="shared" ref="L12" si="67">(L11-K11)*1000</f>
        <v>15000</v>
      </c>
      <c r="M12" s="23">
        <f t="shared" ref="M12" si="68">(M11-L11)*1000</f>
        <v>15000</v>
      </c>
      <c r="N12" s="23">
        <f t="shared" ref="N12" si="69">(N11-M11)*1000</f>
        <v>16000</v>
      </c>
      <c r="O12" s="23">
        <f t="shared" ref="O12" si="70">(O11-N11)*1000</f>
        <v>14000</v>
      </c>
      <c r="P12" s="23">
        <f t="shared" ref="P12" si="71">(P11-O11)*1000</f>
        <v>17000</v>
      </c>
      <c r="Q12" s="23">
        <f t="shared" ref="Q12" si="72">(Q11-P11)*1000</f>
        <v>14000</v>
      </c>
      <c r="R12" s="23">
        <f t="shared" ref="R12" si="73">(R11-Q11)*1000</f>
        <v>12000</v>
      </c>
      <c r="S12" s="23">
        <f t="shared" ref="S12" si="74">(S11-R11)*1000</f>
        <v>9000</v>
      </c>
      <c r="T12" s="23">
        <f t="shared" ref="T12" si="75">(T11-S11)*1000</f>
        <v>14000</v>
      </c>
      <c r="U12" s="23">
        <f t="shared" ref="U12" si="76">(U11-T11)*1000</f>
        <v>16000</v>
      </c>
      <c r="V12" s="23">
        <f t="shared" ref="V12" si="77">(V11-U11)*1000</f>
        <v>16000</v>
      </c>
      <c r="W12" s="23">
        <f t="shared" ref="W12" si="78">(W11-V11)*1000</f>
        <v>17000</v>
      </c>
      <c r="X12" s="23">
        <f t="shared" ref="X12" si="79">(X11-W11)*1000</f>
        <v>17000</v>
      </c>
      <c r="Y12" s="23">
        <f t="shared" ref="Y12" si="80">(Y11-X11)*1000</f>
        <v>19000</v>
      </c>
      <c r="Z12" s="23">
        <f t="shared" ref="Z12" si="81">(Z11-Y11)*1000</f>
        <v>18000</v>
      </c>
      <c r="AA12" s="23">
        <f t="shared" ref="AA12" si="82">(AA11-Z11)*1000</f>
        <v>18000</v>
      </c>
      <c r="AB12" s="23">
        <f t="shared" ref="AB12" si="83">(AB11-AA11)*1000</f>
        <v>17000</v>
      </c>
      <c r="AC12" s="23">
        <f t="shared" ref="AC12" si="84">(AC11-AB11)*1000</f>
        <v>14000</v>
      </c>
      <c r="AD12" s="23">
        <f t="shared" ref="AD12" si="85">(AD11-AC11)*1000</f>
        <v>3000</v>
      </c>
      <c r="AE12" s="23">
        <f t="shared" ref="AE12" si="86">(AE11-AD11)*1000</f>
        <v>2000</v>
      </c>
      <c r="AF12" s="23">
        <f t="shared" ref="AF12" si="87">(AF11-AE11)*1000</f>
        <v>6000</v>
      </c>
      <c r="AG12" s="23">
        <f t="shared" ref="AG12" si="88">(AG11-AF11)*1000</f>
        <v>1000</v>
      </c>
      <c r="AH12" s="23">
        <f t="shared" ref="AH12" si="89">(AH11-AG11)*1000</f>
        <v>12000</v>
      </c>
      <c r="AI12" s="23">
        <f t="shared" ref="AI12" si="90">(AI11-AH11)*1000</f>
        <v>18000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6">
        <v>7</v>
      </c>
      <c r="B13" s="39" t="s">
        <v>57</v>
      </c>
      <c r="C13" s="74" t="s">
        <v>58</v>
      </c>
      <c r="D13" s="40">
        <v>3099</v>
      </c>
      <c r="E13" s="40">
        <v>3099</v>
      </c>
      <c r="F13" s="40">
        <v>3099</v>
      </c>
      <c r="G13" s="40">
        <v>3099</v>
      </c>
      <c r="H13" s="40">
        <v>3099</v>
      </c>
      <c r="I13" s="40">
        <v>3099</v>
      </c>
      <c r="J13" s="40">
        <v>3099</v>
      </c>
      <c r="K13" s="40">
        <v>3099</v>
      </c>
      <c r="L13" s="40">
        <v>3099</v>
      </c>
      <c r="M13" s="40">
        <v>3099</v>
      </c>
      <c r="N13" s="40">
        <v>3099</v>
      </c>
      <c r="O13" s="40">
        <v>3099</v>
      </c>
      <c r="P13" s="40">
        <v>3099</v>
      </c>
      <c r="Q13" s="40">
        <v>3099</v>
      </c>
      <c r="R13" s="40">
        <v>3099</v>
      </c>
      <c r="S13" s="40">
        <v>3099</v>
      </c>
      <c r="T13" s="40">
        <v>3099</v>
      </c>
      <c r="U13" s="40">
        <v>3099</v>
      </c>
      <c r="V13" s="40">
        <v>3099</v>
      </c>
      <c r="W13" s="40">
        <v>3099</v>
      </c>
      <c r="X13" s="40">
        <v>3099</v>
      </c>
      <c r="Y13" s="40">
        <v>3099</v>
      </c>
      <c r="Z13" s="40">
        <v>3099</v>
      </c>
      <c r="AA13" s="40">
        <v>3099</v>
      </c>
      <c r="AB13" s="40">
        <v>3099</v>
      </c>
      <c r="AC13" s="40">
        <v>3099</v>
      </c>
      <c r="AD13" s="40">
        <v>3100</v>
      </c>
      <c r="AE13" s="40">
        <v>3100</v>
      </c>
      <c r="AF13" s="40">
        <v>3102</v>
      </c>
      <c r="AG13" s="40">
        <v>3102</v>
      </c>
      <c r="AH13" s="40">
        <v>3102</v>
      </c>
      <c r="AI13" s="40">
        <v>3102</v>
      </c>
    </row>
    <row r="14" spans="1:67" s="24" customFormat="1" ht="21.75" customHeight="1" thickBot="1" x14ac:dyDescent="0.25">
      <c r="A14" s="77"/>
      <c r="B14" s="41"/>
      <c r="C14" s="75"/>
      <c r="D14" s="42"/>
      <c r="E14" s="42">
        <f t="shared" ref="E14:AI14" si="91">E13-D13</f>
        <v>0</v>
      </c>
      <c r="F14" s="42">
        <f t="shared" si="91"/>
        <v>0</v>
      </c>
      <c r="G14" s="42">
        <f t="shared" si="91"/>
        <v>0</v>
      </c>
      <c r="H14" s="42">
        <f t="shared" si="91"/>
        <v>0</v>
      </c>
      <c r="I14" s="42">
        <f t="shared" si="91"/>
        <v>0</v>
      </c>
      <c r="J14" s="42">
        <f t="shared" si="91"/>
        <v>0</v>
      </c>
      <c r="K14" s="42">
        <f t="shared" si="91"/>
        <v>0</v>
      </c>
      <c r="L14" s="42">
        <f t="shared" si="91"/>
        <v>0</v>
      </c>
      <c r="M14" s="42">
        <f t="shared" si="91"/>
        <v>0</v>
      </c>
      <c r="N14" s="42">
        <f t="shared" si="91"/>
        <v>0</v>
      </c>
      <c r="O14" s="42">
        <f t="shared" si="91"/>
        <v>0</v>
      </c>
      <c r="P14" s="42">
        <f t="shared" si="91"/>
        <v>0</v>
      </c>
      <c r="Q14" s="42">
        <f t="shared" si="91"/>
        <v>0</v>
      </c>
      <c r="R14" s="42">
        <f t="shared" si="91"/>
        <v>0</v>
      </c>
      <c r="S14" s="42">
        <f t="shared" si="91"/>
        <v>0</v>
      </c>
      <c r="T14" s="42">
        <f t="shared" si="91"/>
        <v>0</v>
      </c>
      <c r="U14" s="42">
        <f t="shared" si="91"/>
        <v>0</v>
      </c>
      <c r="V14" s="42">
        <f t="shared" si="91"/>
        <v>0</v>
      </c>
      <c r="W14" s="42">
        <f t="shared" si="91"/>
        <v>0</v>
      </c>
      <c r="X14" s="42">
        <f t="shared" si="91"/>
        <v>0</v>
      </c>
      <c r="Y14" s="42">
        <f t="shared" si="91"/>
        <v>0</v>
      </c>
      <c r="Z14" s="42">
        <f t="shared" si="91"/>
        <v>0</v>
      </c>
      <c r="AA14" s="42">
        <f t="shared" si="91"/>
        <v>0</v>
      </c>
      <c r="AB14" s="42">
        <f t="shared" si="91"/>
        <v>0</v>
      </c>
      <c r="AC14" s="42">
        <f t="shared" si="91"/>
        <v>0</v>
      </c>
      <c r="AD14" s="42">
        <f t="shared" si="91"/>
        <v>1</v>
      </c>
      <c r="AE14" s="42">
        <f t="shared" si="91"/>
        <v>0</v>
      </c>
      <c r="AF14" s="42">
        <f t="shared" si="91"/>
        <v>2</v>
      </c>
      <c r="AG14" s="42">
        <f t="shared" si="91"/>
        <v>0</v>
      </c>
      <c r="AH14" s="42">
        <f t="shared" si="91"/>
        <v>0</v>
      </c>
      <c r="AI14" s="42">
        <f t="shared" si="91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2">
        <v>8</v>
      </c>
      <c r="B15" s="39" t="s">
        <v>59</v>
      </c>
      <c r="C15" s="74" t="s">
        <v>60</v>
      </c>
      <c r="D15" s="40">
        <v>361</v>
      </c>
      <c r="E15" s="40">
        <v>361</v>
      </c>
      <c r="F15" s="40">
        <v>361</v>
      </c>
      <c r="G15" s="40">
        <v>361</v>
      </c>
      <c r="H15" s="40">
        <v>361</v>
      </c>
      <c r="I15" s="40">
        <v>361</v>
      </c>
      <c r="J15" s="40">
        <v>361</v>
      </c>
      <c r="K15" s="40">
        <v>361</v>
      </c>
      <c r="L15" s="40">
        <v>361</v>
      </c>
      <c r="M15" s="40">
        <v>361</v>
      </c>
      <c r="N15" s="40">
        <v>361</v>
      </c>
      <c r="O15" s="40">
        <v>361</v>
      </c>
      <c r="P15" s="40">
        <v>361</v>
      </c>
      <c r="Q15" s="40">
        <v>361</v>
      </c>
      <c r="R15" s="40">
        <v>361</v>
      </c>
      <c r="S15" s="40">
        <v>361</v>
      </c>
      <c r="T15" s="40">
        <v>361</v>
      </c>
      <c r="U15" s="40">
        <v>361</v>
      </c>
      <c r="V15" s="40">
        <v>361</v>
      </c>
      <c r="W15" s="40">
        <v>361</v>
      </c>
      <c r="X15" s="40">
        <v>361</v>
      </c>
      <c r="Y15" s="40">
        <v>361</v>
      </c>
      <c r="Z15" s="40">
        <v>361</v>
      </c>
      <c r="AA15" s="40">
        <v>361</v>
      </c>
      <c r="AB15" s="40">
        <v>361</v>
      </c>
      <c r="AC15" s="40">
        <v>361</v>
      </c>
      <c r="AD15" s="40">
        <v>361</v>
      </c>
      <c r="AE15" s="40">
        <v>361</v>
      </c>
      <c r="AF15" s="40">
        <v>362</v>
      </c>
      <c r="AG15" s="40">
        <v>362</v>
      </c>
      <c r="AH15" s="40">
        <v>362</v>
      </c>
      <c r="AI15" s="40">
        <v>362</v>
      </c>
    </row>
    <row r="16" spans="1:67" s="24" customFormat="1" ht="21.75" customHeight="1" thickBot="1" x14ac:dyDescent="0.25">
      <c r="A16" s="73"/>
      <c r="B16" s="41"/>
      <c r="C16" s="75"/>
      <c r="D16" s="42"/>
      <c r="E16" s="42">
        <f t="shared" ref="E16:AI16" si="92">E15-D15</f>
        <v>0</v>
      </c>
      <c r="F16" s="42">
        <f t="shared" si="92"/>
        <v>0</v>
      </c>
      <c r="G16" s="42">
        <f t="shared" si="92"/>
        <v>0</v>
      </c>
      <c r="H16" s="42">
        <f t="shared" si="92"/>
        <v>0</v>
      </c>
      <c r="I16" s="42">
        <f t="shared" si="92"/>
        <v>0</v>
      </c>
      <c r="J16" s="42">
        <f t="shared" si="92"/>
        <v>0</v>
      </c>
      <c r="K16" s="42">
        <f t="shared" si="92"/>
        <v>0</v>
      </c>
      <c r="L16" s="42">
        <f t="shared" si="92"/>
        <v>0</v>
      </c>
      <c r="M16" s="42">
        <f t="shared" si="92"/>
        <v>0</v>
      </c>
      <c r="N16" s="42">
        <f t="shared" si="92"/>
        <v>0</v>
      </c>
      <c r="O16" s="42">
        <f t="shared" si="92"/>
        <v>0</v>
      </c>
      <c r="P16" s="42">
        <f t="shared" si="92"/>
        <v>0</v>
      </c>
      <c r="Q16" s="42">
        <f t="shared" si="92"/>
        <v>0</v>
      </c>
      <c r="R16" s="42">
        <f t="shared" si="92"/>
        <v>0</v>
      </c>
      <c r="S16" s="42">
        <f t="shared" si="92"/>
        <v>0</v>
      </c>
      <c r="T16" s="42">
        <f t="shared" si="92"/>
        <v>0</v>
      </c>
      <c r="U16" s="42">
        <f t="shared" si="92"/>
        <v>0</v>
      </c>
      <c r="V16" s="42">
        <f t="shared" si="92"/>
        <v>0</v>
      </c>
      <c r="W16" s="42">
        <f t="shared" si="92"/>
        <v>0</v>
      </c>
      <c r="X16" s="42">
        <f t="shared" si="92"/>
        <v>0</v>
      </c>
      <c r="Y16" s="42">
        <f t="shared" si="92"/>
        <v>0</v>
      </c>
      <c r="Z16" s="42">
        <f t="shared" si="92"/>
        <v>0</v>
      </c>
      <c r="AA16" s="42">
        <f t="shared" si="92"/>
        <v>0</v>
      </c>
      <c r="AB16" s="42">
        <f t="shared" si="92"/>
        <v>0</v>
      </c>
      <c r="AC16" s="42">
        <f t="shared" si="92"/>
        <v>0</v>
      </c>
      <c r="AD16" s="42">
        <f t="shared" si="92"/>
        <v>0</v>
      </c>
      <c r="AE16" s="42">
        <f t="shared" si="92"/>
        <v>0</v>
      </c>
      <c r="AF16" s="42">
        <f t="shared" si="92"/>
        <v>1</v>
      </c>
      <c r="AG16" s="42">
        <f t="shared" si="92"/>
        <v>0</v>
      </c>
      <c r="AH16" s="42">
        <f t="shared" si="92"/>
        <v>0</v>
      </c>
      <c r="AI16" s="42">
        <f t="shared" si="92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2">
        <v>13</v>
      </c>
      <c r="B17" s="39" t="s">
        <v>61</v>
      </c>
      <c r="C17" s="74" t="s">
        <v>62</v>
      </c>
      <c r="D17" s="40">
        <v>1202931</v>
      </c>
      <c r="E17" s="40">
        <v>1203151</v>
      </c>
      <c r="F17" s="40">
        <v>1203421</v>
      </c>
      <c r="G17" s="40">
        <v>1203668</v>
      </c>
      <c r="H17" s="40">
        <v>1203950</v>
      </c>
      <c r="I17" s="40">
        <v>1204220</v>
      </c>
      <c r="J17" s="40">
        <v>1204482</v>
      </c>
      <c r="K17" s="40">
        <v>1204764</v>
      </c>
      <c r="L17" s="40">
        <v>1205027</v>
      </c>
      <c r="M17" s="40">
        <v>1205303</v>
      </c>
      <c r="N17" s="40">
        <v>1205569</v>
      </c>
      <c r="O17" s="40">
        <v>1205857</v>
      </c>
      <c r="P17" s="40">
        <v>1206127</v>
      </c>
      <c r="Q17" s="40">
        <v>1206416</v>
      </c>
      <c r="R17" s="40">
        <v>1206688</v>
      </c>
      <c r="S17" s="40">
        <v>1206949</v>
      </c>
      <c r="T17" s="40">
        <v>1207219</v>
      </c>
      <c r="U17" s="40">
        <v>1207486</v>
      </c>
      <c r="V17" s="40">
        <v>1207758</v>
      </c>
      <c r="W17" s="40">
        <v>1208028</v>
      </c>
      <c r="X17" s="40">
        <v>1208298</v>
      </c>
      <c r="Y17" s="40">
        <v>1208562</v>
      </c>
      <c r="Z17" s="40">
        <v>1208816</v>
      </c>
      <c r="AA17" s="40">
        <v>1209107</v>
      </c>
      <c r="AB17" s="40">
        <v>1209358</v>
      </c>
      <c r="AC17" s="40">
        <v>1209613</v>
      </c>
      <c r="AD17" s="40">
        <v>1209872</v>
      </c>
      <c r="AE17" s="40">
        <v>1210165</v>
      </c>
      <c r="AF17" s="40">
        <v>1210434</v>
      </c>
      <c r="AG17" s="40">
        <v>1210694</v>
      </c>
      <c r="AH17" s="40">
        <v>1210941</v>
      </c>
      <c r="AI17" s="40">
        <v>1211197</v>
      </c>
    </row>
    <row r="18" spans="1:35" ht="21.75" customHeight="1" thickBot="1" x14ac:dyDescent="0.25">
      <c r="A18" s="80"/>
      <c r="B18" s="43"/>
      <c r="C18" s="81"/>
      <c r="D18" s="42"/>
      <c r="E18" s="42">
        <f t="shared" ref="E18:AI18" si="93">E17-D17</f>
        <v>220</v>
      </c>
      <c r="F18" s="42">
        <f t="shared" si="93"/>
        <v>270</v>
      </c>
      <c r="G18" s="42">
        <f t="shared" si="93"/>
        <v>247</v>
      </c>
      <c r="H18" s="42">
        <f t="shared" si="93"/>
        <v>282</v>
      </c>
      <c r="I18" s="42">
        <f t="shared" si="93"/>
        <v>270</v>
      </c>
      <c r="J18" s="42">
        <f t="shared" si="93"/>
        <v>262</v>
      </c>
      <c r="K18" s="42">
        <f t="shared" si="93"/>
        <v>282</v>
      </c>
      <c r="L18" s="42">
        <f t="shared" si="93"/>
        <v>263</v>
      </c>
      <c r="M18" s="42">
        <f t="shared" si="93"/>
        <v>276</v>
      </c>
      <c r="N18" s="42">
        <f t="shared" si="93"/>
        <v>266</v>
      </c>
      <c r="O18" s="42">
        <f t="shared" si="93"/>
        <v>288</v>
      </c>
      <c r="P18" s="42">
        <f t="shared" si="93"/>
        <v>270</v>
      </c>
      <c r="Q18" s="42">
        <f t="shared" si="93"/>
        <v>289</v>
      </c>
      <c r="R18" s="42">
        <f t="shared" si="93"/>
        <v>272</v>
      </c>
      <c r="S18" s="42">
        <f t="shared" si="93"/>
        <v>261</v>
      </c>
      <c r="T18" s="42">
        <f t="shared" si="93"/>
        <v>270</v>
      </c>
      <c r="U18" s="42">
        <f t="shared" si="93"/>
        <v>267</v>
      </c>
      <c r="V18" s="42">
        <f t="shared" si="93"/>
        <v>272</v>
      </c>
      <c r="W18" s="42">
        <f t="shared" si="93"/>
        <v>270</v>
      </c>
      <c r="X18" s="42">
        <f t="shared" si="93"/>
        <v>270</v>
      </c>
      <c r="Y18" s="42">
        <f t="shared" si="93"/>
        <v>264</v>
      </c>
      <c r="Z18" s="42">
        <f t="shared" si="93"/>
        <v>254</v>
      </c>
      <c r="AA18" s="42">
        <f t="shared" si="93"/>
        <v>291</v>
      </c>
      <c r="AB18" s="42">
        <f t="shared" si="93"/>
        <v>251</v>
      </c>
      <c r="AC18" s="42">
        <f t="shared" si="93"/>
        <v>255</v>
      </c>
      <c r="AD18" s="42">
        <f t="shared" si="93"/>
        <v>259</v>
      </c>
      <c r="AE18" s="42">
        <f t="shared" si="93"/>
        <v>293</v>
      </c>
      <c r="AF18" s="42">
        <f t="shared" si="93"/>
        <v>269</v>
      </c>
      <c r="AG18" s="42">
        <f t="shared" si="93"/>
        <v>260</v>
      </c>
      <c r="AH18" s="42">
        <f t="shared" si="93"/>
        <v>247</v>
      </c>
      <c r="AI18" s="42">
        <f t="shared" si="93"/>
        <v>256</v>
      </c>
    </row>
    <row r="19" spans="1:35" ht="21.75" customHeight="1" x14ac:dyDescent="0.2">
      <c r="A19" s="82">
        <v>14</v>
      </c>
      <c r="B19" s="39" t="s">
        <v>63</v>
      </c>
      <c r="C19" s="74" t="s">
        <v>64</v>
      </c>
      <c r="D19" s="40">
        <v>343209</v>
      </c>
      <c r="E19" s="40">
        <v>343250</v>
      </c>
      <c r="F19" s="40">
        <v>343294</v>
      </c>
      <c r="G19" s="40">
        <v>343337</v>
      </c>
      <c r="H19" s="40">
        <v>343383</v>
      </c>
      <c r="I19" s="40">
        <v>343426</v>
      </c>
      <c r="J19" s="40">
        <v>343464</v>
      </c>
      <c r="K19" s="40">
        <v>343507</v>
      </c>
      <c r="L19" s="40">
        <v>343547</v>
      </c>
      <c r="M19" s="40">
        <v>343586</v>
      </c>
      <c r="N19" s="40">
        <v>343624</v>
      </c>
      <c r="O19" s="40">
        <v>343662</v>
      </c>
      <c r="P19" s="40">
        <v>343703</v>
      </c>
      <c r="Q19" s="40">
        <v>343741</v>
      </c>
      <c r="R19" s="40">
        <v>343778</v>
      </c>
      <c r="S19" s="40">
        <v>343816</v>
      </c>
      <c r="T19" s="40">
        <v>343854</v>
      </c>
      <c r="U19" s="40">
        <v>343892</v>
      </c>
      <c r="V19" s="40">
        <v>343934</v>
      </c>
      <c r="W19" s="40">
        <v>343974</v>
      </c>
      <c r="X19" s="40">
        <v>344013</v>
      </c>
      <c r="Y19" s="40">
        <v>344052</v>
      </c>
      <c r="Z19" s="40">
        <v>344091</v>
      </c>
      <c r="AA19" s="40">
        <v>344128</v>
      </c>
      <c r="AB19" s="40">
        <v>344166</v>
      </c>
      <c r="AC19" s="40">
        <v>344205</v>
      </c>
      <c r="AD19" s="40">
        <v>344243</v>
      </c>
      <c r="AE19" s="40">
        <v>344283</v>
      </c>
      <c r="AF19" s="40">
        <v>344319</v>
      </c>
      <c r="AG19" s="40">
        <v>344358</v>
      </c>
      <c r="AH19" s="40">
        <v>344396</v>
      </c>
      <c r="AI19" s="40">
        <v>344435</v>
      </c>
    </row>
    <row r="20" spans="1:35" ht="21.75" customHeight="1" thickBot="1" x14ac:dyDescent="0.25">
      <c r="A20" s="77"/>
      <c r="B20" s="43"/>
      <c r="C20" s="81"/>
      <c r="D20" s="42"/>
      <c r="E20" s="42">
        <f t="shared" ref="E20:AI20" si="94">E19-D19</f>
        <v>41</v>
      </c>
      <c r="F20" s="42">
        <f t="shared" si="94"/>
        <v>44</v>
      </c>
      <c r="G20" s="42">
        <f t="shared" si="94"/>
        <v>43</v>
      </c>
      <c r="H20" s="42">
        <f t="shared" si="94"/>
        <v>46</v>
      </c>
      <c r="I20" s="42">
        <f t="shared" si="94"/>
        <v>43</v>
      </c>
      <c r="J20" s="42">
        <f t="shared" si="94"/>
        <v>38</v>
      </c>
      <c r="K20" s="42">
        <f t="shared" si="94"/>
        <v>43</v>
      </c>
      <c r="L20" s="42">
        <f t="shared" si="94"/>
        <v>40</v>
      </c>
      <c r="M20" s="42">
        <f t="shared" si="94"/>
        <v>39</v>
      </c>
      <c r="N20" s="42">
        <f t="shared" si="94"/>
        <v>38</v>
      </c>
      <c r="O20" s="42">
        <f t="shared" si="94"/>
        <v>38</v>
      </c>
      <c r="P20" s="42">
        <f t="shared" si="94"/>
        <v>41</v>
      </c>
      <c r="Q20" s="42">
        <f t="shared" si="94"/>
        <v>38</v>
      </c>
      <c r="R20" s="42">
        <f t="shared" si="94"/>
        <v>37</v>
      </c>
      <c r="S20" s="42">
        <f t="shared" si="94"/>
        <v>38</v>
      </c>
      <c r="T20" s="42">
        <f t="shared" si="94"/>
        <v>38</v>
      </c>
      <c r="U20" s="42">
        <f t="shared" si="94"/>
        <v>38</v>
      </c>
      <c r="V20" s="42">
        <f t="shared" si="94"/>
        <v>42</v>
      </c>
      <c r="W20" s="42">
        <f t="shared" si="94"/>
        <v>40</v>
      </c>
      <c r="X20" s="42">
        <f t="shared" si="94"/>
        <v>39</v>
      </c>
      <c r="Y20" s="42">
        <f t="shared" si="94"/>
        <v>39</v>
      </c>
      <c r="Z20" s="42">
        <f t="shared" si="94"/>
        <v>39</v>
      </c>
      <c r="AA20" s="42">
        <f t="shared" si="94"/>
        <v>37</v>
      </c>
      <c r="AB20" s="42">
        <f t="shared" si="94"/>
        <v>38</v>
      </c>
      <c r="AC20" s="42">
        <f t="shared" si="94"/>
        <v>39</v>
      </c>
      <c r="AD20" s="42">
        <f t="shared" si="94"/>
        <v>38</v>
      </c>
      <c r="AE20" s="42">
        <f t="shared" si="94"/>
        <v>40</v>
      </c>
      <c r="AF20" s="42">
        <f t="shared" si="94"/>
        <v>36</v>
      </c>
      <c r="AG20" s="42">
        <f t="shared" si="94"/>
        <v>39</v>
      </c>
      <c r="AH20" s="42">
        <f t="shared" si="94"/>
        <v>38</v>
      </c>
      <c r="AI20" s="42">
        <f t="shared" si="94"/>
        <v>39</v>
      </c>
    </row>
    <row r="21" spans="1:35" ht="27" customHeight="1" x14ac:dyDescent="0.3">
      <c r="B21" s="83" t="s">
        <v>65</v>
      </c>
      <c r="C21" s="83"/>
      <c r="D21" s="44"/>
      <c r="E21" s="59">
        <f>((E6+E8)+((E10+E12)*40%)+(E14+E16+E18+E20))</f>
        <v>35061</v>
      </c>
      <c r="F21" s="59">
        <f t="shared" ref="F21:AI21" si="95">((F6+F8)+((F10+F12)*40%)+(F14+F16+F18+F20))</f>
        <v>35114</v>
      </c>
      <c r="G21" s="59">
        <f t="shared" si="95"/>
        <v>35490</v>
      </c>
      <c r="H21" s="59">
        <f t="shared" si="95"/>
        <v>34328</v>
      </c>
      <c r="I21" s="59">
        <f t="shared" si="95"/>
        <v>37313</v>
      </c>
      <c r="J21" s="59">
        <f t="shared" si="95"/>
        <v>36100</v>
      </c>
      <c r="K21" s="59">
        <f t="shared" si="95"/>
        <v>37125</v>
      </c>
      <c r="L21" s="59">
        <f t="shared" si="95"/>
        <v>36503</v>
      </c>
      <c r="M21" s="59">
        <f t="shared" si="95"/>
        <v>35915</v>
      </c>
      <c r="N21" s="59">
        <f t="shared" si="95"/>
        <v>35704</v>
      </c>
      <c r="O21" s="59">
        <f t="shared" si="95"/>
        <v>35926</v>
      </c>
      <c r="P21" s="59">
        <f t="shared" si="95"/>
        <v>35111</v>
      </c>
      <c r="Q21" s="59">
        <f t="shared" si="95"/>
        <v>35527</v>
      </c>
      <c r="R21" s="59">
        <f t="shared" si="95"/>
        <v>35709</v>
      </c>
      <c r="S21" s="59">
        <f t="shared" si="95"/>
        <v>33899</v>
      </c>
      <c r="T21" s="59">
        <f t="shared" si="95"/>
        <v>34908</v>
      </c>
      <c r="U21" s="59">
        <f t="shared" si="95"/>
        <v>35905</v>
      </c>
      <c r="V21" s="59">
        <f t="shared" si="95"/>
        <v>36114</v>
      </c>
      <c r="W21" s="59">
        <f t="shared" si="95"/>
        <v>38110</v>
      </c>
      <c r="X21" s="59">
        <f t="shared" si="95"/>
        <v>36709</v>
      </c>
      <c r="Y21" s="59">
        <f t="shared" si="95"/>
        <v>38903</v>
      </c>
      <c r="Z21" s="59">
        <f t="shared" si="95"/>
        <v>37493</v>
      </c>
      <c r="AA21" s="59">
        <f t="shared" si="95"/>
        <v>40328</v>
      </c>
      <c r="AB21" s="59">
        <f t="shared" si="95"/>
        <v>38889</v>
      </c>
      <c r="AC21" s="59">
        <f t="shared" si="95"/>
        <v>38694</v>
      </c>
      <c r="AD21" s="59">
        <f t="shared" si="95"/>
        <v>37098</v>
      </c>
      <c r="AE21" s="59">
        <f t="shared" si="95"/>
        <v>36733</v>
      </c>
      <c r="AF21" s="59">
        <f t="shared" si="95"/>
        <v>38508</v>
      </c>
      <c r="AG21" s="59">
        <f t="shared" si="95"/>
        <v>36299</v>
      </c>
      <c r="AH21" s="59">
        <f t="shared" si="95"/>
        <v>39085</v>
      </c>
      <c r="AI21" s="59">
        <f t="shared" si="95"/>
        <v>38095</v>
      </c>
    </row>
    <row r="22" spans="1:35" ht="27" customHeight="1" x14ac:dyDescent="0.3">
      <c r="B22" s="79" t="s">
        <v>66</v>
      </c>
      <c r="C22" s="79"/>
      <c r="D22" s="44"/>
      <c r="E22" s="59">
        <f>SUM(E21:AI21)</f>
        <v>1136696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D7" sqref="D7:AI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6" t="s">
        <v>87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</row>
    <row r="3" spans="1:42" s="8" customFormat="1" ht="30" customHeight="1" thickBot="1" x14ac:dyDescent="0.3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 t="s">
        <v>79</v>
      </c>
    </row>
    <row r="5" spans="1:42" s="8" customFormat="1" ht="40.5" customHeight="1" thickBot="1" x14ac:dyDescent="0.3">
      <c r="A5" s="89" t="s">
        <v>20</v>
      </c>
      <c r="B5" s="27" t="s">
        <v>48</v>
      </c>
      <c r="C5" s="91" t="s">
        <v>49</v>
      </c>
      <c r="D5" s="31">
        <v>307136.59999999998</v>
      </c>
      <c r="E5" s="31">
        <v>307273.8</v>
      </c>
      <c r="F5" s="31">
        <v>307419.8</v>
      </c>
      <c r="G5" s="31">
        <v>307560.2</v>
      </c>
      <c r="H5" s="31">
        <v>307735.09999999998</v>
      </c>
      <c r="I5" s="31">
        <v>307900.5</v>
      </c>
      <c r="J5" s="31">
        <v>308115.40000000002</v>
      </c>
      <c r="K5" s="31">
        <v>308291.5</v>
      </c>
      <c r="L5" s="31">
        <v>308441.8</v>
      </c>
      <c r="M5" s="31">
        <v>308581.90000000002</v>
      </c>
      <c r="N5" s="31">
        <v>308712.5</v>
      </c>
      <c r="O5" s="31">
        <v>308875.09999999998</v>
      </c>
      <c r="P5" s="31">
        <v>309019.40000000002</v>
      </c>
      <c r="Q5" s="31">
        <v>309153.5</v>
      </c>
      <c r="R5" s="31">
        <v>309318.2</v>
      </c>
      <c r="S5" s="31">
        <v>309467.5</v>
      </c>
      <c r="T5" s="31">
        <v>309599.2</v>
      </c>
      <c r="U5" s="31">
        <v>309695.09999999998</v>
      </c>
      <c r="V5" s="31">
        <v>309856.8</v>
      </c>
      <c r="W5" s="31">
        <v>310002.7</v>
      </c>
      <c r="X5" s="31">
        <v>310136.09999999998</v>
      </c>
      <c r="Y5" s="31">
        <v>310275</v>
      </c>
      <c r="Z5" s="31">
        <v>310399.09999999998</v>
      </c>
      <c r="AA5" s="31">
        <v>310556.7</v>
      </c>
      <c r="AB5" s="31">
        <v>310719.5</v>
      </c>
      <c r="AC5" s="31">
        <v>310865.8</v>
      </c>
      <c r="AD5" s="31">
        <v>311035.5</v>
      </c>
      <c r="AE5" s="31">
        <v>311188.59999999998</v>
      </c>
      <c r="AF5" s="31">
        <v>311353</v>
      </c>
      <c r="AG5" s="31">
        <v>311507.90000000002</v>
      </c>
      <c r="AH5" s="31">
        <v>311652.09999999998</v>
      </c>
      <c r="AI5" s="31">
        <v>311978.8</v>
      </c>
    </row>
    <row r="6" spans="1:42" s="34" customFormat="1" ht="25.7" customHeight="1" thickBot="1" x14ac:dyDescent="0.3">
      <c r="A6" s="90"/>
      <c r="B6" s="32"/>
      <c r="C6" s="91"/>
      <c r="D6" s="33"/>
      <c r="E6" s="33">
        <f t="shared" ref="E6:AI6" si="0">E5-D5</f>
        <v>137.20000000001164</v>
      </c>
      <c r="F6" s="33">
        <f t="shared" si="0"/>
        <v>146</v>
      </c>
      <c r="G6" s="33">
        <f t="shared" si="0"/>
        <v>140.40000000002328</v>
      </c>
      <c r="H6" s="33">
        <f t="shared" si="0"/>
        <v>174.89999999996508</v>
      </c>
      <c r="I6" s="33">
        <f t="shared" si="0"/>
        <v>165.40000000002328</v>
      </c>
      <c r="J6" s="33">
        <f t="shared" si="0"/>
        <v>214.90000000002328</v>
      </c>
      <c r="K6" s="33">
        <f t="shared" si="0"/>
        <v>176.09999999997672</v>
      </c>
      <c r="L6" s="33">
        <f t="shared" si="0"/>
        <v>150.29999999998836</v>
      </c>
      <c r="M6" s="33">
        <f t="shared" si="0"/>
        <v>140.10000000003492</v>
      </c>
      <c r="N6" s="33">
        <f t="shared" si="0"/>
        <v>130.59999999997672</v>
      </c>
      <c r="O6" s="33">
        <f t="shared" si="0"/>
        <v>162.59999999997672</v>
      </c>
      <c r="P6" s="33">
        <f t="shared" si="0"/>
        <v>144.30000000004657</v>
      </c>
      <c r="Q6" s="33">
        <f t="shared" si="0"/>
        <v>134.09999999997672</v>
      </c>
      <c r="R6" s="33">
        <f t="shared" si="0"/>
        <v>164.70000000001164</v>
      </c>
      <c r="S6" s="33">
        <f t="shared" si="0"/>
        <v>149.29999999998836</v>
      </c>
      <c r="T6" s="33">
        <f t="shared" si="0"/>
        <v>131.70000000001164</v>
      </c>
      <c r="U6" s="33">
        <f t="shared" si="0"/>
        <v>95.899999999965075</v>
      </c>
      <c r="V6" s="33">
        <f t="shared" si="0"/>
        <v>161.70000000001164</v>
      </c>
      <c r="W6" s="33">
        <f t="shared" si="0"/>
        <v>145.90000000002328</v>
      </c>
      <c r="X6" s="33">
        <f t="shared" si="0"/>
        <v>133.39999999996508</v>
      </c>
      <c r="Y6" s="33">
        <f t="shared" si="0"/>
        <v>138.90000000002328</v>
      </c>
      <c r="Z6" s="33">
        <f t="shared" si="0"/>
        <v>124.09999999997672</v>
      </c>
      <c r="AA6" s="33">
        <f t="shared" si="0"/>
        <v>157.60000000003492</v>
      </c>
      <c r="AB6" s="33">
        <f t="shared" si="0"/>
        <v>162.79999999998836</v>
      </c>
      <c r="AC6" s="33">
        <f t="shared" si="0"/>
        <v>146.29999999998836</v>
      </c>
      <c r="AD6" s="33">
        <f t="shared" si="0"/>
        <v>169.70000000001164</v>
      </c>
      <c r="AE6" s="33">
        <f t="shared" si="0"/>
        <v>153.09999999997672</v>
      </c>
      <c r="AF6" s="33">
        <f t="shared" si="0"/>
        <v>164.40000000002328</v>
      </c>
      <c r="AG6" s="33">
        <f t="shared" si="0"/>
        <v>154.90000000002328</v>
      </c>
      <c r="AH6" s="33">
        <f t="shared" si="0"/>
        <v>144.19999999995343</v>
      </c>
      <c r="AI6" s="33">
        <f t="shared" si="0"/>
        <v>326.70000000001164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89" t="s">
        <v>22</v>
      </c>
      <c r="B7" s="49" t="s">
        <v>69</v>
      </c>
      <c r="C7" s="91" t="s">
        <v>70</v>
      </c>
      <c r="D7" s="31">
        <v>351430.40000000002</v>
      </c>
      <c r="E7" s="31">
        <v>351519.8</v>
      </c>
      <c r="F7" s="31">
        <v>351589.2</v>
      </c>
      <c r="G7" s="31">
        <v>351701.1</v>
      </c>
      <c r="H7" s="31">
        <v>351806.8</v>
      </c>
      <c r="I7" s="31">
        <v>351912.6</v>
      </c>
      <c r="J7" s="31">
        <v>351984.9</v>
      </c>
      <c r="K7" s="31">
        <v>352103.7</v>
      </c>
      <c r="L7" s="31">
        <v>352221.1</v>
      </c>
      <c r="M7" s="31">
        <v>352342.5</v>
      </c>
      <c r="N7" s="31">
        <v>352457.8</v>
      </c>
      <c r="O7" s="31">
        <v>352568.2</v>
      </c>
      <c r="P7" s="31">
        <v>352678.3</v>
      </c>
      <c r="Q7" s="31">
        <v>352745.8</v>
      </c>
      <c r="R7" s="31">
        <v>352851.9</v>
      </c>
      <c r="S7" s="31">
        <v>352913.4</v>
      </c>
      <c r="T7" s="31">
        <v>352998.1</v>
      </c>
      <c r="U7" s="31">
        <v>353108</v>
      </c>
      <c r="V7" s="31">
        <v>353211.5</v>
      </c>
      <c r="W7" s="31">
        <v>353278.1</v>
      </c>
      <c r="X7" s="31">
        <v>353324.1</v>
      </c>
      <c r="Y7" s="31">
        <v>353445.7</v>
      </c>
      <c r="Z7" s="31">
        <v>353556.1</v>
      </c>
      <c r="AA7" s="31">
        <v>353674</v>
      </c>
      <c r="AB7" s="31">
        <v>353800.9</v>
      </c>
      <c r="AC7" s="31">
        <v>353918.7</v>
      </c>
      <c r="AD7" s="31">
        <v>354034.4</v>
      </c>
      <c r="AE7" s="31">
        <v>354115</v>
      </c>
      <c r="AF7" s="31">
        <v>354227.8</v>
      </c>
      <c r="AG7" s="31">
        <v>354352.3</v>
      </c>
      <c r="AH7" s="31">
        <v>354491.9</v>
      </c>
      <c r="AI7" s="31">
        <v>354544.1</v>
      </c>
    </row>
    <row r="8" spans="1:42" s="34" customFormat="1" ht="25.7" customHeight="1" thickBot="1" x14ac:dyDescent="0.3">
      <c r="A8" s="90"/>
      <c r="B8" s="47"/>
      <c r="C8" s="91"/>
      <c r="D8" s="33"/>
      <c r="E8" s="33">
        <f t="shared" ref="E8:AI14" si="1">E7-D7</f>
        <v>89.399999999965075</v>
      </c>
      <c r="F8" s="33">
        <f t="shared" si="1"/>
        <v>69.400000000023283</v>
      </c>
      <c r="G8" s="33">
        <f t="shared" si="1"/>
        <v>111.89999999996508</v>
      </c>
      <c r="H8" s="33">
        <f t="shared" si="1"/>
        <v>105.70000000001164</v>
      </c>
      <c r="I8" s="33">
        <f t="shared" si="1"/>
        <v>105.79999999998836</v>
      </c>
      <c r="J8" s="33">
        <f t="shared" si="1"/>
        <v>72.300000000046566</v>
      </c>
      <c r="K8" s="33">
        <f t="shared" si="1"/>
        <v>118.79999999998836</v>
      </c>
      <c r="L8" s="33">
        <f t="shared" si="1"/>
        <v>117.39999999996508</v>
      </c>
      <c r="M8" s="33">
        <f t="shared" si="1"/>
        <v>121.40000000002328</v>
      </c>
      <c r="N8" s="33">
        <f t="shared" si="1"/>
        <v>115.29999999998836</v>
      </c>
      <c r="O8" s="33">
        <f t="shared" si="1"/>
        <v>110.40000000002328</v>
      </c>
      <c r="P8" s="33">
        <f t="shared" si="1"/>
        <v>110.09999999997672</v>
      </c>
      <c r="Q8" s="33">
        <f t="shared" si="1"/>
        <v>67.5</v>
      </c>
      <c r="R8" s="33">
        <f t="shared" si="1"/>
        <v>106.10000000003492</v>
      </c>
      <c r="S8" s="33">
        <f t="shared" si="1"/>
        <v>61.5</v>
      </c>
      <c r="T8" s="33">
        <f t="shared" si="1"/>
        <v>84.699999999953434</v>
      </c>
      <c r="U8" s="33">
        <f t="shared" si="1"/>
        <v>109.90000000002328</v>
      </c>
      <c r="V8" s="33">
        <f t="shared" si="1"/>
        <v>103.5</v>
      </c>
      <c r="W8" s="33">
        <f t="shared" si="1"/>
        <v>66.599999999976717</v>
      </c>
      <c r="X8" s="33">
        <f t="shared" si="1"/>
        <v>46</v>
      </c>
      <c r="Y8" s="33">
        <f t="shared" si="1"/>
        <v>121.60000000003492</v>
      </c>
      <c r="Z8" s="33">
        <f t="shared" si="1"/>
        <v>110.39999999996508</v>
      </c>
      <c r="AA8" s="33">
        <f t="shared" si="1"/>
        <v>117.90000000002328</v>
      </c>
      <c r="AB8" s="33">
        <f t="shared" si="1"/>
        <v>126.90000000002328</v>
      </c>
      <c r="AC8" s="33">
        <f t="shared" si="1"/>
        <v>117.79999999998836</v>
      </c>
      <c r="AD8" s="33">
        <f t="shared" si="1"/>
        <v>115.70000000001164</v>
      </c>
      <c r="AE8" s="33">
        <f t="shared" si="1"/>
        <v>80.599999999976717</v>
      </c>
      <c r="AF8" s="33">
        <f t="shared" si="1"/>
        <v>112.79999999998836</v>
      </c>
      <c r="AG8" s="33">
        <f t="shared" si="1"/>
        <v>124.5</v>
      </c>
      <c r="AH8" s="33">
        <f t="shared" si="1"/>
        <v>139.60000000003492</v>
      </c>
      <c r="AI8" s="33">
        <f t="shared" si="1"/>
        <v>52.199999999953434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89">
        <v>4</v>
      </c>
      <c r="B9" s="46" t="s">
        <v>67</v>
      </c>
      <c r="C9" s="91" t="s">
        <v>68</v>
      </c>
      <c r="D9" s="31">
        <v>9602</v>
      </c>
      <c r="E9" s="31">
        <v>9704</v>
      </c>
      <c r="F9" s="31">
        <v>9715</v>
      </c>
      <c r="G9" s="31">
        <v>9842</v>
      </c>
      <c r="H9" s="31">
        <v>9972</v>
      </c>
      <c r="I9" s="31">
        <v>10081</v>
      </c>
      <c r="J9" s="31">
        <v>10090</v>
      </c>
      <c r="K9" s="31">
        <v>10229</v>
      </c>
      <c r="L9" s="31">
        <v>10369</v>
      </c>
      <c r="M9" s="31">
        <v>10493</v>
      </c>
      <c r="N9" s="31">
        <v>10610</v>
      </c>
      <c r="O9" s="31">
        <v>10742</v>
      </c>
      <c r="P9" s="31">
        <v>10878</v>
      </c>
      <c r="Q9" s="31">
        <v>10899</v>
      </c>
      <c r="R9" s="31">
        <v>11015</v>
      </c>
      <c r="S9" s="31">
        <v>11041</v>
      </c>
      <c r="T9" s="31">
        <v>11172</v>
      </c>
      <c r="U9" s="31">
        <v>11304</v>
      </c>
      <c r="V9" s="31">
        <v>11435</v>
      </c>
      <c r="W9" s="31">
        <v>11569</v>
      </c>
      <c r="X9" s="31">
        <v>11589</v>
      </c>
      <c r="Y9" s="31">
        <v>11735</v>
      </c>
      <c r="Z9" s="31">
        <v>11846</v>
      </c>
      <c r="AA9" s="31">
        <v>11978</v>
      </c>
      <c r="AB9" s="31">
        <v>12097</v>
      </c>
      <c r="AC9" s="31">
        <v>12230</v>
      </c>
      <c r="AD9" s="31">
        <v>12364</v>
      </c>
      <c r="AE9" s="31">
        <v>12379</v>
      </c>
      <c r="AF9" s="31">
        <v>12495</v>
      </c>
      <c r="AG9" s="31">
        <v>12637</v>
      </c>
      <c r="AH9" s="31">
        <v>12802</v>
      </c>
      <c r="AI9" s="31">
        <v>12910</v>
      </c>
    </row>
    <row r="10" spans="1:42" s="34" customFormat="1" ht="25.7" customHeight="1" thickBot="1" x14ac:dyDescent="0.3">
      <c r="A10" s="90"/>
      <c r="B10" s="47"/>
      <c r="C10" s="91"/>
      <c r="D10" s="33"/>
      <c r="E10" s="33">
        <f t="shared" ref="E10" si="2">E9-D9</f>
        <v>102</v>
      </c>
      <c r="F10" s="33">
        <f t="shared" si="1"/>
        <v>11</v>
      </c>
      <c r="G10" s="33">
        <f t="shared" si="1"/>
        <v>127</v>
      </c>
      <c r="H10" s="33">
        <f t="shared" si="1"/>
        <v>130</v>
      </c>
      <c r="I10" s="33">
        <f t="shared" si="1"/>
        <v>109</v>
      </c>
      <c r="J10" s="33">
        <f t="shared" si="1"/>
        <v>9</v>
      </c>
      <c r="K10" s="33">
        <f t="shared" si="1"/>
        <v>139</v>
      </c>
      <c r="L10" s="33">
        <f t="shared" si="1"/>
        <v>140</v>
      </c>
      <c r="M10" s="33">
        <f t="shared" si="1"/>
        <v>124</v>
      </c>
      <c r="N10" s="33">
        <f t="shared" si="1"/>
        <v>117</v>
      </c>
      <c r="O10" s="33">
        <f t="shared" si="1"/>
        <v>132</v>
      </c>
      <c r="P10" s="33">
        <f t="shared" si="1"/>
        <v>136</v>
      </c>
      <c r="Q10" s="33">
        <f t="shared" si="1"/>
        <v>21</v>
      </c>
      <c r="R10" s="33">
        <f t="shared" si="1"/>
        <v>116</v>
      </c>
      <c r="S10" s="33">
        <f t="shared" si="1"/>
        <v>26</v>
      </c>
      <c r="T10" s="33">
        <f t="shared" si="1"/>
        <v>131</v>
      </c>
      <c r="U10" s="33">
        <f t="shared" si="1"/>
        <v>132</v>
      </c>
      <c r="V10" s="33">
        <f t="shared" si="1"/>
        <v>131</v>
      </c>
      <c r="W10" s="33">
        <f t="shared" si="1"/>
        <v>134</v>
      </c>
      <c r="X10" s="33">
        <f t="shared" si="1"/>
        <v>20</v>
      </c>
      <c r="Y10" s="33">
        <f t="shared" si="1"/>
        <v>146</v>
      </c>
      <c r="Z10" s="33">
        <f t="shared" si="1"/>
        <v>111</v>
      </c>
      <c r="AA10" s="33">
        <f t="shared" si="1"/>
        <v>132</v>
      </c>
      <c r="AB10" s="33">
        <f t="shared" si="1"/>
        <v>119</v>
      </c>
      <c r="AC10" s="33">
        <f t="shared" si="1"/>
        <v>133</v>
      </c>
      <c r="AD10" s="33">
        <f t="shared" si="1"/>
        <v>134</v>
      </c>
      <c r="AE10" s="33">
        <f t="shared" si="1"/>
        <v>15</v>
      </c>
      <c r="AF10" s="33">
        <f t="shared" si="1"/>
        <v>116</v>
      </c>
      <c r="AG10" s="33">
        <f t="shared" si="1"/>
        <v>142</v>
      </c>
      <c r="AH10" s="33">
        <f t="shared" si="1"/>
        <v>165</v>
      </c>
      <c r="AI10" s="33">
        <f t="shared" si="1"/>
        <v>108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2">
        <v>5</v>
      </c>
      <c r="B11" s="27">
        <v>68864837</v>
      </c>
      <c r="C11" s="91" t="s">
        <v>74</v>
      </c>
      <c r="D11" s="31">
        <v>539.99800000000005</v>
      </c>
      <c r="E11" s="31">
        <v>540.21</v>
      </c>
      <c r="F11" s="31">
        <v>542.28899999999999</v>
      </c>
      <c r="G11" s="31">
        <v>543.00099999999998</v>
      </c>
      <c r="H11" s="31">
        <v>544.01800000000003</v>
      </c>
      <c r="I11" s="31">
        <v>545.13599999999997</v>
      </c>
      <c r="J11" s="31">
        <v>546.57899999999995</v>
      </c>
      <c r="K11" s="31">
        <v>547.72</v>
      </c>
      <c r="L11" s="31">
        <v>549.84900000000005</v>
      </c>
      <c r="M11" s="31">
        <v>550.26900000000001</v>
      </c>
      <c r="N11" s="31">
        <v>551.67899999999997</v>
      </c>
      <c r="O11" s="31">
        <v>552.28399999999999</v>
      </c>
      <c r="P11" s="31">
        <v>552.89599999999996</v>
      </c>
      <c r="Q11" s="31">
        <v>553.99300000000005</v>
      </c>
      <c r="R11" s="31">
        <v>554.86</v>
      </c>
      <c r="S11" s="31">
        <v>555.54</v>
      </c>
      <c r="T11" s="31">
        <v>556.68700000000001</v>
      </c>
      <c r="U11" s="31">
        <v>557.70000000000005</v>
      </c>
      <c r="V11" s="31">
        <v>560.02300000000002</v>
      </c>
      <c r="W11" s="31">
        <v>560.44500000000005</v>
      </c>
      <c r="X11" s="31">
        <v>561.59100000000001</v>
      </c>
      <c r="Y11" s="31">
        <v>562.19500000000005</v>
      </c>
      <c r="Z11" s="31">
        <v>564.30100000000004</v>
      </c>
      <c r="AA11" s="31">
        <v>564.96699999999998</v>
      </c>
      <c r="AB11" s="31">
        <v>565.98699999999997</v>
      </c>
      <c r="AC11" s="31">
        <v>566.66300000000001</v>
      </c>
      <c r="AD11" s="31">
        <v>567.71500000000003</v>
      </c>
      <c r="AE11" s="31">
        <v>568.93200000000002</v>
      </c>
      <c r="AF11" s="31">
        <v>569.37099999999998</v>
      </c>
      <c r="AG11" s="31">
        <v>569.88800000000003</v>
      </c>
      <c r="AH11" s="31">
        <v>571.02300000000002</v>
      </c>
      <c r="AI11" s="31">
        <v>571.97</v>
      </c>
    </row>
    <row r="12" spans="1:42" s="8" customFormat="1" ht="25.7" customHeight="1" thickBot="1" x14ac:dyDescent="0.3">
      <c r="A12" s="93"/>
      <c r="B12" s="48"/>
      <c r="C12" s="91"/>
      <c r="D12" s="33"/>
      <c r="E12" s="33">
        <f t="shared" ref="E12" si="3">E11-D11</f>
        <v>0.21199999999998909</v>
      </c>
      <c r="F12" s="33">
        <f t="shared" si="1"/>
        <v>2.0789999999999509</v>
      </c>
      <c r="G12" s="33">
        <f t="shared" si="1"/>
        <v>0.71199999999998909</v>
      </c>
      <c r="H12" s="33">
        <f t="shared" si="1"/>
        <v>1.0170000000000528</v>
      </c>
      <c r="I12" s="33">
        <f t="shared" si="1"/>
        <v>1.1179999999999382</v>
      </c>
      <c r="J12" s="33">
        <f t="shared" si="1"/>
        <v>1.4429999999999836</v>
      </c>
      <c r="K12" s="33">
        <f t="shared" si="1"/>
        <v>1.1410000000000764</v>
      </c>
      <c r="L12" s="33">
        <f t="shared" si="1"/>
        <v>2.1290000000000191</v>
      </c>
      <c r="M12" s="33">
        <f t="shared" si="1"/>
        <v>0.41999999999995907</v>
      </c>
      <c r="N12" s="33">
        <f t="shared" si="1"/>
        <v>1.4099999999999682</v>
      </c>
      <c r="O12" s="33">
        <f t="shared" si="1"/>
        <v>0.60500000000001819</v>
      </c>
      <c r="P12" s="33">
        <f t="shared" si="1"/>
        <v>0.61199999999996635</v>
      </c>
      <c r="Q12" s="33">
        <f t="shared" si="1"/>
        <v>1.0970000000000937</v>
      </c>
      <c r="R12" s="33">
        <f t="shared" si="1"/>
        <v>0.8669999999999618</v>
      </c>
      <c r="S12" s="33">
        <f t="shared" si="1"/>
        <v>0.67999999999994998</v>
      </c>
      <c r="T12" s="33">
        <f t="shared" si="1"/>
        <v>1.1470000000000482</v>
      </c>
      <c r="U12" s="33">
        <f t="shared" si="1"/>
        <v>1.0130000000000337</v>
      </c>
      <c r="V12" s="33">
        <f t="shared" si="1"/>
        <v>2.3229999999999791</v>
      </c>
      <c r="W12" s="33">
        <f t="shared" si="1"/>
        <v>0.42200000000002547</v>
      </c>
      <c r="X12" s="33">
        <f t="shared" si="1"/>
        <v>1.1459999999999582</v>
      </c>
      <c r="Y12" s="33">
        <f t="shared" si="1"/>
        <v>0.60400000000004184</v>
      </c>
      <c r="Z12" s="33">
        <f t="shared" si="1"/>
        <v>2.1059999999999945</v>
      </c>
      <c r="AA12" s="33">
        <f t="shared" si="1"/>
        <v>0.66599999999993997</v>
      </c>
      <c r="AB12" s="33">
        <f t="shared" si="1"/>
        <v>1.0199999999999818</v>
      </c>
      <c r="AC12" s="33">
        <f t="shared" si="1"/>
        <v>0.67600000000004457</v>
      </c>
      <c r="AD12" s="33">
        <f t="shared" si="1"/>
        <v>1.0520000000000209</v>
      </c>
      <c r="AE12" s="33">
        <f t="shared" si="1"/>
        <v>1.2169999999999845</v>
      </c>
      <c r="AF12" s="33">
        <f t="shared" si="1"/>
        <v>0.43899999999996453</v>
      </c>
      <c r="AG12" s="33">
        <f t="shared" si="1"/>
        <v>0.51700000000005275</v>
      </c>
      <c r="AH12" s="33">
        <f t="shared" si="1"/>
        <v>1.1349999999999909</v>
      </c>
      <c r="AI12" s="33">
        <f t="shared" si="1"/>
        <v>0.94700000000000273</v>
      </c>
    </row>
    <row r="13" spans="1:42" s="8" customFormat="1" ht="25.7" customHeight="1" thickBot="1" x14ac:dyDescent="0.3">
      <c r="A13" s="92">
        <v>6</v>
      </c>
      <c r="B13" s="27">
        <v>65296485</v>
      </c>
      <c r="C13" s="91" t="s">
        <v>73</v>
      </c>
      <c r="D13" s="31">
        <v>744.42499999999995</v>
      </c>
      <c r="E13" s="31">
        <v>744.52800000000002</v>
      </c>
      <c r="F13" s="31">
        <v>749.21799999999996</v>
      </c>
      <c r="G13" s="31">
        <v>751.82600000000002</v>
      </c>
      <c r="H13" s="31">
        <v>753.26599999999996</v>
      </c>
      <c r="I13" s="31">
        <v>755.58799999999997</v>
      </c>
      <c r="J13" s="31">
        <v>757.15200000000004</v>
      </c>
      <c r="K13" s="31">
        <v>760.38699999999994</v>
      </c>
      <c r="L13" s="31">
        <v>767.16899999999998</v>
      </c>
      <c r="M13" s="31">
        <v>768.65899999999999</v>
      </c>
      <c r="N13" s="31">
        <v>771.55</v>
      </c>
      <c r="O13" s="31">
        <v>771.76099999999997</v>
      </c>
      <c r="P13" s="31">
        <v>772.35699999999997</v>
      </c>
      <c r="Q13" s="31">
        <v>773.28800000000001</v>
      </c>
      <c r="R13" s="31">
        <v>774.00199999999995</v>
      </c>
      <c r="S13" s="31">
        <v>774.80100000000004</v>
      </c>
      <c r="T13" s="31">
        <v>778.02300000000002</v>
      </c>
      <c r="U13" s="31">
        <v>780.40899999999999</v>
      </c>
      <c r="V13" s="31">
        <v>781.68499999999995</v>
      </c>
      <c r="W13" s="31">
        <v>781.79899999999998</v>
      </c>
      <c r="X13" s="31">
        <v>782.83100000000002</v>
      </c>
      <c r="Y13" s="31">
        <v>785.74599999999998</v>
      </c>
      <c r="Z13" s="31">
        <v>788.303</v>
      </c>
      <c r="AA13" s="31">
        <v>790.78899999999999</v>
      </c>
      <c r="AB13" s="31">
        <v>791.49599999999998</v>
      </c>
      <c r="AC13" s="31">
        <v>792.00699999999995</v>
      </c>
      <c r="AD13" s="31">
        <v>793.14800000000002</v>
      </c>
      <c r="AE13" s="31">
        <v>796.50900000000001</v>
      </c>
      <c r="AF13" s="31">
        <v>796.94600000000003</v>
      </c>
      <c r="AG13" s="31">
        <v>797.85699999999997</v>
      </c>
      <c r="AH13" s="31">
        <v>799.03599999999994</v>
      </c>
      <c r="AI13" s="31">
        <v>800.96199999999999</v>
      </c>
    </row>
    <row r="14" spans="1:42" s="8" customFormat="1" ht="25.7" customHeight="1" thickBot="1" x14ac:dyDescent="0.3">
      <c r="A14" s="93"/>
      <c r="B14" s="48"/>
      <c r="C14" s="91"/>
      <c r="D14" s="33"/>
      <c r="E14" s="33">
        <f t="shared" ref="E14" si="4">E13-D13</f>
        <v>0.10300000000006548</v>
      </c>
      <c r="F14" s="33">
        <f t="shared" si="1"/>
        <v>4.6899999999999409</v>
      </c>
      <c r="G14" s="33">
        <f t="shared" si="1"/>
        <v>2.6080000000000609</v>
      </c>
      <c r="H14" s="33">
        <f t="shared" si="1"/>
        <v>1.4399999999999409</v>
      </c>
      <c r="I14" s="33">
        <f t="shared" si="1"/>
        <v>2.3220000000000027</v>
      </c>
      <c r="J14" s="33">
        <f t="shared" si="1"/>
        <v>1.5640000000000782</v>
      </c>
      <c r="K14" s="33">
        <f t="shared" si="1"/>
        <v>3.2349999999999</v>
      </c>
      <c r="L14" s="33">
        <f t="shared" si="1"/>
        <v>6.7820000000000391</v>
      </c>
      <c r="M14" s="33">
        <f t="shared" si="1"/>
        <v>1.4900000000000091</v>
      </c>
      <c r="N14" s="33">
        <f t="shared" si="1"/>
        <v>2.8909999999999627</v>
      </c>
      <c r="O14" s="33">
        <f t="shared" si="1"/>
        <v>0.21100000000001273</v>
      </c>
      <c r="P14" s="33">
        <f t="shared" si="1"/>
        <v>0.59600000000000364</v>
      </c>
      <c r="Q14" s="33">
        <f t="shared" si="1"/>
        <v>0.93100000000004002</v>
      </c>
      <c r="R14" s="33">
        <f t="shared" si="1"/>
        <v>0.71399999999994179</v>
      </c>
      <c r="S14" s="33">
        <f t="shared" si="1"/>
        <v>0.79900000000009186</v>
      </c>
      <c r="T14" s="33">
        <f t="shared" si="1"/>
        <v>3.22199999999998</v>
      </c>
      <c r="U14" s="33">
        <f t="shared" si="1"/>
        <v>2.3859999999999673</v>
      </c>
      <c r="V14" s="33">
        <f t="shared" si="1"/>
        <v>1.2759999999999536</v>
      </c>
      <c r="W14" s="33">
        <f t="shared" si="1"/>
        <v>0.11400000000003274</v>
      </c>
      <c r="X14" s="33">
        <f t="shared" si="1"/>
        <v>1.0320000000000391</v>
      </c>
      <c r="Y14" s="33">
        <f t="shared" si="1"/>
        <v>2.9149999999999636</v>
      </c>
      <c r="Z14" s="33">
        <f t="shared" si="1"/>
        <v>2.5570000000000164</v>
      </c>
      <c r="AA14" s="33">
        <f t="shared" si="1"/>
        <v>2.48599999999999</v>
      </c>
      <c r="AB14" s="33">
        <f t="shared" si="1"/>
        <v>0.70699999999999363</v>
      </c>
      <c r="AC14" s="33">
        <f t="shared" si="1"/>
        <v>0.51099999999996726</v>
      </c>
      <c r="AD14" s="33">
        <f t="shared" si="1"/>
        <v>1.1410000000000764</v>
      </c>
      <c r="AE14" s="33">
        <f t="shared" si="1"/>
        <v>3.36099999999999</v>
      </c>
      <c r="AF14" s="33">
        <f t="shared" si="1"/>
        <v>0.43700000000001182</v>
      </c>
      <c r="AG14" s="33">
        <f t="shared" si="1"/>
        <v>0.91099999999994452</v>
      </c>
      <c r="AH14" s="33">
        <f t="shared" si="1"/>
        <v>1.1789999999999736</v>
      </c>
      <c r="AI14" s="33">
        <f t="shared" si="1"/>
        <v>1.9260000000000446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5" t="s">
        <v>71</v>
      </c>
      <c r="C15" s="85"/>
      <c r="D15" s="50"/>
      <c r="E15" s="58">
        <f>E6+((E8*45%)+(E10*45%)+(E12+E14))</f>
        <v>223.64499999999597</v>
      </c>
      <c r="F15" s="58">
        <f t="shared" ref="F15:AI15" si="5">F6+((F8*45%)+(F10*45%)+(F12+F14))</f>
        <v>188.94900000001036</v>
      </c>
      <c r="G15" s="58">
        <f t="shared" si="5"/>
        <v>251.22500000000761</v>
      </c>
      <c r="H15" s="58">
        <f t="shared" si="5"/>
        <v>283.4219999999703</v>
      </c>
      <c r="I15" s="58">
        <f t="shared" si="5"/>
        <v>265.50000000001796</v>
      </c>
      <c r="J15" s="58">
        <f t="shared" si="5"/>
        <v>254.4920000000443</v>
      </c>
      <c r="K15" s="58">
        <f t="shared" si="5"/>
        <v>296.48599999997145</v>
      </c>
      <c r="L15" s="58">
        <f t="shared" si="5"/>
        <v>275.04099999997271</v>
      </c>
      <c r="M15" s="58">
        <f t="shared" si="5"/>
        <v>252.44000000004536</v>
      </c>
      <c r="N15" s="58">
        <f t="shared" si="5"/>
        <v>239.43599999997141</v>
      </c>
      <c r="O15" s="58">
        <f t="shared" si="5"/>
        <v>272.49599999998725</v>
      </c>
      <c r="P15" s="58">
        <f t="shared" si="5"/>
        <v>256.25300000003608</v>
      </c>
      <c r="Q15" s="58">
        <f t="shared" si="5"/>
        <v>175.95299999997684</v>
      </c>
      <c r="R15" s="58">
        <f t="shared" si="5"/>
        <v>266.22600000002728</v>
      </c>
      <c r="S15" s="58">
        <f t="shared" si="5"/>
        <v>190.1539999999884</v>
      </c>
      <c r="T15" s="58">
        <f t="shared" si="5"/>
        <v>233.13399999999072</v>
      </c>
      <c r="U15" s="58">
        <f t="shared" si="5"/>
        <v>208.15399999997555</v>
      </c>
      <c r="V15" s="58">
        <f t="shared" si="5"/>
        <v>270.82400000001155</v>
      </c>
      <c r="W15" s="58">
        <f t="shared" si="5"/>
        <v>236.70600000001286</v>
      </c>
      <c r="X15" s="58">
        <f t="shared" si="5"/>
        <v>165.27799999996506</v>
      </c>
      <c r="Y15" s="58">
        <f t="shared" si="5"/>
        <v>262.83900000003899</v>
      </c>
      <c r="Z15" s="58">
        <f t="shared" si="5"/>
        <v>228.39299999996101</v>
      </c>
      <c r="AA15" s="58">
        <f t="shared" si="5"/>
        <v>273.20700000004535</v>
      </c>
      <c r="AB15" s="58">
        <f t="shared" si="5"/>
        <v>275.18199999999882</v>
      </c>
      <c r="AC15" s="58">
        <f t="shared" si="5"/>
        <v>260.34699999998315</v>
      </c>
      <c r="AD15" s="58">
        <f t="shared" si="5"/>
        <v>284.25800000001698</v>
      </c>
      <c r="AE15" s="58">
        <f t="shared" si="5"/>
        <v>200.69799999996621</v>
      </c>
      <c r="AF15" s="58">
        <f t="shared" si="5"/>
        <v>268.23600000001801</v>
      </c>
      <c r="AG15" s="58">
        <f t="shared" si="5"/>
        <v>276.25300000002329</v>
      </c>
      <c r="AH15" s="58">
        <f t="shared" si="5"/>
        <v>283.58399999996914</v>
      </c>
      <c r="AI15" s="58">
        <f t="shared" si="5"/>
        <v>401.66299999999075</v>
      </c>
    </row>
    <row r="16" spans="1:42" ht="33" customHeight="1" x14ac:dyDescent="0.25">
      <c r="B16" s="84" t="s">
        <v>72</v>
      </c>
      <c r="C16" s="84"/>
      <c r="D16" s="50"/>
      <c r="E16" s="58">
        <f>SUM(E15:AI15)</f>
        <v>7820.4739999999911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2" activePane="bottomLeft" state="frozen"/>
      <selection pane="bottomLeft" activeCell="B3" sqref="B3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91.5" customHeight="1" x14ac:dyDescent="0.25">
      <c r="A1" s="95" t="s">
        <v>84</v>
      </c>
      <c r="B1" s="95"/>
      <c r="C1" s="95"/>
    </row>
    <row r="3" spans="1:7" ht="48" x14ac:dyDescent="0.25">
      <c r="A3" s="51" t="s">
        <v>19</v>
      </c>
      <c r="B3" s="52">
        <v>62963.81</v>
      </c>
      <c r="C3" s="53"/>
    </row>
    <row r="4" spans="1:7" ht="28.5" customHeight="1" x14ac:dyDescent="0.25">
      <c r="A4" s="54">
        <v>1</v>
      </c>
      <c r="B4" s="52"/>
      <c r="C4" s="53">
        <f>B3/31</f>
        <v>2031.0906451612902</v>
      </c>
    </row>
    <row r="5" spans="1:7" ht="28.5" customHeight="1" x14ac:dyDescent="0.25">
      <c r="A5" s="54">
        <v>2</v>
      </c>
      <c r="B5" s="52"/>
      <c r="C5" s="53">
        <v>2031.0906451612902</v>
      </c>
    </row>
    <row r="6" spans="1:7" ht="28.5" customHeight="1" x14ac:dyDescent="0.25">
      <c r="A6" s="55">
        <v>3</v>
      </c>
      <c r="B6" s="52"/>
      <c r="C6" s="53">
        <v>2031.0906451612902</v>
      </c>
    </row>
    <row r="7" spans="1:7" ht="28.5" customHeight="1" x14ac:dyDescent="0.25">
      <c r="A7" s="54">
        <v>4</v>
      </c>
      <c r="B7" s="52"/>
      <c r="C7" s="53">
        <v>2031.0906451612902</v>
      </c>
    </row>
    <row r="8" spans="1:7" ht="28.5" customHeight="1" x14ac:dyDescent="0.25">
      <c r="A8" s="54">
        <v>5</v>
      </c>
      <c r="B8" s="52"/>
      <c r="C8" s="53">
        <v>2031.0906451612902</v>
      </c>
    </row>
    <row r="9" spans="1:7" ht="28.5" customHeight="1" x14ac:dyDescent="0.25">
      <c r="A9" s="54">
        <v>6</v>
      </c>
      <c r="B9" s="52"/>
      <c r="C9" s="53">
        <v>2031.0906451612902</v>
      </c>
      <c r="G9" t="s">
        <v>75</v>
      </c>
    </row>
    <row r="10" spans="1:7" ht="28.5" customHeight="1" x14ac:dyDescent="0.25">
      <c r="A10" s="54">
        <v>7</v>
      </c>
      <c r="B10" s="52"/>
      <c r="C10" s="53">
        <v>2031.0906451612902</v>
      </c>
    </row>
    <row r="11" spans="1:7" ht="28.5" customHeight="1" x14ac:dyDescent="0.25">
      <c r="A11" s="54">
        <v>8</v>
      </c>
      <c r="B11" s="52"/>
      <c r="C11" s="53">
        <v>2031.0906451612902</v>
      </c>
    </row>
    <row r="12" spans="1:7" ht="28.5" customHeight="1" x14ac:dyDescent="0.25">
      <c r="A12" s="54">
        <v>9</v>
      </c>
      <c r="B12" s="52"/>
      <c r="C12" s="53">
        <v>2031.0906451612902</v>
      </c>
    </row>
    <row r="13" spans="1:7" ht="28.5" customHeight="1" x14ac:dyDescent="0.25">
      <c r="A13" s="54">
        <v>10</v>
      </c>
      <c r="B13" s="52"/>
      <c r="C13" s="53">
        <v>2031.0906451612902</v>
      </c>
    </row>
    <row r="14" spans="1:7" ht="28.5" customHeight="1" x14ac:dyDescent="0.25">
      <c r="A14" s="54">
        <v>11</v>
      </c>
      <c r="B14" s="52"/>
      <c r="C14" s="53">
        <v>2031.0906451612902</v>
      </c>
    </row>
    <row r="15" spans="1:7" ht="28.5" customHeight="1" x14ac:dyDescent="0.25">
      <c r="A15" s="54">
        <v>12</v>
      </c>
      <c r="B15" s="52"/>
      <c r="C15" s="53">
        <v>2031.0906451612902</v>
      </c>
    </row>
    <row r="16" spans="1:7" ht="28.5" customHeight="1" x14ac:dyDescent="0.25">
      <c r="A16" s="54">
        <v>13</v>
      </c>
      <c r="B16" s="52"/>
      <c r="C16" s="53">
        <v>2031.0906451612902</v>
      </c>
    </row>
    <row r="17" spans="1:4" ht="28.5" customHeight="1" x14ac:dyDescent="0.25">
      <c r="A17" s="54">
        <v>14</v>
      </c>
      <c r="B17" s="52"/>
      <c r="C17" s="53">
        <v>2031.0906451612902</v>
      </c>
    </row>
    <row r="18" spans="1:4" ht="28.5" customHeight="1" x14ac:dyDescent="0.25">
      <c r="A18" s="54">
        <v>15</v>
      </c>
      <c r="B18" s="52"/>
      <c r="C18" s="53">
        <v>2031.0906451612902</v>
      </c>
    </row>
    <row r="19" spans="1:4" ht="28.5" customHeight="1" x14ac:dyDescent="0.25">
      <c r="A19" s="54">
        <v>16</v>
      </c>
      <c r="B19" s="52"/>
      <c r="C19" s="53">
        <v>2031.0906451612902</v>
      </c>
    </row>
    <row r="20" spans="1:4" ht="28.5" customHeight="1" x14ac:dyDescent="0.25">
      <c r="A20" s="54">
        <v>17</v>
      </c>
      <c r="B20" s="52"/>
      <c r="C20" s="53">
        <v>2031.0906451612902</v>
      </c>
    </row>
    <row r="21" spans="1:4" ht="28.5" customHeight="1" x14ac:dyDescent="0.25">
      <c r="A21" s="54">
        <v>18</v>
      </c>
      <c r="B21" s="52"/>
      <c r="C21" s="53">
        <v>2031.0906451612902</v>
      </c>
    </row>
    <row r="22" spans="1:4" ht="28.5" customHeight="1" x14ac:dyDescent="0.25">
      <c r="A22" s="54">
        <v>19</v>
      </c>
      <c r="B22" s="52"/>
      <c r="C22" s="53">
        <v>2031.0906451612902</v>
      </c>
    </row>
    <row r="23" spans="1:4" ht="28.5" customHeight="1" x14ac:dyDescent="0.25">
      <c r="A23" s="54">
        <v>20</v>
      </c>
      <c r="B23" s="52"/>
      <c r="C23" s="53">
        <v>2031.0906451612902</v>
      </c>
    </row>
    <row r="24" spans="1:4" ht="28.5" customHeight="1" x14ac:dyDescent="0.25">
      <c r="A24" s="54">
        <v>21</v>
      </c>
      <c r="B24" s="52"/>
      <c r="C24" s="53">
        <v>2031.0906451612902</v>
      </c>
    </row>
    <row r="25" spans="1:4" ht="28.5" customHeight="1" x14ac:dyDescent="0.25">
      <c r="A25" s="54">
        <v>22</v>
      </c>
      <c r="B25" s="52"/>
      <c r="C25" s="53">
        <v>2031.0906451612902</v>
      </c>
    </row>
    <row r="26" spans="1:4" ht="28.5" customHeight="1" x14ac:dyDescent="0.25">
      <c r="A26" s="54">
        <v>23</v>
      </c>
      <c r="B26" s="52"/>
      <c r="C26" s="53">
        <v>2031.0906451612902</v>
      </c>
    </row>
    <row r="27" spans="1:4" ht="28.5" customHeight="1" x14ac:dyDescent="0.25">
      <c r="A27" s="54">
        <v>24</v>
      </c>
      <c r="B27" s="52"/>
      <c r="C27" s="53">
        <v>2031.0906451612902</v>
      </c>
    </row>
    <row r="28" spans="1:4" ht="28.5" customHeight="1" x14ac:dyDescent="0.25">
      <c r="A28" s="54">
        <v>25</v>
      </c>
      <c r="B28" s="52"/>
      <c r="C28" s="53">
        <v>2031.0906451612902</v>
      </c>
      <c r="D28" s="56"/>
    </row>
    <row r="29" spans="1:4" ht="28.5" customHeight="1" x14ac:dyDescent="0.25">
      <c r="A29" s="54">
        <v>26</v>
      </c>
      <c r="B29" s="52"/>
      <c r="C29" s="53">
        <v>2031.0906451612902</v>
      </c>
      <c r="D29" s="56"/>
    </row>
    <row r="30" spans="1:4" ht="28.5" customHeight="1" x14ac:dyDescent="0.25">
      <c r="A30" s="54">
        <v>27</v>
      </c>
      <c r="B30" s="52"/>
      <c r="C30" s="53">
        <v>2031.0906451612902</v>
      </c>
    </row>
    <row r="31" spans="1:4" ht="28.5" customHeight="1" x14ac:dyDescent="0.25">
      <c r="A31" s="54">
        <v>28</v>
      </c>
      <c r="B31" s="52"/>
      <c r="C31" s="53">
        <v>2031.0906451612902</v>
      </c>
    </row>
    <row r="32" spans="1:4" ht="28.5" customHeight="1" x14ac:dyDescent="0.25">
      <c r="A32" s="54">
        <v>29</v>
      </c>
      <c r="B32" s="52"/>
      <c r="C32" s="53">
        <v>2031.0906451612902</v>
      </c>
    </row>
    <row r="33" spans="1:3" ht="28.5" customHeight="1" x14ac:dyDescent="0.25">
      <c r="A33" s="54">
        <v>30</v>
      </c>
      <c r="B33" s="52"/>
      <c r="C33" s="53">
        <v>2031.0906451612902</v>
      </c>
    </row>
    <row r="34" spans="1:3" ht="28.5" customHeight="1" x14ac:dyDescent="0.25">
      <c r="A34" s="54">
        <v>31</v>
      </c>
      <c r="B34" s="52"/>
      <c r="C34" s="53">
        <v>2031.0906451612902</v>
      </c>
    </row>
    <row r="35" spans="1:3" x14ac:dyDescent="0.25">
      <c r="A35" s="94" t="s">
        <v>76</v>
      </c>
      <c r="B35" s="94"/>
      <c r="C35" s="57">
        <f>SUM(C4:C34)</f>
        <v>62963.81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5" zoomScaleNormal="100" workbookViewId="0">
      <selection activeCell="B34" sqref="B34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5" t="s">
        <v>85</v>
      </c>
      <c r="B1" s="95"/>
      <c r="C1" s="95"/>
    </row>
    <row r="2" spans="1:3" ht="24.95" customHeight="1" x14ac:dyDescent="0.25">
      <c r="A2" s="60" t="s">
        <v>82</v>
      </c>
      <c r="B2" s="60" t="s">
        <v>80</v>
      </c>
      <c r="C2" s="60" t="s">
        <v>81</v>
      </c>
    </row>
    <row r="3" spans="1:3" ht="24.95" customHeight="1" x14ac:dyDescent="0.25">
      <c r="A3" s="61">
        <v>44682</v>
      </c>
      <c r="B3" s="96">
        <v>322</v>
      </c>
      <c r="C3" s="96">
        <v>474</v>
      </c>
    </row>
    <row r="4" spans="1:3" ht="24.95" customHeight="1" x14ac:dyDescent="0.25">
      <c r="A4" s="61">
        <v>44683</v>
      </c>
      <c r="B4" s="96">
        <v>356</v>
      </c>
      <c r="C4" s="96">
        <v>536</v>
      </c>
    </row>
    <row r="5" spans="1:3" ht="24.95" customHeight="1" x14ac:dyDescent="0.25">
      <c r="A5" s="61">
        <v>44684</v>
      </c>
      <c r="B5" s="96">
        <v>403</v>
      </c>
      <c r="C5" s="96">
        <v>627</v>
      </c>
    </row>
    <row r="6" spans="1:3" ht="24.95" customHeight="1" x14ac:dyDescent="0.25">
      <c r="A6" s="61">
        <v>44685</v>
      </c>
      <c r="B6" s="96">
        <v>399</v>
      </c>
      <c r="C6" s="96">
        <v>615</v>
      </c>
    </row>
    <row r="7" spans="1:3" ht="24.95" customHeight="1" x14ac:dyDescent="0.25">
      <c r="A7" s="61">
        <v>44686</v>
      </c>
      <c r="B7" s="96">
        <v>427</v>
      </c>
      <c r="C7" s="96">
        <v>627</v>
      </c>
    </row>
    <row r="8" spans="1:3" ht="24.95" customHeight="1" x14ac:dyDescent="0.25">
      <c r="A8" s="61">
        <v>44687</v>
      </c>
      <c r="B8" s="96">
        <v>400</v>
      </c>
      <c r="C8" s="96">
        <v>604</v>
      </c>
    </row>
    <row r="9" spans="1:3" ht="24.95" customHeight="1" x14ac:dyDescent="0.25">
      <c r="A9" s="61">
        <v>44688</v>
      </c>
      <c r="B9" s="96">
        <v>329</v>
      </c>
      <c r="C9" s="96">
        <v>439</v>
      </c>
    </row>
    <row r="10" spans="1:3" ht="24.95" customHeight="1" x14ac:dyDescent="0.25">
      <c r="A10" s="61">
        <v>44689</v>
      </c>
      <c r="B10" s="96">
        <v>303</v>
      </c>
      <c r="C10" s="96">
        <v>359</v>
      </c>
    </row>
    <row r="11" spans="1:3" ht="24.95" customHeight="1" x14ac:dyDescent="0.25">
      <c r="A11" s="61">
        <v>44690</v>
      </c>
      <c r="B11" s="96">
        <v>327</v>
      </c>
      <c r="C11" s="96">
        <v>377</v>
      </c>
    </row>
    <row r="12" spans="1:3" ht="24.95" customHeight="1" x14ac:dyDescent="0.25">
      <c r="A12" s="61">
        <v>44691</v>
      </c>
      <c r="B12" s="96">
        <v>319</v>
      </c>
      <c r="C12" s="96">
        <v>373</v>
      </c>
    </row>
    <row r="13" spans="1:3" ht="24.95" customHeight="1" x14ac:dyDescent="0.25">
      <c r="A13" s="61">
        <v>44692</v>
      </c>
      <c r="B13" s="96">
        <v>307</v>
      </c>
      <c r="C13" s="96">
        <v>355</v>
      </c>
    </row>
    <row r="14" spans="1:3" ht="24.95" customHeight="1" x14ac:dyDescent="0.25">
      <c r="A14" s="61">
        <v>44693</v>
      </c>
      <c r="B14" s="96">
        <v>284</v>
      </c>
      <c r="C14" s="96">
        <v>327</v>
      </c>
    </row>
    <row r="15" spans="1:3" ht="24.95" customHeight="1" x14ac:dyDescent="0.25">
      <c r="A15" s="61">
        <v>44694</v>
      </c>
      <c r="B15" s="96">
        <v>273</v>
      </c>
      <c r="C15" s="96">
        <v>343</v>
      </c>
    </row>
    <row r="16" spans="1:3" ht="24.95" customHeight="1" x14ac:dyDescent="0.25">
      <c r="A16" s="61">
        <v>44695</v>
      </c>
      <c r="B16" s="96">
        <v>262</v>
      </c>
      <c r="C16" s="96">
        <v>314</v>
      </c>
    </row>
    <row r="17" spans="1:3" ht="24.95" customHeight="1" x14ac:dyDescent="0.25">
      <c r="A17" s="61">
        <v>44696</v>
      </c>
      <c r="B17" s="96">
        <v>265</v>
      </c>
      <c r="C17" s="96">
        <v>301</v>
      </c>
    </row>
    <row r="18" spans="1:3" ht="24.95" customHeight="1" x14ac:dyDescent="0.25">
      <c r="A18" s="61">
        <v>44697</v>
      </c>
      <c r="B18" s="96">
        <v>282</v>
      </c>
      <c r="C18" s="96">
        <v>328</v>
      </c>
    </row>
    <row r="19" spans="1:3" ht="24.95" customHeight="1" x14ac:dyDescent="0.25">
      <c r="A19" s="61">
        <v>44698</v>
      </c>
      <c r="B19" s="96">
        <v>290</v>
      </c>
      <c r="C19" s="96">
        <v>330</v>
      </c>
    </row>
    <row r="20" spans="1:3" ht="24.95" customHeight="1" x14ac:dyDescent="0.25">
      <c r="A20" s="61">
        <v>44699</v>
      </c>
      <c r="B20" s="96">
        <v>302</v>
      </c>
      <c r="C20" s="96">
        <v>347</v>
      </c>
    </row>
    <row r="21" spans="1:3" ht="24.95" customHeight="1" x14ac:dyDescent="0.25">
      <c r="A21" s="61">
        <v>44700</v>
      </c>
      <c r="B21" s="96">
        <v>294</v>
      </c>
      <c r="C21" s="96">
        <v>333</v>
      </c>
    </row>
    <row r="22" spans="1:3" ht="24.95" customHeight="1" x14ac:dyDescent="0.25">
      <c r="A22" s="61">
        <v>44701</v>
      </c>
      <c r="B22" s="96">
        <v>305</v>
      </c>
      <c r="C22" s="96">
        <v>358</v>
      </c>
    </row>
    <row r="23" spans="1:3" ht="24.95" customHeight="1" x14ac:dyDescent="0.25">
      <c r="A23" s="61">
        <v>44702</v>
      </c>
      <c r="B23" s="96">
        <v>254</v>
      </c>
      <c r="C23" s="96">
        <v>296</v>
      </c>
    </row>
    <row r="24" spans="1:3" ht="24.95" customHeight="1" x14ac:dyDescent="0.25">
      <c r="A24" s="61">
        <v>44703</v>
      </c>
      <c r="B24" s="96">
        <v>275</v>
      </c>
      <c r="C24" s="96">
        <v>326</v>
      </c>
    </row>
    <row r="25" spans="1:3" ht="24.95" customHeight="1" x14ac:dyDescent="0.25">
      <c r="A25" s="61">
        <v>44704</v>
      </c>
      <c r="B25" s="96">
        <v>299</v>
      </c>
      <c r="C25" s="96">
        <v>342</v>
      </c>
    </row>
    <row r="26" spans="1:3" ht="24.95" customHeight="1" x14ac:dyDescent="0.25">
      <c r="A26" s="61">
        <v>44705</v>
      </c>
      <c r="B26" s="96">
        <v>323</v>
      </c>
      <c r="C26" s="96">
        <v>370</v>
      </c>
    </row>
    <row r="27" spans="1:3" ht="24.95" customHeight="1" x14ac:dyDescent="0.25">
      <c r="A27" s="61">
        <v>44706</v>
      </c>
      <c r="B27" s="96">
        <v>332</v>
      </c>
      <c r="C27" s="96">
        <v>384</v>
      </c>
    </row>
    <row r="28" spans="1:3" ht="24.95" customHeight="1" x14ac:dyDescent="0.25">
      <c r="A28" s="61">
        <v>44707</v>
      </c>
      <c r="B28" s="96">
        <v>320</v>
      </c>
      <c r="C28" s="96">
        <v>385</v>
      </c>
    </row>
    <row r="29" spans="1:3" ht="24.95" customHeight="1" x14ac:dyDescent="0.25">
      <c r="A29" s="61">
        <v>44708</v>
      </c>
      <c r="B29" s="96">
        <v>291</v>
      </c>
      <c r="C29" s="96">
        <v>357</v>
      </c>
    </row>
    <row r="30" spans="1:3" ht="24.95" customHeight="1" x14ac:dyDescent="0.25">
      <c r="A30" s="61">
        <v>44709</v>
      </c>
      <c r="B30" s="96">
        <v>269</v>
      </c>
      <c r="C30" s="96">
        <v>323</v>
      </c>
    </row>
    <row r="31" spans="1:3" ht="24.95" customHeight="1" x14ac:dyDescent="0.25">
      <c r="A31" s="61">
        <v>44710</v>
      </c>
      <c r="B31" s="96">
        <v>311</v>
      </c>
      <c r="C31" s="96">
        <v>374</v>
      </c>
    </row>
    <row r="32" spans="1:3" ht="24.95" customHeight="1" x14ac:dyDescent="0.25">
      <c r="A32" s="61">
        <v>44711</v>
      </c>
      <c r="B32" s="96">
        <v>320</v>
      </c>
      <c r="C32" s="96">
        <v>376</v>
      </c>
    </row>
    <row r="33" spans="1:3" ht="24.95" customHeight="1" x14ac:dyDescent="0.25">
      <c r="A33" s="61">
        <v>44712</v>
      </c>
      <c r="B33" s="96">
        <v>345</v>
      </c>
      <c r="C33" s="96">
        <v>404</v>
      </c>
    </row>
    <row r="34" spans="1:3" ht="30.75" customHeight="1" x14ac:dyDescent="0.25">
      <c r="A34" s="60" t="s">
        <v>83</v>
      </c>
      <c r="B34" s="62">
        <f>SUM(B3:B33)</f>
        <v>9788</v>
      </c>
      <c r="C34" s="62">
        <f>SUM(C3:C33)</f>
        <v>12304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2025-03-18T09:52:00Z</dcterms:modified>
</cp:coreProperties>
</file>