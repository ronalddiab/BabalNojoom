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0/"/>
    </mc:Choice>
  </mc:AlternateContent>
  <xr:revisionPtr revIDLastSave="812" documentId="8_{8847650D-614C-4264-8C87-30D8B5EB4252}" xr6:coauthVersionLast="47" xr6:coauthVersionMax="47" xr10:uidLastSave="{357A0E49-32B7-41F2-9CF5-F2CA334F6F69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0" i="3" l="1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E15" i="5" l="1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E16" i="5" l="1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21" i="3" l="1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 xr:uid="{B300F36A-28A4-4A39-86A9-ED9382FA2A4E}">
      <text>
        <r>
          <rPr>
            <b/>
            <sz val="9"/>
            <color indexed="81"/>
            <rFont val="Tahoma"/>
            <family val="2"/>
          </rPr>
          <t>As of June 17, ADDC has been informed</t>
        </r>
      </text>
    </comment>
    <comment ref="E11" authorId="0" shapeId="0" xr:uid="{EBF1656C-DB02-4D28-B3E7-4A6415921376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 shapeId="0" xr:uid="{68B1B0BE-7E32-407D-AD2C-4D3DED01C147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 shapeId="0" xr:uid="{640ACB14-C9DF-4863-9427-31C66A8088B3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 shapeId="0" xr:uid="{36E175AC-67C6-4597-AACD-778E44558E36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A355CF03-53F2-4043-A793-54C68C924A00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39E68215-DC0C-4009-8584-B228040B258E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42EDC68C-0B46-440E-9F66-9AC231F745C8}">
      <text>
        <r>
          <rPr>
            <b/>
            <sz val="9"/>
            <color indexed="81"/>
            <rFont val="Tahoma"/>
            <family val="2"/>
          </rPr>
          <t>As of June 17, ADDC has been informed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<sst xmlns="http://schemas.openxmlformats.org/spreadsheetml/2006/main" count="123" uniqueCount="88">
  <si>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</si>
  <si>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</si>
  <si>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</si>
  <si>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</si>
  <si>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</si>
  <si>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</si>
  <si>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</si>
  <si>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</si>
  <si>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</si>
  <si>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</si>
  <si>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</si>
  <si>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</si>
  <si>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</si>
  <si>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</si>
  <si>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</si>
  <si>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</si>
  <si>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</si>
  <si>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</si>
  <si>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</si>
  <si>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</si>
  <si>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</si>
  <si>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</si>
  <si>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</si>
  <si>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</si>
  <si>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</si>
  <si>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</si>
  <si>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</si>
  <si>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</si>
  <si>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</si>
  <si>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</si>
  <si>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</si>
  <si>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</si>
  <si>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</si>
  <si>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</si>
  <si>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</si>
  <si>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</si>
  <si>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</si>
  <si>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</si>
  <si>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</si>
  <si>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</si>
  <si>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</si>
  <si>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</si>
  <si>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</si>
  <si>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</si>
  <si>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</si>
  <si>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</si>
  <si>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</si>
  <si>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</si>
  <si>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</si>
  <si>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</si>
  <si>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</si>
  <si>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</si>
  <si>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</si>
  <si>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</si>
  <si>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</si>
  <si>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</si>
  <si>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</si>
  <si>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</si>
  <si>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</si>
  <si>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</si>
  <si>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</si>
  <si>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</si>
  <si>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</si>
  <si>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</si>
  <si>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</si>
  <si>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</si>
  <si>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</si>
  <si>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</si>
  <si>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</si>
  <si>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</si>
  <si>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</si>
  <si>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</si>
  <si>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</si>
  <si>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</si>
  <si>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</si>
  <si>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</si>
  <si>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</si>
  <si>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</si>
  <si>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</si>
  <si>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</si>
  <si>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</si>
  <si>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</si>
  <si>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</si>
  <si>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</si>
  <si>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JULY 2020</t>
  </si>
  <si>
    <r>
      <t>DAILY WATER METER READINGS &amp; CONSUMPTION (m</t>
    </r>
    <r>
      <rPr>
        <b/>
        <vertAlign val="superscript"/>
        <sz val="20"/>
        <color rgb="FF000000"/>
        <rFont val="Calibri"/>
      </rPr>
      <t>3</t>
    </r>
    <r>
      <rPr>
        <b/>
        <sz val="20"/>
        <color rgb="FF000000"/>
        <rFont val="Calibri"/>
      </rPr>
      <t>) JULY  2020</t>
    </r>
  </si>
  <si>
    <t>DAILY GAS METER READINGS &amp; CONSUMPTION (Liters) JULY 2020</t>
  </si>
  <si>
    <t>Occupied Room &amp; Number of Guest
July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</si>
</sst>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</font>
    <font>
      <b/>
      <vertAlign val="superscript"/>
      <sz val="2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168" fontId="27" fillId="0" borderId="21" xfId="1" applyNumberFormat="1" applyFont="1" applyFill="1" applyBorder="1"/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7</v>
      </c>
      <c r="D2" s="10">
        <v>2020</v>
      </c>
      <c r="E2" s="4" cm="1">
        <f t="array" ref="E2:E32">TRANSPOSE(Electricity!E21:AI21)</f>
        <v>39944</v>
      </c>
      <c r="F2" s="11">
        <v>0.2</v>
      </c>
      <c r="G2" s="4">
        <f>LPG!C4</f>
        <v>1561.9774193548387</v>
      </c>
      <c r="H2" s="11">
        <v>1.0900000619562051</v>
      </c>
      <c r="I2" s="4" cm="1">
        <f t="array" ref="I2:I32">TRANSPOSE(Water!E15:AI15)</f>
        <v>406.22099999998863</v>
      </c>
      <c r="J2" s="11">
        <v>7.84</v>
      </c>
      <c r="K2" s="4">
        <f>'Occupied &amp; No. of Guest'!B3</f>
        <v>379</v>
      </c>
      <c r="L2" s="4">
        <f>'Occupied &amp; No. of Guest'!C3</f>
        <v>483</v>
      </c>
    </row>
    <row r="3" spans="1:12" x14ac:dyDescent="0.3">
      <c r="A3" s="9" t="s">
        <v>12</v>
      </c>
      <c r="B3" s="10">
        <f>B2+1</f>
        <v>2</v>
      </c>
      <c r="C3" s="10">
        <v>7</v>
      </c>
      <c r="D3" s="10">
        <v>2020</v>
      </c>
      <c r="E3" s="4">
        <v>40981</v>
      </c>
      <c r="F3" s="11">
        <v>0.2</v>
      </c>
      <c r="G3" s="4">
        <f>LPG!C5</f>
        <v>1561.9774193548387</v>
      </c>
      <c r="H3" s="11">
        <v>1.0900000619562051</v>
      </c>
      <c r="I3" s="4">
        <v>401.882000000012</v>
      </c>
      <c r="J3" s="11">
        <v>7.84</v>
      </c>
      <c r="K3" s="4">
        <f>'Occupied &amp; No. of Guest'!B4</f>
        <v>377</v>
      </c>
      <c r="L3" s="4">
        <f>'Occupied &amp; No. of Guest'!C4</f>
        <v>481</v>
      </c>
    </row>
    <row r="4" spans="1:12" x14ac:dyDescent="0.3">
      <c r="A4" s="9" t="s">
        <v>12</v>
      </c>
      <c r="B4" s="10">
        <f t="shared" ref="B4:B32" si="0">B3+1</f>
        <v>3</v>
      </c>
      <c r="C4" s="10">
        <v>7</v>
      </c>
      <c r="D4" s="10">
        <v>2020</v>
      </c>
      <c r="E4" s="4">
        <v>36358</v>
      </c>
      <c r="F4" s="11">
        <v>0.2</v>
      </c>
      <c r="G4" s="4">
        <f>LPG!C6</f>
        <v>1561.9774193548387</v>
      </c>
      <c r="H4" s="11">
        <v>1.0900000619562051</v>
      </c>
      <c r="I4" s="4">
        <v>280.93200000001946</v>
      </c>
      <c r="J4" s="11">
        <v>7.84</v>
      </c>
      <c r="K4" s="4">
        <f>'Occupied &amp; No. of Guest'!B5</f>
        <v>389</v>
      </c>
      <c r="L4" s="4">
        <f>'Occupied &amp; No. of Guest'!C5</f>
        <v>499</v>
      </c>
    </row>
    <row r="5" spans="1:12" x14ac:dyDescent="0.3">
      <c r="A5" s="9" t="s">
        <v>12</v>
      </c>
      <c r="B5" s="10">
        <f t="shared" si="0"/>
        <v>4</v>
      </c>
      <c r="C5" s="10">
        <v>7</v>
      </c>
      <c r="D5" s="10">
        <v>2020</v>
      </c>
      <c r="E5" s="4">
        <v>39534</v>
      </c>
      <c r="F5" s="11">
        <v>0.2</v>
      </c>
      <c r="G5" s="4">
        <f>LPG!C7</f>
        <v>1561.9774193548387</v>
      </c>
      <c r="H5" s="11">
        <v>1.0900000619562051</v>
      </c>
      <c r="I5" s="4">
        <v>436.71399999998357</v>
      </c>
      <c r="J5" s="11">
        <v>7.84</v>
      </c>
      <c r="K5" s="4">
        <f>'Occupied &amp; No. of Guest'!B6</f>
        <v>392</v>
      </c>
      <c r="L5" s="4">
        <f>'Occupied &amp; No. of Guest'!C6</f>
        <v>501</v>
      </c>
    </row>
    <row r="6" spans="1:12" x14ac:dyDescent="0.3">
      <c r="A6" s="9" t="s">
        <v>12</v>
      </c>
      <c r="B6" s="10">
        <f t="shared" si="0"/>
        <v>5</v>
      </c>
      <c r="C6" s="10">
        <v>7</v>
      </c>
      <c r="D6" s="10">
        <v>2020</v>
      </c>
      <c r="E6" s="4">
        <v>38283</v>
      </c>
      <c r="F6" s="11">
        <v>0.2</v>
      </c>
      <c r="G6" s="4">
        <f>LPG!C8</f>
        <v>1561.9774193548387</v>
      </c>
      <c r="H6" s="11">
        <v>1.0900000619562051</v>
      </c>
      <c r="I6" s="4">
        <v>445.26299999999611</v>
      </c>
      <c r="J6" s="11">
        <v>7.84</v>
      </c>
      <c r="K6" s="4">
        <f>'Occupied &amp; No. of Guest'!B7</f>
        <v>428</v>
      </c>
      <c r="L6" s="4">
        <f>'Occupied &amp; No. of Guest'!C7</f>
        <v>543</v>
      </c>
    </row>
    <row r="7" spans="1:12" x14ac:dyDescent="0.3">
      <c r="A7" s="9" t="s">
        <v>12</v>
      </c>
      <c r="B7" s="10">
        <f t="shared" si="0"/>
        <v>6</v>
      </c>
      <c r="C7" s="10">
        <v>7</v>
      </c>
      <c r="D7" s="10">
        <v>2020</v>
      </c>
      <c r="E7" s="4">
        <v>37083</v>
      </c>
      <c r="F7" s="11">
        <v>0.2</v>
      </c>
      <c r="G7" s="4">
        <f>LPG!C9</f>
        <v>1561.9774193548387</v>
      </c>
      <c r="H7" s="11">
        <v>1.0900000619562051</v>
      </c>
      <c r="I7" s="4">
        <v>437.05900000001134</v>
      </c>
      <c r="J7" s="11">
        <v>7.84</v>
      </c>
      <c r="K7" s="4">
        <f>'Occupied &amp; No. of Guest'!B8</f>
        <v>448</v>
      </c>
      <c r="L7" s="4">
        <f>'Occupied &amp; No. of Guest'!C8</f>
        <v>557</v>
      </c>
    </row>
    <row r="8" spans="1:12" x14ac:dyDescent="0.3">
      <c r="A8" s="9" t="s">
        <v>12</v>
      </c>
      <c r="B8" s="10">
        <f t="shared" si="0"/>
        <v>7</v>
      </c>
      <c r="C8" s="10">
        <v>7</v>
      </c>
      <c r="D8" s="10">
        <v>2020</v>
      </c>
      <c r="E8" s="4">
        <v>39484</v>
      </c>
      <c r="F8" s="11">
        <v>0.2</v>
      </c>
      <c r="G8" s="4">
        <f>LPG!C10</f>
        <v>1561.9774193548387</v>
      </c>
      <c r="H8" s="11">
        <v>1.0900000619562051</v>
      </c>
      <c r="I8" s="4">
        <v>431.37599999998872</v>
      </c>
      <c r="J8" s="11">
        <v>7.84</v>
      </c>
      <c r="K8" s="4">
        <f>'Occupied &amp; No. of Guest'!B9</f>
        <v>444</v>
      </c>
      <c r="L8" s="4">
        <f>'Occupied &amp; No. of Guest'!C9</f>
        <v>547</v>
      </c>
    </row>
    <row r="9" spans="1:12" x14ac:dyDescent="0.3">
      <c r="A9" s="9" t="s">
        <v>12</v>
      </c>
      <c r="B9" s="10">
        <f t="shared" si="0"/>
        <v>8</v>
      </c>
      <c r="C9" s="10">
        <v>7</v>
      </c>
      <c r="D9" s="10">
        <v>2020</v>
      </c>
      <c r="E9" s="4">
        <v>39286</v>
      </c>
      <c r="F9" s="11">
        <v>0.2</v>
      </c>
      <c r="G9" s="4">
        <f>LPG!C11</f>
        <v>1561.9774193548387</v>
      </c>
      <c r="H9" s="11">
        <v>1.0900000619562051</v>
      </c>
      <c r="I9" s="4">
        <v>455.82600000001185</v>
      </c>
      <c r="J9" s="11">
        <v>7.84</v>
      </c>
      <c r="K9" s="4">
        <f>'Occupied &amp; No. of Guest'!B10</f>
        <v>424</v>
      </c>
      <c r="L9" s="4">
        <f>'Occupied &amp; No. of Guest'!C10</f>
        <v>518</v>
      </c>
    </row>
    <row r="10" spans="1:12" x14ac:dyDescent="0.3">
      <c r="A10" s="9" t="s">
        <v>12</v>
      </c>
      <c r="B10" s="10">
        <f t="shared" si="0"/>
        <v>9</v>
      </c>
      <c r="C10" s="10">
        <v>7</v>
      </c>
      <c r="D10" s="10">
        <v>2020</v>
      </c>
      <c r="E10" s="4">
        <v>39883</v>
      </c>
      <c r="F10" s="11">
        <v>0.2</v>
      </c>
      <c r="G10" s="4">
        <f>LPG!C12</f>
        <v>1561.9774193548387</v>
      </c>
      <c r="H10" s="11">
        <v>1.0900000619562051</v>
      </c>
      <c r="I10" s="4">
        <v>402.94199999998784</v>
      </c>
      <c r="J10" s="11">
        <v>7.84</v>
      </c>
      <c r="K10" s="4">
        <f>'Occupied &amp; No. of Guest'!B11</f>
        <v>387</v>
      </c>
      <c r="L10" s="4">
        <f>'Occupied &amp; No. of Guest'!C11</f>
        <v>477</v>
      </c>
    </row>
    <row r="11" spans="1:12" x14ac:dyDescent="0.3">
      <c r="A11" s="9" t="s">
        <v>12</v>
      </c>
      <c r="B11" s="10">
        <f t="shared" si="0"/>
        <v>10</v>
      </c>
      <c r="C11" s="10">
        <v>7</v>
      </c>
      <c r="D11" s="10">
        <v>2020</v>
      </c>
      <c r="E11" s="4">
        <v>39687</v>
      </c>
      <c r="F11" s="11">
        <v>0.2</v>
      </c>
      <c r="G11" s="4">
        <f>LPG!C13</f>
        <v>1561.9774193548387</v>
      </c>
      <c r="H11" s="11">
        <v>1.0900000619562051</v>
      </c>
      <c r="I11" s="4">
        <v>295.28500000001236</v>
      </c>
      <c r="J11" s="11">
        <v>7.84</v>
      </c>
      <c r="K11" s="4">
        <f>'Occupied &amp; No. of Guest'!B12</f>
        <v>388</v>
      </c>
      <c r="L11" s="4">
        <f>'Occupied &amp; No. of Guest'!C12</f>
        <v>471</v>
      </c>
    </row>
    <row r="12" spans="1:12" x14ac:dyDescent="0.3">
      <c r="A12" s="9" t="s">
        <v>12</v>
      </c>
      <c r="B12" s="10">
        <f t="shared" si="0"/>
        <v>11</v>
      </c>
      <c r="C12" s="10">
        <v>7</v>
      </c>
      <c r="D12" s="10">
        <v>2020</v>
      </c>
      <c r="E12" s="4">
        <v>37887</v>
      </c>
      <c r="F12" s="11">
        <v>0.2</v>
      </c>
      <c r="G12" s="4">
        <f>LPG!C14</f>
        <v>1561.9774193548387</v>
      </c>
      <c r="H12" s="11">
        <v>1.0900000619562051</v>
      </c>
      <c r="I12" s="4">
        <v>410.45799999998599</v>
      </c>
      <c r="J12" s="11">
        <v>7.84</v>
      </c>
      <c r="K12" s="4">
        <f>'Occupied &amp; No. of Guest'!B13</f>
        <v>393</v>
      </c>
      <c r="L12" s="4">
        <f>'Occupied &amp; No. of Guest'!C13</f>
        <v>470</v>
      </c>
    </row>
    <row r="13" spans="1:12" x14ac:dyDescent="0.3">
      <c r="A13" s="9" t="s">
        <v>12</v>
      </c>
      <c r="B13" s="10">
        <f t="shared" si="0"/>
        <v>12</v>
      </c>
      <c r="C13" s="10">
        <v>7</v>
      </c>
      <c r="D13" s="10">
        <v>2020</v>
      </c>
      <c r="E13" s="4">
        <v>39485</v>
      </c>
      <c r="F13" s="11">
        <v>0.2</v>
      </c>
      <c r="G13" s="4">
        <f>LPG!C15</f>
        <v>1561.9774193548387</v>
      </c>
      <c r="H13" s="11">
        <v>1.0900000619562051</v>
      </c>
      <c r="I13" s="4">
        <v>429.68099999999362</v>
      </c>
      <c r="J13" s="11">
        <v>7.84</v>
      </c>
      <c r="K13" s="4">
        <f>'Occupied &amp; No. of Guest'!B14</f>
        <v>378</v>
      </c>
      <c r="L13" s="4">
        <f>'Occupied &amp; No. of Guest'!C14</f>
        <v>451</v>
      </c>
    </row>
    <row r="14" spans="1:12" x14ac:dyDescent="0.3">
      <c r="A14" s="9" t="s">
        <v>12</v>
      </c>
      <c r="B14" s="10">
        <f t="shared" si="0"/>
        <v>13</v>
      </c>
      <c r="C14" s="10">
        <v>7</v>
      </c>
      <c r="D14" s="10">
        <v>2020</v>
      </c>
      <c r="E14" s="4">
        <v>39085</v>
      </c>
      <c r="F14" s="11">
        <v>0.2</v>
      </c>
      <c r="G14" s="4">
        <f>LPG!C16</f>
        <v>1561.9774193548387</v>
      </c>
      <c r="H14" s="11">
        <v>1.0900000619562051</v>
      </c>
      <c r="I14" s="4">
        <v>456.8150000000058</v>
      </c>
      <c r="J14" s="11">
        <v>7.84</v>
      </c>
      <c r="K14" s="4">
        <f>'Occupied &amp; No. of Guest'!B15</f>
        <v>326</v>
      </c>
      <c r="L14" s="4">
        <f>'Occupied &amp; No. of Guest'!C15</f>
        <v>395</v>
      </c>
    </row>
    <row r="15" spans="1:12" x14ac:dyDescent="0.3">
      <c r="A15" s="9" t="s">
        <v>12</v>
      </c>
      <c r="B15" s="10">
        <f t="shared" si="0"/>
        <v>14</v>
      </c>
      <c r="C15" s="10">
        <v>7</v>
      </c>
      <c r="D15" s="10">
        <v>2020</v>
      </c>
      <c r="E15" s="4">
        <v>39083</v>
      </c>
      <c r="F15" s="11">
        <v>0.2</v>
      </c>
      <c r="G15" s="4">
        <f>LPG!C17</f>
        <v>1561.9774193548387</v>
      </c>
      <c r="H15" s="11">
        <v>1.0900000619562051</v>
      </c>
      <c r="I15" s="4">
        <v>445.00999999999971</v>
      </c>
      <c r="J15" s="11">
        <v>7.84</v>
      </c>
      <c r="K15" s="4">
        <f>'Occupied &amp; No. of Guest'!B16</f>
        <v>283</v>
      </c>
      <c r="L15" s="4">
        <f>'Occupied &amp; No. of Guest'!C16</f>
        <v>345</v>
      </c>
    </row>
    <row r="16" spans="1:12" x14ac:dyDescent="0.3">
      <c r="A16" s="9" t="s">
        <v>12</v>
      </c>
      <c r="B16" s="10">
        <f t="shared" si="0"/>
        <v>15</v>
      </c>
      <c r="C16" s="10">
        <v>7</v>
      </c>
      <c r="D16" s="10">
        <v>2020</v>
      </c>
      <c r="E16" s="4">
        <v>42116</v>
      </c>
      <c r="F16" s="11">
        <v>0.2</v>
      </c>
      <c r="G16" s="4">
        <f>LPG!C18</f>
        <v>1561.9774193548387</v>
      </c>
      <c r="H16" s="11">
        <v>1.0900000619562051</v>
      </c>
      <c r="I16" s="4">
        <v>428.75099999999475</v>
      </c>
      <c r="J16" s="11">
        <v>7.84</v>
      </c>
      <c r="K16" s="4">
        <f>'Occupied &amp; No. of Guest'!B17</f>
        <v>256</v>
      </c>
      <c r="L16" s="4">
        <f>'Occupied &amp; No. of Guest'!C17</f>
        <v>316</v>
      </c>
    </row>
    <row r="17" spans="1:12" x14ac:dyDescent="0.3">
      <c r="A17" s="9" t="s">
        <v>12</v>
      </c>
      <c r="B17" s="10">
        <f t="shared" si="0"/>
        <v>16</v>
      </c>
      <c r="C17" s="10">
        <v>7</v>
      </c>
      <c r="D17" s="10">
        <v>2020</v>
      </c>
      <c r="E17" s="4">
        <v>40285</v>
      </c>
      <c r="F17" s="11">
        <v>0.2</v>
      </c>
      <c r="G17" s="4">
        <f>LPG!C19</f>
        <v>1561.9774193548387</v>
      </c>
      <c r="H17" s="11">
        <v>1.0900000619562051</v>
      </c>
      <c r="I17" s="4">
        <v>425.9370000000261</v>
      </c>
      <c r="J17" s="11">
        <v>7.84</v>
      </c>
      <c r="K17" s="4">
        <f>'Occupied &amp; No. of Guest'!B18</f>
        <v>272</v>
      </c>
      <c r="L17" s="4">
        <f>'Occupied &amp; No. of Guest'!C18</f>
        <v>335</v>
      </c>
    </row>
    <row r="18" spans="1:12" x14ac:dyDescent="0.3">
      <c r="A18" s="9" t="s">
        <v>12</v>
      </c>
      <c r="B18" s="10">
        <f t="shared" si="0"/>
        <v>17</v>
      </c>
      <c r="C18" s="10">
        <v>7</v>
      </c>
      <c r="D18" s="10">
        <v>2020</v>
      </c>
      <c r="E18" s="4">
        <v>40675</v>
      </c>
      <c r="F18" s="11">
        <v>0.2</v>
      </c>
      <c r="G18" s="4">
        <f>LPG!C20</f>
        <v>1561.9774193548387</v>
      </c>
      <c r="H18" s="11">
        <v>1.0900000619562051</v>
      </c>
      <c r="I18" s="4">
        <v>287.49399999999389</v>
      </c>
      <c r="J18" s="11">
        <v>7.84</v>
      </c>
      <c r="K18" s="4">
        <f>'Occupied &amp; No. of Guest'!B19</f>
        <v>265</v>
      </c>
      <c r="L18" s="4">
        <f>'Occupied &amp; No. of Guest'!C19</f>
        <v>337</v>
      </c>
    </row>
    <row r="19" spans="1:12" x14ac:dyDescent="0.3">
      <c r="A19" s="9" t="s">
        <v>12</v>
      </c>
      <c r="B19" s="10">
        <f t="shared" si="0"/>
        <v>18</v>
      </c>
      <c r="C19" s="10">
        <v>7</v>
      </c>
      <c r="D19" s="10">
        <v>2020</v>
      </c>
      <c r="E19" s="4">
        <v>43274</v>
      </c>
      <c r="F19" s="11">
        <v>0.2</v>
      </c>
      <c r="G19" s="4">
        <f>LPG!C21</f>
        <v>1561.9774193548387</v>
      </c>
      <c r="H19" s="11">
        <v>1.0900000619562051</v>
      </c>
      <c r="I19" s="4">
        <v>525.35999999998342</v>
      </c>
      <c r="J19" s="11">
        <v>7.84</v>
      </c>
      <c r="K19" s="4">
        <f>'Occupied &amp; No. of Guest'!B20</f>
        <v>258</v>
      </c>
      <c r="L19" s="4">
        <f>'Occupied &amp; No. of Guest'!C20</f>
        <v>328</v>
      </c>
    </row>
    <row r="20" spans="1:12" x14ac:dyDescent="0.3">
      <c r="A20" s="9" t="s">
        <v>12</v>
      </c>
      <c r="B20" s="10">
        <f t="shared" si="0"/>
        <v>19</v>
      </c>
      <c r="C20" s="10">
        <v>7</v>
      </c>
      <c r="D20" s="10">
        <v>2020</v>
      </c>
      <c r="E20" s="4">
        <v>42075</v>
      </c>
      <c r="F20" s="11">
        <v>0.2</v>
      </c>
      <c r="G20" s="4">
        <f>LPG!C22</f>
        <v>1561.9774193548387</v>
      </c>
      <c r="H20" s="11">
        <v>1.0900000619562051</v>
      </c>
      <c r="I20" s="4">
        <v>428.52999999999417</v>
      </c>
      <c r="J20" s="11">
        <v>7.84</v>
      </c>
      <c r="K20" s="4">
        <f>'Occupied &amp; No. of Guest'!B21</f>
        <v>282</v>
      </c>
      <c r="L20" s="4">
        <f>'Occupied &amp; No. of Guest'!C21</f>
        <v>353</v>
      </c>
    </row>
    <row r="21" spans="1:12" x14ac:dyDescent="0.3">
      <c r="A21" s="9" t="s">
        <v>12</v>
      </c>
      <c r="B21" s="10">
        <f t="shared" si="0"/>
        <v>20</v>
      </c>
      <c r="C21" s="10">
        <v>7</v>
      </c>
      <c r="D21" s="10">
        <v>2020</v>
      </c>
      <c r="E21" s="4">
        <v>41072</v>
      </c>
      <c r="F21" s="11">
        <v>0.2</v>
      </c>
      <c r="G21" s="4">
        <f>LPG!C23</f>
        <v>1561.9774193548387</v>
      </c>
      <c r="H21" s="11">
        <v>1.0900000619562051</v>
      </c>
      <c r="I21" s="4">
        <v>440.3580000000141</v>
      </c>
      <c r="J21" s="11">
        <v>7.84</v>
      </c>
      <c r="K21" s="4">
        <f>'Occupied &amp; No. of Guest'!B22</f>
        <v>290</v>
      </c>
      <c r="L21" s="4">
        <f>'Occupied &amp; No. of Guest'!C22</f>
        <v>368</v>
      </c>
    </row>
    <row r="22" spans="1:12" x14ac:dyDescent="0.3">
      <c r="A22" s="9" t="s">
        <v>12</v>
      </c>
      <c r="B22" s="10">
        <f t="shared" si="0"/>
        <v>21</v>
      </c>
      <c r="C22" s="10">
        <v>7</v>
      </c>
      <c r="D22" s="10">
        <v>2020</v>
      </c>
      <c r="E22" s="4">
        <v>44677</v>
      </c>
      <c r="F22" s="11">
        <v>0.2</v>
      </c>
      <c r="G22" s="4">
        <f>LPG!C24</f>
        <v>1561.9774193548387</v>
      </c>
      <c r="H22" s="11">
        <v>1.0900000619562051</v>
      </c>
      <c r="I22" s="4">
        <v>333.53800000000251</v>
      </c>
      <c r="J22" s="11">
        <v>7.84</v>
      </c>
      <c r="K22" s="4">
        <f>'Occupied &amp; No. of Guest'!B23</f>
        <v>278</v>
      </c>
      <c r="L22" s="4">
        <f>'Occupied &amp; No. of Guest'!C23</f>
        <v>360</v>
      </c>
    </row>
    <row r="23" spans="1:12" x14ac:dyDescent="0.3">
      <c r="A23" s="9" t="s">
        <v>12</v>
      </c>
      <c r="B23" s="10">
        <f t="shared" si="0"/>
        <v>22</v>
      </c>
      <c r="C23" s="10">
        <v>7</v>
      </c>
      <c r="D23" s="10">
        <v>2020</v>
      </c>
      <c r="E23" s="4">
        <v>41876</v>
      </c>
      <c r="F23" s="11">
        <v>0.2</v>
      </c>
      <c r="G23" s="4">
        <f>LPG!C25</f>
        <v>1561.9774193548387</v>
      </c>
      <c r="H23" s="11">
        <v>1.0900000619562051</v>
      </c>
      <c r="I23" s="4">
        <v>451.43299999998283</v>
      </c>
      <c r="J23" s="11">
        <v>7.84</v>
      </c>
      <c r="K23" s="4">
        <f>'Occupied &amp; No. of Guest'!B24</f>
        <v>274</v>
      </c>
      <c r="L23" s="4">
        <f>'Occupied &amp; No. of Guest'!C24</f>
        <v>350</v>
      </c>
    </row>
    <row r="24" spans="1:12" x14ac:dyDescent="0.3">
      <c r="A24" s="9" t="s">
        <v>12</v>
      </c>
      <c r="B24" s="10">
        <f t="shared" si="0"/>
        <v>23</v>
      </c>
      <c r="C24" s="10">
        <v>7</v>
      </c>
      <c r="D24" s="10">
        <v>2020</v>
      </c>
      <c r="E24" s="4">
        <v>37670</v>
      </c>
      <c r="F24" s="11">
        <v>0.2</v>
      </c>
      <c r="G24" s="4">
        <f>LPG!C26</f>
        <v>1561.9774193548387</v>
      </c>
      <c r="H24" s="11">
        <v>1.0900000619562051</v>
      </c>
      <c r="I24" s="4">
        <v>423.67500000001149</v>
      </c>
      <c r="J24" s="11">
        <v>7.84</v>
      </c>
      <c r="K24" s="4">
        <f>'Occupied &amp; No. of Guest'!B25</f>
        <v>236</v>
      </c>
      <c r="L24" s="4">
        <f>'Occupied &amp; No. of Guest'!C25</f>
        <v>304</v>
      </c>
    </row>
    <row r="25" spans="1:12" x14ac:dyDescent="0.3">
      <c r="A25" s="9" t="s">
        <v>12</v>
      </c>
      <c r="B25" s="10">
        <f t="shared" si="0"/>
        <v>24</v>
      </c>
      <c r="C25" s="10">
        <v>7</v>
      </c>
      <c r="D25" s="10">
        <v>2020</v>
      </c>
      <c r="E25" s="4">
        <v>42673</v>
      </c>
      <c r="F25" s="11">
        <v>0.2</v>
      </c>
      <c r="G25" s="4">
        <f>LPG!C27</f>
        <v>1561.9774193548387</v>
      </c>
      <c r="H25" s="11">
        <v>1.0900000619562051</v>
      </c>
      <c r="I25" s="4">
        <v>365.08499999999754</v>
      </c>
      <c r="J25" s="11">
        <v>7.84</v>
      </c>
      <c r="K25" s="4">
        <f>'Occupied &amp; No. of Guest'!B26</f>
        <v>239</v>
      </c>
      <c r="L25" s="4">
        <f>'Occupied &amp; No. of Guest'!C26</f>
        <v>313</v>
      </c>
    </row>
    <row r="26" spans="1:12" x14ac:dyDescent="0.3">
      <c r="A26" s="9" t="s">
        <v>12</v>
      </c>
      <c r="B26" s="10">
        <f>B25+1</f>
        <v>25</v>
      </c>
      <c r="C26" s="10">
        <v>7</v>
      </c>
      <c r="D26" s="10">
        <v>2020</v>
      </c>
      <c r="E26" s="4">
        <v>41273</v>
      </c>
      <c r="F26" s="11">
        <v>0.2</v>
      </c>
      <c r="G26" s="4">
        <f>LPG!C28</f>
        <v>1561.9774193548387</v>
      </c>
      <c r="H26" s="11">
        <v>1.0900000619562051</v>
      </c>
      <c r="I26" s="4">
        <v>423.1889999999961</v>
      </c>
      <c r="J26" s="11">
        <v>7.84</v>
      </c>
      <c r="K26" s="4">
        <f>'Occupied &amp; No. of Guest'!B27</f>
        <v>229</v>
      </c>
      <c r="L26" s="4">
        <f>'Occupied &amp; No. of Guest'!C27</f>
        <v>284</v>
      </c>
    </row>
    <row r="27" spans="1:12" x14ac:dyDescent="0.3">
      <c r="A27" s="9" t="s">
        <v>12</v>
      </c>
      <c r="B27" s="10">
        <f t="shared" si="0"/>
        <v>26</v>
      </c>
      <c r="C27" s="10">
        <v>7</v>
      </c>
      <c r="D27" s="10">
        <v>2020</v>
      </c>
      <c r="E27" s="4">
        <v>43483</v>
      </c>
      <c r="F27" s="11">
        <v>0.2</v>
      </c>
      <c r="G27" s="4">
        <f>LPG!C29</f>
        <v>1561.9774193548387</v>
      </c>
      <c r="H27" s="11">
        <v>1.0900000619562051</v>
      </c>
      <c r="I27" s="4">
        <v>395.67100000000681</v>
      </c>
      <c r="J27" s="11">
        <v>7.84</v>
      </c>
      <c r="K27" s="4">
        <f>'Occupied &amp; No. of Guest'!B28</f>
        <v>248</v>
      </c>
      <c r="L27" s="4">
        <f>'Occupied &amp; No. of Guest'!C28</f>
        <v>307</v>
      </c>
    </row>
    <row r="28" spans="1:12" x14ac:dyDescent="0.3">
      <c r="A28" s="9" t="s">
        <v>12</v>
      </c>
      <c r="B28" s="10">
        <f t="shared" si="0"/>
        <v>27</v>
      </c>
      <c r="C28" s="10">
        <v>7</v>
      </c>
      <c r="D28" s="10">
        <v>2020</v>
      </c>
      <c r="E28" s="4">
        <v>40278</v>
      </c>
      <c r="F28" s="11">
        <v>0.2</v>
      </c>
      <c r="G28" s="4">
        <f>LPG!C30</f>
        <v>1561.9774193548387</v>
      </c>
      <c r="H28" s="11">
        <v>1.0900000619562051</v>
      </c>
      <c r="I28" s="4">
        <v>426.67099999999118</v>
      </c>
      <c r="J28" s="11">
        <v>7.84</v>
      </c>
      <c r="K28" s="4">
        <f>'Occupied &amp; No. of Guest'!B29</f>
        <v>259</v>
      </c>
      <c r="L28" s="4">
        <f>'Occupied &amp; No. of Guest'!C29</f>
        <v>325</v>
      </c>
    </row>
    <row r="29" spans="1:12" x14ac:dyDescent="0.3">
      <c r="A29" s="9" t="s">
        <v>12</v>
      </c>
      <c r="B29" s="10">
        <f t="shared" si="0"/>
        <v>28</v>
      </c>
      <c r="C29" s="10">
        <v>7</v>
      </c>
      <c r="D29" s="10">
        <v>2020</v>
      </c>
      <c r="E29" s="4">
        <v>40886</v>
      </c>
      <c r="F29" s="11">
        <v>0.2</v>
      </c>
      <c r="G29" s="4">
        <f>LPG!C31</f>
        <v>1561.9774193548387</v>
      </c>
      <c r="H29" s="11">
        <v>1.0900000619562051</v>
      </c>
      <c r="I29" s="4">
        <v>429.9450000000088</v>
      </c>
      <c r="J29" s="11">
        <v>7.84</v>
      </c>
      <c r="K29" s="4">
        <f>'Occupied &amp; No. of Guest'!B30</f>
        <v>256</v>
      </c>
      <c r="L29" s="4">
        <f>'Occupied &amp; No. of Guest'!C30</f>
        <v>311</v>
      </c>
    </row>
    <row r="30" spans="1:12" x14ac:dyDescent="0.3">
      <c r="A30" s="9" t="s">
        <v>12</v>
      </c>
      <c r="B30" s="10">
        <f t="shared" si="0"/>
        <v>29</v>
      </c>
      <c r="C30" s="10">
        <v>7</v>
      </c>
      <c r="D30" s="10">
        <v>2020</v>
      </c>
      <c r="E30" s="4">
        <v>40885</v>
      </c>
      <c r="F30" s="11">
        <v>0.2</v>
      </c>
      <c r="G30" s="4">
        <f>LPG!C32</f>
        <v>1561.9774193548387</v>
      </c>
      <c r="H30" s="11">
        <v>1.0900000619562051</v>
      </c>
      <c r="I30" s="4">
        <v>449.83100000000928</v>
      </c>
      <c r="J30" s="11">
        <v>7.84</v>
      </c>
      <c r="K30" s="4">
        <f>'Occupied &amp; No. of Guest'!B31</f>
        <v>195</v>
      </c>
      <c r="L30" s="4">
        <f>'Occupied &amp; No. of Guest'!C31</f>
        <v>247</v>
      </c>
    </row>
    <row r="31" spans="1:12" x14ac:dyDescent="0.3">
      <c r="A31" s="9" t="s">
        <v>12</v>
      </c>
      <c r="B31" s="10">
        <f t="shared" si="0"/>
        <v>30</v>
      </c>
      <c r="C31" s="10">
        <v>7</v>
      </c>
      <c r="D31" s="10">
        <v>2020</v>
      </c>
      <c r="E31" s="4">
        <v>39879</v>
      </c>
      <c r="F31" s="11">
        <v>0.2</v>
      </c>
      <c r="G31" s="4">
        <f>LPG!C33</f>
        <v>1561.9774193548387</v>
      </c>
      <c r="H31" s="11">
        <v>1.0900000619562051</v>
      </c>
      <c r="I31" s="4">
        <v>413.86299999999369</v>
      </c>
      <c r="J31" s="11">
        <v>7.84</v>
      </c>
      <c r="K31" s="4">
        <f>'Occupied &amp; No. of Guest'!B32</f>
        <v>183</v>
      </c>
      <c r="L31" s="4">
        <f>'Occupied &amp; No. of Guest'!C32</f>
        <v>241</v>
      </c>
    </row>
    <row r="32" spans="1:12" x14ac:dyDescent="0.3">
      <c r="A32" s="9" t="s">
        <v>12</v>
      </c>
      <c r="B32" s="10">
        <f t="shared" si="0"/>
        <v>31</v>
      </c>
      <c r="C32" s="10">
        <v>7</v>
      </c>
      <c r="D32" s="10">
        <v>2020</v>
      </c>
      <c r="E32" s="4">
        <v>39879</v>
      </c>
      <c r="F32" s="11">
        <v>0.2</v>
      </c>
      <c r="G32" s="4">
        <f>LPG!C34</f>
        <v>1561.9774193548387</v>
      </c>
      <c r="H32" s="11">
        <v>1.0900000619562051</v>
      </c>
      <c r="I32" s="4">
        <v>283.75999999998862</v>
      </c>
      <c r="J32" s="11">
        <v>7.84</v>
      </c>
      <c r="K32" s="4">
        <f>'Occupied &amp; No. of Guest'!B33</f>
        <v>223</v>
      </c>
      <c r="L32" s="4">
        <f>'Occupied &amp; No. of Guest'!C33</f>
        <v>339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topLeftCell="A10" zoomScale="115" zoomScaleNormal="115" zoomScaleSheetLayoutView="85" workbookViewId="0">
      <selection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77" t="s">
        <v>84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67" s="14" customFormat="1" ht="29.25" customHeight="1" thickBot="1" x14ac:dyDescent="0.35"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</row>
    <row r="4" spans="1:67" ht="42" thickBot="1" x14ac:dyDescent="0.3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3">
      <c r="A5" s="79">
        <v>1</v>
      </c>
      <c r="B5" s="20" t="s">
        <v>17</v>
      </c>
      <c r="C5" s="81" t="s">
        <v>18</v>
      </c>
      <c r="D5" s="21">
        <v>72769</v>
      </c>
      <c r="E5" s="21">
        <v>72788</v>
      </c>
      <c r="F5" s="21">
        <v>72808</v>
      </c>
      <c r="G5" s="21">
        <v>72825</v>
      </c>
      <c r="H5" s="21">
        <v>72844</v>
      </c>
      <c r="I5" s="21">
        <v>72863</v>
      </c>
      <c r="J5" s="21">
        <v>72882</v>
      </c>
      <c r="K5" s="21">
        <v>72901</v>
      </c>
      <c r="L5" s="21">
        <v>72919</v>
      </c>
      <c r="M5" s="21">
        <v>72938</v>
      </c>
      <c r="N5" s="21">
        <v>72958</v>
      </c>
      <c r="O5" s="21">
        <v>72977</v>
      </c>
      <c r="P5" s="21">
        <v>72996</v>
      </c>
      <c r="Q5" s="21">
        <v>73015</v>
      </c>
      <c r="R5" s="21">
        <v>73034</v>
      </c>
      <c r="S5" s="21">
        <v>73054</v>
      </c>
      <c r="T5" s="21">
        <v>73073</v>
      </c>
      <c r="U5" s="21">
        <v>73092</v>
      </c>
      <c r="V5" s="21">
        <v>73112</v>
      </c>
      <c r="W5" s="21">
        <v>73132</v>
      </c>
      <c r="X5" s="21">
        <v>73151</v>
      </c>
      <c r="Y5" s="21">
        <v>73172</v>
      </c>
      <c r="Z5" s="21">
        <v>73193</v>
      </c>
      <c r="AA5" s="21">
        <v>73211</v>
      </c>
      <c r="AB5" s="21">
        <v>73232</v>
      </c>
      <c r="AC5" s="21">
        <v>73252</v>
      </c>
      <c r="AD5" s="21">
        <v>73273</v>
      </c>
      <c r="AE5" s="21">
        <v>73292</v>
      </c>
      <c r="AF5" s="21">
        <v>73312</v>
      </c>
      <c r="AG5" s="21">
        <v>73332</v>
      </c>
      <c r="AH5" s="21">
        <v>73351</v>
      </c>
      <c r="AI5" s="21">
        <v>73370</v>
      </c>
    </row>
    <row r="6" spans="1:67" s="24" customFormat="1" ht="21.75" customHeight="1" x14ac:dyDescent="0.3">
      <c r="A6" s="80"/>
      <c r="B6" s="22"/>
      <c r="C6" s="82"/>
      <c r="D6" s="23"/>
      <c r="E6" s="23">
        <f>(E5-D5)*1000</f>
        <v>19000</v>
      </c>
      <c r="F6" s="23">
        <f t="shared" ref="F6:AI6" si="0">(F5-E5)*1000</f>
        <v>20000</v>
      </c>
      <c r="G6" s="23">
        <f t="shared" si="0"/>
        <v>17000</v>
      </c>
      <c r="H6" s="23">
        <f t="shared" si="0"/>
        <v>19000</v>
      </c>
      <c r="I6" s="23">
        <f t="shared" si="0"/>
        <v>19000</v>
      </c>
      <c r="J6" s="23">
        <f t="shared" si="0"/>
        <v>19000</v>
      </c>
      <c r="K6" s="23">
        <f t="shared" si="0"/>
        <v>19000</v>
      </c>
      <c r="L6" s="23">
        <f t="shared" si="0"/>
        <v>18000</v>
      </c>
      <c r="M6" s="23">
        <f t="shared" si="0"/>
        <v>19000</v>
      </c>
      <c r="N6" s="23">
        <f t="shared" si="0"/>
        <v>20000</v>
      </c>
      <c r="O6" s="23">
        <f t="shared" si="0"/>
        <v>19000</v>
      </c>
      <c r="P6" s="23">
        <f t="shared" si="0"/>
        <v>19000</v>
      </c>
      <c r="Q6" s="23">
        <f t="shared" si="0"/>
        <v>19000</v>
      </c>
      <c r="R6" s="23">
        <f t="shared" si="0"/>
        <v>19000</v>
      </c>
      <c r="S6" s="23">
        <f t="shared" si="0"/>
        <v>20000</v>
      </c>
      <c r="T6" s="23">
        <f t="shared" si="0"/>
        <v>19000</v>
      </c>
      <c r="U6" s="23">
        <f t="shared" si="0"/>
        <v>19000</v>
      </c>
      <c r="V6" s="23">
        <f t="shared" si="0"/>
        <v>20000</v>
      </c>
      <c r="W6" s="23">
        <f t="shared" si="0"/>
        <v>20000</v>
      </c>
      <c r="X6" s="23">
        <f t="shared" si="0"/>
        <v>19000</v>
      </c>
      <c r="Y6" s="23">
        <f t="shared" si="0"/>
        <v>21000</v>
      </c>
      <c r="Z6" s="23">
        <f t="shared" si="0"/>
        <v>21000</v>
      </c>
      <c r="AA6" s="23">
        <f t="shared" si="0"/>
        <v>18000</v>
      </c>
      <c r="AB6" s="23">
        <f t="shared" si="0"/>
        <v>21000</v>
      </c>
      <c r="AC6" s="23">
        <f t="shared" si="0"/>
        <v>20000</v>
      </c>
      <c r="AD6" s="23">
        <f t="shared" si="0"/>
        <v>21000</v>
      </c>
      <c r="AE6" s="23">
        <f t="shared" si="0"/>
        <v>19000</v>
      </c>
      <c r="AF6" s="23">
        <f t="shared" si="0"/>
        <v>20000</v>
      </c>
      <c r="AG6" s="23">
        <f t="shared" si="0"/>
        <v>20000</v>
      </c>
      <c r="AH6" s="23">
        <f t="shared" si="0"/>
        <v>19000</v>
      </c>
      <c r="AI6" s="23">
        <f t="shared" si="0"/>
        <v>19000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83">
        <v>2</v>
      </c>
      <c r="B7" s="25" t="s">
        <v>19</v>
      </c>
      <c r="C7" s="85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x14ac:dyDescent="0.3">
      <c r="A8" s="84"/>
      <c r="B8" s="22"/>
      <c r="C8" s="82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5">
        <v>3</v>
      </c>
      <c r="B9" s="36" t="s">
        <v>21</v>
      </c>
      <c r="C9" s="76" t="s">
        <v>22</v>
      </c>
      <c r="D9" s="21">
        <v>87075</v>
      </c>
      <c r="E9" s="21">
        <v>87087</v>
      </c>
      <c r="F9" s="21">
        <v>87107</v>
      </c>
      <c r="G9" s="21">
        <v>87118</v>
      </c>
      <c r="H9" s="21">
        <v>87141</v>
      </c>
      <c r="I9" s="21">
        <v>87164</v>
      </c>
      <c r="J9" s="21">
        <v>87185</v>
      </c>
      <c r="K9" s="21">
        <v>87203</v>
      </c>
      <c r="L9" s="21">
        <v>87217</v>
      </c>
      <c r="M9" s="21">
        <v>87238</v>
      </c>
      <c r="N9" s="21">
        <v>87241</v>
      </c>
      <c r="O9" s="21">
        <v>87243</v>
      </c>
      <c r="P9" s="21">
        <v>87251</v>
      </c>
      <c r="Q9" s="21">
        <v>87270</v>
      </c>
      <c r="R9" s="21">
        <v>87290</v>
      </c>
      <c r="S9" s="21">
        <v>87310</v>
      </c>
      <c r="T9" s="21">
        <v>87330</v>
      </c>
      <c r="U9" s="21">
        <v>87352</v>
      </c>
      <c r="V9" s="21">
        <v>87369</v>
      </c>
      <c r="W9" s="21">
        <v>87393</v>
      </c>
      <c r="X9" s="21">
        <v>87407</v>
      </c>
      <c r="Y9" s="21">
        <v>87430</v>
      </c>
      <c r="Z9" s="21">
        <v>87451</v>
      </c>
      <c r="AA9" s="21">
        <v>87471</v>
      </c>
      <c r="AB9" s="21">
        <v>87483</v>
      </c>
      <c r="AC9" s="21">
        <v>87505</v>
      </c>
      <c r="AD9" s="21">
        <v>87520</v>
      </c>
      <c r="AE9" s="21">
        <v>87540</v>
      </c>
      <c r="AF9" s="21">
        <v>87559</v>
      </c>
      <c r="AG9" s="21">
        <v>87570</v>
      </c>
      <c r="AH9" s="21">
        <v>87590</v>
      </c>
      <c r="AI9" s="21">
        <v>87609</v>
      </c>
    </row>
    <row r="10" spans="1:67" s="24" customFormat="1" ht="21.75" customHeight="1" x14ac:dyDescent="0.3">
      <c r="A10" s="71"/>
      <c r="B10" s="37"/>
      <c r="C10" s="74"/>
      <c r="D10" s="23"/>
      <c r="E10" s="23">
        <f>(E9-D9)*1000</f>
        <v>12000</v>
      </c>
      <c r="F10" s="23">
        <f t="shared" ref="F10" si="31">(F9-E9)*1000</f>
        <v>20000</v>
      </c>
      <c r="G10" s="23">
        <f t="shared" ref="G10" si="32">(G9-F9)*1000</f>
        <v>11000</v>
      </c>
      <c r="H10" s="23">
        <f t="shared" ref="H10" si="33">(H9-G9)*1000</f>
        <v>23000</v>
      </c>
      <c r="I10" s="23">
        <f t="shared" ref="I10" si="34">(I9-H9)*1000</f>
        <v>23000</v>
      </c>
      <c r="J10" s="23">
        <f t="shared" ref="J10" si="35">(J9-I9)*1000</f>
        <v>21000</v>
      </c>
      <c r="K10" s="23">
        <f t="shared" ref="K10" si="36">(K9-J9)*1000</f>
        <v>18000</v>
      </c>
      <c r="L10" s="23">
        <f t="shared" ref="L10" si="37">(L9-K9)*1000</f>
        <v>14000</v>
      </c>
      <c r="M10" s="23">
        <f t="shared" ref="M10" si="38">(M9-L9)*1000</f>
        <v>21000</v>
      </c>
      <c r="N10" s="23">
        <f t="shared" ref="N10" si="39">(N9-M9)*1000</f>
        <v>3000</v>
      </c>
      <c r="O10" s="23">
        <f t="shared" ref="O10" si="40">(O9-N9)*1000</f>
        <v>2000</v>
      </c>
      <c r="P10" s="23">
        <f t="shared" ref="P10" si="41">(P9-O9)*1000</f>
        <v>8000</v>
      </c>
      <c r="Q10" s="23">
        <f t="shared" ref="Q10" si="42">(Q9-P9)*1000</f>
        <v>19000</v>
      </c>
      <c r="R10" s="23">
        <f t="shared" ref="R10" si="43">(R9-Q9)*1000</f>
        <v>20000</v>
      </c>
      <c r="S10" s="23">
        <f t="shared" ref="S10" si="44">(S9-R9)*1000</f>
        <v>20000</v>
      </c>
      <c r="T10" s="23">
        <f t="shared" ref="T10" si="45">(T9-S9)*1000</f>
        <v>20000</v>
      </c>
      <c r="U10" s="23">
        <f t="shared" ref="U10" si="46">(U9-T9)*1000</f>
        <v>22000</v>
      </c>
      <c r="V10" s="23">
        <f t="shared" ref="V10" si="47">(V9-U9)*1000</f>
        <v>17000</v>
      </c>
      <c r="W10" s="23">
        <f t="shared" ref="W10" si="48">(W9-V9)*1000</f>
        <v>24000</v>
      </c>
      <c r="X10" s="23">
        <f t="shared" ref="X10" si="49">(X9-W9)*1000</f>
        <v>14000</v>
      </c>
      <c r="Y10" s="23">
        <f t="shared" ref="Y10" si="50">(Y9-X9)*1000</f>
        <v>23000</v>
      </c>
      <c r="Z10" s="23">
        <f t="shared" ref="Z10" si="51">(Z9-Y9)*1000</f>
        <v>21000</v>
      </c>
      <c r="AA10" s="23">
        <f t="shared" ref="AA10" si="52">(AA9-Z9)*1000</f>
        <v>20000</v>
      </c>
      <c r="AB10" s="23">
        <f t="shared" ref="AB10" si="53">(AB9-AA9)*1000</f>
        <v>12000</v>
      </c>
      <c r="AC10" s="23">
        <f t="shared" ref="AC10" si="54">(AC9-AB9)*1000</f>
        <v>22000</v>
      </c>
      <c r="AD10" s="23">
        <f t="shared" ref="AD10" si="55">(AD9-AC9)*1000</f>
        <v>15000</v>
      </c>
      <c r="AE10" s="23">
        <f t="shared" ref="AE10" si="56">(AE9-AD9)*1000</f>
        <v>20000</v>
      </c>
      <c r="AF10" s="23">
        <f t="shared" ref="AF10" si="57">(AF9-AE9)*1000</f>
        <v>19000</v>
      </c>
      <c r="AG10" s="23">
        <f t="shared" ref="AG10" si="58">(AG9-AF9)*1000</f>
        <v>11000</v>
      </c>
      <c r="AH10" s="23">
        <f t="shared" ref="AH10" si="59">(AH9-AG9)*1000</f>
        <v>20000</v>
      </c>
      <c r="AI10" s="23">
        <f t="shared" ref="AI10" si="60">(AI9-AH9)*1000</f>
        <v>19000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66">
        <v>4</v>
      </c>
      <c r="B11" s="36" t="s">
        <v>23</v>
      </c>
      <c r="C11" s="76" t="s">
        <v>24</v>
      </c>
      <c r="D11" s="21">
        <v>73313</v>
      </c>
      <c r="E11" s="21">
        <v>73353</v>
      </c>
      <c r="F11" s="21">
        <v>73385</v>
      </c>
      <c r="G11" s="21">
        <v>73422</v>
      </c>
      <c r="H11" s="21">
        <v>73450</v>
      </c>
      <c r="I11" s="21">
        <v>73475</v>
      </c>
      <c r="J11" s="21">
        <v>73499</v>
      </c>
      <c r="K11" s="21">
        <v>73532</v>
      </c>
      <c r="L11" s="21">
        <v>73571</v>
      </c>
      <c r="M11" s="21">
        <v>73602</v>
      </c>
      <c r="N11" s="21">
        <v>73648</v>
      </c>
      <c r="O11" s="21">
        <v>73693</v>
      </c>
      <c r="P11" s="21">
        <v>73736</v>
      </c>
      <c r="Q11" s="21">
        <v>73767</v>
      </c>
      <c r="R11" s="21">
        <v>73797</v>
      </c>
      <c r="S11" s="21">
        <v>73832</v>
      </c>
      <c r="T11" s="21">
        <v>73865</v>
      </c>
      <c r="U11" s="21">
        <v>73897</v>
      </c>
      <c r="V11" s="21">
        <v>73938</v>
      </c>
      <c r="W11" s="21">
        <v>73969</v>
      </c>
      <c r="X11" s="21">
        <v>74010</v>
      </c>
      <c r="Y11" s="21">
        <v>74046</v>
      </c>
      <c r="Z11" s="21">
        <v>74077</v>
      </c>
      <c r="AA11" s="21">
        <v>74106</v>
      </c>
      <c r="AB11" s="21">
        <v>74148</v>
      </c>
      <c r="AC11" s="21">
        <v>74179</v>
      </c>
      <c r="AD11" s="21">
        <v>74220</v>
      </c>
      <c r="AE11" s="21">
        <v>74253</v>
      </c>
      <c r="AF11" s="21">
        <v>74286</v>
      </c>
      <c r="AG11" s="21">
        <v>74327</v>
      </c>
      <c r="AH11" s="21">
        <v>74359</v>
      </c>
      <c r="AI11" s="21">
        <v>74392</v>
      </c>
    </row>
    <row r="12" spans="1:67" s="38" customFormat="1" ht="21.75" customHeight="1" x14ac:dyDescent="0.3">
      <c r="A12" s="73"/>
      <c r="B12" s="37"/>
      <c r="C12" s="74"/>
      <c r="D12" s="23"/>
      <c r="E12" s="23">
        <f>(E11-D11)*1000</f>
        <v>40000</v>
      </c>
      <c r="F12" s="23">
        <f t="shared" ref="F12" si="61">(F11-E11)*1000</f>
        <v>32000</v>
      </c>
      <c r="G12" s="23">
        <f t="shared" ref="G12" si="62">(G11-F11)*1000</f>
        <v>37000</v>
      </c>
      <c r="H12" s="23">
        <f t="shared" ref="H12" si="63">(H11-G11)*1000</f>
        <v>28000</v>
      </c>
      <c r="I12" s="23">
        <f t="shared" ref="I12" si="64">(I11-H11)*1000</f>
        <v>25000</v>
      </c>
      <c r="J12" s="23">
        <f t="shared" ref="J12" si="65">(J11-I11)*1000</f>
        <v>24000</v>
      </c>
      <c r="K12" s="23">
        <f t="shared" ref="K12" si="66">(K11-J11)*1000</f>
        <v>33000</v>
      </c>
      <c r="L12" s="23">
        <f t="shared" ref="L12" si="67">(L11-K11)*1000</f>
        <v>39000</v>
      </c>
      <c r="M12" s="23">
        <f t="shared" ref="M12" si="68">(M11-L11)*1000</f>
        <v>31000</v>
      </c>
      <c r="N12" s="23">
        <f t="shared" ref="N12" si="69">(N11-M11)*1000</f>
        <v>46000</v>
      </c>
      <c r="O12" s="23">
        <f t="shared" ref="O12" si="70">(O11-N11)*1000</f>
        <v>45000</v>
      </c>
      <c r="P12" s="23">
        <f t="shared" ref="P12" si="71">(P11-O11)*1000</f>
        <v>43000</v>
      </c>
      <c r="Q12" s="23">
        <f t="shared" ref="Q12" si="72">(Q11-P11)*1000</f>
        <v>31000</v>
      </c>
      <c r="R12" s="23">
        <f t="shared" ref="R12" si="73">(R11-Q11)*1000</f>
        <v>30000</v>
      </c>
      <c r="S12" s="23">
        <f t="shared" ref="S12" si="74">(S11-R11)*1000</f>
        <v>35000</v>
      </c>
      <c r="T12" s="23">
        <f t="shared" ref="T12" si="75">(T11-S11)*1000</f>
        <v>33000</v>
      </c>
      <c r="U12" s="23">
        <f t="shared" ref="U12" si="76">(U11-T11)*1000</f>
        <v>32000</v>
      </c>
      <c r="V12" s="23">
        <f t="shared" ref="V12" si="77">(V11-U11)*1000</f>
        <v>41000</v>
      </c>
      <c r="W12" s="23">
        <f t="shared" ref="W12" si="78">(W11-V11)*1000</f>
        <v>31000</v>
      </c>
      <c r="X12" s="23">
        <f t="shared" ref="X12" si="79">(X11-W11)*1000</f>
        <v>41000</v>
      </c>
      <c r="Y12" s="23">
        <f t="shared" ref="Y12" si="80">(Y11-X11)*1000</f>
        <v>36000</v>
      </c>
      <c r="Z12" s="23">
        <f t="shared" ref="Z12" si="81">(Z11-Y11)*1000</f>
        <v>31000</v>
      </c>
      <c r="AA12" s="23">
        <f t="shared" ref="AA12" si="82">(AA11-Z11)*1000</f>
        <v>29000</v>
      </c>
      <c r="AB12" s="23">
        <f t="shared" ref="AB12" si="83">(AB11-AA11)*1000</f>
        <v>42000</v>
      </c>
      <c r="AC12" s="23">
        <f t="shared" ref="AC12" si="84">(AC11-AB11)*1000</f>
        <v>31000</v>
      </c>
      <c r="AD12" s="23">
        <f t="shared" ref="AD12" si="85">(AD11-AC11)*1000</f>
        <v>41000</v>
      </c>
      <c r="AE12" s="23">
        <f t="shared" ref="AE12" si="86">(AE11-AD11)*1000</f>
        <v>33000</v>
      </c>
      <c r="AF12" s="23">
        <f t="shared" ref="AF12" si="87">(AF11-AE11)*1000</f>
        <v>33000</v>
      </c>
      <c r="AG12" s="23">
        <f t="shared" ref="AG12" si="88">(AG11-AF11)*1000</f>
        <v>41000</v>
      </c>
      <c r="AH12" s="23">
        <f t="shared" ref="AH12" si="89">(AH11-AG11)*1000</f>
        <v>32000</v>
      </c>
      <c r="AI12" s="23">
        <f t="shared" ref="AI12" si="90">(AI11-AH11)*1000</f>
        <v>33000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5">
        <v>7</v>
      </c>
      <c r="B13" s="39" t="s">
        <v>25</v>
      </c>
      <c r="C13" s="68" t="s">
        <v>26</v>
      </c>
      <c r="D13" s="40">
        <v>2972</v>
      </c>
      <c r="E13" s="40">
        <v>2972</v>
      </c>
      <c r="F13" s="40">
        <v>2972</v>
      </c>
      <c r="G13" s="40">
        <v>2972</v>
      </c>
      <c r="H13" s="40">
        <v>2972</v>
      </c>
      <c r="I13" s="40">
        <v>2972</v>
      </c>
      <c r="J13" s="40">
        <v>2972</v>
      </c>
      <c r="K13" s="40">
        <v>2972</v>
      </c>
      <c r="L13" s="40">
        <v>2972</v>
      </c>
      <c r="M13" s="40">
        <v>2972</v>
      </c>
      <c r="N13" s="40">
        <v>2972</v>
      </c>
      <c r="O13" s="40">
        <v>2972</v>
      </c>
      <c r="P13" s="40">
        <v>2972</v>
      </c>
      <c r="Q13" s="40">
        <v>2972</v>
      </c>
      <c r="R13" s="40">
        <v>2972</v>
      </c>
      <c r="S13" s="40">
        <v>2975</v>
      </c>
      <c r="T13" s="40">
        <v>2975</v>
      </c>
      <c r="U13" s="40">
        <v>2975</v>
      </c>
      <c r="V13" s="40">
        <v>2975</v>
      </c>
      <c r="W13" s="40">
        <v>2975</v>
      </c>
      <c r="X13" s="40">
        <v>2975</v>
      </c>
      <c r="Y13" s="40">
        <v>2975</v>
      </c>
      <c r="Z13" s="40">
        <v>2975</v>
      </c>
      <c r="AA13" s="40">
        <v>2975</v>
      </c>
      <c r="AB13" s="40">
        <v>2975</v>
      </c>
      <c r="AC13" s="40">
        <v>2975</v>
      </c>
      <c r="AD13" s="40">
        <v>2979</v>
      </c>
      <c r="AE13" s="40">
        <v>2979</v>
      </c>
      <c r="AF13" s="40">
        <v>2985</v>
      </c>
      <c r="AG13" s="40">
        <v>2985</v>
      </c>
      <c r="AH13" s="40">
        <v>2985</v>
      </c>
      <c r="AI13" s="40">
        <v>2985</v>
      </c>
    </row>
    <row r="14" spans="1:67" s="24" customFormat="1" ht="21.75" customHeight="1" x14ac:dyDescent="0.3">
      <c r="A14" s="71"/>
      <c r="B14" s="41"/>
      <c r="C14" s="74"/>
      <c r="D14" s="42"/>
      <c r="E14" s="42">
        <f t="shared" ref="E14:AI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3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0</v>
      </c>
      <c r="Y14" s="42">
        <f t="shared" si="91"/>
        <v>0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4</v>
      </c>
      <c r="AE14" s="42">
        <f t="shared" si="91"/>
        <v>0</v>
      </c>
      <c r="AF14" s="42">
        <f t="shared" si="91"/>
        <v>6</v>
      </c>
      <c r="AG14" s="42">
        <f t="shared" si="91"/>
        <v>0</v>
      </c>
      <c r="AH14" s="42">
        <f t="shared" si="91"/>
        <v>0</v>
      </c>
      <c r="AI14" s="42">
        <f t="shared" si="91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66">
        <v>8</v>
      </c>
      <c r="B15" s="39" t="s">
        <v>27</v>
      </c>
      <c r="C15" s="68" t="s">
        <v>28</v>
      </c>
      <c r="D15" s="40">
        <v>310</v>
      </c>
      <c r="E15" s="40">
        <v>310</v>
      </c>
      <c r="F15" s="40">
        <v>310</v>
      </c>
      <c r="G15" s="40">
        <v>310</v>
      </c>
      <c r="H15" s="40">
        <v>310</v>
      </c>
      <c r="I15" s="40">
        <v>310</v>
      </c>
      <c r="J15" s="40">
        <v>310</v>
      </c>
      <c r="K15" s="40">
        <v>310</v>
      </c>
      <c r="L15" s="40">
        <v>310</v>
      </c>
      <c r="M15" s="40">
        <v>310</v>
      </c>
      <c r="N15" s="40">
        <v>310</v>
      </c>
      <c r="O15" s="40">
        <v>310</v>
      </c>
      <c r="P15" s="40">
        <v>310</v>
      </c>
      <c r="Q15" s="40">
        <v>310</v>
      </c>
      <c r="R15" s="40">
        <v>310</v>
      </c>
      <c r="S15" s="40">
        <v>311</v>
      </c>
      <c r="T15" s="40">
        <v>311</v>
      </c>
      <c r="U15" s="40">
        <v>312</v>
      </c>
      <c r="V15" s="40">
        <v>312</v>
      </c>
      <c r="W15" s="40">
        <v>312</v>
      </c>
      <c r="X15" s="40">
        <v>312</v>
      </c>
      <c r="Y15" s="40">
        <v>312</v>
      </c>
      <c r="Z15" s="40">
        <v>312</v>
      </c>
      <c r="AA15" s="40">
        <v>312</v>
      </c>
      <c r="AB15" s="40">
        <v>312</v>
      </c>
      <c r="AC15" s="40">
        <v>313</v>
      </c>
      <c r="AD15" s="40">
        <v>313</v>
      </c>
      <c r="AE15" s="40">
        <v>313</v>
      </c>
      <c r="AF15" s="40">
        <v>313</v>
      </c>
      <c r="AG15" s="40">
        <v>314</v>
      </c>
      <c r="AH15" s="40">
        <v>314</v>
      </c>
      <c r="AI15" s="40">
        <v>314</v>
      </c>
    </row>
    <row r="16" spans="1:67" s="24" customFormat="1" ht="21.75" customHeight="1" thickBot="1" x14ac:dyDescent="0.35">
      <c r="A16" s="73"/>
      <c r="B16" s="41"/>
      <c r="C16" s="74"/>
      <c r="D16" s="42"/>
      <c r="E16" s="42">
        <f t="shared" ref="E16:AI16" si="92">E15-D15</f>
        <v>0</v>
      </c>
      <c r="F16" s="42">
        <f t="shared" si="92"/>
        <v>0</v>
      </c>
      <c r="G16" s="42">
        <f t="shared" si="92"/>
        <v>0</v>
      </c>
      <c r="H16" s="42">
        <f t="shared" si="92"/>
        <v>0</v>
      </c>
      <c r="I16" s="42">
        <f t="shared" si="92"/>
        <v>0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0</v>
      </c>
      <c r="N16" s="42">
        <f t="shared" si="92"/>
        <v>0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1</v>
      </c>
      <c r="T16" s="42">
        <f t="shared" si="92"/>
        <v>0</v>
      </c>
      <c r="U16" s="42">
        <f t="shared" si="92"/>
        <v>1</v>
      </c>
      <c r="V16" s="42">
        <f t="shared" si="92"/>
        <v>0</v>
      </c>
      <c r="W16" s="42">
        <f t="shared" si="92"/>
        <v>0</v>
      </c>
      <c r="X16" s="42">
        <f t="shared" si="92"/>
        <v>0</v>
      </c>
      <c r="Y16" s="42">
        <f t="shared" si="92"/>
        <v>0</v>
      </c>
      <c r="Z16" s="42">
        <f t="shared" si="92"/>
        <v>0</v>
      </c>
      <c r="AA16" s="42">
        <f t="shared" si="92"/>
        <v>0</v>
      </c>
      <c r="AB16" s="42">
        <f t="shared" si="92"/>
        <v>0</v>
      </c>
      <c r="AC16" s="42">
        <f t="shared" si="92"/>
        <v>1</v>
      </c>
      <c r="AD16" s="42">
        <f t="shared" si="92"/>
        <v>0</v>
      </c>
      <c r="AE16" s="42">
        <f t="shared" si="92"/>
        <v>0</v>
      </c>
      <c r="AF16" s="42">
        <f t="shared" si="92"/>
        <v>0</v>
      </c>
      <c r="AG16" s="42">
        <f t="shared" si="92"/>
        <v>1</v>
      </c>
      <c r="AH16" s="42">
        <f t="shared" si="92"/>
        <v>0</v>
      </c>
      <c r="AI16" s="42">
        <f t="shared" si="92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66">
        <v>13</v>
      </c>
      <c r="B17" s="39" t="s">
        <v>29</v>
      </c>
      <c r="C17" s="68" t="s">
        <v>30</v>
      </c>
      <c r="D17" s="40">
        <v>1082889</v>
      </c>
      <c r="E17" s="40">
        <v>1082990</v>
      </c>
      <c r="F17" s="40">
        <v>1083124</v>
      </c>
      <c r="G17" s="40">
        <v>1083241</v>
      </c>
      <c r="H17" s="40">
        <v>1083332</v>
      </c>
      <c r="I17" s="40">
        <v>1083371</v>
      </c>
      <c r="J17" s="40">
        <v>1083409</v>
      </c>
      <c r="K17" s="40">
        <v>1083449</v>
      </c>
      <c r="L17" s="40">
        <v>1083491</v>
      </c>
      <c r="M17" s="40">
        <v>1083530</v>
      </c>
      <c r="N17" s="40">
        <v>1083571</v>
      </c>
      <c r="O17" s="40">
        <v>1083610</v>
      </c>
      <c r="P17" s="40">
        <v>1083650</v>
      </c>
      <c r="Q17" s="40">
        <v>1083690</v>
      </c>
      <c r="R17" s="40">
        <v>1083729</v>
      </c>
      <c r="S17" s="40">
        <v>1083797</v>
      </c>
      <c r="T17" s="40">
        <v>1083839</v>
      </c>
      <c r="U17" s="40">
        <v>1083870</v>
      </c>
      <c r="V17" s="40">
        <v>1083900</v>
      </c>
      <c r="W17" s="40">
        <v>1083931</v>
      </c>
      <c r="X17" s="40">
        <v>1083962</v>
      </c>
      <c r="Y17" s="40">
        <v>1083994</v>
      </c>
      <c r="Z17" s="40">
        <v>1084026</v>
      </c>
      <c r="AA17" s="40">
        <v>1084057</v>
      </c>
      <c r="AB17" s="40">
        <v>1084088</v>
      </c>
      <c r="AC17" s="40">
        <v>1084119</v>
      </c>
      <c r="AD17" s="40">
        <v>1084159</v>
      </c>
      <c r="AE17" s="40">
        <v>1084199</v>
      </c>
      <c r="AF17" s="40">
        <v>1084241</v>
      </c>
      <c r="AG17" s="40">
        <v>1084283</v>
      </c>
      <c r="AH17" s="40">
        <v>1084323</v>
      </c>
      <c r="AI17" s="40">
        <v>1084363</v>
      </c>
    </row>
    <row r="18" spans="1:35" ht="21.75" customHeight="1" x14ac:dyDescent="0.3">
      <c r="A18" s="67"/>
      <c r="B18" s="43"/>
      <c r="C18" s="69"/>
      <c r="D18" s="42"/>
      <c r="E18" s="42">
        <f t="shared" ref="E18:AI18" si="93">E17-D17</f>
        <v>101</v>
      </c>
      <c r="F18" s="42">
        <f t="shared" si="93"/>
        <v>134</v>
      </c>
      <c r="G18" s="42">
        <f t="shared" si="93"/>
        <v>117</v>
      </c>
      <c r="H18" s="42">
        <f t="shared" si="93"/>
        <v>91</v>
      </c>
      <c r="I18" s="42">
        <f t="shared" si="93"/>
        <v>39</v>
      </c>
      <c r="J18" s="42">
        <f t="shared" si="93"/>
        <v>38</v>
      </c>
      <c r="K18" s="42">
        <f t="shared" si="93"/>
        <v>40</v>
      </c>
      <c r="L18" s="42">
        <f t="shared" si="93"/>
        <v>42</v>
      </c>
      <c r="M18" s="42">
        <f t="shared" si="93"/>
        <v>39</v>
      </c>
      <c r="N18" s="42">
        <f t="shared" si="93"/>
        <v>41</v>
      </c>
      <c r="O18" s="42">
        <f t="shared" si="93"/>
        <v>39</v>
      </c>
      <c r="P18" s="42">
        <f t="shared" si="93"/>
        <v>40</v>
      </c>
      <c r="Q18" s="42">
        <f t="shared" si="93"/>
        <v>40</v>
      </c>
      <c r="R18" s="42">
        <f t="shared" si="93"/>
        <v>39</v>
      </c>
      <c r="S18" s="42">
        <f t="shared" si="93"/>
        <v>68</v>
      </c>
      <c r="T18" s="42">
        <f t="shared" si="93"/>
        <v>42</v>
      </c>
      <c r="U18" s="42">
        <f t="shared" si="93"/>
        <v>31</v>
      </c>
      <c r="V18" s="42">
        <f t="shared" si="93"/>
        <v>30</v>
      </c>
      <c r="W18" s="42">
        <f t="shared" si="93"/>
        <v>31</v>
      </c>
      <c r="X18" s="42">
        <f t="shared" si="93"/>
        <v>31</v>
      </c>
      <c r="Y18" s="42">
        <f t="shared" si="93"/>
        <v>32</v>
      </c>
      <c r="Z18" s="42">
        <f t="shared" si="93"/>
        <v>32</v>
      </c>
      <c r="AA18" s="42">
        <f t="shared" si="93"/>
        <v>31</v>
      </c>
      <c r="AB18" s="42">
        <f t="shared" si="93"/>
        <v>31</v>
      </c>
      <c r="AC18" s="42">
        <f t="shared" si="93"/>
        <v>31</v>
      </c>
      <c r="AD18" s="42">
        <f t="shared" si="93"/>
        <v>40</v>
      </c>
      <c r="AE18" s="42">
        <f t="shared" si="93"/>
        <v>40</v>
      </c>
      <c r="AF18" s="42">
        <f t="shared" si="93"/>
        <v>42</v>
      </c>
      <c r="AG18" s="42">
        <f t="shared" si="93"/>
        <v>42</v>
      </c>
      <c r="AH18" s="42">
        <f t="shared" si="93"/>
        <v>40</v>
      </c>
      <c r="AI18" s="42">
        <f t="shared" si="93"/>
        <v>40</v>
      </c>
    </row>
    <row r="19" spans="1:35" ht="21.75" customHeight="1" x14ac:dyDescent="0.3">
      <c r="A19" s="70">
        <v>14</v>
      </c>
      <c r="B19" s="39" t="s">
        <v>31</v>
      </c>
      <c r="C19" s="68" t="s">
        <v>32</v>
      </c>
      <c r="D19" s="40">
        <v>317179</v>
      </c>
      <c r="E19" s="40">
        <v>317222</v>
      </c>
      <c r="F19" s="40">
        <v>317269</v>
      </c>
      <c r="G19" s="40">
        <v>317310</v>
      </c>
      <c r="H19" s="40">
        <v>317353</v>
      </c>
      <c r="I19" s="40">
        <v>317397</v>
      </c>
      <c r="J19" s="40">
        <v>317442</v>
      </c>
      <c r="K19" s="40">
        <v>317486</v>
      </c>
      <c r="L19" s="40">
        <v>317530</v>
      </c>
      <c r="M19" s="40">
        <v>317574</v>
      </c>
      <c r="N19" s="40">
        <v>317620</v>
      </c>
      <c r="O19" s="40">
        <v>317668</v>
      </c>
      <c r="P19" s="40">
        <v>317713</v>
      </c>
      <c r="Q19" s="40">
        <v>317758</v>
      </c>
      <c r="R19" s="40">
        <v>317802</v>
      </c>
      <c r="S19" s="40">
        <v>317846</v>
      </c>
      <c r="T19" s="40">
        <v>317889</v>
      </c>
      <c r="U19" s="40">
        <v>317932</v>
      </c>
      <c r="V19" s="40">
        <v>317976</v>
      </c>
      <c r="W19" s="40">
        <v>318020</v>
      </c>
      <c r="X19" s="40">
        <v>318061</v>
      </c>
      <c r="Y19" s="40">
        <v>318106</v>
      </c>
      <c r="Z19" s="40">
        <v>318150</v>
      </c>
      <c r="AA19" s="40">
        <v>318189</v>
      </c>
      <c r="AB19" s="40">
        <v>318231</v>
      </c>
      <c r="AC19" s="40">
        <v>318272</v>
      </c>
      <c r="AD19" s="40">
        <v>318311</v>
      </c>
      <c r="AE19" s="40">
        <v>318349</v>
      </c>
      <c r="AF19" s="40">
        <v>318387</v>
      </c>
      <c r="AG19" s="40">
        <v>318429</v>
      </c>
      <c r="AH19" s="40">
        <v>318468</v>
      </c>
      <c r="AI19" s="40">
        <v>318507</v>
      </c>
    </row>
    <row r="20" spans="1:35" ht="21.75" customHeight="1" x14ac:dyDescent="0.3">
      <c r="A20" s="71"/>
      <c r="B20" s="43"/>
      <c r="C20" s="69"/>
      <c r="D20" s="42"/>
      <c r="E20" s="42">
        <f>E19-D19</f>
        <v>43</v>
      </c>
      <c r="F20" s="42">
        <f t="shared" ref="F20:AI20" si="94">F19-E19</f>
        <v>47</v>
      </c>
      <c r="G20" s="42">
        <f t="shared" si="94"/>
        <v>41</v>
      </c>
      <c r="H20" s="42">
        <f t="shared" si="94"/>
        <v>43</v>
      </c>
      <c r="I20" s="42">
        <f t="shared" si="94"/>
        <v>44</v>
      </c>
      <c r="J20" s="42">
        <f t="shared" si="94"/>
        <v>45</v>
      </c>
      <c r="K20" s="42">
        <f t="shared" si="94"/>
        <v>44</v>
      </c>
      <c r="L20" s="42">
        <f t="shared" si="94"/>
        <v>44</v>
      </c>
      <c r="M20" s="42">
        <f t="shared" si="94"/>
        <v>44</v>
      </c>
      <c r="N20" s="42">
        <f t="shared" si="94"/>
        <v>46</v>
      </c>
      <c r="O20" s="42">
        <f t="shared" si="94"/>
        <v>48</v>
      </c>
      <c r="P20" s="42">
        <f t="shared" si="94"/>
        <v>45</v>
      </c>
      <c r="Q20" s="42">
        <f t="shared" si="94"/>
        <v>45</v>
      </c>
      <c r="R20" s="42">
        <f t="shared" si="94"/>
        <v>44</v>
      </c>
      <c r="S20" s="42">
        <f t="shared" si="94"/>
        <v>44</v>
      </c>
      <c r="T20" s="42">
        <f t="shared" si="94"/>
        <v>43</v>
      </c>
      <c r="U20" s="42">
        <f t="shared" si="94"/>
        <v>43</v>
      </c>
      <c r="V20" s="42">
        <f t="shared" si="94"/>
        <v>44</v>
      </c>
      <c r="W20" s="42">
        <f t="shared" si="94"/>
        <v>44</v>
      </c>
      <c r="X20" s="42">
        <f t="shared" si="94"/>
        <v>41</v>
      </c>
      <c r="Y20" s="42">
        <f t="shared" si="94"/>
        <v>45</v>
      </c>
      <c r="Z20" s="42">
        <f t="shared" si="94"/>
        <v>44</v>
      </c>
      <c r="AA20" s="42">
        <f t="shared" si="94"/>
        <v>39</v>
      </c>
      <c r="AB20" s="42">
        <f t="shared" si="94"/>
        <v>42</v>
      </c>
      <c r="AC20" s="42">
        <f t="shared" si="94"/>
        <v>41</v>
      </c>
      <c r="AD20" s="42">
        <f t="shared" si="94"/>
        <v>39</v>
      </c>
      <c r="AE20" s="42">
        <f t="shared" si="94"/>
        <v>38</v>
      </c>
      <c r="AF20" s="42">
        <f t="shared" si="94"/>
        <v>38</v>
      </c>
      <c r="AG20" s="42">
        <f t="shared" si="94"/>
        <v>42</v>
      </c>
      <c r="AH20" s="42">
        <f t="shared" si="94"/>
        <v>39</v>
      </c>
      <c r="AI20" s="42">
        <f t="shared" si="94"/>
        <v>39</v>
      </c>
    </row>
    <row r="21" spans="1:35" ht="27" customHeight="1" x14ac:dyDescent="0.3">
      <c r="B21" s="72" t="s">
        <v>33</v>
      </c>
      <c r="C21" s="72"/>
      <c r="D21" s="44"/>
      <c r="E21" s="58">
        <f>((E6+E8)+((E10+E12)*40%)+(E14+E16+E18+E20))</f>
        <v>39944</v>
      </c>
      <c r="F21" s="58">
        <f t="shared" ref="F21:AI21" si="95">((F6+F8)+((F10+F12)*40%)+(F14+F16+F18+F20))</f>
        <v>40981</v>
      </c>
      <c r="G21" s="58">
        <f t="shared" si="95"/>
        <v>36358</v>
      </c>
      <c r="H21" s="58">
        <f t="shared" si="95"/>
        <v>39534</v>
      </c>
      <c r="I21" s="58">
        <f t="shared" si="95"/>
        <v>38283</v>
      </c>
      <c r="J21" s="58">
        <f t="shared" si="95"/>
        <v>37083</v>
      </c>
      <c r="K21" s="58">
        <f t="shared" si="95"/>
        <v>39484</v>
      </c>
      <c r="L21" s="58">
        <f t="shared" si="95"/>
        <v>39286</v>
      </c>
      <c r="M21" s="58">
        <f t="shared" si="95"/>
        <v>39883</v>
      </c>
      <c r="N21" s="58">
        <f t="shared" si="95"/>
        <v>39687</v>
      </c>
      <c r="O21" s="58">
        <f t="shared" si="95"/>
        <v>37887</v>
      </c>
      <c r="P21" s="58">
        <f t="shared" si="95"/>
        <v>39485</v>
      </c>
      <c r="Q21" s="58">
        <f t="shared" si="95"/>
        <v>39085</v>
      </c>
      <c r="R21" s="58">
        <f t="shared" si="95"/>
        <v>39083</v>
      </c>
      <c r="S21" s="58">
        <f t="shared" si="95"/>
        <v>42116</v>
      </c>
      <c r="T21" s="58">
        <f t="shared" si="95"/>
        <v>40285</v>
      </c>
      <c r="U21" s="58">
        <f t="shared" si="95"/>
        <v>40675</v>
      </c>
      <c r="V21" s="58">
        <f t="shared" si="95"/>
        <v>43274</v>
      </c>
      <c r="W21" s="58">
        <f t="shared" si="95"/>
        <v>42075</v>
      </c>
      <c r="X21" s="58">
        <f t="shared" si="95"/>
        <v>41072</v>
      </c>
      <c r="Y21" s="58">
        <f t="shared" si="95"/>
        <v>44677</v>
      </c>
      <c r="Z21" s="58">
        <f t="shared" si="95"/>
        <v>41876</v>
      </c>
      <c r="AA21" s="58">
        <f t="shared" si="95"/>
        <v>37670</v>
      </c>
      <c r="AB21" s="58">
        <f t="shared" si="95"/>
        <v>42673</v>
      </c>
      <c r="AC21" s="58">
        <f t="shared" si="95"/>
        <v>41273</v>
      </c>
      <c r="AD21" s="58">
        <f t="shared" si="95"/>
        <v>43483</v>
      </c>
      <c r="AE21" s="58">
        <f t="shared" si="95"/>
        <v>40278</v>
      </c>
      <c r="AF21" s="58">
        <f t="shared" si="95"/>
        <v>40886</v>
      </c>
      <c r="AG21" s="58">
        <f t="shared" si="95"/>
        <v>40885</v>
      </c>
      <c r="AH21" s="58">
        <f t="shared" si="95"/>
        <v>39879</v>
      </c>
      <c r="AI21" s="58">
        <f t="shared" si="95"/>
        <v>39879</v>
      </c>
    </row>
    <row r="22" spans="1:35" ht="27" customHeight="1" x14ac:dyDescent="0.3">
      <c r="B22" s="65" t="s">
        <v>34</v>
      </c>
      <c r="C22" s="65"/>
      <c r="D22" s="44"/>
      <c r="E22" s="58">
        <f>SUM(E21:AI21)</f>
        <v>1249019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A5" zoomScale="115" zoomScaleNormal="115" workbookViewId="0">
      <selection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8" t="s">
        <v>85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2" s="8" customFormat="1" ht="30" customHeight="1" thickBot="1" x14ac:dyDescent="0.3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2" s="30" customFormat="1" ht="57.75" customHeight="1" thickBot="1" x14ac:dyDescent="0.35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 t="s">
        <v>67</v>
      </c>
    </row>
    <row r="5" spans="1:42" s="8" customFormat="1" ht="40.5" customHeight="1" thickBot="1" x14ac:dyDescent="0.35">
      <c r="A5" s="91" t="s">
        <v>37</v>
      </c>
      <c r="B5" s="27" t="s">
        <v>68</v>
      </c>
      <c r="C5" s="93" t="s">
        <v>69</v>
      </c>
      <c r="D5" s="31">
        <v>159632.9</v>
      </c>
      <c r="E5" s="31">
        <v>159796.79999999999</v>
      </c>
      <c r="F5" s="31">
        <v>159949.5</v>
      </c>
      <c r="G5" s="31">
        <v>160110.70000000001</v>
      </c>
      <c r="H5" s="31">
        <v>160284.5</v>
      </c>
      <c r="I5" s="31">
        <v>160469.4</v>
      </c>
      <c r="J5" s="31">
        <v>160653.5</v>
      </c>
      <c r="K5" s="31">
        <v>160820.29999999999</v>
      </c>
      <c r="L5" s="31">
        <v>161024.6</v>
      </c>
      <c r="M5" s="31">
        <v>161164.79999999999</v>
      </c>
      <c r="N5" s="31">
        <v>161333.6</v>
      </c>
      <c r="O5" s="31">
        <v>161482.4</v>
      </c>
      <c r="P5" s="31">
        <v>161645.29999999999</v>
      </c>
      <c r="Q5" s="31">
        <v>161824.9</v>
      </c>
      <c r="R5" s="31">
        <v>161995.29999999999</v>
      </c>
      <c r="S5" s="31">
        <v>162166.79999999999</v>
      </c>
      <c r="T5" s="31">
        <v>162317.20000000001</v>
      </c>
      <c r="U5" s="31">
        <v>162445.6</v>
      </c>
      <c r="V5" s="31">
        <v>162598.9</v>
      </c>
      <c r="W5" s="31">
        <v>162765.29999999999</v>
      </c>
      <c r="X5" s="31">
        <v>162932.5</v>
      </c>
      <c r="Y5" s="31">
        <v>163103.6</v>
      </c>
      <c r="Z5" s="31">
        <v>163294.29999999999</v>
      </c>
      <c r="AA5" s="31">
        <v>163452.9</v>
      </c>
      <c r="AB5" s="31">
        <v>163673</v>
      </c>
      <c r="AC5" s="31">
        <v>163832.79999999999</v>
      </c>
      <c r="AD5" s="31">
        <v>163951.6</v>
      </c>
      <c r="AE5" s="31">
        <v>164105.9</v>
      </c>
      <c r="AF5" s="31">
        <v>164264.5</v>
      </c>
      <c r="AG5" s="31">
        <v>164439.20000000001</v>
      </c>
      <c r="AH5" s="31">
        <v>164597.6</v>
      </c>
      <c r="AI5" s="31">
        <v>164745.9</v>
      </c>
    </row>
    <row r="6" spans="1:42" s="34" customFormat="1" ht="25.65" customHeight="1" thickBot="1" x14ac:dyDescent="0.35">
      <c r="A6" s="92"/>
      <c r="B6" s="32"/>
      <c r="C6" s="93"/>
      <c r="D6" s="33"/>
      <c r="E6" s="33">
        <f t="shared" ref="E6:AI6" si="0">E5-D5</f>
        <v>163.89999999999418</v>
      </c>
      <c r="F6" s="33">
        <f t="shared" si="0"/>
        <v>152.70000000001164</v>
      </c>
      <c r="G6" s="33">
        <f t="shared" si="0"/>
        <v>161.20000000001164</v>
      </c>
      <c r="H6" s="33">
        <f t="shared" si="0"/>
        <v>173.79999999998836</v>
      </c>
      <c r="I6" s="33">
        <f t="shared" si="0"/>
        <v>184.89999999999418</v>
      </c>
      <c r="J6" s="33">
        <f t="shared" si="0"/>
        <v>184.10000000000582</v>
      </c>
      <c r="K6" s="33">
        <f t="shared" si="0"/>
        <v>166.79999999998836</v>
      </c>
      <c r="L6" s="33">
        <f t="shared" si="0"/>
        <v>204.30000000001746</v>
      </c>
      <c r="M6" s="33">
        <f t="shared" si="0"/>
        <v>140.19999999998254</v>
      </c>
      <c r="N6" s="33">
        <f t="shared" si="0"/>
        <v>168.80000000001746</v>
      </c>
      <c r="O6" s="33">
        <f t="shared" si="0"/>
        <v>148.79999999998836</v>
      </c>
      <c r="P6" s="33">
        <f t="shared" si="0"/>
        <v>162.89999999999418</v>
      </c>
      <c r="Q6" s="33">
        <f t="shared" si="0"/>
        <v>179.60000000000582</v>
      </c>
      <c r="R6" s="33">
        <f t="shared" si="0"/>
        <v>170.39999999999418</v>
      </c>
      <c r="S6" s="33">
        <f t="shared" si="0"/>
        <v>171.5</v>
      </c>
      <c r="T6" s="33">
        <f t="shared" si="0"/>
        <v>150.40000000002328</v>
      </c>
      <c r="U6" s="33">
        <f t="shared" si="0"/>
        <v>128.39999999999418</v>
      </c>
      <c r="V6" s="33">
        <f t="shared" si="0"/>
        <v>153.29999999998836</v>
      </c>
      <c r="W6" s="33">
        <f t="shared" si="0"/>
        <v>166.39999999999418</v>
      </c>
      <c r="X6" s="33">
        <f t="shared" si="0"/>
        <v>167.20000000001164</v>
      </c>
      <c r="Y6" s="33">
        <v>137.95500000000001</v>
      </c>
      <c r="Z6" s="33">
        <f t="shared" si="0"/>
        <v>190.69999999998254</v>
      </c>
      <c r="AA6" s="33">
        <f>AA5-Z5</f>
        <v>158.60000000000582</v>
      </c>
      <c r="AB6" s="33">
        <f t="shared" si="0"/>
        <v>220.10000000000582</v>
      </c>
      <c r="AC6" s="33">
        <f t="shared" si="0"/>
        <v>159.79999999998836</v>
      </c>
      <c r="AD6" s="33">
        <f t="shared" si="0"/>
        <v>118.80000000001746</v>
      </c>
      <c r="AE6" s="33">
        <f t="shared" si="0"/>
        <v>154.29999999998836</v>
      </c>
      <c r="AF6" s="33">
        <f t="shared" si="0"/>
        <v>158.60000000000582</v>
      </c>
      <c r="AG6" s="33">
        <f t="shared" si="0"/>
        <v>174.70000000001164</v>
      </c>
      <c r="AH6" s="33">
        <f t="shared" si="0"/>
        <v>158.39999999999418</v>
      </c>
      <c r="AI6" s="33">
        <f t="shared" si="0"/>
        <v>148.29999999998836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1" t="s">
        <v>39</v>
      </c>
      <c r="B7" s="49" t="s">
        <v>70</v>
      </c>
      <c r="C7" s="93" t="s">
        <v>71</v>
      </c>
      <c r="D7" s="31">
        <v>198244.5</v>
      </c>
      <c r="E7" s="31">
        <v>198648.3</v>
      </c>
      <c r="F7" s="31">
        <v>199073.3</v>
      </c>
      <c r="G7" s="31">
        <v>199337.1</v>
      </c>
      <c r="H7" s="31">
        <v>199775.9</v>
      </c>
      <c r="I7" s="31">
        <v>200204.5</v>
      </c>
      <c r="J7" s="31">
        <v>200615.2</v>
      </c>
      <c r="K7" s="31">
        <v>201045.2</v>
      </c>
      <c r="L7" s="31">
        <v>201462</v>
      </c>
      <c r="M7" s="31">
        <v>201897.7</v>
      </c>
      <c r="N7" s="31">
        <v>202176.5</v>
      </c>
      <c r="O7" s="31">
        <v>202594.4</v>
      </c>
      <c r="P7" s="31">
        <v>203038.4</v>
      </c>
      <c r="Q7" s="31">
        <v>203500.4</v>
      </c>
      <c r="R7" s="31">
        <v>203944.1</v>
      </c>
      <c r="S7" s="31">
        <v>204380.4</v>
      </c>
      <c r="T7" s="31">
        <v>204830</v>
      </c>
      <c r="U7" s="31">
        <v>205180.5</v>
      </c>
      <c r="V7" s="31">
        <v>205848.8</v>
      </c>
      <c r="W7" s="31">
        <v>206310.8</v>
      </c>
      <c r="X7" s="31">
        <v>206771.4</v>
      </c>
      <c r="Y7" s="31">
        <v>207128.5</v>
      </c>
      <c r="Z7" s="31">
        <v>207603</v>
      </c>
      <c r="AA7" s="31">
        <v>208031.2</v>
      </c>
      <c r="AB7" s="31">
        <v>208351.4</v>
      </c>
      <c r="AC7" s="31">
        <v>208789.7</v>
      </c>
      <c r="AD7" s="31">
        <v>209245.8</v>
      </c>
      <c r="AE7" s="31">
        <v>209701.4</v>
      </c>
      <c r="AF7" s="31">
        <v>210155.5</v>
      </c>
      <c r="AG7" s="31">
        <v>210615.9</v>
      </c>
      <c r="AH7" s="31">
        <v>211043.9</v>
      </c>
      <c r="AI7" s="31">
        <v>211339.9</v>
      </c>
    </row>
    <row r="8" spans="1:42" s="34" customFormat="1" ht="25.65" customHeight="1" x14ac:dyDescent="0.3">
      <c r="A8" s="92"/>
      <c r="B8" s="47"/>
      <c r="C8" s="93"/>
      <c r="D8" s="33"/>
      <c r="E8" s="33">
        <f t="shared" ref="E8:AG10" si="1">E7-D7</f>
        <v>403.79999999998836</v>
      </c>
      <c r="F8" s="33">
        <f t="shared" si="1"/>
        <v>425</v>
      </c>
      <c r="G8" s="33">
        <f t="shared" si="1"/>
        <v>263.80000000001746</v>
      </c>
      <c r="H8" s="33">
        <f t="shared" si="1"/>
        <v>438.79999999998836</v>
      </c>
      <c r="I8" s="33">
        <f t="shared" si="1"/>
        <v>428.60000000000582</v>
      </c>
      <c r="J8" s="33">
        <f t="shared" si="1"/>
        <v>410.70000000001164</v>
      </c>
      <c r="K8" s="33">
        <f t="shared" si="1"/>
        <v>430</v>
      </c>
      <c r="L8" s="33">
        <f t="shared" si="1"/>
        <v>416.79999999998836</v>
      </c>
      <c r="M8" s="33">
        <f t="shared" si="1"/>
        <v>435.70000000001164</v>
      </c>
      <c r="N8" s="33">
        <f t="shared" si="1"/>
        <v>278.79999999998836</v>
      </c>
      <c r="O8" s="33">
        <f t="shared" si="1"/>
        <v>417.89999999999418</v>
      </c>
      <c r="P8" s="33">
        <f t="shared" si="1"/>
        <v>444</v>
      </c>
      <c r="Q8" s="33">
        <f t="shared" si="1"/>
        <v>462</v>
      </c>
      <c r="R8" s="33">
        <f t="shared" si="1"/>
        <v>443.70000000001164</v>
      </c>
      <c r="S8" s="33">
        <f t="shared" si="1"/>
        <v>436.29999999998836</v>
      </c>
      <c r="T8" s="33">
        <f t="shared" si="1"/>
        <v>449.60000000000582</v>
      </c>
      <c r="U8" s="33">
        <f t="shared" si="1"/>
        <v>350.5</v>
      </c>
      <c r="V8" s="33">
        <f t="shared" si="1"/>
        <v>668.29999999998836</v>
      </c>
      <c r="W8" s="33">
        <f t="shared" si="1"/>
        <v>462</v>
      </c>
      <c r="X8" s="33">
        <f t="shared" si="1"/>
        <v>460.60000000000582</v>
      </c>
      <c r="Y8" s="33">
        <f t="shared" si="1"/>
        <v>357.10000000000582</v>
      </c>
      <c r="Z8" s="33">
        <f t="shared" si="1"/>
        <v>474.5</v>
      </c>
      <c r="AA8" s="33">
        <f>AA7-Z7</f>
        <v>428.20000000001164</v>
      </c>
      <c r="AB8" s="33">
        <f t="shared" si="1"/>
        <v>320.19999999998254</v>
      </c>
      <c r="AC8" s="33">
        <f t="shared" si="1"/>
        <v>438.30000000001746</v>
      </c>
      <c r="AD8" s="33">
        <f t="shared" si="1"/>
        <v>456.09999999997672</v>
      </c>
      <c r="AE8" s="33">
        <f t="shared" si="1"/>
        <v>455.60000000000582</v>
      </c>
      <c r="AF8" s="33">
        <f t="shared" si="1"/>
        <v>454.10000000000582</v>
      </c>
      <c r="AG8" s="33">
        <f t="shared" si="1"/>
        <v>460.39999999999418</v>
      </c>
      <c r="AH8" s="33">
        <f>AH7-AG7</f>
        <v>428</v>
      </c>
      <c r="AI8" s="33">
        <f>AI7-AH7</f>
        <v>296</v>
      </c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1">
        <v>4</v>
      </c>
      <c r="B9" s="46" t="s">
        <v>72</v>
      </c>
      <c r="C9" s="93" t="s">
        <v>73</v>
      </c>
      <c r="D9" s="31">
        <v>56157</v>
      </c>
      <c r="E9" s="31">
        <v>56291</v>
      </c>
      <c r="F9" s="31">
        <v>56419</v>
      </c>
      <c r="G9" s="31">
        <v>56419</v>
      </c>
      <c r="H9" s="31">
        <v>56563</v>
      </c>
      <c r="I9" s="31">
        <v>56712</v>
      </c>
      <c r="J9" s="31">
        <v>56862</v>
      </c>
      <c r="K9" s="31">
        <v>57019</v>
      </c>
      <c r="L9" s="31">
        <v>57160</v>
      </c>
      <c r="M9" s="31">
        <v>57307</v>
      </c>
      <c r="N9" s="31">
        <v>57308</v>
      </c>
      <c r="O9" s="31">
        <v>57454</v>
      </c>
      <c r="P9" s="31">
        <v>57602</v>
      </c>
      <c r="Q9" s="31">
        <v>57754</v>
      </c>
      <c r="R9" s="31">
        <v>57917</v>
      </c>
      <c r="S9" s="31">
        <v>58051</v>
      </c>
      <c r="T9" s="31">
        <v>58212</v>
      </c>
      <c r="U9" s="31">
        <v>58213</v>
      </c>
      <c r="V9" s="31">
        <v>58352</v>
      </c>
      <c r="W9" s="31">
        <v>58470</v>
      </c>
      <c r="X9" s="31">
        <v>58614</v>
      </c>
      <c r="Y9" s="31">
        <v>58687</v>
      </c>
      <c r="Z9" s="31">
        <v>58785</v>
      </c>
      <c r="AA9" s="31">
        <v>58941</v>
      </c>
      <c r="AB9" s="31">
        <v>58941</v>
      </c>
      <c r="AC9" s="31">
        <v>59083</v>
      </c>
      <c r="AD9" s="31">
        <v>59236</v>
      </c>
      <c r="AE9" s="31">
        <v>59384</v>
      </c>
      <c r="AF9" s="31">
        <v>59531</v>
      </c>
      <c r="AG9" s="31">
        <v>59680</v>
      </c>
      <c r="AH9" s="31">
        <v>59818</v>
      </c>
      <c r="AI9" s="31">
        <v>59818</v>
      </c>
    </row>
    <row r="10" spans="1:42" s="34" customFormat="1" ht="25.65" customHeight="1" x14ac:dyDescent="0.3">
      <c r="A10" s="92"/>
      <c r="B10" s="47"/>
      <c r="C10" s="93"/>
      <c r="D10" s="33"/>
      <c r="E10" s="33">
        <f t="shared" ref="E10:H10" si="2">E9-D9</f>
        <v>134</v>
      </c>
      <c r="F10" s="33">
        <f t="shared" si="2"/>
        <v>128</v>
      </c>
      <c r="G10" s="33">
        <f t="shared" si="2"/>
        <v>0</v>
      </c>
      <c r="H10" s="33">
        <f t="shared" si="2"/>
        <v>144</v>
      </c>
      <c r="I10" s="33">
        <f t="shared" si="1"/>
        <v>149</v>
      </c>
      <c r="J10" s="33">
        <f t="shared" si="1"/>
        <v>150</v>
      </c>
      <c r="K10" s="33">
        <f t="shared" si="1"/>
        <v>157</v>
      </c>
      <c r="L10" s="33">
        <f t="shared" si="1"/>
        <v>141</v>
      </c>
      <c r="M10" s="33">
        <f t="shared" si="1"/>
        <v>147</v>
      </c>
      <c r="N10" s="33">
        <f t="shared" si="1"/>
        <v>1</v>
      </c>
      <c r="O10" s="33">
        <f t="shared" si="1"/>
        <v>146</v>
      </c>
      <c r="P10" s="33">
        <f t="shared" si="1"/>
        <v>148</v>
      </c>
      <c r="Q10" s="33">
        <f t="shared" si="1"/>
        <v>152</v>
      </c>
      <c r="R10" s="33">
        <f t="shared" si="1"/>
        <v>163</v>
      </c>
      <c r="S10" s="33">
        <f t="shared" si="1"/>
        <v>134</v>
      </c>
      <c r="T10" s="33">
        <f t="shared" si="1"/>
        <v>161</v>
      </c>
      <c r="U10" s="33">
        <f t="shared" si="1"/>
        <v>1</v>
      </c>
      <c r="V10" s="33">
        <f t="shared" si="1"/>
        <v>139</v>
      </c>
      <c r="W10" s="33">
        <f t="shared" si="1"/>
        <v>118</v>
      </c>
      <c r="X10" s="33">
        <f t="shared" si="1"/>
        <v>144</v>
      </c>
      <c r="Y10" s="33">
        <f t="shared" si="1"/>
        <v>73</v>
      </c>
      <c r="Z10" s="33">
        <f t="shared" si="1"/>
        <v>98</v>
      </c>
      <c r="AA10" s="33">
        <f>AA9-Z9</f>
        <v>156</v>
      </c>
      <c r="AB10" s="33">
        <f t="shared" si="1"/>
        <v>0</v>
      </c>
      <c r="AC10" s="33">
        <f t="shared" si="1"/>
        <v>142</v>
      </c>
      <c r="AD10" s="33">
        <f>AD9-AC9</f>
        <v>153</v>
      </c>
      <c r="AE10" s="33">
        <f>AE9-AD9</f>
        <v>148</v>
      </c>
      <c r="AF10" s="33">
        <f t="shared" ref="AF10:AI10" si="3">AF9-AE9</f>
        <v>147</v>
      </c>
      <c r="AG10" s="33">
        <f t="shared" si="3"/>
        <v>149</v>
      </c>
      <c r="AH10" s="33">
        <f t="shared" si="3"/>
        <v>138</v>
      </c>
      <c r="AI10" s="33">
        <f t="shared" si="3"/>
        <v>0</v>
      </c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4">
        <v>5</v>
      </c>
      <c r="B11" s="27">
        <v>68864837</v>
      </c>
      <c r="C11" s="93" t="s">
        <v>74</v>
      </c>
      <c r="D11" s="31">
        <v>4508.2290000000003</v>
      </c>
      <c r="E11" s="31">
        <v>4508.2290000000003</v>
      </c>
      <c r="F11" s="31">
        <v>4508.2290000000003</v>
      </c>
      <c r="G11" s="31">
        <v>4508.2290000000003</v>
      </c>
      <c r="H11" s="31">
        <v>4508.2290000000003</v>
      </c>
      <c r="I11" s="31">
        <v>4508.2290000000003</v>
      </c>
      <c r="J11" s="31">
        <v>4508.2290000000003</v>
      </c>
      <c r="K11" s="31">
        <v>4508.2290000000003</v>
      </c>
      <c r="L11" s="31">
        <v>0.2</v>
      </c>
      <c r="M11" s="31">
        <v>0.2</v>
      </c>
      <c r="N11" s="31">
        <v>0.20300000000000001</v>
      </c>
      <c r="O11" s="31">
        <v>0.20300000000000001</v>
      </c>
      <c r="P11" s="31">
        <v>0.20300000000000001</v>
      </c>
      <c r="Q11" s="31">
        <v>0.20300000000000001</v>
      </c>
      <c r="R11" s="31">
        <v>0.20300000000000001</v>
      </c>
      <c r="S11" s="31">
        <v>0.20300000000000001</v>
      </c>
      <c r="T11" s="31">
        <v>0.23699999999999999</v>
      </c>
      <c r="U11" s="31">
        <v>0.251</v>
      </c>
      <c r="V11" s="31">
        <v>0.29699999999999999</v>
      </c>
      <c r="W11" s="31">
        <v>0.311</v>
      </c>
      <c r="X11" s="31">
        <v>0.315</v>
      </c>
      <c r="Y11" s="31">
        <v>0.318</v>
      </c>
      <c r="Z11" s="31">
        <v>0.32200000000000001</v>
      </c>
      <c r="AA11" s="31">
        <v>0.32200000000000001</v>
      </c>
      <c r="AB11" s="31">
        <v>0.32200000000000001</v>
      </c>
      <c r="AC11" s="31">
        <v>0.32200000000000001</v>
      </c>
      <c r="AD11" s="31">
        <v>0.32200000000000001</v>
      </c>
      <c r="AE11" s="31">
        <v>0.32200000000000001</v>
      </c>
      <c r="AF11" s="31">
        <v>0.32200000000000001</v>
      </c>
      <c r="AG11" s="31">
        <v>0.33800000000000002</v>
      </c>
      <c r="AH11" s="31">
        <v>0.34</v>
      </c>
      <c r="AI11" s="31">
        <v>0.34</v>
      </c>
    </row>
    <row r="12" spans="1:42" s="8" customFormat="1" ht="25.65" customHeight="1" x14ac:dyDescent="0.3">
      <c r="A12" s="95"/>
      <c r="B12" s="48"/>
      <c r="C12" s="93"/>
      <c r="D12" s="33"/>
      <c r="E12" s="33">
        <f t="shared" ref="E12:AI12" si="4">E11-D11</f>
        <v>0</v>
      </c>
      <c r="F12" s="33">
        <f t="shared" si="4"/>
        <v>0</v>
      </c>
      <c r="G12" s="33">
        <f t="shared" si="4"/>
        <v>0</v>
      </c>
      <c r="H12" s="33">
        <f t="shared" si="4"/>
        <v>0</v>
      </c>
      <c r="I12" s="33">
        <f t="shared" si="4"/>
        <v>0</v>
      </c>
      <c r="J12" s="33">
        <f t="shared" si="4"/>
        <v>0</v>
      </c>
      <c r="K12" s="33">
        <f t="shared" si="4"/>
        <v>0</v>
      </c>
      <c r="L12" s="33">
        <v>0</v>
      </c>
      <c r="M12" s="33">
        <f>M11-L11</f>
        <v>0</v>
      </c>
      <c r="N12" s="33">
        <f>N11-M11</f>
        <v>3.0000000000000027E-3</v>
      </c>
      <c r="O12" s="33">
        <f>O11-N11</f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33">
        <f t="shared" si="4"/>
        <v>0</v>
      </c>
      <c r="T12" s="33">
        <f>T11-S11</f>
        <v>3.3999999999999975E-2</v>
      </c>
      <c r="U12" s="33">
        <f>U11-T11</f>
        <v>1.4000000000000012E-2</v>
      </c>
      <c r="V12" s="33">
        <f t="shared" si="4"/>
        <v>4.5999999999999985E-2</v>
      </c>
      <c r="W12" s="33">
        <f t="shared" si="4"/>
        <v>1.4000000000000012E-2</v>
      </c>
      <c r="X12" s="33">
        <f t="shared" si="4"/>
        <v>4.0000000000000036E-3</v>
      </c>
      <c r="Y12" s="33">
        <f t="shared" si="4"/>
        <v>3.0000000000000027E-3</v>
      </c>
      <c r="Z12" s="33">
        <f t="shared" si="4"/>
        <v>4.0000000000000036E-3</v>
      </c>
      <c r="AA12" s="33">
        <f t="shared" si="4"/>
        <v>0</v>
      </c>
      <c r="AB12" s="33">
        <f t="shared" si="4"/>
        <v>0</v>
      </c>
      <c r="AC12" s="33">
        <f t="shared" si="4"/>
        <v>0</v>
      </c>
      <c r="AD12" s="33">
        <f t="shared" si="4"/>
        <v>0</v>
      </c>
      <c r="AE12" s="33">
        <f t="shared" si="4"/>
        <v>0</v>
      </c>
      <c r="AF12" s="33">
        <f t="shared" si="4"/>
        <v>0</v>
      </c>
      <c r="AG12" s="33">
        <f t="shared" si="4"/>
        <v>1.6000000000000014E-2</v>
      </c>
      <c r="AH12" s="33">
        <f t="shared" si="4"/>
        <v>2.0000000000000018E-3</v>
      </c>
      <c r="AI12" s="33">
        <f t="shared" si="4"/>
        <v>0</v>
      </c>
    </row>
    <row r="13" spans="1:42" s="8" customFormat="1" ht="25.65" customHeight="1" x14ac:dyDescent="0.3">
      <c r="A13" s="94">
        <v>6</v>
      </c>
      <c r="B13" s="27">
        <v>65296485</v>
      </c>
      <c r="C13" s="93" t="s">
        <v>75</v>
      </c>
      <c r="D13" s="31">
        <v>7772.41</v>
      </c>
      <c r="E13" s="31">
        <v>7772.7209999999995</v>
      </c>
      <c r="F13" s="31">
        <v>7773.0529999999999</v>
      </c>
      <c r="G13" s="31">
        <v>7774.0749999999998</v>
      </c>
      <c r="H13" s="31">
        <v>7774.7290000000003</v>
      </c>
      <c r="I13" s="31">
        <v>7775.1719999999996</v>
      </c>
      <c r="J13" s="31">
        <v>7775.8159999999998</v>
      </c>
      <c r="K13" s="31">
        <v>7776.2420000000002</v>
      </c>
      <c r="L13" s="31">
        <v>7776.7579999999998</v>
      </c>
      <c r="M13" s="31">
        <v>7777.2849999999999</v>
      </c>
      <c r="N13" s="31">
        <v>7777.857</v>
      </c>
      <c r="O13" s="31">
        <v>7785.76</v>
      </c>
      <c r="P13" s="31">
        <v>7786.1409999999996</v>
      </c>
      <c r="Q13" s="31">
        <v>7787.0559999999996</v>
      </c>
      <c r="R13" s="31">
        <v>7788.6509999999998</v>
      </c>
      <c r="S13" s="31">
        <v>7789.2669999999998</v>
      </c>
      <c r="T13" s="31">
        <v>7790</v>
      </c>
      <c r="U13" s="31">
        <v>7790.9049999999997</v>
      </c>
      <c r="V13" s="31">
        <v>7799.634</v>
      </c>
      <c r="W13" s="31">
        <v>7800.75</v>
      </c>
      <c r="X13" s="31">
        <v>7801.8339999999998</v>
      </c>
      <c r="Y13" s="31">
        <v>7803.8689999999997</v>
      </c>
      <c r="Z13" s="31">
        <v>7806.973</v>
      </c>
      <c r="AA13" s="31">
        <v>7809.1580000000004</v>
      </c>
      <c r="AB13" s="31">
        <v>7810.0529999999999</v>
      </c>
      <c r="AC13" s="31">
        <v>7812.3069999999998</v>
      </c>
      <c r="AD13" s="31">
        <v>7815.0829999999996</v>
      </c>
      <c r="AE13" s="31">
        <v>7815.8339999999998</v>
      </c>
      <c r="AF13" s="31">
        <v>7816.6840000000002</v>
      </c>
      <c r="AG13" s="31">
        <v>7817.5690000000004</v>
      </c>
      <c r="AH13" s="31">
        <v>7818.33</v>
      </c>
      <c r="AI13" s="31">
        <v>7820.59</v>
      </c>
    </row>
    <row r="14" spans="1:42" s="8" customFormat="1" ht="25.65" customHeight="1" x14ac:dyDescent="0.3">
      <c r="A14" s="95"/>
      <c r="B14" s="48"/>
      <c r="C14" s="93"/>
      <c r="D14" s="33"/>
      <c r="E14" s="33">
        <f t="shared" ref="E14:AI14" si="5">E13-D13</f>
        <v>0.31099999999969441</v>
      </c>
      <c r="F14" s="33">
        <f t="shared" si="5"/>
        <v>0.33200000000033469</v>
      </c>
      <c r="G14" s="33">
        <f t="shared" si="5"/>
        <v>1.0219999999999345</v>
      </c>
      <c r="H14" s="33">
        <f t="shared" si="5"/>
        <v>0.65400000000045111</v>
      </c>
      <c r="I14" s="33">
        <f t="shared" si="5"/>
        <v>0.44299999999930151</v>
      </c>
      <c r="J14" s="33">
        <f t="shared" si="5"/>
        <v>0.64400000000023283</v>
      </c>
      <c r="K14" s="33">
        <f t="shared" si="5"/>
        <v>0.42600000000038563</v>
      </c>
      <c r="L14" s="33">
        <f t="shared" si="5"/>
        <v>0.51599999999962165</v>
      </c>
      <c r="M14" s="33">
        <f t="shared" si="5"/>
        <v>0.52700000000004366</v>
      </c>
      <c r="N14" s="33">
        <f t="shared" si="5"/>
        <v>0.57200000000011642</v>
      </c>
      <c r="O14" s="33">
        <f t="shared" si="5"/>
        <v>7.9030000000002474</v>
      </c>
      <c r="P14" s="33">
        <f t="shared" si="5"/>
        <v>0.38099999999940337</v>
      </c>
      <c r="Q14" s="33">
        <f t="shared" si="5"/>
        <v>0.91499999999996362</v>
      </c>
      <c r="R14" s="33">
        <f t="shared" si="5"/>
        <v>1.5950000000002547</v>
      </c>
      <c r="S14" s="33">
        <f t="shared" si="5"/>
        <v>0.61599999999998545</v>
      </c>
      <c r="T14" s="33">
        <f t="shared" si="5"/>
        <v>0.73300000000017462</v>
      </c>
      <c r="U14" s="33">
        <f t="shared" si="5"/>
        <v>0.90499999999974534</v>
      </c>
      <c r="V14" s="33">
        <f t="shared" si="5"/>
        <v>8.7290000000002692</v>
      </c>
      <c r="W14" s="33">
        <f t="shared" si="5"/>
        <v>1.1159999999999854</v>
      </c>
      <c r="X14" s="33">
        <f t="shared" si="5"/>
        <v>1.0839999999998327</v>
      </c>
      <c r="Y14" s="33">
        <f t="shared" si="5"/>
        <v>2.0349999999998545</v>
      </c>
      <c r="Z14" s="33">
        <f t="shared" si="5"/>
        <v>3.1040000000002692</v>
      </c>
      <c r="AA14" s="33">
        <f t="shared" si="5"/>
        <v>2.1850000000004002</v>
      </c>
      <c r="AB14" s="33">
        <f t="shared" si="5"/>
        <v>0.89499999999952706</v>
      </c>
      <c r="AC14" s="33">
        <f t="shared" si="5"/>
        <v>2.2539999999999054</v>
      </c>
      <c r="AD14" s="33">
        <f t="shared" si="5"/>
        <v>2.7759999999998399</v>
      </c>
      <c r="AE14" s="33">
        <f t="shared" si="5"/>
        <v>0.75100000000020373</v>
      </c>
      <c r="AF14" s="33">
        <f t="shared" si="5"/>
        <v>0.8500000000003638</v>
      </c>
      <c r="AG14" s="33">
        <f t="shared" si="5"/>
        <v>0.88500000000021828</v>
      </c>
      <c r="AH14" s="33">
        <f t="shared" si="5"/>
        <v>0.76099999999951251</v>
      </c>
      <c r="AI14" s="33">
        <f t="shared" si="5"/>
        <v>2.2600000000002183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7" t="s">
        <v>76</v>
      </c>
      <c r="C15" s="87"/>
      <c r="D15" s="50"/>
      <c r="E15" s="57">
        <f>E6+((E8*45%)+(E10*45%)+(E12+E14))</f>
        <v>406.22099999998863</v>
      </c>
      <c r="F15" s="57">
        <f t="shared" ref="F15:AI15" si="6">F6+((F8*45%)+(F10*45%)+(F12+F14))</f>
        <v>401.882000000012</v>
      </c>
      <c r="G15" s="57">
        <f t="shared" si="6"/>
        <v>280.93200000001946</v>
      </c>
      <c r="H15" s="57">
        <f t="shared" si="6"/>
        <v>436.71399999998357</v>
      </c>
      <c r="I15" s="57">
        <f t="shared" si="6"/>
        <v>445.26299999999611</v>
      </c>
      <c r="J15" s="57">
        <f t="shared" si="6"/>
        <v>437.05900000001134</v>
      </c>
      <c r="K15" s="57">
        <f t="shared" si="6"/>
        <v>431.37599999998872</v>
      </c>
      <c r="L15" s="57">
        <f t="shared" si="6"/>
        <v>455.82600000001185</v>
      </c>
      <c r="M15" s="57">
        <f t="shared" si="6"/>
        <v>402.94199999998784</v>
      </c>
      <c r="N15" s="57">
        <f t="shared" si="6"/>
        <v>295.28500000001236</v>
      </c>
      <c r="O15" s="57">
        <f t="shared" si="6"/>
        <v>410.45799999998599</v>
      </c>
      <c r="P15" s="57">
        <f t="shared" si="6"/>
        <v>429.68099999999362</v>
      </c>
      <c r="Q15" s="57">
        <f t="shared" si="6"/>
        <v>456.8150000000058</v>
      </c>
      <c r="R15" s="57">
        <f t="shared" si="6"/>
        <v>445.00999999999971</v>
      </c>
      <c r="S15" s="57">
        <f t="shared" si="6"/>
        <v>428.75099999999475</v>
      </c>
      <c r="T15" s="57">
        <f t="shared" si="6"/>
        <v>425.9370000000261</v>
      </c>
      <c r="U15" s="57">
        <f t="shared" si="6"/>
        <v>287.49399999999389</v>
      </c>
      <c r="V15" s="57">
        <f t="shared" si="6"/>
        <v>525.35999999998342</v>
      </c>
      <c r="W15" s="57">
        <f t="shared" si="6"/>
        <v>428.52999999999417</v>
      </c>
      <c r="X15" s="57">
        <f t="shared" si="6"/>
        <v>440.3580000000141</v>
      </c>
      <c r="Y15" s="57">
        <f t="shared" si="6"/>
        <v>333.53800000000251</v>
      </c>
      <c r="Z15" s="57">
        <f t="shared" si="6"/>
        <v>451.43299999998283</v>
      </c>
      <c r="AA15" s="57">
        <f t="shared" si="6"/>
        <v>423.67500000001149</v>
      </c>
      <c r="AB15" s="57">
        <f t="shared" si="6"/>
        <v>365.08499999999754</v>
      </c>
      <c r="AC15" s="57">
        <f t="shared" si="6"/>
        <v>423.1889999999961</v>
      </c>
      <c r="AD15" s="57">
        <f t="shared" si="6"/>
        <v>395.67100000000681</v>
      </c>
      <c r="AE15" s="57">
        <f t="shared" si="6"/>
        <v>426.67099999999118</v>
      </c>
      <c r="AF15" s="57">
        <f t="shared" si="6"/>
        <v>429.9450000000088</v>
      </c>
      <c r="AG15" s="57">
        <f t="shared" si="6"/>
        <v>449.83100000000928</v>
      </c>
      <c r="AH15" s="57">
        <f t="shared" si="6"/>
        <v>413.86299999999369</v>
      </c>
      <c r="AI15" s="57">
        <f t="shared" si="6"/>
        <v>283.75999999998862</v>
      </c>
    </row>
    <row r="16" spans="1:42" ht="33" customHeight="1" x14ac:dyDescent="0.3">
      <c r="B16" s="86" t="s">
        <v>77</v>
      </c>
      <c r="C16" s="86"/>
      <c r="D16" s="50"/>
      <c r="E16" s="57">
        <f>SUM(E15:AI15)</f>
        <v>12668.554999999995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7" activePane="bottomLeft" state="frozen"/>
      <selection pane="bottomLeft" activeCell="C5" sqref="C5:C34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7.25" customHeight="1" x14ac:dyDescent="0.3">
      <c r="A1" s="96" t="s">
        <v>86</v>
      </c>
      <c r="B1" s="96"/>
      <c r="C1" s="96"/>
    </row>
    <row r="3" spans="1:7" ht="48" x14ac:dyDescent="0.3">
      <c r="A3" s="51" t="s">
        <v>36</v>
      </c>
      <c r="B3" s="52">
        <v>48421.3</v>
      </c>
      <c r="C3" s="53"/>
    </row>
    <row r="4" spans="1:7" ht="28.5" customHeight="1" x14ac:dyDescent="0.3">
      <c r="A4" s="54">
        <v>1</v>
      </c>
      <c r="B4" s="52"/>
      <c r="C4" s="53">
        <f>B3/31</f>
        <v>1561.9774193548387</v>
      </c>
    </row>
    <row r="5" spans="1:7" ht="28.5" customHeight="1" x14ac:dyDescent="0.3">
      <c r="A5" s="54">
        <v>2</v>
      </c>
      <c r="B5" s="52"/>
      <c r="C5" s="53">
        <v>1561.9774193548387</v>
      </c>
    </row>
    <row r="6" spans="1:7" ht="28.5" customHeight="1" x14ac:dyDescent="0.3">
      <c r="A6" s="55">
        <v>3</v>
      </c>
      <c r="B6" s="52"/>
      <c r="C6" s="53">
        <v>1561.9774193548387</v>
      </c>
    </row>
    <row r="7" spans="1:7" ht="28.5" customHeight="1" x14ac:dyDescent="0.3">
      <c r="A7" s="54">
        <v>4</v>
      </c>
      <c r="B7" s="52"/>
      <c r="C7" s="53">
        <v>1561.9774193548387</v>
      </c>
    </row>
    <row r="8" spans="1:7" ht="28.5" customHeight="1" x14ac:dyDescent="0.3">
      <c r="A8" s="54">
        <v>5</v>
      </c>
      <c r="B8" s="52"/>
      <c r="C8" s="53">
        <v>1561.9774193548387</v>
      </c>
    </row>
    <row r="9" spans="1:7" ht="28.5" customHeight="1" x14ac:dyDescent="0.3">
      <c r="A9" s="54">
        <v>6</v>
      </c>
      <c r="B9" s="52"/>
      <c r="C9" s="53">
        <v>1561.9774193548387</v>
      </c>
      <c r="G9" t="s">
        <v>78</v>
      </c>
    </row>
    <row r="10" spans="1:7" ht="28.5" customHeight="1" x14ac:dyDescent="0.3">
      <c r="A10" s="54">
        <v>7</v>
      </c>
      <c r="B10" s="52"/>
      <c r="C10" s="53">
        <v>1561.9774193548387</v>
      </c>
    </row>
    <row r="11" spans="1:7" ht="28.5" customHeight="1" x14ac:dyDescent="0.3">
      <c r="A11" s="54">
        <v>8</v>
      </c>
      <c r="B11" s="52"/>
      <c r="C11" s="53">
        <v>1561.9774193548387</v>
      </c>
    </row>
    <row r="12" spans="1:7" ht="28.5" customHeight="1" x14ac:dyDescent="0.3">
      <c r="A12" s="54">
        <v>9</v>
      </c>
      <c r="B12" s="52"/>
      <c r="C12" s="53">
        <v>1561.9774193548387</v>
      </c>
    </row>
    <row r="13" spans="1:7" ht="28.5" customHeight="1" x14ac:dyDescent="0.3">
      <c r="A13" s="54">
        <v>10</v>
      </c>
      <c r="B13" s="52"/>
      <c r="C13" s="53">
        <v>1561.9774193548387</v>
      </c>
    </row>
    <row r="14" spans="1:7" ht="28.5" customHeight="1" x14ac:dyDescent="0.3">
      <c r="A14" s="54">
        <v>11</v>
      </c>
      <c r="B14" s="52"/>
      <c r="C14" s="53">
        <v>1561.9774193548387</v>
      </c>
    </row>
    <row r="15" spans="1:7" ht="28.5" customHeight="1" x14ac:dyDescent="0.3">
      <c r="A15" s="54">
        <v>12</v>
      </c>
      <c r="B15" s="52"/>
      <c r="C15" s="53">
        <v>1561.9774193548387</v>
      </c>
    </row>
    <row r="16" spans="1:7" ht="28.5" customHeight="1" x14ac:dyDescent="0.3">
      <c r="A16" s="54">
        <v>13</v>
      </c>
      <c r="B16" s="52"/>
      <c r="C16" s="53">
        <v>1561.9774193548387</v>
      </c>
    </row>
    <row r="17" spans="1:4" ht="28.5" customHeight="1" x14ac:dyDescent="0.3">
      <c r="A17" s="54">
        <v>14</v>
      </c>
      <c r="B17" s="52"/>
      <c r="C17" s="53">
        <v>1561.9774193548387</v>
      </c>
    </row>
    <row r="18" spans="1:4" ht="28.5" customHeight="1" x14ac:dyDescent="0.3">
      <c r="A18" s="54">
        <v>15</v>
      </c>
      <c r="B18" s="52"/>
      <c r="C18" s="53">
        <v>1561.9774193548387</v>
      </c>
    </row>
    <row r="19" spans="1:4" ht="28.5" customHeight="1" x14ac:dyDescent="0.3">
      <c r="A19" s="54">
        <v>16</v>
      </c>
      <c r="B19" s="52"/>
      <c r="C19" s="53">
        <v>1561.9774193548387</v>
      </c>
    </row>
    <row r="20" spans="1:4" ht="28.5" customHeight="1" x14ac:dyDescent="0.3">
      <c r="A20" s="54">
        <v>17</v>
      </c>
      <c r="B20" s="52"/>
      <c r="C20" s="53">
        <v>1561.9774193548387</v>
      </c>
    </row>
    <row r="21" spans="1:4" ht="28.5" customHeight="1" x14ac:dyDescent="0.3">
      <c r="A21" s="54">
        <v>18</v>
      </c>
      <c r="B21" s="52"/>
      <c r="C21" s="53">
        <v>1561.9774193548387</v>
      </c>
    </row>
    <row r="22" spans="1:4" ht="28.5" customHeight="1" x14ac:dyDescent="0.3">
      <c r="A22" s="54">
        <v>19</v>
      </c>
      <c r="B22" s="52"/>
      <c r="C22" s="53">
        <v>1561.9774193548387</v>
      </c>
    </row>
    <row r="23" spans="1:4" ht="28.5" customHeight="1" x14ac:dyDescent="0.3">
      <c r="A23" s="54">
        <v>20</v>
      </c>
      <c r="B23" s="52"/>
      <c r="C23" s="53">
        <v>1561.9774193548387</v>
      </c>
    </row>
    <row r="24" spans="1:4" ht="28.5" customHeight="1" x14ac:dyDescent="0.3">
      <c r="A24" s="54">
        <v>21</v>
      </c>
      <c r="B24" s="52"/>
      <c r="C24" s="53">
        <v>1561.9774193548387</v>
      </c>
    </row>
    <row r="25" spans="1:4" ht="28.5" customHeight="1" x14ac:dyDescent="0.3">
      <c r="A25" s="54">
        <v>22</v>
      </c>
      <c r="B25" s="62"/>
      <c r="C25" s="53">
        <v>1561.9774193548387</v>
      </c>
    </row>
    <row r="26" spans="1:4" ht="28.5" customHeight="1" x14ac:dyDescent="0.3">
      <c r="A26" s="54">
        <v>23</v>
      </c>
      <c r="B26" s="52"/>
      <c r="C26" s="53">
        <v>1561.9774193548387</v>
      </c>
    </row>
    <row r="27" spans="1:4" ht="28.5" customHeight="1" x14ac:dyDescent="0.3">
      <c r="A27" s="54">
        <v>24</v>
      </c>
      <c r="B27" s="52"/>
      <c r="C27" s="53">
        <v>1561.9774193548387</v>
      </c>
    </row>
    <row r="28" spans="1:4" ht="28.5" customHeight="1" x14ac:dyDescent="0.3">
      <c r="A28" s="54">
        <v>25</v>
      </c>
      <c r="B28" s="52"/>
      <c r="C28" s="53">
        <v>1561.9774193548387</v>
      </c>
      <c r="D28" s="56"/>
    </row>
    <row r="29" spans="1:4" ht="28.5" customHeight="1" x14ac:dyDescent="0.3">
      <c r="A29" s="54">
        <v>26</v>
      </c>
      <c r="B29" s="52"/>
      <c r="C29" s="53">
        <v>1561.9774193548387</v>
      </c>
      <c r="D29" s="56"/>
    </row>
    <row r="30" spans="1:4" ht="28.5" customHeight="1" x14ac:dyDescent="0.3">
      <c r="A30" s="54">
        <v>27</v>
      </c>
      <c r="B30" s="52"/>
      <c r="C30" s="53">
        <v>1561.9774193548387</v>
      </c>
    </row>
    <row r="31" spans="1:4" ht="28.5" customHeight="1" x14ac:dyDescent="0.3">
      <c r="A31" s="54">
        <v>28</v>
      </c>
      <c r="B31" s="52"/>
      <c r="C31" s="53">
        <v>1561.9774193548387</v>
      </c>
    </row>
    <row r="32" spans="1:4" ht="28.5" customHeight="1" x14ac:dyDescent="0.3">
      <c r="A32" s="54">
        <v>29</v>
      </c>
      <c r="B32" s="52"/>
      <c r="C32" s="53">
        <v>1561.9774193548387</v>
      </c>
    </row>
    <row r="33" spans="1:3" ht="28.5" customHeight="1" x14ac:dyDescent="0.3">
      <c r="A33" s="54">
        <v>30</v>
      </c>
      <c r="B33" s="52"/>
      <c r="C33" s="53">
        <v>1561.9774193548387</v>
      </c>
    </row>
    <row r="34" spans="1:3" ht="28.5" customHeight="1" x14ac:dyDescent="0.3">
      <c r="A34" s="54">
        <v>31</v>
      </c>
      <c r="B34" s="52"/>
      <c r="C34" s="53">
        <v>1561.9774193548387</v>
      </c>
    </row>
    <row r="35" spans="1:3" x14ac:dyDescent="0.3">
      <c r="A35" s="97" t="s">
        <v>79</v>
      </c>
      <c r="B35" s="97"/>
      <c r="C35" s="63">
        <f>SUM(C4:C34)</f>
        <v>48421.299999999988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5" zoomScaleNormal="100" workbookViewId="0">
      <selection activeCell="D33" sqref="D33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6" t="s">
        <v>87</v>
      </c>
      <c r="B1" s="96"/>
      <c r="C1" s="96"/>
    </row>
    <row r="2" spans="1:3" ht="24.9" customHeight="1" x14ac:dyDescent="0.3">
      <c r="A2" s="59" t="s">
        <v>80</v>
      </c>
      <c r="B2" s="59" t="s">
        <v>81</v>
      </c>
      <c r="C2" s="59" t="s">
        <v>82</v>
      </c>
    </row>
    <row r="3" spans="1:3" ht="24.9" customHeight="1" x14ac:dyDescent="0.3">
      <c r="A3" s="60">
        <v>44013</v>
      </c>
      <c r="B3" s="64">
        <v>379</v>
      </c>
      <c r="C3" s="64">
        <v>483</v>
      </c>
    </row>
    <row r="4" spans="1:3" ht="24.9" customHeight="1" x14ac:dyDescent="0.3">
      <c r="A4" s="60">
        <v>44014</v>
      </c>
      <c r="B4" s="64">
        <v>377</v>
      </c>
      <c r="C4" s="64">
        <v>481</v>
      </c>
    </row>
    <row r="5" spans="1:3" ht="24.9" customHeight="1" x14ac:dyDescent="0.3">
      <c r="A5" s="60">
        <v>44015</v>
      </c>
      <c r="B5" s="64">
        <v>389</v>
      </c>
      <c r="C5" s="64">
        <v>499</v>
      </c>
    </row>
    <row r="6" spans="1:3" ht="24.9" customHeight="1" x14ac:dyDescent="0.3">
      <c r="A6" s="60">
        <v>44016</v>
      </c>
      <c r="B6" s="64">
        <v>392</v>
      </c>
      <c r="C6" s="64">
        <v>501</v>
      </c>
    </row>
    <row r="7" spans="1:3" ht="24.9" customHeight="1" x14ac:dyDescent="0.3">
      <c r="A7" s="60">
        <v>44017</v>
      </c>
      <c r="B7" s="64">
        <v>428</v>
      </c>
      <c r="C7" s="64">
        <v>543</v>
      </c>
    </row>
    <row r="8" spans="1:3" ht="24.9" customHeight="1" x14ac:dyDescent="0.3">
      <c r="A8" s="60">
        <v>44018</v>
      </c>
      <c r="B8" s="64">
        <v>448</v>
      </c>
      <c r="C8" s="64">
        <v>557</v>
      </c>
    </row>
    <row r="9" spans="1:3" ht="24.9" customHeight="1" x14ac:dyDescent="0.3">
      <c r="A9" s="60">
        <v>44019</v>
      </c>
      <c r="B9" s="64">
        <v>444</v>
      </c>
      <c r="C9" s="64">
        <v>547</v>
      </c>
    </row>
    <row r="10" spans="1:3" ht="24.9" customHeight="1" x14ac:dyDescent="0.3">
      <c r="A10" s="60">
        <v>44020</v>
      </c>
      <c r="B10" s="64">
        <v>424</v>
      </c>
      <c r="C10" s="64">
        <v>518</v>
      </c>
    </row>
    <row r="11" spans="1:3" ht="24.9" customHeight="1" x14ac:dyDescent="0.3">
      <c r="A11" s="60">
        <v>44021</v>
      </c>
      <c r="B11" s="64">
        <v>387</v>
      </c>
      <c r="C11" s="64">
        <v>477</v>
      </c>
    </row>
    <row r="12" spans="1:3" ht="24.9" customHeight="1" x14ac:dyDescent="0.3">
      <c r="A12" s="60">
        <v>44022</v>
      </c>
      <c r="B12" s="64">
        <v>388</v>
      </c>
      <c r="C12" s="64">
        <v>471</v>
      </c>
    </row>
    <row r="13" spans="1:3" ht="24.9" customHeight="1" x14ac:dyDescent="0.3">
      <c r="A13" s="60">
        <v>44023</v>
      </c>
      <c r="B13" s="64">
        <v>393</v>
      </c>
      <c r="C13" s="64">
        <v>470</v>
      </c>
    </row>
    <row r="14" spans="1:3" ht="24.9" customHeight="1" x14ac:dyDescent="0.3">
      <c r="A14" s="60">
        <v>44024</v>
      </c>
      <c r="B14" s="64">
        <v>378</v>
      </c>
      <c r="C14" s="64">
        <v>451</v>
      </c>
    </row>
    <row r="15" spans="1:3" ht="24.9" customHeight="1" x14ac:dyDescent="0.3">
      <c r="A15" s="60">
        <v>44025</v>
      </c>
      <c r="B15" s="64">
        <v>326</v>
      </c>
      <c r="C15" s="64">
        <v>395</v>
      </c>
    </row>
    <row r="16" spans="1:3" ht="24.9" customHeight="1" x14ac:dyDescent="0.3">
      <c r="A16" s="60">
        <v>44026</v>
      </c>
      <c r="B16" s="64">
        <v>283</v>
      </c>
      <c r="C16" s="64">
        <v>345</v>
      </c>
    </row>
    <row r="17" spans="1:3" ht="24.9" customHeight="1" x14ac:dyDescent="0.3">
      <c r="A17" s="60">
        <v>44027</v>
      </c>
      <c r="B17" s="64">
        <v>256</v>
      </c>
      <c r="C17" s="64">
        <v>316</v>
      </c>
    </row>
    <row r="18" spans="1:3" ht="24.9" customHeight="1" x14ac:dyDescent="0.3">
      <c r="A18" s="60">
        <v>44028</v>
      </c>
      <c r="B18" s="64">
        <v>272</v>
      </c>
      <c r="C18" s="64">
        <v>335</v>
      </c>
    </row>
    <row r="19" spans="1:3" ht="24.9" customHeight="1" x14ac:dyDescent="0.3">
      <c r="A19" s="60">
        <v>44029</v>
      </c>
      <c r="B19" s="64">
        <v>265</v>
      </c>
      <c r="C19" s="64">
        <v>337</v>
      </c>
    </row>
    <row r="20" spans="1:3" ht="24.9" customHeight="1" x14ac:dyDescent="0.3">
      <c r="A20" s="60">
        <v>44030</v>
      </c>
      <c r="B20" s="64">
        <v>258</v>
      </c>
      <c r="C20" s="64">
        <v>328</v>
      </c>
    </row>
    <row r="21" spans="1:3" ht="24.9" customHeight="1" x14ac:dyDescent="0.3">
      <c r="A21" s="60">
        <v>44031</v>
      </c>
      <c r="B21" s="64">
        <v>282</v>
      </c>
      <c r="C21" s="64">
        <v>353</v>
      </c>
    </row>
    <row r="22" spans="1:3" ht="24.9" customHeight="1" x14ac:dyDescent="0.3">
      <c r="A22" s="60">
        <v>44032</v>
      </c>
      <c r="B22" s="64">
        <v>290</v>
      </c>
      <c r="C22" s="64">
        <v>368</v>
      </c>
    </row>
    <row r="23" spans="1:3" ht="24.9" customHeight="1" x14ac:dyDescent="0.3">
      <c r="A23" s="60">
        <v>44033</v>
      </c>
      <c r="B23" s="64">
        <v>278</v>
      </c>
      <c r="C23" s="64">
        <v>360</v>
      </c>
    </row>
    <row r="24" spans="1:3" ht="24.9" customHeight="1" x14ac:dyDescent="0.3">
      <c r="A24" s="60">
        <v>44034</v>
      </c>
      <c r="B24" s="64">
        <v>274</v>
      </c>
      <c r="C24" s="64">
        <v>350</v>
      </c>
    </row>
    <row r="25" spans="1:3" ht="24.9" customHeight="1" x14ac:dyDescent="0.3">
      <c r="A25" s="60">
        <v>44035</v>
      </c>
      <c r="B25" s="64">
        <v>236</v>
      </c>
      <c r="C25" s="64">
        <v>304</v>
      </c>
    </row>
    <row r="26" spans="1:3" ht="24.9" customHeight="1" x14ac:dyDescent="0.3">
      <c r="A26" s="60">
        <v>44036</v>
      </c>
      <c r="B26" s="64">
        <v>239</v>
      </c>
      <c r="C26" s="64">
        <v>313</v>
      </c>
    </row>
    <row r="27" spans="1:3" ht="24.9" customHeight="1" x14ac:dyDescent="0.3">
      <c r="A27" s="60">
        <v>44037</v>
      </c>
      <c r="B27" s="64">
        <v>229</v>
      </c>
      <c r="C27" s="64">
        <v>284</v>
      </c>
    </row>
    <row r="28" spans="1:3" ht="24.9" customHeight="1" x14ac:dyDescent="0.3">
      <c r="A28" s="60">
        <v>44038</v>
      </c>
      <c r="B28" s="64">
        <v>248</v>
      </c>
      <c r="C28" s="64">
        <v>307</v>
      </c>
    </row>
    <row r="29" spans="1:3" ht="24.9" customHeight="1" x14ac:dyDescent="0.3">
      <c r="A29" s="60">
        <v>44039</v>
      </c>
      <c r="B29" s="64">
        <v>259</v>
      </c>
      <c r="C29" s="64">
        <v>325</v>
      </c>
    </row>
    <row r="30" spans="1:3" ht="24.9" customHeight="1" x14ac:dyDescent="0.3">
      <c r="A30" s="60">
        <v>44040</v>
      </c>
      <c r="B30" s="64">
        <v>256</v>
      </c>
      <c r="C30" s="64">
        <v>311</v>
      </c>
    </row>
    <row r="31" spans="1:3" ht="24.9" customHeight="1" x14ac:dyDescent="0.3">
      <c r="A31" s="60">
        <v>44041</v>
      </c>
      <c r="B31" s="64">
        <v>195</v>
      </c>
      <c r="C31" s="64">
        <v>247</v>
      </c>
    </row>
    <row r="32" spans="1:3" ht="24.9" customHeight="1" x14ac:dyDescent="0.3">
      <c r="A32" s="60">
        <v>44042</v>
      </c>
      <c r="B32" s="64">
        <v>183</v>
      </c>
      <c r="C32" s="64">
        <v>241</v>
      </c>
    </row>
    <row r="33" spans="1:3" ht="24.9" customHeight="1" x14ac:dyDescent="0.3">
      <c r="A33" s="60">
        <v>44043</v>
      </c>
      <c r="B33" s="64">
        <v>223</v>
      </c>
      <c r="C33" s="64">
        <v>339</v>
      </c>
    </row>
    <row r="34" spans="1:3" ht="30.75" customHeight="1" x14ac:dyDescent="0.3">
      <c r="A34" s="59" t="s">
        <v>83</v>
      </c>
      <c r="B34" s="61">
        <f>SUM(B3:B33)</f>
        <v>9679</v>
      </c>
      <c r="C34" s="61">
        <f>SUM(C3:C33)</f>
        <v>12156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2025-03-20T18:49:55Z</dcterms:modified>
  <cp:category/>
  <cp:contentStatus/>
</cp:coreProperties>
</file>