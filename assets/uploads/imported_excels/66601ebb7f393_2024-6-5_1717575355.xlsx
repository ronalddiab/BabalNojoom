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rjbr-srv-nas\General Pool\Utility Check\Daily Utility Cost Sheet 2024\"/>
    </mc:Choice>
  </mc:AlternateContent>
  <xr:revisionPtr revIDLastSave="0" documentId="13_ncr:1_{AC421ED7-4D23-47FE-B03E-F8767D2B2BE6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TOTAL" sheetId="1094" r:id="rId1"/>
    <sheet name="MTD Utility Sheet" sheetId="133" r:id="rId2"/>
    <sheet name="May 31" sheetId="1170" r:id="rId3"/>
    <sheet name="May 30" sheetId="1169" r:id="rId4"/>
    <sheet name="May 29" sheetId="1168" r:id="rId5"/>
    <sheet name="May 28" sheetId="1167" r:id="rId6"/>
    <sheet name="May 27" sheetId="1166" r:id="rId7"/>
    <sheet name="May 26" sheetId="1165" r:id="rId8"/>
    <sheet name="May 25" sheetId="1164" r:id="rId9"/>
    <sheet name="May 24" sheetId="1163" r:id="rId10"/>
    <sheet name="May 23" sheetId="1162" r:id="rId11"/>
    <sheet name="May 22" sheetId="1161" r:id="rId12"/>
    <sheet name="May 21" sheetId="1160" r:id="rId13"/>
    <sheet name="May 20" sheetId="1159" r:id="rId14"/>
    <sheet name="May 19" sheetId="1158" r:id="rId15"/>
    <sheet name="May 18" sheetId="1157" r:id="rId16"/>
    <sheet name="May 17" sheetId="1156" r:id="rId17"/>
    <sheet name="May 16" sheetId="1155" r:id="rId18"/>
    <sheet name="May 15" sheetId="1154" r:id="rId19"/>
    <sheet name="May 14" sheetId="1152" r:id="rId20"/>
    <sheet name="May 13" sheetId="1151" r:id="rId21"/>
    <sheet name="May 12" sheetId="1150" r:id="rId22"/>
    <sheet name="May 11" sheetId="1149" r:id="rId23"/>
    <sheet name="May 10" sheetId="1148" r:id="rId24"/>
    <sheet name="May 9" sheetId="1147" r:id="rId25"/>
    <sheet name="May 8" sheetId="1143" r:id="rId26"/>
    <sheet name="May 7" sheetId="1142" r:id="rId27"/>
    <sheet name="May 6" sheetId="1141" r:id="rId28"/>
    <sheet name="May 5" sheetId="1140" r:id="rId29"/>
    <sheet name="May 4" sheetId="1139" r:id="rId30"/>
    <sheet name="May 3" sheetId="1138" r:id="rId31"/>
    <sheet name="May 2" sheetId="1137" r:id="rId32"/>
    <sheet name="May 1" sheetId="1134" r:id="rId33"/>
  </sheets>
  <definedNames>
    <definedName name="_xlnm._FilterDatabase" localSheetId="1" hidden="1">'MTD Utility Sheet'!$A$1:$J$35</definedName>
    <definedName name="_xlnm.Print_Area" localSheetId="32">'May 1'!$A$1:$H$36</definedName>
    <definedName name="_xlnm.Print_Area" localSheetId="23">'May 10'!$A$1:$H$36</definedName>
    <definedName name="_xlnm.Print_Area" localSheetId="22">'May 11'!$A$1:$H$36</definedName>
    <definedName name="_xlnm.Print_Area" localSheetId="21">'May 12'!$A$1:$H$36</definedName>
    <definedName name="_xlnm.Print_Area" localSheetId="20">'May 13'!$A$1:$H$36</definedName>
    <definedName name="_xlnm.Print_Area" localSheetId="19">'May 14'!$A$1:$H$36</definedName>
    <definedName name="_xlnm.Print_Area" localSheetId="18">'May 15'!$A$1:$H$36</definedName>
    <definedName name="_xlnm.Print_Area" localSheetId="17">'May 16'!$A$1:$H$36</definedName>
    <definedName name="_xlnm.Print_Area" localSheetId="16">'May 17'!$A$1:$H$36</definedName>
    <definedName name="_xlnm.Print_Area" localSheetId="15">'May 18'!$A$1:$H$36</definedName>
    <definedName name="_xlnm.Print_Area" localSheetId="14">'May 19'!$A$1:$H$36</definedName>
    <definedName name="_xlnm.Print_Area" localSheetId="31">'May 2'!$A$1:$H$36</definedName>
    <definedName name="_xlnm.Print_Area" localSheetId="13">'May 20'!$A$1:$H$36</definedName>
    <definedName name="_xlnm.Print_Area" localSheetId="12">'May 21'!$A$1:$H$36</definedName>
    <definedName name="_xlnm.Print_Area" localSheetId="11">'May 22'!$A$1:$H$36</definedName>
    <definedName name="_xlnm.Print_Area" localSheetId="10">'May 23'!$A$1:$H$36</definedName>
    <definedName name="_xlnm.Print_Area" localSheetId="9">'May 24'!$A$1:$H$36</definedName>
    <definedName name="_xlnm.Print_Area" localSheetId="8">'May 25'!$A$1:$H$36</definedName>
    <definedName name="_xlnm.Print_Area" localSheetId="7">'May 26'!$A$1:$H$36</definedName>
    <definedName name="_xlnm.Print_Area" localSheetId="6">'May 27'!$A$1:$H$36</definedName>
    <definedName name="_xlnm.Print_Area" localSheetId="5">'May 28'!$A$1:$H$36</definedName>
    <definedName name="_xlnm.Print_Area" localSheetId="4">'May 29'!$A$1:$H$36</definedName>
    <definedName name="_xlnm.Print_Area" localSheetId="30">'May 3'!$A$1:$H$36</definedName>
    <definedName name="_xlnm.Print_Area" localSheetId="3">'May 30'!$A$1:$H$36</definedName>
    <definedName name="_xlnm.Print_Area" localSheetId="2">'May 31'!$A$1:$H$36</definedName>
    <definedName name="_xlnm.Print_Area" localSheetId="29">'May 4'!$A$1:$H$36</definedName>
    <definedName name="_xlnm.Print_Area" localSheetId="28">'May 5'!$A$1:$H$36</definedName>
    <definedName name="_xlnm.Print_Area" localSheetId="27">'May 6'!$A$1:$H$36</definedName>
    <definedName name="_xlnm.Print_Area" localSheetId="26">'May 7'!$A$1:$H$36</definedName>
    <definedName name="_xlnm.Print_Area" localSheetId="25">'May 8'!$A$1:$H$36</definedName>
    <definedName name="_xlnm.Print_Area" localSheetId="24">'May 9'!$A$1:$H$36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70" l="1"/>
  <c r="H33" i="1170"/>
  <c r="F24" i="1170"/>
  <c r="H24" i="1170" s="1"/>
  <c r="H13" i="1170"/>
  <c r="H12" i="1170"/>
  <c r="H11" i="1170"/>
  <c r="F4" i="1170"/>
  <c r="H4" i="1170" s="1"/>
  <c r="D7" i="1170" s="1"/>
  <c r="H35" i="1170" l="1"/>
  <c r="H14" i="1170"/>
  <c r="H15" i="1170" s="1"/>
  <c r="D20" i="1170" s="1"/>
  <c r="D29" i="1170"/>
  <c r="D28" i="1170"/>
  <c r="D30" i="1170"/>
  <c r="D6" i="1170"/>
  <c r="D9" i="1170" s="1"/>
  <c r="H34" i="1169"/>
  <c r="H33" i="1169"/>
  <c r="F24" i="1169"/>
  <c r="H24" i="1169" s="1"/>
  <c r="H13" i="1169"/>
  <c r="H12" i="1169"/>
  <c r="H11" i="1169"/>
  <c r="F4" i="1169"/>
  <c r="H4" i="1169" s="1"/>
  <c r="D21" i="1170" l="1"/>
  <c r="D22" i="1170" s="1"/>
  <c r="D31" i="1170"/>
  <c r="H35" i="1169"/>
  <c r="D30" i="1169"/>
  <c r="D28" i="1169"/>
  <c r="H14" i="1169"/>
  <c r="H15" i="1169" s="1"/>
  <c r="D21" i="1169" s="1"/>
  <c r="D6" i="1169"/>
  <c r="D7" i="1169"/>
  <c r="D29" i="1169"/>
  <c r="H34" i="1168"/>
  <c r="H33" i="1168"/>
  <c r="F24" i="1168"/>
  <c r="H24" i="1168" s="1"/>
  <c r="H13" i="1168"/>
  <c r="H12" i="1168"/>
  <c r="H11" i="1168"/>
  <c r="F4" i="1168"/>
  <c r="H4" i="1168" s="1"/>
  <c r="H35" i="1168" l="1"/>
  <c r="H36" i="1170"/>
  <c r="D31" i="1169"/>
  <c r="D20" i="1169"/>
  <c r="D22" i="1169" s="1"/>
  <c r="D9" i="1169"/>
  <c r="D30" i="1168"/>
  <c r="D28" i="1168"/>
  <c r="H14" i="1168"/>
  <c r="H15" i="1168" s="1"/>
  <c r="D20" i="1168" s="1"/>
  <c r="D6" i="1168"/>
  <c r="D7" i="1168"/>
  <c r="D29" i="1168"/>
  <c r="H34" i="1167"/>
  <c r="H35" i="1167" s="1"/>
  <c r="H33" i="1167"/>
  <c r="F24" i="1167"/>
  <c r="H24" i="1167" s="1"/>
  <c r="D30" i="1167" s="1"/>
  <c r="H13" i="1167"/>
  <c r="H12" i="1167"/>
  <c r="H11" i="1167"/>
  <c r="F4" i="1167"/>
  <c r="H4" i="1167" s="1"/>
  <c r="H36" i="1169" l="1"/>
  <c r="D31" i="1168"/>
  <c r="D21" i="1168"/>
  <c r="D22" i="1168" s="1"/>
  <c r="D9" i="1168"/>
  <c r="H14" i="1167"/>
  <c r="H15" i="1167" s="1"/>
  <c r="D21" i="1167" s="1"/>
  <c r="D7" i="1167"/>
  <c r="D6" i="1167"/>
  <c r="D28" i="1167"/>
  <c r="D29" i="1167"/>
  <c r="H34" i="1166"/>
  <c r="H33" i="1166"/>
  <c r="F24" i="1166"/>
  <c r="H24" i="1166" s="1"/>
  <c r="H13" i="1166"/>
  <c r="H12" i="1166"/>
  <c r="H11" i="1166"/>
  <c r="F4" i="1166"/>
  <c r="H4" i="1166" s="1"/>
  <c r="H35" i="1166" l="1"/>
  <c r="H36" i="1168"/>
  <c r="D20" i="1167"/>
  <c r="D22" i="1167" s="1"/>
  <c r="D31" i="1167"/>
  <c r="D9" i="1167"/>
  <c r="D30" i="1166"/>
  <c r="D28" i="1166"/>
  <c r="H14" i="1166"/>
  <c r="H15" i="1166" s="1"/>
  <c r="D20" i="1166" s="1"/>
  <c r="D6" i="1166"/>
  <c r="D7" i="1166"/>
  <c r="D29" i="1166"/>
  <c r="H34" i="1165"/>
  <c r="H33" i="1165"/>
  <c r="H35" i="1165" s="1"/>
  <c r="F24" i="1165"/>
  <c r="H24" i="1165" s="1"/>
  <c r="D30" i="1165" s="1"/>
  <c r="H13" i="1165"/>
  <c r="H12" i="1165"/>
  <c r="H11" i="1165"/>
  <c r="F4" i="1165"/>
  <c r="H4" i="1165" s="1"/>
  <c r="H36" i="1167" l="1"/>
  <c r="D31" i="1166"/>
  <c r="D21" i="1166"/>
  <c r="D22" i="1166" s="1"/>
  <c r="H36" i="1166" s="1"/>
  <c r="D9" i="1166"/>
  <c r="H14" i="1165"/>
  <c r="H15" i="1165" s="1"/>
  <c r="D20" i="1165" s="1"/>
  <c r="D6" i="1165"/>
  <c r="D7" i="1165"/>
  <c r="D28" i="1165"/>
  <c r="D29" i="1165"/>
  <c r="H34" i="1164"/>
  <c r="H33" i="1164"/>
  <c r="F24" i="1164"/>
  <c r="H24" i="1164" s="1"/>
  <c r="H13" i="1164"/>
  <c r="H12" i="1164"/>
  <c r="H11" i="1164"/>
  <c r="F4" i="1164"/>
  <c r="H4" i="1164" s="1"/>
  <c r="H35" i="1164" l="1"/>
  <c r="D31" i="1165"/>
  <c r="D21" i="1165"/>
  <c r="D22" i="1165" s="1"/>
  <c r="D9" i="1165"/>
  <c r="H14" i="1164"/>
  <c r="H15" i="1164" s="1"/>
  <c r="D21" i="1164" s="1"/>
  <c r="D28" i="1164"/>
  <c r="D30" i="1164"/>
  <c r="D29" i="1164"/>
  <c r="D7" i="1164"/>
  <c r="D6" i="1164"/>
  <c r="H34" i="1163"/>
  <c r="H33" i="1163"/>
  <c r="F24" i="1163"/>
  <c r="H24" i="1163" s="1"/>
  <c r="D30" i="1163" s="1"/>
  <c r="H13" i="1163"/>
  <c r="H12" i="1163"/>
  <c r="H11" i="1163"/>
  <c r="F4" i="1163"/>
  <c r="H4" i="1163" s="1"/>
  <c r="H36" i="1165" l="1"/>
  <c r="D9" i="1164"/>
  <c r="D20" i="1164"/>
  <c r="D22" i="1164" s="1"/>
  <c r="D31" i="1164"/>
  <c r="H35" i="1163"/>
  <c r="H14" i="1163"/>
  <c r="H15" i="1163" s="1"/>
  <c r="D20" i="1163" s="1"/>
  <c r="D7" i="1163"/>
  <c r="D6" i="1163"/>
  <c r="D28" i="1163"/>
  <c r="D29" i="1163"/>
  <c r="H34" i="1162"/>
  <c r="H33" i="1162"/>
  <c r="F24" i="1162"/>
  <c r="H24" i="1162" s="1"/>
  <c r="D30" i="1162" s="1"/>
  <c r="H13" i="1162"/>
  <c r="H12" i="1162"/>
  <c r="H11" i="1162"/>
  <c r="F4" i="1162"/>
  <c r="H4" i="1162" s="1"/>
  <c r="H36" i="1164" l="1"/>
  <c r="D21" i="1163"/>
  <c r="D22" i="1163" s="1"/>
  <c r="D31" i="1163"/>
  <c r="D9" i="1163"/>
  <c r="H35" i="1162"/>
  <c r="H14" i="1162"/>
  <c r="H15" i="1162" s="1"/>
  <c r="D20" i="1162" s="1"/>
  <c r="D6" i="1162"/>
  <c r="D7" i="1162"/>
  <c r="D28" i="1162"/>
  <c r="D29" i="1162"/>
  <c r="H34" i="1161"/>
  <c r="H33" i="1161"/>
  <c r="F24" i="1161"/>
  <c r="H24" i="1161" s="1"/>
  <c r="H13" i="1161"/>
  <c r="H12" i="1161"/>
  <c r="H11" i="1161"/>
  <c r="F4" i="1161"/>
  <c r="H4" i="1161" s="1"/>
  <c r="H36" i="1163" l="1"/>
  <c r="D21" i="1162"/>
  <c r="D22" i="1162"/>
  <c r="D31" i="1162"/>
  <c r="D9" i="1162"/>
  <c r="H14" i="1161"/>
  <c r="H15" i="1161" s="1"/>
  <c r="D20" i="1161" s="1"/>
  <c r="H35" i="1161"/>
  <c r="D6" i="1161"/>
  <c r="D7" i="1161"/>
  <c r="D30" i="1161"/>
  <c r="D29" i="1161"/>
  <c r="D28" i="1161"/>
  <c r="H34" i="1160"/>
  <c r="H35" i="1160" s="1"/>
  <c r="H33" i="1160"/>
  <c r="F24" i="1160"/>
  <c r="H24" i="1160" s="1"/>
  <c r="H13" i="1160"/>
  <c r="H12" i="1160"/>
  <c r="H11" i="1160"/>
  <c r="F4" i="1160"/>
  <c r="H4" i="1160" s="1"/>
  <c r="H36" i="1162" l="1"/>
  <c r="D21" i="1161"/>
  <c r="D22" i="1161" s="1"/>
  <c r="D31" i="1161"/>
  <c r="D9" i="1161"/>
  <c r="H14" i="1160"/>
  <c r="H15" i="1160" s="1"/>
  <c r="D21" i="1160" s="1"/>
  <c r="D7" i="1160"/>
  <c r="D6" i="1160"/>
  <c r="D28" i="1160"/>
  <c r="D30" i="1160"/>
  <c r="D29" i="1160"/>
  <c r="H34" i="1159"/>
  <c r="H33" i="1159"/>
  <c r="F24" i="1159"/>
  <c r="H24" i="1159" s="1"/>
  <c r="H13" i="1159"/>
  <c r="H12" i="1159"/>
  <c r="H11" i="1159"/>
  <c r="F4" i="1159"/>
  <c r="H4" i="1159" s="1"/>
  <c r="D7" i="1159" s="1"/>
  <c r="H35" i="1159" l="1"/>
  <c r="H36" i="1161"/>
  <c r="D20" i="1160"/>
  <c r="D22" i="1160"/>
  <c r="D9" i="1160"/>
  <c r="D31" i="1160"/>
  <c r="H14" i="1159"/>
  <c r="H15" i="1159" s="1"/>
  <c r="D21" i="1159" s="1"/>
  <c r="D30" i="1159"/>
  <c r="D29" i="1159"/>
  <c r="D28" i="1159"/>
  <c r="D6" i="1159"/>
  <c r="D9" i="1159" s="1"/>
  <c r="H34" i="1158"/>
  <c r="H33" i="1158"/>
  <c r="F24" i="1158"/>
  <c r="H24" i="1158" s="1"/>
  <c r="D30" i="1158" s="1"/>
  <c r="H13" i="1158"/>
  <c r="H12" i="1158"/>
  <c r="H11" i="1158"/>
  <c r="F4" i="1158"/>
  <c r="H4" i="1158" s="1"/>
  <c r="D20" i="1159" l="1"/>
  <c r="D22" i="1159" s="1"/>
  <c r="H35" i="1158"/>
  <c r="H36" i="1160"/>
  <c r="D31" i="1159"/>
  <c r="H14" i="1158"/>
  <c r="H15" i="1158" s="1"/>
  <c r="D21" i="1158" s="1"/>
  <c r="D7" i="1158"/>
  <c r="D6" i="1158"/>
  <c r="D29" i="1158"/>
  <c r="D28" i="1158"/>
  <c r="H34" i="1157"/>
  <c r="H33" i="1157"/>
  <c r="F24" i="1157"/>
  <c r="H24" i="1157" s="1"/>
  <c r="H13" i="1157"/>
  <c r="H12" i="1157"/>
  <c r="H11" i="1157"/>
  <c r="F4" i="1157"/>
  <c r="H4" i="1157" s="1"/>
  <c r="H36" i="1159" l="1"/>
  <c r="H35" i="1157"/>
  <c r="D20" i="1158"/>
  <c r="D22" i="1158"/>
  <c r="D31" i="1158"/>
  <c r="D9" i="1158"/>
  <c r="H14" i="1157"/>
  <c r="H15" i="1157" s="1"/>
  <c r="D21" i="1157" s="1"/>
  <c r="D7" i="1157"/>
  <c r="D6" i="1157"/>
  <c r="D28" i="1157"/>
  <c r="D30" i="1157"/>
  <c r="D29" i="1157"/>
  <c r="H34" i="1156"/>
  <c r="H33" i="1156"/>
  <c r="F24" i="1156"/>
  <c r="H24" i="1156" s="1"/>
  <c r="D30" i="1156" s="1"/>
  <c r="H13" i="1156"/>
  <c r="H12" i="1156"/>
  <c r="H11" i="1156"/>
  <c r="H14" i="1156" s="1"/>
  <c r="H15" i="1156" s="1"/>
  <c r="F4" i="1156"/>
  <c r="H4" i="1156" s="1"/>
  <c r="D20" i="1157" l="1"/>
  <c r="D22" i="1157" s="1"/>
  <c r="H36" i="1158"/>
  <c r="D31" i="1157"/>
  <c r="D9" i="1157"/>
  <c r="H35" i="1156"/>
  <c r="D6" i="1156"/>
  <c r="D7" i="1156"/>
  <c r="D20" i="1156"/>
  <c r="D21" i="1156"/>
  <c r="D28" i="1156"/>
  <c r="D29" i="1156"/>
  <c r="H34" i="1155"/>
  <c r="H33" i="1155"/>
  <c r="H35" i="1155" s="1"/>
  <c r="F24" i="1155"/>
  <c r="H24" i="1155" s="1"/>
  <c r="H13" i="1155"/>
  <c r="H12" i="1155"/>
  <c r="H11" i="1155"/>
  <c r="H14" i="1155" s="1"/>
  <c r="H15" i="1155" s="1"/>
  <c r="F4" i="1155"/>
  <c r="H4" i="1155" s="1"/>
  <c r="D7" i="1155" s="1"/>
  <c r="H36" i="1157" l="1"/>
  <c r="D31" i="1156"/>
  <c r="D9" i="1156"/>
  <c r="D22" i="1156"/>
  <c r="D29" i="1155"/>
  <c r="D28" i="1155"/>
  <c r="D30" i="1155"/>
  <c r="D21" i="1155"/>
  <c r="D20" i="1155"/>
  <c r="D6" i="1155"/>
  <c r="D9" i="1155" s="1"/>
  <c r="H34" i="1154"/>
  <c r="H33" i="1154"/>
  <c r="F24" i="1154"/>
  <c r="H24" i="1154" s="1"/>
  <c r="D30" i="1154" s="1"/>
  <c r="H13" i="1154"/>
  <c r="H12" i="1154"/>
  <c r="H11" i="1154"/>
  <c r="F4" i="1154"/>
  <c r="H4" i="1154" s="1"/>
  <c r="H35" i="1152"/>
  <c r="H34" i="1152"/>
  <c r="H33" i="1152"/>
  <c r="F24" i="1152"/>
  <c r="H24" i="1152" s="1"/>
  <c r="H13" i="1152"/>
  <c r="H12" i="1152"/>
  <c r="H11" i="1152"/>
  <c r="F4" i="1152"/>
  <c r="H4" i="1152" s="1"/>
  <c r="D7" i="1152" s="1"/>
  <c r="H36" i="1156" l="1"/>
  <c r="D22" i="1155"/>
  <c r="D31" i="1155"/>
  <c r="H35" i="1154"/>
  <c r="H14" i="1154"/>
  <c r="H15" i="1154" s="1"/>
  <c r="D21" i="1154" s="1"/>
  <c r="D7" i="1154"/>
  <c r="D6" i="1154"/>
  <c r="D29" i="1154"/>
  <c r="D28" i="1154"/>
  <c r="H14" i="1152"/>
  <c r="H15" i="1152" s="1"/>
  <c r="D20" i="1152" s="1"/>
  <c r="D29" i="1152"/>
  <c r="D28" i="1152"/>
  <c r="D30" i="1152"/>
  <c r="D6" i="1152"/>
  <c r="D9" i="1152" s="1"/>
  <c r="H34" i="1151"/>
  <c r="H33" i="1151"/>
  <c r="F24" i="1151"/>
  <c r="H24" i="1151" s="1"/>
  <c r="D30" i="1151" s="1"/>
  <c r="H13" i="1151"/>
  <c r="H12" i="1151"/>
  <c r="H11" i="1151"/>
  <c r="F4" i="1151"/>
  <c r="H4" i="1151" s="1"/>
  <c r="D21" i="1152" l="1"/>
  <c r="D9" i="1154"/>
  <c r="H36" i="1155"/>
  <c r="D31" i="1154"/>
  <c r="D20" i="1154"/>
  <c r="D22" i="1154" s="1"/>
  <c r="H36" i="1154" s="1"/>
  <c r="D22" i="1152"/>
  <c r="D31" i="1152"/>
  <c r="H35" i="1151"/>
  <c r="H14" i="1151"/>
  <c r="H15" i="1151" s="1"/>
  <c r="D20" i="1151" s="1"/>
  <c r="D21" i="1151"/>
  <c r="D7" i="1151"/>
  <c r="D6" i="1151"/>
  <c r="D9" i="1151" s="1"/>
  <c r="D28" i="1151"/>
  <c r="D29" i="1151"/>
  <c r="H34" i="1150"/>
  <c r="H33" i="1150"/>
  <c r="F24" i="1150"/>
  <c r="H24" i="1150" s="1"/>
  <c r="D30" i="1150" s="1"/>
  <c r="H13" i="1150"/>
  <c r="H12" i="1150"/>
  <c r="H11" i="1150"/>
  <c r="F4" i="1150"/>
  <c r="H4" i="1150" s="1"/>
  <c r="H36" i="1152" l="1"/>
  <c r="D22" i="1151"/>
  <c r="D31" i="1151"/>
  <c r="H36" i="1151" s="1"/>
  <c r="H35" i="1150"/>
  <c r="H14" i="1150"/>
  <c r="H15" i="1150" s="1"/>
  <c r="D21" i="1150" s="1"/>
  <c r="D7" i="1150"/>
  <c r="D6" i="1150"/>
  <c r="D28" i="1150"/>
  <c r="D29" i="1150"/>
  <c r="H34" i="1149"/>
  <c r="H33" i="1149"/>
  <c r="F24" i="1149"/>
  <c r="H24" i="1149" s="1"/>
  <c r="H13" i="1149"/>
  <c r="H12" i="1149"/>
  <c r="H11" i="1149"/>
  <c r="F4" i="1149"/>
  <c r="H4" i="1149" s="1"/>
  <c r="D6" i="1149" s="1"/>
  <c r="D9" i="1150" l="1"/>
  <c r="H35" i="1149"/>
  <c r="D20" i="1150"/>
  <c r="D22" i="1150" s="1"/>
  <c r="D31" i="1150"/>
  <c r="H14" i="1149"/>
  <c r="H15" i="1149" s="1"/>
  <c r="D20" i="1149" s="1"/>
  <c r="D30" i="1149"/>
  <c r="D29" i="1149"/>
  <c r="D28" i="1149"/>
  <c r="D7" i="1149"/>
  <c r="D9" i="1149" s="1"/>
  <c r="H34" i="1148"/>
  <c r="H33" i="1148"/>
  <c r="F24" i="1148"/>
  <c r="H24" i="1148" s="1"/>
  <c r="H13" i="1148"/>
  <c r="H12" i="1148"/>
  <c r="H11" i="1148"/>
  <c r="H14" i="1148" s="1"/>
  <c r="H15" i="1148" s="1"/>
  <c r="F4" i="1148"/>
  <c r="H4" i="1148" s="1"/>
  <c r="D7" i="1148" s="1"/>
  <c r="D21" i="1149" l="1"/>
  <c r="H36" i="1150"/>
  <c r="D31" i="1149"/>
  <c r="D22" i="1149"/>
  <c r="H35" i="1148"/>
  <c r="D30" i="1148"/>
  <c r="D29" i="1148"/>
  <c r="D28" i="1148"/>
  <c r="D21" i="1148"/>
  <c r="D20" i="1148"/>
  <c r="D6" i="1148"/>
  <c r="D9" i="1148" s="1"/>
  <c r="H34" i="1147"/>
  <c r="H33" i="1147"/>
  <c r="F24" i="1147"/>
  <c r="H24" i="1147" s="1"/>
  <c r="H13" i="1147"/>
  <c r="H12" i="1147"/>
  <c r="H11" i="1147"/>
  <c r="F4" i="1147"/>
  <c r="H4" i="1147" s="1"/>
  <c r="H36" i="1149" l="1"/>
  <c r="D22" i="1148"/>
  <c r="D31" i="1148"/>
  <c r="H36" i="1148" s="1"/>
  <c r="H35" i="1147"/>
  <c r="H14" i="1147"/>
  <c r="H15" i="1147" s="1"/>
  <c r="D21" i="1147" s="1"/>
  <c r="D6" i="1147"/>
  <c r="D7" i="1147"/>
  <c r="D30" i="1147"/>
  <c r="D29" i="1147"/>
  <c r="D28" i="1147"/>
  <c r="H34" i="1143"/>
  <c r="H33" i="1143"/>
  <c r="F24" i="1143"/>
  <c r="H24" i="1143" s="1"/>
  <c r="H13" i="1143"/>
  <c r="H12" i="1143"/>
  <c r="H11" i="1143"/>
  <c r="F4" i="1143"/>
  <c r="H4" i="1143" s="1"/>
  <c r="D31" i="1147" l="1"/>
  <c r="D20" i="1147"/>
  <c r="D22" i="1147" s="1"/>
  <c r="D9" i="1147"/>
  <c r="H35" i="1143"/>
  <c r="H14" i="1143"/>
  <c r="H15" i="1143" s="1"/>
  <c r="D20" i="1143" s="1"/>
  <c r="D6" i="1143"/>
  <c r="D7" i="1143"/>
  <c r="D30" i="1143"/>
  <c r="D29" i="1143"/>
  <c r="D28" i="1143"/>
  <c r="H34" i="1142"/>
  <c r="H33" i="1142"/>
  <c r="F24" i="1142"/>
  <c r="H24" i="1142" s="1"/>
  <c r="D30" i="1142" s="1"/>
  <c r="H13" i="1142"/>
  <c r="H12" i="1142"/>
  <c r="H11" i="1142"/>
  <c r="F4" i="1142"/>
  <c r="H4" i="1142" s="1"/>
  <c r="H35" i="1142" l="1"/>
  <c r="H36" i="1147"/>
  <c r="D21" i="1143"/>
  <c r="D22" i="1143" s="1"/>
  <c r="D31" i="1143"/>
  <c r="D9" i="1143"/>
  <c r="H14" i="1142"/>
  <c r="H15" i="1142" s="1"/>
  <c r="D21" i="1142" s="1"/>
  <c r="D6" i="1142"/>
  <c r="D7" i="1142"/>
  <c r="D28" i="1142"/>
  <c r="D29" i="1142"/>
  <c r="H34" i="1141"/>
  <c r="H33" i="1141"/>
  <c r="F24" i="1141"/>
  <c r="H24" i="1141" s="1"/>
  <c r="H13" i="1141"/>
  <c r="H12" i="1141"/>
  <c r="H11" i="1141"/>
  <c r="F4" i="1141"/>
  <c r="H4" i="1141" s="1"/>
  <c r="H36" i="1143" l="1"/>
  <c r="D20" i="1142"/>
  <c r="D22" i="1142" s="1"/>
  <c r="D31" i="1142"/>
  <c r="D9" i="1142"/>
  <c r="H14" i="1141"/>
  <c r="H15" i="1141" s="1"/>
  <c r="D20" i="1141" s="1"/>
  <c r="H35" i="1141"/>
  <c r="D6" i="1141"/>
  <c r="D7" i="1141"/>
  <c r="D30" i="1141"/>
  <c r="D29" i="1141"/>
  <c r="D28" i="1141"/>
  <c r="D21" i="1141"/>
  <c r="H34" i="1140"/>
  <c r="H33" i="1140"/>
  <c r="F24" i="1140"/>
  <c r="H24" i="1140" s="1"/>
  <c r="H13" i="1140"/>
  <c r="H12" i="1140"/>
  <c r="H11" i="1140"/>
  <c r="F4" i="1140"/>
  <c r="H4" i="1140" s="1"/>
  <c r="H35" i="1140" l="1"/>
  <c r="H36" i="1142"/>
  <c r="D9" i="1141"/>
  <c r="D22" i="1141"/>
  <c r="D31" i="1141"/>
  <c r="H14" i="1140"/>
  <c r="H15" i="1140" s="1"/>
  <c r="D21" i="1140" s="1"/>
  <c r="D6" i="1140"/>
  <c r="D7" i="1140"/>
  <c r="D30" i="1140"/>
  <c r="D28" i="1140"/>
  <c r="D29" i="1140"/>
  <c r="H34" i="1139"/>
  <c r="H33" i="1139"/>
  <c r="F24" i="1139"/>
  <c r="H24" i="1139" s="1"/>
  <c r="H13" i="1139"/>
  <c r="H12" i="1139"/>
  <c r="H11" i="1139"/>
  <c r="F4" i="1139"/>
  <c r="H4" i="1139" s="1"/>
  <c r="D6" i="1139" s="1"/>
  <c r="H36" i="1141" l="1"/>
  <c r="D20" i="1140"/>
  <c r="D9" i="1140"/>
  <c r="D31" i="1140"/>
  <c r="D22" i="1140"/>
  <c r="H36" i="1140" s="1"/>
  <c r="H14" i="1139"/>
  <c r="H15" i="1139" s="1"/>
  <c r="D20" i="1139" s="1"/>
  <c r="H35" i="1139"/>
  <c r="D30" i="1139"/>
  <c r="D29" i="1139"/>
  <c r="D28" i="1139"/>
  <c r="D7" i="1139"/>
  <c r="D9" i="1139" s="1"/>
  <c r="H34" i="1138"/>
  <c r="H33" i="1138"/>
  <c r="H35" i="1138" s="1"/>
  <c r="F24" i="1138"/>
  <c r="H24" i="1138" s="1"/>
  <c r="H13" i="1138"/>
  <c r="H12" i="1138"/>
  <c r="H11" i="1138"/>
  <c r="F4" i="1138"/>
  <c r="H4" i="1138" s="1"/>
  <c r="H34" i="1137"/>
  <c r="H33" i="1137"/>
  <c r="F24" i="1137"/>
  <c r="H24" i="1137" s="1"/>
  <c r="H13" i="1137"/>
  <c r="H14" i="1137" s="1"/>
  <c r="H15" i="1137" s="1"/>
  <c r="H12" i="1137"/>
  <c r="H11" i="1137"/>
  <c r="F4" i="1137"/>
  <c r="H4" i="1137" s="1"/>
  <c r="H35" i="1137" l="1"/>
  <c r="D21" i="1139"/>
  <c r="D22" i="1139" s="1"/>
  <c r="D31" i="1139"/>
  <c r="H14" i="1138"/>
  <c r="H15" i="1138" s="1"/>
  <c r="D21" i="1138" s="1"/>
  <c r="D6" i="1138"/>
  <c r="D7" i="1138"/>
  <c r="D28" i="1138"/>
  <c r="D30" i="1138"/>
  <c r="D29" i="1138"/>
  <c r="D20" i="1137"/>
  <c r="D21" i="1137"/>
  <c r="D6" i="1137"/>
  <c r="D7" i="1137"/>
  <c r="D30" i="1137"/>
  <c r="D29" i="1137"/>
  <c r="D28" i="1137"/>
  <c r="H36" i="1139" l="1"/>
  <c r="D20" i="1138"/>
  <c r="D22" i="1138" s="1"/>
  <c r="D31" i="1137"/>
  <c r="D31" i="1138"/>
  <c r="D9" i="1138"/>
  <c r="D9" i="1137"/>
  <c r="D22" i="1137"/>
  <c r="H34" i="1134"/>
  <c r="H33" i="1134"/>
  <c r="F24" i="1134"/>
  <c r="H24" i="1134" s="1"/>
  <c r="H13" i="1134"/>
  <c r="H12" i="1134"/>
  <c r="H11" i="1134"/>
  <c r="F4" i="1134"/>
  <c r="H4" i="1134" s="1"/>
  <c r="H36" i="1137" l="1"/>
  <c r="H36" i="1138"/>
  <c r="H14" i="1134"/>
  <c r="H15" i="1134" s="1"/>
  <c r="D21" i="1134" s="1"/>
  <c r="H35" i="1134"/>
  <c r="D28" i="1134"/>
  <c r="D30" i="1134"/>
  <c r="D29" i="1134"/>
  <c r="D7" i="1134"/>
  <c r="D6" i="1134"/>
  <c r="D20" i="1134" l="1"/>
  <c r="D22" i="1134" s="1"/>
  <c r="D9" i="1134"/>
  <c r="D31" i="1134"/>
  <c r="H36" i="1134" l="1"/>
  <c r="J34" i="133" l="1"/>
  <c r="J33" i="133"/>
  <c r="J32" i="133"/>
  <c r="J31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32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M32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32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32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32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32" i="1094"/>
  <c r="L32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F35" i="133" l="1"/>
  <c r="F36" i="133" l="1"/>
  <c r="I35" i="133" l="1"/>
  <c r="C36" i="133" l="1"/>
  <c r="E36" i="133" l="1"/>
  <c r="D36" i="133"/>
  <c r="B36" i="133"/>
  <c r="I36" i="133"/>
  <c r="H35" i="133"/>
  <c r="H36" i="133" s="1"/>
  <c r="G35" i="133"/>
  <c r="G36" i="133" s="1"/>
  <c r="J35" i="133" l="1"/>
</calcChain>
</file>

<file path=xl/sharedStrings.xml><?xml version="1.0" encoding="utf-8"?>
<sst xmlns="http://schemas.openxmlformats.org/spreadsheetml/2006/main" count="1884" uniqueCount="120">
  <si>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</si>
  <si>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</si>
  <si>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</si>
  <si>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</si>
  <si>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</si>
  <si>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</si>
  <si>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</si>
  <si>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</si>
  <si>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</si>
  <si>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</si>
  <si>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</si>
  <si>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</si>
  <si>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</si>
  <si>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</si>
  <si>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</si>
  <si>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</si>
  <si>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</si>
  <si>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</si>
  <si>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</si>
  <si>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</si>
  <si>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</si>
  <si>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</si>
  <si>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</si>
  <si>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</si>
  <si>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</si>
  <si>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</si>
  <si>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</si>
  <si>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</si>
  <si>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</si>
  <si>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</si>
  <si>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</si>
  <si>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</si>
  <si>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</si>
  <si>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</si>
  <si>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</si>
  <si>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</si>
  <si>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</si>
  <si>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</si>
  <si>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</si>
  <si>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</si>
  <si>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</si>
  <si>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</si>
  <si>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</si>
  <si>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</si>
  <si>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</si>
  <si>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</si>
  <si>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</si>
  <si>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</si>
  <si>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</si>
  <si>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</si>
  <si>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</si>
  <si>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</si>
  <si>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</si>
  <si>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</si>
  <si>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</si>
  <si>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</si>
  <si>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</si>
  <si>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</si>
  <si>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</si>
  <si>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</si>
  <si>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</si>
  <si>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</si>
  <si>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</si>
  <si>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</si>
  <si>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</si>
  <si>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</si>
  <si>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</si>
  <si>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</si>
  <si>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</si>
  <si>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</si>
  <si>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</si>
  <si>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Daily Utilities May 2024</t>
  </si>
  <si>
    <t>01.5.2024</t>
  </si>
  <si>
    <t>39c</t>
  </si>
  <si>
    <t>02.5.2024</t>
  </si>
  <si>
    <t>35c</t>
  </si>
  <si>
    <t>03.5.2024</t>
  </si>
  <si>
    <t>32c</t>
  </si>
  <si>
    <t>04.5.2024</t>
  </si>
  <si>
    <t>37c</t>
  </si>
  <si>
    <t>05.5.2024</t>
  </si>
  <si>
    <t>06.5.2024</t>
  </si>
  <si>
    <t>38c</t>
  </si>
  <si>
    <t>07.5.2024</t>
  </si>
  <si>
    <t>08.5.2024</t>
  </si>
  <si>
    <t>39.4c</t>
  </si>
  <si>
    <t>09.5.2024</t>
  </si>
  <si>
    <t>38.5c</t>
  </si>
  <si>
    <t>10.5.2024</t>
  </si>
  <si>
    <t>36c</t>
  </si>
  <si>
    <t>11.5.2024</t>
  </si>
  <si>
    <t>34c</t>
  </si>
  <si>
    <t>12.5.2024</t>
  </si>
  <si>
    <t>13.5.2024</t>
  </si>
  <si>
    <t>40c</t>
  </si>
  <si>
    <t>14.5.2024</t>
  </si>
  <si>
    <t>42c</t>
  </si>
  <si>
    <t>15.5.2024</t>
  </si>
  <si>
    <t>41c</t>
  </si>
  <si>
    <t>16.5.2024</t>
  </si>
  <si>
    <t>17.5.2024</t>
  </si>
  <si>
    <t>18.5.2024</t>
  </si>
  <si>
    <t>19.5.2024</t>
  </si>
  <si>
    <t>20.5.2024</t>
  </si>
  <si>
    <t>21.5.2024</t>
  </si>
  <si>
    <t>22.5.2024</t>
  </si>
  <si>
    <t>23.5.2024</t>
  </si>
  <si>
    <t>24.5.2024</t>
  </si>
  <si>
    <t>25.5.2024</t>
  </si>
  <si>
    <t>26.5.2024</t>
  </si>
  <si>
    <t>38.0c</t>
  </si>
  <si>
    <t>27.5.2024</t>
  </si>
  <si>
    <t>40.0c.</t>
  </si>
  <si>
    <t>28.5.2024</t>
  </si>
  <si>
    <t>37.0c</t>
  </si>
  <si>
    <t>29.5.2024</t>
  </si>
  <si>
    <t>39.0c</t>
  </si>
  <si>
    <t>30.5.2024</t>
  </si>
  <si>
    <t>31.5.2024</t>
  </si>
  <si>
    <t>40.0c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</si>
</sst>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3" fontId="9" fillId="3" borderId="4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May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May 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0.97</c:v>
                </c:pt>
                <c:pt idx="1">
                  <c:v>0.91359999999999997</c:v>
                </c:pt>
                <c:pt idx="2">
                  <c:v>0.97299999999999998</c:v>
                </c:pt>
                <c:pt idx="3">
                  <c:v>0.99299999999999999</c:v>
                </c:pt>
                <c:pt idx="4">
                  <c:v>0.91</c:v>
                </c:pt>
                <c:pt idx="5">
                  <c:v>0.88400000000000001</c:v>
                </c:pt>
                <c:pt idx="6">
                  <c:v>0.94</c:v>
                </c:pt>
                <c:pt idx="7">
                  <c:v>0.98</c:v>
                </c:pt>
                <c:pt idx="8">
                  <c:v>0.88700000000000001</c:v>
                </c:pt>
                <c:pt idx="9">
                  <c:v>0.98699999999999999</c:v>
                </c:pt>
                <c:pt idx="10">
                  <c:v>0.88</c:v>
                </c:pt>
                <c:pt idx="11">
                  <c:v>0.74399999999999999</c:v>
                </c:pt>
                <c:pt idx="12">
                  <c:v>0.75700000000000001</c:v>
                </c:pt>
                <c:pt idx="13">
                  <c:v>0.83699999999999997</c:v>
                </c:pt>
                <c:pt idx="14">
                  <c:v>0.74419999999999997</c:v>
                </c:pt>
                <c:pt idx="15">
                  <c:v>1.01</c:v>
                </c:pt>
                <c:pt idx="16">
                  <c:v>0.99299999999999999</c:v>
                </c:pt>
                <c:pt idx="17">
                  <c:v>0.96</c:v>
                </c:pt>
                <c:pt idx="18">
                  <c:v>0.9</c:v>
                </c:pt>
                <c:pt idx="19">
                  <c:v>0.90029999999999999</c:v>
                </c:pt>
                <c:pt idx="20">
                  <c:v>0.94399999999999995</c:v>
                </c:pt>
                <c:pt idx="21">
                  <c:v>1.0069999999999999</c:v>
                </c:pt>
                <c:pt idx="22">
                  <c:v>1.0129999999999999</c:v>
                </c:pt>
                <c:pt idx="23">
                  <c:v>1.0069999999999999</c:v>
                </c:pt>
                <c:pt idx="24">
                  <c:v>0.99</c:v>
                </c:pt>
                <c:pt idx="25">
                  <c:v>0.98</c:v>
                </c:pt>
                <c:pt idx="26">
                  <c:v>0.98340000000000005</c:v>
                </c:pt>
                <c:pt idx="27">
                  <c:v>1</c:v>
                </c:pt>
                <c:pt idx="28">
                  <c:v>0.99339999999999995</c:v>
                </c:pt>
                <c:pt idx="29">
                  <c:v>0.98670000000000002</c:v>
                </c:pt>
                <c:pt idx="30">
                  <c:v>0.99339999999999995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May 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May 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0.54</c:v>
                </c:pt>
                <c:pt idx="1">
                  <c:v>0.6</c:v>
                </c:pt>
                <c:pt idx="2">
                  <c:v>0.7</c:v>
                </c:pt>
                <c:pt idx="3">
                  <c:v>0.48</c:v>
                </c:pt>
                <c:pt idx="4">
                  <c:v>0.68</c:v>
                </c:pt>
                <c:pt idx="5">
                  <c:v>0.52</c:v>
                </c:pt>
                <c:pt idx="6">
                  <c:v>0.48</c:v>
                </c:pt>
                <c:pt idx="7">
                  <c:v>0.68</c:v>
                </c:pt>
                <c:pt idx="8">
                  <c:v>0.7</c:v>
                </c:pt>
                <c:pt idx="9">
                  <c:v>0.57999999999999996</c:v>
                </c:pt>
                <c:pt idx="10">
                  <c:v>0.54</c:v>
                </c:pt>
                <c:pt idx="11">
                  <c:v>0.48</c:v>
                </c:pt>
                <c:pt idx="12">
                  <c:v>0.52</c:v>
                </c:pt>
                <c:pt idx="13">
                  <c:v>0.57999999999999996</c:v>
                </c:pt>
                <c:pt idx="14">
                  <c:v>0.56000000000000005</c:v>
                </c:pt>
                <c:pt idx="15">
                  <c:v>0.48</c:v>
                </c:pt>
                <c:pt idx="16">
                  <c:v>0.65</c:v>
                </c:pt>
                <c:pt idx="17">
                  <c:v>0.68</c:v>
                </c:pt>
                <c:pt idx="18">
                  <c:v>0.64</c:v>
                </c:pt>
                <c:pt idx="19">
                  <c:v>0.67</c:v>
                </c:pt>
                <c:pt idx="20">
                  <c:v>0.68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0.78</c:v>
                </c:pt>
                <c:pt idx="24">
                  <c:v>0.64</c:v>
                </c:pt>
                <c:pt idx="25">
                  <c:v>0.83</c:v>
                </c:pt>
                <c:pt idx="26">
                  <c:v>0.71</c:v>
                </c:pt>
                <c:pt idx="27">
                  <c:v>0.93</c:v>
                </c:pt>
                <c:pt idx="28">
                  <c:v>0.91</c:v>
                </c:pt>
                <c:pt idx="29">
                  <c:v>0.79</c:v>
                </c:pt>
                <c:pt idx="30">
                  <c:v>0.78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May 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8296.26</c:v>
                </c:pt>
                <c:pt idx="1">
                  <c:v>8327</c:v>
                </c:pt>
                <c:pt idx="2">
                  <c:v>8250.5499999999993</c:v>
                </c:pt>
                <c:pt idx="3">
                  <c:v>8296.26</c:v>
                </c:pt>
                <c:pt idx="4">
                  <c:v>8318.2000000000007</c:v>
                </c:pt>
                <c:pt idx="5">
                  <c:v>8270.66</c:v>
                </c:pt>
                <c:pt idx="6">
                  <c:v>8643.65</c:v>
                </c:pt>
                <c:pt idx="7">
                  <c:v>8170.1</c:v>
                </c:pt>
                <c:pt idx="8">
                  <c:v>9795.52</c:v>
                </c:pt>
                <c:pt idx="9">
                  <c:v>7462.52</c:v>
                </c:pt>
                <c:pt idx="10">
                  <c:v>8795.41</c:v>
                </c:pt>
                <c:pt idx="11">
                  <c:v>8535.7800000000007</c:v>
                </c:pt>
                <c:pt idx="12">
                  <c:v>9007.5</c:v>
                </c:pt>
                <c:pt idx="13">
                  <c:v>8766.15</c:v>
                </c:pt>
                <c:pt idx="14">
                  <c:v>8782</c:v>
                </c:pt>
                <c:pt idx="15">
                  <c:v>8877.68</c:v>
                </c:pt>
                <c:pt idx="16">
                  <c:v>8795.41</c:v>
                </c:pt>
                <c:pt idx="17">
                  <c:v>8959.9599999999991</c:v>
                </c:pt>
                <c:pt idx="18">
                  <c:v>9011.15</c:v>
                </c:pt>
                <c:pt idx="19">
                  <c:v>9170</c:v>
                </c:pt>
                <c:pt idx="20">
                  <c:v>9758.9599999999991</c:v>
                </c:pt>
                <c:pt idx="21">
                  <c:v>9605.3700000000008</c:v>
                </c:pt>
                <c:pt idx="22">
                  <c:v>9038.58</c:v>
                </c:pt>
                <c:pt idx="23">
                  <c:v>9471.9</c:v>
                </c:pt>
                <c:pt idx="24">
                  <c:v>10009.44</c:v>
                </c:pt>
                <c:pt idx="25">
                  <c:v>10201.42</c:v>
                </c:pt>
                <c:pt idx="26">
                  <c:v>10398.89</c:v>
                </c:pt>
                <c:pt idx="27">
                  <c:v>10709.71</c:v>
                </c:pt>
                <c:pt idx="28">
                  <c:v>11380.72</c:v>
                </c:pt>
                <c:pt idx="29">
                  <c:v>11625.72</c:v>
                </c:pt>
                <c:pt idx="30">
                  <c:v>11556.24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May 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6216.67</c:v>
                </c:pt>
                <c:pt idx="1">
                  <c:v>6216.67</c:v>
                </c:pt>
                <c:pt idx="2">
                  <c:v>6645.41</c:v>
                </c:pt>
                <c:pt idx="3">
                  <c:v>6645.41</c:v>
                </c:pt>
                <c:pt idx="4">
                  <c:v>6431.04</c:v>
                </c:pt>
                <c:pt idx="5">
                  <c:v>6431.04</c:v>
                </c:pt>
                <c:pt idx="6">
                  <c:v>6645.41</c:v>
                </c:pt>
                <c:pt idx="7">
                  <c:v>6431.04</c:v>
                </c:pt>
                <c:pt idx="8">
                  <c:v>6216</c:v>
                </c:pt>
                <c:pt idx="9">
                  <c:v>7074.14</c:v>
                </c:pt>
                <c:pt idx="10">
                  <c:v>6431.04</c:v>
                </c:pt>
                <c:pt idx="11">
                  <c:v>6431.04</c:v>
                </c:pt>
                <c:pt idx="12">
                  <c:v>6645.41</c:v>
                </c:pt>
                <c:pt idx="13">
                  <c:v>6645.41</c:v>
                </c:pt>
                <c:pt idx="14">
                  <c:v>6431</c:v>
                </c:pt>
                <c:pt idx="15">
                  <c:v>6859.78</c:v>
                </c:pt>
                <c:pt idx="16">
                  <c:v>6645.41</c:v>
                </c:pt>
                <c:pt idx="17">
                  <c:v>6645.41</c:v>
                </c:pt>
                <c:pt idx="18">
                  <c:v>7288.51</c:v>
                </c:pt>
                <c:pt idx="19">
                  <c:v>6431.04</c:v>
                </c:pt>
                <c:pt idx="20">
                  <c:v>7074.14</c:v>
                </c:pt>
                <c:pt idx="21">
                  <c:v>7074.14</c:v>
                </c:pt>
                <c:pt idx="22">
                  <c:v>7074.14</c:v>
                </c:pt>
                <c:pt idx="23">
                  <c:v>6859.78</c:v>
                </c:pt>
                <c:pt idx="24">
                  <c:v>6645.41</c:v>
                </c:pt>
                <c:pt idx="25">
                  <c:v>7074.14</c:v>
                </c:pt>
                <c:pt idx="26">
                  <c:v>7717.25</c:v>
                </c:pt>
                <c:pt idx="27">
                  <c:v>7288.51</c:v>
                </c:pt>
                <c:pt idx="28">
                  <c:v>7074.14</c:v>
                </c:pt>
                <c:pt idx="29">
                  <c:v>7502.88</c:v>
                </c:pt>
                <c:pt idx="30">
                  <c:v>7502.88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May 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2892.4</c:v>
                </c:pt>
                <c:pt idx="1">
                  <c:v>2549.1999999999998</c:v>
                </c:pt>
                <c:pt idx="2">
                  <c:v>2747.2</c:v>
                </c:pt>
                <c:pt idx="3">
                  <c:v>2747.2</c:v>
                </c:pt>
                <c:pt idx="4">
                  <c:v>2654.8</c:v>
                </c:pt>
                <c:pt idx="5">
                  <c:v>2536</c:v>
                </c:pt>
                <c:pt idx="6">
                  <c:v>2206</c:v>
                </c:pt>
                <c:pt idx="7">
                  <c:v>2536</c:v>
                </c:pt>
                <c:pt idx="8">
                  <c:v>2298</c:v>
                </c:pt>
                <c:pt idx="9">
                  <c:v>2681.2</c:v>
                </c:pt>
                <c:pt idx="10">
                  <c:v>2483.1999999999998</c:v>
                </c:pt>
                <c:pt idx="11">
                  <c:v>2549.1999999999998</c:v>
                </c:pt>
                <c:pt idx="12">
                  <c:v>2549.1999999999998</c:v>
                </c:pt>
                <c:pt idx="13">
                  <c:v>2166.4</c:v>
                </c:pt>
                <c:pt idx="14">
                  <c:v>2404</c:v>
                </c:pt>
                <c:pt idx="15">
                  <c:v>2364.4</c:v>
                </c:pt>
                <c:pt idx="16">
                  <c:v>2932</c:v>
                </c:pt>
                <c:pt idx="17">
                  <c:v>2800</c:v>
                </c:pt>
                <c:pt idx="18">
                  <c:v>2298.08</c:v>
                </c:pt>
                <c:pt idx="19">
                  <c:v>3710.8</c:v>
                </c:pt>
                <c:pt idx="20">
                  <c:v>2786.8</c:v>
                </c:pt>
                <c:pt idx="21">
                  <c:v>2918.8</c:v>
                </c:pt>
                <c:pt idx="22">
                  <c:v>2879.2</c:v>
                </c:pt>
                <c:pt idx="23">
                  <c:v>2905.6</c:v>
                </c:pt>
                <c:pt idx="24">
                  <c:v>3156.4</c:v>
                </c:pt>
                <c:pt idx="25">
                  <c:v>3050.8</c:v>
                </c:pt>
                <c:pt idx="26">
                  <c:v>3222.4</c:v>
                </c:pt>
                <c:pt idx="27">
                  <c:v>3328</c:v>
                </c:pt>
                <c:pt idx="28">
                  <c:v>2998</c:v>
                </c:pt>
                <c:pt idx="29">
                  <c:v>3222.4</c:v>
                </c:pt>
                <c:pt idx="30">
                  <c:v>3354.4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May 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444</c:v>
                </c:pt>
                <c:pt idx="2">
                  <c:v>444.08</c:v>
                </c:pt>
                <c:pt idx="3">
                  <c:v>444.08</c:v>
                </c:pt>
                <c:pt idx="4">
                  <c:v>444.08</c:v>
                </c:pt>
                <c:pt idx="5">
                  <c:v>444.08</c:v>
                </c:pt>
                <c:pt idx="6">
                  <c:v>444.08</c:v>
                </c:pt>
                <c:pt idx="7">
                  <c:v>444.08</c:v>
                </c:pt>
                <c:pt idx="8">
                  <c:v>444</c:v>
                </c:pt>
                <c:pt idx="9">
                  <c:v>444.08</c:v>
                </c:pt>
                <c:pt idx="10">
                  <c:v>444.08</c:v>
                </c:pt>
                <c:pt idx="11">
                  <c:v>488.49</c:v>
                </c:pt>
                <c:pt idx="12">
                  <c:v>444.08</c:v>
                </c:pt>
                <c:pt idx="13">
                  <c:v>444.08</c:v>
                </c:pt>
                <c:pt idx="14">
                  <c:v>444</c:v>
                </c:pt>
                <c:pt idx="15">
                  <c:v>444.08</c:v>
                </c:pt>
                <c:pt idx="16">
                  <c:v>355.22</c:v>
                </c:pt>
                <c:pt idx="17">
                  <c:v>444.08</c:v>
                </c:pt>
                <c:pt idx="18">
                  <c:v>444.08</c:v>
                </c:pt>
                <c:pt idx="19">
                  <c:v>444</c:v>
                </c:pt>
                <c:pt idx="20">
                  <c:v>444.08</c:v>
                </c:pt>
                <c:pt idx="21">
                  <c:v>444.08</c:v>
                </c:pt>
                <c:pt idx="22">
                  <c:v>444.08</c:v>
                </c:pt>
                <c:pt idx="23">
                  <c:v>444.08</c:v>
                </c:pt>
                <c:pt idx="24">
                  <c:v>444.08</c:v>
                </c:pt>
                <c:pt idx="25">
                  <c:v>444.08</c:v>
                </c:pt>
                <c:pt idx="26">
                  <c:v>444.08</c:v>
                </c:pt>
                <c:pt idx="27">
                  <c:v>444.08</c:v>
                </c:pt>
                <c:pt idx="28">
                  <c:v>532.9</c:v>
                </c:pt>
                <c:pt idx="29">
                  <c:v>444.08</c:v>
                </c:pt>
                <c:pt idx="30">
                  <c:v>444.05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May 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17849.410000000003</c:v>
                </c:pt>
                <c:pt idx="1">
                  <c:v>17536.87</c:v>
                </c:pt>
                <c:pt idx="2">
                  <c:v>18087.240000000002</c:v>
                </c:pt>
                <c:pt idx="3">
                  <c:v>18132.95</c:v>
                </c:pt>
                <c:pt idx="4">
                  <c:v>17848.120000000003</c:v>
                </c:pt>
                <c:pt idx="5">
                  <c:v>17681.780000000002</c:v>
                </c:pt>
                <c:pt idx="6">
                  <c:v>17939.14</c:v>
                </c:pt>
                <c:pt idx="7">
                  <c:v>17581.22</c:v>
                </c:pt>
                <c:pt idx="8">
                  <c:v>18753.52</c:v>
                </c:pt>
                <c:pt idx="9">
                  <c:v>17661.940000000002</c:v>
                </c:pt>
                <c:pt idx="10">
                  <c:v>18153.730000000003</c:v>
                </c:pt>
                <c:pt idx="11">
                  <c:v>18004.510000000002</c:v>
                </c:pt>
                <c:pt idx="12">
                  <c:v>18646.190000000002</c:v>
                </c:pt>
                <c:pt idx="13">
                  <c:v>18022.04</c:v>
                </c:pt>
                <c:pt idx="14">
                  <c:v>18061</c:v>
                </c:pt>
                <c:pt idx="15">
                  <c:v>18545.940000000002</c:v>
                </c:pt>
                <c:pt idx="16">
                  <c:v>18728.04</c:v>
                </c:pt>
                <c:pt idx="17">
                  <c:v>18849.45</c:v>
                </c:pt>
                <c:pt idx="18">
                  <c:v>19041.82</c:v>
                </c:pt>
                <c:pt idx="19">
                  <c:v>19755.84</c:v>
                </c:pt>
                <c:pt idx="20">
                  <c:v>20063.98</c:v>
                </c:pt>
                <c:pt idx="21">
                  <c:v>20042.390000000003</c:v>
                </c:pt>
                <c:pt idx="22">
                  <c:v>19436.000000000004</c:v>
                </c:pt>
                <c:pt idx="23">
                  <c:v>19681.36</c:v>
                </c:pt>
                <c:pt idx="24">
                  <c:v>20255.330000000002</c:v>
                </c:pt>
                <c:pt idx="25">
                  <c:v>20770.440000000002</c:v>
                </c:pt>
                <c:pt idx="26">
                  <c:v>21782.620000000003</c:v>
                </c:pt>
                <c:pt idx="27">
                  <c:v>21770.300000000003</c:v>
                </c:pt>
                <c:pt idx="28">
                  <c:v>21985.760000000002</c:v>
                </c:pt>
                <c:pt idx="29">
                  <c:v>22795.08</c:v>
                </c:pt>
                <c:pt idx="30">
                  <c:v>22857.57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684290672"/>
        <c:axId val="1684289040"/>
        <c:extLst/>
      </c:lineChart>
      <c:catAx>
        <c:axId val="168429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89040"/>
        <c:crosses val="autoZero"/>
        <c:auto val="1"/>
        <c:lblAlgn val="ctr"/>
        <c:lblOffset val="100"/>
        <c:noMultiLvlLbl val="0"/>
      </c:catAx>
      <c:valAx>
        <c:axId val="1684289040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9067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32"/>
  <sheetViews>
    <sheetView workbookViewId="0">
      <selection activeCell="C2" sqref="C2:C32"/>
    </sheetView>
  </sheetViews>
  <sheetFormatPr defaultColWidth="11.5703125" defaultRowHeight="15"/>
  <cols>
    <col min="1" max="1" width="26.42578125" style="43" bestFit="1" customWidth="1"/>
    <col min="2" max="2" width="11.5703125" style="43"/>
    <col min="3" max="3" width="11.5703125" style="44"/>
    <col min="4" max="4" width="13.42578125" style="43" customWidth="1"/>
    <col min="5" max="5" width="12.5703125" style="43" customWidth="1"/>
    <col min="6" max="6" width="12.5703125" style="49" customWidth="1"/>
    <col min="7" max="7" width="11.5703125" style="43"/>
    <col min="8" max="8" width="11.5703125" style="49"/>
    <col min="9" max="9" width="11.5703125" style="43"/>
    <col min="10" max="10" width="11.5703125" style="46"/>
    <col min="11" max="11" width="11.5703125" style="48"/>
    <col min="12" max="12" width="11.5703125" style="46"/>
    <col min="13" max="13" width="11.5703125" style="45"/>
    <col min="14" max="16384" width="11.5703125" style="43"/>
  </cols>
  <sheetData>
    <row r="1" spans="1:15" s="41" customFormat="1" ht="60.75" thickBot="1">
      <c r="A1" s="31" t="s">
        <v>55</v>
      </c>
      <c r="B1" s="31" t="s">
        <v>56</v>
      </c>
      <c r="C1" s="32" t="s">
        <v>57</v>
      </c>
      <c r="D1" s="33" t="s">
        <v>58</v>
      </c>
      <c r="E1" s="34" t="s">
        <v>59</v>
      </c>
      <c r="F1" s="35" t="s">
        <v>60</v>
      </c>
      <c r="G1" s="34" t="s">
        <v>69</v>
      </c>
      <c r="H1" s="35" t="s">
        <v>70</v>
      </c>
      <c r="I1" s="36" t="s">
        <v>61</v>
      </c>
      <c r="J1" s="37" t="s">
        <v>62</v>
      </c>
      <c r="K1" s="38" t="s">
        <v>63</v>
      </c>
      <c r="L1" s="39" t="s">
        <v>64</v>
      </c>
      <c r="M1" s="40" t="s">
        <v>65</v>
      </c>
      <c r="N1" s="34" t="s">
        <v>66</v>
      </c>
    </row>
    <row r="2" spans="1:15">
      <c r="A2" s="42" t="s">
        <v>68</v>
      </c>
      <c r="B2" s="43">
        <v>1</v>
      </c>
      <c r="C2" s="44">
        <v>5</v>
      </c>
      <c r="D2" s="43">
        <v>2024</v>
      </c>
      <c r="E2" s="45">
        <f>'MTD Utility Sheet'!G4/0.439</f>
        <v>14160.979498861048</v>
      </c>
      <c r="F2" s="46">
        <v>0.439</v>
      </c>
      <c r="G2" s="45">
        <f>('MTD Utility Sheet'!I4/1.82)/0.5</f>
        <v>487.99999999999994</v>
      </c>
      <c r="H2" s="47">
        <f>1.82*0.5</f>
        <v>0.91</v>
      </c>
      <c r="I2" s="45">
        <f>'MTD Utility Sheet'!H4/12.38</f>
        <v>233.63489499192244</v>
      </c>
      <c r="J2" s="46">
        <v>12.38</v>
      </c>
      <c r="K2" s="48">
        <f>IF(('MTD Utility Sheet'!F4-2866)&lt;0,"0",('MTD Utility Sheet'!F4-2866)/(0.568+0.075))</f>
        <v>8445.1944012441691</v>
      </c>
      <c r="L2" s="46">
        <f>'MTD Utility Sheet'!F4/K2</f>
        <v>0.98236459764357498</v>
      </c>
      <c r="M2" s="45">
        <f>'MTD Utility Sheet'!B4*301</f>
        <v>291.96999999999997</v>
      </c>
      <c r="N2" s="43" t="s">
        <v>67</v>
      </c>
      <c r="O2" s="41"/>
    </row>
    <row r="3" spans="1:15">
      <c r="A3" s="42" t="s">
        <v>68</v>
      </c>
      <c r="B3" s="43">
        <f t="shared" ref="B3:B32" si="0">B2+1</f>
        <v>2</v>
      </c>
      <c r="C3" s="44">
        <v>5</v>
      </c>
      <c r="D3" s="43">
        <v>2024</v>
      </c>
      <c r="E3" s="45">
        <f>'MTD Utility Sheet'!G5/0.439</f>
        <v>14160.979498861048</v>
      </c>
      <c r="F3" s="46">
        <v>0.439</v>
      </c>
      <c r="G3" s="45">
        <f>('MTD Utility Sheet'!I5/1.82)/0.5</f>
        <v>487.91208791208788</v>
      </c>
      <c r="H3" s="47">
        <f t="shared" ref="H3:H32" si="1">1.82*0.5</f>
        <v>0.91</v>
      </c>
      <c r="I3" s="45">
        <f>'MTD Utility Sheet'!H5/12.38</f>
        <v>205.91276252019384</v>
      </c>
      <c r="J3" s="46">
        <v>12.38</v>
      </c>
      <c r="K3" s="48">
        <f>IF(('MTD Utility Sheet'!F5-2866)&lt;0,"0",('MTD Utility Sheet'!F5-2866)/(0.568+0.075))</f>
        <v>8493.0015552099539</v>
      </c>
      <c r="L3" s="46">
        <f>'MTD Utility Sheet'!F5/K3</f>
        <v>0.98045431239699676</v>
      </c>
      <c r="M3" s="45">
        <f>'MTD Utility Sheet'!B5*301</f>
        <v>274.99360000000001</v>
      </c>
      <c r="N3" s="43" t="s">
        <v>67</v>
      </c>
      <c r="O3" s="41"/>
    </row>
    <row r="4" spans="1:15">
      <c r="A4" s="42" t="s">
        <v>68</v>
      </c>
      <c r="B4" s="43">
        <f t="shared" si="0"/>
        <v>3</v>
      </c>
      <c r="C4" s="44">
        <v>5</v>
      </c>
      <c r="D4" s="43">
        <v>2024</v>
      </c>
      <c r="E4" s="45">
        <f>'MTD Utility Sheet'!G6/0.439</f>
        <v>15137.608200455581</v>
      </c>
      <c r="F4" s="46">
        <v>0.439</v>
      </c>
      <c r="G4" s="45">
        <f>('MTD Utility Sheet'!I6/1.82)/0.5</f>
        <v>487.99999999999994</v>
      </c>
      <c r="H4" s="47">
        <f t="shared" si="1"/>
        <v>0.91</v>
      </c>
      <c r="I4" s="45">
        <f>'MTD Utility Sheet'!H6/12.38</f>
        <v>221.90630048465263</v>
      </c>
      <c r="J4" s="46">
        <v>12.38</v>
      </c>
      <c r="K4" s="48">
        <f>IF(('MTD Utility Sheet'!F6-2866)&lt;0,"0",('MTD Utility Sheet'!F6-2866)/(0.568+0.075))</f>
        <v>8374.1057542768267</v>
      </c>
      <c r="L4" s="46">
        <f>'MTD Utility Sheet'!F6/K4</f>
        <v>0.98524549869534128</v>
      </c>
      <c r="M4" s="45">
        <f>'MTD Utility Sheet'!B6*301</f>
        <v>292.87299999999999</v>
      </c>
      <c r="N4" s="43" t="s">
        <v>67</v>
      </c>
      <c r="O4" s="41"/>
    </row>
    <row r="5" spans="1:15">
      <c r="A5" s="42" t="s">
        <v>68</v>
      </c>
      <c r="B5" s="43">
        <f t="shared" si="0"/>
        <v>4</v>
      </c>
      <c r="C5" s="44">
        <v>5</v>
      </c>
      <c r="D5" s="43">
        <v>2024</v>
      </c>
      <c r="E5" s="45">
        <f>'MTD Utility Sheet'!G7/0.439</f>
        <v>15137.608200455581</v>
      </c>
      <c r="F5" s="46">
        <v>0.439</v>
      </c>
      <c r="G5" s="45">
        <f>('MTD Utility Sheet'!I7/1.82)/0.5</f>
        <v>487.99999999999994</v>
      </c>
      <c r="H5" s="47">
        <f t="shared" si="1"/>
        <v>0.91</v>
      </c>
      <c r="I5" s="45">
        <f>'MTD Utility Sheet'!H7/12.38</f>
        <v>221.90630048465263</v>
      </c>
      <c r="J5" s="46">
        <v>12.38</v>
      </c>
      <c r="K5" s="48">
        <f>IF(('MTD Utility Sheet'!F7-2866)&lt;0,"0",('MTD Utility Sheet'!F7-2866)/(0.568+0.075))</f>
        <v>8445.1944012441691</v>
      </c>
      <c r="L5" s="46">
        <f>'MTD Utility Sheet'!F7/K5</f>
        <v>0.98236459764357498</v>
      </c>
      <c r="M5" s="45">
        <f>'MTD Utility Sheet'!B7*301</f>
        <v>298.89299999999997</v>
      </c>
      <c r="N5" s="43" t="s">
        <v>67</v>
      </c>
      <c r="O5" s="41"/>
    </row>
    <row r="6" spans="1:15">
      <c r="A6" s="42" t="s">
        <v>68</v>
      </c>
      <c r="B6" s="43">
        <f t="shared" si="0"/>
        <v>5</v>
      </c>
      <c r="C6" s="44">
        <v>5</v>
      </c>
      <c r="D6" s="43">
        <v>2024</v>
      </c>
      <c r="E6" s="45">
        <f>'MTD Utility Sheet'!G8/0.439</f>
        <v>14649.293849658314</v>
      </c>
      <c r="F6" s="46">
        <v>0.439</v>
      </c>
      <c r="G6" s="45">
        <f>('MTD Utility Sheet'!I8/1.82)/0.5</f>
        <v>487.99999999999994</v>
      </c>
      <c r="H6" s="47">
        <f t="shared" si="1"/>
        <v>0.91</v>
      </c>
      <c r="I6" s="45">
        <f>'MTD Utility Sheet'!H8/12.38</f>
        <v>214.4426494345719</v>
      </c>
      <c r="J6" s="46">
        <v>12.38</v>
      </c>
      <c r="K6" s="48">
        <f>IF(('MTD Utility Sheet'!F8-2866)&lt;0,"0",('MTD Utility Sheet'!F8-2866)/(0.568+0.075))</f>
        <v>8479.3157076205316</v>
      </c>
      <c r="L6" s="46">
        <f>'MTD Utility Sheet'!F8/K6</f>
        <v>0.98099897289167648</v>
      </c>
      <c r="M6" s="45">
        <f>'MTD Utility Sheet'!B8*301</f>
        <v>273.91000000000003</v>
      </c>
      <c r="N6" s="43" t="s">
        <v>67</v>
      </c>
      <c r="O6" s="41"/>
    </row>
    <row r="7" spans="1:15">
      <c r="A7" s="42" t="s">
        <v>68</v>
      </c>
      <c r="B7" s="43">
        <f t="shared" si="0"/>
        <v>6</v>
      </c>
      <c r="C7" s="44">
        <v>5</v>
      </c>
      <c r="D7" s="43">
        <v>2024</v>
      </c>
      <c r="E7" s="45">
        <f>'MTD Utility Sheet'!G9/0.439</f>
        <v>14649.293849658314</v>
      </c>
      <c r="F7" s="46">
        <v>0.439</v>
      </c>
      <c r="G7" s="45">
        <f>('MTD Utility Sheet'!I9/1.82)/0.5</f>
        <v>487.99999999999994</v>
      </c>
      <c r="H7" s="47">
        <f t="shared" si="1"/>
        <v>0.91</v>
      </c>
      <c r="I7" s="45">
        <f>'MTD Utility Sheet'!H9/12.38</f>
        <v>204.84652665589658</v>
      </c>
      <c r="J7" s="46">
        <v>12.38</v>
      </c>
      <c r="K7" s="48">
        <f>IF(('MTD Utility Sheet'!F9-2866)&lt;0,"0",('MTD Utility Sheet'!F9-2866)/(0.568+0.075))</f>
        <v>8405.3810264385702</v>
      </c>
      <c r="L7" s="46">
        <f>'MTD Utility Sheet'!F9/K7</f>
        <v>0.98397205004570121</v>
      </c>
      <c r="M7" s="45">
        <f>'MTD Utility Sheet'!B9*301</f>
        <v>266.084</v>
      </c>
      <c r="N7" s="43" t="s">
        <v>67</v>
      </c>
    </row>
    <row r="8" spans="1:15">
      <c r="A8" s="42" t="s">
        <v>68</v>
      </c>
      <c r="B8" s="43">
        <f t="shared" si="0"/>
        <v>7</v>
      </c>
      <c r="C8" s="44">
        <v>5</v>
      </c>
      <c r="D8" s="43">
        <v>2024</v>
      </c>
      <c r="E8" s="45">
        <f>'MTD Utility Sheet'!G10/0.439</f>
        <v>15137.608200455581</v>
      </c>
      <c r="F8" s="46">
        <v>0.439</v>
      </c>
      <c r="G8" s="45">
        <f>('MTD Utility Sheet'!I10/1.82)/0.5</f>
        <v>487.99999999999994</v>
      </c>
      <c r="H8" s="47">
        <f t="shared" si="1"/>
        <v>0.91</v>
      </c>
      <c r="I8" s="45">
        <f>'MTD Utility Sheet'!H10/12.38</f>
        <v>178.19063004846527</v>
      </c>
      <c r="J8" s="46">
        <v>12.38</v>
      </c>
      <c r="K8" s="48">
        <f>IF(('MTD Utility Sheet'!F10-2866)&lt;0,"0",('MTD Utility Sheet'!F10-2866)/(0.568+0.075))</f>
        <v>8985.4587869362367</v>
      </c>
      <c r="L8" s="46">
        <f>'MTD Utility Sheet'!F10/K8</f>
        <v>0.96195978468754595</v>
      </c>
      <c r="M8" s="45">
        <f>'MTD Utility Sheet'!B10*301</f>
        <v>282.94</v>
      </c>
      <c r="N8" s="43" t="s">
        <v>67</v>
      </c>
    </row>
    <row r="9" spans="1:15">
      <c r="A9" s="42" t="s">
        <v>68</v>
      </c>
      <c r="B9" s="43">
        <f t="shared" si="0"/>
        <v>8</v>
      </c>
      <c r="C9" s="44">
        <v>5</v>
      </c>
      <c r="D9" s="43">
        <v>2024</v>
      </c>
      <c r="E9" s="45">
        <f>'MTD Utility Sheet'!G11/0.439</f>
        <v>14649.293849658314</v>
      </c>
      <c r="F9" s="46">
        <v>0.439</v>
      </c>
      <c r="G9" s="45">
        <f>('MTD Utility Sheet'!I11/1.82)/0.5</f>
        <v>487.99999999999994</v>
      </c>
      <c r="H9" s="47">
        <f t="shared" si="1"/>
        <v>0.91</v>
      </c>
      <c r="I9" s="45">
        <f>'MTD Utility Sheet'!H11/12.38</f>
        <v>204.84652665589658</v>
      </c>
      <c r="J9" s="46">
        <v>12.38</v>
      </c>
      <c r="K9" s="48">
        <f>IF(('MTD Utility Sheet'!F11-2866)&lt;0,"0",('MTD Utility Sheet'!F11-2866)/(0.568+0.075))</f>
        <v>8248.9891135303278</v>
      </c>
      <c r="L9" s="46">
        <f>'MTD Utility Sheet'!F11/K9</f>
        <v>0.99043651137799049</v>
      </c>
      <c r="M9" s="45">
        <f>'MTD Utility Sheet'!B11*301</f>
        <v>294.98</v>
      </c>
      <c r="N9" s="43" t="s">
        <v>67</v>
      </c>
    </row>
    <row r="10" spans="1:15">
      <c r="A10" s="42" t="s">
        <v>68</v>
      </c>
      <c r="B10" s="43">
        <f t="shared" si="0"/>
        <v>9</v>
      </c>
      <c r="C10" s="44">
        <v>5</v>
      </c>
      <c r="D10" s="43">
        <v>2024</v>
      </c>
      <c r="E10" s="45">
        <f>'MTD Utility Sheet'!G12/0.439</f>
        <v>14159.453302961276</v>
      </c>
      <c r="F10" s="46">
        <v>0.439</v>
      </c>
      <c r="G10" s="45">
        <f>('MTD Utility Sheet'!I12/1.82)/0.5</f>
        <v>487.91208791208788</v>
      </c>
      <c r="H10" s="47">
        <f t="shared" si="1"/>
        <v>0.91</v>
      </c>
      <c r="I10" s="45">
        <f>'MTD Utility Sheet'!H12/12.38</f>
        <v>185.62197092084006</v>
      </c>
      <c r="J10" s="46">
        <v>12.38</v>
      </c>
      <c r="K10" s="48">
        <f>IF(('MTD Utility Sheet'!F12-2866)&lt;0,"0",('MTD Utility Sheet'!F12-2866)/(0.568+0.075))</f>
        <v>10776.858475894249</v>
      </c>
      <c r="L10" s="46">
        <f>'MTD Utility Sheet'!F12/K10</f>
        <v>0.90894020942287468</v>
      </c>
      <c r="M10" s="45">
        <f>'MTD Utility Sheet'!B12*301</f>
        <v>266.98700000000002</v>
      </c>
      <c r="N10" s="43" t="s">
        <v>67</v>
      </c>
    </row>
    <row r="11" spans="1:15">
      <c r="A11" s="42" t="s">
        <v>68</v>
      </c>
      <c r="B11" s="43">
        <f t="shared" si="0"/>
        <v>10</v>
      </c>
      <c r="C11" s="44">
        <v>5</v>
      </c>
      <c r="D11" s="43">
        <v>2024</v>
      </c>
      <c r="E11" s="45">
        <f>'MTD Utility Sheet'!G13/0.439</f>
        <v>16114.214123006834</v>
      </c>
      <c r="F11" s="46">
        <v>0.439</v>
      </c>
      <c r="G11" s="45">
        <f>('MTD Utility Sheet'!I13/1.82)/0.5</f>
        <v>487.99999999999994</v>
      </c>
      <c r="H11" s="47">
        <f t="shared" si="1"/>
        <v>0.91</v>
      </c>
      <c r="I11" s="45">
        <f>'MTD Utility Sheet'!H13/12.38</f>
        <v>216.57512116316636</v>
      </c>
      <c r="J11" s="46">
        <v>12.38</v>
      </c>
      <c r="K11" s="48">
        <f>IF(('MTD Utility Sheet'!F13-2866)&lt;0,"0",('MTD Utility Sheet'!F13-2866)/(0.568+0.075))</f>
        <v>7148.5536547433921</v>
      </c>
      <c r="L11" s="46">
        <f>'MTD Utility Sheet'!F13/K11</f>
        <v>1.0439202614151573</v>
      </c>
      <c r="M11" s="45">
        <f>'MTD Utility Sheet'!B13*301</f>
        <v>297.08699999999999</v>
      </c>
      <c r="N11" s="43" t="s">
        <v>67</v>
      </c>
    </row>
    <row r="12" spans="1:15">
      <c r="A12" s="42" t="s">
        <v>68</v>
      </c>
      <c r="B12" s="43">
        <f t="shared" si="0"/>
        <v>11</v>
      </c>
      <c r="C12" s="44">
        <v>5</v>
      </c>
      <c r="D12" s="43">
        <v>2024</v>
      </c>
      <c r="E12" s="45">
        <f>'MTD Utility Sheet'!G14/0.439</f>
        <v>14649.293849658314</v>
      </c>
      <c r="F12" s="46">
        <v>0.439</v>
      </c>
      <c r="G12" s="45">
        <f>('MTD Utility Sheet'!I14/1.82)/0.5</f>
        <v>487.99999999999994</v>
      </c>
      <c r="H12" s="47">
        <f t="shared" si="1"/>
        <v>0.91</v>
      </c>
      <c r="I12" s="45">
        <f>'MTD Utility Sheet'!H14/12.38</f>
        <v>200.58158319870756</v>
      </c>
      <c r="J12" s="46">
        <v>12.38</v>
      </c>
      <c r="K12" s="48">
        <f>IF(('MTD Utility Sheet'!F14-2866)&lt;0,"0",('MTD Utility Sheet'!F14-2866)/(0.568+0.075))</f>
        <v>9221.4774494556768</v>
      </c>
      <c r="L12" s="46">
        <f>'MTD Utility Sheet'!F14/K12</f>
        <v>0.95379618376870545</v>
      </c>
      <c r="M12" s="45">
        <f>'MTD Utility Sheet'!B14*301</f>
        <v>264.88</v>
      </c>
      <c r="N12" s="43" t="s">
        <v>67</v>
      </c>
    </row>
    <row r="13" spans="1:15">
      <c r="A13" s="42" t="s">
        <v>68</v>
      </c>
      <c r="B13" s="43">
        <f t="shared" si="0"/>
        <v>12</v>
      </c>
      <c r="C13" s="44">
        <v>5</v>
      </c>
      <c r="D13" s="43">
        <v>2024</v>
      </c>
      <c r="E13" s="45">
        <f>'MTD Utility Sheet'!G15/0.439</f>
        <v>14649.293849658314</v>
      </c>
      <c r="F13" s="46">
        <v>0.439</v>
      </c>
      <c r="G13" s="45">
        <f>('MTD Utility Sheet'!I15/1.82)/0.5</f>
        <v>536.80219780219784</v>
      </c>
      <c r="H13" s="47">
        <f t="shared" si="1"/>
        <v>0.91</v>
      </c>
      <c r="I13" s="45">
        <f>'MTD Utility Sheet'!H15/12.38</f>
        <v>205.91276252019384</v>
      </c>
      <c r="J13" s="46">
        <v>12.38</v>
      </c>
      <c r="K13" s="48">
        <f>IF(('MTD Utility Sheet'!F15-2866)&lt;0,"0",('MTD Utility Sheet'!F15-2866)/(0.568+0.075))</f>
        <v>8817.6982892690539</v>
      </c>
      <c r="L13" s="46">
        <f>'MTD Utility Sheet'!F15/K13</f>
        <v>0.96802813160298973</v>
      </c>
      <c r="M13" s="45">
        <f>'MTD Utility Sheet'!B15*301</f>
        <v>223.94399999999999</v>
      </c>
      <c r="N13" s="43" t="s">
        <v>67</v>
      </c>
    </row>
    <row r="14" spans="1:15">
      <c r="A14" s="42" t="s">
        <v>68</v>
      </c>
      <c r="B14" s="43">
        <f t="shared" si="0"/>
        <v>13</v>
      </c>
      <c r="C14" s="44">
        <v>5</v>
      </c>
      <c r="D14" s="43">
        <v>2024</v>
      </c>
      <c r="E14" s="45">
        <f>'MTD Utility Sheet'!G16/0.439</f>
        <v>15137.608200455581</v>
      </c>
      <c r="F14" s="46">
        <v>0.439</v>
      </c>
      <c r="G14" s="45">
        <f>('MTD Utility Sheet'!I16/1.82)/0.5</f>
        <v>487.99999999999994</v>
      </c>
      <c r="H14" s="47">
        <f t="shared" si="1"/>
        <v>0.91</v>
      </c>
      <c r="I14" s="45">
        <f>'MTD Utility Sheet'!H16/12.38</f>
        <v>205.91276252019384</v>
      </c>
      <c r="J14" s="46">
        <v>12.38</v>
      </c>
      <c r="K14" s="48">
        <f>IF(('MTD Utility Sheet'!F16-2866)&lt;0,"0",('MTD Utility Sheet'!F16-2866)/(0.568+0.075))</f>
        <v>9551.3219284603438</v>
      </c>
      <c r="L14" s="46">
        <f>'MTD Utility Sheet'!F16/K14</f>
        <v>0.94306317674835127</v>
      </c>
      <c r="M14" s="45">
        <f>'MTD Utility Sheet'!B16*301</f>
        <v>227.857</v>
      </c>
      <c r="N14" s="43" t="s">
        <v>67</v>
      </c>
    </row>
    <row r="15" spans="1:15">
      <c r="A15" s="42" t="s">
        <v>68</v>
      </c>
      <c r="B15" s="43">
        <f t="shared" si="0"/>
        <v>14</v>
      </c>
      <c r="C15" s="44">
        <v>5</v>
      </c>
      <c r="D15" s="43">
        <v>2024</v>
      </c>
      <c r="E15" s="45">
        <f>'MTD Utility Sheet'!G17/0.439</f>
        <v>15137.608200455581</v>
      </c>
      <c r="F15" s="46">
        <v>0.439</v>
      </c>
      <c r="G15" s="45">
        <f>('MTD Utility Sheet'!I17/1.82)/0.5</f>
        <v>487.99999999999994</v>
      </c>
      <c r="H15" s="47">
        <f t="shared" si="1"/>
        <v>0.91</v>
      </c>
      <c r="I15" s="45">
        <f>'MTD Utility Sheet'!H17/12.38</f>
        <v>174.9919224555735</v>
      </c>
      <c r="J15" s="46">
        <v>12.38</v>
      </c>
      <c r="K15" s="48">
        <f>IF(('MTD Utility Sheet'!F17-2866)&lt;0,"0",('MTD Utility Sheet'!F17-2866)/(0.568+0.075))</f>
        <v>9175.9720062208398</v>
      </c>
      <c r="L15" s="46">
        <f>'MTD Utility Sheet'!F17/K15</f>
        <v>0.95533748294534881</v>
      </c>
      <c r="M15" s="45">
        <f>'MTD Utility Sheet'!B17*301</f>
        <v>251.93699999999998</v>
      </c>
      <c r="N15" s="43" t="s">
        <v>67</v>
      </c>
    </row>
    <row r="16" spans="1:15">
      <c r="A16" s="42" t="s">
        <v>68</v>
      </c>
      <c r="B16" s="43">
        <f t="shared" si="0"/>
        <v>15</v>
      </c>
      <c r="C16" s="44">
        <v>5</v>
      </c>
      <c r="D16" s="43">
        <v>2024</v>
      </c>
      <c r="E16" s="45">
        <f>'MTD Utility Sheet'!G18/0.439</f>
        <v>14649.202733485194</v>
      </c>
      <c r="F16" s="46">
        <v>0.439</v>
      </c>
      <c r="G16" s="45">
        <f>('MTD Utility Sheet'!I18/1.82)/0.5</f>
        <v>487.91208791208788</v>
      </c>
      <c r="H16" s="47">
        <f t="shared" si="1"/>
        <v>0.91</v>
      </c>
      <c r="I16" s="45">
        <f>'MTD Utility Sheet'!H18/12.38</f>
        <v>194.18416801292406</v>
      </c>
      <c r="J16" s="46">
        <v>12.38</v>
      </c>
      <c r="K16" s="48">
        <f>IF(('MTD Utility Sheet'!F18-2866)&lt;0,"0",('MTD Utility Sheet'!F18-2866)/(0.568+0.075))</f>
        <v>9200.6220839813395</v>
      </c>
      <c r="L16" s="46">
        <f>'MTD Utility Sheet'!F18/K16</f>
        <v>0.95450067613252176</v>
      </c>
      <c r="M16" s="45">
        <f>'MTD Utility Sheet'!B18*301</f>
        <v>224.0042</v>
      </c>
      <c r="N16" s="43" t="s">
        <v>67</v>
      </c>
    </row>
    <row r="17" spans="1:14">
      <c r="A17" s="42" t="s">
        <v>68</v>
      </c>
      <c r="B17" s="43">
        <f t="shared" si="0"/>
        <v>16</v>
      </c>
      <c r="C17" s="44">
        <v>5</v>
      </c>
      <c r="D17" s="43">
        <v>2024</v>
      </c>
      <c r="E17" s="45">
        <f>'MTD Utility Sheet'!G19/0.439</f>
        <v>15625.922551252846</v>
      </c>
      <c r="F17" s="46">
        <v>0.439</v>
      </c>
      <c r="G17" s="45">
        <f>('MTD Utility Sheet'!I19/1.82)/0.5</f>
        <v>487.99999999999994</v>
      </c>
      <c r="H17" s="47">
        <f t="shared" si="1"/>
        <v>0.91</v>
      </c>
      <c r="I17" s="45">
        <f>'MTD Utility Sheet'!H19/12.38</f>
        <v>190.9854604200323</v>
      </c>
      <c r="J17" s="46">
        <v>12.38</v>
      </c>
      <c r="K17" s="48">
        <f>IF(('MTD Utility Sheet'!F19-2866)&lt;0,"0",('MTD Utility Sheet'!F19-2866)/(0.568+0.075))</f>
        <v>9349.4245723172644</v>
      </c>
      <c r="L17" s="46">
        <f>'MTD Utility Sheet'!F19/K17</f>
        <v>0.94954292976339383</v>
      </c>
      <c r="M17" s="45">
        <f>'MTD Utility Sheet'!B19*301</f>
        <v>304.01</v>
      </c>
      <c r="N17" s="43" t="s">
        <v>67</v>
      </c>
    </row>
    <row r="18" spans="1:14">
      <c r="A18" s="42" t="s">
        <v>68</v>
      </c>
      <c r="B18" s="43">
        <f t="shared" si="0"/>
        <v>17</v>
      </c>
      <c r="C18" s="44">
        <v>5</v>
      </c>
      <c r="D18" s="43">
        <v>2024</v>
      </c>
      <c r="E18" s="45">
        <f>'MTD Utility Sheet'!G20/0.439</f>
        <v>15137.608200455581</v>
      </c>
      <c r="F18" s="46">
        <v>0.439</v>
      </c>
      <c r="G18" s="45">
        <f>('MTD Utility Sheet'!I20/1.82)/0.5</f>
        <v>390.35164835164835</v>
      </c>
      <c r="H18" s="47">
        <f t="shared" si="1"/>
        <v>0.91</v>
      </c>
      <c r="I18" s="45">
        <f>'MTD Utility Sheet'!H20/12.38</f>
        <v>236.8336025848142</v>
      </c>
      <c r="J18" s="46">
        <v>12.38</v>
      </c>
      <c r="K18" s="48">
        <f>IF(('MTD Utility Sheet'!F20-2866)&lt;0,"0",('MTD Utility Sheet'!F20-2866)/(0.568+0.075))</f>
        <v>9221.4774494556768</v>
      </c>
      <c r="L18" s="46">
        <f>'MTD Utility Sheet'!F20/K18</f>
        <v>0.95379618376870545</v>
      </c>
      <c r="M18" s="45">
        <f>'MTD Utility Sheet'!B20*301</f>
        <v>298.89299999999997</v>
      </c>
      <c r="N18" s="43" t="s">
        <v>67</v>
      </c>
    </row>
    <row r="19" spans="1:14">
      <c r="A19" s="42" t="s">
        <v>68</v>
      </c>
      <c r="B19" s="43">
        <f t="shared" si="0"/>
        <v>18</v>
      </c>
      <c r="C19" s="44">
        <v>5</v>
      </c>
      <c r="D19" s="43">
        <v>2024</v>
      </c>
      <c r="E19" s="45">
        <f>'MTD Utility Sheet'!G21/0.439</f>
        <v>15137.608200455581</v>
      </c>
      <c r="F19" s="46">
        <v>0.439</v>
      </c>
      <c r="G19" s="45">
        <f>('MTD Utility Sheet'!I21/1.82)/0.5</f>
        <v>487.99999999999994</v>
      </c>
      <c r="H19" s="47">
        <f t="shared" si="1"/>
        <v>0.91</v>
      </c>
      <c r="I19" s="45">
        <f>'MTD Utility Sheet'!H21/12.38</f>
        <v>226.17124394184165</v>
      </c>
      <c r="J19" s="46">
        <v>12.38</v>
      </c>
      <c r="K19" s="48">
        <f>IF(('MTD Utility Sheet'!F21-2866)&lt;0,"0",('MTD Utility Sheet'!F21-2866)/(0.568+0.075))</f>
        <v>9477.3872472783823</v>
      </c>
      <c r="L19" s="46">
        <f>'MTD Utility Sheet'!F21/K19</f>
        <v>0.94540401971788457</v>
      </c>
      <c r="M19" s="45">
        <f>'MTD Utility Sheet'!B21*301</f>
        <v>288.95999999999998</v>
      </c>
      <c r="N19" s="43" t="s">
        <v>67</v>
      </c>
    </row>
    <row r="20" spans="1:14">
      <c r="A20" s="42" t="s">
        <v>68</v>
      </c>
      <c r="B20" s="43">
        <f t="shared" si="0"/>
        <v>19</v>
      </c>
      <c r="C20" s="44">
        <v>5</v>
      </c>
      <c r="D20" s="43">
        <v>2024</v>
      </c>
      <c r="E20" s="45">
        <f>'MTD Utility Sheet'!G22/0.439</f>
        <v>16602.528473804101</v>
      </c>
      <c r="F20" s="46">
        <v>0.439</v>
      </c>
      <c r="G20" s="45">
        <f>('MTD Utility Sheet'!I22/1.82)/0.5</f>
        <v>487.99999999999994</v>
      </c>
      <c r="H20" s="47">
        <f t="shared" si="1"/>
        <v>0.91</v>
      </c>
      <c r="I20" s="45">
        <f>'MTD Utility Sheet'!H22/12.38</f>
        <v>185.62843295638123</v>
      </c>
      <c r="J20" s="46">
        <v>12.38</v>
      </c>
      <c r="K20" s="48">
        <f>IF(('MTD Utility Sheet'!F22-2866)&lt;0,"0",('MTD Utility Sheet'!F22-2866)/(0.568+0.075))</f>
        <v>9556.9984447900479</v>
      </c>
      <c r="L20" s="46">
        <f>'MTD Utility Sheet'!F22/K20</f>
        <v>0.94288494991985539</v>
      </c>
      <c r="M20" s="45">
        <f>'MTD Utility Sheet'!B22*301</f>
        <v>270.90000000000003</v>
      </c>
      <c r="N20" s="43" t="s">
        <v>67</v>
      </c>
    </row>
    <row r="21" spans="1:14">
      <c r="A21" s="42" t="s">
        <v>68</v>
      </c>
      <c r="B21" s="43">
        <f t="shared" si="0"/>
        <v>20</v>
      </c>
      <c r="C21" s="44">
        <v>5</v>
      </c>
      <c r="D21" s="43">
        <v>2024</v>
      </c>
      <c r="E21" s="45">
        <f>'MTD Utility Sheet'!G23/0.439</f>
        <v>14649.293849658314</v>
      </c>
      <c r="F21" s="46">
        <v>0.439</v>
      </c>
      <c r="G21" s="45">
        <f>('MTD Utility Sheet'!I23/1.82)/0.5</f>
        <v>487.91208791208788</v>
      </c>
      <c r="H21" s="47">
        <f t="shared" si="1"/>
        <v>0.91</v>
      </c>
      <c r="I21" s="45">
        <f>'MTD Utility Sheet'!H23/12.38</f>
        <v>299.74151857835216</v>
      </c>
      <c r="J21" s="46">
        <v>12.38</v>
      </c>
      <c r="K21" s="48">
        <f>IF(('MTD Utility Sheet'!F23-2866)&lt;0,"0",('MTD Utility Sheet'!F23-2866)/(0.568+0.075))</f>
        <v>9804.0435458786942</v>
      </c>
      <c r="L21" s="46">
        <f>'MTD Utility Sheet'!F23/K21</f>
        <v>0.93532836294416233</v>
      </c>
      <c r="M21" s="45">
        <f>'MTD Utility Sheet'!B23*301</f>
        <v>270.99029999999999</v>
      </c>
      <c r="N21" s="43" t="s">
        <v>67</v>
      </c>
    </row>
    <row r="22" spans="1:14">
      <c r="A22" s="42" t="s">
        <v>68</v>
      </c>
      <c r="B22" s="43">
        <f t="shared" si="0"/>
        <v>21</v>
      </c>
      <c r="C22" s="44">
        <v>5</v>
      </c>
      <c r="D22" s="43">
        <v>2024</v>
      </c>
      <c r="E22" s="45">
        <f>'MTD Utility Sheet'!G24/0.439</f>
        <v>16114.214123006834</v>
      </c>
      <c r="F22" s="46">
        <v>0.439</v>
      </c>
      <c r="G22" s="45">
        <f>('MTD Utility Sheet'!I24/1.82)/0.5</f>
        <v>487.99999999999994</v>
      </c>
      <c r="H22" s="47">
        <f t="shared" si="1"/>
        <v>0.91</v>
      </c>
      <c r="I22" s="45">
        <f>'MTD Utility Sheet'!H24/12.38</f>
        <v>225.10500807754443</v>
      </c>
      <c r="J22" s="46">
        <v>12.38</v>
      </c>
      <c r="K22" s="48">
        <f>IF(('MTD Utility Sheet'!F24-2866)&lt;0,"0",('MTD Utility Sheet'!F24-2866)/(0.568+0.075))</f>
        <v>10720</v>
      </c>
      <c r="L22" s="46">
        <f>'MTD Utility Sheet'!F24/K22</f>
        <v>0.91035074626865664</v>
      </c>
      <c r="M22" s="45">
        <f>'MTD Utility Sheet'!B24*301</f>
        <v>284.14400000000001</v>
      </c>
      <c r="N22" s="43" t="s">
        <v>67</v>
      </c>
    </row>
    <row r="23" spans="1:14">
      <c r="A23" s="42" t="s">
        <v>68</v>
      </c>
      <c r="B23" s="43">
        <f t="shared" si="0"/>
        <v>22</v>
      </c>
      <c r="C23" s="44">
        <v>5</v>
      </c>
      <c r="D23" s="43">
        <v>2024</v>
      </c>
      <c r="E23" s="45">
        <f>'MTD Utility Sheet'!G25/0.439</f>
        <v>16114.214123006834</v>
      </c>
      <c r="F23" s="46">
        <v>0.439</v>
      </c>
      <c r="G23" s="45">
        <f>('MTD Utility Sheet'!I25/1.82)/0.5</f>
        <v>487.99999999999994</v>
      </c>
      <c r="H23" s="47">
        <f t="shared" si="1"/>
        <v>0.91</v>
      </c>
      <c r="I23" s="45">
        <f>'MTD Utility Sheet'!H25/12.38</f>
        <v>235.76736672051697</v>
      </c>
      <c r="J23" s="46">
        <v>12.38</v>
      </c>
      <c r="K23" s="48">
        <f>IF(('MTD Utility Sheet'!F25-2866)&lt;0,"0",('MTD Utility Sheet'!F25-2866)/(0.568+0.075))</f>
        <v>10481.135303265944</v>
      </c>
      <c r="L23" s="46">
        <f>'MTD Utility Sheet'!F25/K23</f>
        <v>0.91644366016408041</v>
      </c>
      <c r="M23" s="45">
        <f>'MTD Utility Sheet'!B25*301</f>
        <v>303.10699999999997</v>
      </c>
      <c r="N23" s="43" t="s">
        <v>67</v>
      </c>
    </row>
    <row r="24" spans="1:14">
      <c r="A24" s="42" t="s">
        <v>68</v>
      </c>
      <c r="B24" s="43">
        <f t="shared" si="0"/>
        <v>23</v>
      </c>
      <c r="C24" s="44">
        <v>5</v>
      </c>
      <c r="D24" s="43">
        <v>2024</v>
      </c>
      <c r="E24" s="45">
        <f>'MTD Utility Sheet'!G26/0.439</f>
        <v>16114.214123006834</v>
      </c>
      <c r="F24" s="46">
        <v>0.439</v>
      </c>
      <c r="G24" s="45">
        <f>('MTD Utility Sheet'!I26/1.82)/0.5</f>
        <v>487.99999999999994</v>
      </c>
      <c r="H24" s="47">
        <f t="shared" si="1"/>
        <v>0.91</v>
      </c>
      <c r="I24" s="45">
        <f>'MTD Utility Sheet'!H26/12.38</f>
        <v>232.56865912762518</v>
      </c>
      <c r="J24" s="46">
        <v>12.38</v>
      </c>
      <c r="K24" s="48">
        <f>IF(('MTD Utility Sheet'!F26-2866)&lt;0,"0",('MTD Utility Sheet'!F26-2866)/(0.568+0.075))</f>
        <v>9599.6578538102658</v>
      </c>
      <c r="L24" s="46">
        <f>'MTD Utility Sheet'!F26/K24</f>
        <v>0.94155230713899196</v>
      </c>
      <c r="M24" s="45">
        <f>'MTD Utility Sheet'!B26*301</f>
        <v>304.91299999999995</v>
      </c>
      <c r="N24" s="43" t="s">
        <v>67</v>
      </c>
    </row>
    <row r="25" spans="1:14">
      <c r="A25" s="42" t="s">
        <v>68</v>
      </c>
      <c r="B25" s="43">
        <f t="shared" si="0"/>
        <v>24</v>
      </c>
      <c r="C25" s="44">
        <v>5</v>
      </c>
      <c r="D25" s="43">
        <v>2024</v>
      </c>
      <c r="E25" s="45">
        <f>'MTD Utility Sheet'!G27/0.439</f>
        <v>15625.922551252846</v>
      </c>
      <c r="F25" s="46">
        <v>0.439</v>
      </c>
      <c r="G25" s="45">
        <f>('MTD Utility Sheet'!I27/1.82)/0.5</f>
        <v>487.99999999999994</v>
      </c>
      <c r="H25" s="47">
        <f t="shared" si="1"/>
        <v>0.91</v>
      </c>
      <c r="I25" s="45">
        <f>'MTD Utility Sheet'!H27/12.38</f>
        <v>234.70113085621969</v>
      </c>
      <c r="J25" s="46">
        <v>12.38</v>
      </c>
      <c r="K25" s="48">
        <f>IF(('MTD Utility Sheet'!F27-2866)&lt;0,"0",('MTD Utility Sheet'!F27-2866)/(0.568+0.075))</f>
        <v>10273.561430793157</v>
      </c>
      <c r="L25" s="46">
        <f>'MTD Utility Sheet'!F27/K25</f>
        <v>0.92196849785797541</v>
      </c>
      <c r="M25" s="45">
        <f>'MTD Utility Sheet'!B27*301</f>
        <v>303.10699999999997</v>
      </c>
      <c r="N25" s="43" t="s">
        <v>67</v>
      </c>
    </row>
    <row r="26" spans="1:14">
      <c r="A26" s="42" t="s">
        <v>68</v>
      </c>
      <c r="B26" s="43">
        <f t="shared" si="0"/>
        <v>25</v>
      </c>
      <c r="C26" s="44">
        <v>5</v>
      </c>
      <c r="D26" s="43">
        <v>2024</v>
      </c>
      <c r="E26" s="45">
        <f>'MTD Utility Sheet'!G28/0.439</f>
        <v>15137.608200455581</v>
      </c>
      <c r="F26" s="46">
        <v>0.439</v>
      </c>
      <c r="G26" s="45">
        <f>('MTD Utility Sheet'!I28/1.82)/0.5</f>
        <v>487.99999999999994</v>
      </c>
      <c r="H26" s="47">
        <f t="shared" si="1"/>
        <v>0.91</v>
      </c>
      <c r="I26" s="45">
        <f>'MTD Utility Sheet'!H28/12.38</f>
        <v>254.95961227786751</v>
      </c>
      <c r="J26" s="46">
        <v>12.38</v>
      </c>
      <c r="K26" s="48">
        <f>IF(('MTD Utility Sheet'!F28-2866)&lt;0,"0",('MTD Utility Sheet'!F28-2866)/(0.568+0.075))</f>
        <v>11109.548989113533</v>
      </c>
      <c r="L26" s="46">
        <f>'MTD Utility Sheet'!F28/K26</f>
        <v>0.90097626913643825</v>
      </c>
      <c r="M26" s="45">
        <f>'MTD Utility Sheet'!B28*301</f>
        <v>297.99</v>
      </c>
      <c r="N26" s="43" t="s">
        <v>67</v>
      </c>
    </row>
    <row r="27" spans="1:14">
      <c r="A27" s="42" t="s">
        <v>68</v>
      </c>
      <c r="B27" s="43">
        <f t="shared" si="0"/>
        <v>26</v>
      </c>
      <c r="C27" s="44">
        <v>5</v>
      </c>
      <c r="D27" s="43">
        <v>2024</v>
      </c>
      <c r="E27" s="45">
        <f>'MTD Utility Sheet'!G29/0.439</f>
        <v>16114.214123006834</v>
      </c>
      <c r="F27" s="46">
        <v>0.439</v>
      </c>
      <c r="G27" s="45">
        <f>('MTD Utility Sheet'!I29/1.82)/0.5</f>
        <v>487.99999999999994</v>
      </c>
      <c r="H27" s="47">
        <f t="shared" si="1"/>
        <v>0.91</v>
      </c>
      <c r="I27" s="45">
        <f>'MTD Utility Sheet'!H29/12.38</f>
        <v>246.4297253634895</v>
      </c>
      <c r="J27" s="46">
        <v>12.38</v>
      </c>
      <c r="K27" s="48">
        <f>IF(('MTD Utility Sheet'!F29-2866)&lt;0,"0",('MTD Utility Sheet'!F29-2866)/(0.568+0.075))</f>
        <v>11408.118195956456</v>
      </c>
      <c r="L27" s="46">
        <f>'MTD Utility Sheet'!F29/K27</f>
        <v>0.89422460608935805</v>
      </c>
      <c r="M27" s="45">
        <f>'MTD Utility Sheet'!B29*301</f>
        <v>294.98</v>
      </c>
      <c r="N27" s="43" t="s">
        <v>67</v>
      </c>
    </row>
    <row r="28" spans="1:14">
      <c r="A28" s="42" t="s">
        <v>68</v>
      </c>
      <c r="B28" s="43">
        <f t="shared" si="0"/>
        <v>27</v>
      </c>
      <c r="C28" s="44">
        <v>5</v>
      </c>
      <c r="D28" s="43">
        <v>2024</v>
      </c>
      <c r="E28" s="45">
        <f>'MTD Utility Sheet'!G30/0.439</f>
        <v>17579.157175398632</v>
      </c>
      <c r="F28" s="46">
        <v>0.439</v>
      </c>
      <c r="G28" s="45">
        <f>('MTD Utility Sheet'!I30/1.82)/0.5</f>
        <v>487.99999999999994</v>
      </c>
      <c r="H28" s="47">
        <f t="shared" si="1"/>
        <v>0.91</v>
      </c>
      <c r="I28" s="45">
        <f>'MTD Utility Sheet'!H30/12.38</f>
        <v>260.29079159935378</v>
      </c>
      <c r="J28" s="46">
        <v>12.38</v>
      </c>
      <c r="K28" s="48">
        <f>IF(('MTD Utility Sheet'!F30-2866)&lt;0,"0",('MTD Utility Sheet'!F30-2866)/(0.568+0.075))</f>
        <v>11715.225505443235</v>
      </c>
      <c r="L28" s="46">
        <f>'MTD Utility Sheet'!F30/K28</f>
        <v>0.8876389101659522</v>
      </c>
      <c r="M28" s="45">
        <f>'MTD Utility Sheet'!B30*301</f>
        <v>296.0034</v>
      </c>
      <c r="N28" s="43" t="s">
        <v>67</v>
      </c>
    </row>
    <row r="29" spans="1:14">
      <c r="A29" s="42" t="s">
        <v>68</v>
      </c>
      <c r="B29" s="43">
        <f t="shared" si="0"/>
        <v>28</v>
      </c>
      <c r="C29" s="44">
        <v>5</v>
      </c>
      <c r="D29" s="43">
        <v>2024</v>
      </c>
      <c r="E29" s="45">
        <f>'MTD Utility Sheet'!G31/0.439</f>
        <v>16602.528473804101</v>
      </c>
      <c r="F29" s="46">
        <v>0.439</v>
      </c>
      <c r="G29" s="45">
        <f>('MTD Utility Sheet'!I31/1.82)/0.5</f>
        <v>487.99999999999994</v>
      </c>
      <c r="H29" s="47">
        <f t="shared" si="1"/>
        <v>0.91</v>
      </c>
      <c r="I29" s="45">
        <f>'MTD Utility Sheet'!H31/12.38</f>
        <v>268.82067851373182</v>
      </c>
      <c r="J29" s="46">
        <v>12.38</v>
      </c>
      <c r="K29" s="48">
        <f>IF(('MTD Utility Sheet'!F31-2866)&lt;0,"0",('MTD Utility Sheet'!F31-2866)/(0.568+0.075))</f>
        <v>12198.615863141524</v>
      </c>
      <c r="L29" s="46">
        <f>'MTD Utility Sheet'!F31/K29</f>
        <v>0.87794468816414672</v>
      </c>
      <c r="M29" s="45">
        <f>'MTD Utility Sheet'!B31*301</f>
        <v>301</v>
      </c>
      <c r="N29" s="43" t="s">
        <v>67</v>
      </c>
    </row>
    <row r="30" spans="1:14">
      <c r="A30" s="42" t="s">
        <v>68</v>
      </c>
      <c r="B30" s="43">
        <f t="shared" si="0"/>
        <v>29</v>
      </c>
      <c r="C30" s="44">
        <v>5</v>
      </c>
      <c r="D30" s="43">
        <v>2024</v>
      </c>
      <c r="E30" s="45">
        <f>'MTD Utility Sheet'!G32/0.439</f>
        <v>16114.214123006834</v>
      </c>
      <c r="F30" s="46">
        <v>0.439</v>
      </c>
      <c r="G30" s="45">
        <f>('MTD Utility Sheet'!I32/1.82)/0.5</f>
        <v>585.60439560439556</v>
      </c>
      <c r="H30" s="47">
        <f t="shared" si="1"/>
        <v>0.91</v>
      </c>
      <c r="I30" s="45">
        <f>'MTD Utility Sheet'!H32/12.38</f>
        <v>242.16478190630048</v>
      </c>
      <c r="J30" s="46">
        <v>12.38</v>
      </c>
      <c r="K30" s="48">
        <f>IF(('MTD Utility Sheet'!F32-2866)&lt;0,"0",('MTD Utility Sheet'!F32-2866)/(0.568+0.075))</f>
        <v>13242.177293934683</v>
      </c>
      <c r="L30" s="46">
        <f>'MTD Utility Sheet'!F32/K30</f>
        <v>0.85942966533250642</v>
      </c>
      <c r="M30" s="45">
        <f>'MTD Utility Sheet'!B32*301</f>
        <v>299.01339999999999</v>
      </c>
      <c r="N30" s="43" t="s">
        <v>67</v>
      </c>
    </row>
    <row r="31" spans="1:14">
      <c r="A31" s="42" t="s">
        <v>68</v>
      </c>
      <c r="B31" s="43">
        <f t="shared" si="0"/>
        <v>30</v>
      </c>
      <c r="C31" s="44">
        <v>5</v>
      </c>
      <c r="D31" s="43">
        <v>2025</v>
      </c>
      <c r="E31" s="45">
        <f>'MTD Utility Sheet'!G33/0.439</f>
        <v>17090.842824601368</v>
      </c>
      <c r="F31" s="46">
        <v>0.439</v>
      </c>
      <c r="G31" s="45">
        <f>('MTD Utility Sheet'!I33/1.82)/0.5</f>
        <v>487.99999999999994</v>
      </c>
      <c r="H31" s="47">
        <f t="shared" si="1"/>
        <v>0.91</v>
      </c>
      <c r="I31" s="45">
        <f>'MTD Utility Sheet'!H33/12.38</f>
        <v>260.29079159935378</v>
      </c>
      <c r="J31" s="46">
        <v>12.38</v>
      </c>
      <c r="K31" s="48">
        <f>IF(('MTD Utility Sheet'!F33-2866)&lt;0,"0",('MTD Utility Sheet'!F33-2866)/(0.568+0.075))</f>
        <v>13623.203732503889</v>
      </c>
      <c r="L31" s="46">
        <f>'MTD Utility Sheet'!F33/K31</f>
        <v>0.85337635906170506</v>
      </c>
      <c r="M31" s="45">
        <f>'MTD Utility Sheet'!B33*301</f>
        <v>296.99670000000003</v>
      </c>
    </row>
    <row r="32" spans="1:14">
      <c r="A32" s="42" t="s">
        <v>68</v>
      </c>
      <c r="B32" s="43">
        <f t="shared" si="0"/>
        <v>31</v>
      </c>
      <c r="C32" s="44">
        <v>5</v>
      </c>
      <c r="D32" s="43">
        <v>2026</v>
      </c>
      <c r="E32" s="45">
        <f>'MTD Utility Sheet'!G34/0.439</f>
        <v>17090.842824601368</v>
      </c>
      <c r="F32" s="46">
        <v>0.439</v>
      </c>
      <c r="G32" s="45">
        <f>('MTD Utility Sheet'!I34/1.82)/0.5</f>
        <v>487.96703296703294</v>
      </c>
      <c r="H32" s="47">
        <f t="shared" si="1"/>
        <v>0.91</v>
      </c>
      <c r="I32" s="45">
        <f>'MTD Utility Sheet'!H34/12.38</f>
        <v>270.95315024232633</v>
      </c>
      <c r="J32" s="46">
        <v>12.38</v>
      </c>
      <c r="K32" s="48">
        <f>IF(('MTD Utility Sheet'!F34-2866)&lt;0,"0",('MTD Utility Sheet'!F34-2866)/(0.568+0.075))</f>
        <v>13515.147744945569</v>
      </c>
      <c r="L32" s="46">
        <f>'MTD Utility Sheet'!F34/K32</f>
        <v>0.85505835512022677</v>
      </c>
      <c r="M32" s="45">
        <f>'MTD Utility Sheet'!B34*301</f>
        <v>299.01339999999999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7"/>
  <sheetViews>
    <sheetView tabSelected="1" zoomScaleNormal="100" zoomScaleSheetLayoutView="100" workbookViewId="0">
      <pane ySplit="3" topLeftCell="A19" activePane="bottomLeft" state="frozen"/>
      <selection activeCell="A5" sqref="A5:H5"/>
      <selection pane="bottomLeft" activeCell="D36" sqref="D36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9" t="s">
        <v>71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59"/>
      <c r="B2" s="59"/>
      <c r="C2" s="59"/>
      <c r="D2" s="59"/>
      <c r="E2" s="59"/>
      <c r="F2" s="59"/>
      <c r="G2" s="59"/>
      <c r="H2" s="59"/>
      <c r="I2" s="59"/>
      <c r="J2" s="59"/>
    </row>
    <row r="3" spans="1:10" s="4" customFormat="1" ht="30.75" customHeight="1">
      <c r="A3" s="15"/>
      <c r="B3" s="16" t="s">
        <v>10</v>
      </c>
      <c r="C3" s="25" t="s">
        <v>49</v>
      </c>
      <c r="D3" s="16" t="s">
        <v>11</v>
      </c>
      <c r="E3" s="25" t="s">
        <v>46</v>
      </c>
      <c r="F3" s="17" t="s">
        <v>7</v>
      </c>
      <c r="G3" s="15" t="s">
        <v>5</v>
      </c>
      <c r="H3" s="15" t="s">
        <v>6</v>
      </c>
      <c r="I3" s="30" t="s">
        <v>8</v>
      </c>
      <c r="J3" s="15" t="s">
        <v>9</v>
      </c>
    </row>
    <row r="4" spans="1:10" s="4" customFormat="1" ht="21" customHeight="1">
      <c r="A4" s="18">
        <v>1</v>
      </c>
      <c r="B4" s="55">
        <v>0.97</v>
      </c>
      <c r="C4" s="56" t="s">
        <v>73</v>
      </c>
      <c r="D4" s="55">
        <v>0.54</v>
      </c>
      <c r="E4" s="57">
        <v>1085</v>
      </c>
      <c r="F4" s="58">
        <v>8296.26</v>
      </c>
      <c r="G4" s="58">
        <v>6216.67</v>
      </c>
      <c r="H4" s="58">
        <v>2892.4</v>
      </c>
      <c r="I4" s="58">
        <v>444.08</v>
      </c>
      <c r="J4" s="21">
        <f>SUM(F4+G4+H4+I4)</f>
        <v>17849.410000000003</v>
      </c>
    </row>
    <row r="5" spans="1:10" s="4" customFormat="1" ht="21" customHeight="1">
      <c r="A5" s="18">
        <v>2</v>
      </c>
      <c r="B5" s="55">
        <v>0.91359999999999997</v>
      </c>
      <c r="C5" s="56" t="s">
        <v>75</v>
      </c>
      <c r="D5" s="55">
        <v>0.6</v>
      </c>
      <c r="E5" s="57">
        <v>1206</v>
      </c>
      <c r="F5" s="58">
        <v>8327</v>
      </c>
      <c r="G5" s="58">
        <v>6216.67</v>
      </c>
      <c r="H5" s="58">
        <v>2549.1999999999998</v>
      </c>
      <c r="I5" s="58">
        <v>444</v>
      </c>
      <c r="J5" s="21">
        <f t="shared" ref="J5:J29" si="0">SUM(F5+G5+H5+I5)</f>
        <v>17536.87</v>
      </c>
    </row>
    <row r="6" spans="1:10" s="4" customFormat="1" ht="21" customHeight="1">
      <c r="A6" s="18">
        <v>3</v>
      </c>
      <c r="B6" s="55">
        <v>0.97299999999999998</v>
      </c>
      <c r="C6" s="56" t="s">
        <v>77</v>
      </c>
      <c r="D6" s="55">
        <v>0.7</v>
      </c>
      <c r="E6" s="57">
        <v>1355</v>
      </c>
      <c r="F6" s="58">
        <v>8250.5499999999993</v>
      </c>
      <c r="G6" s="58">
        <v>6645.41</v>
      </c>
      <c r="H6" s="58">
        <v>2747.2</v>
      </c>
      <c r="I6" s="58">
        <v>444.08</v>
      </c>
      <c r="J6" s="21">
        <f t="shared" si="0"/>
        <v>18087.240000000002</v>
      </c>
    </row>
    <row r="7" spans="1:10" s="4" customFormat="1" ht="21" customHeight="1">
      <c r="A7" s="18">
        <v>4</v>
      </c>
      <c r="B7" s="55">
        <v>0.99299999999999999</v>
      </c>
      <c r="C7" s="56" t="s">
        <v>79</v>
      </c>
      <c r="D7" s="55">
        <v>0.48</v>
      </c>
      <c r="E7" s="57">
        <v>1326</v>
      </c>
      <c r="F7" s="58">
        <v>8296.26</v>
      </c>
      <c r="G7" s="58">
        <v>6645.41</v>
      </c>
      <c r="H7" s="58">
        <v>2747.2</v>
      </c>
      <c r="I7" s="58">
        <v>444.08</v>
      </c>
      <c r="J7" s="21">
        <f t="shared" si="0"/>
        <v>18132.95</v>
      </c>
    </row>
    <row r="8" spans="1:10" s="4" customFormat="1" ht="21" customHeight="1">
      <c r="A8" s="18">
        <v>5</v>
      </c>
      <c r="B8" s="55">
        <v>0.91</v>
      </c>
      <c r="C8" s="56" t="s">
        <v>79</v>
      </c>
      <c r="D8" s="55">
        <v>0.68</v>
      </c>
      <c r="E8" s="57">
        <v>1308</v>
      </c>
      <c r="F8" s="58">
        <v>8318.2000000000007</v>
      </c>
      <c r="G8" s="58">
        <v>6431.04</v>
      </c>
      <c r="H8" s="58">
        <v>2654.8</v>
      </c>
      <c r="I8" s="58">
        <v>444.08</v>
      </c>
      <c r="J8" s="21">
        <f t="shared" si="0"/>
        <v>17848.120000000003</v>
      </c>
    </row>
    <row r="9" spans="1:10" s="4" customFormat="1" ht="21" customHeight="1">
      <c r="A9" s="18">
        <v>6</v>
      </c>
      <c r="B9" s="55">
        <v>0.88400000000000001</v>
      </c>
      <c r="C9" s="56" t="s">
        <v>82</v>
      </c>
      <c r="D9" s="55">
        <v>0.52</v>
      </c>
      <c r="E9" s="57">
        <v>1049</v>
      </c>
      <c r="F9" s="58">
        <v>8270.66</v>
      </c>
      <c r="G9" s="58">
        <v>6431.04</v>
      </c>
      <c r="H9" s="58">
        <v>2536</v>
      </c>
      <c r="I9" s="58">
        <v>444.08</v>
      </c>
      <c r="J9" s="21">
        <f t="shared" si="0"/>
        <v>17681.780000000002</v>
      </c>
    </row>
    <row r="10" spans="1:10" s="4" customFormat="1" ht="21" customHeight="1">
      <c r="A10" s="18">
        <v>7</v>
      </c>
      <c r="B10" s="55">
        <v>0.94</v>
      </c>
      <c r="C10" s="56" t="s">
        <v>73</v>
      </c>
      <c r="D10" s="55">
        <v>0.48</v>
      </c>
      <c r="E10" s="57">
        <v>1210</v>
      </c>
      <c r="F10" s="58">
        <v>8643.65</v>
      </c>
      <c r="G10" s="58">
        <v>6645.41</v>
      </c>
      <c r="H10" s="58">
        <v>2206</v>
      </c>
      <c r="I10" s="58">
        <v>444.08</v>
      </c>
      <c r="J10" s="21">
        <f t="shared" si="0"/>
        <v>17939.14</v>
      </c>
    </row>
    <row r="11" spans="1:10" s="4" customFormat="1" ht="21" customHeight="1">
      <c r="A11" s="18">
        <v>8</v>
      </c>
      <c r="B11" s="19">
        <v>0.98</v>
      </c>
      <c r="C11" s="20" t="s">
        <v>85</v>
      </c>
      <c r="D11" s="19">
        <v>0.68</v>
      </c>
      <c r="E11" s="22">
        <v>1362</v>
      </c>
      <c r="F11" s="21">
        <v>8170.1</v>
      </c>
      <c r="G11" s="21">
        <v>6431.04</v>
      </c>
      <c r="H11" s="21">
        <v>2536</v>
      </c>
      <c r="I11" s="21">
        <v>444.08</v>
      </c>
      <c r="J11" s="21">
        <f t="shared" si="0"/>
        <v>17581.22</v>
      </c>
    </row>
    <row r="12" spans="1:10" s="4" customFormat="1" ht="21" customHeight="1">
      <c r="A12" s="18">
        <v>9</v>
      </c>
      <c r="B12" s="19">
        <v>0.88700000000000001</v>
      </c>
      <c r="C12" s="20" t="s">
        <v>87</v>
      </c>
      <c r="D12" s="19">
        <v>0.7</v>
      </c>
      <c r="E12" s="22">
        <v>1196</v>
      </c>
      <c r="F12" s="21">
        <v>9795.52</v>
      </c>
      <c r="G12" s="21">
        <v>6216</v>
      </c>
      <c r="H12" s="21">
        <v>2298</v>
      </c>
      <c r="I12" s="21">
        <v>444</v>
      </c>
      <c r="J12" s="21">
        <f t="shared" si="0"/>
        <v>18753.52</v>
      </c>
    </row>
    <row r="13" spans="1:10" s="4" customFormat="1" ht="21" customHeight="1">
      <c r="A13" s="18">
        <v>10</v>
      </c>
      <c r="B13" s="19">
        <v>0.98699999999999999</v>
      </c>
      <c r="C13" s="20" t="s">
        <v>89</v>
      </c>
      <c r="D13" s="19">
        <v>0.57999999999999996</v>
      </c>
      <c r="E13" s="22">
        <v>1307</v>
      </c>
      <c r="F13" s="21">
        <v>7462.52</v>
      </c>
      <c r="G13" s="21">
        <v>7074.14</v>
      </c>
      <c r="H13" s="21">
        <v>2681.2</v>
      </c>
      <c r="I13" s="21">
        <v>444.08</v>
      </c>
      <c r="J13" s="21">
        <f t="shared" si="0"/>
        <v>17661.940000000002</v>
      </c>
    </row>
    <row r="14" spans="1:10" s="4" customFormat="1" ht="21" customHeight="1">
      <c r="A14" s="18">
        <v>11</v>
      </c>
      <c r="B14" s="19">
        <v>0.88</v>
      </c>
      <c r="C14" s="20" t="s">
        <v>91</v>
      </c>
      <c r="D14" s="19">
        <v>0.54</v>
      </c>
      <c r="E14" s="22">
        <v>1319</v>
      </c>
      <c r="F14" s="21">
        <v>8795.41</v>
      </c>
      <c r="G14" s="21">
        <v>6431.04</v>
      </c>
      <c r="H14" s="21">
        <v>2483.1999999999998</v>
      </c>
      <c r="I14" s="21">
        <v>444.08</v>
      </c>
      <c r="J14" s="21">
        <f t="shared" si="0"/>
        <v>18153.730000000003</v>
      </c>
    </row>
    <row r="15" spans="1:10" s="4" customFormat="1" ht="21" customHeight="1">
      <c r="A15" s="18">
        <v>12</v>
      </c>
      <c r="B15" s="19">
        <v>0.74399999999999999</v>
      </c>
      <c r="C15" s="20" t="s">
        <v>73</v>
      </c>
      <c r="D15" s="19">
        <v>0.48</v>
      </c>
      <c r="E15" s="22">
        <v>1204</v>
      </c>
      <c r="F15" s="21">
        <v>8535.7800000000007</v>
      </c>
      <c r="G15" s="21">
        <v>6431.04</v>
      </c>
      <c r="H15" s="21">
        <v>2549.1999999999998</v>
      </c>
      <c r="I15" s="21">
        <v>488.49</v>
      </c>
      <c r="J15" s="21">
        <f t="shared" si="0"/>
        <v>18004.510000000002</v>
      </c>
    </row>
    <row r="16" spans="1:10" s="4" customFormat="1" ht="21" customHeight="1">
      <c r="A16" s="18">
        <v>13</v>
      </c>
      <c r="B16" s="19">
        <v>0.75700000000000001</v>
      </c>
      <c r="C16" s="20" t="s">
        <v>94</v>
      </c>
      <c r="D16" s="19">
        <v>0.52</v>
      </c>
      <c r="E16" s="22">
        <v>881</v>
      </c>
      <c r="F16" s="21">
        <v>9007.5</v>
      </c>
      <c r="G16" s="21">
        <v>6645.41</v>
      </c>
      <c r="H16" s="21">
        <v>2549.1999999999998</v>
      </c>
      <c r="I16" s="21">
        <v>444.08</v>
      </c>
      <c r="J16" s="21">
        <f t="shared" si="0"/>
        <v>18646.190000000002</v>
      </c>
    </row>
    <row r="17" spans="1:10" s="4" customFormat="1" ht="21" customHeight="1">
      <c r="A17" s="18">
        <v>14</v>
      </c>
      <c r="B17" s="19">
        <v>0.83699999999999997</v>
      </c>
      <c r="C17" s="20" t="s">
        <v>96</v>
      </c>
      <c r="D17" s="19">
        <v>0.57999999999999996</v>
      </c>
      <c r="E17" s="22">
        <v>984</v>
      </c>
      <c r="F17" s="21">
        <v>8766.15</v>
      </c>
      <c r="G17" s="21">
        <v>6645.41</v>
      </c>
      <c r="H17" s="21">
        <v>2166.4</v>
      </c>
      <c r="I17" s="21">
        <v>444.08</v>
      </c>
      <c r="J17" s="21">
        <f t="shared" si="0"/>
        <v>18022.04</v>
      </c>
    </row>
    <row r="18" spans="1:10" s="4" customFormat="1" ht="21" customHeight="1">
      <c r="A18" s="18">
        <v>15</v>
      </c>
      <c r="B18" s="19">
        <v>0.74419999999999997</v>
      </c>
      <c r="C18" s="20" t="s">
        <v>98</v>
      </c>
      <c r="D18" s="19">
        <v>0.56000000000000005</v>
      </c>
      <c r="E18" s="22">
        <v>1238</v>
      </c>
      <c r="F18" s="21">
        <v>8782</v>
      </c>
      <c r="G18" s="21">
        <v>6431</v>
      </c>
      <c r="H18" s="21">
        <v>2404</v>
      </c>
      <c r="I18" s="21">
        <v>444</v>
      </c>
      <c r="J18" s="21">
        <f t="shared" si="0"/>
        <v>18061</v>
      </c>
    </row>
    <row r="19" spans="1:10" s="4" customFormat="1" ht="21" customHeight="1">
      <c r="A19" s="18">
        <v>16</v>
      </c>
      <c r="B19" s="19">
        <v>1.01</v>
      </c>
      <c r="C19" s="20" t="s">
        <v>98</v>
      </c>
      <c r="D19" s="19">
        <v>0.48</v>
      </c>
      <c r="E19" s="22">
        <v>1385</v>
      </c>
      <c r="F19" s="21">
        <v>8877.68</v>
      </c>
      <c r="G19" s="21">
        <v>6859.78</v>
      </c>
      <c r="H19" s="21">
        <v>2364.4</v>
      </c>
      <c r="I19" s="21">
        <v>444.08</v>
      </c>
      <c r="J19" s="21">
        <f t="shared" si="0"/>
        <v>18545.940000000002</v>
      </c>
    </row>
    <row r="20" spans="1:10" s="4" customFormat="1" ht="21" customHeight="1">
      <c r="A20" s="18">
        <v>17</v>
      </c>
      <c r="B20" s="19">
        <v>0.99299999999999999</v>
      </c>
      <c r="C20" s="20" t="s">
        <v>94</v>
      </c>
      <c r="D20" s="19">
        <v>0.65</v>
      </c>
      <c r="E20" s="22">
        <v>1362</v>
      </c>
      <c r="F20" s="21">
        <v>8795.41</v>
      </c>
      <c r="G20" s="21">
        <v>6645.41</v>
      </c>
      <c r="H20" s="21">
        <v>2932</v>
      </c>
      <c r="I20" s="21">
        <v>355.22</v>
      </c>
      <c r="J20" s="21">
        <f t="shared" si="0"/>
        <v>18728.04</v>
      </c>
    </row>
    <row r="21" spans="1:10" s="4" customFormat="1" ht="21" customHeight="1">
      <c r="A21" s="18">
        <v>18</v>
      </c>
      <c r="B21" s="19">
        <v>0.96</v>
      </c>
      <c r="C21" s="20" t="s">
        <v>98</v>
      </c>
      <c r="D21" s="19">
        <v>0.68</v>
      </c>
      <c r="E21" s="22">
        <v>1419</v>
      </c>
      <c r="F21" s="21">
        <v>8959.9599999999991</v>
      </c>
      <c r="G21" s="21">
        <v>6645.41</v>
      </c>
      <c r="H21" s="21">
        <v>2800</v>
      </c>
      <c r="I21" s="21">
        <v>444.08</v>
      </c>
      <c r="J21" s="21">
        <f t="shared" si="0"/>
        <v>18849.45</v>
      </c>
    </row>
    <row r="22" spans="1:10" s="4" customFormat="1" ht="21" customHeight="1">
      <c r="A22" s="18">
        <v>19</v>
      </c>
      <c r="B22" s="19">
        <v>0.9</v>
      </c>
      <c r="C22" s="20" t="s">
        <v>94</v>
      </c>
      <c r="D22" s="19">
        <v>0.64</v>
      </c>
      <c r="E22" s="22">
        <v>1134</v>
      </c>
      <c r="F22" s="21">
        <v>9011.15</v>
      </c>
      <c r="G22" s="21">
        <v>7288.51</v>
      </c>
      <c r="H22" s="21">
        <v>2298.08</v>
      </c>
      <c r="I22" s="21">
        <v>444.08</v>
      </c>
      <c r="J22" s="21">
        <f t="shared" si="0"/>
        <v>19041.82</v>
      </c>
    </row>
    <row r="23" spans="1:10" s="4" customFormat="1" ht="21" customHeight="1">
      <c r="A23" s="18">
        <v>20</v>
      </c>
      <c r="B23" s="19">
        <v>0.90029999999999999</v>
      </c>
      <c r="C23" s="20" t="s">
        <v>73</v>
      </c>
      <c r="D23" s="19">
        <v>0.67</v>
      </c>
      <c r="E23" s="22">
        <v>1090</v>
      </c>
      <c r="F23" s="21">
        <v>9170</v>
      </c>
      <c r="G23" s="21">
        <v>6431.04</v>
      </c>
      <c r="H23" s="21">
        <v>3710.8</v>
      </c>
      <c r="I23" s="21">
        <v>444</v>
      </c>
      <c r="J23" s="21">
        <f t="shared" si="0"/>
        <v>19755.84</v>
      </c>
    </row>
    <row r="24" spans="1:10" s="4" customFormat="1" ht="21" customHeight="1">
      <c r="A24" s="18">
        <v>21</v>
      </c>
      <c r="B24" s="19">
        <v>0.94399999999999995</v>
      </c>
      <c r="C24" s="20" t="s">
        <v>82</v>
      </c>
      <c r="D24" s="19">
        <v>0.68</v>
      </c>
      <c r="E24" s="22">
        <v>1147</v>
      </c>
      <c r="F24" s="21">
        <v>9758.9599999999991</v>
      </c>
      <c r="G24" s="21">
        <v>7074.14</v>
      </c>
      <c r="H24" s="21">
        <v>2786.8</v>
      </c>
      <c r="I24" s="21">
        <v>444.08</v>
      </c>
      <c r="J24" s="21">
        <f t="shared" si="0"/>
        <v>20063.98</v>
      </c>
    </row>
    <row r="25" spans="1:10" s="4" customFormat="1" ht="21" customHeight="1">
      <c r="A25" s="18">
        <v>22</v>
      </c>
      <c r="B25" s="19">
        <v>1.0069999999999999</v>
      </c>
      <c r="C25" s="20" t="s">
        <v>94</v>
      </c>
      <c r="D25" s="19">
        <v>0.6</v>
      </c>
      <c r="E25" s="22">
        <v>1246</v>
      </c>
      <c r="F25" s="21">
        <v>9605.3700000000008</v>
      </c>
      <c r="G25" s="21">
        <v>7074.14</v>
      </c>
      <c r="H25" s="21">
        <v>2918.8</v>
      </c>
      <c r="I25" s="21">
        <v>444.08</v>
      </c>
      <c r="J25" s="21">
        <f t="shared" si="0"/>
        <v>20042.390000000003</v>
      </c>
    </row>
    <row r="26" spans="1:10" s="4" customFormat="1" ht="21" customHeight="1">
      <c r="A26" s="18">
        <v>23</v>
      </c>
      <c r="B26" s="19">
        <v>1.0129999999999999</v>
      </c>
      <c r="C26" s="20" t="s">
        <v>94</v>
      </c>
      <c r="D26" s="19">
        <v>0.57999999999999996</v>
      </c>
      <c r="E26" s="22">
        <v>1408</v>
      </c>
      <c r="F26" s="21">
        <v>9038.58</v>
      </c>
      <c r="G26" s="21">
        <v>7074.14</v>
      </c>
      <c r="H26" s="21">
        <v>2879.2</v>
      </c>
      <c r="I26" s="21">
        <v>444.08</v>
      </c>
      <c r="J26" s="21">
        <f t="shared" si="0"/>
        <v>19436.000000000004</v>
      </c>
    </row>
    <row r="27" spans="1:10" s="4" customFormat="1" ht="21" customHeight="1">
      <c r="A27" s="18">
        <v>24</v>
      </c>
      <c r="B27" s="19">
        <v>1.0069999999999999</v>
      </c>
      <c r="C27" s="20" t="s">
        <v>82</v>
      </c>
      <c r="D27" s="19">
        <v>0.78</v>
      </c>
      <c r="E27" s="22">
        <v>1435</v>
      </c>
      <c r="F27" s="21">
        <v>9471.9</v>
      </c>
      <c r="G27" s="21">
        <v>6859.78</v>
      </c>
      <c r="H27" s="21">
        <v>2905.6</v>
      </c>
      <c r="I27" s="21">
        <v>444.08</v>
      </c>
      <c r="J27" s="21">
        <f t="shared" si="0"/>
        <v>19681.36</v>
      </c>
    </row>
    <row r="28" spans="1:10" s="4" customFormat="1" ht="21" customHeight="1">
      <c r="A28" s="18">
        <v>25</v>
      </c>
      <c r="B28" s="19">
        <v>0.99</v>
      </c>
      <c r="C28" s="20" t="s">
        <v>94</v>
      </c>
      <c r="D28" s="19">
        <v>0.64</v>
      </c>
      <c r="E28" s="22">
        <v>1576</v>
      </c>
      <c r="F28" s="21">
        <v>10009.44</v>
      </c>
      <c r="G28" s="21">
        <v>6645.41</v>
      </c>
      <c r="H28" s="21">
        <v>3156.4</v>
      </c>
      <c r="I28" s="21">
        <v>444.08</v>
      </c>
      <c r="J28" s="21">
        <f t="shared" si="0"/>
        <v>20255.330000000002</v>
      </c>
    </row>
    <row r="29" spans="1:10" s="4" customFormat="1" ht="21" customHeight="1">
      <c r="A29" s="18">
        <v>26</v>
      </c>
      <c r="B29" s="19">
        <v>0.98</v>
      </c>
      <c r="C29" s="20" t="s">
        <v>110</v>
      </c>
      <c r="D29" s="19">
        <v>0.83</v>
      </c>
      <c r="E29" s="22">
        <v>1501</v>
      </c>
      <c r="F29" s="21">
        <v>10201.42</v>
      </c>
      <c r="G29" s="21">
        <v>7074.14</v>
      </c>
      <c r="H29" s="21">
        <v>3050.8</v>
      </c>
      <c r="I29" s="21">
        <v>444.08</v>
      </c>
      <c r="J29" s="21">
        <f t="shared" si="0"/>
        <v>20770.440000000002</v>
      </c>
    </row>
    <row r="30" spans="1:10" s="4" customFormat="1" ht="21" customHeight="1">
      <c r="A30" s="18">
        <v>27</v>
      </c>
      <c r="B30" s="55">
        <v>0.98340000000000005</v>
      </c>
      <c r="C30" s="56" t="s">
        <v>112</v>
      </c>
      <c r="D30" s="55">
        <v>0.71</v>
      </c>
      <c r="E30" s="57">
        <v>1426</v>
      </c>
      <c r="F30" s="58">
        <v>10398.89</v>
      </c>
      <c r="G30" s="58">
        <v>7717.25</v>
      </c>
      <c r="H30" s="58">
        <v>3222.4</v>
      </c>
      <c r="I30" s="58">
        <v>444.08</v>
      </c>
      <c r="J30" s="58">
        <f t="shared" ref="J30:J34" si="1">SUM(F30+G30+H30+I30)</f>
        <v>21782.620000000003</v>
      </c>
    </row>
    <row r="31" spans="1:10" s="4" customFormat="1" ht="21" customHeight="1">
      <c r="A31" s="18">
        <v>28</v>
      </c>
      <c r="B31" s="55">
        <v>1</v>
      </c>
      <c r="C31" s="56" t="s">
        <v>114</v>
      </c>
      <c r="D31" s="55">
        <v>0.93</v>
      </c>
      <c r="E31" s="57">
        <v>1556</v>
      </c>
      <c r="F31" s="58">
        <v>10709.71</v>
      </c>
      <c r="G31" s="58">
        <v>7288.51</v>
      </c>
      <c r="H31" s="58">
        <v>3328</v>
      </c>
      <c r="I31" s="58">
        <v>444.08</v>
      </c>
      <c r="J31" s="58">
        <f t="shared" si="1"/>
        <v>21770.300000000003</v>
      </c>
    </row>
    <row r="32" spans="1:10" s="4" customFormat="1" ht="21" customHeight="1">
      <c r="A32" s="18">
        <v>29</v>
      </c>
      <c r="B32" s="55">
        <v>0.99339999999999995</v>
      </c>
      <c r="C32" s="56" t="s">
        <v>116</v>
      </c>
      <c r="D32" s="55">
        <v>0.91</v>
      </c>
      <c r="E32" s="57">
        <v>1532</v>
      </c>
      <c r="F32" s="58">
        <v>11380.72</v>
      </c>
      <c r="G32" s="58">
        <v>7074.14</v>
      </c>
      <c r="H32" s="58">
        <v>2998</v>
      </c>
      <c r="I32" s="58">
        <v>532.9</v>
      </c>
      <c r="J32" s="58">
        <f t="shared" si="1"/>
        <v>21985.760000000002</v>
      </c>
    </row>
    <row r="33" spans="1:10" s="4" customFormat="1" ht="21" customHeight="1">
      <c r="A33" s="23">
        <v>30</v>
      </c>
      <c r="B33" s="55">
        <v>0.98670000000000002</v>
      </c>
      <c r="C33" s="56" t="s">
        <v>110</v>
      </c>
      <c r="D33" s="55">
        <v>0.79</v>
      </c>
      <c r="E33" s="57">
        <v>1654</v>
      </c>
      <c r="F33" s="58">
        <v>11625.72</v>
      </c>
      <c r="G33" s="58">
        <v>7502.88</v>
      </c>
      <c r="H33" s="58">
        <v>3222.4</v>
      </c>
      <c r="I33" s="58">
        <v>444.08</v>
      </c>
      <c r="J33" s="58">
        <f t="shared" si="1"/>
        <v>22795.08</v>
      </c>
    </row>
    <row r="34" spans="1:10" s="4" customFormat="1" ht="21" customHeight="1">
      <c r="A34" s="18">
        <v>31</v>
      </c>
      <c r="B34" s="55">
        <v>0.99339999999999995</v>
      </c>
      <c r="C34" s="56" t="s">
        <v>119</v>
      </c>
      <c r="D34" s="55">
        <v>0.78</v>
      </c>
      <c r="E34" s="57">
        <v>1600</v>
      </c>
      <c r="F34" s="58">
        <v>11556.24</v>
      </c>
      <c r="G34" s="58">
        <v>7502.88</v>
      </c>
      <c r="H34" s="58">
        <v>3354.4</v>
      </c>
      <c r="I34" s="58">
        <v>444.05</v>
      </c>
      <c r="J34" s="58">
        <f t="shared" si="1"/>
        <v>22857.57</v>
      </c>
    </row>
    <row r="35" spans="1:10" s="5" customFormat="1" ht="22.5" customHeight="1">
      <c r="A35" s="11" t="s">
        <v>47</v>
      </c>
      <c r="B35" s="12"/>
      <c r="C35" s="13"/>
      <c r="D35" s="12"/>
      <c r="E35" s="13"/>
      <c r="F35" s="6">
        <f t="shared" ref="F35:J35" si="2">SUM(F4:F34)</f>
        <v>286288.70999999996</v>
      </c>
      <c r="G35" s="6">
        <f t="shared" si="2"/>
        <v>210294.2900000001</v>
      </c>
      <c r="H35" s="6">
        <f t="shared" si="2"/>
        <v>85928.079999999987</v>
      </c>
      <c r="I35" s="6">
        <f t="shared" si="2"/>
        <v>13810.499999999998</v>
      </c>
      <c r="J35" s="6">
        <f t="shared" si="2"/>
        <v>596321.57999999996</v>
      </c>
    </row>
    <row r="36" spans="1:10" s="9" customFormat="1" ht="22.5" customHeight="1">
      <c r="A36" s="7" t="s">
        <v>48</v>
      </c>
      <c r="B36" s="14">
        <f>AVERAGE(B4:B34)</f>
        <v>0.93745161290322576</v>
      </c>
      <c r="C36" s="8" t="e">
        <f>AVERAGE(C4:C34)</f>
        <v>#DIV/0!</v>
      </c>
      <c r="D36" s="14">
        <f>AVERAGE(D4:D34)</f>
        <v>0.64483870967741941</v>
      </c>
      <c r="E36" s="8">
        <f>SUM(E4:E34)</f>
        <v>40501</v>
      </c>
      <c r="F36" s="8">
        <f>F35*0.38</f>
        <v>108789.70979999998</v>
      </c>
      <c r="G36" s="8">
        <f>G35/12.9</f>
        <v>16301.882945736441</v>
      </c>
      <c r="H36" s="8">
        <f>H35/0.92</f>
        <v>93400.086956521714</v>
      </c>
      <c r="I36" s="8">
        <f>I35/1.76</f>
        <v>7846.8749999999991</v>
      </c>
      <c r="J36" s="27"/>
    </row>
    <row r="37" spans="1:10">
      <c r="F37" s="10"/>
      <c r="G37" s="10"/>
      <c r="H37" s="10"/>
      <c r="I37" s="10"/>
      <c r="J37" s="26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118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62439.39</v>
      </c>
      <c r="C4" s="50" t="s">
        <v>15</v>
      </c>
      <c r="D4" s="28">
        <v>62486.92</v>
      </c>
      <c r="E4" s="50" t="s">
        <v>16</v>
      </c>
      <c r="F4" s="50">
        <f>D4-B4</f>
        <v>47.529999999998836</v>
      </c>
      <c r="G4" s="50" t="s">
        <v>17</v>
      </c>
      <c r="H4" s="50">
        <f>F4*284.35</f>
        <v>13515.15549999967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7676.6083239998115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1013.6366624999752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11556.244986499787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41806</v>
      </c>
      <c r="E11" s="50" t="s">
        <v>23</v>
      </c>
      <c r="F11" s="28">
        <v>41815</v>
      </c>
      <c r="G11" s="50" t="s">
        <v>24</v>
      </c>
      <c r="H11" s="50">
        <f>F11-D11</f>
        <v>9</v>
      </c>
    </row>
    <row r="12" spans="1:8" ht="16.5" customHeight="1">
      <c r="A12" s="63" t="s">
        <v>25</v>
      </c>
      <c r="B12" s="63"/>
      <c r="C12" s="52" t="s">
        <v>22</v>
      </c>
      <c r="D12" s="28">
        <v>69222</v>
      </c>
      <c r="E12" s="50" t="s">
        <v>23</v>
      </c>
      <c r="F12" s="28">
        <v>69236</v>
      </c>
      <c r="G12" s="50" t="s">
        <v>24</v>
      </c>
      <c r="H12" s="50">
        <f>F12-D12</f>
        <v>14</v>
      </c>
    </row>
    <row r="13" spans="1:8" ht="16.5" customHeight="1">
      <c r="A13" s="63" t="s">
        <v>26</v>
      </c>
      <c r="B13" s="63"/>
      <c r="C13" s="52" t="s">
        <v>22</v>
      </c>
      <c r="D13" s="28">
        <v>70393</v>
      </c>
      <c r="E13" s="50" t="s">
        <v>23</v>
      </c>
      <c r="F13" s="28">
        <v>70405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35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17052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6479.76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1023.12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7502.88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269893</v>
      </c>
      <c r="C24" s="50" t="s">
        <v>1</v>
      </c>
      <c r="D24" s="29">
        <v>270160</v>
      </c>
      <c r="E24" s="50" t="s">
        <v>33</v>
      </c>
      <c r="F24" s="50">
        <f>D24-B24</f>
        <v>267</v>
      </c>
      <c r="G24" s="50" t="s">
        <v>34</v>
      </c>
      <c r="H24" s="50">
        <f>F24*220</f>
        <v>58740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1782.04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234.96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587.4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3354.4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65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22857.604986499788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D34" sqref="D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117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62391.48</v>
      </c>
      <c r="C4" s="50" t="s">
        <v>15</v>
      </c>
      <c r="D4" s="28">
        <v>62439.39</v>
      </c>
      <c r="E4" s="50" t="s">
        <v>16</v>
      </c>
      <c r="F4" s="50">
        <f>D4-B4</f>
        <v>47.909999999996217</v>
      </c>
      <c r="G4" s="50" t="s">
        <v>17</v>
      </c>
      <c r="H4" s="50">
        <f>F4*284.35</f>
        <v>13623.208499998926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7737.9824279993891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1021.7406374999193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11625.723065499309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41798</v>
      </c>
      <c r="E11" s="50" t="s">
        <v>23</v>
      </c>
      <c r="F11" s="28">
        <v>41806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69207</v>
      </c>
      <c r="E12" s="50" t="s">
        <v>23</v>
      </c>
      <c r="F12" s="28">
        <v>69222</v>
      </c>
      <c r="G12" s="50" t="s">
        <v>24</v>
      </c>
      <c r="H12" s="50">
        <f>F12-D12</f>
        <v>15</v>
      </c>
    </row>
    <row r="13" spans="1:8" ht="16.5" customHeight="1">
      <c r="A13" s="63" t="s">
        <v>26</v>
      </c>
      <c r="B13" s="63"/>
      <c r="C13" s="52" t="s">
        <v>22</v>
      </c>
      <c r="D13" s="28">
        <v>70381</v>
      </c>
      <c r="E13" s="50" t="s">
        <v>23</v>
      </c>
      <c r="F13" s="28">
        <v>70393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35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17052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6479.76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1023.12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7502.88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269636</v>
      </c>
      <c r="C24" s="50" t="s">
        <v>1</v>
      </c>
      <c r="D24" s="29">
        <v>269893</v>
      </c>
      <c r="E24" s="50" t="s">
        <v>33</v>
      </c>
      <c r="F24" s="50">
        <f>D24-B24</f>
        <v>257</v>
      </c>
      <c r="G24" s="50" t="s">
        <v>34</v>
      </c>
      <c r="H24" s="50">
        <f>F24*220</f>
        <v>56540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1680.84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226.16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565.4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3222.4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85</v>
      </c>
      <c r="E33" s="50" t="s">
        <v>42</v>
      </c>
      <c r="F33" s="24">
        <v>75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22795.083065499311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115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62344.91</v>
      </c>
      <c r="C4" s="50" t="s">
        <v>15</v>
      </c>
      <c r="D4" s="28">
        <v>62391.48</v>
      </c>
      <c r="E4" s="50" t="s">
        <v>16</v>
      </c>
      <c r="F4" s="50">
        <f>D4-B4</f>
        <v>46.569999999999709</v>
      </c>
      <c r="G4" s="50" t="s">
        <v>17</v>
      </c>
      <c r="H4" s="50">
        <f>F4*284.35</f>
        <v>13242.179499999918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7521.5579559999533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993.16346249999378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11380.721418499947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41791</v>
      </c>
      <c r="E11" s="50" t="s">
        <v>23</v>
      </c>
      <c r="F11" s="28">
        <v>41798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69193</v>
      </c>
      <c r="E12" s="50" t="s">
        <v>23</v>
      </c>
      <c r="F12" s="28">
        <v>69207</v>
      </c>
      <c r="G12" s="50" t="s">
        <v>24</v>
      </c>
      <c r="H12" s="50">
        <f>F12-D12</f>
        <v>14</v>
      </c>
    </row>
    <row r="13" spans="1:8" ht="16.5" customHeight="1">
      <c r="A13" s="63" t="s">
        <v>26</v>
      </c>
      <c r="B13" s="63"/>
      <c r="C13" s="52" t="s">
        <v>22</v>
      </c>
      <c r="D13" s="28">
        <v>70369</v>
      </c>
      <c r="E13" s="50" t="s">
        <v>23</v>
      </c>
      <c r="F13" s="28">
        <v>70381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269396</v>
      </c>
      <c r="C24" s="50" t="s">
        <v>1</v>
      </c>
      <c r="D24" s="29">
        <v>269636</v>
      </c>
      <c r="E24" s="50" t="s">
        <v>33</v>
      </c>
      <c r="F24" s="50">
        <f>D24-B24</f>
        <v>240</v>
      </c>
      <c r="G24" s="50" t="s">
        <v>34</v>
      </c>
      <c r="H24" s="50">
        <f>F24*220</f>
        <v>52800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1508.8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211.20000000000002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528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30</v>
      </c>
      <c r="E34" s="50" t="s">
        <v>42</v>
      </c>
      <c r="F34" s="24">
        <v>18</v>
      </c>
      <c r="G34" s="50" t="s">
        <v>43</v>
      </c>
      <c r="H34" s="54">
        <f>(D34-F34)*48.8</f>
        <v>585.59999999999991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532.89599999999996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21985.761418499947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113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62302.01</v>
      </c>
      <c r="C4" s="50" t="s">
        <v>15</v>
      </c>
      <c r="D4" s="28">
        <v>62344.91</v>
      </c>
      <c r="E4" s="50" t="s">
        <v>16</v>
      </c>
      <c r="F4" s="50">
        <f>D4-B4</f>
        <v>42.900000000001455</v>
      </c>
      <c r="G4" s="50" t="s">
        <v>17</v>
      </c>
      <c r="H4" s="50">
        <f>F4*284.35</f>
        <v>12198.615000000415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6928.8133200002349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914.89612500003102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10709.709445000266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41783</v>
      </c>
      <c r="E11" s="50" t="s">
        <v>23</v>
      </c>
      <c r="F11" s="28">
        <v>41791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69179</v>
      </c>
      <c r="E12" s="50" t="s">
        <v>23</v>
      </c>
      <c r="F12" s="28">
        <v>69193</v>
      </c>
      <c r="G12" s="50" t="s">
        <v>24</v>
      </c>
      <c r="H12" s="50">
        <f>F12-D12</f>
        <v>14</v>
      </c>
    </row>
    <row r="13" spans="1:8" ht="16.5" customHeight="1">
      <c r="A13" s="63" t="s">
        <v>26</v>
      </c>
      <c r="B13" s="63"/>
      <c r="C13" s="52" t="s">
        <v>22</v>
      </c>
      <c r="D13" s="28">
        <v>70357</v>
      </c>
      <c r="E13" s="50" t="s">
        <v>23</v>
      </c>
      <c r="F13" s="28">
        <v>70369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16564.8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6294.6239999999998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993.88799999999992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7288.5119999999997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269131</v>
      </c>
      <c r="C24" s="50" t="s">
        <v>1</v>
      </c>
      <c r="D24" s="29">
        <v>269396</v>
      </c>
      <c r="E24" s="50" t="s">
        <v>33</v>
      </c>
      <c r="F24" s="50">
        <f>D24-B24</f>
        <v>265</v>
      </c>
      <c r="G24" s="50" t="s">
        <v>34</v>
      </c>
      <c r="H24" s="50">
        <f>F24*220</f>
        <v>58300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1761.8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233.20000000000002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583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3328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40</v>
      </c>
      <c r="E34" s="50" t="s">
        <v>42</v>
      </c>
      <c r="F34" s="24">
        <v>30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21770.301445000267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Normal="100" workbookViewId="0">
      <selection activeCell="K24" sqref="K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111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62260.81</v>
      </c>
      <c r="C4" s="50" t="s">
        <v>15</v>
      </c>
      <c r="D4" s="28">
        <v>62302.01</v>
      </c>
      <c r="E4" s="50" t="s">
        <v>16</v>
      </c>
      <c r="F4" s="50">
        <f>D4-B4</f>
        <v>41.200000000004366</v>
      </c>
      <c r="G4" s="50" t="s">
        <v>17</v>
      </c>
      <c r="H4" s="50">
        <f>F4*284.35</f>
        <v>11715.220000001242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6654.2449600007049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878.64150000009306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10398.886460000798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41775</v>
      </c>
      <c r="E11" s="50" t="s">
        <v>23</v>
      </c>
      <c r="F11" s="28">
        <v>41783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69164</v>
      </c>
      <c r="E12" s="50" t="s">
        <v>23</v>
      </c>
      <c r="F12" s="28">
        <v>69179</v>
      </c>
      <c r="G12" s="50" t="s">
        <v>24</v>
      </c>
      <c r="H12" s="50">
        <f>F12-D12</f>
        <v>15</v>
      </c>
    </row>
    <row r="13" spans="1:8" ht="16.5" customHeight="1">
      <c r="A13" s="63" t="s">
        <v>26</v>
      </c>
      <c r="B13" s="63"/>
      <c r="C13" s="52" t="s">
        <v>22</v>
      </c>
      <c r="D13" s="28">
        <v>70344</v>
      </c>
      <c r="E13" s="50" t="s">
        <v>23</v>
      </c>
      <c r="F13" s="28">
        <v>70357</v>
      </c>
      <c r="G13" s="50" t="s">
        <v>24</v>
      </c>
      <c r="H13" s="50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36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17539.2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6664.8960000000006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1052.3520000000001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7717.2480000000005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268874</v>
      </c>
      <c r="C24" s="50" t="s">
        <v>1</v>
      </c>
      <c r="D24" s="29">
        <v>269131</v>
      </c>
      <c r="E24" s="50" t="s">
        <v>33</v>
      </c>
      <c r="F24" s="50">
        <f>D24-B24</f>
        <v>257</v>
      </c>
      <c r="G24" s="50" t="s">
        <v>34</v>
      </c>
      <c r="H24" s="50">
        <f>F24*220</f>
        <v>56540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1680.84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226.16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565.4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3222.4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50</v>
      </c>
      <c r="E34" s="50" t="s">
        <v>42</v>
      </c>
      <c r="F34" s="24">
        <v>40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21782.614460000801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109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62220.69</v>
      </c>
      <c r="C4" s="50" t="s">
        <v>15</v>
      </c>
      <c r="D4" s="28">
        <v>62260.81</v>
      </c>
      <c r="E4" s="50" t="s">
        <v>16</v>
      </c>
      <c r="F4" s="50">
        <f>D4-B4</f>
        <v>40.119999999995343</v>
      </c>
      <c r="G4" s="50" t="s">
        <v>17</v>
      </c>
      <c r="H4" s="50">
        <f>F4*284.35</f>
        <v>11408.121999998677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6479.8132959992481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855.60914999990075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10201.422445999149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41767</v>
      </c>
      <c r="E11" s="50" t="s">
        <v>23</v>
      </c>
      <c r="F11" s="28">
        <v>41775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69151</v>
      </c>
      <c r="E12" s="50" t="s">
        <v>23</v>
      </c>
      <c r="F12" s="28">
        <v>69164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70332</v>
      </c>
      <c r="E13" s="50" t="s">
        <v>23</v>
      </c>
      <c r="F13" s="28">
        <v>70344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268630</v>
      </c>
      <c r="C24" s="50" t="s">
        <v>1</v>
      </c>
      <c r="D24" s="29">
        <v>268874</v>
      </c>
      <c r="E24" s="50" t="s">
        <v>33</v>
      </c>
      <c r="F24" s="50">
        <f>D24-B24</f>
        <v>244</v>
      </c>
      <c r="G24" s="50" t="s">
        <v>34</v>
      </c>
      <c r="H24" s="50">
        <f>F24*220</f>
        <v>53680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1549.28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214.72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536.79999999999995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3050.7999999999993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60</v>
      </c>
      <c r="E34" s="50" t="s">
        <v>42</v>
      </c>
      <c r="F34" s="24">
        <v>50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20770.446445999147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108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62181.62</v>
      </c>
      <c r="C4" s="50" t="s">
        <v>15</v>
      </c>
      <c r="D4" s="28">
        <v>62220.69</v>
      </c>
      <c r="E4" s="50" t="s">
        <v>16</v>
      </c>
      <c r="F4" s="50">
        <f>D4-B4</f>
        <v>39.069999999999709</v>
      </c>
      <c r="G4" s="50" t="s">
        <v>17</v>
      </c>
      <c r="H4" s="50">
        <f>F4*284.35</f>
        <v>11109.554499999918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6310.2269559999531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833.21658749999381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10009.443543499947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41760</v>
      </c>
      <c r="E11" s="50" t="s">
        <v>23</v>
      </c>
      <c r="F11" s="28">
        <v>41767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69138</v>
      </c>
      <c r="E12" s="50" t="s">
        <v>23</v>
      </c>
      <c r="F12" s="28">
        <v>69151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70321</v>
      </c>
      <c r="E13" s="50" t="s">
        <v>23</v>
      </c>
      <c r="F13" s="28">
        <v>70332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268378</v>
      </c>
      <c r="C24" s="50" t="s">
        <v>1</v>
      </c>
      <c r="D24" s="29">
        <v>268630</v>
      </c>
      <c r="E24" s="50" t="s">
        <v>33</v>
      </c>
      <c r="F24" s="50">
        <f>D24-B24</f>
        <v>252</v>
      </c>
      <c r="G24" s="50" t="s">
        <v>34</v>
      </c>
      <c r="H24" s="50">
        <f>F24*220</f>
        <v>55440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1630.24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221.76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554.4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3156.4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70</v>
      </c>
      <c r="E34" s="50" t="s">
        <v>42</v>
      </c>
      <c r="F34" s="24">
        <v>60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20255.331543499946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107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62145.49</v>
      </c>
      <c r="C4" s="50" t="s">
        <v>15</v>
      </c>
      <c r="D4" s="28">
        <v>62181.62</v>
      </c>
      <c r="E4" s="50" t="s">
        <v>16</v>
      </c>
      <c r="F4" s="50">
        <f>D4-B4</f>
        <v>36.130000000004657</v>
      </c>
      <c r="G4" s="50" t="s">
        <v>17</v>
      </c>
      <c r="H4" s="50">
        <f>F4*284.35</f>
        <v>10273.565500001325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5835.3852040007523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770.51741250009934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9471.9026165008509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41752</v>
      </c>
      <c r="E11" s="50" t="s">
        <v>23</v>
      </c>
      <c r="F11" s="28">
        <v>41760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69125</v>
      </c>
      <c r="E12" s="50" t="s">
        <v>23</v>
      </c>
      <c r="F12" s="28">
        <v>69138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70310</v>
      </c>
      <c r="E13" s="50" t="s">
        <v>23</v>
      </c>
      <c r="F13" s="28">
        <v>70321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15590.4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5924.3519999999999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935.42399999999998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6859.7759999999998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268145</v>
      </c>
      <c r="C24" s="50" t="s">
        <v>1</v>
      </c>
      <c r="D24" s="29">
        <v>268378</v>
      </c>
      <c r="E24" s="50" t="s">
        <v>33</v>
      </c>
      <c r="F24" s="50">
        <f>D24-B24</f>
        <v>233</v>
      </c>
      <c r="G24" s="50" t="s">
        <v>34</v>
      </c>
      <c r="H24" s="50">
        <f>F24*220</f>
        <v>51260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1437.96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205.04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512.6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2905.6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19681.358616500849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106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62111.73</v>
      </c>
      <c r="C4" s="50" t="s">
        <v>15</v>
      </c>
      <c r="D4" s="28">
        <v>62145.49</v>
      </c>
      <c r="E4" s="50" t="s">
        <v>16</v>
      </c>
      <c r="F4" s="50">
        <f>D4-B4</f>
        <v>33.759999999994761</v>
      </c>
      <c r="G4" s="50" t="s">
        <v>17</v>
      </c>
      <c r="H4" s="50">
        <f>F4*284.35</f>
        <v>9599.6559999985111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5452.6046079991538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719.97419999988836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9038.5788079990416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41744</v>
      </c>
      <c r="E11" s="50" t="s">
        <v>23</v>
      </c>
      <c r="F11" s="28">
        <v>41752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69111</v>
      </c>
      <c r="E12" s="50" t="s">
        <v>23</v>
      </c>
      <c r="F12" s="28">
        <v>69125</v>
      </c>
      <c r="G12" s="50" t="s">
        <v>24</v>
      </c>
      <c r="H12" s="50">
        <f>F12-D12</f>
        <v>14</v>
      </c>
    </row>
    <row r="13" spans="1:8" ht="16.5" customHeight="1">
      <c r="A13" s="63" t="s">
        <v>26</v>
      </c>
      <c r="B13" s="63"/>
      <c r="C13" s="52" t="s">
        <v>22</v>
      </c>
      <c r="D13" s="28">
        <v>70299</v>
      </c>
      <c r="E13" s="50" t="s">
        <v>23</v>
      </c>
      <c r="F13" s="28">
        <v>70310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267914</v>
      </c>
      <c r="C24" s="50" t="s">
        <v>1</v>
      </c>
      <c r="D24" s="29">
        <v>268145</v>
      </c>
      <c r="E24" s="50" t="s">
        <v>33</v>
      </c>
      <c r="F24" s="50">
        <f>D24-B24</f>
        <v>231</v>
      </c>
      <c r="G24" s="50" t="s">
        <v>34</v>
      </c>
      <c r="H24" s="50">
        <f>F24*220</f>
        <v>50820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1417.72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203.28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508.2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2879.2000000000003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85</v>
      </c>
      <c r="E33" s="50" t="s">
        <v>42</v>
      </c>
      <c r="F33" s="24">
        <v>75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19436.002807999041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105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62074.87</v>
      </c>
      <c r="C4" s="50" t="s">
        <v>15</v>
      </c>
      <c r="D4" s="28">
        <v>62111.73</v>
      </c>
      <c r="E4" s="50" t="s">
        <v>16</v>
      </c>
      <c r="F4" s="50">
        <f>D4-B4</f>
        <v>36.860000000000582</v>
      </c>
      <c r="G4" s="50" t="s">
        <v>17</v>
      </c>
      <c r="H4" s="50">
        <f>F4*284.35</f>
        <v>10481.141000000167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5953.2880880000939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786.08557500001245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9605.3736630001076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41736</v>
      </c>
      <c r="E11" s="50" t="s">
        <v>23</v>
      </c>
      <c r="F11" s="28">
        <v>41744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69098</v>
      </c>
      <c r="E12" s="50" t="s">
        <v>23</v>
      </c>
      <c r="F12" s="28">
        <v>69111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70287</v>
      </c>
      <c r="E13" s="50" t="s">
        <v>23</v>
      </c>
      <c r="F13" s="28">
        <v>70299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267680</v>
      </c>
      <c r="C24" s="50" t="s">
        <v>1</v>
      </c>
      <c r="D24" s="29">
        <v>267914</v>
      </c>
      <c r="E24" s="50" t="s">
        <v>33</v>
      </c>
      <c r="F24" s="50">
        <f>D24-B24</f>
        <v>234</v>
      </c>
      <c r="G24" s="50" t="s">
        <v>34</v>
      </c>
      <c r="H24" s="50">
        <f>F24*220</f>
        <v>51480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1448.08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205.92000000000002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514.79999999999995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2918.8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70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22</v>
      </c>
      <c r="E34" s="50" t="s">
        <v>42</v>
      </c>
      <c r="F34" s="24">
        <v>22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20042.397663000109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19" zoomScaleNormal="100" workbookViewId="0">
      <selection activeCell="B56" sqref="B5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104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62037.17</v>
      </c>
      <c r="C4" s="50" t="s">
        <v>15</v>
      </c>
      <c r="D4" s="28">
        <v>62074.87</v>
      </c>
      <c r="E4" s="50" t="s">
        <v>16</v>
      </c>
      <c r="F4" s="50">
        <f>D4-B4</f>
        <v>37.700000000004366</v>
      </c>
      <c r="G4" s="50" t="s">
        <v>17</v>
      </c>
      <c r="H4" s="50">
        <f>F4*284.35</f>
        <v>10719.995000001241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6088.9571600007048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803.99962500009303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9758.9567850007988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41728</v>
      </c>
      <c r="E11" s="50" t="s">
        <v>23</v>
      </c>
      <c r="F11" s="28">
        <v>41736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69085</v>
      </c>
      <c r="E12" s="50" t="s">
        <v>23</v>
      </c>
      <c r="F12" s="28">
        <v>69098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70275</v>
      </c>
      <c r="E13" s="50" t="s">
        <v>23</v>
      </c>
      <c r="F13" s="28">
        <v>70287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267456</v>
      </c>
      <c r="C24" s="50" t="s">
        <v>1</v>
      </c>
      <c r="D24" s="29">
        <v>267680</v>
      </c>
      <c r="E24" s="50" t="s">
        <v>33</v>
      </c>
      <c r="F24" s="50">
        <f>D24-B24</f>
        <v>224</v>
      </c>
      <c r="G24" s="50" t="s">
        <v>34</v>
      </c>
      <c r="H24" s="50">
        <f>F24*220</f>
        <v>49280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1346.8799999999999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197.12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492.8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2786.8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32</v>
      </c>
      <c r="E34" s="50" t="s">
        <v>42</v>
      </c>
      <c r="F34" s="24">
        <v>22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20063.980785000796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3" zoomScaleNormal="100" workbookViewId="0">
      <selection activeCell="D27" sqref="D27:H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103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62002.69</v>
      </c>
      <c r="C4" s="50" t="s">
        <v>15</v>
      </c>
      <c r="D4" s="28">
        <v>62037.17</v>
      </c>
      <c r="E4" s="50" t="s">
        <v>16</v>
      </c>
      <c r="F4" s="50">
        <f>D4-B4</f>
        <v>34.479999999995925</v>
      </c>
      <c r="G4" s="50" t="s">
        <v>17</v>
      </c>
      <c r="H4" s="50">
        <f>F4*284.35</f>
        <v>9804.3879999988421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5568.8923839993422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735.32909999991318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9170.2214839992557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41721</v>
      </c>
      <c r="E11" s="50" t="s">
        <v>23</v>
      </c>
      <c r="F11" s="28">
        <v>41728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69072</v>
      </c>
      <c r="E12" s="50" t="s">
        <v>23</v>
      </c>
      <c r="F12" s="28">
        <v>69085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70265</v>
      </c>
      <c r="E13" s="50" t="s">
        <v>23</v>
      </c>
      <c r="F13" s="28">
        <v>70275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267162</v>
      </c>
      <c r="C24" s="50" t="s">
        <v>1</v>
      </c>
      <c r="D24" s="29">
        <v>267456</v>
      </c>
      <c r="E24" s="50" t="s">
        <v>33</v>
      </c>
      <c r="F24" s="50">
        <f>D24-B24</f>
        <v>294</v>
      </c>
      <c r="G24" s="50" t="s">
        <v>34</v>
      </c>
      <c r="H24" s="50">
        <f>F24*220</f>
        <v>64680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2055.2799999999997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258.72000000000003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646.80000000000007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3710.8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42</v>
      </c>
      <c r="E34" s="50" t="s">
        <v>42</v>
      </c>
      <c r="F34" s="24">
        <v>32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19756.141483999254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zoomScaleNormal="100" workbookViewId="0">
      <selection activeCell="D17" sqref="D17:H1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102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61969.08</v>
      </c>
      <c r="C4" s="50" t="s">
        <v>15</v>
      </c>
      <c r="D4" s="28">
        <v>62002.69</v>
      </c>
      <c r="E4" s="50" t="s">
        <v>16</v>
      </c>
      <c r="F4" s="50">
        <f>D4-B4</f>
        <v>33.610000000000582</v>
      </c>
      <c r="G4" s="50" t="s">
        <v>17</v>
      </c>
      <c r="H4" s="50">
        <f>F4*284.35</f>
        <v>9557.0035000001662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5428.3779880000939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716.77526250001245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9011.1532505001051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41713</v>
      </c>
      <c r="E11" s="50" t="s">
        <v>23</v>
      </c>
      <c r="F11" s="28">
        <v>41721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69059</v>
      </c>
      <c r="E12" s="50" t="s">
        <v>23</v>
      </c>
      <c r="F12" s="28">
        <v>69072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70252</v>
      </c>
      <c r="E13" s="50" t="s">
        <v>23</v>
      </c>
      <c r="F13" s="28">
        <v>70265</v>
      </c>
      <c r="G13" s="50" t="s">
        <v>24</v>
      </c>
      <c r="H13" s="50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16564.8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6294.6239999999998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993.88799999999992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7288.5119999999997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266975</v>
      </c>
      <c r="C24" s="50" t="s">
        <v>1</v>
      </c>
      <c r="D24" s="29">
        <v>267162</v>
      </c>
      <c r="E24" s="50" t="s">
        <v>33</v>
      </c>
      <c r="F24" s="50">
        <f>D24-B24</f>
        <v>187</v>
      </c>
      <c r="G24" s="50" t="s">
        <v>34</v>
      </c>
      <c r="H24" s="50">
        <f>F24*220</f>
        <v>41140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972.43999999999994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164.56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411.40000000000003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2298.4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52</v>
      </c>
      <c r="E34" s="50" t="s">
        <v>42</v>
      </c>
      <c r="F34" s="24">
        <v>42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19042.145250500107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101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61935.75</v>
      </c>
      <c r="C4" s="50" t="s">
        <v>15</v>
      </c>
      <c r="D4" s="28">
        <v>61969.08</v>
      </c>
      <c r="E4" s="50" t="s">
        <v>16</v>
      </c>
      <c r="F4" s="50">
        <f>D4-B4</f>
        <v>33.330000000001746</v>
      </c>
      <c r="G4" s="50" t="s">
        <v>17</v>
      </c>
      <c r="H4" s="50">
        <f>F4*284.35</f>
        <v>9477.3855000004969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5383.1549640002813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710.8039125000372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8959.9588765003173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41705</v>
      </c>
      <c r="E11" s="50" t="s">
        <v>23</v>
      </c>
      <c r="F11" s="28">
        <v>41713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69047</v>
      </c>
      <c r="E12" s="50" t="s">
        <v>23</v>
      </c>
      <c r="F12" s="28">
        <v>69059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70241</v>
      </c>
      <c r="E13" s="50" t="s">
        <v>23</v>
      </c>
      <c r="F13" s="28">
        <v>70252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266750</v>
      </c>
      <c r="C24" s="50" t="s">
        <v>1</v>
      </c>
      <c r="D24" s="29">
        <v>266975</v>
      </c>
      <c r="E24" s="50" t="s">
        <v>33</v>
      </c>
      <c r="F24" s="50">
        <f>D24-B24</f>
        <v>225</v>
      </c>
      <c r="G24" s="50" t="s">
        <v>34</v>
      </c>
      <c r="H24" s="50">
        <f>F24*220</f>
        <v>49500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1357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495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2800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62</v>
      </c>
      <c r="E34" s="50" t="s">
        <v>42</v>
      </c>
      <c r="F34" s="24">
        <v>52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18849.446876500318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100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61903.32</v>
      </c>
      <c r="C4" s="50" t="s">
        <v>15</v>
      </c>
      <c r="D4" s="28">
        <v>61935.75</v>
      </c>
      <c r="E4" s="50" t="s">
        <v>16</v>
      </c>
      <c r="F4" s="50">
        <f>D4-B4</f>
        <v>32.430000000000291</v>
      </c>
      <c r="G4" s="50" t="s">
        <v>17</v>
      </c>
      <c r="H4" s="50">
        <f>F4*284.35</f>
        <v>9221.4705000000831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5237.7952440000463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691.61028750000617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8795.4055315000514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41697</v>
      </c>
      <c r="E11" s="50" t="s">
        <v>23</v>
      </c>
      <c r="F11" s="28">
        <v>41705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69035</v>
      </c>
      <c r="E12" s="50" t="s">
        <v>23</v>
      </c>
      <c r="F12" s="28">
        <v>69047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70230</v>
      </c>
      <c r="E13" s="50" t="s">
        <v>23</v>
      </c>
      <c r="F13" s="28">
        <v>70241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266515</v>
      </c>
      <c r="C24" s="50" t="s">
        <v>1</v>
      </c>
      <c r="D24" s="29">
        <v>266750</v>
      </c>
      <c r="E24" s="50" t="s">
        <v>33</v>
      </c>
      <c r="F24" s="50">
        <f>D24-B24</f>
        <v>235</v>
      </c>
      <c r="G24" s="50" t="s">
        <v>34</v>
      </c>
      <c r="H24" s="50">
        <f>F24*220</f>
        <v>51700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1458.2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206.8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517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2932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70</v>
      </c>
      <c r="E34" s="50" t="s">
        <v>42</v>
      </c>
      <c r="F34" s="24">
        <v>62</v>
      </c>
      <c r="G34" s="50" t="s">
        <v>43</v>
      </c>
      <c r="H34" s="54">
        <f>(D34-F34)*48.8</f>
        <v>390.4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355.26400000000001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18728.07753150005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99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61870.44</v>
      </c>
      <c r="C4" s="50" t="s">
        <v>15</v>
      </c>
      <c r="D4" s="28">
        <v>61903.32</v>
      </c>
      <c r="E4" s="50" t="s">
        <v>16</v>
      </c>
      <c r="F4" s="50">
        <f>D4-B4</f>
        <v>32.879999999997381</v>
      </c>
      <c r="G4" s="50" t="s">
        <v>17</v>
      </c>
      <c r="H4" s="50">
        <f>F4*284.35</f>
        <v>9349.4279999992559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5310.4751039995772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701.20709999994415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8877.6822039995204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41689</v>
      </c>
      <c r="E11" s="50" t="s">
        <v>23</v>
      </c>
      <c r="F11" s="28">
        <v>41697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69022</v>
      </c>
      <c r="E12" s="50" t="s">
        <v>23</v>
      </c>
      <c r="F12" s="28">
        <v>69035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70219</v>
      </c>
      <c r="E13" s="50" t="s">
        <v>23</v>
      </c>
      <c r="F13" s="28">
        <v>70230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15590.4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5924.3519999999999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935.42399999999998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6859.7759999999998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266323</v>
      </c>
      <c r="C24" s="50" t="s">
        <v>1</v>
      </c>
      <c r="D24" s="29">
        <v>266515</v>
      </c>
      <c r="E24" s="50" t="s">
        <v>33</v>
      </c>
      <c r="F24" s="50">
        <f>D24-B24</f>
        <v>192</v>
      </c>
      <c r="G24" s="50" t="s">
        <v>34</v>
      </c>
      <c r="H24" s="50">
        <f>F24*220</f>
        <v>42240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1023.04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168.96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422.40000000000003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2364.4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18545.938203999522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97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61838.080000000002</v>
      </c>
      <c r="C4" s="50" t="s">
        <v>15</v>
      </c>
      <c r="D4" s="28">
        <v>61870.44</v>
      </c>
      <c r="E4" s="50" t="s">
        <v>16</v>
      </c>
      <c r="F4" s="50">
        <f>D4-B4</f>
        <v>32.360000000000582</v>
      </c>
      <c r="G4" s="50" t="s">
        <v>17</v>
      </c>
      <c r="H4" s="50">
        <f>F4*284.35</f>
        <v>9201.5660000001662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5226.4894880000938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690.11745000001247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8782.6069380001063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41681</v>
      </c>
      <c r="E11" s="50" t="s">
        <v>23</v>
      </c>
      <c r="F11" s="28">
        <v>41689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69010</v>
      </c>
      <c r="E12" s="50" t="s">
        <v>23</v>
      </c>
      <c r="F12" s="28">
        <v>69022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70209</v>
      </c>
      <c r="E13" s="50" t="s">
        <v>23</v>
      </c>
      <c r="F13" s="28">
        <v>70219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266128</v>
      </c>
      <c r="C24" s="50" t="s">
        <v>1</v>
      </c>
      <c r="D24" s="29">
        <v>266323</v>
      </c>
      <c r="E24" s="50" t="s">
        <v>33</v>
      </c>
      <c r="F24" s="50">
        <f>D24-B24</f>
        <v>195</v>
      </c>
      <c r="G24" s="50" t="s">
        <v>34</v>
      </c>
      <c r="H24" s="50">
        <f>F24*220</f>
        <v>42900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1053.4000000000001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171.6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429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2404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27</v>
      </c>
      <c r="E33" s="50" t="s">
        <v>42</v>
      </c>
      <c r="F33" s="24">
        <v>17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18061.726938000105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zoomScaleNormal="100" workbookViewId="0">
      <selection activeCell="D30" sqref="D30:H30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95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61805.81</v>
      </c>
      <c r="C4" s="50" t="s">
        <v>15</v>
      </c>
      <c r="D4" s="28">
        <v>61838.080000000002</v>
      </c>
      <c r="E4" s="50" t="s">
        <v>16</v>
      </c>
      <c r="F4" s="50">
        <f>D4-B4</f>
        <v>32.270000000004075</v>
      </c>
      <c r="G4" s="50" t="s">
        <v>17</v>
      </c>
      <c r="H4" s="50">
        <f>F4*284.35</f>
        <v>9175.974500001159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5211.9535160006581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688.1980875000869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8766.1516035007444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41673</v>
      </c>
      <c r="E11" s="50" t="s">
        <v>23</v>
      </c>
      <c r="F11" s="28">
        <v>41681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68998</v>
      </c>
      <c r="E12" s="50" t="s">
        <v>23</v>
      </c>
      <c r="F12" s="28">
        <v>69010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70198</v>
      </c>
      <c r="E13" s="50" t="s">
        <v>23</v>
      </c>
      <c r="F13" s="28">
        <v>70209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265951</v>
      </c>
      <c r="C24" s="50" t="s">
        <v>1</v>
      </c>
      <c r="D24" s="29">
        <v>266128</v>
      </c>
      <c r="E24" s="50" t="s">
        <v>33</v>
      </c>
      <c r="F24" s="50">
        <f>D24-B24</f>
        <v>177</v>
      </c>
      <c r="G24" s="50" t="s">
        <v>34</v>
      </c>
      <c r="H24" s="50">
        <f>F24*220</f>
        <v>38940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871.24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155.76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389.40000000000003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2166.4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37</v>
      </c>
      <c r="E33" s="50" t="s">
        <v>42</v>
      </c>
      <c r="F33" s="24">
        <v>27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18022.039603500743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zoomScaleNormal="100" workbookViewId="0">
      <selection activeCell="A27" sqref="A27:C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93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61772.22</v>
      </c>
      <c r="C4" s="50" t="s">
        <v>15</v>
      </c>
      <c r="D4" s="28">
        <v>61805.81</v>
      </c>
      <c r="E4" s="50" t="s">
        <v>16</v>
      </c>
      <c r="F4" s="50">
        <f>D4-B4</f>
        <v>33.589999999996508</v>
      </c>
      <c r="G4" s="50" t="s">
        <v>17</v>
      </c>
      <c r="H4" s="50">
        <f>F4*284.35</f>
        <v>9551.3164999990076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5425.1477719994355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716.34873749992551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9007.4965094993604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41665</v>
      </c>
      <c r="E11" s="50" t="s">
        <v>23</v>
      </c>
      <c r="F11" s="28">
        <v>41673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68985</v>
      </c>
      <c r="E12" s="50" t="s">
        <v>23</v>
      </c>
      <c r="F12" s="28">
        <v>68998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70188</v>
      </c>
      <c r="E13" s="50" t="s">
        <v>23</v>
      </c>
      <c r="F13" s="28">
        <v>70198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265745</v>
      </c>
      <c r="C24" s="50" t="s">
        <v>1</v>
      </c>
      <c r="D24" s="29">
        <v>265951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1164.72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181.28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453.2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2549.1999999999998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47</v>
      </c>
      <c r="E33" s="50" t="s">
        <v>42</v>
      </c>
      <c r="F33" s="24">
        <v>37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18646.184509499359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92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61741.21</v>
      </c>
      <c r="C4" s="50" t="s">
        <v>15</v>
      </c>
      <c r="D4" s="28">
        <v>61772.22</v>
      </c>
      <c r="E4" s="50" t="s">
        <v>16</v>
      </c>
      <c r="F4" s="50">
        <f>D4-B4</f>
        <v>31.010000000002037</v>
      </c>
      <c r="G4" s="50" t="s">
        <v>17</v>
      </c>
      <c r="H4" s="50">
        <f>F4*284.35</f>
        <v>8817.6935000005797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5008.4499080003288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661.32701250004345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8535.7769205003715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41658</v>
      </c>
      <c r="E11" s="50" t="s">
        <v>23</v>
      </c>
      <c r="F11" s="28">
        <v>41665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68973</v>
      </c>
      <c r="E12" s="50" t="s">
        <v>23</v>
      </c>
      <c r="F12" s="28">
        <v>68985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70177</v>
      </c>
      <c r="E13" s="50" t="s">
        <v>23</v>
      </c>
      <c r="F13" s="28">
        <v>70188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265539</v>
      </c>
      <c r="C24" s="50" t="s">
        <v>1</v>
      </c>
      <c r="D24" s="29">
        <v>265745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1164.72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181.28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453.2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2549.1999999999998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58</v>
      </c>
      <c r="E33" s="50" t="s">
        <v>42</v>
      </c>
      <c r="F33" s="24">
        <v>47</v>
      </c>
      <c r="G33" s="50" t="s">
        <v>43</v>
      </c>
      <c r="H33" s="54">
        <f>(D33-F33)*48.8</f>
        <v>536.79999999999995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488.488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18004.504920500371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90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61708.78</v>
      </c>
      <c r="C4" s="50" t="s">
        <v>15</v>
      </c>
      <c r="D4" s="28">
        <v>61741.21</v>
      </c>
      <c r="E4" s="50" t="s">
        <v>16</v>
      </c>
      <c r="F4" s="50">
        <f>D4-B4</f>
        <v>32.430000000000291</v>
      </c>
      <c r="G4" s="50" t="s">
        <v>17</v>
      </c>
      <c r="H4" s="50">
        <f>F4*284.35</f>
        <v>9221.4705000000831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5237.7952440000463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691.61028750000617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8795.4055315000514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41650</v>
      </c>
      <c r="E11" s="50" t="s">
        <v>23</v>
      </c>
      <c r="F11" s="28">
        <v>41658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68961</v>
      </c>
      <c r="E12" s="50" t="s">
        <v>23</v>
      </c>
      <c r="F12" s="28">
        <v>68973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70167</v>
      </c>
      <c r="E13" s="50" t="s">
        <v>23</v>
      </c>
      <c r="F13" s="28">
        <v>70177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265338</v>
      </c>
      <c r="C24" s="50" t="s">
        <v>1</v>
      </c>
      <c r="D24" s="29">
        <v>265539</v>
      </c>
      <c r="E24" s="50" t="s">
        <v>33</v>
      </c>
      <c r="F24" s="50">
        <f>D24-B24</f>
        <v>201</v>
      </c>
      <c r="G24" s="50" t="s">
        <v>34</v>
      </c>
      <c r="H24" s="50">
        <f>F24*220</f>
        <v>44220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1114.1199999999999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176.88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442.2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2483.1999999999998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68</v>
      </c>
      <c r="E33" s="50" t="s">
        <v>42</v>
      </c>
      <c r="F33" s="24">
        <v>58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18153.725531500051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9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88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61683.64</v>
      </c>
      <c r="C4" s="50" t="s">
        <v>15</v>
      </c>
      <c r="D4" s="28">
        <v>61708.78</v>
      </c>
      <c r="E4" s="50" t="s">
        <v>16</v>
      </c>
      <c r="F4" s="50">
        <f>D4-B4</f>
        <v>25.139999999999418</v>
      </c>
      <c r="G4" s="50" t="s">
        <v>17</v>
      </c>
      <c r="H4" s="50">
        <f>F4*284.35</f>
        <v>7148.5589999998347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4060.3815119999058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536.14192499998762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7462.5234369998934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41642</v>
      </c>
      <c r="E11" s="50" t="s">
        <v>23</v>
      </c>
      <c r="F11" s="28">
        <v>41650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68948</v>
      </c>
      <c r="E12" s="50" t="s">
        <v>23</v>
      </c>
      <c r="F12" s="28">
        <v>68961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70155</v>
      </c>
      <c r="E13" s="50" t="s">
        <v>23</v>
      </c>
      <c r="F13" s="28">
        <v>70167</v>
      </c>
      <c r="G13" s="50" t="s">
        <v>24</v>
      </c>
      <c r="H13" s="50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265122</v>
      </c>
      <c r="C24" s="50" t="s">
        <v>1</v>
      </c>
      <c r="D24" s="29">
        <v>265338</v>
      </c>
      <c r="E24" s="50" t="s">
        <v>33</v>
      </c>
      <c r="F24" s="50">
        <f>D24-B24</f>
        <v>216</v>
      </c>
      <c r="G24" s="50" t="s">
        <v>34</v>
      </c>
      <c r="H24" s="50">
        <f>F24*220</f>
        <v>47520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1265.92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190.08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475.2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2681.2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78</v>
      </c>
      <c r="E33" s="50" t="s">
        <v>42</v>
      </c>
      <c r="F33" s="24">
        <v>68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17661.947436999893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zoomScaleNormal="100" workbookViewId="0">
      <selection activeCell="B4" sqref="B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86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61645.7</v>
      </c>
      <c r="C4" s="50" t="s">
        <v>15</v>
      </c>
      <c r="D4" s="28">
        <v>61683.6</v>
      </c>
      <c r="E4" s="50" t="s">
        <v>16</v>
      </c>
      <c r="F4" s="50">
        <f>D4-B4</f>
        <v>37.900000000001455</v>
      </c>
      <c r="G4" s="50" t="s">
        <v>17</v>
      </c>
      <c r="H4" s="50">
        <f>F4*284.35</f>
        <v>10776.865000000415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6121.2593200002348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808.26487500003111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9795.5241950002655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41635</v>
      </c>
      <c r="E11" s="50" t="s">
        <v>23</v>
      </c>
      <c r="F11" s="28">
        <v>41642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68936</v>
      </c>
      <c r="E12" s="50" t="s">
        <v>23</v>
      </c>
      <c r="F12" s="28">
        <v>68948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70145</v>
      </c>
      <c r="E13" s="50" t="s">
        <v>23</v>
      </c>
      <c r="F13" s="28">
        <v>70155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29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14128.8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5368.9439999999995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847.72799999999995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6216.6719999999996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264935</v>
      </c>
      <c r="C24" s="50" t="s">
        <v>1</v>
      </c>
      <c r="D24" s="29">
        <v>265122</v>
      </c>
      <c r="E24" s="50" t="s">
        <v>33</v>
      </c>
      <c r="F24" s="50">
        <f>D24-B24</f>
        <v>187</v>
      </c>
      <c r="G24" s="50" t="s">
        <v>34</v>
      </c>
      <c r="H24" s="50">
        <f>F24*220</f>
        <v>41140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972.43999999999994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164.56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411.40000000000003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2298.4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70</v>
      </c>
      <c r="E33" s="50" t="s">
        <v>42</v>
      </c>
      <c r="F33" s="24">
        <v>60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20</v>
      </c>
      <c r="E34" s="50" t="s">
        <v>42</v>
      </c>
      <c r="F34" s="24">
        <v>20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18754.676195000266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84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61616.69</v>
      </c>
      <c r="C4" s="50" t="s">
        <v>15</v>
      </c>
      <c r="D4" s="28">
        <v>61645.7</v>
      </c>
      <c r="E4" s="50" t="s">
        <v>16</v>
      </c>
      <c r="F4" s="50">
        <f>D4-B4</f>
        <v>29.009999999994761</v>
      </c>
      <c r="G4" s="50" t="s">
        <v>17</v>
      </c>
      <c r="H4" s="50">
        <f>F4*284.35</f>
        <v>8248.9934999985107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4685.4283079991537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618.67451249988824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8170.1028204990416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41627</v>
      </c>
      <c r="E11" s="50" t="s">
        <v>23</v>
      </c>
      <c r="F11" s="28">
        <v>41635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68924</v>
      </c>
      <c r="E12" s="50" t="s">
        <v>23</v>
      </c>
      <c r="F12" s="28">
        <v>68936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70135</v>
      </c>
      <c r="E13" s="50" t="s">
        <v>23</v>
      </c>
      <c r="F13" s="28">
        <v>70145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264730</v>
      </c>
      <c r="C24" s="50" t="s">
        <v>1</v>
      </c>
      <c r="D24" s="29">
        <v>264935</v>
      </c>
      <c r="E24" s="50" t="s">
        <v>33</v>
      </c>
      <c r="F24" s="50">
        <f>D24-B24</f>
        <v>205</v>
      </c>
      <c r="G24" s="50" t="s">
        <v>34</v>
      </c>
      <c r="H24" s="50">
        <f>F24*220</f>
        <v>45100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1154.5999999999999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180.4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451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2536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70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20</v>
      </c>
      <c r="E34" s="50" t="s">
        <v>42</v>
      </c>
      <c r="F34" s="24">
        <v>20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17581.222820499042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83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61585.09</v>
      </c>
      <c r="C4" s="50" t="s">
        <v>15</v>
      </c>
      <c r="D4" s="28">
        <v>61616.69</v>
      </c>
      <c r="E4" s="50" t="s">
        <v>16</v>
      </c>
      <c r="F4" s="50">
        <f>D4-B4</f>
        <v>31.600000000005821</v>
      </c>
      <c r="G4" s="50" t="s">
        <v>17</v>
      </c>
      <c r="H4" s="50">
        <f>F4*284.35</f>
        <v>8985.4600000016562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5103.7412800009406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673.90950000012424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8643.6507800010659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41619</v>
      </c>
      <c r="E11" s="50" t="s">
        <v>23</v>
      </c>
      <c r="F11" s="28">
        <v>41627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68912</v>
      </c>
      <c r="E12" s="50" t="s">
        <v>23</v>
      </c>
      <c r="F12" s="28">
        <v>68924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70124</v>
      </c>
      <c r="E13" s="50" t="s">
        <v>23</v>
      </c>
      <c r="F13" s="28">
        <v>70135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264550</v>
      </c>
      <c r="C24" s="50" t="s">
        <v>1</v>
      </c>
      <c r="D24" s="29">
        <v>264730</v>
      </c>
      <c r="E24" s="50" t="s">
        <v>33</v>
      </c>
      <c r="F24" s="50">
        <f>D24-B24</f>
        <v>180</v>
      </c>
      <c r="G24" s="50" t="s">
        <v>34</v>
      </c>
      <c r="H24" s="50">
        <f>F24*220</f>
        <v>39600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901.6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158.4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396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2206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30</v>
      </c>
      <c r="E34" s="50" t="s">
        <v>42</v>
      </c>
      <c r="F34" s="24">
        <v>20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17939.138780001063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topLeftCell="A9" zoomScaleNormal="100" workbookViewId="0">
      <selection activeCell="A36" sqref="A36:G3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81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61555.53</v>
      </c>
      <c r="C4" s="50" t="s">
        <v>15</v>
      </c>
      <c r="D4" s="28">
        <v>61585.09</v>
      </c>
      <c r="E4" s="50" t="s">
        <v>16</v>
      </c>
      <c r="F4" s="50">
        <f>D4-B4</f>
        <v>29.559999999997672</v>
      </c>
      <c r="G4" s="50" t="s">
        <v>17</v>
      </c>
      <c r="H4" s="50">
        <f>F4*284.35</f>
        <v>8405.3859999993383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4774.2592479996238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630.40394999995033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8270.6631979995745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41611</v>
      </c>
      <c r="E11" s="50" t="s">
        <v>23</v>
      </c>
      <c r="F11" s="28">
        <v>41619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68900</v>
      </c>
      <c r="E12" s="50" t="s">
        <v>23</v>
      </c>
      <c r="F12" s="28">
        <v>68912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70114</v>
      </c>
      <c r="E13" s="50" t="s">
        <v>23</v>
      </c>
      <c r="F13" s="28">
        <v>70124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264345</v>
      </c>
      <c r="C24" s="50" t="s">
        <v>1</v>
      </c>
      <c r="D24" s="29">
        <v>264550</v>
      </c>
      <c r="E24" s="50" t="s">
        <v>33</v>
      </c>
      <c r="F24" s="50">
        <f>D24-B24</f>
        <v>205</v>
      </c>
      <c r="G24" s="50" t="s">
        <v>34</v>
      </c>
      <c r="H24" s="50">
        <f>F24*220</f>
        <v>45100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1154.5999999999999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180.4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451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2536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40</v>
      </c>
      <c r="E34" s="50" t="s">
        <v>42</v>
      </c>
      <c r="F34" s="24">
        <v>30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17681.783197999575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topLeftCell="A13"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80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61525.71</v>
      </c>
      <c r="C4" s="50" t="s">
        <v>15</v>
      </c>
      <c r="D4" s="28">
        <v>61555.53</v>
      </c>
      <c r="E4" s="50" t="s">
        <v>16</v>
      </c>
      <c r="F4" s="50">
        <f>D4-B4</f>
        <v>29.819999999999709</v>
      </c>
      <c r="G4" s="50" t="s">
        <v>17</v>
      </c>
      <c r="H4" s="50">
        <f>F4*284.35</f>
        <v>8479.3169999999172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4816.252055999953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635.94877499999382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8318.2008309999474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41604</v>
      </c>
      <c r="E11" s="50" t="s">
        <v>23</v>
      </c>
      <c r="F11" s="28">
        <v>41611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68887</v>
      </c>
      <c r="E12" s="50" t="s">
        <v>23</v>
      </c>
      <c r="F12" s="28">
        <v>68900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70104</v>
      </c>
      <c r="E13" s="50" t="s">
        <v>23</v>
      </c>
      <c r="F13" s="28">
        <v>70114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264131</v>
      </c>
      <c r="C24" s="50" t="s">
        <v>1</v>
      </c>
      <c r="D24" s="29">
        <v>264345</v>
      </c>
      <c r="E24" s="50" t="s">
        <v>33</v>
      </c>
      <c r="F24" s="50">
        <f>D24-B24</f>
        <v>214</v>
      </c>
      <c r="G24" s="50" t="s">
        <v>34</v>
      </c>
      <c r="H24" s="50">
        <f>F24*220</f>
        <v>47080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1245.68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188.32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470.8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2654.8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50</v>
      </c>
      <c r="E34" s="50" t="s">
        <v>42</v>
      </c>
      <c r="F34" s="24">
        <v>40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17848.120830999946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78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61496.01</v>
      </c>
      <c r="C4" s="50" t="s">
        <v>15</v>
      </c>
      <c r="D4" s="28">
        <v>61525.71</v>
      </c>
      <c r="E4" s="50" t="s">
        <v>16</v>
      </c>
      <c r="F4" s="50">
        <f>D4-B4</f>
        <v>29.69999999999709</v>
      </c>
      <c r="G4" s="50" t="s">
        <v>17</v>
      </c>
      <c r="H4" s="50">
        <f>F4*284.35</f>
        <v>8445.1949999991739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4796.8707599995305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633.38962499993806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8296.2603849994684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41597</v>
      </c>
      <c r="E11" s="50" t="s">
        <v>23</v>
      </c>
      <c r="F11" s="28">
        <v>41604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68874</v>
      </c>
      <c r="E12" s="50" t="s">
        <v>23</v>
      </c>
      <c r="F12" s="28">
        <v>68887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70093</v>
      </c>
      <c r="E13" s="50" t="s">
        <v>23</v>
      </c>
      <c r="F13" s="28">
        <v>70104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263910</v>
      </c>
      <c r="C24" s="50" t="s">
        <v>1</v>
      </c>
      <c r="D24" s="29">
        <v>264131</v>
      </c>
      <c r="E24" s="50" t="s">
        <v>33</v>
      </c>
      <c r="F24" s="50">
        <f>D24-B24</f>
        <v>221</v>
      </c>
      <c r="G24" s="50" t="s">
        <v>34</v>
      </c>
      <c r="H24" s="50">
        <f>F24*220</f>
        <v>48620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1316.52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194.48000000000002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486.2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2747.2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60</v>
      </c>
      <c r="E34" s="50" t="s">
        <v>42</v>
      </c>
      <c r="F34" s="24">
        <v>50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18132.948384999469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topLeftCell="A4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76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61466.559999999998</v>
      </c>
      <c r="C4" s="50" t="s">
        <v>15</v>
      </c>
      <c r="D4" s="28">
        <v>61496.01</v>
      </c>
      <c r="E4" s="50" t="s">
        <v>16</v>
      </c>
      <c r="F4" s="50">
        <f>D4-B4</f>
        <v>29.450000000004366</v>
      </c>
      <c r="G4" s="50" t="s">
        <v>17</v>
      </c>
      <c r="H4" s="50">
        <f>F4*284.35</f>
        <v>8374.1075000012424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4756.4930600007056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628.05806250009311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8250.5511225007976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41589</v>
      </c>
      <c r="E11" s="50" t="s">
        <v>23</v>
      </c>
      <c r="F11" s="28">
        <v>41597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68862</v>
      </c>
      <c r="E12" s="50" t="s">
        <v>23</v>
      </c>
      <c r="F12" s="28">
        <v>68874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70082</v>
      </c>
      <c r="E13" s="50" t="s">
        <v>23</v>
      </c>
      <c r="F13" s="28">
        <v>70093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263689</v>
      </c>
      <c r="C24" s="50" t="s">
        <v>1</v>
      </c>
      <c r="D24" s="29">
        <v>263910</v>
      </c>
      <c r="E24" s="50" t="s">
        <v>33</v>
      </c>
      <c r="F24" s="50">
        <f>D24-B24</f>
        <v>221</v>
      </c>
      <c r="G24" s="50" t="s">
        <v>34</v>
      </c>
      <c r="H24" s="50">
        <f>F24*220</f>
        <v>48620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1316.52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194.48000000000002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486.2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2747.2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70</v>
      </c>
      <c r="E34" s="50" t="s">
        <v>42</v>
      </c>
      <c r="F34" s="24">
        <v>60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18087.239122500796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topLeftCell="A10"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74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61436.69</v>
      </c>
      <c r="C4" s="50" t="s">
        <v>15</v>
      </c>
      <c r="D4" s="28">
        <v>61466.559999999998</v>
      </c>
      <c r="E4" s="50" t="s">
        <v>16</v>
      </c>
      <c r="F4" s="50">
        <f>D4-B4</f>
        <v>29.869999999995343</v>
      </c>
      <c r="G4" s="50" t="s">
        <v>17</v>
      </c>
      <c r="H4" s="50">
        <f>F4*284.35</f>
        <v>8493.5344999986773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4824.3275959992479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637.0150874999008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8327.3426834991478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41582</v>
      </c>
      <c r="E11" s="50" t="s">
        <v>23</v>
      </c>
      <c r="F11" s="28">
        <v>41589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68850</v>
      </c>
      <c r="E12" s="50" t="s">
        <v>23</v>
      </c>
      <c r="F12" s="28">
        <v>68862</v>
      </c>
      <c r="G12" s="50" t="s">
        <v>24</v>
      </c>
      <c r="H12" s="50">
        <f>F12-D12</f>
        <v>12</v>
      </c>
    </row>
    <row r="13" spans="1:8" ht="16.5" customHeight="1">
      <c r="A13" s="63" t="s">
        <v>26</v>
      </c>
      <c r="B13" s="63"/>
      <c r="C13" s="52" t="s">
        <v>22</v>
      </c>
      <c r="D13" s="28">
        <v>70072</v>
      </c>
      <c r="E13" s="50" t="s">
        <v>23</v>
      </c>
      <c r="F13" s="28">
        <v>70082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29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14128.8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5368.9439999999995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847.72799999999995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6216.6719999999996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263483</v>
      </c>
      <c r="C24" s="50" t="s">
        <v>1</v>
      </c>
      <c r="D24" s="29">
        <v>263689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1164.72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181.28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453.2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2549.1999999999998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24</v>
      </c>
      <c r="E33" s="50" t="s">
        <v>42</v>
      </c>
      <c r="F33" s="24">
        <v>24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17537.294683499149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6"/>
  <sheetViews>
    <sheetView topLeftCell="A7"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72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61406.99</v>
      </c>
      <c r="C4" s="50" t="s">
        <v>15</v>
      </c>
      <c r="D4" s="28">
        <v>61436.69</v>
      </c>
      <c r="E4" s="50" t="s">
        <v>16</v>
      </c>
      <c r="F4" s="50">
        <f>D4-B4</f>
        <v>29.700000000004366</v>
      </c>
      <c r="G4" s="50" t="s">
        <v>17</v>
      </c>
      <c r="H4" s="50">
        <f>F4*284.35</f>
        <v>8445.1950000012421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4796.8707600007046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633.38962500009313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8296.2603850007981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41574</v>
      </c>
      <c r="E11" s="50" t="s">
        <v>23</v>
      </c>
      <c r="F11" s="28">
        <v>41582</v>
      </c>
      <c r="G11" s="50" t="s">
        <v>24</v>
      </c>
      <c r="H11" s="50">
        <f>F11-D11</f>
        <v>8</v>
      </c>
    </row>
    <row r="12" spans="1:8" ht="16.5" customHeight="1">
      <c r="A12" s="63" t="s">
        <v>25</v>
      </c>
      <c r="B12" s="63"/>
      <c r="C12" s="52" t="s">
        <v>22</v>
      </c>
      <c r="D12" s="28">
        <v>68839</v>
      </c>
      <c r="E12" s="50" t="s">
        <v>23</v>
      </c>
      <c r="F12" s="28">
        <v>68850</v>
      </c>
      <c r="G12" s="50" t="s">
        <v>24</v>
      </c>
      <c r="H12" s="50">
        <f>F12-D12</f>
        <v>11</v>
      </c>
    </row>
    <row r="13" spans="1:8" ht="16.5" customHeight="1">
      <c r="A13" s="63" t="s">
        <v>26</v>
      </c>
      <c r="B13" s="63"/>
      <c r="C13" s="52" t="s">
        <v>22</v>
      </c>
      <c r="D13" s="28">
        <v>70062</v>
      </c>
      <c r="E13" s="50" t="s">
        <v>23</v>
      </c>
      <c r="F13" s="28">
        <v>70072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29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14128.8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5368.9439999999995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847.72799999999995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6216.6719999999996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263251</v>
      </c>
      <c r="C24" s="50" t="s">
        <v>1</v>
      </c>
      <c r="D24" s="29">
        <v>263483</v>
      </c>
      <c r="E24" s="50" t="s">
        <v>33</v>
      </c>
      <c r="F24" s="50">
        <f>D24-B24</f>
        <v>232</v>
      </c>
      <c r="G24" s="50" t="s">
        <v>34</v>
      </c>
      <c r="H24" s="50">
        <f>F24*220</f>
        <v>51040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1427.84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204.16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510.40000000000003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2892.4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34</v>
      </c>
      <c r="E33" s="50" t="s">
        <v>42</v>
      </c>
      <c r="F33" s="24">
        <v>24</v>
      </c>
      <c r="G33" s="50" t="s">
        <v>43</v>
      </c>
      <c r="H33" s="54">
        <f>(D33-F33)*48.8</f>
        <v>488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17849.4123850008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May 31</vt:lpstr>
      <vt:lpstr>May 30</vt:lpstr>
      <vt:lpstr>May 29</vt:lpstr>
      <vt:lpstr>May 28</vt:lpstr>
      <vt:lpstr>May 27</vt:lpstr>
      <vt:lpstr>May 26</vt:lpstr>
      <vt:lpstr>May 25</vt:lpstr>
      <vt:lpstr>May 24</vt:lpstr>
      <vt:lpstr>May 23</vt:lpstr>
      <vt:lpstr>May 22</vt:lpstr>
      <vt:lpstr>May 21</vt:lpstr>
      <vt:lpstr>May 20</vt:lpstr>
      <vt:lpstr>May 19</vt:lpstr>
      <vt:lpstr>May 18</vt:lpstr>
      <vt:lpstr>May 17</vt:lpstr>
      <vt:lpstr>May 16</vt:lpstr>
      <vt:lpstr>May 15</vt:lpstr>
      <vt:lpstr>May 14</vt:lpstr>
      <vt:lpstr>May 13</vt:lpstr>
      <vt:lpstr>May 12</vt:lpstr>
      <vt:lpstr>May 11</vt:lpstr>
      <vt:lpstr>May 10</vt:lpstr>
      <vt:lpstr>May 9</vt:lpstr>
      <vt:lpstr>May 8</vt:lpstr>
      <vt:lpstr>May 7</vt:lpstr>
      <vt:lpstr>May 6</vt:lpstr>
      <vt:lpstr>May 5</vt:lpstr>
      <vt:lpstr>May 4</vt:lpstr>
      <vt:lpstr>May 3</vt:lpstr>
      <vt:lpstr>May 2</vt:lpstr>
      <vt:lpstr>May 1</vt:lpstr>
      <vt:lpstr>'May 1'!Print_Area</vt:lpstr>
      <vt:lpstr>'May 10'!Print_Area</vt:lpstr>
      <vt:lpstr>'May 11'!Print_Area</vt:lpstr>
      <vt:lpstr>'May 12'!Print_Area</vt:lpstr>
      <vt:lpstr>'May 13'!Print_Area</vt:lpstr>
      <vt:lpstr>'May 14'!Print_Area</vt:lpstr>
      <vt:lpstr>'May 15'!Print_Area</vt:lpstr>
      <vt:lpstr>'May 16'!Print_Area</vt:lpstr>
      <vt:lpstr>'May 17'!Print_Area</vt:lpstr>
      <vt:lpstr>'May 18'!Print_Area</vt:lpstr>
      <vt:lpstr>'May 19'!Print_Area</vt:lpstr>
      <vt:lpstr>'May 2'!Print_Area</vt:lpstr>
      <vt:lpstr>'May 20'!Print_Area</vt:lpstr>
      <vt:lpstr>'May 21'!Print_Area</vt:lpstr>
      <vt:lpstr>'May 22'!Print_Area</vt:lpstr>
      <vt:lpstr>'May 23'!Print_Area</vt:lpstr>
      <vt:lpstr>'May 24'!Print_Area</vt:lpstr>
      <vt:lpstr>'May 25'!Print_Area</vt:lpstr>
      <vt:lpstr>'May 26'!Print_Area</vt:lpstr>
      <vt:lpstr>'May 27'!Print_Area</vt:lpstr>
      <vt:lpstr>'May 28'!Print_Area</vt:lpstr>
      <vt:lpstr>'May 29'!Print_Area</vt:lpstr>
      <vt:lpstr>'May 3'!Print_Area</vt:lpstr>
      <vt:lpstr>'May 30'!Print_Area</vt:lpstr>
      <vt:lpstr>'May 31'!Print_Area</vt:lpstr>
      <vt:lpstr>'May 4'!Print_Area</vt:lpstr>
      <vt:lpstr>'May 5'!Print_Area</vt:lpstr>
      <vt:lpstr>'May 6'!Print_Area</vt:lpstr>
      <vt:lpstr>'May 7'!Print_Area</vt:lpstr>
      <vt:lpstr>'May 8'!Print_Area</vt:lpstr>
      <vt:lpstr>'May 9'!Print_Area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2023-12-31T09:52:57Z</cp:lastPrinted>
  <dcterms:created xsi:type="dcterms:W3CDTF">2009-10-25T07:14:49Z</dcterms:created>
  <dcterms:modified xsi:type="dcterms:W3CDTF">2024-06-03T14:48:46Z</dcterms:modified>
</cp:coreProperties>
</file>