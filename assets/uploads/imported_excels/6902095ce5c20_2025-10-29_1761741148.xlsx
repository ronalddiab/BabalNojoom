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HEP 2025/"/>
    </mc:Choice>
  </mc:AlternateContent>
  <xr:revisionPtr revIDLastSave="26" documentId="13_ncr:1_{8027EAD1-DC56-4BBD-8010-B3D3F446A8B0}" xr6:coauthVersionLast="47" xr6:coauthVersionMax="47" xr10:uidLastSave="{6CADCB09-2FBB-48F7-A38F-C8F98ADEA698}"/>
  <bookViews>
    <workbookView xWindow="-108" yWindow="-108" windowWidth="23256" windowHeight="13896" tabRatio="783" firstSheet="1" xr2:uid="{00000000-000D-0000-FFFF-FFFF00000000}"/>
  </bookViews>
  <sheets>
    <sheet name="Total" sheetId="15" r:id="rId1"/>
    <sheet name="BAN-L Electrical &amp; Water " sheetId="14" r:id="rId2"/>
  </sheets>
  <externalReferences>
    <externalReference r:id="rId3"/>
  </externalReferences>
  <definedNames>
    <definedName name="_xlnm.Print_Area" localSheetId="1">'BAN-L Electrical &amp; Water '!$C$1:$U$35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5" l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T37" i="14"/>
  <c r="T38" i="14" s="1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R37" i="14"/>
  <c r="R38" i="14" s="1"/>
  <c r="N37" i="14"/>
  <c r="N38" i="14" s="1"/>
  <c r="L37" i="14"/>
  <c r="L38" i="14" s="1"/>
  <c r="J37" i="14"/>
  <c r="J38" i="14" s="1"/>
  <c r="H37" i="14"/>
  <c r="H38" i="14" s="1"/>
  <c r="P37" i="14" l="1"/>
  <c r="F37" i="14"/>
  <c r="F38" i="14" s="1"/>
  <c r="D37" i="14"/>
  <c r="I31" i="15"/>
  <c r="E31" i="15"/>
  <c r="I30" i="15"/>
  <c r="E30" i="15"/>
  <c r="I29" i="15"/>
  <c r="E29" i="15"/>
  <c r="I28" i="15"/>
  <c r="E28" i="15"/>
  <c r="I27" i="15"/>
  <c r="E27" i="15"/>
  <c r="I26" i="15"/>
  <c r="E26" i="15"/>
  <c r="I25" i="15"/>
  <c r="E25" i="15"/>
  <c r="I24" i="15"/>
  <c r="E24" i="15"/>
  <c r="I23" i="15"/>
  <c r="E23" i="15"/>
  <c r="I22" i="15"/>
  <c r="E22" i="15"/>
  <c r="I21" i="15"/>
  <c r="E21" i="15"/>
  <c r="I20" i="15"/>
  <c r="E20" i="15"/>
  <c r="I19" i="15"/>
  <c r="E19" i="15"/>
  <c r="I18" i="15"/>
  <c r="E18" i="15"/>
  <c r="I17" i="15"/>
  <c r="E17" i="15"/>
  <c r="I16" i="15"/>
  <c r="E16" i="15"/>
  <c r="I15" i="15"/>
  <c r="E15" i="15"/>
  <c r="I14" i="15"/>
  <c r="E14" i="15"/>
  <c r="I13" i="15"/>
  <c r="E13" i="15"/>
  <c r="I12" i="15"/>
  <c r="E12" i="15"/>
  <c r="I11" i="15"/>
  <c r="E11" i="15"/>
  <c r="I10" i="15"/>
  <c r="E10" i="15"/>
  <c r="I9" i="15"/>
  <c r="E9" i="15"/>
  <c r="I8" i="15"/>
  <c r="E8" i="15"/>
  <c r="I7" i="15"/>
  <c r="E7" i="15"/>
  <c r="I6" i="15"/>
  <c r="E6" i="15"/>
  <c r="I5" i="15"/>
  <c r="E5" i="15"/>
  <c r="I4" i="15"/>
  <c r="E4" i="15"/>
  <c r="I3" i="15"/>
  <c r="E3" i="15"/>
  <c r="I2" i="15"/>
  <c r="E2" i="15"/>
  <c r="P38" i="14" l="1"/>
  <c r="I32" i="15"/>
  <c r="E32" i="15"/>
  <c r="D38" i="14"/>
</calcChain>
</file>

<file path=xl/sharedStrings.xml><?xml version="1.0" encoding="utf-8"?>
<sst xmlns="http://schemas.openxmlformats.org/spreadsheetml/2006/main" count="95" uniqueCount="41">
  <si>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</si>
  <si>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</si>
  <si>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</si>
  <si>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</si>
  <si>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</si>
  <si>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</si>
  <si>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</si>
  <si>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</si>
  <si>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</si>
  <si>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</si>
  <si>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</si>
  <si>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</si>
  <si>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</si>
  <si>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</si>
  <si>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</si>
  <si>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> 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</si>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</sst>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" fillId="0" borderId="0" xfId="1" applyFont="1"/>
    <xf numFmtId="0" fontId="9" fillId="0" borderId="0" xfId="1"/>
    <xf numFmtId="0" fontId="13" fillId="7" borderId="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/>
    </xf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'!$D$6:$D$35</c:f>
              <c:numCache>
                <c:formatCode>General</c:formatCode>
                <c:ptCount val="30"/>
                <c:pt idx="0">
                  <c:v>1934</c:v>
                </c:pt>
                <c:pt idx="1">
                  <c:v>1982</c:v>
                </c:pt>
                <c:pt idx="2">
                  <c:v>1840</c:v>
                </c:pt>
                <c:pt idx="3">
                  <c:v>1690</c:v>
                </c:pt>
                <c:pt idx="4">
                  <c:v>2113</c:v>
                </c:pt>
                <c:pt idx="5">
                  <c:v>2104</c:v>
                </c:pt>
                <c:pt idx="6">
                  <c:v>2116</c:v>
                </c:pt>
                <c:pt idx="7">
                  <c:v>2098</c:v>
                </c:pt>
                <c:pt idx="8">
                  <c:v>2074</c:v>
                </c:pt>
                <c:pt idx="9">
                  <c:v>1921</c:v>
                </c:pt>
                <c:pt idx="10">
                  <c:v>1795</c:v>
                </c:pt>
                <c:pt idx="11">
                  <c:v>2143</c:v>
                </c:pt>
                <c:pt idx="12">
                  <c:v>2072</c:v>
                </c:pt>
                <c:pt idx="13">
                  <c:v>2099</c:v>
                </c:pt>
                <c:pt idx="14">
                  <c:v>2024</c:v>
                </c:pt>
                <c:pt idx="15">
                  <c:v>1721</c:v>
                </c:pt>
                <c:pt idx="16">
                  <c:v>1675</c:v>
                </c:pt>
                <c:pt idx="17">
                  <c:v>1786</c:v>
                </c:pt>
                <c:pt idx="18">
                  <c:v>1699</c:v>
                </c:pt>
                <c:pt idx="19">
                  <c:v>1662</c:v>
                </c:pt>
                <c:pt idx="20">
                  <c:v>2412</c:v>
                </c:pt>
                <c:pt idx="21">
                  <c:v>1991</c:v>
                </c:pt>
                <c:pt idx="22">
                  <c:v>2049</c:v>
                </c:pt>
                <c:pt idx="23">
                  <c:v>1776</c:v>
                </c:pt>
                <c:pt idx="24">
                  <c:v>1600</c:v>
                </c:pt>
                <c:pt idx="25">
                  <c:v>1622</c:v>
                </c:pt>
                <c:pt idx="26">
                  <c:v>1490</c:v>
                </c:pt>
                <c:pt idx="27">
                  <c:v>1588</c:v>
                </c:pt>
                <c:pt idx="28">
                  <c:v>1764</c:v>
                </c:pt>
                <c:pt idx="29">
                  <c:v>1709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'!$P$6:$P$35</c:f>
              <c:numCache>
                <c:formatCode>General</c:formatCode>
                <c:ptCount val="30"/>
                <c:pt idx="0">
                  <c:v>102</c:v>
                </c:pt>
                <c:pt idx="1">
                  <c:v>103</c:v>
                </c:pt>
                <c:pt idx="2">
                  <c:v>121</c:v>
                </c:pt>
                <c:pt idx="3">
                  <c:v>134</c:v>
                </c:pt>
                <c:pt idx="4">
                  <c:v>100</c:v>
                </c:pt>
                <c:pt idx="5">
                  <c:v>82</c:v>
                </c:pt>
                <c:pt idx="6">
                  <c:v>120</c:v>
                </c:pt>
                <c:pt idx="7">
                  <c:v>117</c:v>
                </c:pt>
                <c:pt idx="8">
                  <c:v>119</c:v>
                </c:pt>
                <c:pt idx="9">
                  <c:v>136</c:v>
                </c:pt>
                <c:pt idx="10">
                  <c:v>119</c:v>
                </c:pt>
                <c:pt idx="11">
                  <c:v>123</c:v>
                </c:pt>
                <c:pt idx="12">
                  <c:v>127</c:v>
                </c:pt>
                <c:pt idx="13">
                  <c:v>124</c:v>
                </c:pt>
                <c:pt idx="14">
                  <c:v>117</c:v>
                </c:pt>
                <c:pt idx="15">
                  <c:v>114</c:v>
                </c:pt>
                <c:pt idx="16">
                  <c:v>130</c:v>
                </c:pt>
                <c:pt idx="17">
                  <c:v>128</c:v>
                </c:pt>
                <c:pt idx="18">
                  <c:v>41</c:v>
                </c:pt>
                <c:pt idx="19">
                  <c:v>232</c:v>
                </c:pt>
                <c:pt idx="20">
                  <c:v>104</c:v>
                </c:pt>
                <c:pt idx="21">
                  <c:v>131</c:v>
                </c:pt>
                <c:pt idx="22">
                  <c:v>130</c:v>
                </c:pt>
                <c:pt idx="23">
                  <c:v>122</c:v>
                </c:pt>
                <c:pt idx="24">
                  <c:v>150</c:v>
                </c:pt>
                <c:pt idx="25">
                  <c:v>121</c:v>
                </c:pt>
                <c:pt idx="26">
                  <c:v>115</c:v>
                </c:pt>
                <c:pt idx="27">
                  <c:v>117</c:v>
                </c:pt>
                <c:pt idx="28">
                  <c:v>0</c:v>
                </c:pt>
                <c:pt idx="29">
                  <c:v>152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  <a:ext uri="{147F2762-F138-4A5C-976F-8EAC2B608ADB}">
              <a16:predDERef xmlns:a16="http://schemas.microsoft.com/office/drawing/2014/main" pre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  <a:ext uri="{147F2762-F138-4A5C-976F-8EAC2B608ADB}">
              <a16:predDERef xmlns:a16="http://schemas.microsoft.com/office/drawing/2014/main" pre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%20Extension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3"/>
  <sheetViews>
    <sheetView tabSelected="1" workbookViewId="0">
      <selection activeCell="M2" sqref="M2:N32"/>
    </sheetView>
  </sheetViews>
  <sheetFormatPr defaultColWidth="11.5703125" defaultRowHeight="14.45"/>
  <cols>
    <col min="1" max="1" width="29.140625" style="29" bestFit="1" customWidth="1"/>
    <col min="2" max="3" width="11.5703125" style="24"/>
    <col min="4" max="4" width="13.42578125" style="24" customWidth="1"/>
    <col min="5" max="5" width="12.5703125" style="27" customWidth="1"/>
    <col min="6" max="6" width="12.5703125" style="26" customWidth="1"/>
    <col min="7" max="7" width="11.5703125" style="27"/>
    <col min="8" max="8" width="11.5703125" style="26"/>
    <col min="9" max="9" width="11.5703125" style="27"/>
    <col min="10" max="10" width="11.5703125" style="28"/>
    <col min="11" max="11" width="11.5703125" style="27"/>
    <col min="12" max="12" width="11.5703125" style="28"/>
    <col min="13" max="26" width="11.5703125" style="27"/>
    <col min="27" max="16384" width="11.5703125" style="30"/>
  </cols>
  <sheetData>
    <row r="1" spans="1:14" s="22" customFormat="1" ht="43.15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19" t="s">
        <v>10</v>
      </c>
      <c r="L1" s="21" t="s">
        <v>11</v>
      </c>
      <c r="M1" s="19" t="s">
        <v>12</v>
      </c>
      <c r="N1" s="19" t="s">
        <v>13</v>
      </c>
    </row>
    <row r="2" spans="1:14" ht="15">
      <c r="A2" s="23" t="s">
        <v>14</v>
      </c>
      <c r="B2" s="24">
        <v>1</v>
      </c>
      <c r="C2" s="24">
        <v>9</v>
      </c>
      <c r="D2" s="24">
        <v>2025</v>
      </c>
      <c r="E2" s="25">
        <f>IF('BAN-L Electrical &amp; Water '!D7+'BAN-L Electrical &amp; Water '!F7+'BAN-L Electrical &amp; Water '!H7+'BAN-L Electrical &amp; Water '!J7+'BAN-L Electrical &amp; Water '!L7+'BAN-L Electrical &amp; Water '!N7&gt;0,'BAN-L Electrical &amp; Water '!D7+'BAN-L Electrical &amp; Water '!F7+'BAN-L Electrical &amp; Water '!H7+'BAN-L Electrical &amp; Water '!J7+'BAN-L Electrical &amp; Water '!L7+'BAN-L Electrical &amp; Water '!N7,0)</f>
        <v>17779</v>
      </c>
      <c r="F2" s="26">
        <v>0.2</v>
      </c>
      <c r="G2" s="25"/>
      <c r="H2" s="26">
        <v>5.42</v>
      </c>
      <c r="I2" s="25">
        <f>IF('BAN-L Electrical &amp; Water '!P7+'BAN-L Electrical &amp; Water '!R7+'BAN-L Electrical &amp; Water '!T7&gt;0,'BAN-L Electrical &amp; Water '!P7+'BAN-L Electrical &amp; Water '!R7+'BAN-L Electrical &amp; Water '!T7,0)</f>
        <v>210</v>
      </c>
      <c r="J2" s="26">
        <v>7.84</v>
      </c>
      <c r="K2" s="25"/>
      <c r="L2" s="26">
        <v>7.84</v>
      </c>
      <c r="M2" s="45">
        <v>9</v>
      </c>
      <c r="N2" s="45">
        <v>19</v>
      </c>
    </row>
    <row r="3" spans="1:14" ht="15">
      <c r="A3" s="23" t="s">
        <v>14</v>
      </c>
      <c r="B3" s="24">
        <f>B2+1</f>
        <v>2</v>
      </c>
      <c r="C3" s="24">
        <v>9</v>
      </c>
      <c r="D3" s="24">
        <v>2025</v>
      </c>
      <c r="E3" s="25">
        <f>IF('BAN-L Electrical &amp; Water '!D8+'BAN-L Electrical &amp; Water '!F8+'BAN-L Electrical &amp; Water '!H8+'BAN-L Electrical &amp; Water '!J8+'BAN-L Electrical &amp; Water '!L8+'BAN-L Electrical &amp; Water '!N8&gt;0,'BAN-L Electrical &amp; Water '!D8+'BAN-L Electrical &amp; Water '!F8+'BAN-L Electrical &amp; Water '!H8+'BAN-L Electrical &amp; Water '!J8+'BAN-L Electrical &amp; Water '!L8+'BAN-L Electrical &amp; Water '!N8,0)</f>
        <v>17438</v>
      </c>
      <c r="F3" s="26">
        <v>0.2</v>
      </c>
      <c r="G3" s="25"/>
      <c r="H3" s="26">
        <v>5.42</v>
      </c>
      <c r="I3" s="25">
        <f>IF('BAN-L Electrical &amp; Water '!P8+'BAN-L Electrical &amp; Water '!R8+'BAN-L Electrical &amp; Water '!T8&gt;0,'BAN-L Electrical &amp; Water '!P8+'BAN-L Electrical &amp; Water '!R8+'BAN-L Electrical &amp; Water '!T8,0)</f>
        <v>225</v>
      </c>
      <c r="J3" s="26">
        <v>7.84</v>
      </c>
      <c r="K3" s="25"/>
      <c r="L3" s="26">
        <v>7.84</v>
      </c>
      <c r="M3" s="45">
        <v>11</v>
      </c>
      <c r="N3" s="45">
        <v>25</v>
      </c>
    </row>
    <row r="4" spans="1:14" ht="15">
      <c r="A4" s="23" t="s">
        <v>14</v>
      </c>
      <c r="B4" s="24">
        <f t="shared" ref="B4:B32" si="0">B3+1</f>
        <v>3</v>
      </c>
      <c r="C4" s="24">
        <v>9</v>
      </c>
      <c r="D4" s="24">
        <v>2025</v>
      </c>
      <c r="E4" s="25">
        <f>IF('BAN-L Electrical &amp; Water '!D9+'BAN-L Electrical &amp; Water '!F9+'BAN-L Electrical &amp; Water '!H9+'BAN-L Electrical &amp; Water '!J9+'BAN-L Electrical &amp; Water '!L9+'BAN-L Electrical &amp; Water '!N9&gt;0,'BAN-L Electrical &amp; Water '!D9+'BAN-L Electrical &amp; Water '!F9+'BAN-L Electrical &amp; Water '!H9+'BAN-L Electrical &amp; Water '!J9+'BAN-L Electrical &amp; Water '!L9+'BAN-L Electrical &amp; Water '!N9,0)</f>
        <v>15892</v>
      </c>
      <c r="F4" s="26">
        <v>0.2</v>
      </c>
      <c r="G4" s="25"/>
      <c r="H4" s="26">
        <v>5.42</v>
      </c>
      <c r="I4" s="25">
        <f>IF('BAN-L Electrical &amp; Water '!P9+'BAN-L Electrical &amp; Water '!R9+'BAN-L Electrical &amp; Water '!T9&gt;0,'BAN-L Electrical &amp; Water '!P9+'BAN-L Electrical &amp; Water '!R9+'BAN-L Electrical &amp; Water '!T9,0)</f>
        <v>229</v>
      </c>
      <c r="J4" s="26">
        <v>7.84</v>
      </c>
      <c r="K4" s="25"/>
      <c r="L4" s="26">
        <v>7.84</v>
      </c>
      <c r="M4" s="45">
        <v>8</v>
      </c>
      <c r="N4" s="45">
        <v>18</v>
      </c>
    </row>
    <row r="5" spans="1:14" ht="15">
      <c r="A5" s="23" t="s">
        <v>14</v>
      </c>
      <c r="B5" s="24">
        <f t="shared" si="0"/>
        <v>4</v>
      </c>
      <c r="C5" s="24">
        <v>9</v>
      </c>
      <c r="D5" s="24">
        <v>2025</v>
      </c>
      <c r="E5" s="25">
        <f>IF('BAN-L Electrical &amp; Water '!D10+'BAN-L Electrical &amp; Water '!F10+'BAN-L Electrical &amp; Water '!H10+'BAN-L Electrical &amp; Water '!J10+'BAN-L Electrical &amp; Water '!L10+'BAN-L Electrical &amp; Water '!N10&gt;0,'BAN-L Electrical &amp; Water '!D10+'BAN-L Electrical &amp; Water '!F10+'BAN-L Electrical &amp; Water '!H10+'BAN-L Electrical &amp; Water '!J10+'BAN-L Electrical &amp; Water '!L10+'BAN-L Electrical &amp; Water '!N10,0)</f>
        <v>16334</v>
      </c>
      <c r="F5" s="26">
        <v>0.2</v>
      </c>
      <c r="G5" s="25"/>
      <c r="H5" s="26">
        <v>5.42</v>
      </c>
      <c r="I5" s="25">
        <f>IF('BAN-L Electrical &amp; Water '!P10+'BAN-L Electrical &amp; Water '!R10+'BAN-L Electrical &amp; Water '!T10&gt;0,'BAN-L Electrical &amp; Water '!P10+'BAN-L Electrical &amp; Water '!R10+'BAN-L Electrical &amp; Water '!T10,0)</f>
        <v>197</v>
      </c>
      <c r="J5" s="26">
        <v>7.84</v>
      </c>
      <c r="K5" s="25"/>
      <c r="L5" s="26">
        <v>7.84</v>
      </c>
      <c r="M5" s="45">
        <v>18</v>
      </c>
      <c r="N5" s="45">
        <v>41</v>
      </c>
    </row>
    <row r="6" spans="1:14" ht="15">
      <c r="A6" s="23" t="s">
        <v>14</v>
      </c>
      <c r="B6" s="24">
        <f t="shared" si="0"/>
        <v>5</v>
      </c>
      <c r="C6" s="24">
        <v>9</v>
      </c>
      <c r="D6" s="24">
        <v>2025</v>
      </c>
      <c r="E6" s="25">
        <f>IF('BAN-L Electrical &amp; Water '!D11+'BAN-L Electrical &amp; Water '!F11+'BAN-L Electrical &amp; Water '!H11+'BAN-L Electrical &amp; Water '!J11+'BAN-L Electrical &amp; Water '!L11+'BAN-L Electrical &amp; Water '!N11&gt;0,'BAN-L Electrical &amp; Water '!D11+'BAN-L Electrical &amp; Water '!F11+'BAN-L Electrical &amp; Water '!H11+'BAN-L Electrical &amp; Water '!J11+'BAN-L Electrical &amp; Water '!L11+'BAN-L Electrical &amp; Water '!N11,0)</f>
        <v>16957</v>
      </c>
      <c r="F6" s="26">
        <v>0.2</v>
      </c>
      <c r="G6" s="25"/>
      <c r="H6" s="26">
        <v>5.42</v>
      </c>
      <c r="I6" s="25">
        <f>IF('BAN-L Electrical &amp; Water '!P11+'BAN-L Electrical &amp; Water '!R11+'BAN-L Electrical &amp; Water '!T11&gt;0,'BAN-L Electrical &amp; Water '!P11+'BAN-L Electrical &amp; Water '!R11+'BAN-L Electrical &amp; Water '!T11,0)</f>
        <v>170</v>
      </c>
      <c r="J6" s="26">
        <v>7.84</v>
      </c>
      <c r="K6" s="25"/>
      <c r="L6" s="26">
        <v>7.84</v>
      </c>
      <c r="M6" s="45">
        <v>47</v>
      </c>
      <c r="N6" s="45">
        <v>124</v>
      </c>
    </row>
    <row r="7" spans="1:14" ht="15">
      <c r="A7" s="23" t="s">
        <v>14</v>
      </c>
      <c r="B7" s="24">
        <f t="shared" si="0"/>
        <v>6</v>
      </c>
      <c r="C7" s="24">
        <v>9</v>
      </c>
      <c r="D7" s="24">
        <v>2025</v>
      </c>
      <c r="E7" s="25">
        <f>IF('BAN-L Electrical &amp; Water '!D12+'BAN-L Electrical &amp; Water '!F12+'BAN-L Electrical &amp; Water '!H12+'BAN-L Electrical &amp; Water '!J12+'BAN-L Electrical &amp; Water '!L12+'BAN-L Electrical &amp; Water '!N12&gt;0,'BAN-L Electrical &amp; Water '!D12+'BAN-L Electrical &amp; Water '!F12+'BAN-L Electrical &amp; Water '!H12+'BAN-L Electrical &amp; Water '!J12+'BAN-L Electrical &amp; Water '!L12+'BAN-L Electrical &amp; Water '!N12,0)</f>
        <v>17640</v>
      </c>
      <c r="F7" s="26">
        <v>0.2</v>
      </c>
      <c r="G7" s="25"/>
      <c r="H7" s="26">
        <v>5.42</v>
      </c>
      <c r="I7" s="25">
        <f>IF('BAN-L Electrical &amp; Water '!P12+'BAN-L Electrical &amp; Water '!R12+'BAN-L Electrical &amp; Water '!T12&gt;0,'BAN-L Electrical &amp; Water '!P12+'BAN-L Electrical &amp; Water '!R12+'BAN-L Electrical &amp; Water '!T12,0)</f>
        <v>225</v>
      </c>
      <c r="J7" s="26">
        <v>7.84</v>
      </c>
      <c r="K7" s="25"/>
      <c r="L7" s="26">
        <v>7.84</v>
      </c>
      <c r="M7" s="45">
        <v>44</v>
      </c>
      <c r="N7" s="45">
        <v>104</v>
      </c>
    </row>
    <row r="8" spans="1:14" ht="15">
      <c r="A8" s="23" t="s">
        <v>14</v>
      </c>
      <c r="B8" s="24">
        <f t="shared" si="0"/>
        <v>7</v>
      </c>
      <c r="C8" s="24">
        <v>9</v>
      </c>
      <c r="D8" s="24">
        <v>2025</v>
      </c>
      <c r="E8" s="25">
        <f>IF('BAN-L Electrical &amp; Water '!D13+'BAN-L Electrical &amp; Water '!F13+'BAN-L Electrical &amp; Water '!H13+'BAN-L Electrical &amp; Water '!J13+'BAN-L Electrical &amp; Water '!L13+'BAN-L Electrical &amp; Water '!N13&gt;0,'BAN-L Electrical &amp; Water '!D13+'BAN-L Electrical &amp; Water '!F13+'BAN-L Electrical &amp; Water '!H13+'BAN-L Electrical &amp; Water '!J13+'BAN-L Electrical &amp; Water '!L13+'BAN-L Electrical &amp; Water '!N13,0)</f>
        <v>17183</v>
      </c>
      <c r="F8" s="26">
        <v>0.2</v>
      </c>
      <c r="G8" s="25"/>
      <c r="H8" s="26">
        <v>5.42</v>
      </c>
      <c r="I8" s="25">
        <f>IF('BAN-L Electrical &amp; Water '!P13+'BAN-L Electrical &amp; Water '!R13+'BAN-L Electrical &amp; Water '!T13&gt;0,'BAN-L Electrical &amp; Water '!P13+'BAN-L Electrical &amp; Water '!R13+'BAN-L Electrical &amp; Water '!T13,0)</f>
        <v>213</v>
      </c>
      <c r="J8" s="26">
        <v>7.84</v>
      </c>
      <c r="K8" s="25"/>
      <c r="L8" s="26">
        <v>7.84</v>
      </c>
      <c r="M8" s="45">
        <v>11</v>
      </c>
      <c r="N8" s="45">
        <v>22</v>
      </c>
    </row>
    <row r="9" spans="1:14" ht="15">
      <c r="A9" s="23" t="s">
        <v>14</v>
      </c>
      <c r="B9" s="24">
        <f t="shared" si="0"/>
        <v>8</v>
      </c>
      <c r="C9" s="24">
        <v>9</v>
      </c>
      <c r="D9" s="24">
        <v>2025</v>
      </c>
      <c r="E9" s="25">
        <f>IF('BAN-L Electrical &amp; Water '!D14+'BAN-L Electrical &amp; Water '!F14+'BAN-L Electrical &amp; Water '!H14+'BAN-L Electrical &amp; Water '!J14+'BAN-L Electrical &amp; Water '!L14+'BAN-L Electrical &amp; Water '!N14&gt;0,'BAN-L Electrical &amp; Water '!D14+'BAN-L Electrical &amp; Water '!F14+'BAN-L Electrical &amp; Water '!H14+'BAN-L Electrical &amp; Water '!J14+'BAN-L Electrical &amp; Water '!L14+'BAN-L Electrical &amp; Water '!N14,0)</f>
        <v>16804</v>
      </c>
      <c r="F9" s="26">
        <v>0.2</v>
      </c>
      <c r="G9" s="25"/>
      <c r="H9" s="26">
        <v>5.42</v>
      </c>
      <c r="I9" s="25">
        <f>IF('BAN-L Electrical &amp; Water '!P14+'BAN-L Electrical &amp; Water '!R14+'BAN-L Electrical &amp; Water '!T14&gt;0,'BAN-L Electrical &amp; Water '!P14+'BAN-L Electrical &amp; Water '!R14+'BAN-L Electrical &amp; Water '!T14,0)</f>
        <v>232</v>
      </c>
      <c r="J9" s="26">
        <v>7.84</v>
      </c>
      <c r="K9" s="25"/>
      <c r="L9" s="26">
        <v>7.84</v>
      </c>
      <c r="M9" s="45">
        <v>11</v>
      </c>
      <c r="N9" s="45">
        <v>36</v>
      </c>
    </row>
    <row r="10" spans="1:14" ht="15">
      <c r="A10" s="23" t="s">
        <v>14</v>
      </c>
      <c r="B10" s="24">
        <f t="shared" si="0"/>
        <v>9</v>
      </c>
      <c r="C10" s="24">
        <v>9</v>
      </c>
      <c r="D10" s="24">
        <v>2025</v>
      </c>
      <c r="E10" s="25">
        <f>IF('BAN-L Electrical &amp; Water '!D15+'BAN-L Electrical &amp; Water '!F15+'BAN-L Electrical &amp; Water '!H15+'BAN-L Electrical &amp; Water '!J15+'BAN-L Electrical &amp; Water '!L15+'BAN-L Electrical &amp; Water '!N15&gt;0,'BAN-L Electrical &amp; Water '!D15+'BAN-L Electrical &amp; Water '!F15+'BAN-L Electrical &amp; Water '!H15+'BAN-L Electrical &amp; Water '!J15+'BAN-L Electrical &amp; Water '!L15+'BAN-L Electrical &amp; Water '!N15,0)</f>
        <v>15954</v>
      </c>
      <c r="F10" s="26">
        <v>0.2</v>
      </c>
      <c r="G10" s="25"/>
      <c r="H10" s="26">
        <v>5.42</v>
      </c>
      <c r="I10" s="25">
        <f>IF('BAN-L Electrical &amp; Water '!P15+'BAN-L Electrical &amp; Water '!R15+'BAN-L Electrical &amp; Water '!T15&gt;0,'BAN-L Electrical &amp; Water '!P15+'BAN-L Electrical &amp; Water '!R15+'BAN-L Electrical &amp; Water '!T15,0)</f>
        <v>248</v>
      </c>
      <c r="J10" s="26">
        <v>7.84</v>
      </c>
      <c r="K10" s="25"/>
      <c r="L10" s="26">
        <v>7.84</v>
      </c>
      <c r="M10" s="45">
        <v>13</v>
      </c>
      <c r="N10" s="45">
        <v>40</v>
      </c>
    </row>
    <row r="11" spans="1:14" ht="15">
      <c r="A11" s="23" t="s">
        <v>14</v>
      </c>
      <c r="B11" s="24">
        <f t="shared" si="0"/>
        <v>10</v>
      </c>
      <c r="C11" s="24">
        <v>9</v>
      </c>
      <c r="D11" s="24">
        <v>2025</v>
      </c>
      <c r="E11" s="25">
        <f>IF('BAN-L Electrical &amp; Water '!D16+'BAN-L Electrical &amp; Water '!F16+'BAN-L Electrical &amp; Water '!H16+'BAN-L Electrical &amp; Water '!J16+'BAN-L Electrical &amp; Water '!L16+'BAN-L Electrical &amp; Water '!N16&gt;0,'BAN-L Electrical &amp; Water '!D16+'BAN-L Electrical &amp; Water '!F16+'BAN-L Electrical &amp; Water '!H16+'BAN-L Electrical &amp; Water '!J16+'BAN-L Electrical &amp; Water '!L16+'BAN-L Electrical &amp; Water '!N16,0)</f>
        <v>16668</v>
      </c>
      <c r="F11" s="26">
        <v>0.2</v>
      </c>
      <c r="G11" s="25"/>
      <c r="H11" s="26">
        <v>5.42</v>
      </c>
      <c r="I11" s="25">
        <f>IF('BAN-L Electrical &amp; Water '!P16+'BAN-L Electrical &amp; Water '!R16+'BAN-L Electrical &amp; Water '!T16&gt;0,'BAN-L Electrical &amp; Water '!P16+'BAN-L Electrical &amp; Water '!R16+'BAN-L Electrical &amp; Water '!T16,0)</f>
        <v>221</v>
      </c>
      <c r="J11" s="26">
        <v>7.84</v>
      </c>
      <c r="K11" s="25"/>
      <c r="L11" s="26">
        <v>7.84</v>
      </c>
      <c r="M11" s="45">
        <v>7</v>
      </c>
      <c r="N11" s="45">
        <v>14</v>
      </c>
    </row>
    <row r="12" spans="1:14" ht="15">
      <c r="A12" s="23" t="s">
        <v>14</v>
      </c>
      <c r="B12" s="24">
        <f t="shared" si="0"/>
        <v>11</v>
      </c>
      <c r="C12" s="24">
        <v>9</v>
      </c>
      <c r="D12" s="24">
        <v>2025</v>
      </c>
      <c r="E12" s="25">
        <f>IF('BAN-L Electrical &amp; Water '!D17+'BAN-L Electrical &amp; Water '!F17+'BAN-L Electrical &amp; Water '!H17+'BAN-L Electrical &amp; Water '!J17+'BAN-L Electrical &amp; Water '!L17+'BAN-L Electrical &amp; Water '!N17&gt;0,'BAN-L Electrical &amp; Water '!D17+'BAN-L Electrical &amp; Water '!F17+'BAN-L Electrical &amp; Water '!H17+'BAN-L Electrical &amp; Water '!J17+'BAN-L Electrical &amp; Water '!L17+'BAN-L Electrical &amp; Water '!N17,0)</f>
        <v>17083</v>
      </c>
      <c r="F12" s="26">
        <v>0.2</v>
      </c>
      <c r="G12" s="25"/>
      <c r="H12" s="26">
        <v>5.42</v>
      </c>
      <c r="I12" s="25">
        <f>IF('BAN-L Electrical &amp; Water '!P17+'BAN-L Electrical &amp; Water '!R17+'BAN-L Electrical &amp; Water '!T17&gt;0,'BAN-L Electrical &amp; Water '!P17+'BAN-L Electrical &amp; Water '!R17+'BAN-L Electrical &amp; Water '!T17,0)</f>
        <v>189</v>
      </c>
      <c r="J12" s="26">
        <v>7.84</v>
      </c>
      <c r="K12" s="25"/>
      <c r="L12" s="26">
        <v>7.84</v>
      </c>
      <c r="M12" s="45">
        <v>9</v>
      </c>
      <c r="N12" s="45">
        <v>21</v>
      </c>
    </row>
    <row r="13" spans="1:14" ht="15">
      <c r="A13" s="23" t="s">
        <v>14</v>
      </c>
      <c r="B13" s="24">
        <f t="shared" si="0"/>
        <v>12</v>
      </c>
      <c r="C13" s="24">
        <v>9</v>
      </c>
      <c r="D13" s="24">
        <v>2025</v>
      </c>
      <c r="E13" s="25">
        <f>IF('BAN-L Electrical &amp; Water '!D18+'BAN-L Electrical &amp; Water '!F18+'BAN-L Electrical &amp; Water '!H18+'BAN-L Electrical &amp; Water '!J18+'BAN-L Electrical &amp; Water '!L18+'BAN-L Electrical &amp; Water '!N18&gt;0,'BAN-L Electrical &amp; Water '!D18+'BAN-L Electrical &amp; Water '!F18+'BAN-L Electrical &amp; Water '!H18+'BAN-L Electrical &amp; Water '!J18+'BAN-L Electrical &amp; Water '!L18+'BAN-L Electrical &amp; Water '!N18,0)</f>
        <v>17010</v>
      </c>
      <c r="F13" s="26">
        <v>0.2</v>
      </c>
      <c r="G13" s="25"/>
      <c r="H13" s="26">
        <v>5.42</v>
      </c>
      <c r="I13" s="25">
        <f>IF('BAN-L Electrical &amp; Water '!P18+'BAN-L Electrical &amp; Water '!R18+'BAN-L Electrical &amp; Water '!T18&gt;0,'BAN-L Electrical &amp; Water '!P18+'BAN-L Electrical &amp; Water '!R18+'BAN-L Electrical &amp; Water '!T18,0)</f>
        <v>224</v>
      </c>
      <c r="J13" s="26">
        <v>7.84</v>
      </c>
      <c r="K13" s="25"/>
      <c r="L13" s="26">
        <v>7.84</v>
      </c>
      <c r="M13" s="45">
        <v>18</v>
      </c>
      <c r="N13" s="45">
        <v>40</v>
      </c>
    </row>
    <row r="14" spans="1:14" ht="15">
      <c r="A14" s="23" t="s">
        <v>14</v>
      </c>
      <c r="B14" s="24">
        <f t="shared" si="0"/>
        <v>13</v>
      </c>
      <c r="C14" s="24">
        <v>9</v>
      </c>
      <c r="D14" s="24">
        <v>2025</v>
      </c>
      <c r="E14" s="25">
        <f>IF('BAN-L Electrical &amp; Water '!D19+'BAN-L Electrical &amp; Water '!F19+'BAN-L Electrical &amp; Water '!H19+'BAN-L Electrical &amp; Water '!J19+'BAN-L Electrical &amp; Water '!L19+'BAN-L Electrical &amp; Water '!N19&gt;0,'BAN-L Electrical &amp; Water '!D19+'BAN-L Electrical &amp; Water '!F19+'BAN-L Electrical &amp; Water '!H19+'BAN-L Electrical &amp; Water '!J19+'BAN-L Electrical &amp; Water '!L19+'BAN-L Electrical &amp; Water '!N19,0)</f>
        <v>17355</v>
      </c>
      <c r="F14" s="26">
        <v>0.2</v>
      </c>
      <c r="G14" s="25"/>
      <c r="H14" s="26">
        <v>5.42</v>
      </c>
      <c r="I14" s="25">
        <f>IF('BAN-L Electrical &amp; Water '!P19+'BAN-L Electrical &amp; Water '!R19+'BAN-L Electrical &amp; Water '!T19&gt;0,'BAN-L Electrical &amp; Water '!P19+'BAN-L Electrical &amp; Water '!R19+'BAN-L Electrical &amp; Water '!T19,0)</f>
        <v>220</v>
      </c>
      <c r="J14" s="26">
        <v>7.84</v>
      </c>
      <c r="K14" s="25"/>
      <c r="L14" s="26">
        <v>7.84</v>
      </c>
      <c r="M14" s="45">
        <v>27</v>
      </c>
      <c r="N14" s="45">
        <v>59</v>
      </c>
    </row>
    <row r="15" spans="1:14" ht="15">
      <c r="A15" s="23" t="s">
        <v>14</v>
      </c>
      <c r="B15" s="24">
        <f t="shared" si="0"/>
        <v>14</v>
      </c>
      <c r="C15" s="24">
        <v>9</v>
      </c>
      <c r="D15" s="24">
        <v>2025</v>
      </c>
      <c r="E15" s="25">
        <f>IF('BAN-L Electrical &amp; Water '!D20+'BAN-L Electrical &amp; Water '!F20+'BAN-L Electrical &amp; Water '!H20+'BAN-L Electrical &amp; Water '!J20+'BAN-L Electrical &amp; Water '!L20+'BAN-L Electrical &amp; Water '!N20&gt;0,'BAN-L Electrical &amp; Water '!D20+'BAN-L Electrical &amp; Water '!F20+'BAN-L Electrical &amp; Water '!H20+'BAN-L Electrical &amp; Water '!J20+'BAN-L Electrical &amp; Water '!L20+'BAN-L Electrical &amp; Water '!N20,0)</f>
        <v>17154</v>
      </c>
      <c r="F15" s="26">
        <v>0.2</v>
      </c>
      <c r="G15" s="25"/>
      <c r="H15" s="26">
        <v>5.42</v>
      </c>
      <c r="I15" s="25">
        <f>IF('BAN-L Electrical &amp; Water '!P20+'BAN-L Electrical &amp; Water '!R20+'BAN-L Electrical &amp; Water '!T20&gt;0,'BAN-L Electrical &amp; Water '!P20+'BAN-L Electrical &amp; Water '!R20+'BAN-L Electrical &amp; Water '!T20,0)</f>
        <v>215</v>
      </c>
      <c r="J15" s="26">
        <v>7.84</v>
      </c>
      <c r="K15" s="25"/>
      <c r="L15" s="26">
        <v>7.84</v>
      </c>
      <c r="M15" s="45">
        <v>13</v>
      </c>
      <c r="N15" s="45">
        <v>26</v>
      </c>
    </row>
    <row r="16" spans="1:14" ht="15">
      <c r="A16" s="23" t="s">
        <v>14</v>
      </c>
      <c r="B16" s="24">
        <f t="shared" si="0"/>
        <v>15</v>
      </c>
      <c r="C16" s="24">
        <v>9</v>
      </c>
      <c r="D16" s="24">
        <v>2025</v>
      </c>
      <c r="E16" s="25">
        <f>IF('BAN-L Electrical &amp; Water '!D21+'BAN-L Electrical &amp; Water '!F21+'BAN-L Electrical &amp; Water '!H21+'BAN-L Electrical &amp; Water '!J21+'BAN-L Electrical &amp; Water '!L21+'BAN-L Electrical &amp; Water '!N21&gt;0,'BAN-L Electrical &amp; Water '!D21+'BAN-L Electrical &amp; Water '!F21+'BAN-L Electrical &amp; Water '!H21+'BAN-L Electrical &amp; Water '!J21+'BAN-L Electrical &amp; Water '!L21+'BAN-L Electrical &amp; Water '!N21,0)</f>
        <v>15773</v>
      </c>
      <c r="F16" s="26">
        <v>0.2</v>
      </c>
      <c r="G16" s="25"/>
      <c r="H16" s="26">
        <v>5.42</v>
      </c>
      <c r="I16" s="25">
        <f>IF('BAN-L Electrical &amp; Water '!P21+'BAN-L Electrical &amp; Water '!R21+'BAN-L Electrical &amp; Water '!T21&gt;0,'BAN-L Electrical &amp; Water '!P21+'BAN-L Electrical &amp; Water '!R21+'BAN-L Electrical &amp; Water '!T21,0)</f>
        <v>209</v>
      </c>
      <c r="J16" s="26">
        <v>7.84</v>
      </c>
      <c r="K16" s="25"/>
      <c r="L16" s="26">
        <v>7.84</v>
      </c>
      <c r="M16" s="45">
        <v>16</v>
      </c>
      <c r="N16" s="45">
        <v>28</v>
      </c>
    </row>
    <row r="17" spans="1:14" ht="15">
      <c r="A17" s="23" t="s">
        <v>14</v>
      </c>
      <c r="B17" s="24">
        <f t="shared" si="0"/>
        <v>16</v>
      </c>
      <c r="C17" s="24">
        <v>9</v>
      </c>
      <c r="D17" s="24">
        <v>2025</v>
      </c>
      <c r="E17" s="25">
        <f>IF('BAN-L Electrical &amp; Water '!D22+'BAN-L Electrical &amp; Water '!F22+'BAN-L Electrical &amp; Water '!H22+'BAN-L Electrical &amp; Water '!J22+'BAN-L Electrical &amp; Water '!L22+'BAN-L Electrical &amp; Water '!N22&gt;0,'BAN-L Electrical &amp; Water '!D22+'BAN-L Electrical &amp; Water '!F22+'BAN-L Electrical &amp; Water '!H22+'BAN-L Electrical &amp; Water '!J22+'BAN-L Electrical &amp; Water '!L22+'BAN-L Electrical &amp; Water '!N22,0)</f>
        <v>15573</v>
      </c>
      <c r="F17" s="26">
        <v>0.2</v>
      </c>
      <c r="G17" s="25"/>
      <c r="H17" s="26">
        <v>5.42</v>
      </c>
      <c r="I17" s="25">
        <f>IF('BAN-L Electrical &amp; Water '!P22+'BAN-L Electrical &amp; Water '!R22+'BAN-L Electrical &amp; Water '!T22&gt;0,'BAN-L Electrical &amp; Water '!P22+'BAN-L Electrical &amp; Water '!R22+'BAN-L Electrical &amp; Water '!T22,0)</f>
        <v>218</v>
      </c>
      <c r="J17" s="26">
        <v>7.84</v>
      </c>
      <c r="K17" s="25"/>
      <c r="L17" s="26">
        <v>7.84</v>
      </c>
      <c r="M17" s="45">
        <v>10</v>
      </c>
      <c r="N17" s="45">
        <v>17</v>
      </c>
    </row>
    <row r="18" spans="1:14" ht="15">
      <c r="A18" s="23" t="s">
        <v>14</v>
      </c>
      <c r="B18" s="24">
        <f t="shared" si="0"/>
        <v>17</v>
      </c>
      <c r="C18" s="24">
        <v>9</v>
      </c>
      <c r="D18" s="24">
        <v>2025</v>
      </c>
      <c r="E18" s="25">
        <f>IF('BAN-L Electrical &amp; Water '!D23+'BAN-L Electrical &amp; Water '!F23+'BAN-L Electrical &amp; Water '!H23+'BAN-L Electrical &amp; Water '!J23+'BAN-L Electrical &amp; Water '!L23+'BAN-L Electrical &amp; Water '!N23&gt;0,'BAN-L Electrical &amp; Water '!D23+'BAN-L Electrical &amp; Water '!F23+'BAN-L Electrical &amp; Water '!H23+'BAN-L Electrical &amp; Water '!J23+'BAN-L Electrical &amp; Water '!L23+'BAN-L Electrical &amp; Water '!N23,0)</f>
        <v>15863</v>
      </c>
      <c r="F18" s="26">
        <v>0.2</v>
      </c>
      <c r="G18" s="25"/>
      <c r="H18" s="26">
        <v>5.42</v>
      </c>
      <c r="I18" s="25">
        <f>IF('BAN-L Electrical &amp; Water '!P23+'BAN-L Electrical &amp; Water '!R23+'BAN-L Electrical &amp; Water '!T23&gt;0,'BAN-L Electrical &amp; Water '!P23+'BAN-L Electrical &amp; Water '!R23+'BAN-L Electrical &amp; Water '!T23,0)</f>
        <v>207</v>
      </c>
      <c r="J18" s="26">
        <v>7.84</v>
      </c>
      <c r="K18" s="25"/>
      <c r="L18" s="26">
        <v>7.84</v>
      </c>
      <c r="M18" s="45">
        <v>8</v>
      </c>
      <c r="N18" s="45">
        <v>13</v>
      </c>
    </row>
    <row r="19" spans="1:14" ht="15">
      <c r="A19" s="23" t="s">
        <v>14</v>
      </c>
      <c r="B19" s="24">
        <f t="shared" si="0"/>
        <v>18</v>
      </c>
      <c r="C19" s="24">
        <v>9</v>
      </c>
      <c r="D19" s="24">
        <v>2025</v>
      </c>
      <c r="E19" s="25">
        <f>IF('BAN-L Electrical &amp; Water '!D24+'BAN-L Electrical &amp; Water '!F24+'BAN-L Electrical &amp; Water '!H24+'BAN-L Electrical &amp; Water '!J24+'BAN-L Electrical &amp; Water '!L24+'BAN-L Electrical &amp; Water '!N24&gt;0,'BAN-L Electrical &amp; Water '!D24+'BAN-L Electrical &amp; Water '!F24+'BAN-L Electrical &amp; Water '!H24+'BAN-L Electrical &amp; Water '!J24+'BAN-L Electrical &amp; Water '!L24+'BAN-L Electrical &amp; Water '!N24,0)</f>
        <v>15865</v>
      </c>
      <c r="F19" s="26">
        <v>0.2</v>
      </c>
      <c r="G19" s="25"/>
      <c r="H19" s="26">
        <v>5.42</v>
      </c>
      <c r="I19" s="25">
        <f>IF('BAN-L Electrical &amp; Water '!P24+'BAN-L Electrical &amp; Water '!R24+'BAN-L Electrical &amp; Water '!T24&gt;0,'BAN-L Electrical &amp; Water '!P24+'BAN-L Electrical &amp; Water '!R24+'BAN-L Electrical &amp; Water '!T24,0)</f>
        <v>153</v>
      </c>
      <c r="J19" s="26">
        <v>7.84</v>
      </c>
      <c r="K19" s="25"/>
      <c r="L19" s="26">
        <v>7.84</v>
      </c>
      <c r="M19" s="45">
        <v>8</v>
      </c>
      <c r="N19" s="45">
        <v>15</v>
      </c>
    </row>
    <row r="20" spans="1:14" ht="15">
      <c r="A20" s="23" t="s">
        <v>14</v>
      </c>
      <c r="B20" s="24">
        <f t="shared" si="0"/>
        <v>19</v>
      </c>
      <c r="C20" s="24">
        <v>9</v>
      </c>
      <c r="D20" s="24">
        <v>2025</v>
      </c>
      <c r="E20" s="25">
        <f>IF('BAN-L Electrical &amp; Water '!D25+'BAN-L Electrical &amp; Water '!F25+'BAN-L Electrical &amp; Water '!H25+'BAN-L Electrical &amp; Water '!J25+'BAN-L Electrical &amp; Water '!L25+'BAN-L Electrical &amp; Water '!N25&gt;0,'BAN-L Electrical &amp; Water '!D25+'BAN-L Electrical &amp; Water '!F25+'BAN-L Electrical &amp; Water '!H25+'BAN-L Electrical &amp; Water '!J25+'BAN-L Electrical &amp; Water '!L25+'BAN-L Electrical &amp; Water '!N25,0)</f>
        <v>15462</v>
      </c>
      <c r="F20" s="26">
        <v>0.2</v>
      </c>
      <c r="G20" s="25"/>
      <c r="H20" s="26">
        <v>5.42</v>
      </c>
      <c r="I20" s="25">
        <f>IF('BAN-L Electrical &amp; Water '!P25+'BAN-L Electrical &amp; Water '!R25+'BAN-L Electrical &amp; Water '!T25&gt;0,'BAN-L Electrical &amp; Water '!P25+'BAN-L Electrical &amp; Water '!R25+'BAN-L Electrical &amp; Water '!T25,0)</f>
        <v>316</v>
      </c>
      <c r="J20" s="26">
        <v>7.84</v>
      </c>
      <c r="K20" s="25"/>
      <c r="L20" s="26">
        <v>7.84</v>
      </c>
      <c r="M20" s="45">
        <v>12</v>
      </c>
      <c r="N20" s="45">
        <v>26</v>
      </c>
    </row>
    <row r="21" spans="1:14" ht="15">
      <c r="A21" s="23" t="s">
        <v>14</v>
      </c>
      <c r="B21" s="24">
        <f t="shared" si="0"/>
        <v>20</v>
      </c>
      <c r="C21" s="24">
        <v>9</v>
      </c>
      <c r="D21" s="24">
        <v>2025</v>
      </c>
      <c r="E21" s="25">
        <f>IF('BAN-L Electrical &amp; Water '!D26+'BAN-L Electrical &amp; Water '!F26+'BAN-L Electrical &amp; Water '!H26+'BAN-L Electrical &amp; Water '!J26+'BAN-L Electrical &amp; Water '!L26+'BAN-L Electrical &amp; Water '!N26&gt;0,'BAN-L Electrical &amp; Water '!D26+'BAN-L Electrical &amp; Water '!F26+'BAN-L Electrical &amp; Water '!H26+'BAN-L Electrical &amp; Water '!J26+'BAN-L Electrical &amp; Water '!L26+'BAN-L Electrical &amp; Water '!N26,0)</f>
        <v>17123</v>
      </c>
      <c r="F21" s="26">
        <v>0.2</v>
      </c>
      <c r="G21" s="25"/>
      <c r="H21" s="26">
        <v>5.42</v>
      </c>
      <c r="I21" s="25">
        <f>IF('BAN-L Electrical &amp; Water '!P26+'BAN-L Electrical &amp; Water '!R26+'BAN-L Electrical &amp; Water '!T26&gt;0,'BAN-L Electrical &amp; Water '!P26+'BAN-L Electrical &amp; Water '!R26+'BAN-L Electrical &amp; Water '!T26,0)</f>
        <v>219</v>
      </c>
      <c r="J21" s="26">
        <v>7.84</v>
      </c>
      <c r="K21" s="25"/>
      <c r="L21" s="26">
        <v>7.84</v>
      </c>
      <c r="M21" s="45">
        <v>55</v>
      </c>
      <c r="N21" s="45">
        <v>121</v>
      </c>
    </row>
    <row r="22" spans="1:14" ht="15">
      <c r="A22" s="23" t="s">
        <v>14</v>
      </c>
      <c r="B22" s="24">
        <f t="shared" si="0"/>
        <v>21</v>
      </c>
      <c r="C22" s="24">
        <v>9</v>
      </c>
      <c r="D22" s="24">
        <v>2025</v>
      </c>
      <c r="E22" s="25">
        <f>IF('BAN-L Electrical &amp; Water '!D27+'BAN-L Electrical &amp; Water '!F27+'BAN-L Electrical &amp; Water '!H27+'BAN-L Electrical &amp; Water '!J27+'BAN-L Electrical &amp; Water '!L27+'BAN-L Electrical &amp; Water '!N27&gt;0,'BAN-L Electrical &amp; Water '!D27+'BAN-L Electrical &amp; Water '!F27+'BAN-L Electrical &amp; Water '!H27+'BAN-L Electrical &amp; Water '!J27+'BAN-L Electrical &amp; Water '!L27+'BAN-L Electrical &amp; Water '!N27,0)</f>
        <v>16163</v>
      </c>
      <c r="F22" s="26">
        <v>0.2</v>
      </c>
      <c r="G22" s="25"/>
      <c r="H22" s="26">
        <v>5.42</v>
      </c>
      <c r="I22" s="25">
        <f>IF('BAN-L Electrical &amp; Water '!P27+'BAN-L Electrical &amp; Water '!R27+'BAN-L Electrical &amp; Water '!T27&gt;0,'BAN-L Electrical &amp; Water '!P27+'BAN-L Electrical &amp; Water '!R27+'BAN-L Electrical &amp; Water '!T27,0)</f>
        <v>246</v>
      </c>
      <c r="J22" s="26">
        <v>7.84</v>
      </c>
      <c r="K22" s="25"/>
      <c r="L22" s="26">
        <v>7.84</v>
      </c>
      <c r="M22" s="45">
        <v>9</v>
      </c>
      <c r="N22" s="45">
        <v>22</v>
      </c>
    </row>
    <row r="23" spans="1:14" ht="15">
      <c r="A23" s="23" t="s">
        <v>14</v>
      </c>
      <c r="B23" s="24">
        <f t="shared" si="0"/>
        <v>22</v>
      </c>
      <c r="C23" s="24">
        <v>9</v>
      </c>
      <c r="D23" s="24">
        <v>2025</v>
      </c>
      <c r="E23" s="25">
        <f>IF('BAN-L Electrical &amp; Water '!D28+'BAN-L Electrical &amp; Water '!F28+'BAN-L Electrical &amp; Water '!H28+'BAN-L Electrical &amp; Water '!J28+'BAN-L Electrical &amp; Water '!L28+'BAN-L Electrical &amp; Water '!N28&gt;0,'BAN-L Electrical &amp; Water '!D28+'BAN-L Electrical &amp; Water '!F28+'BAN-L Electrical &amp; Water '!H28+'BAN-L Electrical &amp; Water '!J28+'BAN-L Electrical &amp; Water '!L28+'BAN-L Electrical &amp; Water '!N28,0)</f>
        <v>16090</v>
      </c>
      <c r="F23" s="26">
        <v>0.2</v>
      </c>
      <c r="G23" s="25"/>
      <c r="H23" s="26">
        <v>5.42</v>
      </c>
      <c r="I23" s="25">
        <f>IF('BAN-L Electrical &amp; Water '!P28+'BAN-L Electrical &amp; Water '!R28+'BAN-L Electrical &amp; Water '!T28&gt;0,'BAN-L Electrical &amp; Water '!P28+'BAN-L Electrical &amp; Water '!R28+'BAN-L Electrical &amp; Water '!T28,0)</f>
        <v>243</v>
      </c>
      <c r="J23" s="26">
        <v>7.84</v>
      </c>
      <c r="K23" s="25"/>
      <c r="L23" s="26">
        <v>7.84</v>
      </c>
      <c r="M23" s="45">
        <v>24</v>
      </c>
      <c r="N23" s="45">
        <v>46</v>
      </c>
    </row>
    <row r="24" spans="1:14" ht="15">
      <c r="A24" s="23" t="s">
        <v>14</v>
      </c>
      <c r="B24" s="24">
        <f t="shared" si="0"/>
        <v>23</v>
      </c>
      <c r="C24" s="24">
        <v>9</v>
      </c>
      <c r="D24" s="24">
        <v>2025</v>
      </c>
      <c r="E24" s="25">
        <f>IF('BAN-L Electrical &amp; Water '!D29+'BAN-L Electrical &amp; Water '!F29+'BAN-L Electrical &amp; Water '!H29+'BAN-L Electrical &amp; Water '!J29+'BAN-L Electrical &amp; Water '!L29+'BAN-L Electrical &amp; Water '!N29&gt;0,'BAN-L Electrical &amp; Water '!D29+'BAN-L Electrical &amp; Water '!F29+'BAN-L Electrical &amp; Water '!H29+'BAN-L Electrical &amp; Water '!J29+'BAN-L Electrical &amp; Water '!L29+'BAN-L Electrical &amp; Water '!N29,0)</f>
        <v>16027</v>
      </c>
      <c r="F24" s="26">
        <v>0.2</v>
      </c>
      <c r="G24" s="25"/>
      <c r="H24" s="26">
        <v>5.42</v>
      </c>
      <c r="I24" s="25">
        <f>IF('BAN-L Electrical &amp; Water '!P29+'BAN-L Electrical &amp; Water '!R29+'BAN-L Electrical &amp; Water '!T29&gt;0,'BAN-L Electrical &amp; Water '!P29+'BAN-L Electrical &amp; Water '!R29+'BAN-L Electrical &amp; Water '!T29,0)</f>
        <v>219</v>
      </c>
      <c r="J24" s="26">
        <v>7.84</v>
      </c>
      <c r="K24" s="25"/>
      <c r="L24" s="26">
        <v>7.84</v>
      </c>
      <c r="M24" s="45">
        <v>22</v>
      </c>
      <c r="N24" s="45">
        <v>39</v>
      </c>
    </row>
    <row r="25" spans="1:14" ht="15">
      <c r="A25" s="23" t="s">
        <v>14</v>
      </c>
      <c r="B25" s="24">
        <f t="shared" si="0"/>
        <v>24</v>
      </c>
      <c r="C25" s="24">
        <v>9</v>
      </c>
      <c r="D25" s="24">
        <v>2025</v>
      </c>
      <c r="E25" s="25">
        <f>IF('BAN-L Electrical &amp; Water '!D30+'BAN-L Electrical &amp; Water '!F30+'BAN-L Electrical &amp; Water '!H30+'BAN-L Electrical &amp; Water '!J30+'BAN-L Electrical &amp; Water '!L30+'BAN-L Electrical &amp; Water '!N30&gt;0,'BAN-L Electrical &amp; Water '!D30+'BAN-L Electrical &amp; Water '!F30+'BAN-L Electrical &amp; Water '!H30+'BAN-L Electrical &amp; Water '!J30+'BAN-L Electrical &amp; Water '!L30+'BAN-L Electrical &amp; Water '!N30,0)</f>
        <v>15486</v>
      </c>
      <c r="F25" s="26">
        <v>0.2</v>
      </c>
      <c r="G25" s="25"/>
      <c r="H25" s="26">
        <v>5.42</v>
      </c>
      <c r="I25" s="25">
        <f>IF('BAN-L Electrical &amp; Water '!P30+'BAN-L Electrical &amp; Water '!R30+'BAN-L Electrical &amp; Water '!T30&gt;0,'BAN-L Electrical &amp; Water '!P30+'BAN-L Electrical &amp; Water '!R30+'BAN-L Electrical &amp; Water '!T30,0)</f>
        <v>259</v>
      </c>
      <c r="J25" s="26">
        <v>7.84</v>
      </c>
      <c r="K25" s="25"/>
      <c r="L25" s="26">
        <v>7.84</v>
      </c>
      <c r="M25" s="45">
        <v>20</v>
      </c>
      <c r="N25" s="45">
        <v>37</v>
      </c>
    </row>
    <row r="26" spans="1:14" ht="15">
      <c r="A26" s="23" t="s">
        <v>14</v>
      </c>
      <c r="B26" s="24">
        <f>B25+1</f>
        <v>25</v>
      </c>
      <c r="C26" s="24">
        <v>9</v>
      </c>
      <c r="D26" s="24">
        <v>2025</v>
      </c>
      <c r="E26" s="25">
        <f>IF('BAN-L Electrical &amp; Water '!D31+'BAN-L Electrical &amp; Water '!F31+'BAN-L Electrical &amp; Water '!H31+'BAN-L Electrical &amp; Water '!J31+'BAN-L Electrical &amp; Water '!L31+'BAN-L Electrical &amp; Water '!N31&gt;0,'BAN-L Electrical &amp; Water '!D31+'BAN-L Electrical &amp; Water '!F31+'BAN-L Electrical &amp; Water '!H31+'BAN-L Electrical &amp; Water '!J31+'BAN-L Electrical &amp; Water '!L31+'BAN-L Electrical &amp; Water '!N31,0)</f>
        <v>14303</v>
      </c>
      <c r="F26" s="26">
        <v>0.2</v>
      </c>
      <c r="G26" s="25"/>
      <c r="H26" s="26">
        <v>5.42</v>
      </c>
      <c r="I26" s="25">
        <f>IF('BAN-L Electrical &amp; Water '!P31+'BAN-L Electrical &amp; Water '!R31+'BAN-L Electrical &amp; Water '!T31&gt;0,'BAN-L Electrical &amp; Water '!P31+'BAN-L Electrical &amp; Water '!R31+'BAN-L Electrical &amp; Water '!T31,0)</f>
        <v>213</v>
      </c>
      <c r="J26" s="26">
        <v>7.84</v>
      </c>
      <c r="K26" s="25"/>
      <c r="L26" s="26">
        <v>7.84</v>
      </c>
      <c r="M26" s="45">
        <v>15</v>
      </c>
      <c r="N26" s="45">
        <v>27</v>
      </c>
    </row>
    <row r="27" spans="1:14" ht="15">
      <c r="A27" s="23" t="s">
        <v>14</v>
      </c>
      <c r="B27" s="24">
        <f t="shared" si="0"/>
        <v>26</v>
      </c>
      <c r="C27" s="24">
        <v>9</v>
      </c>
      <c r="D27" s="24">
        <v>2025</v>
      </c>
      <c r="E27" s="25">
        <f>IF('BAN-L Electrical &amp; Water '!D32+'BAN-L Electrical &amp; Water '!F32+'BAN-L Electrical &amp; Water '!H32+'BAN-L Electrical &amp; Water '!J32+'BAN-L Electrical &amp; Water '!L32+'BAN-L Electrical &amp; Water '!N32&gt;0,'BAN-L Electrical &amp; Water '!D32+'BAN-L Electrical &amp; Water '!F32+'BAN-L Electrical &amp; Water '!H32+'BAN-L Electrical &amp; Water '!J32+'BAN-L Electrical &amp; Water '!L32+'BAN-L Electrical &amp; Water '!N32,0)</f>
        <v>13571</v>
      </c>
      <c r="F27" s="26">
        <v>0.2</v>
      </c>
      <c r="G27" s="25"/>
      <c r="H27" s="26">
        <v>5.42</v>
      </c>
      <c r="I27" s="25">
        <f>IF('BAN-L Electrical &amp; Water '!P32+'BAN-L Electrical &amp; Water '!R32+'BAN-L Electrical &amp; Water '!T32&gt;0,'BAN-L Electrical &amp; Water '!P32+'BAN-L Electrical &amp; Water '!R32+'BAN-L Electrical &amp; Water '!T32,0)</f>
        <v>223</v>
      </c>
      <c r="J27" s="26">
        <v>7.84</v>
      </c>
      <c r="K27" s="25"/>
      <c r="L27" s="26">
        <v>7.84</v>
      </c>
      <c r="M27" s="45">
        <v>29</v>
      </c>
      <c r="N27" s="45">
        <v>72</v>
      </c>
    </row>
    <row r="28" spans="1:14" ht="15">
      <c r="A28" s="23" t="s">
        <v>14</v>
      </c>
      <c r="B28" s="24">
        <f t="shared" si="0"/>
        <v>27</v>
      </c>
      <c r="C28" s="24">
        <v>9</v>
      </c>
      <c r="D28" s="24">
        <v>2025</v>
      </c>
      <c r="E28" s="25">
        <f>IF('BAN-L Electrical &amp; Water '!D33+'BAN-L Electrical &amp; Water '!F33+'BAN-L Electrical &amp; Water '!H33+'BAN-L Electrical &amp; Water '!J33+'BAN-L Electrical &amp; Water '!L33+'BAN-L Electrical &amp; Water '!N33&gt;0,'BAN-L Electrical &amp; Water '!D33+'BAN-L Electrical &amp; Water '!F33+'BAN-L Electrical &amp; Water '!H33+'BAN-L Electrical &amp; Water '!J33+'BAN-L Electrical &amp; Water '!L33+'BAN-L Electrical &amp; Water '!N33,0)</f>
        <v>14453</v>
      </c>
      <c r="F28" s="26">
        <v>0.2</v>
      </c>
      <c r="G28" s="25"/>
      <c r="H28" s="26">
        <v>5.42</v>
      </c>
      <c r="I28" s="25">
        <f>IF('BAN-L Electrical &amp; Water '!P33+'BAN-L Electrical &amp; Water '!R33+'BAN-L Electrical &amp; Water '!T33&gt;0,'BAN-L Electrical &amp; Water '!P33+'BAN-L Electrical &amp; Water '!R33+'BAN-L Electrical &amp; Water '!T33,0)</f>
        <v>213</v>
      </c>
      <c r="J28" s="26">
        <v>7.84</v>
      </c>
      <c r="K28" s="25"/>
      <c r="L28" s="26">
        <v>7.84</v>
      </c>
      <c r="M28" s="45">
        <v>40</v>
      </c>
      <c r="N28" s="45">
        <v>94</v>
      </c>
    </row>
    <row r="29" spans="1:14" ht="15">
      <c r="A29" s="23" t="s">
        <v>14</v>
      </c>
      <c r="B29" s="24">
        <f t="shared" si="0"/>
        <v>28</v>
      </c>
      <c r="C29" s="24">
        <v>9</v>
      </c>
      <c r="D29" s="24">
        <v>2025</v>
      </c>
      <c r="E29" s="25">
        <f>IF('BAN-L Electrical &amp; Water '!D34+'BAN-L Electrical &amp; Water '!F34+'BAN-L Electrical &amp; Water '!H34+'BAN-L Electrical &amp; Water '!J34+'BAN-L Electrical &amp; Water '!L34+'BAN-L Electrical &amp; Water '!N34&gt;0,'BAN-L Electrical &amp; Water '!D34+'BAN-L Electrical &amp; Water '!F34+'BAN-L Electrical &amp; Water '!H34+'BAN-L Electrical &amp; Water '!J34+'BAN-L Electrical &amp; Water '!L34+'BAN-L Electrical &amp; Water '!N34,0)</f>
        <v>15176</v>
      </c>
      <c r="F29" s="26">
        <v>0.2</v>
      </c>
      <c r="G29" s="25"/>
      <c r="H29" s="26">
        <v>5.42</v>
      </c>
      <c r="I29" s="25">
        <f>IF('BAN-L Electrical &amp; Water '!P34+'BAN-L Electrical &amp; Water '!R34+'BAN-L Electrical &amp; Water '!T34&gt;0,'BAN-L Electrical &amp; Water '!P34+'BAN-L Electrical &amp; Water '!R34+'BAN-L Electrical &amp; Water '!T34,0)</f>
        <v>65</v>
      </c>
      <c r="J29" s="26">
        <v>7.84</v>
      </c>
      <c r="K29" s="25"/>
      <c r="L29" s="26">
        <v>7.84</v>
      </c>
      <c r="M29" s="45">
        <v>22</v>
      </c>
      <c r="N29" s="45">
        <v>44</v>
      </c>
    </row>
    <row r="30" spans="1:14" ht="15">
      <c r="A30" s="23" t="s">
        <v>14</v>
      </c>
      <c r="B30" s="24">
        <f t="shared" si="0"/>
        <v>29</v>
      </c>
      <c r="C30" s="24">
        <v>9</v>
      </c>
      <c r="D30" s="24">
        <v>2025</v>
      </c>
      <c r="E30" s="25">
        <f>IF('BAN-L Electrical &amp; Water '!D35+'BAN-L Electrical &amp; Water '!F35+'BAN-L Electrical &amp; Water '!H35+'BAN-L Electrical &amp; Water '!J35+'BAN-L Electrical &amp; Water '!L35+'BAN-L Electrical &amp; Water '!N35&gt;0,'BAN-L Electrical &amp; Water '!D35+'BAN-L Electrical &amp; Water '!F35+'BAN-L Electrical &amp; Water '!H35+'BAN-L Electrical &amp; Water '!J35+'BAN-L Electrical &amp; Water '!L35+'BAN-L Electrical &amp; Water '!N35,0)</f>
        <v>14813</v>
      </c>
      <c r="F30" s="26">
        <v>0.2</v>
      </c>
      <c r="G30" s="25"/>
      <c r="H30" s="26">
        <v>5.42</v>
      </c>
      <c r="I30" s="25">
        <f>IF('BAN-L Electrical &amp; Water '!P35+'BAN-L Electrical &amp; Water '!R35+'BAN-L Electrical &amp; Water '!T35&gt;0,'BAN-L Electrical &amp; Water '!P35+'BAN-L Electrical &amp; Water '!R35+'BAN-L Electrical &amp; Water '!T35,0)</f>
        <v>257</v>
      </c>
      <c r="J30" s="26">
        <v>7.84</v>
      </c>
      <c r="K30" s="25"/>
      <c r="L30" s="26">
        <v>7.84</v>
      </c>
      <c r="M30" s="45">
        <v>36</v>
      </c>
      <c r="N30" s="45">
        <v>80</v>
      </c>
    </row>
    <row r="31" spans="1:14" ht="15">
      <c r="A31" s="23" t="s">
        <v>14</v>
      </c>
      <c r="B31" s="24">
        <f t="shared" si="0"/>
        <v>30</v>
      </c>
      <c r="C31" s="24">
        <v>9</v>
      </c>
      <c r="D31" s="24">
        <v>2025</v>
      </c>
      <c r="E31" s="25">
        <f>IF('BAN-L Electrical &amp; Water '!D36+'BAN-L Electrical &amp; Water '!F36+'BAN-L Electrical &amp; Water '!H36+'BAN-L Electrical &amp; Water '!J36+'BAN-L Electrical &amp; Water '!L36+'BAN-L Electrical &amp; Water '!N36&gt;0,'BAN-L Electrical &amp; Water '!D36+'BAN-L Electrical &amp; Water '!F36+'BAN-L Electrical &amp; Water '!H36+'BAN-L Electrical &amp; Water '!J36+'BAN-L Electrical &amp; Water '!L36+'BAN-L Electrical &amp; Water '!N36,0)</f>
        <v>14286</v>
      </c>
      <c r="F31" s="26">
        <v>0.2</v>
      </c>
      <c r="G31" s="25"/>
      <c r="H31" s="26">
        <v>5.42</v>
      </c>
      <c r="I31" s="25">
        <f>IF('BAN-L Electrical &amp; Water '!P36+'BAN-L Electrical &amp; Water '!R36+'BAN-L Electrical &amp; Water '!T36&gt;0,'BAN-L Electrical &amp; Water '!P36+'BAN-L Electrical &amp; Water '!R36+'BAN-L Electrical &amp; Water '!T36,0)</f>
        <v>243</v>
      </c>
      <c r="J31" s="26">
        <v>7.84</v>
      </c>
      <c r="K31" s="25"/>
      <c r="L31" s="26">
        <v>7.84</v>
      </c>
      <c r="M31" s="45">
        <v>42</v>
      </c>
      <c r="N31" s="45">
        <v>91</v>
      </c>
    </row>
    <row r="32" spans="1:14" ht="15">
      <c r="A32" s="23" t="s">
        <v>14</v>
      </c>
      <c r="B32" s="24">
        <f t="shared" si="0"/>
        <v>31</v>
      </c>
      <c r="C32" s="24">
        <v>9</v>
      </c>
      <c r="D32" s="24">
        <v>2025</v>
      </c>
      <c r="E32" s="25">
        <f>IF('BAN-L Electrical &amp; Water '!D37+'BAN-L Electrical &amp; Water '!F37+'BAN-L Electrical &amp; Water '!H37+'BAN-L Electrical &amp; Water '!J37+'BAN-L Electrical &amp; Water '!L37+'BAN-L Electrical &amp; Water '!N37&gt;0,'BAN-L Electrical &amp; Water '!D37+'BAN-L Electrical &amp; Water '!F37+'BAN-L Electrical &amp; Water '!H37+'BAN-L Electrical &amp; Water '!J37+'BAN-L Electrical &amp; Water '!L37+'BAN-L Electrical &amp; Water '!N37,0)</f>
        <v>0</v>
      </c>
      <c r="F32" s="26">
        <v>0.2</v>
      </c>
      <c r="G32" s="25"/>
      <c r="H32" s="26">
        <v>5.42</v>
      </c>
      <c r="I32" s="25">
        <f>IF('BAN-L Electrical &amp; Water '!P37+'BAN-L Electrical &amp; Water '!R37+'BAN-L Electrical &amp; Water '!T37&gt;0,'BAN-L Electrical &amp; Water '!P37+'BAN-L Electrical &amp; Water '!R37+'BAN-L Electrical &amp; Water '!T37,0)</f>
        <v>0</v>
      </c>
      <c r="J32" s="26">
        <v>7.84</v>
      </c>
      <c r="K32" s="25"/>
      <c r="L32" s="26">
        <v>7.84</v>
      </c>
      <c r="M32" s="45" t="s">
        <v>15</v>
      </c>
      <c r="N32" s="45" t="s">
        <v>15</v>
      </c>
    </row>
    <row r="33" spans="7:9">
      <c r="G33" s="25"/>
      <c r="I33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38"/>
  <sheetViews>
    <sheetView topLeftCell="A32" zoomScale="60" zoomScaleNormal="60" zoomScaleSheetLayoutView="90" zoomScalePageLayoutView="52" workbookViewId="0">
      <selection activeCell="B36" sqref="B36"/>
    </sheetView>
  </sheetViews>
  <sheetFormatPr defaultRowHeight="14.45"/>
  <cols>
    <col min="1" max="2" width="21.42578125" customWidth="1"/>
    <col min="3" max="3" width="30.42578125" style="1" bestFit="1" customWidth="1"/>
    <col min="4" max="4" width="31.140625" style="1" customWidth="1"/>
    <col min="5" max="5" width="33.28515625" style="1" customWidth="1"/>
    <col min="6" max="6" width="31.140625" style="1" customWidth="1"/>
    <col min="7" max="7" width="30.42578125" style="1" bestFit="1" customWidth="1"/>
    <col min="8" max="8" width="31.140625" style="1" customWidth="1"/>
    <col min="9" max="9" width="30.42578125" style="1" bestFit="1" customWidth="1"/>
    <col min="10" max="10" width="31.140625" style="1" customWidth="1"/>
    <col min="11" max="11" width="30.42578125" style="1" bestFit="1" customWidth="1"/>
    <col min="12" max="12" width="31.140625" style="1" customWidth="1"/>
    <col min="13" max="13" width="33.28515625" style="1" customWidth="1"/>
    <col min="14" max="14" width="31.140625" style="1" customWidth="1"/>
    <col min="15" max="15" width="30.85546875" style="5" customWidth="1"/>
    <col min="16" max="16" width="30.42578125" style="5" customWidth="1"/>
    <col min="17" max="17" width="30.85546875" style="5" customWidth="1"/>
    <col min="18" max="18" width="30.42578125" style="5" customWidth="1"/>
    <col min="19" max="19" width="30.85546875" style="5" customWidth="1"/>
    <col min="20" max="20" width="30.42578125" style="5" customWidth="1"/>
    <col min="21" max="21" width="55.7109375" style="1" bestFit="1" customWidth="1"/>
  </cols>
  <sheetData>
    <row r="1" spans="1:24" ht="95.1" customHeight="1" thickBot="1">
      <c r="C1" s="40" t="s">
        <v>16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X1" s="2"/>
    </row>
    <row r="2" spans="1:24" s="1" customFormat="1" ht="54.75" customHeight="1" thickBot="1">
      <c r="A2" s="8" t="s">
        <v>17</v>
      </c>
      <c r="B2" s="39" t="s">
        <v>18</v>
      </c>
      <c r="C2" s="11" t="s">
        <v>19</v>
      </c>
      <c r="D2" s="42" t="s">
        <v>20</v>
      </c>
      <c r="E2" s="11" t="s">
        <v>21</v>
      </c>
      <c r="F2" s="42" t="s">
        <v>20</v>
      </c>
      <c r="G2" s="11" t="s">
        <v>22</v>
      </c>
      <c r="H2" s="42" t="s">
        <v>20</v>
      </c>
      <c r="I2" s="11" t="s">
        <v>23</v>
      </c>
      <c r="J2" s="42" t="s">
        <v>20</v>
      </c>
      <c r="K2" s="11" t="s">
        <v>24</v>
      </c>
      <c r="L2" s="42" t="s">
        <v>20</v>
      </c>
      <c r="M2" s="11" t="s">
        <v>25</v>
      </c>
      <c r="N2" s="42" t="s">
        <v>20</v>
      </c>
      <c r="O2" s="43" t="s">
        <v>26</v>
      </c>
      <c r="P2" s="43" t="s">
        <v>20</v>
      </c>
      <c r="Q2" s="43" t="s">
        <v>27</v>
      </c>
      <c r="R2" s="43" t="s">
        <v>20</v>
      </c>
      <c r="S2" s="43" t="s">
        <v>28</v>
      </c>
      <c r="T2" s="43" t="s">
        <v>20</v>
      </c>
      <c r="U2" s="44" t="s">
        <v>29</v>
      </c>
    </row>
    <row r="3" spans="1:24" ht="60" customHeight="1" thickBot="1">
      <c r="A3" s="8" t="s">
        <v>30</v>
      </c>
      <c r="B3" s="39"/>
      <c r="C3" s="14" t="s">
        <v>31</v>
      </c>
      <c r="D3" s="42"/>
      <c r="E3" s="14" t="s">
        <v>32</v>
      </c>
      <c r="F3" s="42"/>
      <c r="G3" s="14" t="s">
        <v>33</v>
      </c>
      <c r="H3" s="42"/>
      <c r="I3" s="14" t="s">
        <v>34</v>
      </c>
      <c r="J3" s="42"/>
      <c r="K3" s="14" t="s">
        <v>35</v>
      </c>
      <c r="L3" s="42"/>
      <c r="M3" s="14" t="s">
        <v>36</v>
      </c>
      <c r="N3" s="42"/>
      <c r="O3" s="43"/>
      <c r="P3" s="43"/>
      <c r="Q3" s="43"/>
      <c r="R3" s="43"/>
      <c r="S3" s="43"/>
      <c r="T3" s="43"/>
      <c r="U3" s="44"/>
    </row>
    <row r="4" spans="1:24" ht="46.5" customHeight="1" thickBot="1">
      <c r="A4" s="39" t="s">
        <v>37</v>
      </c>
      <c r="B4" s="39"/>
      <c r="C4" s="42" t="s">
        <v>38</v>
      </c>
      <c r="D4" s="42"/>
      <c r="E4" s="42" t="s">
        <v>38</v>
      </c>
      <c r="F4" s="42"/>
      <c r="G4" s="42" t="s">
        <v>38</v>
      </c>
      <c r="H4" s="42"/>
      <c r="I4" s="42" t="s">
        <v>38</v>
      </c>
      <c r="J4" s="42"/>
      <c r="K4" s="42" t="s">
        <v>38</v>
      </c>
      <c r="L4" s="42"/>
      <c r="M4" s="42" t="s">
        <v>38</v>
      </c>
      <c r="N4" s="42"/>
      <c r="O4" s="43"/>
      <c r="P4" s="43"/>
      <c r="Q4" s="43"/>
      <c r="R4" s="43"/>
      <c r="S4" s="43"/>
      <c r="T4" s="43"/>
      <c r="U4" s="44"/>
    </row>
    <row r="5" spans="1:24" ht="24.95" customHeight="1" thickBot="1">
      <c r="A5" s="39"/>
      <c r="B5" s="39"/>
      <c r="C5" s="42"/>
      <c r="D5" s="12" t="s">
        <v>39</v>
      </c>
      <c r="E5" s="42"/>
      <c r="F5" s="12" t="s">
        <v>39</v>
      </c>
      <c r="G5" s="42"/>
      <c r="H5" s="12" t="s">
        <v>39</v>
      </c>
      <c r="I5" s="42"/>
      <c r="J5" s="12" t="s">
        <v>39</v>
      </c>
      <c r="K5" s="42"/>
      <c r="L5" s="12" t="s">
        <v>39</v>
      </c>
      <c r="M5" s="42"/>
      <c r="N5" s="12" t="s">
        <v>39</v>
      </c>
      <c r="O5" s="13" t="s">
        <v>40</v>
      </c>
      <c r="P5" s="13" t="s">
        <v>40</v>
      </c>
      <c r="Q5" s="13" t="s">
        <v>40</v>
      </c>
      <c r="R5" s="13" t="s">
        <v>40</v>
      </c>
      <c r="S5" s="13" t="s">
        <v>40</v>
      </c>
      <c r="T5" s="13" t="s">
        <v>40</v>
      </c>
      <c r="U5" s="44"/>
    </row>
    <row r="6" spans="1:24" ht="39" customHeight="1">
      <c r="A6" s="6">
        <v>45900</v>
      </c>
      <c r="B6" s="16">
        <v>0.375</v>
      </c>
      <c r="C6" s="31">
        <v>1371214</v>
      </c>
      <c r="D6" s="32">
        <v>1934</v>
      </c>
      <c r="E6" s="32">
        <v>1208724</v>
      </c>
      <c r="F6" s="32">
        <v>1443</v>
      </c>
      <c r="G6" s="32">
        <v>1600148</v>
      </c>
      <c r="H6" s="32">
        <v>2148</v>
      </c>
      <c r="I6" s="32">
        <v>1949344</v>
      </c>
      <c r="J6" s="32">
        <v>2643</v>
      </c>
      <c r="K6" s="32">
        <v>2075807</v>
      </c>
      <c r="L6" s="32">
        <v>3075</v>
      </c>
      <c r="M6" s="32">
        <v>4562811</v>
      </c>
      <c r="N6" s="32">
        <v>6633</v>
      </c>
      <c r="O6" s="33">
        <v>3320</v>
      </c>
      <c r="P6" s="33">
        <v>102</v>
      </c>
      <c r="Q6" s="33">
        <v>1309</v>
      </c>
      <c r="R6" s="33">
        <v>42</v>
      </c>
      <c r="S6" s="33">
        <v>2311</v>
      </c>
      <c r="T6" s="9">
        <v>0</v>
      </c>
      <c r="U6" s="7"/>
    </row>
    <row r="7" spans="1:24" ht="39" customHeight="1">
      <c r="A7" s="6">
        <v>45901</v>
      </c>
      <c r="B7" s="17">
        <v>0.22916666666666666</v>
      </c>
      <c r="C7" s="31">
        <v>1373196</v>
      </c>
      <c r="D7" s="32">
        <v>1982</v>
      </c>
      <c r="E7" s="32">
        <v>1210200</v>
      </c>
      <c r="F7" s="32">
        <v>1476</v>
      </c>
      <c r="G7" s="32">
        <v>1602443</v>
      </c>
      <c r="H7" s="32">
        <v>2295</v>
      </c>
      <c r="I7" s="32">
        <v>1952020</v>
      </c>
      <c r="J7" s="32">
        <v>2676</v>
      </c>
      <c r="K7" s="32">
        <v>2078765</v>
      </c>
      <c r="L7" s="32">
        <v>2958</v>
      </c>
      <c r="M7" s="32">
        <v>4569203</v>
      </c>
      <c r="N7" s="32">
        <v>6392</v>
      </c>
      <c r="O7" s="33">
        <v>3423</v>
      </c>
      <c r="P7" s="33">
        <v>103</v>
      </c>
      <c r="Q7" s="33">
        <v>1350</v>
      </c>
      <c r="R7" s="33">
        <v>41</v>
      </c>
      <c r="S7" s="33">
        <v>2377</v>
      </c>
      <c r="T7" s="10">
        <f>S7-S6</f>
        <v>66</v>
      </c>
      <c r="U7" s="3"/>
    </row>
    <row r="8" spans="1:24" ht="39" customHeight="1">
      <c r="A8" s="6">
        <v>45902</v>
      </c>
      <c r="B8" s="17">
        <v>0.2638888888888889</v>
      </c>
      <c r="C8" s="34">
        <v>1375036</v>
      </c>
      <c r="D8" s="35">
        <v>1840</v>
      </c>
      <c r="E8" s="35">
        <v>1211683</v>
      </c>
      <c r="F8" s="35">
        <v>1483</v>
      </c>
      <c r="G8" s="35">
        <v>1604729</v>
      </c>
      <c r="H8" s="35">
        <v>2286</v>
      </c>
      <c r="I8" s="35">
        <v>1954682</v>
      </c>
      <c r="J8" s="35">
        <v>2662</v>
      </c>
      <c r="K8" s="35">
        <v>2081582</v>
      </c>
      <c r="L8" s="35">
        <v>2817</v>
      </c>
      <c r="M8" s="35">
        <v>4575553</v>
      </c>
      <c r="N8" s="35">
        <v>6350</v>
      </c>
      <c r="O8" s="36">
        <v>3544</v>
      </c>
      <c r="P8" s="36">
        <v>121</v>
      </c>
      <c r="Q8" s="36">
        <v>1405</v>
      </c>
      <c r="R8" s="36">
        <v>55</v>
      </c>
      <c r="S8" s="36">
        <v>2426</v>
      </c>
      <c r="T8" s="10">
        <f t="shared" ref="T8:T35" si="0">S8-S7</f>
        <v>49</v>
      </c>
      <c r="U8" s="3"/>
    </row>
    <row r="9" spans="1:24" ht="39" customHeight="1">
      <c r="A9" s="6">
        <v>45903</v>
      </c>
      <c r="B9" s="17">
        <v>0.21527777777777779</v>
      </c>
      <c r="C9" s="34">
        <v>1376726</v>
      </c>
      <c r="D9" s="35">
        <v>1690</v>
      </c>
      <c r="E9" s="35">
        <v>1213013</v>
      </c>
      <c r="F9" s="35">
        <v>1330</v>
      </c>
      <c r="G9" s="35">
        <v>1606880</v>
      </c>
      <c r="H9" s="35">
        <v>2151</v>
      </c>
      <c r="I9" s="35">
        <v>1956962</v>
      </c>
      <c r="J9" s="35">
        <v>2280</v>
      </c>
      <c r="K9" s="35">
        <v>2084283</v>
      </c>
      <c r="L9" s="35">
        <v>2701</v>
      </c>
      <c r="M9" s="35">
        <v>4581293</v>
      </c>
      <c r="N9" s="35">
        <v>5740</v>
      </c>
      <c r="O9" s="36">
        <v>3678</v>
      </c>
      <c r="P9" s="36">
        <v>134</v>
      </c>
      <c r="Q9" s="36">
        <v>1449</v>
      </c>
      <c r="R9" s="36">
        <v>44</v>
      </c>
      <c r="S9" s="36">
        <v>2477</v>
      </c>
      <c r="T9" s="10">
        <f t="shared" si="0"/>
        <v>51</v>
      </c>
      <c r="U9" s="3"/>
    </row>
    <row r="10" spans="1:24" ht="39" customHeight="1">
      <c r="A10" s="6">
        <v>45904</v>
      </c>
      <c r="B10" s="17">
        <v>0.22222222222222221</v>
      </c>
      <c r="C10" s="34">
        <v>1378839</v>
      </c>
      <c r="D10" s="35">
        <v>2113</v>
      </c>
      <c r="E10" s="35">
        <v>1214410</v>
      </c>
      <c r="F10" s="35">
        <v>1397</v>
      </c>
      <c r="G10" s="35">
        <v>1609090</v>
      </c>
      <c r="H10" s="35">
        <v>2210</v>
      </c>
      <c r="I10" s="35">
        <v>1959302</v>
      </c>
      <c r="J10" s="35">
        <v>2340</v>
      </c>
      <c r="K10" s="35">
        <v>2087044</v>
      </c>
      <c r="L10" s="35">
        <v>2761</v>
      </c>
      <c r="M10" s="35">
        <v>4586806</v>
      </c>
      <c r="N10" s="35">
        <v>5513</v>
      </c>
      <c r="O10" s="36">
        <v>3778</v>
      </c>
      <c r="P10" s="36">
        <v>100</v>
      </c>
      <c r="Q10" s="36">
        <v>1494</v>
      </c>
      <c r="R10" s="36">
        <v>45</v>
      </c>
      <c r="S10" s="36">
        <v>2529</v>
      </c>
      <c r="T10" s="10">
        <f t="shared" si="0"/>
        <v>52</v>
      </c>
      <c r="U10" s="3"/>
    </row>
    <row r="11" spans="1:24" ht="39" customHeight="1">
      <c r="A11" s="6">
        <v>45905</v>
      </c>
      <c r="B11" s="17">
        <v>0.23611111111111113</v>
      </c>
      <c r="C11" s="34">
        <v>1380943</v>
      </c>
      <c r="D11" s="35">
        <v>2104</v>
      </c>
      <c r="E11" s="35">
        <v>1215776</v>
      </c>
      <c r="F11" s="35">
        <v>1366</v>
      </c>
      <c r="G11" s="35">
        <v>1611603</v>
      </c>
      <c r="H11" s="35">
        <v>2513</v>
      </c>
      <c r="I11" s="35">
        <v>1961706</v>
      </c>
      <c r="J11" s="35">
        <v>2404</v>
      </c>
      <c r="K11" s="35">
        <v>2089879</v>
      </c>
      <c r="L11" s="35">
        <v>2835</v>
      </c>
      <c r="M11" s="35">
        <v>4592541</v>
      </c>
      <c r="N11" s="35">
        <v>5735</v>
      </c>
      <c r="O11" s="36">
        <v>3860</v>
      </c>
      <c r="P11" s="36">
        <v>82</v>
      </c>
      <c r="Q11" s="36">
        <v>1535</v>
      </c>
      <c r="R11" s="36">
        <v>41</v>
      </c>
      <c r="S11" s="36">
        <v>2576</v>
      </c>
      <c r="T11" s="10">
        <f t="shared" si="0"/>
        <v>47</v>
      </c>
      <c r="U11" s="3"/>
    </row>
    <row r="12" spans="1:24" ht="39" customHeight="1">
      <c r="A12" s="6">
        <v>45906</v>
      </c>
      <c r="B12" s="17">
        <v>0.22916666666666666</v>
      </c>
      <c r="C12" s="34">
        <v>1383059</v>
      </c>
      <c r="D12" s="35">
        <v>2116</v>
      </c>
      <c r="E12" s="35">
        <v>1217353</v>
      </c>
      <c r="F12" s="35">
        <v>1577</v>
      </c>
      <c r="G12" s="35">
        <v>1614171</v>
      </c>
      <c r="H12" s="35">
        <v>2568</v>
      </c>
      <c r="I12" s="35">
        <v>1964230</v>
      </c>
      <c r="J12" s="35">
        <v>2524</v>
      </c>
      <c r="K12" s="35">
        <v>2092771</v>
      </c>
      <c r="L12" s="35">
        <v>2892</v>
      </c>
      <c r="M12" s="35">
        <v>4598504</v>
      </c>
      <c r="N12" s="35">
        <v>5963</v>
      </c>
      <c r="O12" s="36">
        <v>3980</v>
      </c>
      <c r="P12" s="36">
        <v>120</v>
      </c>
      <c r="Q12" s="36">
        <v>1575</v>
      </c>
      <c r="R12" s="36">
        <v>40</v>
      </c>
      <c r="S12" s="36">
        <v>2641</v>
      </c>
      <c r="T12" s="10">
        <f t="shared" si="0"/>
        <v>65</v>
      </c>
      <c r="U12" s="3"/>
    </row>
    <row r="13" spans="1:24" ht="39" customHeight="1">
      <c r="A13" s="6">
        <v>45907</v>
      </c>
      <c r="B13" s="17">
        <v>0.24305555555555555</v>
      </c>
      <c r="C13" s="34">
        <v>1385157</v>
      </c>
      <c r="D13" s="35">
        <v>2098</v>
      </c>
      <c r="E13" s="35">
        <v>1218929</v>
      </c>
      <c r="F13" s="35">
        <v>1576</v>
      </c>
      <c r="G13" s="35">
        <v>1616784</v>
      </c>
      <c r="H13" s="35">
        <v>2613</v>
      </c>
      <c r="I13" s="35">
        <v>1966628</v>
      </c>
      <c r="J13" s="35">
        <v>2398</v>
      </c>
      <c r="K13" s="35">
        <v>2095635</v>
      </c>
      <c r="L13" s="35">
        <v>2864</v>
      </c>
      <c r="M13" s="35">
        <v>4604138</v>
      </c>
      <c r="N13" s="35">
        <v>5634</v>
      </c>
      <c r="O13" s="36">
        <v>4097</v>
      </c>
      <c r="P13" s="36">
        <v>117</v>
      </c>
      <c r="Q13" s="36">
        <v>1625</v>
      </c>
      <c r="R13" s="36">
        <v>50</v>
      </c>
      <c r="S13" s="36">
        <v>2687</v>
      </c>
      <c r="T13" s="10">
        <f t="shared" si="0"/>
        <v>46</v>
      </c>
      <c r="U13" s="3"/>
    </row>
    <row r="14" spans="1:24" ht="39" customHeight="1">
      <c r="A14" s="6">
        <v>45908</v>
      </c>
      <c r="B14" s="17">
        <v>0.22222222222222221</v>
      </c>
      <c r="C14" s="34">
        <v>1387231</v>
      </c>
      <c r="D14" s="35">
        <v>2074</v>
      </c>
      <c r="E14" s="35">
        <v>1220425</v>
      </c>
      <c r="F14" s="35">
        <v>1496</v>
      </c>
      <c r="G14" s="35">
        <v>1619265</v>
      </c>
      <c r="H14" s="35">
        <v>2481</v>
      </c>
      <c r="I14" s="35">
        <v>1969160</v>
      </c>
      <c r="J14" s="35">
        <v>2532</v>
      </c>
      <c r="K14" s="35">
        <v>2098519</v>
      </c>
      <c r="L14" s="35">
        <v>2884</v>
      </c>
      <c r="M14" s="35">
        <v>4609475</v>
      </c>
      <c r="N14" s="35">
        <v>5337</v>
      </c>
      <c r="O14" s="36">
        <v>4216</v>
      </c>
      <c r="P14" s="36">
        <v>119</v>
      </c>
      <c r="Q14" s="36">
        <v>1675</v>
      </c>
      <c r="R14" s="36">
        <v>50</v>
      </c>
      <c r="S14" s="36">
        <v>2750</v>
      </c>
      <c r="T14" s="10">
        <f t="shared" si="0"/>
        <v>63</v>
      </c>
      <c r="U14" s="3"/>
    </row>
    <row r="15" spans="1:24" ht="39" customHeight="1">
      <c r="A15" s="6">
        <v>45909</v>
      </c>
      <c r="B15" s="17">
        <v>0.21875</v>
      </c>
      <c r="C15" s="34">
        <v>1389152</v>
      </c>
      <c r="D15" s="35">
        <v>1921</v>
      </c>
      <c r="E15" s="35">
        <v>1221763</v>
      </c>
      <c r="F15" s="35">
        <v>1338</v>
      </c>
      <c r="G15" s="35">
        <v>1621520</v>
      </c>
      <c r="H15" s="35">
        <v>2255</v>
      </c>
      <c r="I15" s="35">
        <v>1971589</v>
      </c>
      <c r="J15" s="35">
        <v>2429</v>
      </c>
      <c r="K15" s="35">
        <v>2101332</v>
      </c>
      <c r="L15" s="35">
        <v>2813</v>
      </c>
      <c r="M15" s="35">
        <v>4614673</v>
      </c>
      <c r="N15" s="35">
        <v>5198</v>
      </c>
      <c r="O15" s="36">
        <v>4352</v>
      </c>
      <c r="P15" s="36">
        <v>136</v>
      </c>
      <c r="Q15" s="36">
        <v>1717</v>
      </c>
      <c r="R15" s="36">
        <v>42</v>
      </c>
      <c r="S15" s="36">
        <v>2820</v>
      </c>
      <c r="T15" s="10">
        <f t="shared" si="0"/>
        <v>70</v>
      </c>
      <c r="U15" s="3"/>
    </row>
    <row r="16" spans="1:24" ht="39" customHeight="1">
      <c r="A16" s="6">
        <v>45910</v>
      </c>
      <c r="B16" s="17">
        <v>0.22916666666666666</v>
      </c>
      <c r="C16" s="34">
        <v>1390947</v>
      </c>
      <c r="D16" s="35">
        <v>1795</v>
      </c>
      <c r="E16" s="35">
        <v>1223250</v>
      </c>
      <c r="F16" s="35">
        <v>1487</v>
      </c>
      <c r="G16" s="35">
        <v>1623612</v>
      </c>
      <c r="H16" s="35">
        <v>2092</v>
      </c>
      <c r="I16" s="35">
        <v>1973978</v>
      </c>
      <c r="J16" s="35">
        <v>2389</v>
      </c>
      <c r="K16" s="35">
        <v>2104356</v>
      </c>
      <c r="L16" s="35">
        <v>3024</v>
      </c>
      <c r="M16" s="35">
        <v>4620554</v>
      </c>
      <c r="N16" s="35">
        <v>5881</v>
      </c>
      <c r="O16" s="36">
        <v>4471</v>
      </c>
      <c r="P16" s="36">
        <v>119</v>
      </c>
      <c r="Q16" s="36">
        <v>1764</v>
      </c>
      <c r="R16" s="36">
        <v>47</v>
      </c>
      <c r="S16" s="36">
        <v>2875</v>
      </c>
      <c r="T16" s="10">
        <f t="shared" si="0"/>
        <v>55</v>
      </c>
      <c r="U16" s="3"/>
    </row>
    <row r="17" spans="1:21" ht="39" customHeight="1">
      <c r="A17" s="6">
        <v>45911</v>
      </c>
      <c r="B17" s="17">
        <v>0.23611111111111113</v>
      </c>
      <c r="C17" s="34">
        <v>1393090</v>
      </c>
      <c r="D17" s="35">
        <v>2143</v>
      </c>
      <c r="E17" s="35">
        <v>1224688</v>
      </c>
      <c r="F17" s="35">
        <v>1438</v>
      </c>
      <c r="G17" s="35">
        <v>1625815</v>
      </c>
      <c r="H17" s="35">
        <v>2203</v>
      </c>
      <c r="I17" s="35">
        <v>1976457</v>
      </c>
      <c r="J17" s="35">
        <v>2479</v>
      </c>
      <c r="K17" s="35">
        <v>2107091</v>
      </c>
      <c r="L17" s="35">
        <v>2735</v>
      </c>
      <c r="M17" s="35">
        <v>4626639</v>
      </c>
      <c r="N17" s="35">
        <v>6085</v>
      </c>
      <c r="O17" s="36">
        <v>4594</v>
      </c>
      <c r="P17" s="36">
        <v>123</v>
      </c>
      <c r="Q17" s="36">
        <v>1795</v>
      </c>
      <c r="R17" s="36">
        <v>31</v>
      </c>
      <c r="S17" s="36">
        <v>2910</v>
      </c>
      <c r="T17" s="10">
        <f t="shared" si="0"/>
        <v>35</v>
      </c>
      <c r="U17" s="3"/>
    </row>
    <row r="18" spans="1:21" ht="39" customHeight="1">
      <c r="A18" s="6">
        <v>45912</v>
      </c>
      <c r="B18" s="17">
        <v>0.27083333333333331</v>
      </c>
      <c r="C18" s="34">
        <v>1395162</v>
      </c>
      <c r="D18" s="35">
        <v>2072</v>
      </c>
      <c r="E18" s="35">
        <v>1226200</v>
      </c>
      <c r="F18" s="35">
        <v>1512</v>
      </c>
      <c r="G18" s="35">
        <v>1628183</v>
      </c>
      <c r="H18" s="35">
        <v>2368</v>
      </c>
      <c r="I18" s="35">
        <v>1978909</v>
      </c>
      <c r="J18" s="35">
        <v>2452</v>
      </c>
      <c r="K18" s="35">
        <v>2109950</v>
      </c>
      <c r="L18" s="35">
        <v>2859</v>
      </c>
      <c r="M18" s="35">
        <v>4632386</v>
      </c>
      <c r="N18" s="35">
        <v>5747</v>
      </c>
      <c r="O18" s="36">
        <v>4721</v>
      </c>
      <c r="P18" s="36">
        <v>127</v>
      </c>
      <c r="Q18" s="36">
        <v>1840</v>
      </c>
      <c r="R18" s="36">
        <v>45</v>
      </c>
      <c r="S18" s="36">
        <v>2962</v>
      </c>
      <c r="T18" s="10">
        <f t="shared" si="0"/>
        <v>52</v>
      </c>
      <c r="U18" s="3"/>
    </row>
    <row r="19" spans="1:21" ht="39" customHeight="1">
      <c r="A19" s="6">
        <v>45913</v>
      </c>
      <c r="B19" s="17">
        <v>0.22916666666666666</v>
      </c>
      <c r="C19" s="34">
        <v>1397261</v>
      </c>
      <c r="D19" s="35">
        <v>2099</v>
      </c>
      <c r="E19" s="35">
        <v>1227754</v>
      </c>
      <c r="F19" s="35">
        <v>1554</v>
      </c>
      <c r="G19" s="35">
        <v>1630541</v>
      </c>
      <c r="H19" s="35">
        <v>2358</v>
      </c>
      <c r="I19" s="35">
        <v>1981421</v>
      </c>
      <c r="J19" s="35">
        <v>2512</v>
      </c>
      <c r="K19" s="35">
        <v>2112806</v>
      </c>
      <c r="L19" s="35">
        <v>2856</v>
      </c>
      <c r="M19" s="35">
        <v>4638362</v>
      </c>
      <c r="N19" s="35">
        <v>5976</v>
      </c>
      <c r="O19" s="36">
        <v>4845</v>
      </c>
      <c r="P19" s="36">
        <v>124</v>
      </c>
      <c r="Q19" s="36">
        <v>1877</v>
      </c>
      <c r="R19" s="36">
        <v>37</v>
      </c>
      <c r="S19" s="36">
        <v>3021</v>
      </c>
      <c r="T19" s="10">
        <f t="shared" si="0"/>
        <v>59</v>
      </c>
      <c r="U19" s="3"/>
    </row>
    <row r="20" spans="1:21" ht="39" customHeight="1">
      <c r="A20" s="6">
        <v>45914</v>
      </c>
      <c r="B20" s="17">
        <v>0.21875</v>
      </c>
      <c r="C20" s="34">
        <v>1399285</v>
      </c>
      <c r="D20" s="35">
        <v>2024</v>
      </c>
      <c r="E20" s="35">
        <v>1229284</v>
      </c>
      <c r="F20" s="35">
        <v>1530</v>
      </c>
      <c r="G20" s="35">
        <v>1632773</v>
      </c>
      <c r="H20" s="35">
        <v>2232</v>
      </c>
      <c r="I20" s="35">
        <v>1983767</v>
      </c>
      <c r="J20" s="35">
        <v>2346</v>
      </c>
      <c r="K20" s="35">
        <v>2115782</v>
      </c>
      <c r="L20" s="35">
        <v>2976</v>
      </c>
      <c r="M20" s="35">
        <v>4644408</v>
      </c>
      <c r="N20" s="35">
        <v>6046</v>
      </c>
      <c r="O20" s="36">
        <v>4962</v>
      </c>
      <c r="P20" s="36">
        <v>117</v>
      </c>
      <c r="Q20" s="36">
        <v>1924</v>
      </c>
      <c r="R20" s="36">
        <v>47</v>
      </c>
      <c r="S20" s="36">
        <v>3072</v>
      </c>
      <c r="T20" s="10">
        <f t="shared" si="0"/>
        <v>51</v>
      </c>
      <c r="U20" s="3"/>
    </row>
    <row r="21" spans="1:21" ht="39" customHeight="1">
      <c r="A21" s="6">
        <v>45915</v>
      </c>
      <c r="B21" s="17">
        <v>0.20833333333333334</v>
      </c>
      <c r="C21" s="34">
        <v>1401006</v>
      </c>
      <c r="D21" s="35">
        <v>1721</v>
      </c>
      <c r="E21" s="35">
        <v>1230726</v>
      </c>
      <c r="F21" s="35">
        <v>1442</v>
      </c>
      <c r="G21" s="35">
        <v>1634932</v>
      </c>
      <c r="H21" s="35">
        <v>2159</v>
      </c>
      <c r="I21" s="35">
        <v>1986036</v>
      </c>
      <c r="J21" s="35">
        <v>2269</v>
      </c>
      <c r="K21" s="35">
        <v>2118522</v>
      </c>
      <c r="L21" s="35">
        <v>2740</v>
      </c>
      <c r="M21" s="35">
        <v>4649850</v>
      </c>
      <c r="N21" s="35">
        <v>5442</v>
      </c>
      <c r="O21" s="36">
        <v>5076</v>
      </c>
      <c r="P21" s="36">
        <v>114</v>
      </c>
      <c r="Q21" s="36">
        <v>1967</v>
      </c>
      <c r="R21" s="36">
        <v>43</v>
      </c>
      <c r="S21" s="36">
        <v>3124</v>
      </c>
      <c r="T21" s="10">
        <f t="shared" si="0"/>
        <v>52</v>
      </c>
      <c r="U21" s="3"/>
    </row>
    <row r="22" spans="1:21" ht="39" customHeight="1">
      <c r="A22" s="6">
        <v>45916</v>
      </c>
      <c r="B22" s="17">
        <v>0.20138888888888887</v>
      </c>
      <c r="C22" s="34">
        <v>1402681</v>
      </c>
      <c r="D22" s="35">
        <v>1675</v>
      </c>
      <c r="E22" s="35">
        <v>1232194</v>
      </c>
      <c r="F22" s="35">
        <v>1468</v>
      </c>
      <c r="G22" s="35">
        <v>1636979</v>
      </c>
      <c r="H22" s="35">
        <v>2047</v>
      </c>
      <c r="I22" s="35">
        <v>1988300</v>
      </c>
      <c r="J22" s="35">
        <v>2264</v>
      </c>
      <c r="K22" s="35">
        <v>2121177</v>
      </c>
      <c r="L22" s="35">
        <v>2655</v>
      </c>
      <c r="M22" s="35">
        <v>4655314</v>
      </c>
      <c r="N22" s="35">
        <v>5464</v>
      </c>
      <c r="O22" s="36">
        <v>5206</v>
      </c>
      <c r="P22" s="36">
        <v>130</v>
      </c>
      <c r="Q22" s="36">
        <v>2010</v>
      </c>
      <c r="R22" s="36">
        <v>43</v>
      </c>
      <c r="S22" s="36">
        <v>3169</v>
      </c>
      <c r="T22" s="10">
        <f t="shared" si="0"/>
        <v>45</v>
      </c>
      <c r="U22" s="3"/>
    </row>
    <row r="23" spans="1:21" ht="39" customHeight="1">
      <c r="A23" s="6">
        <v>45917</v>
      </c>
      <c r="B23" s="17">
        <v>0.21527777777777779</v>
      </c>
      <c r="C23" s="34">
        <v>1404467</v>
      </c>
      <c r="D23" s="35">
        <v>1786</v>
      </c>
      <c r="E23" s="35">
        <v>1233635</v>
      </c>
      <c r="F23" s="35">
        <v>1441</v>
      </c>
      <c r="G23" s="35">
        <v>1638941</v>
      </c>
      <c r="H23" s="35">
        <v>1962</v>
      </c>
      <c r="I23" s="35">
        <v>1990591</v>
      </c>
      <c r="J23" s="35">
        <v>2291</v>
      </c>
      <c r="K23" s="35">
        <v>2123968</v>
      </c>
      <c r="L23" s="35">
        <v>2791</v>
      </c>
      <c r="M23" s="35">
        <v>4660906</v>
      </c>
      <c r="N23" s="35">
        <v>5592</v>
      </c>
      <c r="O23" s="36">
        <v>5334</v>
      </c>
      <c r="P23" s="36">
        <v>128</v>
      </c>
      <c r="Q23" s="36">
        <v>2045</v>
      </c>
      <c r="R23" s="36">
        <v>35</v>
      </c>
      <c r="S23" s="36">
        <v>3213</v>
      </c>
      <c r="T23" s="10">
        <f t="shared" si="0"/>
        <v>44</v>
      </c>
      <c r="U23" s="3"/>
    </row>
    <row r="24" spans="1:21" ht="39" customHeight="1">
      <c r="A24" s="6">
        <v>45918</v>
      </c>
      <c r="B24" s="17">
        <v>0.22916666666666666</v>
      </c>
      <c r="C24" s="34">
        <v>1406166</v>
      </c>
      <c r="D24" s="35">
        <v>1699</v>
      </c>
      <c r="E24" s="35">
        <v>1235155</v>
      </c>
      <c r="F24" s="35">
        <v>1520</v>
      </c>
      <c r="G24" s="35">
        <v>1640908</v>
      </c>
      <c r="H24" s="35">
        <v>1967</v>
      </c>
      <c r="I24" s="35">
        <v>1992858</v>
      </c>
      <c r="J24" s="35">
        <v>2267</v>
      </c>
      <c r="K24" s="35">
        <v>2126729</v>
      </c>
      <c r="L24" s="35">
        <v>2761</v>
      </c>
      <c r="M24" s="35">
        <v>4666557</v>
      </c>
      <c r="N24" s="35">
        <v>5651</v>
      </c>
      <c r="O24" s="36">
        <v>5375</v>
      </c>
      <c r="P24" s="36">
        <v>41</v>
      </c>
      <c r="Q24" s="36">
        <v>2103</v>
      </c>
      <c r="R24" s="36">
        <v>58</v>
      </c>
      <c r="S24" s="36">
        <v>3267</v>
      </c>
      <c r="T24" s="10">
        <f t="shared" si="0"/>
        <v>54</v>
      </c>
      <c r="U24" s="3"/>
    </row>
    <row r="25" spans="1:21" ht="39" customHeight="1">
      <c r="A25" s="6">
        <v>45919</v>
      </c>
      <c r="B25" s="17">
        <v>0.23958333333333334</v>
      </c>
      <c r="C25" s="34">
        <v>1407828</v>
      </c>
      <c r="D25" s="35">
        <v>1662</v>
      </c>
      <c r="E25" s="35">
        <v>1236744</v>
      </c>
      <c r="F25" s="35">
        <v>1589</v>
      </c>
      <c r="G25" s="35">
        <v>1642722</v>
      </c>
      <c r="H25" s="35">
        <v>1814</v>
      </c>
      <c r="I25" s="35">
        <v>1995107</v>
      </c>
      <c r="J25" s="35">
        <v>2249</v>
      </c>
      <c r="K25" s="35">
        <v>2129384</v>
      </c>
      <c r="L25" s="35">
        <v>2655</v>
      </c>
      <c r="M25" s="35">
        <v>4672050</v>
      </c>
      <c r="N25" s="35">
        <v>5493</v>
      </c>
      <c r="O25" s="36">
        <v>5607</v>
      </c>
      <c r="P25" s="36">
        <v>232</v>
      </c>
      <c r="Q25" s="36">
        <v>2147</v>
      </c>
      <c r="R25" s="36">
        <v>44</v>
      </c>
      <c r="S25" s="36">
        <v>3307</v>
      </c>
      <c r="T25" s="10">
        <f t="shared" si="0"/>
        <v>40</v>
      </c>
      <c r="U25" s="3"/>
    </row>
    <row r="26" spans="1:21" ht="39" customHeight="1">
      <c r="A26" s="6">
        <v>45920</v>
      </c>
      <c r="B26" s="17">
        <v>0.24652777777777779</v>
      </c>
      <c r="C26" s="34">
        <v>1410240</v>
      </c>
      <c r="D26" s="35">
        <v>2412</v>
      </c>
      <c r="E26" s="35">
        <v>1238226</v>
      </c>
      <c r="F26" s="35">
        <v>1482</v>
      </c>
      <c r="G26" s="35">
        <v>1645147</v>
      </c>
      <c r="H26" s="35">
        <v>2425</v>
      </c>
      <c r="I26" s="35">
        <v>1997519</v>
      </c>
      <c r="J26" s="35">
        <v>2412</v>
      </c>
      <c r="K26" s="35">
        <v>2132168</v>
      </c>
      <c r="L26" s="35">
        <v>2784</v>
      </c>
      <c r="M26" s="35">
        <v>4677658</v>
      </c>
      <c r="N26" s="35">
        <v>5608</v>
      </c>
      <c r="O26" s="36">
        <v>5711</v>
      </c>
      <c r="P26" s="36">
        <v>104</v>
      </c>
      <c r="Q26" s="36">
        <v>2198</v>
      </c>
      <c r="R26" s="36">
        <v>51</v>
      </c>
      <c r="S26" s="36">
        <v>3371</v>
      </c>
      <c r="T26" s="10">
        <f t="shared" si="0"/>
        <v>64</v>
      </c>
      <c r="U26" s="3"/>
    </row>
    <row r="27" spans="1:21" ht="39" customHeight="1">
      <c r="A27" s="6">
        <v>45921</v>
      </c>
      <c r="B27" s="17">
        <v>0.20833333333333334</v>
      </c>
      <c r="C27" s="34">
        <v>1412231</v>
      </c>
      <c r="D27" s="35">
        <v>1991</v>
      </c>
      <c r="E27" s="35">
        <v>1239744</v>
      </c>
      <c r="F27" s="35">
        <v>1518</v>
      </c>
      <c r="G27" s="35">
        <v>1647094</v>
      </c>
      <c r="H27" s="35">
        <v>1947</v>
      </c>
      <c r="I27" s="35">
        <v>1999599</v>
      </c>
      <c r="J27" s="35">
        <v>2080</v>
      </c>
      <c r="K27" s="35">
        <v>2135082</v>
      </c>
      <c r="L27" s="35">
        <v>2914</v>
      </c>
      <c r="M27" s="35">
        <v>4683371</v>
      </c>
      <c r="N27" s="35">
        <v>5713</v>
      </c>
      <c r="O27" s="36">
        <v>5842</v>
      </c>
      <c r="P27" s="36">
        <v>131</v>
      </c>
      <c r="Q27" s="36">
        <v>2247</v>
      </c>
      <c r="R27" s="36">
        <v>49</v>
      </c>
      <c r="S27" s="36">
        <v>3437</v>
      </c>
      <c r="T27" s="10">
        <f t="shared" si="0"/>
        <v>66</v>
      </c>
      <c r="U27" s="3"/>
    </row>
    <row r="28" spans="1:21" ht="39" customHeight="1">
      <c r="A28" s="6">
        <v>45922</v>
      </c>
      <c r="B28" s="17">
        <v>0.27083333333333331</v>
      </c>
      <c r="C28" s="37">
        <v>1414280</v>
      </c>
      <c r="D28" s="35">
        <v>2049</v>
      </c>
      <c r="E28" s="35">
        <v>1241285</v>
      </c>
      <c r="F28" s="35">
        <v>1541</v>
      </c>
      <c r="G28" s="38">
        <v>1649104</v>
      </c>
      <c r="H28" s="35">
        <v>2010</v>
      </c>
      <c r="I28" s="38">
        <v>2001750</v>
      </c>
      <c r="J28" s="35">
        <v>2151</v>
      </c>
      <c r="K28" s="38">
        <v>2137880</v>
      </c>
      <c r="L28" s="35">
        <v>2798</v>
      </c>
      <c r="M28" s="35">
        <v>4688912</v>
      </c>
      <c r="N28" s="35">
        <v>5541</v>
      </c>
      <c r="O28" s="36">
        <v>5972</v>
      </c>
      <c r="P28" s="36">
        <v>130</v>
      </c>
      <c r="Q28" s="36">
        <v>2300</v>
      </c>
      <c r="R28" s="36">
        <v>53</v>
      </c>
      <c r="S28" s="36">
        <v>3497</v>
      </c>
      <c r="T28" s="10">
        <f t="shared" si="0"/>
        <v>60</v>
      </c>
      <c r="U28" s="3"/>
    </row>
    <row r="29" spans="1:21" ht="39" customHeight="1">
      <c r="A29" s="6">
        <v>45923</v>
      </c>
      <c r="B29" s="17">
        <v>0.20833333333333334</v>
      </c>
      <c r="C29" s="37">
        <v>1416056</v>
      </c>
      <c r="D29" s="35">
        <v>1776</v>
      </c>
      <c r="E29" s="35">
        <v>1242837</v>
      </c>
      <c r="F29" s="35">
        <v>1552</v>
      </c>
      <c r="G29" s="38">
        <v>1651150</v>
      </c>
      <c r="H29" s="35">
        <v>2046</v>
      </c>
      <c r="I29" s="38">
        <v>2003985</v>
      </c>
      <c r="J29" s="35">
        <v>2235</v>
      </c>
      <c r="K29" s="38">
        <v>2140676</v>
      </c>
      <c r="L29" s="35">
        <v>2796</v>
      </c>
      <c r="M29" s="35">
        <v>4694534</v>
      </c>
      <c r="N29" s="35">
        <v>5622</v>
      </c>
      <c r="O29" s="36">
        <v>6094</v>
      </c>
      <c r="P29" s="36">
        <v>122</v>
      </c>
      <c r="Q29" s="36">
        <v>2345</v>
      </c>
      <c r="R29" s="36">
        <v>45</v>
      </c>
      <c r="S29" s="36">
        <v>3549</v>
      </c>
      <c r="T29" s="10">
        <f t="shared" si="0"/>
        <v>52</v>
      </c>
      <c r="U29" s="3"/>
    </row>
    <row r="30" spans="1:21" ht="39" customHeight="1">
      <c r="A30" s="6">
        <v>45924</v>
      </c>
      <c r="B30" s="17">
        <v>0.1875</v>
      </c>
      <c r="C30" s="37">
        <v>1417656</v>
      </c>
      <c r="D30" s="35">
        <v>1600</v>
      </c>
      <c r="E30" s="35">
        <v>1244252</v>
      </c>
      <c r="F30" s="35">
        <v>1415</v>
      </c>
      <c r="G30" s="38">
        <v>1653253</v>
      </c>
      <c r="H30" s="35">
        <v>2103</v>
      </c>
      <c r="I30" s="38">
        <v>2006147</v>
      </c>
      <c r="J30" s="35">
        <v>2162</v>
      </c>
      <c r="K30" s="38">
        <v>2143482</v>
      </c>
      <c r="L30" s="35">
        <v>2806</v>
      </c>
      <c r="M30" s="35">
        <v>4699934</v>
      </c>
      <c r="N30" s="35">
        <v>5400</v>
      </c>
      <c r="O30" s="36">
        <v>6244</v>
      </c>
      <c r="P30" s="36">
        <v>150</v>
      </c>
      <c r="Q30" s="36">
        <v>2398</v>
      </c>
      <c r="R30" s="36">
        <v>53</v>
      </c>
      <c r="S30" s="36">
        <v>3605</v>
      </c>
      <c r="T30" s="10">
        <f t="shared" si="0"/>
        <v>56</v>
      </c>
      <c r="U30" s="3"/>
    </row>
    <row r="31" spans="1:21" ht="39" customHeight="1">
      <c r="A31" s="6">
        <v>45925</v>
      </c>
      <c r="B31" s="17">
        <v>0.27083333333333331</v>
      </c>
      <c r="C31" s="37">
        <v>1419278</v>
      </c>
      <c r="D31" s="35">
        <v>1622</v>
      </c>
      <c r="E31" s="35">
        <v>1245611</v>
      </c>
      <c r="F31" s="35">
        <v>1359</v>
      </c>
      <c r="G31" s="38">
        <v>1655174</v>
      </c>
      <c r="H31" s="35">
        <v>1921</v>
      </c>
      <c r="I31" s="38">
        <v>2008116</v>
      </c>
      <c r="J31" s="35">
        <v>1969</v>
      </c>
      <c r="K31" s="38">
        <v>2145993</v>
      </c>
      <c r="L31" s="35">
        <v>2511</v>
      </c>
      <c r="M31" s="35">
        <v>4704855</v>
      </c>
      <c r="N31" s="35">
        <v>4921</v>
      </c>
      <c r="O31" s="36">
        <v>6365</v>
      </c>
      <c r="P31" s="36">
        <v>121</v>
      </c>
      <c r="Q31" s="36">
        <v>2445</v>
      </c>
      <c r="R31" s="36">
        <v>47</v>
      </c>
      <c r="S31" s="36">
        <v>3650</v>
      </c>
      <c r="T31" s="10">
        <f t="shared" si="0"/>
        <v>45</v>
      </c>
      <c r="U31" s="3"/>
    </row>
    <row r="32" spans="1:21" ht="39" customHeight="1">
      <c r="A32" s="6">
        <v>45926</v>
      </c>
      <c r="B32" s="17">
        <v>0.25</v>
      </c>
      <c r="C32" s="34">
        <v>1420768</v>
      </c>
      <c r="D32" s="35">
        <v>1490</v>
      </c>
      <c r="E32" s="35">
        <v>1246907</v>
      </c>
      <c r="F32" s="35">
        <v>1296</v>
      </c>
      <c r="G32" s="35">
        <v>1656834</v>
      </c>
      <c r="H32" s="35">
        <v>1660</v>
      </c>
      <c r="I32" s="35">
        <v>2009990</v>
      </c>
      <c r="J32" s="35">
        <v>1874</v>
      </c>
      <c r="K32" s="35">
        <v>2148540</v>
      </c>
      <c r="L32" s="35">
        <v>2547</v>
      </c>
      <c r="M32" s="35">
        <v>4709559</v>
      </c>
      <c r="N32" s="35">
        <v>4704</v>
      </c>
      <c r="O32" s="36">
        <v>6480</v>
      </c>
      <c r="P32" s="36">
        <v>115</v>
      </c>
      <c r="Q32" s="36">
        <v>2490</v>
      </c>
      <c r="R32" s="36">
        <v>45</v>
      </c>
      <c r="S32" s="36">
        <v>3713</v>
      </c>
      <c r="T32" s="10">
        <f t="shared" si="0"/>
        <v>63</v>
      </c>
      <c r="U32" s="3"/>
    </row>
    <row r="33" spans="1:21" ht="39" customHeight="1">
      <c r="A33" s="6">
        <v>45927</v>
      </c>
      <c r="B33" s="17">
        <v>0.25694444444444448</v>
      </c>
      <c r="C33" s="34">
        <v>1422356</v>
      </c>
      <c r="D33" s="35">
        <v>1588</v>
      </c>
      <c r="E33" s="35">
        <v>1248369</v>
      </c>
      <c r="F33" s="35">
        <v>1462</v>
      </c>
      <c r="G33" s="35">
        <v>1658809</v>
      </c>
      <c r="H33" s="35">
        <v>1975</v>
      </c>
      <c r="I33" s="35">
        <v>2011975</v>
      </c>
      <c r="J33" s="35">
        <v>1985</v>
      </c>
      <c r="K33" s="35">
        <v>2151094</v>
      </c>
      <c r="L33" s="35">
        <v>2554</v>
      </c>
      <c r="M33" s="35">
        <v>4714448</v>
      </c>
      <c r="N33" s="35">
        <v>4889</v>
      </c>
      <c r="O33" s="36">
        <v>6597</v>
      </c>
      <c r="P33" s="36">
        <v>117</v>
      </c>
      <c r="Q33" s="36">
        <v>2534</v>
      </c>
      <c r="R33" s="36">
        <v>44</v>
      </c>
      <c r="S33" s="36">
        <v>3765</v>
      </c>
      <c r="T33" s="10">
        <f t="shared" si="0"/>
        <v>52</v>
      </c>
      <c r="U33" s="3"/>
    </row>
    <row r="34" spans="1:21" ht="39" customHeight="1">
      <c r="A34" s="6">
        <v>45928</v>
      </c>
      <c r="B34" s="17">
        <v>0.2638888888888889</v>
      </c>
      <c r="C34" s="34">
        <v>1424120</v>
      </c>
      <c r="D34" s="35">
        <v>1764</v>
      </c>
      <c r="E34" s="35">
        <v>1249801</v>
      </c>
      <c r="F34" s="35">
        <v>1432</v>
      </c>
      <c r="G34" s="35">
        <v>1660810</v>
      </c>
      <c r="H34" s="35">
        <v>2001</v>
      </c>
      <c r="I34" s="35">
        <v>2013890</v>
      </c>
      <c r="J34" s="35">
        <v>1915</v>
      </c>
      <c r="K34" s="35">
        <v>2153873</v>
      </c>
      <c r="L34" s="35">
        <v>2779</v>
      </c>
      <c r="M34" s="35">
        <v>4719733</v>
      </c>
      <c r="N34" s="35">
        <v>5285</v>
      </c>
      <c r="O34" s="36">
        <v>6597</v>
      </c>
      <c r="P34" s="36">
        <v>0</v>
      </c>
      <c r="Q34" s="36">
        <v>2534</v>
      </c>
      <c r="R34" s="36">
        <v>0</v>
      </c>
      <c r="S34" s="36">
        <v>3830</v>
      </c>
      <c r="T34" s="10">
        <f t="shared" si="0"/>
        <v>65</v>
      </c>
      <c r="U34" s="3"/>
    </row>
    <row r="35" spans="1:21" ht="39" customHeight="1">
      <c r="A35" s="6">
        <v>45929</v>
      </c>
      <c r="B35" s="17">
        <v>0.24652777777777779</v>
      </c>
      <c r="C35" s="34">
        <v>1425829</v>
      </c>
      <c r="D35" s="35">
        <v>1709</v>
      </c>
      <c r="E35" s="35">
        <v>1251249</v>
      </c>
      <c r="F35" s="35">
        <v>1448</v>
      </c>
      <c r="G35" s="35">
        <v>1662855</v>
      </c>
      <c r="H35" s="35">
        <v>2045</v>
      </c>
      <c r="I35" s="35">
        <v>2015950</v>
      </c>
      <c r="J35" s="35">
        <v>2060</v>
      </c>
      <c r="K35" s="35">
        <v>2156408</v>
      </c>
      <c r="L35" s="35">
        <v>2535</v>
      </c>
      <c r="M35" s="35">
        <v>4724749</v>
      </c>
      <c r="N35" s="35">
        <v>5016</v>
      </c>
      <c r="O35" s="36">
        <v>6749</v>
      </c>
      <c r="P35" s="36">
        <v>152</v>
      </c>
      <c r="Q35" s="36">
        <v>2585</v>
      </c>
      <c r="R35" s="36">
        <v>51</v>
      </c>
      <c r="S35" s="36">
        <v>3884</v>
      </c>
      <c r="T35" s="10">
        <f t="shared" si="0"/>
        <v>54</v>
      </c>
      <c r="U35" s="3"/>
    </row>
    <row r="36" spans="1:21" ht="39" customHeight="1">
      <c r="A36" s="6">
        <v>45930</v>
      </c>
      <c r="B36" s="17">
        <v>0.2638888888888889</v>
      </c>
      <c r="C36" s="34">
        <v>1427557</v>
      </c>
      <c r="D36" s="35">
        <v>1728</v>
      </c>
      <c r="E36" s="35">
        <v>1252634</v>
      </c>
      <c r="F36" s="35">
        <v>1385</v>
      </c>
      <c r="G36" s="35">
        <v>1664710</v>
      </c>
      <c r="H36" s="35">
        <v>1855</v>
      </c>
      <c r="I36" s="35">
        <v>2017855</v>
      </c>
      <c r="J36" s="35">
        <v>1905</v>
      </c>
      <c r="K36" s="35">
        <v>2159045</v>
      </c>
      <c r="L36" s="35">
        <v>2637</v>
      </c>
      <c r="M36" s="35">
        <v>4729525</v>
      </c>
      <c r="N36" s="35">
        <v>4776</v>
      </c>
      <c r="O36" s="36">
        <v>6879</v>
      </c>
      <c r="P36" s="36">
        <v>130</v>
      </c>
      <c r="Q36" s="36">
        <v>2631</v>
      </c>
      <c r="R36" s="36">
        <v>46</v>
      </c>
      <c r="S36" s="36">
        <v>3951</v>
      </c>
      <c r="T36" s="10">
        <f>S36-S35</f>
        <v>67</v>
      </c>
      <c r="U36" s="3"/>
    </row>
    <row r="37" spans="1:21" ht="39" customHeight="1">
      <c r="A37" s="6">
        <v>45931</v>
      </c>
      <c r="B37" s="15"/>
      <c r="C37" s="4"/>
      <c r="D37" s="4">
        <f>C37-C36</f>
        <v>-1427557</v>
      </c>
      <c r="E37" s="4"/>
      <c r="F37" s="4">
        <f>E37-E36</f>
        <v>-1252634</v>
      </c>
      <c r="G37" s="4"/>
      <c r="H37" s="4">
        <f>G37-G36</f>
        <v>-1664710</v>
      </c>
      <c r="I37" s="4"/>
      <c r="J37" s="4">
        <f>I37-I36</f>
        <v>-2017855</v>
      </c>
      <c r="K37" s="4"/>
      <c r="L37" s="4">
        <f t="shared" ref="L31:L37" si="1">K37-K36</f>
        <v>-2159045</v>
      </c>
      <c r="M37" s="4"/>
      <c r="N37" s="4">
        <f>M37-M36</f>
        <v>-4729525</v>
      </c>
      <c r="O37" s="10"/>
      <c r="P37" s="10">
        <f>O37-O36</f>
        <v>-6879</v>
      </c>
      <c r="Q37" s="10"/>
      <c r="R37" s="10">
        <f t="shared" ref="R7:R37" si="2">Q37-Q36</f>
        <v>-2631</v>
      </c>
      <c r="S37" s="10"/>
      <c r="T37" s="10">
        <f>S37-S36</f>
        <v>-3951</v>
      </c>
      <c r="U37" s="3"/>
    </row>
    <row r="38" spans="1:21">
      <c r="D38" s="1">
        <f>D37-D6</f>
        <v>-1429491</v>
      </c>
      <c r="F38" s="1">
        <f>F37-F6</f>
        <v>-1254077</v>
      </c>
      <c r="H38" s="1">
        <f>H37-H6</f>
        <v>-1666858</v>
      </c>
      <c r="J38" s="1">
        <f>J37-J6</f>
        <v>-2020498</v>
      </c>
      <c r="L38" s="1">
        <f>L37-L6</f>
        <v>-2162120</v>
      </c>
      <c r="N38" s="1">
        <f>N37-N6</f>
        <v>-4736158</v>
      </c>
      <c r="P38" s="1">
        <f>P37-P6</f>
        <v>-6981</v>
      </c>
      <c r="R38" s="1">
        <f>R37-R6</f>
        <v>-2673</v>
      </c>
      <c r="T38" s="1">
        <f>T37-T6</f>
        <v>-3951</v>
      </c>
    </row>
  </sheetData>
  <mergeCells count="22">
    <mergeCell ref="T2:T4"/>
    <mergeCell ref="L2:L4"/>
    <mergeCell ref="N2:N4"/>
    <mergeCell ref="K4:K5"/>
    <mergeCell ref="M4:M5"/>
    <mergeCell ref="R2:R4"/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Props1.xml><?xml version="1.0" encoding="utf-8"?>
<ds:datastoreItem xmlns:ds="http://schemas.openxmlformats.org/officeDocument/2006/customXml" ds:itemID="{A1EE0889-3C7D-4A1D-8F6C-CBC732B8015E}"/>
</file>

<file path=customXml/itemProps2.xml><?xml version="1.0" encoding="utf-8"?>
<ds:datastoreItem xmlns:ds="http://schemas.openxmlformats.org/officeDocument/2006/customXml" ds:itemID="{F1509642-2593-4443-9081-B746EEEC7E73}"/>
</file>

<file path=customXml/itemProps3.xml><?xml version="1.0" encoding="utf-8"?>
<ds:datastoreItem xmlns:ds="http://schemas.openxmlformats.org/officeDocument/2006/customXml" ds:itemID="{D1688C7A-5E58-4F59-8DB0-1F93F20E5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2018-12-27T05:07:34Z</dcterms:created>
  <dcterms:modified xsi:type="dcterms:W3CDTF">2025-10-24T08:35:29Z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