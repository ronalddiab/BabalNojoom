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B0D48524-686C-4EDB-B8F9-A7151FC1D00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N43" i="2"/>
  <c r="N41" i="2"/>
  <c r="N40" i="2"/>
  <c r="M40" i="2"/>
  <c r="B40" i="2"/>
  <c r="J39" i="2"/>
  <c r="F39" i="2"/>
  <c r="J38" i="2"/>
  <c r="K39" i="2" s="1"/>
  <c r="F38" i="2"/>
  <c r="G38" i="2" s="1"/>
  <c r="J37" i="2"/>
  <c r="K37" i="2" s="1"/>
  <c r="F37" i="2"/>
  <c r="G37" i="2" s="1"/>
  <c r="J36" i="2"/>
  <c r="K36" i="2" s="1"/>
  <c r="F36" i="2"/>
  <c r="G36" i="2" s="1"/>
  <c r="J35" i="2"/>
  <c r="K35" i="2" s="1"/>
  <c r="F35" i="2"/>
  <c r="G35" i="2" s="1"/>
  <c r="J34" i="2"/>
  <c r="K34" i="2" s="1"/>
  <c r="F34" i="2"/>
  <c r="G34" i="2" s="1"/>
  <c r="J33" i="2"/>
  <c r="K33" i="2" s="1"/>
  <c r="F33" i="2"/>
  <c r="G33" i="2" s="1"/>
  <c r="C33" i="2"/>
  <c r="K32" i="2"/>
  <c r="J32" i="2"/>
  <c r="F32" i="2"/>
  <c r="G32" i="2" s="1"/>
  <c r="C32" i="2"/>
  <c r="J31" i="2"/>
  <c r="K31" i="2" s="1"/>
  <c r="F31" i="2"/>
  <c r="G31" i="2" s="1"/>
  <c r="C31" i="2"/>
  <c r="J30" i="2"/>
  <c r="K30" i="2" s="1"/>
  <c r="F30" i="2"/>
  <c r="C30" i="2"/>
  <c r="J29" i="2"/>
  <c r="K29" i="2" s="1"/>
  <c r="F29" i="2"/>
  <c r="C29" i="2"/>
  <c r="J28" i="2"/>
  <c r="F28" i="2"/>
  <c r="C28" i="2"/>
  <c r="J27" i="2"/>
  <c r="F27" i="2"/>
  <c r="G28" i="2" s="1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G22" i="2" s="1"/>
  <c r="C22" i="2"/>
  <c r="J21" i="2"/>
  <c r="F21" i="2"/>
  <c r="C21" i="2"/>
  <c r="J20" i="2"/>
  <c r="F20" i="2"/>
  <c r="C20" i="2"/>
  <c r="J19" i="2"/>
  <c r="F19" i="2"/>
  <c r="C19" i="2"/>
  <c r="J18" i="2"/>
  <c r="K18" i="2" s="1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K11" i="2" s="1"/>
  <c r="F11" i="2"/>
  <c r="G11" i="2" s="1"/>
  <c r="C11" i="2"/>
  <c r="J10" i="2"/>
  <c r="F10" i="2"/>
  <c r="G10" i="2" s="1"/>
  <c r="C10" i="2"/>
  <c r="F9" i="2"/>
  <c r="G9" i="2" s="1"/>
  <c r="C9" i="2"/>
  <c r="J8" i="2"/>
  <c r="F8" i="2"/>
  <c r="C8" i="2"/>
  <c r="C40" i="2" s="1"/>
  <c r="J7" i="2"/>
  <c r="K7" i="2" s="1"/>
  <c r="F7" i="2"/>
  <c r="G7" i="2" s="1"/>
  <c r="G30" i="2" l="1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K8" i="2"/>
  <c r="G8" i="2"/>
  <c r="G39" i="2"/>
  <c r="G40" i="2" l="1"/>
  <c r="F43" i="2" s="1"/>
  <c r="K40" i="2"/>
  <c r="K43" i="2" s="1"/>
  <c r="G43" i="2" l="1"/>
  <c r="J43" i="2"/>
  <c r="I32" i="3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<sst xmlns="http://schemas.openxmlformats.org/spreadsheetml/2006/main" count="93" uniqueCount="40">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</sst>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topLeftCell="A8" workbookViewId="0">
      <selection activeCell="L24" sqref="L24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-78076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2" si="0">B3+1</f>
        <v>3</v>
      </c>
      <c r="C4" s="43">
        <v>4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5830</v>
      </c>
      <c r="F9" s="45">
        <v>0.2</v>
      </c>
      <c r="G9" s="44"/>
      <c r="I9" s="44">
        <f>Sheet2!K15</f>
        <v>0</v>
      </c>
      <c r="J9" s="46">
        <v>7.84</v>
      </c>
      <c r="K9" s="44">
        <v>108</v>
      </c>
      <c r="L9" s="44">
        <v>136</v>
      </c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5624</v>
      </c>
      <c r="F10" s="45">
        <v>0.2</v>
      </c>
      <c r="G10" s="44"/>
      <c r="I10" s="44">
        <f>Sheet2!K16</f>
        <v>0</v>
      </c>
      <c r="J10" s="46">
        <v>7.84</v>
      </c>
      <c r="K10" s="44">
        <v>108</v>
      </c>
      <c r="L10" s="44">
        <v>130</v>
      </c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5570</v>
      </c>
      <c r="F11" s="45">
        <v>0.2</v>
      </c>
      <c r="G11" s="44"/>
      <c r="I11" s="44">
        <f>Sheet2!K17</f>
        <v>22</v>
      </c>
      <c r="J11" s="46">
        <v>7.84</v>
      </c>
      <c r="K11" s="44">
        <v>108</v>
      </c>
      <c r="L11" s="44">
        <v>134</v>
      </c>
    </row>
    <row r="12" spans="1:13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5435</v>
      </c>
      <c r="F12" s="45">
        <v>0.2</v>
      </c>
      <c r="G12" s="44"/>
      <c r="I12" s="44">
        <f>Sheet2!K18</f>
        <v>28</v>
      </c>
      <c r="J12" s="46">
        <v>7.84</v>
      </c>
      <c r="K12" s="44">
        <v>107</v>
      </c>
      <c r="L12" s="44">
        <v>137</v>
      </c>
    </row>
    <row r="13" spans="1:13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5785</v>
      </c>
      <c r="F13" s="45">
        <v>0.2</v>
      </c>
      <c r="G13" s="44"/>
      <c r="I13" s="44">
        <f>Sheet2!K19</f>
        <v>29</v>
      </c>
      <c r="J13" s="46">
        <v>7.84</v>
      </c>
      <c r="K13" s="44">
        <v>108</v>
      </c>
      <c r="L13" s="44">
        <v>140</v>
      </c>
    </row>
    <row r="14" spans="1:13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5885</v>
      </c>
      <c r="F14" s="45">
        <v>0.2</v>
      </c>
      <c r="G14" s="44"/>
      <c r="I14" s="44">
        <f>Sheet2!K20</f>
        <v>29</v>
      </c>
      <c r="J14" s="46">
        <v>7.84</v>
      </c>
      <c r="K14" s="44">
        <v>104</v>
      </c>
      <c r="L14" s="44">
        <v>130</v>
      </c>
    </row>
    <row r="15" spans="1:13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5815</v>
      </c>
      <c r="F15" s="45">
        <v>0.2</v>
      </c>
      <c r="G15" s="44"/>
      <c r="I15" s="44">
        <f>Sheet2!K21</f>
        <v>28</v>
      </c>
      <c r="J15" s="46">
        <v>7.84</v>
      </c>
      <c r="K15" s="44">
        <v>106</v>
      </c>
      <c r="L15" s="44">
        <v>134</v>
      </c>
    </row>
    <row r="16" spans="1:13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5695</v>
      </c>
      <c r="F16" s="45">
        <v>0.2</v>
      </c>
      <c r="G16" s="44"/>
      <c r="I16" s="44">
        <f>Sheet2!K22</f>
        <v>27</v>
      </c>
      <c r="J16" s="46">
        <v>7.84</v>
      </c>
      <c r="K16" s="44">
        <v>108</v>
      </c>
      <c r="L16" s="44">
        <v>138</v>
      </c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5647</v>
      </c>
      <c r="F17" s="45">
        <v>0.2</v>
      </c>
      <c r="G17" s="44"/>
      <c r="I17" s="44">
        <f>Sheet2!K23</f>
        <v>29</v>
      </c>
      <c r="J17" s="46">
        <v>7.84</v>
      </c>
      <c r="K17" s="44">
        <v>108</v>
      </c>
      <c r="L17" s="44">
        <v>139</v>
      </c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5493</v>
      </c>
      <c r="F18" s="45">
        <v>0.2</v>
      </c>
      <c r="G18" s="44"/>
      <c r="I18" s="44">
        <f>Sheet2!K24</f>
        <v>29</v>
      </c>
      <c r="J18" s="46">
        <v>7.84</v>
      </c>
      <c r="K18" s="44">
        <v>108</v>
      </c>
      <c r="L18" s="44">
        <v>141</v>
      </c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5229</v>
      </c>
      <c r="F19" s="45">
        <v>0.2</v>
      </c>
      <c r="G19" s="44"/>
      <c r="I19" s="44">
        <f>Sheet2!K25</f>
        <v>30</v>
      </c>
      <c r="J19" s="46">
        <v>7.84</v>
      </c>
      <c r="K19" s="44">
        <v>108</v>
      </c>
      <c r="L19" s="44">
        <v>144</v>
      </c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5610</v>
      </c>
      <c r="F20" s="45">
        <v>0.2</v>
      </c>
      <c r="G20" s="44"/>
      <c r="I20" s="44">
        <f>Sheet2!K26</f>
        <v>28</v>
      </c>
      <c r="J20" s="46">
        <v>7.84</v>
      </c>
      <c r="K20" s="44">
        <v>108</v>
      </c>
      <c r="L20" s="44">
        <v>137</v>
      </c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5632</v>
      </c>
      <c r="F21" s="45">
        <v>0.2</v>
      </c>
      <c r="G21" s="44"/>
      <c r="I21" s="44">
        <f>Sheet2!K27</f>
        <v>31</v>
      </c>
      <c r="J21" s="46">
        <v>7.84</v>
      </c>
      <c r="K21" s="44">
        <v>102</v>
      </c>
      <c r="L21" s="44">
        <v>127</v>
      </c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5599</v>
      </c>
      <c r="F22" s="45">
        <v>0.2</v>
      </c>
      <c r="G22" s="44"/>
      <c r="I22" s="44">
        <f>Sheet2!K28</f>
        <v>28</v>
      </c>
      <c r="J22" s="46">
        <v>7.84</v>
      </c>
      <c r="K22" s="44">
        <v>104</v>
      </c>
      <c r="L22" s="44">
        <v>121</v>
      </c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5679</v>
      </c>
      <c r="F23" s="45">
        <v>0.2</v>
      </c>
      <c r="G23" s="44"/>
      <c r="I23" s="44">
        <f>Sheet2!K29</f>
        <v>22</v>
      </c>
      <c r="J23" s="46">
        <v>7.84</v>
      </c>
      <c r="K23" s="44">
        <v>108</v>
      </c>
      <c r="L23" s="44">
        <v>119</v>
      </c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5891</v>
      </c>
      <c r="F24" s="45">
        <v>0.2</v>
      </c>
      <c r="G24" s="44"/>
      <c r="I24" s="44">
        <f>Sheet2!K30</f>
        <v>28</v>
      </c>
      <c r="J24" s="46">
        <v>7.84</v>
      </c>
      <c r="K24" s="44">
        <v>107</v>
      </c>
      <c r="L24" s="44">
        <v>122</v>
      </c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-34337910</v>
      </c>
      <c r="F25" s="45">
        <v>0.2</v>
      </c>
      <c r="G25" s="44"/>
      <c r="I25" s="44">
        <f>Sheet2!K31</f>
        <v>-1003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4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10" zoomScaleNormal="100" workbookViewId="0">
      <selection activeCell="I29" sqref="I29:I30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98" t="s">
        <v>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5" ht="29.25" customHeight="1" thickBot="1">
      <c r="A2" s="100" t="s">
        <v>31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5">
      <c r="A3" s="1" t="s">
        <v>0</v>
      </c>
      <c r="B3" s="116" t="s">
        <v>1</v>
      </c>
      <c r="C3" s="117"/>
      <c r="D3" s="120" t="s">
        <v>2</v>
      </c>
      <c r="E3" s="121"/>
      <c r="F3" s="121"/>
      <c r="G3" s="122"/>
      <c r="H3" s="126" t="s">
        <v>3</v>
      </c>
      <c r="I3" s="127"/>
      <c r="J3" s="127"/>
      <c r="K3" s="128"/>
      <c r="L3" s="102" t="s">
        <v>26</v>
      </c>
      <c r="M3" s="103"/>
      <c r="N3" s="103"/>
    </row>
    <row r="4" spans="1:15">
      <c r="A4" s="1"/>
      <c r="B4" s="118"/>
      <c r="C4" s="119"/>
      <c r="D4" s="123"/>
      <c r="E4" s="124"/>
      <c r="F4" s="124"/>
      <c r="G4" s="125"/>
      <c r="H4" s="129"/>
      <c r="I4" s="130"/>
      <c r="J4" s="130"/>
      <c r="K4" s="131"/>
      <c r="L4" s="51" t="s">
        <v>27</v>
      </c>
      <c r="M4" s="104" t="s">
        <v>28</v>
      </c>
      <c r="N4" s="106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5"/>
      <c r="N5" s="107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5.75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9" si="0">(D7+E7)</f>
        <v>34209544</v>
      </c>
      <c r="G7" s="26">
        <f t="shared" ref="G7:G39" si="1">(F7-F6)</f>
        <v>34209544</v>
      </c>
      <c r="H7" s="23">
        <v>78076</v>
      </c>
      <c r="I7" s="24">
        <v>615</v>
      </c>
      <c r="J7" s="25">
        <f>H7+I7</f>
        <v>78691</v>
      </c>
      <c r="K7" s="22">
        <f t="shared" ref="K7:K37" si="2">(J7-J6)</f>
        <v>78691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-78076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8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>
        <v>34253321</v>
      </c>
      <c r="E15" s="24">
        <v>0</v>
      </c>
      <c r="F15" s="25">
        <f t="shared" si="0"/>
        <v>34253321</v>
      </c>
      <c r="G15" s="26">
        <f t="shared" si="1"/>
        <v>5830</v>
      </c>
      <c r="H15" s="30">
        <v>0</v>
      </c>
      <c r="I15" s="24">
        <v>615</v>
      </c>
      <c r="J15" s="25">
        <f t="shared" si="4"/>
        <v>615</v>
      </c>
      <c r="K15" s="22">
        <f t="shared" si="2"/>
        <v>0</v>
      </c>
      <c r="L15" s="60"/>
      <c r="M15" s="56"/>
      <c r="N15" s="61"/>
      <c r="O15" s="30" t="s">
        <v>39</v>
      </c>
    </row>
    <row r="16" spans="1:15">
      <c r="A16" s="20">
        <v>9</v>
      </c>
      <c r="B16" s="21"/>
      <c r="C16" s="22">
        <f t="shared" si="3"/>
        <v>0</v>
      </c>
      <c r="D16" s="23">
        <v>34258945</v>
      </c>
      <c r="E16" s="24">
        <v>0</v>
      </c>
      <c r="F16" s="25">
        <f t="shared" si="0"/>
        <v>34258945</v>
      </c>
      <c r="G16" s="26">
        <f t="shared" si="1"/>
        <v>5624</v>
      </c>
      <c r="H16" s="30">
        <v>0</v>
      </c>
      <c r="I16" s="24">
        <v>615</v>
      </c>
      <c r="J16" s="25">
        <f t="shared" si="4"/>
        <v>615</v>
      </c>
      <c r="K16" s="22">
        <f t="shared" si="2"/>
        <v>0</v>
      </c>
      <c r="L16" s="21"/>
      <c r="M16" s="56"/>
      <c r="N16" s="61"/>
      <c r="O16" s="30" t="s">
        <v>39</v>
      </c>
    </row>
    <row r="17" spans="1:14">
      <c r="A17" s="20">
        <v>10</v>
      </c>
      <c r="B17" s="21"/>
      <c r="C17" s="22">
        <f t="shared" si="3"/>
        <v>0</v>
      </c>
      <c r="D17" s="23">
        <v>34264515</v>
      </c>
      <c r="E17" s="24">
        <v>0</v>
      </c>
      <c r="F17" s="25">
        <f t="shared" si="0"/>
        <v>34264515</v>
      </c>
      <c r="G17" s="26">
        <f t="shared" si="1"/>
        <v>5570</v>
      </c>
      <c r="H17" s="30">
        <v>22</v>
      </c>
      <c r="I17" s="24">
        <v>615</v>
      </c>
      <c r="J17" s="25">
        <f t="shared" si="4"/>
        <v>637</v>
      </c>
      <c r="K17" s="22">
        <f t="shared" si="2"/>
        <v>22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>
        <v>34269950</v>
      </c>
      <c r="E18" s="24">
        <v>0</v>
      </c>
      <c r="F18" s="25">
        <f t="shared" si="0"/>
        <v>34269950</v>
      </c>
      <c r="G18" s="26">
        <f t="shared" si="1"/>
        <v>5435</v>
      </c>
      <c r="H18" s="30">
        <v>50</v>
      </c>
      <c r="I18" s="24">
        <v>615</v>
      </c>
      <c r="J18" s="25">
        <f t="shared" si="4"/>
        <v>665</v>
      </c>
      <c r="K18" s="22">
        <f t="shared" si="2"/>
        <v>28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>
        <v>34275735</v>
      </c>
      <c r="E19" s="24">
        <v>0</v>
      </c>
      <c r="F19" s="25">
        <f t="shared" si="0"/>
        <v>34275735</v>
      </c>
      <c r="G19" s="26">
        <f t="shared" si="1"/>
        <v>5785</v>
      </c>
      <c r="H19" s="30">
        <v>79</v>
      </c>
      <c r="I19" s="24">
        <v>615</v>
      </c>
      <c r="J19" s="25">
        <f t="shared" si="4"/>
        <v>694</v>
      </c>
      <c r="K19" s="22">
        <f t="shared" si="2"/>
        <v>29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>
        <v>34281620</v>
      </c>
      <c r="E20" s="24">
        <v>0</v>
      </c>
      <c r="F20" s="25">
        <f t="shared" si="0"/>
        <v>34281620</v>
      </c>
      <c r="G20" s="26">
        <f t="shared" si="1"/>
        <v>5885</v>
      </c>
      <c r="H20" s="30">
        <v>108</v>
      </c>
      <c r="I20" s="24">
        <v>615</v>
      </c>
      <c r="J20" s="25">
        <f t="shared" si="4"/>
        <v>723</v>
      </c>
      <c r="K20" s="22">
        <f t="shared" si="2"/>
        <v>29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>
        <v>34287435</v>
      </c>
      <c r="E21" s="24">
        <v>0</v>
      </c>
      <c r="F21" s="25">
        <f t="shared" si="0"/>
        <v>34287435</v>
      </c>
      <c r="G21" s="26">
        <f t="shared" si="1"/>
        <v>5815</v>
      </c>
      <c r="H21" s="30">
        <v>136</v>
      </c>
      <c r="I21" s="24">
        <v>615</v>
      </c>
      <c r="J21" s="25">
        <f t="shared" si="4"/>
        <v>751</v>
      </c>
      <c r="K21" s="22">
        <f t="shared" si="2"/>
        <v>28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>
        <v>34293130</v>
      </c>
      <c r="E22" s="24">
        <v>0</v>
      </c>
      <c r="F22" s="25">
        <f t="shared" si="0"/>
        <v>34293130</v>
      </c>
      <c r="G22" s="26">
        <f t="shared" si="1"/>
        <v>5695</v>
      </c>
      <c r="H22" s="23">
        <v>163</v>
      </c>
      <c r="I22" s="24">
        <v>615</v>
      </c>
      <c r="J22" s="25">
        <f t="shared" si="4"/>
        <v>778</v>
      </c>
      <c r="K22" s="22">
        <f t="shared" si="2"/>
        <v>27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>
        <v>34298777</v>
      </c>
      <c r="E23" s="24">
        <v>0</v>
      </c>
      <c r="F23" s="25">
        <f t="shared" si="0"/>
        <v>34298777</v>
      </c>
      <c r="G23" s="26">
        <f t="shared" si="1"/>
        <v>5647</v>
      </c>
      <c r="H23" s="23">
        <v>192</v>
      </c>
      <c r="I23" s="24">
        <v>615</v>
      </c>
      <c r="J23" s="25">
        <f t="shared" si="4"/>
        <v>807</v>
      </c>
      <c r="K23" s="22">
        <f t="shared" si="2"/>
        <v>29</v>
      </c>
      <c r="L23" s="21"/>
      <c r="M23" s="56"/>
      <c r="N23" s="61"/>
    </row>
    <row r="24" spans="1:14">
      <c r="A24" s="20">
        <v>251</v>
      </c>
      <c r="B24" s="21"/>
      <c r="C24" s="22">
        <f t="shared" si="3"/>
        <v>0</v>
      </c>
      <c r="D24" s="23">
        <v>34304270</v>
      </c>
      <c r="E24" s="24">
        <v>0</v>
      </c>
      <c r="F24" s="25">
        <f t="shared" si="0"/>
        <v>34304270</v>
      </c>
      <c r="G24" s="26">
        <f t="shared" si="1"/>
        <v>5493</v>
      </c>
      <c r="H24" s="23">
        <v>221</v>
      </c>
      <c r="I24" s="24">
        <v>615</v>
      </c>
      <c r="J24" s="25">
        <f t="shared" si="4"/>
        <v>836</v>
      </c>
      <c r="K24" s="22">
        <f t="shared" si="2"/>
        <v>29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>
        <v>34309499</v>
      </c>
      <c r="E25" s="24">
        <v>0</v>
      </c>
      <c r="F25" s="25">
        <f t="shared" si="0"/>
        <v>34309499</v>
      </c>
      <c r="G25" s="26">
        <f t="shared" si="1"/>
        <v>5229</v>
      </c>
      <c r="H25" s="23">
        <v>251</v>
      </c>
      <c r="I25" s="24">
        <v>615</v>
      </c>
      <c r="J25" s="25">
        <f t="shared" si="4"/>
        <v>866</v>
      </c>
      <c r="K25" s="22">
        <f t="shared" si="2"/>
        <v>30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>
        <v>34315109</v>
      </c>
      <c r="E26" s="24">
        <v>0</v>
      </c>
      <c r="F26" s="25">
        <f t="shared" si="0"/>
        <v>34315109</v>
      </c>
      <c r="G26" s="26">
        <f t="shared" si="1"/>
        <v>5610</v>
      </c>
      <c r="H26" s="23">
        <v>279</v>
      </c>
      <c r="I26" s="24">
        <v>615</v>
      </c>
      <c r="J26" s="25">
        <f t="shared" si="4"/>
        <v>894</v>
      </c>
      <c r="K26" s="22">
        <f t="shared" si="2"/>
        <v>28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>
        <v>34320741</v>
      </c>
      <c r="E27" s="24">
        <v>0</v>
      </c>
      <c r="F27" s="25">
        <f t="shared" si="0"/>
        <v>34320741</v>
      </c>
      <c r="G27" s="26">
        <f t="shared" si="1"/>
        <v>5632</v>
      </c>
      <c r="H27" s="23">
        <v>310</v>
      </c>
      <c r="I27" s="24">
        <v>615</v>
      </c>
      <c r="J27" s="25">
        <f t="shared" si="4"/>
        <v>925</v>
      </c>
      <c r="K27" s="22">
        <f t="shared" si="2"/>
        <v>31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>
        <v>34326340</v>
      </c>
      <c r="E28" s="24">
        <v>0</v>
      </c>
      <c r="F28" s="25">
        <f t="shared" si="0"/>
        <v>34326340</v>
      </c>
      <c r="G28" s="26">
        <f t="shared" si="1"/>
        <v>5599</v>
      </c>
      <c r="H28" s="23">
        <v>338</v>
      </c>
      <c r="I28" s="24">
        <v>615</v>
      </c>
      <c r="J28" s="25">
        <f t="shared" si="4"/>
        <v>953</v>
      </c>
      <c r="K28" s="22">
        <f t="shared" si="2"/>
        <v>28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>
        <v>34332019</v>
      </c>
      <c r="E29" s="24">
        <v>0</v>
      </c>
      <c r="F29" s="25">
        <f t="shared" si="0"/>
        <v>34332019</v>
      </c>
      <c r="G29" s="26">
        <f t="shared" si="1"/>
        <v>5679</v>
      </c>
      <c r="H29" s="23">
        <v>360</v>
      </c>
      <c r="I29" s="24">
        <v>615</v>
      </c>
      <c r="J29" s="25">
        <f t="shared" si="4"/>
        <v>975</v>
      </c>
      <c r="K29" s="22">
        <f t="shared" si="2"/>
        <v>22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>
        <v>34337910</v>
      </c>
      <c r="E30" s="24">
        <v>0</v>
      </c>
      <c r="F30" s="25">
        <f t="shared" si="0"/>
        <v>34337910</v>
      </c>
      <c r="G30" s="26">
        <f t="shared" si="1"/>
        <v>5891</v>
      </c>
      <c r="H30" s="23">
        <v>388</v>
      </c>
      <c r="I30" s="24">
        <v>615</v>
      </c>
      <c r="J30" s="25">
        <f t="shared" si="4"/>
        <v>1003</v>
      </c>
      <c r="K30" s="22">
        <f t="shared" si="2"/>
        <v>28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/>
      <c r="E31" s="24">
        <v>0</v>
      </c>
      <c r="F31" s="25">
        <f t="shared" si="0"/>
        <v>0</v>
      </c>
      <c r="G31" s="26">
        <f t="shared" si="1"/>
        <v>-34337910</v>
      </c>
      <c r="H31" s="23"/>
      <c r="I31" s="24"/>
      <c r="J31" s="25">
        <f t="shared" si="4"/>
        <v>0</v>
      </c>
      <c r="K31" s="22">
        <f t="shared" si="2"/>
        <v>-1003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/>
      <c r="E32" s="24">
        <v>0</v>
      </c>
      <c r="F32" s="25">
        <f t="shared" si="0"/>
        <v>0</v>
      </c>
      <c r="G32" s="26">
        <f t="shared" si="1"/>
        <v>0</v>
      </c>
      <c r="H32" s="23"/>
      <c r="I32" s="24"/>
      <c r="J32" s="25">
        <f t="shared" si="4"/>
        <v>0</v>
      </c>
      <c r="K32" s="22">
        <f t="shared" si="2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/>
      <c r="E33" s="24">
        <v>0</v>
      </c>
      <c r="F33" s="25">
        <f t="shared" si="0"/>
        <v>0</v>
      </c>
      <c r="G33" s="26">
        <f t="shared" si="1"/>
        <v>0</v>
      </c>
      <c r="H33" s="35"/>
      <c r="I33" s="24"/>
      <c r="J33" s="25">
        <f t="shared" si="4"/>
        <v>0</v>
      </c>
      <c r="K33" s="22">
        <f t="shared" si="2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0"/>
        <v>0</v>
      </c>
      <c r="G34" s="26">
        <f t="shared" si="1"/>
        <v>0</v>
      </c>
      <c r="H34" s="23"/>
      <c r="I34" s="24"/>
      <c r="J34" s="25">
        <f t="shared" si="4"/>
        <v>0</v>
      </c>
      <c r="K34" s="22">
        <f t="shared" si="2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0"/>
        <v>0</v>
      </c>
      <c r="G35" s="26">
        <f t="shared" si="1"/>
        <v>0</v>
      </c>
      <c r="H35" s="23"/>
      <c r="I35" s="24"/>
      <c r="J35" s="25">
        <f t="shared" si="4"/>
        <v>0</v>
      </c>
      <c r="K35" s="22">
        <f t="shared" si="2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0"/>
        <v>0</v>
      </c>
      <c r="G36" s="26">
        <f t="shared" si="1"/>
        <v>0</v>
      </c>
      <c r="H36" s="63"/>
      <c r="I36" s="64"/>
      <c r="J36" s="25">
        <f t="shared" si="4"/>
        <v>0</v>
      </c>
      <c r="K36" s="22">
        <f t="shared" si="2"/>
        <v>0</v>
      </c>
      <c r="L36" s="21"/>
      <c r="M36" s="56"/>
      <c r="N36" s="61"/>
    </row>
    <row r="37" spans="1:14">
      <c r="A37" s="20">
        <v>30</v>
      </c>
      <c r="B37" s="21"/>
      <c r="C37" s="22"/>
      <c r="D37" s="63"/>
      <c r="E37" s="64">
        <v>0</v>
      </c>
      <c r="F37" s="25">
        <f t="shared" si="0"/>
        <v>0</v>
      </c>
      <c r="G37" s="26">
        <f t="shared" si="1"/>
        <v>0</v>
      </c>
      <c r="H37" s="63"/>
      <c r="I37" s="64"/>
      <c r="J37" s="25">
        <f t="shared" si="4"/>
        <v>0</v>
      </c>
      <c r="K37" s="22">
        <f t="shared" si="2"/>
        <v>0</v>
      </c>
      <c r="L37" s="21"/>
      <c r="M37" s="56"/>
      <c r="N37" s="61"/>
    </row>
    <row r="38" spans="1:14">
      <c r="A38" s="20">
        <v>31</v>
      </c>
      <c r="B38" s="21"/>
      <c r="C38" s="22"/>
      <c r="D38" s="63"/>
      <c r="E38" s="64">
        <v>0</v>
      </c>
      <c r="F38" s="25">
        <f t="shared" si="0"/>
        <v>0</v>
      </c>
      <c r="G38" s="26">
        <f t="shared" si="1"/>
        <v>0</v>
      </c>
      <c r="H38" s="63"/>
      <c r="I38" s="64"/>
      <c r="J38" s="25">
        <f t="shared" si="4"/>
        <v>0</v>
      </c>
      <c r="K38" s="22"/>
      <c r="L38" s="21"/>
      <c r="M38" s="56"/>
      <c r="N38" s="65"/>
    </row>
    <row r="39" spans="1:14" ht="15.75" thickBot="1">
      <c r="A39" s="20">
        <v>1</v>
      </c>
      <c r="B39" s="21"/>
      <c r="C39" s="22"/>
      <c r="D39" s="23"/>
      <c r="E39" s="24">
        <v>0</v>
      </c>
      <c r="F39" s="25">
        <f t="shared" si="0"/>
        <v>0</v>
      </c>
      <c r="G39" s="29">
        <f t="shared" si="1"/>
        <v>0</v>
      </c>
      <c r="H39" s="30"/>
      <c r="I39" s="24"/>
      <c r="J39" s="25">
        <f>H39+I39</f>
        <v>0</v>
      </c>
      <c r="K39" s="22">
        <f t="shared" ref="K39" si="5">(J39-J38)</f>
        <v>0</v>
      </c>
      <c r="L39" s="21"/>
      <c r="M39" s="56"/>
      <c r="N39" s="57"/>
    </row>
    <row r="40" spans="1:14" ht="19.5" thickBot="1">
      <c r="A40" s="66" t="s">
        <v>8</v>
      </c>
      <c r="B40" s="67" t="e">
        <f>AVERAGE(B8:B37)</f>
        <v>#DIV/0!</v>
      </c>
      <c r="C40" s="68">
        <f>SUM(C8:C37)</f>
        <v>0</v>
      </c>
      <c r="D40" s="69"/>
      <c r="E40" s="70"/>
      <c r="F40" s="71"/>
      <c r="G40" s="72">
        <f>SUM(G8:G39)</f>
        <v>-34209544</v>
      </c>
      <c r="H40" s="73"/>
      <c r="I40" s="70"/>
      <c r="J40" s="74"/>
      <c r="K40" s="72">
        <f>SUM(K8:K39)</f>
        <v>-78691</v>
      </c>
      <c r="L40" s="75"/>
      <c r="M40" s="76">
        <f>SUM(M8:M37)</f>
        <v>0</v>
      </c>
      <c r="N40" s="77">
        <f>SUM(N8:N37)</f>
        <v>0</v>
      </c>
    </row>
    <row r="41" spans="1:14" ht="15.75" thickBot="1">
      <c r="A41" s="78"/>
      <c r="B41" s="79"/>
      <c r="C41" s="80"/>
      <c r="F41" s="78"/>
      <c r="G41" s="81"/>
      <c r="K41" s="78"/>
      <c r="M41" s="82"/>
      <c r="N41" s="83">
        <f>SUM(N8:N37)</f>
        <v>0</v>
      </c>
    </row>
    <row r="42" spans="1:14" ht="33" thickTop="1" thickBot="1">
      <c r="B42" s="84"/>
      <c r="C42" s="84"/>
      <c r="D42" s="108" t="s">
        <v>32</v>
      </c>
      <c r="E42" s="109"/>
      <c r="F42" s="85" t="s">
        <v>33</v>
      </c>
      <c r="G42" s="86" t="s">
        <v>34</v>
      </c>
      <c r="H42" s="110" t="s">
        <v>35</v>
      </c>
      <c r="I42" s="111"/>
      <c r="J42" s="87" t="s">
        <v>33</v>
      </c>
      <c r="K42" s="87" t="s">
        <v>36</v>
      </c>
      <c r="L42" s="88" t="s">
        <v>37</v>
      </c>
      <c r="M42" s="89"/>
      <c r="N42" s="90" t="s">
        <v>33</v>
      </c>
    </row>
    <row r="43" spans="1:14" ht="30" thickTop="1" thickBot="1">
      <c r="B43" s="84"/>
      <c r="C43" s="84"/>
      <c r="D43" s="112" t="s">
        <v>38</v>
      </c>
      <c r="E43" s="113"/>
      <c r="F43" s="91">
        <f>(G40*0.2)</f>
        <v>-6841908.8000000007</v>
      </c>
      <c r="G43" s="92">
        <f>G40</f>
        <v>-34209544</v>
      </c>
      <c r="H43" s="114" t="s">
        <v>38</v>
      </c>
      <c r="I43" s="115"/>
      <c r="J43" s="93">
        <f>(K40*7.84)</f>
        <v>-616937.43999999994</v>
      </c>
      <c r="K43" s="94">
        <f>K40</f>
        <v>-78691</v>
      </c>
      <c r="L43" s="95" t="s">
        <v>38</v>
      </c>
      <c r="M43" s="96"/>
      <c r="N43" s="97">
        <f>(O43)</f>
        <v>0</v>
      </c>
    </row>
    <row r="44" spans="1:14" ht="15.75" thickTop="1"/>
  </sheetData>
  <mergeCells count="12">
    <mergeCell ref="D42:E42"/>
    <mergeCell ref="H42:I42"/>
    <mergeCell ref="D43:E43"/>
    <mergeCell ref="H43:I43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2025-04-24T05:00:07Z</dcterms:modified>
</cp:coreProperties>
</file>