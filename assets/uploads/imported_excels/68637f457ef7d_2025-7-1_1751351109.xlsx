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otanahq-my.sharepoint.com/personal/bms_park_rotana_com/Documents/Engineering/29 HEP - Energy Portal/01 Daily/2025/"/>
    </mc:Choice>
  </mc:AlternateContent>
  <xr:revisionPtr revIDLastSave="1992" documentId="8_{8847650D-614C-4264-8C87-30D8B5EB4252}" xr6:coauthVersionLast="47" xr6:coauthVersionMax="47" xr10:uidLastSave="{09A92F66-ECA8-40B8-A716-F9CEE6955C39}"/>
  <bookViews>
    <workbookView xWindow="-120" yWindow="-120" windowWidth="29040" windowHeight="15720" activeTab="1" xr2:uid="{00000000-000D-0000-FFFF-FFFF00000000}"/>
  </bookViews>
  <sheets>
    <sheet name="Total" sheetId="2" r:id="rId1"/>
    <sheet name="Electricity" sheetId="3" r:id="rId2"/>
    <sheet name="Water" sheetId="5" r:id="rId3"/>
    <sheet name="LPG" sheetId="8" r:id="rId4"/>
    <sheet name="Occupied &amp; No. of Guest" sheetId="7" r:id="rId5"/>
  </sheets>
  <definedNames>
    <definedName name="_xlnm._FilterDatabase" localSheetId="3" hidden="1">LPG!$B$3:$E$3</definedName>
    <definedName name="_xlnm.Print_Area" localSheetId="3">LPG!$B$1:$E$12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 a="1"/>
  <c r="I2" i="2" s="1"/>
  <c r="G2" i="2" a="1"/>
  <c r="G2" i="2" s="1"/>
  <c r="E2" i="2" a="1"/>
  <c r="E2" i="2" s="1"/>
  <c r="AF5" i="8"/>
  <c r="AF8" i="8"/>
  <c r="AF7" i="8"/>
  <c r="AH14" i="5" l="1"/>
  <c r="AH12" i="5"/>
  <c r="AH10" i="5"/>
  <c r="AH8" i="5"/>
  <c r="AH6" i="5"/>
  <c r="AH20" i="3"/>
  <c r="AH18" i="3"/>
  <c r="AH16" i="3"/>
  <c r="AH14" i="3"/>
  <c r="AH12" i="3"/>
  <c r="AH10" i="3"/>
  <c r="AH8" i="3"/>
  <c r="AH6" i="3"/>
  <c r="AH21" i="3" l="1"/>
  <c r="AD7" i="8" l="1"/>
  <c r="AD8" i="8" s="1"/>
  <c r="AE7" i="8"/>
  <c r="AD5" i="8"/>
  <c r="AE5" i="8"/>
  <c r="AE8" i="8" l="1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F8" i="3" l="1"/>
  <c r="AG8" i="3"/>
  <c r="AF10" i="3"/>
  <c r="AG10" i="3"/>
  <c r="AF12" i="3"/>
  <c r="AG12" i="3"/>
  <c r="AF14" i="3"/>
  <c r="AG14" i="3"/>
  <c r="AF16" i="3"/>
  <c r="AG16" i="3"/>
  <c r="AF18" i="3"/>
  <c r="AG18" i="3"/>
  <c r="AF20" i="3"/>
  <c r="AG20" i="3"/>
  <c r="AF6" i="3"/>
  <c r="AG6" i="3"/>
  <c r="AC7" i="8" l="1"/>
  <c r="AB7" i="8"/>
  <c r="AA7" i="8"/>
  <c r="Z7" i="8"/>
  <c r="Y7" i="8"/>
  <c r="X7" i="8"/>
  <c r="W7" i="8"/>
  <c r="V7" i="8"/>
  <c r="U7" i="8"/>
  <c r="T7" i="8"/>
  <c r="S7" i="8"/>
  <c r="R7" i="8"/>
  <c r="Q7" i="8"/>
  <c r="P7" i="8"/>
  <c r="P8" i="8" s="1"/>
  <c r="O7" i="8"/>
  <c r="N7" i="8"/>
  <c r="M7" i="8"/>
  <c r="L7" i="8"/>
  <c r="K7" i="8"/>
  <c r="J7" i="8"/>
  <c r="I7" i="8"/>
  <c r="H7" i="8"/>
  <c r="G7" i="8"/>
  <c r="F7" i="8"/>
  <c r="E7" i="8"/>
  <c r="D7" i="8"/>
  <c r="D8" i="8" s="1"/>
  <c r="C7" i="8"/>
  <c r="AC5" i="8"/>
  <c r="AB5" i="8"/>
  <c r="AA5" i="8"/>
  <c r="Z5" i="8"/>
  <c r="Y5" i="8"/>
  <c r="X5" i="8"/>
  <c r="X8" i="8" s="1"/>
  <c r="W5" i="8"/>
  <c r="W8" i="8" s="1"/>
  <c r="V5" i="8"/>
  <c r="U5" i="8"/>
  <c r="U8" i="8" s="1"/>
  <c r="T5" i="8"/>
  <c r="T8" i="8" s="1"/>
  <c r="S5" i="8"/>
  <c r="R5" i="8"/>
  <c r="Q5" i="8"/>
  <c r="P5" i="8"/>
  <c r="O5" i="8"/>
  <c r="N5" i="8"/>
  <c r="M5" i="8"/>
  <c r="L5" i="8"/>
  <c r="L8" i="8" s="1"/>
  <c r="K5" i="8"/>
  <c r="K8" i="8" s="1"/>
  <c r="J5" i="8"/>
  <c r="J8" i="8" s="1"/>
  <c r="I5" i="8"/>
  <c r="H5" i="8"/>
  <c r="H8" i="8" s="1"/>
  <c r="G5" i="8"/>
  <c r="F5" i="8"/>
  <c r="E5" i="8"/>
  <c r="D5" i="8"/>
  <c r="C5" i="8"/>
  <c r="N8" i="8" l="1"/>
  <c r="Z8" i="8"/>
  <c r="O8" i="8"/>
  <c r="AA8" i="8"/>
  <c r="AB8" i="8"/>
  <c r="S8" i="8"/>
  <c r="C10" i="8"/>
  <c r="E8" i="8"/>
  <c r="Q8" i="8"/>
  <c r="AC8" i="8"/>
  <c r="V8" i="8"/>
  <c r="M8" i="8"/>
  <c r="I8" i="8"/>
  <c r="F8" i="8"/>
  <c r="R8" i="8"/>
  <c r="G8" i="8"/>
  <c r="C9" i="8"/>
  <c r="Y8" i="8"/>
  <c r="C8" i="8"/>
  <c r="C11" i="8" l="1"/>
  <c r="Q20" i="3" l="1"/>
  <c r="R20" i="3"/>
  <c r="S20" i="3"/>
  <c r="T20" i="3"/>
  <c r="U20" i="3"/>
  <c r="V20" i="3"/>
  <c r="W20" i="3"/>
  <c r="X20" i="3"/>
  <c r="Y20" i="3"/>
  <c r="Z20" i="3"/>
  <c r="AA20" i="3"/>
  <c r="AB20" i="3"/>
  <c r="AC20" i="3"/>
  <c r="AD20" i="3"/>
  <c r="AE20" i="3"/>
  <c r="Q18" i="3"/>
  <c r="R18" i="3"/>
  <c r="S18" i="3"/>
  <c r="T18" i="3"/>
  <c r="U18" i="3"/>
  <c r="V18" i="3"/>
  <c r="W18" i="3"/>
  <c r="X18" i="3"/>
  <c r="Y18" i="3"/>
  <c r="Z18" i="3"/>
  <c r="AA18" i="3"/>
  <c r="AB18" i="3"/>
  <c r="AC18" i="3"/>
  <c r="AD18" i="3"/>
  <c r="AE18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Q12" i="3"/>
  <c r="R12" i="3"/>
  <c r="S12" i="3"/>
  <c r="T12" i="3"/>
  <c r="U12" i="3"/>
  <c r="V12" i="3"/>
  <c r="W12" i="3"/>
  <c r="X12" i="3"/>
  <c r="Y12" i="3"/>
  <c r="Z12" i="3"/>
  <c r="AA12" i="3"/>
  <c r="AB12" i="3"/>
  <c r="AC12" i="3"/>
  <c r="AD12" i="3"/>
  <c r="AE12" i="3"/>
  <c r="Q10" i="3"/>
  <c r="R10" i="3"/>
  <c r="S10" i="3"/>
  <c r="T10" i="3"/>
  <c r="U10" i="3"/>
  <c r="V10" i="3"/>
  <c r="W10" i="3"/>
  <c r="X10" i="3"/>
  <c r="Y10" i="3"/>
  <c r="Z10" i="3"/>
  <c r="AA10" i="3"/>
  <c r="AB10" i="3"/>
  <c r="AC10" i="3"/>
  <c r="AD10" i="3"/>
  <c r="AE10" i="3"/>
  <c r="Q8" i="3"/>
  <c r="R8" i="3"/>
  <c r="S8" i="3"/>
  <c r="T8" i="3"/>
  <c r="U8" i="3"/>
  <c r="V8" i="3"/>
  <c r="W8" i="3"/>
  <c r="X8" i="3"/>
  <c r="Y8" i="3"/>
  <c r="Z8" i="3"/>
  <c r="AA8" i="3"/>
  <c r="AB8" i="3"/>
  <c r="AC8" i="3"/>
  <c r="AD8" i="3"/>
  <c r="AE8" i="3"/>
  <c r="Q6" i="3"/>
  <c r="R6" i="3"/>
  <c r="S6" i="3"/>
  <c r="T6" i="3"/>
  <c r="U6" i="3"/>
  <c r="V6" i="3"/>
  <c r="W6" i="3"/>
  <c r="X6" i="3"/>
  <c r="Y6" i="3"/>
  <c r="Z6" i="3"/>
  <c r="AA6" i="3"/>
  <c r="AB6" i="3"/>
  <c r="AC6" i="3"/>
  <c r="AD6" i="3"/>
  <c r="AE6" i="3"/>
  <c r="P14" i="5" l="1"/>
  <c r="P12" i="5"/>
  <c r="P10" i="5"/>
  <c r="P8" i="5"/>
  <c r="P6" i="5"/>
  <c r="P20" i="3"/>
  <c r="P18" i="3"/>
  <c r="P16" i="3"/>
  <c r="P14" i="3"/>
  <c r="P12" i="3"/>
  <c r="P10" i="3"/>
  <c r="P8" i="3"/>
  <c r="P6" i="3"/>
  <c r="O14" i="5"/>
  <c r="O12" i="5"/>
  <c r="O10" i="5"/>
  <c r="O8" i="5"/>
  <c r="O6" i="5"/>
  <c r="O20" i="3"/>
  <c r="O18" i="3"/>
  <c r="O16" i="3"/>
  <c r="O14" i="3"/>
  <c r="O12" i="3"/>
  <c r="O10" i="3"/>
  <c r="O8" i="3"/>
  <c r="O6" i="3"/>
  <c r="N14" i="5"/>
  <c r="M14" i="5"/>
  <c r="N12" i="5"/>
  <c r="M12" i="5"/>
  <c r="N10" i="5"/>
  <c r="M10" i="5"/>
  <c r="N8" i="5"/>
  <c r="M8" i="5"/>
  <c r="N6" i="5"/>
  <c r="M6" i="5"/>
  <c r="N20" i="3"/>
  <c r="M20" i="3"/>
  <c r="N18" i="3"/>
  <c r="M18" i="3"/>
  <c r="N16" i="3"/>
  <c r="M16" i="3"/>
  <c r="N14" i="3"/>
  <c r="M14" i="3"/>
  <c r="N12" i="3"/>
  <c r="M12" i="3"/>
  <c r="N10" i="3"/>
  <c r="M10" i="3"/>
  <c r="N8" i="3"/>
  <c r="M8" i="3"/>
  <c r="N6" i="3"/>
  <c r="M6" i="3"/>
  <c r="L14" i="5"/>
  <c r="L12" i="5"/>
  <c r="L10" i="5"/>
  <c r="L8" i="5"/>
  <c r="L6" i="5"/>
  <c r="L20" i="3"/>
  <c r="L18" i="3"/>
  <c r="L16" i="3"/>
  <c r="L14" i="3"/>
  <c r="L12" i="3"/>
  <c r="L10" i="3"/>
  <c r="L8" i="3"/>
  <c r="L6" i="3"/>
  <c r="K14" i="5"/>
  <c r="J14" i="5"/>
  <c r="I14" i="5"/>
  <c r="H14" i="5"/>
  <c r="K12" i="5"/>
  <c r="J12" i="5"/>
  <c r="I12" i="5"/>
  <c r="H12" i="5"/>
  <c r="K10" i="5"/>
  <c r="J10" i="5"/>
  <c r="I10" i="5"/>
  <c r="H10" i="5"/>
  <c r="K8" i="5"/>
  <c r="J8" i="5"/>
  <c r="I8" i="5"/>
  <c r="H8" i="5"/>
  <c r="K6" i="5"/>
  <c r="J6" i="5"/>
  <c r="I6" i="5"/>
  <c r="H6" i="5"/>
  <c r="K20" i="3"/>
  <c r="J20" i="3"/>
  <c r="I20" i="3"/>
  <c r="H20" i="3"/>
  <c r="K18" i="3"/>
  <c r="J18" i="3"/>
  <c r="I18" i="3"/>
  <c r="H18" i="3"/>
  <c r="K16" i="3"/>
  <c r="J16" i="3"/>
  <c r="I16" i="3"/>
  <c r="H16" i="3"/>
  <c r="K14" i="3"/>
  <c r="J14" i="3"/>
  <c r="I14" i="3"/>
  <c r="H14" i="3"/>
  <c r="K12" i="3"/>
  <c r="J12" i="3"/>
  <c r="I12" i="3"/>
  <c r="H12" i="3"/>
  <c r="K10" i="3"/>
  <c r="J10" i="3"/>
  <c r="I10" i="3"/>
  <c r="H10" i="3"/>
  <c r="K8" i="3"/>
  <c r="J8" i="3"/>
  <c r="I8" i="3"/>
  <c r="H8" i="3"/>
  <c r="K6" i="3"/>
  <c r="J6" i="3"/>
  <c r="I6" i="3"/>
  <c r="H6" i="3"/>
  <c r="G20" i="3"/>
  <c r="G18" i="3"/>
  <c r="G16" i="3"/>
  <c r="G14" i="3"/>
  <c r="G12" i="3"/>
  <c r="G10" i="3"/>
  <c r="G8" i="3"/>
  <c r="G6" i="3"/>
  <c r="G14" i="5"/>
  <c r="G12" i="5"/>
  <c r="G10" i="5"/>
  <c r="G8" i="5"/>
  <c r="G6" i="5"/>
  <c r="F14" i="3"/>
  <c r="F8" i="5"/>
  <c r="F6" i="5"/>
  <c r="F20" i="3"/>
  <c r="E20" i="3"/>
  <c r="F18" i="3"/>
  <c r="E18" i="3"/>
  <c r="F16" i="3"/>
  <c r="E16" i="3"/>
  <c r="E14" i="3"/>
  <c r="F12" i="3"/>
  <c r="E12" i="3"/>
  <c r="F10" i="3"/>
  <c r="E10" i="3"/>
  <c r="F8" i="3"/>
  <c r="E8" i="3"/>
  <c r="F6" i="3"/>
  <c r="E6" i="3"/>
  <c r="F14" i="5" l="1"/>
  <c r="E14" i="5"/>
  <c r="F12" i="5"/>
  <c r="E12" i="5"/>
  <c r="AH15" i="5"/>
  <c r="F10" i="5"/>
  <c r="E10" i="5"/>
  <c r="AG15" i="5"/>
  <c r="E8" i="5"/>
  <c r="E6" i="5"/>
  <c r="K3" i="2"/>
  <c r="L3" i="2"/>
  <c r="K4" i="2"/>
  <c r="L4" i="2"/>
  <c r="K5" i="2"/>
  <c r="L5" i="2"/>
  <c r="K6" i="2"/>
  <c r="L6" i="2"/>
  <c r="K7" i="2"/>
  <c r="L7" i="2"/>
  <c r="K8" i="2"/>
  <c r="L8" i="2"/>
  <c r="K9" i="2"/>
  <c r="L9" i="2"/>
  <c r="K11" i="2"/>
  <c r="L11" i="2"/>
  <c r="K12" i="2"/>
  <c r="L12" i="2"/>
  <c r="K13" i="2"/>
  <c r="L13" i="2"/>
  <c r="K14" i="2"/>
  <c r="L14" i="2"/>
  <c r="K15" i="2"/>
  <c r="L15" i="2"/>
  <c r="K16" i="2"/>
  <c r="L16" i="2"/>
  <c r="K17" i="2"/>
  <c r="L17" i="2"/>
  <c r="K18" i="2"/>
  <c r="L18" i="2"/>
  <c r="K19" i="2"/>
  <c r="L19" i="2"/>
  <c r="K20" i="2"/>
  <c r="L20" i="2"/>
  <c r="K21" i="2"/>
  <c r="L21" i="2"/>
  <c r="K22" i="2"/>
  <c r="L22" i="2"/>
  <c r="K23" i="2"/>
  <c r="L23" i="2"/>
  <c r="K24" i="2"/>
  <c r="L24" i="2"/>
  <c r="K25" i="2"/>
  <c r="L25" i="2"/>
  <c r="K26" i="2"/>
  <c r="L26" i="2"/>
  <c r="K27" i="2"/>
  <c r="L27" i="2"/>
  <c r="K28" i="2"/>
  <c r="L28" i="2"/>
  <c r="K29" i="2"/>
  <c r="L29" i="2"/>
  <c r="K30" i="2"/>
  <c r="L30" i="2"/>
  <c r="K31" i="2"/>
  <c r="L31" i="2"/>
  <c r="K32" i="2"/>
  <c r="L32" i="2"/>
  <c r="L2" i="2"/>
  <c r="K2" i="2"/>
  <c r="C34" i="7"/>
  <c r="B34" i="7"/>
  <c r="AF15" i="5" l="1"/>
  <c r="AF21" i="3"/>
  <c r="AG21" i="3"/>
  <c r="AE15" i="5" l="1"/>
  <c r="AD15" i="5"/>
  <c r="AC15" i="5"/>
  <c r="AB15" i="5"/>
  <c r="AA15" i="5"/>
  <c r="Z15" i="5"/>
  <c r="Y15" i="5"/>
  <c r="X15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AE21" i="3"/>
  <c r="AD21" i="3"/>
  <c r="W21" i="3"/>
  <c r="V21" i="3"/>
  <c r="U21" i="3"/>
  <c r="T21" i="3"/>
  <c r="S21" i="3"/>
  <c r="R21" i="3"/>
  <c r="K21" i="3"/>
  <c r="J21" i="3"/>
  <c r="I21" i="3"/>
  <c r="H21" i="3"/>
  <c r="G21" i="3"/>
  <c r="F21" i="3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E16" i="5" l="1"/>
  <c r="X21" i="3"/>
  <c r="Y21" i="3"/>
  <c r="L21" i="3"/>
  <c r="M21" i="3"/>
  <c r="N21" i="3"/>
  <c r="Z21" i="3"/>
  <c r="O21" i="3"/>
  <c r="AA21" i="3"/>
  <c r="P21" i="3"/>
  <c r="AB21" i="3"/>
  <c r="E21" i="3"/>
  <c r="Q21" i="3"/>
  <c r="AC21" i="3"/>
  <c r="E22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C5" authorId="0" shapeId="0" xr:uid="{BF8AF5D1-25BF-4947-BDAD-F7F7A728BCF1}">
      <text>
        <r>
          <rPr>
            <b/>
            <sz val="9"/>
            <color indexed="81"/>
            <rFont val="Tahoma"/>
            <family val="2"/>
          </rPr>
          <t>New Meter for Incomer 1 and 2 Hotel and Arjaan replaced on March 1, 2023. Megawatt change to kilowatt</t>
        </r>
      </text>
    </comment>
    <comment ref="C9" authorId="0" shapeId="0" xr:uid="{5FE99E23-FAC4-4837-88FD-C11E450EC330}">
      <text>
        <r>
          <rPr>
            <b/>
            <sz val="9"/>
            <color indexed="81"/>
            <rFont val="Tahoma"/>
            <family val="2"/>
          </rPr>
          <t>New meter installed on March 1, 2023. Megawatt change to kilowatt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BMS Operator Park Rotana</author>
  </authors>
  <commentList>
    <comment ref="B5" authorId="0" shapeId="0" xr:uid="{A094905B-3145-4E91-B966-D3C7F85E3C96}">
      <text>
        <r>
          <rPr>
            <b/>
            <sz val="9"/>
            <color indexed="81"/>
            <rFont val="Tahoma"/>
            <family val="2"/>
          </rPr>
          <t>New water meter replaced on April 13, 2023</t>
        </r>
      </text>
    </comment>
    <comment ref="B9" authorId="0" shapeId="0" xr:uid="{CE22F3E7-64FB-40B2-8E39-2202A3B38411}">
      <text>
        <r>
          <rPr>
            <b/>
            <sz val="9"/>
            <color indexed="81"/>
            <rFont val="Tahoma"/>
            <family val="2"/>
          </rPr>
          <t>BMS Operator Park Rotana:</t>
        </r>
        <r>
          <rPr>
            <sz val="9"/>
            <color indexed="81"/>
            <rFont val="Tahoma"/>
            <family val="2"/>
          </rPr>
          <t xml:space="preserve">
New meter installed on 26--10-2021
</t>
        </r>
      </text>
    </comment>
    <comment ref="B11" authorId="0" shapeId="0" xr:uid="{BD763E3D-3444-4579-8973-D00AB9A06EE4}">
      <text>
        <r>
          <rPr>
            <b/>
            <sz val="9"/>
            <color indexed="81"/>
            <rFont val="Tahoma"/>
            <family val="2"/>
          </rPr>
          <t>New Meter as of July 8, 2020 by Mohammad Habdeel Hamid from ADDC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3" authorId="0" shapeId="0" xr:uid="{E53EB796-BEFA-44EC-BFBB-E6DBBDAFCA14}">
      <text>
        <r>
          <rPr>
            <b/>
            <sz val="9"/>
            <color indexed="81"/>
            <rFont val="Tahoma"/>
            <family val="2"/>
          </rPr>
          <t>Replaced new water meter by ADDC on April 5, 2021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<sst xmlns="http://schemas.openxmlformats.org/spreadsheetml/2006/main" count="129" uniqueCount="93">
  <si>
    <t>Site Name</t>
  </si>
  <si>
    <t>Day</t>
  </si>
  <si>
    <t>Month</t>
  </si>
  <si>
    <t>Year</t>
  </si>
  <si>
    <t>Total Electricity Kwh</t>
  </si>
  <si>
    <t>Electricity Tariff ($/Kwh)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</si>
  <si>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</si>
  <si>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</si>
  <si>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</si>
  <si>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</si>
  <si>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</si>
  <si>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Park Rotana and Park Arjaan Abu Dhabi</t>
  </si>
  <si>
    <t>S/N</t>
  </si>
  <si>
    <r>
      <t>METER NUMBER &amp;</t>
    </r>
    <r>
      <rPr>
        <b/>
        <sz val="9"/>
        <color rgb="FFFF0000"/>
        <rFont val="Arial Narrow"/>
        <family val="2"/>
      </rPr>
      <t>LOCATION</t>
    </r>
  </si>
  <si>
    <t>AREA SERVED</t>
  </si>
  <si>
    <t>Last Month Final Readings</t>
  </si>
  <si>
    <t>I5T18D002265/ No. 72039516</t>
  </si>
  <si>
    <t>Hotel &amp; Arjaan incomer 1 (Kilowatt)</t>
  </si>
  <si>
    <t>I5T18D002266/ No. 72039517</t>
  </si>
  <si>
    <t>Hotel &amp; Arjaan incomer 2 (Kilowatt)</t>
  </si>
  <si>
    <t>I5T18D002318 / 72039569</t>
  </si>
  <si>
    <t>Chillers (SMDB CH 1) (Kilowatt)</t>
  </si>
  <si>
    <t>I5T18D002317 / 72039568</t>
  </si>
  <si>
    <t>Chillers (SMDB CH 2) (Kilowatt)</t>
  </si>
  <si>
    <t>E5T09D035490</t>
  </si>
  <si>
    <t>Fire Pump 2 S (Kwh)</t>
  </si>
  <si>
    <t>E5TO9D035489</t>
  </si>
  <si>
    <t>Fire Pump 1 S (Kwh)</t>
  </si>
  <si>
    <t>E5T09D034337</t>
  </si>
  <si>
    <t>SMDB Spa S (Kwh)</t>
  </si>
  <si>
    <t>E5T09D034327</t>
  </si>
  <si>
    <t>Hotel Gym S (Kwh)</t>
  </si>
  <si>
    <t>Total Daily Consumption (kw)</t>
  </si>
  <si>
    <t>Total Monthly Consumption (kw)</t>
  </si>
  <si>
    <r>
      <t xml:space="preserve">METER NUMBER     &amp;                      </t>
    </r>
    <r>
      <rPr>
        <b/>
        <sz val="10"/>
        <color rgb="FFFF0000"/>
        <rFont val="Arial Narrow"/>
        <family val="2"/>
      </rPr>
      <t>LOCATION</t>
    </r>
  </si>
  <si>
    <t>LAST MONTH'S FINAL READING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</si>
  <si>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</si>
  <si>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</si>
  <si>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</si>
  <si>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</si>
  <si>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</si>
  <si>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</si>
  <si>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</si>
  <si>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</si>
  <si>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</si>
  <si>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</si>
  <si>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</si>
  <si>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</si>
  <si>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</si>
  <si>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</si>
  <si>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</si>
  <si>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</si>
  <si>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</si>
  <si>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</si>
  <si>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</si>
  <si>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</si>
  <si>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</si>
  <si>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</si>
  <si>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</si>
  <si>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</si>
  <si>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</si>
  <si>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</si>
  <si>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</si>
  <si>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</si>
  <si>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</si>
  <si>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</si>
  <si>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48242051 (Hotel &amp; Arjaan Main Meter)</t>
  </si>
  <si>
    <t>Hotel &amp; Arjaan / Raw Water Tank for Hotel,Arjaan,Kitchen,Laundry,Staff Locker,Hotel Swimming Pool</t>
  </si>
  <si>
    <t>EMK17100DA17081056 (Cooling Tower Meter)</t>
  </si>
  <si>
    <t>Cooling Towers, Irrigation Tank,CHW Make up Line,Residence Pool, Cooling Tower Blow Down</t>
  </si>
  <si>
    <t>2045000686(Sub Meter)</t>
  </si>
  <si>
    <t>Irrigation water Tank</t>
  </si>
  <si>
    <t>Hotel &amp; Arjaan Spa</t>
  </si>
  <si>
    <t>Hotel  &amp; Arjaan Gym</t>
  </si>
  <si>
    <t>Total Daily Consumption (m3)</t>
  </si>
  <si>
    <t>Total Monthly Consumption (m3)</t>
  </si>
  <si>
    <t>Date</t>
  </si>
  <si>
    <t>Occupied</t>
  </si>
  <si>
    <t># Guest</t>
  </si>
  <si>
    <t>TOTAL MTD</t>
  </si>
  <si>
    <t>BOILERS - 1 &amp;2</t>
  </si>
  <si>
    <t>KITCHENS</t>
  </si>
  <si>
    <t>TOTAL Daily Consumption (Liters)</t>
  </si>
  <si>
    <t>TOTAL Boiler  Consumption (Liters) - MTD</t>
  </si>
  <si>
    <t>TOTAL Kitchen Consumption (Liters) - MTD</t>
  </si>
  <si>
    <t>TOTAL Consumption (Liters) - Boiler + Kitchen</t>
  </si>
  <si>
    <t xml:space="preserve">LPG (Liters) </t>
  </si>
  <si>
    <t>From Technical Report</t>
  </si>
  <si>
    <t>From technical Report</t>
  </si>
  <si>
    <t>DAILY ELECTRICITY METER READINGS &amp; CONSUMPTION JUNE 2025</t>
  </si>
  <si>
    <r>
      <t>DAILY WATER METER READINGS &amp; CONSUMPTION (m</t>
    </r>
    <r>
      <rPr>
        <b/>
        <vertAlign val="superscript"/>
        <sz val="20"/>
        <color rgb="FF000000"/>
        <rFont val="Calibri"/>
        <family val="2"/>
      </rPr>
      <t>3</t>
    </r>
    <r>
      <rPr>
        <b/>
        <sz val="20"/>
        <color rgb="FF000000"/>
        <rFont val="Calibri"/>
        <family val="2"/>
      </rPr>
      <t>) JUNE  2025</t>
    </r>
  </si>
  <si>
    <t>DAILY GAS METER READINGS &amp; CONSUMPTION (Liters) JUNE 2025</t>
  </si>
  <si>
    <t>Occupied Room &amp; Number of Guest - June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</si>
</sst>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00"/>
    <numFmt numFmtId="165" formatCode="#,##0.000"/>
    <numFmt numFmtId="166" formatCode="#,##0.0"/>
  </numFmts>
  <fonts count="3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rial Narrow"/>
      <family val="2"/>
    </font>
    <font>
      <b/>
      <sz val="18"/>
      <color theme="1"/>
      <name val="Arial Narrow"/>
      <family val="2"/>
    </font>
    <font>
      <b/>
      <sz val="9"/>
      <color theme="1"/>
      <name val="Arial Narrow"/>
      <family val="2"/>
    </font>
    <font>
      <b/>
      <sz val="9"/>
      <color rgb="FFFF0000"/>
      <name val="Arial Narrow"/>
      <family val="2"/>
    </font>
    <font>
      <b/>
      <sz val="10"/>
      <color theme="1"/>
      <name val="Calibri"/>
      <family val="2"/>
      <scheme val="minor"/>
    </font>
    <font>
      <b/>
      <sz val="10"/>
      <color rgb="FFFF0000"/>
      <name val="Arial Narrow"/>
      <family val="2"/>
    </font>
    <font>
      <b/>
      <sz val="9"/>
      <color indexed="81"/>
      <name val="Tahoma"/>
      <family val="2"/>
    </font>
    <font>
      <b/>
      <sz val="20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1"/>
      <color theme="1"/>
      <name val="Arial Narrow"/>
      <family val="2"/>
    </font>
    <font>
      <sz val="9"/>
      <color theme="1"/>
      <name val="Arial Narrow"/>
      <family val="2"/>
    </font>
    <font>
      <sz val="9"/>
      <name val="Arial Narrow"/>
      <family val="2"/>
    </font>
    <font>
      <b/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0070C0"/>
      <name val="Arial Narrow"/>
      <family val="2"/>
    </font>
    <font>
      <sz val="9"/>
      <color indexed="81"/>
      <name val="Tahoma"/>
      <family val="2"/>
    </font>
    <font>
      <b/>
      <sz val="11"/>
      <name val="Arial Narrow"/>
      <family val="2"/>
    </font>
    <font>
      <sz val="10"/>
      <color rgb="FFFF0000"/>
      <name val="Arial Narrow"/>
      <family val="2"/>
    </font>
    <font>
      <b/>
      <sz val="12"/>
      <color theme="1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b/>
      <sz val="20"/>
      <color rgb="FF000000"/>
      <name val="Calibri"/>
      <family val="2"/>
    </font>
    <font>
      <b/>
      <vertAlign val="superscript"/>
      <sz val="20"/>
      <color rgb="FF000000"/>
      <name val="Calibri"/>
      <family val="2"/>
    </font>
    <font>
      <b/>
      <sz val="18"/>
      <color theme="1"/>
      <name val="Calibri"/>
      <family val="2"/>
      <scheme val="minor"/>
    </font>
    <font>
      <b/>
      <sz val="9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0"/>
      <name val="Aptos Narrow"/>
      <family val="2"/>
    </font>
    <font>
      <b/>
      <sz val="14"/>
      <color rgb="FFFFFFFF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94DCF8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rgb="FF0C769E"/>
        <bgColor rgb="FF000000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8" fillId="0" borderId="0" applyFont="0" applyFill="0" applyBorder="0" applyAlignment="0" applyProtection="0"/>
  </cellStyleXfs>
  <cellXfs count="10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2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" fontId="5" fillId="3" borderId="2" xfId="0" applyNumberFormat="1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 wrapText="1"/>
    </xf>
    <xf numFmtId="164" fontId="7" fillId="7" borderId="10" xfId="0" applyNumberFormat="1" applyFont="1" applyFill="1" applyBorder="1" applyAlignment="1">
      <alignment horizontal="center" vertical="center"/>
    </xf>
    <xf numFmtId="0" fontId="5" fillId="6" borderId="0" xfId="0" applyFont="1" applyFill="1"/>
    <xf numFmtId="0" fontId="5" fillId="5" borderId="1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1" fontId="5" fillId="9" borderId="2" xfId="0" quotePrefix="1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65" fontId="15" fillId="0" borderId="2" xfId="0" applyNumberFormat="1" applyFont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166" fontId="16" fillId="10" borderId="2" xfId="0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5" fillId="5" borderId="15" xfId="0" applyFont="1" applyFill="1" applyBorder="1" applyAlignment="1">
      <alignment horizontal="center" vertical="center" wrapText="1"/>
    </xf>
    <xf numFmtId="0" fontId="10" fillId="5" borderId="18" xfId="0" applyFont="1" applyFill="1" applyBorder="1" applyAlignment="1">
      <alignment horizontal="center" vertical="center" wrapText="1"/>
    </xf>
    <xf numFmtId="0" fontId="19" fillId="6" borderId="0" xfId="0" applyFont="1" applyFill="1"/>
    <xf numFmtId="0" fontId="5" fillId="2" borderId="15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 wrapText="1"/>
    </xf>
    <xf numFmtId="164" fontId="7" fillId="10" borderId="10" xfId="0" applyNumberFormat="1" applyFont="1" applyFill="1" applyBorder="1" applyAlignment="1">
      <alignment horizontal="center" vertical="center"/>
    </xf>
    <xf numFmtId="0" fontId="10" fillId="4" borderId="18" xfId="0" applyFont="1" applyFill="1" applyBorder="1" applyAlignment="1">
      <alignment horizontal="center" vertical="center" wrapText="1"/>
    </xf>
    <xf numFmtId="4" fontId="21" fillId="11" borderId="0" xfId="1" applyNumberFormat="1" applyFont="1" applyFill="1"/>
    <xf numFmtId="4" fontId="21" fillId="11" borderId="0" xfId="1" applyNumberFormat="1" applyFont="1" applyFill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3" fontId="14" fillId="11" borderId="0" xfId="0" applyNumberFormat="1" applyFont="1" applyFill="1" applyAlignment="1">
      <alignment horizontal="center" vertical="center"/>
    </xf>
    <xf numFmtId="3" fontId="21" fillId="11" borderId="0" xfId="1" applyNumberFormat="1" applyFont="1" applyFill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15" fontId="0" fillId="0" borderId="10" xfId="0" applyNumberFormat="1" applyBorder="1" applyAlignment="1">
      <alignment horizontal="center" vertical="center"/>
    </xf>
    <xf numFmtId="3" fontId="0" fillId="0" borderId="10" xfId="0" applyNumberForma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30" fillId="12" borderId="10" xfId="0" applyFont="1" applyFill="1" applyBorder="1" applyAlignment="1">
      <alignment horizontal="center" vertical="center" wrapText="1"/>
    </xf>
    <xf numFmtId="0" fontId="31" fillId="12" borderId="10" xfId="0" applyFont="1" applyFill="1" applyBorder="1" applyAlignment="1">
      <alignment horizontal="center" vertical="center" wrapText="1"/>
    </xf>
    <xf numFmtId="1" fontId="31" fillId="12" borderId="10" xfId="0" applyNumberFormat="1" applyFont="1" applyFill="1" applyBorder="1" applyAlignment="1">
      <alignment horizontal="center" vertical="center" wrapText="1"/>
    </xf>
    <xf numFmtId="3" fontId="31" fillId="12" borderId="10" xfId="0" applyNumberFormat="1" applyFont="1" applyFill="1" applyBorder="1" applyAlignment="1">
      <alignment horizontal="center" vertical="center" wrapText="1"/>
    </xf>
    <xf numFmtId="3" fontId="31" fillId="0" borderId="10" xfId="0" applyNumberFormat="1" applyFont="1" applyBorder="1" applyAlignment="1">
      <alignment horizontal="center" vertical="center"/>
    </xf>
    <xf numFmtId="3" fontId="32" fillId="0" borderId="10" xfId="0" applyNumberFormat="1" applyFont="1" applyBorder="1" applyAlignment="1">
      <alignment horizontal="center" vertical="center"/>
    </xf>
    <xf numFmtId="3" fontId="31" fillId="13" borderId="10" xfId="0" applyNumberFormat="1" applyFont="1" applyFill="1" applyBorder="1" applyAlignment="1">
      <alignment horizontal="center" vertical="center"/>
    </xf>
    <xf numFmtId="3" fontId="9" fillId="0" borderId="10" xfId="0" applyNumberFormat="1" applyFont="1" applyBorder="1" applyAlignment="1" applyProtection="1">
      <alignment horizontal="center" vertical="center"/>
      <protection locked="0"/>
    </xf>
    <xf numFmtId="3" fontId="25" fillId="0" borderId="10" xfId="0" applyNumberFormat="1" applyFont="1" applyBorder="1" applyAlignment="1" applyProtection="1">
      <alignment horizontal="center" vertical="center"/>
      <protection locked="0"/>
    </xf>
    <xf numFmtId="4" fontId="21" fillId="11" borderId="0" xfId="1" applyNumberFormat="1" applyFont="1" applyFill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 wrapText="1"/>
    </xf>
    <xf numFmtId="4" fontId="21" fillId="11" borderId="13" xfId="1" applyNumberFormat="1" applyFont="1" applyFill="1" applyBorder="1" applyAlignment="1">
      <alignment horizontal="center" vertical="center" wrapText="1"/>
    </xf>
    <xf numFmtId="0" fontId="5" fillId="6" borderId="17" xfId="0" applyFont="1" applyFill="1" applyBorder="1" applyAlignment="1">
      <alignment horizontal="center" vertical="center"/>
    </xf>
    <xf numFmtId="0" fontId="7" fillId="6" borderId="19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7" fillId="5" borderId="16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5" fillId="6" borderId="11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4" fontId="14" fillId="11" borderId="0" xfId="0" applyNumberFormat="1" applyFont="1" applyFill="1" applyAlignment="1">
      <alignment horizontal="center" vertical="center"/>
    </xf>
    <xf numFmtId="4" fontId="23" fillId="11" borderId="13" xfId="0" applyNumberFormat="1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  <xf numFmtId="0" fontId="14" fillId="6" borderId="12" xfId="0" quotePrefix="1" applyFont="1" applyFill="1" applyBorder="1" applyAlignment="1">
      <alignment horizontal="center" vertical="center"/>
    </xf>
    <xf numFmtId="0" fontId="14" fillId="6" borderId="8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1" fontId="33" fillId="14" borderId="20" xfId="0" applyNumberFormat="1" applyFont="1" applyFill="1" applyBorder="1" applyAlignment="1">
      <alignment horizontal="center" vertical="center" wrapText="1"/>
    </xf>
    <xf numFmtId="1" fontId="33" fillId="14" borderId="21" xfId="0" applyNumberFormat="1" applyFont="1" applyFill="1" applyBorder="1" applyAlignment="1">
      <alignment horizontal="center" vertical="center" wrapText="1"/>
    </xf>
    <xf numFmtId="3" fontId="33" fillId="14" borderId="20" xfId="0" applyNumberFormat="1" applyFont="1" applyFill="1" applyBorder="1" applyAlignment="1">
      <alignment horizontal="center" vertical="center"/>
    </xf>
    <xf numFmtId="3" fontId="33" fillId="14" borderId="22" xfId="0" applyNumberFormat="1" applyFont="1" applyFill="1" applyBorder="1" applyAlignment="1">
      <alignment horizontal="center" vertical="center"/>
    </xf>
    <xf numFmtId="3" fontId="33" fillId="14" borderId="21" xfId="0" applyNumberFormat="1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 wrapText="1"/>
    </xf>
    <xf numFmtId="1" fontId="31" fillId="12" borderId="20" xfId="0" applyNumberFormat="1" applyFont="1" applyFill="1" applyBorder="1" applyAlignment="1">
      <alignment horizontal="center" vertical="center" wrapText="1"/>
    </xf>
    <xf numFmtId="1" fontId="31" fillId="12" borderId="21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1</xdr:row>
      <xdr:rowOff>57154</xdr:rowOff>
    </xdr:from>
    <xdr:to>
      <xdr:col>2</xdr:col>
      <xdr:colOff>200025</xdr:colOff>
      <xdr:row>2</xdr:row>
      <xdr:rowOff>342900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9DDD8A2D-8435-4EE5-9251-D99B69BA0068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050" y="422914"/>
          <a:ext cx="1758315" cy="65150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oneCellAnchor>
    <xdr:from>
      <xdr:col>30</xdr:col>
      <xdr:colOff>137747</xdr:colOff>
      <xdr:row>1</xdr:row>
      <xdr:rowOff>54284</xdr:rowOff>
    </xdr:from>
    <xdr:ext cx="1838325" cy="590550"/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885EC474-E378-49DB-A752-BBCE02E657EE}"/>
            </a:ext>
            <a:ext uri="{147F2762-F138-4A5C-976F-8EAC2B608ADB}">
              <a16:predDERef xmlns:a16="http://schemas.microsoft.com/office/drawing/2014/main" pred="{9D40EFC6-BAA9-4AC4-9296-204E786A57BF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55847" y="420044"/>
          <a:ext cx="1838325" cy="5905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57151</xdr:rowOff>
    </xdr:from>
    <xdr:to>
      <xdr:col>2</xdr:col>
      <xdr:colOff>0</xdr:colOff>
      <xdr:row>0</xdr:row>
      <xdr:rowOff>844826</xdr:rowOff>
    </xdr:to>
    <xdr:pic>
      <xdr:nvPicPr>
        <xdr:cNvPr id="2" name="Picture 1" descr="Park Hotel">
          <a:extLst>
            <a:ext uri="{FF2B5EF4-FFF2-40B4-BE49-F238E27FC236}">
              <a16:creationId xmlns:a16="http://schemas.microsoft.com/office/drawing/2014/main" id="{B5DDD607-CB1B-47F0-81CD-B4BBCFAE84EF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100" y="57151"/>
          <a:ext cx="1851660" cy="787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30</xdr:col>
      <xdr:colOff>170091</xdr:colOff>
      <xdr:row>0</xdr:row>
      <xdr:rowOff>49918</xdr:rowOff>
    </xdr:from>
    <xdr:to>
      <xdr:col>32</xdr:col>
      <xdr:colOff>614858</xdr:colOff>
      <xdr:row>0</xdr:row>
      <xdr:rowOff>836766</xdr:rowOff>
    </xdr:to>
    <xdr:pic>
      <xdr:nvPicPr>
        <xdr:cNvPr id="3" name="Picture 2" descr="Arjaan Rotana">
          <a:extLst>
            <a:ext uri="{FF2B5EF4-FFF2-40B4-BE49-F238E27FC236}">
              <a16:creationId xmlns:a16="http://schemas.microsoft.com/office/drawing/2014/main" id="{23C56294-5804-42BC-8869-E26CB2FDA511}"/>
            </a:ext>
            <a:ext uri="{147F2762-F138-4A5C-976F-8EAC2B608ADB}">
              <a16:predDERef xmlns:a16="http://schemas.microsoft.com/office/drawing/2014/main" pred="{650EFB77-1C68-4279-946F-FD273D2E21D6}"/>
            </a:ext>
          </a:extLst>
        </xdr:cNvPr>
        <xdr:cNvPicPr/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359531" y="49918"/>
          <a:ext cx="1843534" cy="78684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3"/>
  <sheetViews>
    <sheetView workbookViewId="0">
      <selection activeCell="G31" sqref="G2:G31"/>
    </sheetView>
  </sheetViews>
  <sheetFormatPr defaultColWidth="11.5703125" defaultRowHeight="15" x14ac:dyDescent="0.25"/>
  <cols>
    <col min="1" max="1" width="29.140625" style="2" bestFit="1" customWidth="1"/>
    <col min="2" max="3" width="11.5703125" style="10"/>
    <col min="4" max="4" width="13.42578125" style="10" customWidth="1"/>
    <col min="5" max="5" width="12.5703125" style="3" customWidth="1"/>
    <col min="6" max="6" width="12.5703125" style="11" customWidth="1"/>
    <col min="7" max="7" width="11.5703125" style="3"/>
    <col min="8" max="8" width="11.5703125" style="11"/>
    <col min="9" max="9" width="11.5703125" style="3"/>
    <col min="10" max="10" width="11.5703125" style="12"/>
    <col min="11" max="24" width="11.5703125" style="3"/>
  </cols>
  <sheetData>
    <row r="1" spans="1:12" s="8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4</v>
      </c>
      <c r="F1" s="6" t="s">
        <v>5</v>
      </c>
      <c r="G1" s="5" t="s">
        <v>86</v>
      </c>
      <c r="H1" s="6" t="s">
        <v>6</v>
      </c>
      <c r="I1" s="5" t="s">
        <v>7</v>
      </c>
      <c r="J1" s="7" t="s">
        <v>8</v>
      </c>
      <c r="K1" s="5" t="s">
        <v>9</v>
      </c>
      <c r="L1" s="5" t="s">
        <v>10</v>
      </c>
    </row>
    <row r="2" spans="1:12" x14ac:dyDescent="0.25">
      <c r="A2" s="9" t="s">
        <v>11</v>
      </c>
      <c r="B2" s="10">
        <v>1</v>
      </c>
      <c r="C2" s="10">
        <v>6</v>
      </c>
      <c r="D2" s="10">
        <v>2025</v>
      </c>
      <c r="E2" s="4" cm="1">
        <f t="array" ref="E2:E31">TRANSPOSE(Electricity!E21:AH21)</f>
        <v>38984.400000000001</v>
      </c>
      <c r="F2" s="11">
        <v>0.2</v>
      </c>
      <c r="G2" s="4" cm="1">
        <f t="array" ref="G2:G31">TRANSPOSE(LPG!C8:AF8)</f>
        <v>2449.5359999999405</v>
      </c>
      <c r="H2" s="11">
        <v>1.5640000000000001</v>
      </c>
      <c r="I2" s="4" cm="1">
        <f t="array" ref="I2:I31">TRANSPOSE(Water!E15:AH15)</f>
        <v>290.99899999999525</v>
      </c>
      <c r="J2" s="11">
        <v>7.84</v>
      </c>
      <c r="K2" s="4">
        <f>'Occupied &amp; No. of Guest'!B3</f>
        <v>385</v>
      </c>
      <c r="L2" s="4">
        <f>'Occupied &amp; No. of Guest'!C3</f>
        <v>505</v>
      </c>
    </row>
    <row r="3" spans="1:12" x14ac:dyDescent="0.25">
      <c r="A3" s="9" t="s">
        <v>11</v>
      </c>
      <c r="B3" s="10">
        <f>B2+1</f>
        <v>2</v>
      </c>
      <c r="C3" s="10">
        <v>6</v>
      </c>
      <c r="D3" s="10">
        <v>2025</v>
      </c>
      <c r="E3" s="4">
        <v>41158.400000000001</v>
      </c>
      <c r="F3" s="11">
        <v>0.2</v>
      </c>
      <c r="G3" s="4">
        <v>2302.4640000000595</v>
      </c>
      <c r="H3" s="11">
        <v>1.5640000000000001</v>
      </c>
      <c r="I3" s="4">
        <v>311.66700000000537</v>
      </c>
      <c r="J3" s="11">
        <v>7.84</v>
      </c>
      <c r="K3" s="4">
        <f>'Occupied &amp; No. of Guest'!B4</f>
        <v>386</v>
      </c>
      <c r="L3" s="4">
        <f>'Occupied &amp; No. of Guest'!C4</f>
        <v>499</v>
      </c>
    </row>
    <row r="4" spans="1:12" x14ac:dyDescent="0.25">
      <c r="A4" s="9" t="s">
        <v>11</v>
      </c>
      <c r="B4" s="10">
        <f t="shared" ref="B4:B32" si="0">B3+1</f>
        <v>3</v>
      </c>
      <c r="C4" s="10">
        <v>6</v>
      </c>
      <c r="D4" s="10">
        <v>2025</v>
      </c>
      <c r="E4" s="4">
        <v>41755.199999999997</v>
      </c>
      <c r="F4" s="11">
        <v>0.2</v>
      </c>
      <c r="G4" s="4">
        <v>2336.8959999999033</v>
      </c>
      <c r="H4" s="11">
        <v>1.5640000000000001</v>
      </c>
      <c r="I4" s="4">
        <v>297.10999999997887</v>
      </c>
      <c r="J4" s="11">
        <v>7.84</v>
      </c>
      <c r="K4" s="4">
        <f>'Occupied &amp; No. of Guest'!B5</f>
        <v>379</v>
      </c>
      <c r="L4" s="4">
        <f>'Occupied &amp; No. of Guest'!C5</f>
        <v>501</v>
      </c>
    </row>
    <row r="5" spans="1:12" x14ac:dyDescent="0.25">
      <c r="A5" s="9" t="s">
        <v>11</v>
      </c>
      <c r="B5" s="10">
        <f t="shared" si="0"/>
        <v>4</v>
      </c>
      <c r="C5" s="10">
        <v>6</v>
      </c>
      <c r="D5" s="10">
        <v>2025</v>
      </c>
      <c r="E5" s="4">
        <v>40577</v>
      </c>
      <c r="F5" s="11">
        <v>0.2</v>
      </c>
      <c r="G5" s="4">
        <v>2236.543999999948</v>
      </c>
      <c r="H5" s="11">
        <v>1.5640000000000001</v>
      </c>
      <c r="I5" s="4">
        <v>309.73299999999972</v>
      </c>
      <c r="J5" s="11">
        <v>7.84</v>
      </c>
      <c r="K5" s="4">
        <f>'Occupied &amp; No. of Guest'!B6</f>
        <v>382</v>
      </c>
      <c r="L5" s="4">
        <f>'Occupied &amp; No. of Guest'!C6</f>
        <v>553</v>
      </c>
    </row>
    <row r="6" spans="1:12" x14ac:dyDescent="0.25">
      <c r="A6" s="9" t="s">
        <v>11</v>
      </c>
      <c r="B6" s="10">
        <f t="shared" si="0"/>
        <v>5</v>
      </c>
      <c r="C6" s="10">
        <v>6</v>
      </c>
      <c r="D6" s="10">
        <v>2025</v>
      </c>
      <c r="E6" s="4">
        <v>37073.800000000003</v>
      </c>
      <c r="F6" s="11">
        <v>0.2</v>
      </c>
      <c r="G6" s="4">
        <v>2214.4320000000303</v>
      </c>
      <c r="H6" s="11">
        <v>1.5640000000000001</v>
      </c>
      <c r="I6" s="4">
        <v>256.71000000000549</v>
      </c>
      <c r="J6" s="11">
        <v>7.84</v>
      </c>
      <c r="K6" s="4">
        <f>'Occupied &amp; No. of Guest'!B7</f>
        <v>401</v>
      </c>
      <c r="L6" s="4">
        <f>'Occupied &amp; No. of Guest'!C7</f>
        <v>674</v>
      </c>
    </row>
    <row r="7" spans="1:12" x14ac:dyDescent="0.25">
      <c r="A7" s="9" t="s">
        <v>11</v>
      </c>
      <c r="B7" s="10">
        <f t="shared" si="0"/>
        <v>6</v>
      </c>
      <c r="C7" s="10">
        <v>6</v>
      </c>
      <c r="D7" s="10">
        <v>2025</v>
      </c>
      <c r="E7" s="4">
        <v>36621.4</v>
      </c>
      <c r="F7" s="11">
        <v>0.2</v>
      </c>
      <c r="G7" s="4">
        <v>2002.9759999999778</v>
      </c>
      <c r="H7" s="11">
        <v>1.5640000000000001</v>
      </c>
      <c r="I7" s="4">
        <v>274.37000000001569</v>
      </c>
      <c r="J7" s="11">
        <v>7.84</v>
      </c>
      <c r="K7" s="4">
        <f>'Occupied &amp; No. of Guest'!B8</f>
        <v>422</v>
      </c>
      <c r="L7" s="4">
        <f>'Occupied &amp; No. of Guest'!C8</f>
        <v>749</v>
      </c>
    </row>
    <row r="8" spans="1:12" x14ac:dyDescent="0.25">
      <c r="A8" s="9" t="s">
        <v>11</v>
      </c>
      <c r="B8" s="10">
        <f t="shared" si="0"/>
        <v>7</v>
      </c>
      <c r="C8" s="10">
        <v>6</v>
      </c>
      <c r="D8" s="10">
        <v>2025</v>
      </c>
      <c r="E8" s="4">
        <v>37580.6</v>
      </c>
      <c r="F8" s="11">
        <v>0.2</v>
      </c>
      <c r="G8" s="4">
        <v>2557.0560000002383</v>
      </c>
      <c r="H8" s="11">
        <v>1.5640000000000001</v>
      </c>
      <c r="I8" s="4">
        <v>356.19899999998427</v>
      </c>
      <c r="J8" s="11">
        <v>7.84</v>
      </c>
      <c r="K8" s="4">
        <f>'Occupied &amp; No. of Guest'!B9</f>
        <v>435</v>
      </c>
      <c r="L8" s="4">
        <f>'Occupied &amp; No. of Guest'!C9</f>
        <v>740</v>
      </c>
    </row>
    <row r="9" spans="1:12" x14ac:dyDescent="0.25">
      <c r="A9" s="9" t="s">
        <v>11</v>
      </c>
      <c r="B9" s="10">
        <f t="shared" si="0"/>
        <v>8</v>
      </c>
      <c r="C9" s="10">
        <v>6</v>
      </c>
      <c r="D9" s="10">
        <v>2025</v>
      </c>
      <c r="E9" s="4">
        <v>39957.199999999997</v>
      </c>
      <c r="F9" s="11">
        <v>0.2</v>
      </c>
      <c r="G9" s="4">
        <v>2535.7759999997916</v>
      </c>
      <c r="H9" s="11">
        <v>1.5640000000000001</v>
      </c>
      <c r="I9" s="4">
        <v>247.15800000001536</v>
      </c>
      <c r="J9" s="11">
        <v>7.84</v>
      </c>
      <c r="K9" s="4">
        <f>'Occupied &amp; No. of Guest'!B10</f>
        <v>394</v>
      </c>
      <c r="L9" s="4">
        <f>'Occupied &amp; No. of Guest'!C10</f>
        <v>603</v>
      </c>
    </row>
    <row r="10" spans="1:12" x14ac:dyDescent="0.25">
      <c r="A10" s="9" t="s">
        <v>11</v>
      </c>
      <c r="B10" s="10">
        <f t="shared" si="0"/>
        <v>9</v>
      </c>
      <c r="C10" s="10">
        <v>6</v>
      </c>
      <c r="D10" s="10">
        <v>2025</v>
      </c>
      <c r="E10" s="4">
        <v>38590.800000000003</v>
      </c>
      <c r="F10" s="11">
        <v>0.2</v>
      </c>
      <c r="G10" s="4">
        <v>2751.8720000002536</v>
      </c>
      <c r="H10" s="11">
        <v>1.5640000000000001</v>
      </c>
      <c r="I10" s="4">
        <v>394.65199999999476</v>
      </c>
      <c r="J10" s="11">
        <v>7.84</v>
      </c>
      <c r="K10" s="4">
        <v>482</v>
      </c>
      <c r="L10" s="4">
        <v>580</v>
      </c>
    </row>
    <row r="11" spans="1:12" x14ac:dyDescent="0.25">
      <c r="A11" s="9" t="s">
        <v>11</v>
      </c>
      <c r="B11" s="10">
        <f t="shared" si="0"/>
        <v>10</v>
      </c>
      <c r="C11" s="10">
        <v>6</v>
      </c>
      <c r="D11" s="10">
        <v>2025</v>
      </c>
      <c r="E11" s="4">
        <v>40786</v>
      </c>
      <c r="F11" s="11">
        <v>0.2</v>
      </c>
      <c r="G11" s="4">
        <v>2217.2799999998883</v>
      </c>
      <c r="H11" s="11">
        <v>1.5640000000000001</v>
      </c>
      <c r="I11" s="4">
        <v>312.08299999998462</v>
      </c>
      <c r="J11" s="11">
        <v>7.84</v>
      </c>
      <c r="K11" s="4">
        <f>'Occupied &amp; No. of Guest'!B12</f>
        <v>432</v>
      </c>
      <c r="L11" s="4">
        <f>'Occupied &amp; No. of Guest'!C12</f>
        <v>585</v>
      </c>
    </row>
    <row r="12" spans="1:12" x14ac:dyDescent="0.25">
      <c r="A12" s="9" t="s">
        <v>11</v>
      </c>
      <c r="B12" s="10">
        <f t="shared" si="0"/>
        <v>11</v>
      </c>
      <c r="C12" s="10">
        <v>6</v>
      </c>
      <c r="D12" s="10">
        <v>2025</v>
      </c>
      <c r="E12" s="4">
        <v>40411.199999999997</v>
      </c>
      <c r="F12" s="11">
        <v>0.2</v>
      </c>
      <c r="G12" s="4">
        <v>2388.8319999998434</v>
      </c>
      <c r="H12" s="11">
        <v>1.5640000000000001</v>
      </c>
      <c r="I12" s="4">
        <v>308.38200000001035</v>
      </c>
      <c r="J12" s="11">
        <v>7.84</v>
      </c>
      <c r="K12" s="4">
        <f>'Occupied &amp; No. of Guest'!B13</f>
        <v>424</v>
      </c>
      <c r="L12" s="4">
        <f>'Occupied &amp; No. of Guest'!C13</f>
        <v>559</v>
      </c>
    </row>
    <row r="13" spans="1:12" x14ac:dyDescent="0.25">
      <c r="A13" s="9" t="s">
        <v>11</v>
      </c>
      <c r="B13" s="10">
        <f t="shared" si="0"/>
        <v>12</v>
      </c>
      <c r="C13" s="10">
        <v>6</v>
      </c>
      <c r="D13" s="10">
        <v>2025</v>
      </c>
      <c r="E13" s="4">
        <v>41354.199999999997</v>
      </c>
      <c r="F13" s="11">
        <v>0.2</v>
      </c>
      <c r="G13" s="4">
        <v>2641.8240000002088</v>
      </c>
      <c r="H13" s="11">
        <v>1.5640000000000001</v>
      </c>
      <c r="I13" s="4">
        <v>346.71300000000002</v>
      </c>
      <c r="J13" s="11">
        <v>7.84</v>
      </c>
      <c r="K13" s="4">
        <f>'Occupied &amp; No. of Guest'!B14</f>
        <v>408</v>
      </c>
      <c r="L13" s="4">
        <f>'Occupied &amp; No. of Guest'!C14</f>
        <v>515</v>
      </c>
    </row>
    <row r="14" spans="1:12" x14ac:dyDescent="0.25">
      <c r="A14" s="9" t="s">
        <v>11</v>
      </c>
      <c r="B14" s="10">
        <f t="shared" si="0"/>
        <v>13</v>
      </c>
      <c r="C14" s="10">
        <v>6</v>
      </c>
      <c r="D14" s="10">
        <v>2025</v>
      </c>
      <c r="E14" s="4">
        <v>42815.199999999997</v>
      </c>
      <c r="F14" s="11">
        <v>0.2</v>
      </c>
      <c r="G14" s="4">
        <v>2157.7279999999332</v>
      </c>
      <c r="H14" s="11">
        <v>1.5640000000000001</v>
      </c>
      <c r="I14" s="4">
        <v>303.62200000001286</v>
      </c>
      <c r="J14" s="11">
        <v>7.84</v>
      </c>
      <c r="K14" s="4">
        <f>'Occupied &amp; No. of Guest'!B15</f>
        <v>411</v>
      </c>
      <c r="L14" s="4">
        <f>'Occupied &amp; No. of Guest'!C15</f>
        <v>527</v>
      </c>
    </row>
    <row r="15" spans="1:12" x14ac:dyDescent="0.25">
      <c r="A15" s="9" t="s">
        <v>11</v>
      </c>
      <c r="B15" s="10">
        <f t="shared" si="0"/>
        <v>14</v>
      </c>
      <c r="C15" s="10">
        <v>6</v>
      </c>
      <c r="D15" s="10">
        <v>2025</v>
      </c>
      <c r="E15" s="4">
        <v>39836.600000000006</v>
      </c>
      <c r="F15" s="11">
        <v>0.2</v>
      </c>
      <c r="G15" s="4">
        <v>2321.3759999999775</v>
      </c>
      <c r="H15" s="11">
        <v>1.5640000000000001</v>
      </c>
      <c r="I15" s="4">
        <v>238.42199999997646</v>
      </c>
      <c r="J15" s="11">
        <v>7.84</v>
      </c>
      <c r="K15" s="4">
        <f>'Occupied &amp; No. of Guest'!B16</f>
        <v>460</v>
      </c>
      <c r="L15" s="4">
        <f>'Occupied &amp; No. of Guest'!C16</f>
        <v>626</v>
      </c>
    </row>
    <row r="16" spans="1:12" x14ac:dyDescent="0.25">
      <c r="A16" s="9" t="s">
        <v>11</v>
      </c>
      <c r="B16" s="10">
        <f t="shared" si="0"/>
        <v>15</v>
      </c>
      <c r="C16" s="10">
        <v>6</v>
      </c>
      <c r="D16" s="10">
        <v>2025</v>
      </c>
      <c r="E16" s="4">
        <v>39050.199999999997</v>
      </c>
      <c r="F16" s="11">
        <v>0.2</v>
      </c>
      <c r="G16" s="4">
        <v>2585.5360000001269</v>
      </c>
      <c r="H16" s="11">
        <v>1.5640000000000001</v>
      </c>
      <c r="I16" s="4">
        <v>328.22600000001057</v>
      </c>
      <c r="J16" s="11">
        <v>7.84</v>
      </c>
      <c r="K16" s="4">
        <f>'Occupied &amp; No. of Guest'!B17</f>
        <v>466</v>
      </c>
      <c r="L16" s="4">
        <f>'Occupied &amp; No. of Guest'!C17</f>
        <v>586</v>
      </c>
    </row>
    <row r="17" spans="1:12" x14ac:dyDescent="0.25">
      <c r="A17" s="9" t="s">
        <v>11</v>
      </c>
      <c r="B17" s="10">
        <f t="shared" si="0"/>
        <v>16</v>
      </c>
      <c r="C17" s="10">
        <v>6</v>
      </c>
      <c r="D17" s="10">
        <v>2025</v>
      </c>
      <c r="E17" s="4">
        <v>44360.600000000006</v>
      </c>
      <c r="F17" s="11">
        <v>0.2</v>
      </c>
      <c r="G17" s="4">
        <v>2383.2639999998737</v>
      </c>
      <c r="H17" s="11">
        <v>1.5640000000000001</v>
      </c>
      <c r="I17" s="4">
        <v>360.84799999999467</v>
      </c>
      <c r="J17" s="11">
        <v>7.84</v>
      </c>
      <c r="K17" s="4">
        <f>'Occupied &amp; No. of Guest'!B18</f>
        <v>459</v>
      </c>
      <c r="L17" s="4">
        <f>'Occupied &amp; No. of Guest'!C18</f>
        <v>576</v>
      </c>
    </row>
    <row r="18" spans="1:12" x14ac:dyDescent="0.25">
      <c r="A18" s="9" t="s">
        <v>11</v>
      </c>
      <c r="B18" s="10">
        <f t="shared" si="0"/>
        <v>17</v>
      </c>
      <c r="C18" s="10">
        <v>6</v>
      </c>
      <c r="D18" s="10">
        <v>2025</v>
      </c>
      <c r="E18" s="4">
        <v>46256</v>
      </c>
      <c r="F18" s="11">
        <v>0.2</v>
      </c>
      <c r="G18" s="4">
        <v>3004.2240000000224</v>
      </c>
      <c r="H18" s="11">
        <v>1.5640000000000001</v>
      </c>
      <c r="I18" s="4">
        <v>338.87270000000547</v>
      </c>
      <c r="J18" s="11">
        <v>7.84</v>
      </c>
      <c r="K18" s="4">
        <f>'Occupied &amp; No. of Guest'!B19</f>
        <v>469</v>
      </c>
      <c r="L18" s="4">
        <f>'Occupied &amp; No. of Guest'!C19</f>
        <v>584</v>
      </c>
    </row>
    <row r="19" spans="1:12" x14ac:dyDescent="0.25">
      <c r="A19" s="9" t="s">
        <v>11</v>
      </c>
      <c r="B19" s="10">
        <f t="shared" si="0"/>
        <v>18</v>
      </c>
      <c r="C19" s="10">
        <v>6</v>
      </c>
      <c r="D19" s="10">
        <v>2025</v>
      </c>
      <c r="E19" s="4">
        <v>44245.600000000006</v>
      </c>
      <c r="F19" s="11">
        <v>0.2</v>
      </c>
      <c r="G19" s="4">
        <v>3013.7599999999629</v>
      </c>
      <c r="H19" s="11">
        <v>1.5640000000000001</v>
      </c>
      <c r="I19" s="4">
        <v>353.30729999999983</v>
      </c>
      <c r="J19" s="11">
        <v>7.84</v>
      </c>
      <c r="K19" s="4">
        <f>'Occupied &amp; No. of Guest'!B20</f>
        <v>442</v>
      </c>
      <c r="L19" s="4">
        <f>'Occupied &amp; No. of Guest'!C20</f>
        <v>538</v>
      </c>
    </row>
    <row r="20" spans="1:12" x14ac:dyDescent="0.25">
      <c r="A20" s="9" t="s">
        <v>11</v>
      </c>
      <c r="B20" s="10">
        <f t="shared" si="0"/>
        <v>19</v>
      </c>
      <c r="C20" s="10">
        <v>6</v>
      </c>
      <c r="D20" s="10">
        <v>2025</v>
      </c>
      <c r="E20" s="4">
        <v>43803.4</v>
      </c>
      <c r="F20" s="11">
        <v>0.2</v>
      </c>
      <c r="G20" s="4">
        <v>1290.1759999999776</v>
      </c>
      <c r="H20" s="11">
        <v>1.5640000000000001</v>
      </c>
      <c r="I20" s="4">
        <v>332.92199999999514</v>
      </c>
      <c r="J20" s="11">
        <v>7.84</v>
      </c>
      <c r="K20" s="4">
        <f>'Occupied &amp; No. of Guest'!B21</f>
        <v>453</v>
      </c>
      <c r="L20" s="4">
        <f>'Occupied &amp; No. of Guest'!C21</f>
        <v>564</v>
      </c>
    </row>
    <row r="21" spans="1:12" x14ac:dyDescent="0.25">
      <c r="A21" s="9" t="s">
        <v>11</v>
      </c>
      <c r="B21" s="10">
        <f t="shared" si="0"/>
        <v>20</v>
      </c>
      <c r="C21" s="10">
        <v>6</v>
      </c>
      <c r="D21" s="10">
        <v>2025</v>
      </c>
      <c r="E21" s="4">
        <v>44935.600000000006</v>
      </c>
      <c r="F21" s="11">
        <v>0.2</v>
      </c>
      <c r="G21" s="4">
        <v>2704.9599999999632</v>
      </c>
      <c r="H21" s="11">
        <v>1.5640000000000001</v>
      </c>
      <c r="I21" s="4">
        <v>329.21800000000519</v>
      </c>
      <c r="J21" s="11">
        <v>7.84</v>
      </c>
      <c r="K21" s="4">
        <f>'Occupied &amp; No. of Guest'!B22</f>
        <v>377</v>
      </c>
      <c r="L21" s="4">
        <f>'Occupied &amp; No. of Guest'!C22</f>
        <v>488</v>
      </c>
    </row>
    <row r="22" spans="1:12" x14ac:dyDescent="0.25">
      <c r="A22" s="9" t="s">
        <v>11</v>
      </c>
      <c r="B22" s="10">
        <f t="shared" si="0"/>
        <v>21</v>
      </c>
      <c r="C22" s="10">
        <v>6</v>
      </c>
      <c r="D22" s="10">
        <v>2025</v>
      </c>
      <c r="E22" s="4">
        <v>44220.800000000003</v>
      </c>
      <c r="F22" s="11">
        <v>0.2</v>
      </c>
      <c r="G22" s="4">
        <v>2192.9600000001492</v>
      </c>
      <c r="H22" s="11">
        <v>1.5640000000000001</v>
      </c>
      <c r="I22" s="4">
        <v>274.02900000000011</v>
      </c>
      <c r="J22" s="11">
        <v>7.84</v>
      </c>
      <c r="K22" s="4">
        <f>'Occupied &amp; No. of Guest'!B23</f>
        <v>344</v>
      </c>
      <c r="L22" s="4">
        <f>'Occupied &amp; No. of Guest'!C23</f>
        <v>454</v>
      </c>
    </row>
    <row r="23" spans="1:12" x14ac:dyDescent="0.25">
      <c r="A23" s="9" t="s">
        <v>11</v>
      </c>
      <c r="B23" s="10">
        <f t="shared" si="0"/>
        <v>22</v>
      </c>
      <c r="C23" s="10">
        <v>6</v>
      </c>
      <c r="D23" s="10">
        <v>2025</v>
      </c>
      <c r="E23" s="4">
        <v>43524.4</v>
      </c>
      <c r="F23" s="11">
        <v>0.2</v>
      </c>
      <c r="G23" s="4">
        <v>2652.383999999799</v>
      </c>
      <c r="H23" s="11">
        <v>1.5640000000000001</v>
      </c>
      <c r="I23" s="4">
        <v>324.83999999999469</v>
      </c>
      <c r="J23" s="11">
        <v>7.84</v>
      </c>
      <c r="K23" s="4">
        <f>'Occupied &amp; No. of Guest'!B24</f>
        <v>364</v>
      </c>
      <c r="L23" s="4">
        <f>'Occupied &amp; No. of Guest'!C24</f>
        <v>458</v>
      </c>
    </row>
    <row r="24" spans="1:12" x14ac:dyDescent="0.25">
      <c r="A24" s="9" t="s">
        <v>11</v>
      </c>
      <c r="B24" s="10">
        <f t="shared" si="0"/>
        <v>23</v>
      </c>
      <c r="C24" s="10">
        <v>6</v>
      </c>
      <c r="D24" s="10">
        <v>2025</v>
      </c>
      <c r="E24" s="4">
        <v>44599</v>
      </c>
      <c r="F24" s="11">
        <v>0.2</v>
      </c>
      <c r="G24" s="4">
        <v>2649.6000000000004</v>
      </c>
      <c r="H24" s="11">
        <v>1.5640000000000001</v>
      </c>
      <c r="I24" s="4">
        <v>323.68900000001031</v>
      </c>
      <c r="J24" s="11">
        <v>7.84</v>
      </c>
      <c r="K24" s="4">
        <f>'Occupied &amp; No. of Guest'!B25</f>
        <v>403</v>
      </c>
      <c r="L24" s="4">
        <f>'Occupied &amp; No. of Guest'!C25</f>
        <v>524</v>
      </c>
    </row>
    <row r="25" spans="1:12" x14ac:dyDescent="0.25">
      <c r="A25" s="9" t="s">
        <v>11</v>
      </c>
      <c r="B25" s="10">
        <f t="shared" si="0"/>
        <v>24</v>
      </c>
      <c r="C25" s="10">
        <v>6</v>
      </c>
      <c r="D25" s="10">
        <v>2025</v>
      </c>
      <c r="E25" s="4">
        <v>43831.4</v>
      </c>
      <c r="F25" s="11">
        <v>0.2</v>
      </c>
      <c r="G25" s="4">
        <v>2259.776000000164</v>
      </c>
      <c r="H25" s="11">
        <v>1.5640000000000001</v>
      </c>
      <c r="I25" s="4">
        <v>360.07899999999483</v>
      </c>
      <c r="J25" s="11">
        <v>7.84</v>
      </c>
      <c r="K25" s="4">
        <f>'Occupied &amp; No. of Guest'!B26</f>
        <v>441</v>
      </c>
      <c r="L25" s="4">
        <f>'Occupied &amp; No. of Guest'!C26</f>
        <v>622</v>
      </c>
    </row>
    <row r="26" spans="1:12" x14ac:dyDescent="0.25">
      <c r="A26" s="9" t="s">
        <v>11</v>
      </c>
      <c r="B26" s="10">
        <f>B25+1</f>
        <v>25</v>
      </c>
      <c r="C26" s="10">
        <v>6</v>
      </c>
      <c r="D26" s="10">
        <v>2025</v>
      </c>
      <c r="E26" s="4">
        <v>44099.4</v>
      </c>
      <c r="F26" s="11">
        <v>0.2</v>
      </c>
      <c r="G26" s="4">
        <v>2395.7119999999181</v>
      </c>
      <c r="H26" s="11">
        <v>1.5640000000000001</v>
      </c>
      <c r="I26" s="4">
        <v>323.5010000000002</v>
      </c>
      <c r="J26" s="11">
        <v>7.84</v>
      </c>
      <c r="K26" s="4">
        <f>'Occupied &amp; No. of Guest'!B27</f>
        <v>358</v>
      </c>
      <c r="L26" s="4">
        <f>'Occupied &amp; No. of Guest'!C27</f>
        <v>470</v>
      </c>
    </row>
    <row r="27" spans="1:12" x14ac:dyDescent="0.25">
      <c r="A27" s="9" t="s">
        <v>11</v>
      </c>
      <c r="B27" s="10">
        <f t="shared" si="0"/>
        <v>26</v>
      </c>
      <c r="C27" s="10">
        <v>6</v>
      </c>
      <c r="D27" s="10">
        <v>2025</v>
      </c>
      <c r="E27" s="4">
        <v>44090.600000000006</v>
      </c>
      <c r="F27" s="11">
        <v>0.2</v>
      </c>
      <c r="G27" s="4">
        <v>2490.2944000000134</v>
      </c>
      <c r="H27" s="11">
        <v>1.5640000000000001</v>
      </c>
      <c r="I27" s="4">
        <v>353.57600000000468</v>
      </c>
      <c r="J27" s="11">
        <v>7.84</v>
      </c>
      <c r="K27" s="4">
        <f>'Occupied &amp; No. of Guest'!B28</f>
        <v>332</v>
      </c>
      <c r="L27" s="4">
        <f>'Occupied &amp; No. of Guest'!C28</f>
        <v>485</v>
      </c>
    </row>
    <row r="28" spans="1:12" x14ac:dyDescent="0.25">
      <c r="A28" s="9" t="s">
        <v>11</v>
      </c>
      <c r="B28" s="10">
        <f t="shared" si="0"/>
        <v>27</v>
      </c>
      <c r="C28" s="10">
        <v>6</v>
      </c>
      <c r="D28" s="10">
        <v>2025</v>
      </c>
      <c r="E28" s="4">
        <v>46600.4</v>
      </c>
      <c r="F28" s="11">
        <v>0.2</v>
      </c>
      <c r="G28" s="4">
        <v>2436.233600000106</v>
      </c>
      <c r="H28" s="11">
        <v>1.5640000000000001</v>
      </c>
      <c r="I28" s="4">
        <v>372.79299999998454</v>
      </c>
      <c r="J28" s="11">
        <v>7.84</v>
      </c>
      <c r="K28" s="4">
        <f>'Occupied &amp; No. of Guest'!B29</f>
        <v>371</v>
      </c>
      <c r="L28" s="4">
        <f>'Occupied &amp; No. of Guest'!C29</f>
        <v>595</v>
      </c>
    </row>
    <row r="29" spans="1:12" x14ac:dyDescent="0.25">
      <c r="A29" s="9" t="s">
        <v>11</v>
      </c>
      <c r="B29" s="10">
        <f t="shared" si="0"/>
        <v>28</v>
      </c>
      <c r="C29" s="10">
        <v>6</v>
      </c>
      <c r="D29" s="10">
        <v>2025</v>
      </c>
      <c r="E29" s="4">
        <v>46936.600000000006</v>
      </c>
      <c r="F29" s="11">
        <v>0.2</v>
      </c>
      <c r="G29" s="4">
        <v>2402.2623999997973</v>
      </c>
      <c r="H29" s="11">
        <v>1.5640000000000001</v>
      </c>
      <c r="I29" s="4">
        <v>270.20800000001054</v>
      </c>
      <c r="J29" s="11">
        <v>7.84</v>
      </c>
      <c r="K29" s="4">
        <f>'Occupied &amp; No. of Guest'!B30</f>
        <v>351</v>
      </c>
      <c r="L29" s="4">
        <f>'Occupied &amp; No. of Guest'!C30</f>
        <v>551</v>
      </c>
    </row>
    <row r="30" spans="1:12" x14ac:dyDescent="0.25">
      <c r="A30" s="9" t="s">
        <v>11</v>
      </c>
      <c r="B30" s="10">
        <f t="shared" si="0"/>
        <v>29</v>
      </c>
      <c r="C30" s="10">
        <v>6</v>
      </c>
      <c r="D30" s="10">
        <v>2025</v>
      </c>
      <c r="E30" s="4">
        <v>44879.600000000006</v>
      </c>
      <c r="F30" s="11">
        <v>0.2</v>
      </c>
      <c r="G30" s="4">
        <v>3011.8816000001507</v>
      </c>
      <c r="H30" s="11">
        <v>1.5640000000000001</v>
      </c>
      <c r="I30" s="4">
        <v>314.49799999999988</v>
      </c>
      <c r="J30" s="11">
        <v>7.84</v>
      </c>
      <c r="K30" s="4">
        <f>'Occupied &amp; No. of Guest'!B31</f>
        <v>320</v>
      </c>
      <c r="L30" s="4">
        <f>'Occupied &amp; No. of Guest'!C31</f>
        <v>486</v>
      </c>
    </row>
    <row r="31" spans="1:12" x14ac:dyDescent="0.25">
      <c r="A31" s="9" t="s">
        <v>11</v>
      </c>
      <c r="B31" s="10">
        <f t="shared" si="0"/>
        <v>30</v>
      </c>
      <c r="C31" s="10">
        <v>6</v>
      </c>
      <c r="D31" s="10">
        <v>2025</v>
      </c>
      <c r="E31" s="4">
        <v>43939</v>
      </c>
      <c r="F31" s="11">
        <v>0.2</v>
      </c>
      <c r="G31" s="4">
        <v>1947.7439999999478</v>
      </c>
      <c r="H31" s="11">
        <v>1.5640000000000001</v>
      </c>
      <c r="I31" s="4">
        <v>286.03800000000513</v>
      </c>
      <c r="J31" s="11">
        <v>7.84</v>
      </c>
      <c r="K31" s="4">
        <f>'Occupied &amp; No. of Guest'!B32</f>
        <v>352</v>
      </c>
      <c r="L31" s="4">
        <f>'Occupied &amp; No. of Guest'!C32</f>
        <v>532</v>
      </c>
    </row>
    <row r="32" spans="1:12" x14ac:dyDescent="0.25">
      <c r="A32" s="9" t="s">
        <v>11</v>
      </c>
      <c r="B32" s="10">
        <f t="shared" si="0"/>
        <v>31</v>
      </c>
      <c r="C32" s="10">
        <v>6</v>
      </c>
      <c r="D32" s="10">
        <v>2025</v>
      </c>
      <c r="E32" s="4"/>
      <c r="F32" s="11">
        <v>0.2</v>
      </c>
      <c r="G32" s="4"/>
      <c r="H32" s="11">
        <v>1.5640000000000001</v>
      </c>
      <c r="I32" s="4"/>
      <c r="J32" s="11">
        <v>7.84</v>
      </c>
      <c r="K32" s="4">
        <f>'Occupied &amp; No. of Guest'!B33</f>
        <v>0</v>
      </c>
      <c r="L32" s="4">
        <f>'Occupied &amp; No. of Guest'!C33</f>
        <v>0</v>
      </c>
    </row>
    <row r="33" spans="7:7" x14ac:dyDescent="0.25">
      <c r="G33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C785D-AAE3-4932-B36D-B3428EA355C6}">
  <sheetPr>
    <pageSetUpPr fitToPage="1"/>
  </sheetPr>
  <dimension ref="A1:BO23"/>
  <sheetViews>
    <sheetView tabSelected="1" zoomScale="115" zoomScaleNormal="115" zoomScaleSheetLayoutView="85" workbookViewId="0">
      <pane xSplit="4" ySplit="4" topLeftCell="E11" activePane="bottomRight" state="frozen"/>
      <selection pane="topRight" activeCell="E1" sqref="E1"/>
      <selection pane="bottomLeft" activeCell="A5" sqref="A5"/>
      <selection pane="bottomRight" activeCell="E22" sqref="E22"/>
    </sheetView>
  </sheetViews>
  <sheetFormatPr defaultColWidth="9.140625" defaultRowHeight="27" customHeight="1" x14ac:dyDescent="0.2"/>
  <cols>
    <col min="1" max="1" width="5.7109375" style="13" customWidth="1"/>
    <col min="2" max="2" width="17.28515625" style="26" customWidth="1"/>
    <col min="3" max="3" width="21.42578125" style="26" customWidth="1"/>
    <col min="4" max="4" width="10.5703125" style="13" customWidth="1"/>
    <col min="5" max="6" width="15" style="14" customWidth="1"/>
    <col min="7" max="35" width="15" style="13" customWidth="1"/>
    <col min="36" max="16384" width="9.140625" style="13"/>
  </cols>
  <sheetData>
    <row r="1" spans="1:67" ht="29.25" customHeight="1" x14ac:dyDescent="0.2">
      <c r="B1" s="13"/>
      <c r="C1" s="14"/>
      <c r="D1" s="14"/>
      <c r="G1" s="14"/>
    </row>
    <row r="2" spans="1:67" s="14" customFormat="1" ht="29.25" customHeight="1" x14ac:dyDescent="0.25">
      <c r="A2" s="78" t="s">
        <v>89</v>
      </c>
      <c r="B2" s="78"/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  <c r="AA2" s="78"/>
      <c r="AB2" s="78"/>
      <c r="AC2" s="78"/>
      <c r="AD2" s="78"/>
      <c r="AE2" s="78"/>
      <c r="AF2" s="78"/>
      <c r="AG2" s="78"/>
      <c r="AH2" s="78"/>
      <c r="AI2" s="78"/>
    </row>
    <row r="3" spans="1:67" s="14" customFormat="1" ht="29.25" customHeight="1" thickBot="1" x14ac:dyDescent="0.3">
      <c r="C3" s="79"/>
      <c r="D3" s="79"/>
      <c r="E3" s="79"/>
      <c r="F3" s="79"/>
      <c r="G3" s="79"/>
      <c r="H3" s="79"/>
      <c r="I3" s="79"/>
      <c r="J3" s="79"/>
      <c r="K3" s="79"/>
      <c r="L3" s="79"/>
      <c r="M3" s="79"/>
      <c r="N3" s="79"/>
      <c r="O3" s="79"/>
      <c r="P3" s="79"/>
      <c r="Q3" s="79"/>
      <c r="R3" s="79"/>
      <c r="S3" s="79"/>
      <c r="T3" s="79"/>
      <c r="U3" s="79"/>
      <c r="V3" s="79"/>
      <c r="W3" s="79"/>
      <c r="X3" s="79"/>
      <c r="Y3" s="79"/>
      <c r="Z3" s="79"/>
      <c r="AA3" s="79"/>
      <c r="AB3" s="79"/>
      <c r="AC3" s="79"/>
      <c r="AD3" s="79"/>
      <c r="AE3" s="79"/>
      <c r="AF3" s="79"/>
      <c r="AG3" s="79"/>
      <c r="AH3" s="79"/>
      <c r="AI3" s="79"/>
    </row>
    <row r="4" spans="1:67" ht="39" thickBot="1" x14ac:dyDescent="0.25">
      <c r="A4" s="15" t="s">
        <v>12</v>
      </c>
      <c r="B4" s="16" t="s">
        <v>13</v>
      </c>
      <c r="C4" s="17" t="s">
        <v>14</v>
      </c>
      <c r="D4" s="18" t="s">
        <v>15</v>
      </c>
      <c r="E4" s="18">
        <v>1</v>
      </c>
      <c r="F4" s="18">
        <v>2</v>
      </c>
      <c r="G4" s="19">
        <v>3</v>
      </c>
      <c r="H4" s="18">
        <v>4</v>
      </c>
      <c r="I4" s="18">
        <v>5</v>
      </c>
      <c r="J4" s="18">
        <v>6</v>
      </c>
      <c r="K4" s="18">
        <v>7</v>
      </c>
      <c r="L4" s="18">
        <v>8</v>
      </c>
      <c r="M4" s="18">
        <v>9</v>
      </c>
      <c r="N4" s="18">
        <v>10</v>
      </c>
      <c r="O4" s="18">
        <v>11</v>
      </c>
      <c r="P4" s="18">
        <v>12</v>
      </c>
      <c r="Q4" s="18">
        <v>13</v>
      </c>
      <c r="R4" s="18">
        <v>14</v>
      </c>
      <c r="S4" s="18">
        <v>15</v>
      </c>
      <c r="T4" s="18">
        <v>16</v>
      </c>
      <c r="U4" s="18">
        <v>17</v>
      </c>
      <c r="V4" s="18">
        <v>18</v>
      </c>
      <c r="W4" s="18">
        <v>19</v>
      </c>
      <c r="X4" s="18">
        <v>20</v>
      </c>
      <c r="Y4" s="18">
        <v>21</v>
      </c>
      <c r="Z4" s="18">
        <v>22</v>
      </c>
      <c r="AA4" s="18">
        <v>23</v>
      </c>
      <c r="AB4" s="18">
        <v>24</v>
      </c>
      <c r="AC4" s="18">
        <v>25</v>
      </c>
      <c r="AD4" s="18">
        <v>26</v>
      </c>
      <c r="AE4" s="18">
        <v>27</v>
      </c>
      <c r="AF4" s="18">
        <v>28</v>
      </c>
      <c r="AG4" s="18">
        <v>29</v>
      </c>
      <c r="AH4" s="18">
        <v>30</v>
      </c>
      <c r="AI4" s="18"/>
    </row>
    <row r="5" spans="1:67" ht="26.25" customHeight="1" x14ac:dyDescent="0.2">
      <c r="A5" s="80">
        <v>1</v>
      </c>
      <c r="B5" s="20" t="s">
        <v>16</v>
      </c>
      <c r="C5" s="82" t="s">
        <v>17</v>
      </c>
      <c r="D5" s="21">
        <v>18121740</v>
      </c>
      <c r="E5" s="21">
        <v>18143454</v>
      </c>
      <c r="F5" s="21">
        <v>18164489</v>
      </c>
      <c r="G5" s="21">
        <v>18185898</v>
      </c>
      <c r="H5" s="21">
        <v>18207762</v>
      </c>
      <c r="I5" s="21">
        <v>18228737</v>
      </c>
      <c r="J5" s="21">
        <v>18249449</v>
      </c>
      <c r="K5" s="21">
        <v>18270686</v>
      </c>
      <c r="L5" s="21">
        <v>18291616</v>
      </c>
      <c r="M5" s="21">
        <v>18312848</v>
      </c>
      <c r="N5" s="21">
        <v>18334343</v>
      </c>
      <c r="O5" s="21">
        <v>18356084</v>
      </c>
      <c r="P5" s="21">
        <v>18378189</v>
      </c>
      <c r="Q5" s="21">
        <v>18400299</v>
      </c>
      <c r="R5" s="21">
        <v>18421661</v>
      </c>
      <c r="S5" s="21">
        <v>18442740</v>
      </c>
      <c r="T5" s="21">
        <v>18465306</v>
      </c>
      <c r="U5" s="21">
        <v>18488092</v>
      </c>
      <c r="V5" s="21">
        <v>18510749</v>
      </c>
      <c r="W5" s="21">
        <v>18533193</v>
      </c>
      <c r="X5" s="21">
        <v>18556352</v>
      </c>
      <c r="Y5" s="21">
        <v>18578966</v>
      </c>
      <c r="Z5" s="21">
        <v>18601298</v>
      </c>
      <c r="AA5" s="21">
        <v>18624225</v>
      </c>
      <c r="AB5" s="21">
        <v>18646641</v>
      </c>
      <c r="AC5" s="21">
        <v>18668596</v>
      </c>
      <c r="AD5" s="21">
        <v>18690500</v>
      </c>
      <c r="AE5" s="21">
        <v>18713124</v>
      </c>
      <c r="AF5" s="21">
        <v>18735672</v>
      </c>
      <c r="AG5" s="21">
        <v>18757194</v>
      </c>
      <c r="AH5" s="21">
        <v>18779216</v>
      </c>
      <c r="AI5" s="21"/>
    </row>
    <row r="6" spans="1:67" s="24" customFormat="1" ht="21.75" customHeight="1" thickBot="1" x14ac:dyDescent="0.25">
      <c r="A6" s="81"/>
      <c r="B6" s="22"/>
      <c r="C6" s="83"/>
      <c r="D6" s="23"/>
      <c r="E6" s="23">
        <f t="shared" ref="E6:P12" si="0">E5-D5</f>
        <v>21714</v>
      </c>
      <c r="F6" s="23">
        <f t="shared" si="0"/>
        <v>21035</v>
      </c>
      <c r="G6" s="23">
        <f t="shared" si="0"/>
        <v>21409</v>
      </c>
      <c r="H6" s="23">
        <f t="shared" si="0"/>
        <v>21864</v>
      </c>
      <c r="I6" s="23">
        <f t="shared" si="0"/>
        <v>20975</v>
      </c>
      <c r="J6" s="23">
        <f t="shared" si="0"/>
        <v>20712</v>
      </c>
      <c r="K6" s="23">
        <f t="shared" si="0"/>
        <v>21237</v>
      </c>
      <c r="L6" s="23">
        <f t="shared" si="0"/>
        <v>20930</v>
      </c>
      <c r="M6" s="23">
        <f t="shared" si="0"/>
        <v>21232</v>
      </c>
      <c r="N6" s="23">
        <f t="shared" si="0"/>
        <v>21495</v>
      </c>
      <c r="O6" s="23">
        <f t="shared" si="0"/>
        <v>21741</v>
      </c>
      <c r="P6" s="23">
        <f t="shared" si="0"/>
        <v>22105</v>
      </c>
      <c r="Q6" s="23">
        <f t="shared" ref="Q6" si="1">Q5-P5</f>
        <v>22110</v>
      </c>
      <c r="R6" s="23">
        <f t="shared" ref="R6" si="2">R5-Q5</f>
        <v>21362</v>
      </c>
      <c r="S6" s="23">
        <f t="shared" ref="S6" si="3">S5-R5</f>
        <v>21079</v>
      </c>
      <c r="T6" s="23">
        <f t="shared" ref="T6" si="4">T5-S5</f>
        <v>22566</v>
      </c>
      <c r="U6" s="23">
        <f t="shared" ref="U6" si="5">U5-T5</f>
        <v>22786</v>
      </c>
      <c r="V6" s="23">
        <f t="shared" ref="V6" si="6">V5-U5</f>
        <v>22657</v>
      </c>
      <c r="W6" s="23">
        <f t="shared" ref="W6" si="7">W5-V5</f>
        <v>22444</v>
      </c>
      <c r="X6" s="23">
        <f t="shared" ref="X6" si="8">X5-W5</f>
        <v>23159</v>
      </c>
      <c r="Y6" s="23">
        <f t="shared" ref="Y6" si="9">Y5-X5</f>
        <v>22614</v>
      </c>
      <c r="Z6" s="23">
        <f t="shared" ref="Z6" si="10">Z5-Y5</f>
        <v>22332</v>
      </c>
      <c r="AA6" s="23">
        <f t="shared" ref="AA6" si="11">AA5-Z5</f>
        <v>22927</v>
      </c>
      <c r="AB6" s="23">
        <f t="shared" ref="AB6" si="12">AB5-AA5</f>
        <v>22416</v>
      </c>
      <c r="AC6" s="23">
        <f t="shared" ref="AC6" si="13">AC5-AB5</f>
        <v>21955</v>
      </c>
      <c r="AD6" s="23">
        <f t="shared" ref="AD6" si="14">AD5-AC5</f>
        <v>21904</v>
      </c>
      <c r="AE6" s="23">
        <f t="shared" ref="AE6" si="15">AE5-AD5</f>
        <v>22624</v>
      </c>
      <c r="AF6" s="23">
        <f t="shared" ref="AF6" si="16">AF5-AE5</f>
        <v>22548</v>
      </c>
      <c r="AG6" s="23">
        <f t="shared" ref="AG6:AH6" si="17">AG5-AF5</f>
        <v>21522</v>
      </c>
      <c r="AH6" s="23">
        <f t="shared" si="17"/>
        <v>22022</v>
      </c>
      <c r="AI6" s="2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</row>
    <row r="7" spans="1:67" ht="22.5" customHeight="1" x14ac:dyDescent="0.2">
      <c r="A7" s="84">
        <v>2</v>
      </c>
      <c r="B7" s="25" t="s">
        <v>18</v>
      </c>
      <c r="C7" s="86" t="s">
        <v>19</v>
      </c>
      <c r="D7" s="21">
        <v>620</v>
      </c>
      <c r="E7" s="21">
        <v>620</v>
      </c>
      <c r="F7" s="21">
        <v>620</v>
      </c>
      <c r="G7" s="21">
        <v>620</v>
      </c>
      <c r="H7" s="21">
        <v>620</v>
      </c>
      <c r="I7" s="21">
        <v>620</v>
      </c>
      <c r="J7" s="21">
        <v>620</v>
      </c>
      <c r="K7" s="21">
        <v>620</v>
      </c>
      <c r="L7" s="21">
        <v>620</v>
      </c>
      <c r="M7" s="21">
        <v>620</v>
      </c>
      <c r="N7" s="21">
        <v>620</v>
      </c>
      <c r="O7" s="21">
        <v>620</v>
      </c>
      <c r="P7" s="21">
        <v>620</v>
      </c>
      <c r="Q7" s="21">
        <v>620</v>
      </c>
      <c r="R7" s="21">
        <v>620</v>
      </c>
      <c r="S7" s="21">
        <v>620</v>
      </c>
      <c r="T7" s="21">
        <v>620</v>
      </c>
      <c r="U7" s="21">
        <v>620</v>
      </c>
      <c r="V7" s="21">
        <v>620</v>
      </c>
      <c r="W7" s="21">
        <v>620</v>
      </c>
      <c r="X7" s="21">
        <v>620</v>
      </c>
      <c r="Y7" s="21">
        <v>620</v>
      </c>
      <c r="Z7" s="21">
        <v>620</v>
      </c>
      <c r="AA7" s="21">
        <v>620</v>
      </c>
      <c r="AB7" s="21">
        <v>620</v>
      </c>
      <c r="AC7" s="21">
        <v>620</v>
      </c>
      <c r="AD7" s="21">
        <v>620</v>
      </c>
      <c r="AE7" s="21">
        <v>620</v>
      </c>
      <c r="AF7" s="21">
        <v>620</v>
      </c>
      <c r="AG7" s="21">
        <v>620</v>
      </c>
      <c r="AH7" s="21">
        <v>620</v>
      </c>
      <c r="AI7" s="21"/>
    </row>
    <row r="8" spans="1:67" s="24" customFormat="1" ht="21.75" customHeight="1" thickBot="1" x14ac:dyDescent="0.25">
      <c r="A8" s="85"/>
      <c r="B8" s="22"/>
      <c r="C8" s="83"/>
      <c r="D8" s="23"/>
      <c r="E8" s="23">
        <f t="shared" ref="E8:L8" si="18">E7-D7</f>
        <v>0</v>
      </c>
      <c r="F8" s="23">
        <f t="shared" si="18"/>
        <v>0</v>
      </c>
      <c r="G8" s="23">
        <f t="shared" si="18"/>
        <v>0</v>
      </c>
      <c r="H8" s="23">
        <f t="shared" si="18"/>
        <v>0</v>
      </c>
      <c r="I8" s="23">
        <f t="shared" si="18"/>
        <v>0</v>
      </c>
      <c r="J8" s="23">
        <f t="shared" si="18"/>
        <v>0</v>
      </c>
      <c r="K8" s="23">
        <f t="shared" si="18"/>
        <v>0</v>
      </c>
      <c r="L8" s="23">
        <f t="shared" si="18"/>
        <v>0</v>
      </c>
      <c r="M8" s="23">
        <f t="shared" ref="M8" si="19">M7-L7</f>
        <v>0</v>
      </c>
      <c r="N8" s="23">
        <f t="shared" ref="N8" si="20">N7-M7</f>
        <v>0</v>
      </c>
      <c r="O8" s="23">
        <f t="shared" si="0"/>
        <v>0</v>
      </c>
      <c r="P8" s="23">
        <f t="shared" si="0"/>
        <v>0</v>
      </c>
      <c r="Q8" s="23">
        <f t="shared" ref="Q8" si="21">Q7-P7</f>
        <v>0</v>
      </c>
      <c r="R8" s="23">
        <f t="shared" ref="R8" si="22">R7-Q7</f>
        <v>0</v>
      </c>
      <c r="S8" s="23">
        <f t="shared" ref="S8" si="23">S7-R7</f>
        <v>0</v>
      </c>
      <c r="T8" s="23">
        <f t="shared" ref="T8" si="24">T7-S7</f>
        <v>0</v>
      </c>
      <c r="U8" s="23">
        <f t="shared" ref="U8" si="25">U7-T7</f>
        <v>0</v>
      </c>
      <c r="V8" s="23">
        <f t="shared" ref="V8" si="26">V7-U7</f>
        <v>0</v>
      </c>
      <c r="W8" s="23">
        <f t="shared" ref="W8" si="27">W7-V7</f>
        <v>0</v>
      </c>
      <c r="X8" s="23">
        <f t="shared" ref="X8" si="28">X7-W7</f>
        <v>0</v>
      </c>
      <c r="Y8" s="23">
        <f t="shared" ref="Y8" si="29">Y7-X7</f>
        <v>0</v>
      </c>
      <c r="Z8" s="23">
        <f t="shared" ref="Z8" si="30">Z7-Y7</f>
        <v>0</v>
      </c>
      <c r="AA8" s="23">
        <f t="shared" ref="AA8" si="31">AA7-Z7</f>
        <v>0</v>
      </c>
      <c r="AB8" s="23">
        <f t="shared" ref="AB8" si="32">AB7-AA7</f>
        <v>0</v>
      </c>
      <c r="AC8" s="23">
        <f t="shared" ref="AC8" si="33">AC7-AB7</f>
        <v>0</v>
      </c>
      <c r="AD8" s="23">
        <f t="shared" ref="AD8" si="34">AD7-AC7</f>
        <v>0</v>
      </c>
      <c r="AE8" s="23">
        <f t="shared" ref="AE8" si="35">AE7-AD7</f>
        <v>0</v>
      </c>
      <c r="AF8" s="23">
        <f t="shared" ref="AF8" si="36">AF7-AE7</f>
        <v>0</v>
      </c>
      <c r="AG8" s="23">
        <f t="shared" ref="AG8:AH8" si="37">AG7-AF7</f>
        <v>0</v>
      </c>
      <c r="AH8" s="23">
        <f t="shared" si="37"/>
        <v>0</v>
      </c>
      <c r="AI8" s="2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</row>
    <row r="9" spans="1:67" ht="21.75" customHeight="1" x14ac:dyDescent="0.2">
      <c r="A9" s="76">
        <v>3</v>
      </c>
      <c r="B9" s="36" t="s">
        <v>20</v>
      </c>
      <c r="C9" s="77" t="s">
        <v>21</v>
      </c>
      <c r="D9" s="21">
        <v>18941477</v>
      </c>
      <c r="E9" s="21">
        <v>18977020</v>
      </c>
      <c r="F9" s="21">
        <v>19012060</v>
      </c>
      <c r="G9" s="21">
        <v>19047667</v>
      </c>
      <c r="H9" s="21">
        <v>19088497</v>
      </c>
      <c r="I9" s="21">
        <v>19124032</v>
      </c>
      <c r="J9" s="21">
        <v>19158939</v>
      </c>
      <c r="K9" s="21">
        <v>19194808</v>
      </c>
      <c r="L9" s="21">
        <v>19237312</v>
      </c>
      <c r="M9" s="21">
        <v>19276306</v>
      </c>
      <c r="N9" s="21">
        <v>19321565</v>
      </c>
      <c r="O9" s="21">
        <v>19363363</v>
      </c>
      <c r="P9" s="21">
        <v>19401074</v>
      </c>
      <c r="Q9" s="21">
        <v>19418029</v>
      </c>
      <c r="R9" s="21">
        <v>19419918</v>
      </c>
      <c r="S9" s="21">
        <v>19421786</v>
      </c>
      <c r="T9" s="21">
        <v>19432914</v>
      </c>
      <c r="U9" s="21">
        <v>19457637</v>
      </c>
      <c r="V9" s="21">
        <v>19500168</v>
      </c>
      <c r="W9" s="21">
        <v>19544949</v>
      </c>
      <c r="X9" s="21">
        <v>19580238</v>
      </c>
      <c r="Y9" s="21">
        <v>19607511</v>
      </c>
      <c r="Z9" s="21">
        <v>19633691</v>
      </c>
      <c r="AA9" s="21">
        <v>19663623</v>
      </c>
      <c r="AB9" s="21">
        <v>19693698</v>
      </c>
      <c r="AC9" s="21">
        <v>19724107</v>
      </c>
      <c r="AD9" s="21">
        <v>19755157</v>
      </c>
      <c r="AE9" s="21">
        <v>19789287</v>
      </c>
      <c r="AF9" s="21">
        <v>19825628</v>
      </c>
      <c r="AG9" s="21">
        <v>19860317</v>
      </c>
      <c r="AH9" s="21">
        <v>19892807</v>
      </c>
      <c r="AI9" s="21"/>
    </row>
    <row r="10" spans="1:67" s="24" customFormat="1" ht="21.75" customHeight="1" thickBot="1" x14ac:dyDescent="0.25">
      <c r="A10" s="72"/>
      <c r="B10" s="37"/>
      <c r="C10" s="75"/>
      <c r="D10" s="23"/>
      <c r="E10" s="23">
        <f t="shared" ref="E10:L10" si="38">E9-D9</f>
        <v>35543</v>
      </c>
      <c r="F10" s="23">
        <f t="shared" si="38"/>
        <v>35040</v>
      </c>
      <c r="G10" s="23">
        <f t="shared" si="38"/>
        <v>35607</v>
      </c>
      <c r="H10" s="23">
        <f t="shared" si="38"/>
        <v>40830</v>
      </c>
      <c r="I10" s="23">
        <f t="shared" si="38"/>
        <v>35535</v>
      </c>
      <c r="J10" s="23">
        <f t="shared" si="38"/>
        <v>34907</v>
      </c>
      <c r="K10" s="23">
        <f t="shared" si="38"/>
        <v>35869</v>
      </c>
      <c r="L10" s="23">
        <f t="shared" si="38"/>
        <v>42504</v>
      </c>
      <c r="M10" s="23">
        <f t="shared" ref="M10" si="39">M9-L9</f>
        <v>38994</v>
      </c>
      <c r="N10" s="23">
        <f t="shared" ref="N10" si="40">N9-M9</f>
        <v>45259</v>
      </c>
      <c r="O10" s="23">
        <f t="shared" si="0"/>
        <v>41798</v>
      </c>
      <c r="P10" s="23">
        <f t="shared" si="0"/>
        <v>37711</v>
      </c>
      <c r="Q10" s="23">
        <f t="shared" ref="Q10" si="41">Q9-P9</f>
        <v>16955</v>
      </c>
      <c r="R10" s="23">
        <f t="shared" ref="R10" si="42">R9-Q9</f>
        <v>1889</v>
      </c>
      <c r="S10" s="23">
        <f t="shared" ref="S10" si="43">S9-R9</f>
        <v>1868</v>
      </c>
      <c r="T10" s="23">
        <f t="shared" ref="T10" si="44">T9-S9</f>
        <v>11128</v>
      </c>
      <c r="U10" s="23">
        <f t="shared" ref="U10" si="45">U9-T9</f>
        <v>24723</v>
      </c>
      <c r="V10" s="23">
        <f t="shared" ref="V10" si="46">V9-U9</f>
        <v>42531</v>
      </c>
      <c r="W10" s="23">
        <f t="shared" ref="W10" si="47">W9-V9</f>
        <v>44781</v>
      </c>
      <c r="X10" s="23">
        <f t="shared" ref="X10" si="48">X9-W9</f>
        <v>35289</v>
      </c>
      <c r="Y10" s="23">
        <f t="shared" ref="Y10" si="49">Y9-X9</f>
        <v>27273</v>
      </c>
      <c r="Z10" s="23">
        <f t="shared" ref="Z10" si="50">Z9-Y9</f>
        <v>26180</v>
      </c>
      <c r="AA10" s="23">
        <f t="shared" ref="AA10" si="51">AA9-Z9</f>
        <v>29932</v>
      </c>
      <c r="AB10" s="23">
        <f t="shared" ref="AB10" si="52">AB9-AA9</f>
        <v>30075</v>
      </c>
      <c r="AC10" s="23">
        <f t="shared" ref="AC10" si="53">AC9-AB9</f>
        <v>30409</v>
      </c>
      <c r="AD10" s="23">
        <f t="shared" ref="AD10" si="54">AD9-AC9</f>
        <v>31050</v>
      </c>
      <c r="AE10" s="23">
        <f t="shared" ref="AE10" si="55">AE9-AD9</f>
        <v>34130</v>
      </c>
      <c r="AF10" s="23">
        <f t="shared" ref="AF10" si="56">AF9-AE9</f>
        <v>36341</v>
      </c>
      <c r="AG10" s="23">
        <f t="shared" ref="AG10:AH10" si="57">AG9-AF9</f>
        <v>34689</v>
      </c>
      <c r="AH10" s="23">
        <f t="shared" si="57"/>
        <v>32490</v>
      </c>
      <c r="AI10" s="2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</row>
    <row r="11" spans="1:67" ht="21.75" customHeight="1" x14ac:dyDescent="0.2">
      <c r="A11" s="67">
        <v>4</v>
      </c>
      <c r="B11" s="36" t="s">
        <v>22</v>
      </c>
      <c r="C11" s="77" t="s">
        <v>23</v>
      </c>
      <c r="D11" s="21">
        <v>12076724</v>
      </c>
      <c r="E11" s="21">
        <v>12083492</v>
      </c>
      <c r="F11" s="21">
        <v>12097963</v>
      </c>
      <c r="G11" s="21">
        <v>12112434</v>
      </c>
      <c r="H11" s="21">
        <v>12117584</v>
      </c>
      <c r="I11" s="21">
        <v>12121481</v>
      </c>
      <c r="J11" s="21">
        <v>12125550</v>
      </c>
      <c r="K11" s="21">
        <v>12129715</v>
      </c>
      <c r="L11" s="21">
        <v>12133949</v>
      </c>
      <c r="M11" s="21">
        <v>12137542</v>
      </c>
      <c r="N11" s="21">
        <v>12139748</v>
      </c>
      <c r="O11" s="21">
        <v>12143863</v>
      </c>
      <c r="P11" s="21">
        <v>12153320</v>
      </c>
      <c r="Q11" s="21">
        <v>12187218</v>
      </c>
      <c r="R11" s="21">
        <v>12230558</v>
      </c>
      <c r="S11" s="21">
        <v>12272798</v>
      </c>
      <c r="T11" s="21">
        <v>12315309</v>
      </c>
      <c r="U11" s="21">
        <v>12348436</v>
      </c>
      <c r="V11" s="21">
        <v>12359009</v>
      </c>
      <c r="W11" s="21">
        <v>12366804</v>
      </c>
      <c r="X11" s="21">
        <v>12385019</v>
      </c>
      <c r="Y11" s="21">
        <v>12410923</v>
      </c>
      <c r="Z11" s="21">
        <v>12436859</v>
      </c>
      <c r="AA11" s="21">
        <v>12460272</v>
      </c>
      <c r="AB11" s="21">
        <v>12482898</v>
      </c>
      <c r="AC11" s="21">
        <v>12507015</v>
      </c>
      <c r="AD11" s="21">
        <v>12530584</v>
      </c>
      <c r="AE11" s="21">
        <v>12555510</v>
      </c>
      <c r="AF11" s="21">
        <v>12579363</v>
      </c>
      <c r="AG11" s="21">
        <v>12602203</v>
      </c>
      <c r="AH11" s="21">
        <v>12623623</v>
      </c>
      <c r="AI11" s="21"/>
    </row>
    <row r="12" spans="1:67" s="38" customFormat="1" ht="21.75" customHeight="1" thickBot="1" x14ac:dyDescent="0.25">
      <c r="A12" s="74"/>
      <c r="B12" s="37"/>
      <c r="C12" s="75"/>
      <c r="D12" s="23"/>
      <c r="E12" s="23">
        <f t="shared" ref="E12:L12" si="58">E11-D11</f>
        <v>6768</v>
      </c>
      <c r="F12" s="23">
        <f t="shared" si="58"/>
        <v>14471</v>
      </c>
      <c r="G12" s="23">
        <f t="shared" si="58"/>
        <v>14471</v>
      </c>
      <c r="H12" s="23">
        <f t="shared" si="58"/>
        <v>5150</v>
      </c>
      <c r="I12" s="23">
        <f t="shared" si="58"/>
        <v>3897</v>
      </c>
      <c r="J12" s="23">
        <f t="shared" si="58"/>
        <v>4069</v>
      </c>
      <c r="K12" s="23">
        <f t="shared" si="58"/>
        <v>4165</v>
      </c>
      <c r="L12" s="23">
        <f t="shared" si="58"/>
        <v>4234</v>
      </c>
      <c r="M12" s="23">
        <f t="shared" ref="M12" si="59">M11-L11</f>
        <v>3593</v>
      </c>
      <c r="N12" s="23">
        <f t="shared" ref="N12" si="60">N11-M11</f>
        <v>2206</v>
      </c>
      <c r="O12" s="23">
        <f t="shared" si="0"/>
        <v>4115</v>
      </c>
      <c r="P12" s="23">
        <f t="shared" si="0"/>
        <v>9457</v>
      </c>
      <c r="Q12" s="23">
        <f t="shared" ref="Q12" si="61">Q11-P11</f>
        <v>33898</v>
      </c>
      <c r="R12" s="23">
        <f t="shared" ref="R12" si="62">R11-Q11</f>
        <v>43340</v>
      </c>
      <c r="S12" s="23">
        <f t="shared" ref="S12" si="63">S11-R11</f>
        <v>42240</v>
      </c>
      <c r="T12" s="23">
        <f t="shared" ref="T12" si="64">T11-S11</f>
        <v>42511</v>
      </c>
      <c r="U12" s="23">
        <f t="shared" ref="U12" si="65">U11-T11</f>
        <v>33127</v>
      </c>
      <c r="V12" s="23">
        <f t="shared" ref="V12" si="66">V11-U11</f>
        <v>10573</v>
      </c>
      <c r="W12" s="23">
        <f t="shared" ref="W12" si="67">W11-V11</f>
        <v>7795</v>
      </c>
      <c r="X12" s="23">
        <f t="shared" ref="X12" si="68">X11-W11</f>
        <v>18215</v>
      </c>
      <c r="Y12" s="23">
        <f t="shared" ref="Y12" si="69">Y11-X11</f>
        <v>25904</v>
      </c>
      <c r="Z12" s="23">
        <f t="shared" ref="Z12" si="70">Z11-Y11</f>
        <v>25936</v>
      </c>
      <c r="AA12" s="23">
        <f t="shared" ref="AA12" si="71">AA11-Z11</f>
        <v>23413</v>
      </c>
      <c r="AB12" s="23">
        <f t="shared" ref="AB12" si="72">AB11-AA11</f>
        <v>22626</v>
      </c>
      <c r="AC12" s="23">
        <f t="shared" ref="AC12" si="73">AC11-AB11</f>
        <v>24117</v>
      </c>
      <c r="AD12" s="23">
        <f t="shared" ref="AD12" si="74">AD11-AC11</f>
        <v>23569</v>
      </c>
      <c r="AE12" s="23">
        <f t="shared" ref="AE12" si="75">AE11-AD11</f>
        <v>24926</v>
      </c>
      <c r="AF12" s="23">
        <f t="shared" ref="AF12" si="76">AF11-AE11</f>
        <v>23853</v>
      </c>
      <c r="AG12" s="23">
        <f t="shared" ref="AG12:AH12" si="77">AG11-AF11</f>
        <v>22840</v>
      </c>
      <c r="AH12" s="23">
        <f t="shared" si="77"/>
        <v>21420</v>
      </c>
      <c r="AI12" s="2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</row>
    <row r="13" spans="1:67" ht="21.75" customHeight="1" x14ac:dyDescent="0.2">
      <c r="A13" s="76">
        <v>7</v>
      </c>
      <c r="B13" s="39" t="s">
        <v>24</v>
      </c>
      <c r="C13" s="69" t="s">
        <v>25</v>
      </c>
      <c r="D13" s="40">
        <v>3439</v>
      </c>
      <c r="E13" s="40">
        <v>3439</v>
      </c>
      <c r="F13" s="40">
        <v>3439</v>
      </c>
      <c r="G13" s="40">
        <v>3439</v>
      </c>
      <c r="H13" s="40">
        <v>3439</v>
      </c>
      <c r="I13" s="40">
        <v>3439</v>
      </c>
      <c r="J13" s="40">
        <v>3439</v>
      </c>
      <c r="K13" s="40">
        <v>3439</v>
      </c>
      <c r="L13" s="40">
        <v>3440</v>
      </c>
      <c r="M13" s="40">
        <v>3440</v>
      </c>
      <c r="N13" s="40">
        <v>3440</v>
      </c>
      <c r="O13" s="40">
        <v>3440</v>
      </c>
      <c r="P13" s="40">
        <v>3440</v>
      </c>
      <c r="Q13" s="40">
        <v>3440</v>
      </c>
      <c r="R13" s="40">
        <v>3440</v>
      </c>
      <c r="S13" s="40">
        <v>3440</v>
      </c>
      <c r="T13" s="40">
        <v>3440</v>
      </c>
      <c r="U13" s="40">
        <v>3440</v>
      </c>
      <c r="V13" s="40">
        <v>3440</v>
      </c>
      <c r="W13" s="40">
        <v>3440</v>
      </c>
      <c r="X13" s="40">
        <v>3440</v>
      </c>
      <c r="Y13" s="40">
        <v>3446</v>
      </c>
      <c r="Z13" s="40">
        <v>3446</v>
      </c>
      <c r="AA13" s="40">
        <v>3446</v>
      </c>
      <c r="AB13" s="40">
        <v>3446</v>
      </c>
      <c r="AC13" s="40">
        <v>3446</v>
      </c>
      <c r="AD13" s="40">
        <v>3446</v>
      </c>
      <c r="AE13" s="40">
        <v>3446</v>
      </c>
      <c r="AF13" s="40">
        <v>3446</v>
      </c>
      <c r="AG13" s="40">
        <v>3446</v>
      </c>
      <c r="AH13" s="40">
        <v>3446</v>
      </c>
      <c r="AI13" s="40"/>
    </row>
    <row r="14" spans="1:67" s="24" customFormat="1" ht="21.75" customHeight="1" thickBot="1" x14ac:dyDescent="0.25">
      <c r="A14" s="72"/>
      <c r="B14" s="41"/>
      <c r="C14" s="75"/>
      <c r="D14" s="42"/>
      <c r="E14" s="42">
        <f t="shared" ref="E14" si="78">E13-D13</f>
        <v>0</v>
      </c>
      <c r="F14" s="42">
        <f t="shared" ref="F14:L14" si="79">F13-E13</f>
        <v>0</v>
      </c>
      <c r="G14" s="42">
        <f t="shared" si="79"/>
        <v>0</v>
      </c>
      <c r="H14" s="42">
        <f t="shared" si="79"/>
        <v>0</v>
      </c>
      <c r="I14" s="42">
        <f t="shared" si="79"/>
        <v>0</v>
      </c>
      <c r="J14" s="42">
        <f t="shared" si="79"/>
        <v>0</v>
      </c>
      <c r="K14" s="42">
        <f t="shared" si="79"/>
        <v>0</v>
      </c>
      <c r="L14" s="42">
        <f t="shared" si="79"/>
        <v>1</v>
      </c>
      <c r="M14" s="42">
        <f t="shared" ref="M14" si="80">M13-L13</f>
        <v>0</v>
      </c>
      <c r="N14" s="42">
        <f t="shared" ref="N14:P20" si="81">N13-M13</f>
        <v>0</v>
      </c>
      <c r="O14" s="42">
        <f t="shared" si="81"/>
        <v>0</v>
      </c>
      <c r="P14" s="42">
        <f t="shared" si="81"/>
        <v>0</v>
      </c>
      <c r="Q14" s="42">
        <f t="shared" ref="Q14" si="82">Q13-P13</f>
        <v>0</v>
      </c>
      <c r="R14" s="42">
        <f t="shared" ref="R14" si="83">R13-Q13</f>
        <v>0</v>
      </c>
      <c r="S14" s="42">
        <f t="shared" ref="S14" si="84">S13-R13</f>
        <v>0</v>
      </c>
      <c r="T14" s="42">
        <f t="shared" ref="T14" si="85">T13-S13</f>
        <v>0</v>
      </c>
      <c r="U14" s="42">
        <f t="shared" ref="U14" si="86">U13-T13</f>
        <v>0</v>
      </c>
      <c r="V14" s="42">
        <f t="shared" ref="V14" si="87">V13-U13</f>
        <v>0</v>
      </c>
      <c r="W14" s="42">
        <f t="shared" ref="W14" si="88">W13-V13</f>
        <v>0</v>
      </c>
      <c r="X14" s="42">
        <f t="shared" ref="X14" si="89">X13-W13</f>
        <v>0</v>
      </c>
      <c r="Y14" s="42">
        <f t="shared" ref="Y14" si="90">Y13-X13</f>
        <v>6</v>
      </c>
      <c r="Z14" s="42">
        <f t="shared" ref="Z14" si="91">Z13-Y13</f>
        <v>0</v>
      </c>
      <c r="AA14" s="42">
        <f t="shared" ref="AA14" si="92">AA13-Z13</f>
        <v>0</v>
      </c>
      <c r="AB14" s="42">
        <f t="shared" ref="AB14" si="93">AB13-AA13</f>
        <v>0</v>
      </c>
      <c r="AC14" s="42">
        <f t="shared" ref="AC14" si="94">AC13-AB13</f>
        <v>0</v>
      </c>
      <c r="AD14" s="42">
        <f t="shared" ref="AD14" si="95">AD13-AC13</f>
        <v>0</v>
      </c>
      <c r="AE14" s="42">
        <f t="shared" ref="AE14" si="96">AE13-AD13</f>
        <v>0</v>
      </c>
      <c r="AF14" s="42">
        <f t="shared" ref="AF14" si="97">AF13-AE13</f>
        <v>0</v>
      </c>
      <c r="AG14" s="42">
        <f t="shared" ref="AG14:AH14" si="98">AG13-AF13</f>
        <v>0</v>
      </c>
      <c r="AH14" s="42">
        <f t="shared" si="98"/>
        <v>0</v>
      </c>
      <c r="AI14" s="42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</row>
    <row r="15" spans="1:67" ht="21.75" customHeight="1" x14ac:dyDescent="0.2">
      <c r="A15" s="67">
        <v>8</v>
      </c>
      <c r="B15" s="39" t="s">
        <v>26</v>
      </c>
      <c r="C15" s="69" t="s">
        <v>27</v>
      </c>
      <c r="D15" s="40">
        <v>525</v>
      </c>
      <c r="E15" s="40">
        <v>526</v>
      </c>
      <c r="F15" s="40">
        <v>526</v>
      </c>
      <c r="G15" s="40">
        <v>526</v>
      </c>
      <c r="H15" s="40">
        <v>526</v>
      </c>
      <c r="I15" s="40">
        <v>526</v>
      </c>
      <c r="J15" s="40">
        <v>526</v>
      </c>
      <c r="K15" s="40">
        <v>526</v>
      </c>
      <c r="L15" s="40">
        <v>527</v>
      </c>
      <c r="M15" s="40">
        <v>527</v>
      </c>
      <c r="N15" s="40">
        <v>527</v>
      </c>
      <c r="O15" s="40">
        <v>527</v>
      </c>
      <c r="P15" s="40">
        <v>527</v>
      </c>
      <c r="Q15" s="40">
        <v>527</v>
      </c>
      <c r="R15" s="40">
        <v>527</v>
      </c>
      <c r="S15" s="40">
        <v>528</v>
      </c>
      <c r="T15" s="40">
        <v>528</v>
      </c>
      <c r="U15" s="40">
        <v>528</v>
      </c>
      <c r="V15" s="40">
        <v>528</v>
      </c>
      <c r="W15" s="40">
        <v>528</v>
      </c>
      <c r="X15" s="40">
        <v>528</v>
      </c>
      <c r="Y15" s="40">
        <v>533</v>
      </c>
      <c r="Z15" s="40">
        <v>533</v>
      </c>
      <c r="AA15" s="40">
        <v>533</v>
      </c>
      <c r="AB15" s="40">
        <v>533</v>
      </c>
      <c r="AC15" s="40">
        <v>533</v>
      </c>
      <c r="AD15" s="40">
        <v>533</v>
      </c>
      <c r="AE15" s="40">
        <v>534</v>
      </c>
      <c r="AF15" s="40">
        <v>534</v>
      </c>
      <c r="AG15" s="40">
        <v>534</v>
      </c>
      <c r="AH15" s="40">
        <v>534</v>
      </c>
      <c r="AI15" s="40"/>
    </row>
    <row r="16" spans="1:67" s="24" customFormat="1" ht="21.75" customHeight="1" thickBot="1" x14ac:dyDescent="0.25">
      <c r="A16" s="74"/>
      <c r="B16" s="41"/>
      <c r="C16" s="75"/>
      <c r="D16" s="42"/>
      <c r="E16" s="42">
        <f t="shared" ref="E16:L16" si="99">E15-D15</f>
        <v>1</v>
      </c>
      <c r="F16" s="42">
        <f t="shared" si="99"/>
        <v>0</v>
      </c>
      <c r="G16" s="42">
        <f t="shared" si="99"/>
        <v>0</v>
      </c>
      <c r="H16" s="42">
        <f t="shared" si="99"/>
        <v>0</v>
      </c>
      <c r="I16" s="42">
        <f t="shared" si="99"/>
        <v>0</v>
      </c>
      <c r="J16" s="42">
        <f t="shared" si="99"/>
        <v>0</v>
      </c>
      <c r="K16" s="42">
        <f t="shared" si="99"/>
        <v>0</v>
      </c>
      <c r="L16" s="42">
        <f t="shared" si="99"/>
        <v>1</v>
      </c>
      <c r="M16" s="42">
        <f t="shared" ref="M16" si="100">M15-L15</f>
        <v>0</v>
      </c>
      <c r="N16" s="42">
        <f t="shared" ref="N16" si="101">N15-M15</f>
        <v>0</v>
      </c>
      <c r="O16" s="42">
        <f t="shared" si="81"/>
        <v>0</v>
      </c>
      <c r="P16" s="42">
        <f t="shared" si="81"/>
        <v>0</v>
      </c>
      <c r="Q16" s="42">
        <f t="shared" ref="Q16" si="102">Q15-P15</f>
        <v>0</v>
      </c>
      <c r="R16" s="42">
        <f t="shared" ref="R16" si="103">R15-Q15</f>
        <v>0</v>
      </c>
      <c r="S16" s="42">
        <f t="shared" ref="S16" si="104">S15-R15</f>
        <v>1</v>
      </c>
      <c r="T16" s="42">
        <f t="shared" ref="T16" si="105">T15-S15</f>
        <v>0</v>
      </c>
      <c r="U16" s="42">
        <f t="shared" ref="U16" si="106">U15-T15</f>
        <v>0</v>
      </c>
      <c r="V16" s="42">
        <f t="shared" ref="V16" si="107">V15-U15</f>
        <v>0</v>
      </c>
      <c r="W16" s="42">
        <f t="shared" ref="W16" si="108">W15-V15</f>
        <v>0</v>
      </c>
      <c r="X16" s="42">
        <f t="shared" ref="X16" si="109">X15-W15</f>
        <v>0</v>
      </c>
      <c r="Y16" s="42">
        <f t="shared" ref="Y16" si="110">Y15-X15</f>
        <v>5</v>
      </c>
      <c r="Z16" s="42">
        <f t="shared" ref="Z16" si="111">Z15-Y15</f>
        <v>0</v>
      </c>
      <c r="AA16" s="42">
        <f t="shared" ref="AA16" si="112">AA15-Z15</f>
        <v>0</v>
      </c>
      <c r="AB16" s="42">
        <f t="shared" ref="AB16" si="113">AB15-AA15</f>
        <v>0</v>
      </c>
      <c r="AC16" s="42">
        <f t="shared" ref="AC16" si="114">AC15-AB15</f>
        <v>0</v>
      </c>
      <c r="AD16" s="42">
        <f t="shared" ref="AD16" si="115">AD15-AC15</f>
        <v>0</v>
      </c>
      <c r="AE16" s="42">
        <f t="shared" ref="AE16" si="116">AE15-AD15</f>
        <v>1</v>
      </c>
      <c r="AF16" s="42">
        <f t="shared" ref="AF16" si="117">AF15-AE15</f>
        <v>0</v>
      </c>
      <c r="AG16" s="42">
        <f t="shared" ref="AG16:AH16" si="118">AG15-AF15</f>
        <v>0</v>
      </c>
      <c r="AH16" s="42">
        <f t="shared" si="118"/>
        <v>0</v>
      </c>
      <c r="AI16" s="42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</row>
    <row r="17" spans="1:35" ht="21.75" customHeight="1" x14ac:dyDescent="0.2">
      <c r="A17" s="67">
        <v>13</v>
      </c>
      <c r="B17" s="39" t="s">
        <v>28</v>
      </c>
      <c r="C17" s="69" t="s">
        <v>29</v>
      </c>
      <c r="D17" s="40">
        <v>1506885</v>
      </c>
      <c r="E17" s="40">
        <v>1507184</v>
      </c>
      <c r="F17" s="40">
        <v>1507458</v>
      </c>
      <c r="G17" s="40">
        <v>1507724</v>
      </c>
      <c r="H17" s="40">
        <v>1507999</v>
      </c>
      <c r="I17" s="40">
        <v>1508279</v>
      </c>
      <c r="J17" s="40">
        <v>1508552</v>
      </c>
      <c r="K17" s="40">
        <v>1508832</v>
      </c>
      <c r="L17" s="40">
        <v>1509114</v>
      </c>
      <c r="M17" s="40">
        <v>1509390</v>
      </c>
      <c r="N17" s="40">
        <v>1509647</v>
      </c>
      <c r="O17" s="40">
        <v>1509904</v>
      </c>
      <c r="P17" s="40">
        <v>1510237</v>
      </c>
      <c r="Q17" s="40">
        <v>1510552</v>
      </c>
      <c r="R17" s="40">
        <v>1510881</v>
      </c>
      <c r="S17" s="40">
        <v>1511157</v>
      </c>
      <c r="T17" s="40">
        <v>1511445</v>
      </c>
      <c r="U17" s="40">
        <v>1511721</v>
      </c>
      <c r="V17" s="40">
        <v>1512014</v>
      </c>
      <c r="W17" s="40">
        <v>1512293</v>
      </c>
      <c r="X17" s="40">
        <v>1512616</v>
      </c>
      <c r="Y17" s="40">
        <v>1512890</v>
      </c>
      <c r="Z17" s="40">
        <v>1513181</v>
      </c>
      <c r="AA17" s="40">
        <v>1513461</v>
      </c>
      <c r="AB17" s="40">
        <v>1513738</v>
      </c>
      <c r="AC17" s="40">
        <v>1514018</v>
      </c>
      <c r="AD17" s="40">
        <v>1514303</v>
      </c>
      <c r="AE17" s="40">
        <v>1514598</v>
      </c>
      <c r="AF17" s="40">
        <v>1514853</v>
      </c>
      <c r="AG17" s="40">
        <v>1515139</v>
      </c>
      <c r="AH17" s="40">
        <v>1515433</v>
      </c>
      <c r="AI17" s="40"/>
    </row>
    <row r="18" spans="1:35" ht="21.75" customHeight="1" thickBot="1" x14ac:dyDescent="0.25">
      <c r="A18" s="68"/>
      <c r="B18" s="43"/>
      <c r="C18" s="70"/>
      <c r="D18" s="42"/>
      <c r="E18" s="42">
        <f t="shared" ref="E18:L18" si="119">E17-D17</f>
        <v>299</v>
      </c>
      <c r="F18" s="42">
        <f t="shared" si="119"/>
        <v>274</v>
      </c>
      <c r="G18" s="42">
        <f t="shared" si="119"/>
        <v>266</v>
      </c>
      <c r="H18" s="42">
        <f t="shared" si="119"/>
        <v>275</v>
      </c>
      <c r="I18" s="42">
        <f t="shared" si="119"/>
        <v>280</v>
      </c>
      <c r="J18" s="42">
        <f t="shared" si="119"/>
        <v>273</v>
      </c>
      <c r="K18" s="42">
        <f t="shared" si="119"/>
        <v>280</v>
      </c>
      <c r="L18" s="42">
        <f t="shared" si="119"/>
        <v>282</v>
      </c>
      <c r="M18" s="42">
        <f t="shared" ref="M18" si="120">M17-L17</f>
        <v>276</v>
      </c>
      <c r="N18" s="42">
        <f t="shared" ref="N18" si="121">N17-M17</f>
        <v>257</v>
      </c>
      <c r="O18" s="42">
        <f t="shared" si="81"/>
        <v>257</v>
      </c>
      <c r="P18" s="42">
        <f t="shared" si="81"/>
        <v>333</v>
      </c>
      <c r="Q18" s="42">
        <f t="shared" ref="Q18" si="122">Q17-P17</f>
        <v>315</v>
      </c>
      <c r="R18" s="42">
        <f t="shared" ref="R18" si="123">R17-Q17</f>
        <v>329</v>
      </c>
      <c r="S18" s="42">
        <f t="shared" ref="S18" si="124">S17-R17</f>
        <v>276</v>
      </c>
      <c r="T18" s="42">
        <f t="shared" ref="T18" si="125">T17-S17</f>
        <v>288</v>
      </c>
      <c r="U18" s="42">
        <f t="shared" ref="U18" si="126">U17-T17</f>
        <v>276</v>
      </c>
      <c r="V18" s="42">
        <f t="shared" ref="V18" si="127">V17-U17</f>
        <v>293</v>
      </c>
      <c r="W18" s="42">
        <f t="shared" ref="W18" si="128">W17-V17</f>
        <v>279</v>
      </c>
      <c r="X18" s="42">
        <f t="shared" ref="X18" si="129">X17-W17</f>
        <v>323</v>
      </c>
      <c r="Y18" s="42">
        <f t="shared" ref="Y18" si="130">Y17-X17</f>
        <v>274</v>
      </c>
      <c r="Z18" s="42">
        <f t="shared" ref="Z18" si="131">Z17-Y17</f>
        <v>291</v>
      </c>
      <c r="AA18" s="42">
        <f t="shared" ref="AA18" si="132">AA17-Z17</f>
        <v>280</v>
      </c>
      <c r="AB18" s="42">
        <f t="shared" ref="AB18" si="133">AB17-AA17</f>
        <v>277</v>
      </c>
      <c r="AC18" s="42">
        <f t="shared" ref="AC18" si="134">AC17-AB17</f>
        <v>280</v>
      </c>
      <c r="AD18" s="42">
        <f t="shared" ref="AD18" si="135">AD17-AC17</f>
        <v>285</v>
      </c>
      <c r="AE18" s="42">
        <f t="shared" ref="AE18" si="136">AE17-AD17</f>
        <v>295</v>
      </c>
      <c r="AF18" s="42">
        <f t="shared" ref="AF18" si="137">AF17-AE17</f>
        <v>255</v>
      </c>
      <c r="AG18" s="42">
        <f t="shared" ref="AG18:AH18" si="138">AG17-AF17</f>
        <v>286</v>
      </c>
      <c r="AH18" s="42">
        <f t="shared" si="138"/>
        <v>294</v>
      </c>
      <c r="AI18" s="42"/>
    </row>
    <row r="19" spans="1:35" ht="21.75" customHeight="1" x14ac:dyDescent="0.2">
      <c r="A19" s="71">
        <v>14</v>
      </c>
      <c r="B19" s="39" t="s">
        <v>30</v>
      </c>
      <c r="C19" s="69" t="s">
        <v>31</v>
      </c>
      <c r="D19" s="40">
        <v>394356</v>
      </c>
      <c r="E19" s="40">
        <v>394402</v>
      </c>
      <c r="F19" s="40">
        <v>394447</v>
      </c>
      <c r="G19" s="40">
        <v>394496</v>
      </c>
      <c r="H19" s="40">
        <v>394542</v>
      </c>
      <c r="I19" s="40">
        <v>394588</v>
      </c>
      <c r="J19" s="40">
        <v>394634</v>
      </c>
      <c r="K19" s="40">
        <v>394684</v>
      </c>
      <c r="L19" s="40">
        <v>394732</v>
      </c>
      <c r="M19" s="40">
        <v>394780</v>
      </c>
      <c r="N19" s="40">
        <v>394828</v>
      </c>
      <c r="O19" s="40">
        <v>394876</v>
      </c>
      <c r="P19" s="40">
        <v>394925</v>
      </c>
      <c r="Q19" s="40">
        <v>394974</v>
      </c>
      <c r="R19" s="40">
        <v>395028</v>
      </c>
      <c r="S19" s="40">
        <v>395079</v>
      </c>
      <c r="T19" s="40">
        <v>395130</v>
      </c>
      <c r="U19" s="40">
        <v>395184</v>
      </c>
      <c r="V19" s="40">
        <v>395238</v>
      </c>
      <c r="W19" s="40">
        <v>395288</v>
      </c>
      <c r="X19" s="40">
        <v>395340</v>
      </c>
      <c r="Y19" s="40">
        <v>395391</v>
      </c>
      <c r="Z19" s="40">
        <v>395446</v>
      </c>
      <c r="AA19" s="40">
        <v>395500</v>
      </c>
      <c r="AB19" s="40">
        <v>395558</v>
      </c>
      <c r="AC19" s="40">
        <v>395612</v>
      </c>
      <c r="AD19" s="40">
        <v>395666</v>
      </c>
      <c r="AE19" s="40">
        <v>395724</v>
      </c>
      <c r="AF19" s="40">
        <v>395780</v>
      </c>
      <c r="AG19" s="40">
        <v>395840</v>
      </c>
      <c r="AH19" s="40">
        <v>395899</v>
      </c>
      <c r="AI19" s="40"/>
    </row>
    <row r="20" spans="1:35" ht="21.75" customHeight="1" thickBot="1" x14ac:dyDescent="0.25">
      <c r="A20" s="72"/>
      <c r="B20" s="43"/>
      <c r="C20" s="70"/>
      <c r="D20" s="42"/>
      <c r="E20" s="42">
        <f>E19-D19</f>
        <v>46</v>
      </c>
      <c r="F20" s="42">
        <f t="shared" ref="F20:L20" si="139">F19-E19</f>
        <v>45</v>
      </c>
      <c r="G20" s="42">
        <f t="shared" si="139"/>
        <v>49</v>
      </c>
      <c r="H20" s="42">
        <f t="shared" si="139"/>
        <v>46</v>
      </c>
      <c r="I20" s="42">
        <f t="shared" si="139"/>
        <v>46</v>
      </c>
      <c r="J20" s="42">
        <f t="shared" si="139"/>
        <v>46</v>
      </c>
      <c r="K20" s="42">
        <f t="shared" si="139"/>
        <v>50</v>
      </c>
      <c r="L20" s="42">
        <f t="shared" si="139"/>
        <v>48</v>
      </c>
      <c r="M20" s="42">
        <f t="shared" ref="M20" si="140">M19-L19</f>
        <v>48</v>
      </c>
      <c r="N20" s="42">
        <f t="shared" ref="N20" si="141">N19-M19</f>
        <v>48</v>
      </c>
      <c r="O20" s="42">
        <f t="shared" si="81"/>
        <v>48</v>
      </c>
      <c r="P20" s="42">
        <f t="shared" si="81"/>
        <v>49</v>
      </c>
      <c r="Q20" s="42">
        <f t="shared" ref="Q20" si="142">Q19-P19</f>
        <v>49</v>
      </c>
      <c r="R20" s="42">
        <f t="shared" ref="R20" si="143">R19-Q19</f>
        <v>54</v>
      </c>
      <c r="S20" s="42">
        <f t="shared" ref="S20" si="144">S19-R19</f>
        <v>51</v>
      </c>
      <c r="T20" s="42">
        <f t="shared" ref="T20" si="145">T19-S19</f>
        <v>51</v>
      </c>
      <c r="U20" s="42">
        <f t="shared" ref="U20" si="146">U19-T19</f>
        <v>54</v>
      </c>
      <c r="V20" s="42">
        <f t="shared" ref="V20" si="147">V19-U19</f>
        <v>54</v>
      </c>
      <c r="W20" s="42">
        <f t="shared" ref="W20" si="148">W19-V19</f>
        <v>50</v>
      </c>
      <c r="X20" s="42">
        <f t="shared" ref="X20" si="149">X19-W19</f>
        <v>52</v>
      </c>
      <c r="Y20" s="42">
        <f t="shared" ref="Y20" si="150">Y19-X19</f>
        <v>51</v>
      </c>
      <c r="Z20" s="42">
        <f t="shared" ref="Z20" si="151">Z19-Y19</f>
        <v>55</v>
      </c>
      <c r="AA20" s="42">
        <f t="shared" ref="AA20" si="152">AA19-Z19</f>
        <v>54</v>
      </c>
      <c r="AB20" s="42">
        <f t="shared" ref="AB20" si="153">AB19-AA19</f>
        <v>58</v>
      </c>
      <c r="AC20" s="42">
        <f t="shared" ref="AC20" si="154">AC19-AB19</f>
        <v>54</v>
      </c>
      <c r="AD20" s="42">
        <f t="shared" ref="AD20" si="155">AD19-AC19</f>
        <v>54</v>
      </c>
      <c r="AE20" s="42">
        <f t="shared" ref="AE20" si="156">AE19-AD19</f>
        <v>58</v>
      </c>
      <c r="AF20" s="42">
        <f t="shared" ref="AF20" si="157">AF19-AE19</f>
        <v>56</v>
      </c>
      <c r="AG20" s="42">
        <f t="shared" ref="AG20:AH20" si="158">AG19-AF19</f>
        <v>60</v>
      </c>
      <c r="AH20" s="42">
        <f t="shared" si="158"/>
        <v>59</v>
      </c>
      <c r="AI20" s="42"/>
    </row>
    <row r="21" spans="1:35" ht="27" customHeight="1" x14ac:dyDescent="0.3">
      <c r="B21" s="73" t="s">
        <v>32</v>
      </c>
      <c r="C21" s="73"/>
      <c r="D21" s="44"/>
      <c r="E21" s="52">
        <f>((E6+E8)+((E10+E12)*40%)+(E14+E16+E18+E20))</f>
        <v>38984.400000000001</v>
      </c>
      <c r="F21" s="52">
        <f t="shared" ref="F21:AH21" si="159">((F6+F8)+((F10+F12)*40%)+(F14+F16+F18+F20))</f>
        <v>41158.400000000001</v>
      </c>
      <c r="G21" s="52">
        <f t="shared" si="159"/>
        <v>41755.199999999997</v>
      </c>
      <c r="H21" s="52">
        <f t="shared" si="159"/>
        <v>40577</v>
      </c>
      <c r="I21" s="52">
        <f t="shared" si="159"/>
        <v>37073.800000000003</v>
      </c>
      <c r="J21" s="52">
        <f t="shared" si="159"/>
        <v>36621.4</v>
      </c>
      <c r="K21" s="52">
        <f t="shared" si="159"/>
        <v>37580.6</v>
      </c>
      <c r="L21" s="52">
        <f t="shared" si="159"/>
        <v>39957.199999999997</v>
      </c>
      <c r="M21" s="52">
        <f t="shared" si="159"/>
        <v>38590.800000000003</v>
      </c>
      <c r="N21" s="52">
        <f t="shared" si="159"/>
        <v>40786</v>
      </c>
      <c r="O21" s="52">
        <f t="shared" si="159"/>
        <v>40411.199999999997</v>
      </c>
      <c r="P21" s="52">
        <f t="shared" si="159"/>
        <v>41354.199999999997</v>
      </c>
      <c r="Q21" s="52">
        <f t="shared" si="159"/>
        <v>42815.199999999997</v>
      </c>
      <c r="R21" s="52">
        <f t="shared" si="159"/>
        <v>39836.600000000006</v>
      </c>
      <c r="S21" s="52">
        <f t="shared" si="159"/>
        <v>39050.199999999997</v>
      </c>
      <c r="T21" s="52">
        <f t="shared" si="159"/>
        <v>44360.600000000006</v>
      </c>
      <c r="U21" s="52">
        <f t="shared" si="159"/>
        <v>46256</v>
      </c>
      <c r="V21" s="52">
        <f t="shared" si="159"/>
        <v>44245.600000000006</v>
      </c>
      <c r="W21" s="52">
        <f t="shared" si="159"/>
        <v>43803.4</v>
      </c>
      <c r="X21" s="52">
        <f t="shared" si="159"/>
        <v>44935.600000000006</v>
      </c>
      <c r="Y21" s="52">
        <f t="shared" si="159"/>
        <v>44220.800000000003</v>
      </c>
      <c r="Z21" s="52">
        <f t="shared" si="159"/>
        <v>43524.4</v>
      </c>
      <c r="AA21" s="52">
        <f t="shared" si="159"/>
        <v>44599</v>
      </c>
      <c r="AB21" s="52">
        <f t="shared" si="159"/>
        <v>43831.4</v>
      </c>
      <c r="AC21" s="52">
        <f t="shared" si="159"/>
        <v>44099.4</v>
      </c>
      <c r="AD21" s="52">
        <f t="shared" si="159"/>
        <v>44090.600000000006</v>
      </c>
      <c r="AE21" s="52">
        <f t="shared" si="159"/>
        <v>46600.4</v>
      </c>
      <c r="AF21" s="52">
        <f t="shared" si="159"/>
        <v>46936.600000000006</v>
      </c>
      <c r="AG21" s="52">
        <f t="shared" si="159"/>
        <v>44879.600000000006</v>
      </c>
      <c r="AH21" s="52">
        <f t="shared" si="159"/>
        <v>43939</v>
      </c>
      <c r="AI21" s="52"/>
    </row>
    <row r="22" spans="1:35" ht="27" customHeight="1" x14ac:dyDescent="0.3">
      <c r="B22" s="66" t="s">
        <v>33</v>
      </c>
      <c r="C22" s="66"/>
      <c r="D22" s="44"/>
      <c r="E22" s="52">
        <f>SUM(E21:AI21)</f>
        <v>1266874.6000000001</v>
      </c>
      <c r="F22" s="45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4"/>
      <c r="AH22" s="44"/>
      <c r="AI22" s="44"/>
    </row>
    <row r="23" spans="1:35" ht="27" customHeight="1" x14ac:dyDescent="0.2">
      <c r="B23" s="26" t="s">
        <v>87</v>
      </c>
    </row>
  </sheetData>
  <mergeCells count="20">
    <mergeCell ref="A2:AI2"/>
    <mergeCell ref="C3:AI3"/>
    <mergeCell ref="A5:A6"/>
    <mergeCell ref="C5:C6"/>
    <mergeCell ref="A7:A8"/>
    <mergeCell ref="C7:C8"/>
    <mergeCell ref="A15:A16"/>
    <mergeCell ref="C15:C16"/>
    <mergeCell ref="A9:A10"/>
    <mergeCell ref="C9:C10"/>
    <mergeCell ref="A11:A12"/>
    <mergeCell ref="C11:C12"/>
    <mergeCell ref="A13:A14"/>
    <mergeCell ref="C13:C14"/>
    <mergeCell ref="B22:C22"/>
    <mergeCell ref="A17:A18"/>
    <mergeCell ref="C17:C18"/>
    <mergeCell ref="A19:A20"/>
    <mergeCell ref="C19:C20"/>
    <mergeCell ref="B21:C21"/>
  </mergeCells>
  <pageMargins left="0.25" right="0.25" top="0.75" bottom="0.75" header="0.3" footer="0.3"/>
  <pageSetup scale="19" orientation="portrait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95EAA-47F4-4B4C-AF06-1BB06658B4C9}">
  <sheetPr>
    <pageSetUpPr fitToPage="1"/>
  </sheetPr>
  <dimension ref="A2:AP29"/>
  <sheetViews>
    <sheetView zoomScale="115" zoomScaleNormal="115" workbookViewId="0">
      <pane xSplit="3" ySplit="4" topLeftCell="S12" activePane="bottomRight" state="frozen"/>
      <selection pane="topRight" activeCell="D1" sqref="D1"/>
      <selection pane="bottomLeft" activeCell="A5" sqref="A5"/>
      <selection pane="bottomRight" activeCell="AH13" sqref="AH13"/>
    </sheetView>
  </sheetViews>
  <sheetFormatPr defaultColWidth="9.140625" defaultRowHeight="70.5" customHeight="1" x14ac:dyDescent="0.25"/>
  <cols>
    <col min="1" max="1" width="5.7109375" style="2" customWidth="1"/>
    <col min="2" max="2" width="21.85546875" style="8" customWidth="1"/>
    <col min="3" max="3" width="23" style="35" customWidth="1"/>
    <col min="4" max="6" width="10.140625" style="8" customWidth="1"/>
    <col min="7" max="35" width="10.140625" style="2" customWidth="1"/>
    <col min="36" max="16384" width="9.140625" style="2"/>
  </cols>
  <sheetData>
    <row r="2" spans="1:42" s="8" customFormat="1" ht="25.7" customHeight="1" x14ac:dyDescent="0.4">
      <c r="B2" s="89" t="s">
        <v>90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90"/>
      <c r="T2" s="90"/>
      <c r="U2" s="90"/>
      <c r="V2" s="90"/>
      <c r="W2" s="90"/>
      <c r="X2" s="90"/>
      <c r="Y2" s="90"/>
      <c r="Z2" s="90"/>
      <c r="AA2" s="90"/>
      <c r="AB2" s="90"/>
      <c r="AC2" s="90"/>
      <c r="AD2" s="90"/>
      <c r="AE2" s="90"/>
      <c r="AF2" s="90"/>
      <c r="AG2" s="90"/>
      <c r="AH2" s="90"/>
      <c r="AI2" s="90"/>
    </row>
    <row r="3" spans="1:42" s="8" customFormat="1" ht="30" customHeight="1" thickBot="1" x14ac:dyDescent="0.3"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</row>
    <row r="4" spans="1:42" s="30" customFormat="1" ht="57.75" customHeight="1" thickBot="1" x14ac:dyDescent="0.3">
      <c r="A4" s="15" t="s">
        <v>12</v>
      </c>
      <c r="B4" s="27" t="s">
        <v>34</v>
      </c>
      <c r="C4" s="27" t="s">
        <v>14</v>
      </c>
      <c r="D4" s="28" t="s">
        <v>35</v>
      </c>
      <c r="E4" s="29" t="s">
        <v>36</v>
      </c>
      <c r="F4" s="29" t="s">
        <v>37</v>
      </c>
      <c r="G4" s="29" t="s">
        <v>38</v>
      </c>
      <c r="H4" s="29" t="s">
        <v>39</v>
      </c>
      <c r="I4" s="29" t="s">
        <v>40</v>
      </c>
      <c r="J4" s="29" t="s">
        <v>41</v>
      </c>
      <c r="K4" s="29" t="s">
        <v>42</v>
      </c>
      <c r="L4" s="29" t="s">
        <v>43</v>
      </c>
      <c r="M4" s="29" t="s">
        <v>44</v>
      </c>
      <c r="N4" s="29" t="s">
        <v>45</v>
      </c>
      <c r="O4" s="29" t="s">
        <v>46</v>
      </c>
      <c r="P4" s="29" t="s">
        <v>47</v>
      </c>
      <c r="Q4" s="29" t="s">
        <v>48</v>
      </c>
      <c r="R4" s="29" t="s">
        <v>49</v>
      </c>
      <c r="S4" s="29" t="s">
        <v>50</v>
      </c>
      <c r="T4" s="29" t="s">
        <v>51</v>
      </c>
      <c r="U4" s="29" t="s">
        <v>52</v>
      </c>
      <c r="V4" s="29" t="s">
        <v>53</v>
      </c>
      <c r="W4" s="29" t="s">
        <v>54</v>
      </c>
      <c r="X4" s="29" t="s">
        <v>55</v>
      </c>
      <c r="Y4" s="29" t="s">
        <v>56</v>
      </c>
      <c r="Z4" s="29" t="s">
        <v>57</v>
      </c>
      <c r="AA4" s="29" t="s">
        <v>58</v>
      </c>
      <c r="AB4" s="29" t="s">
        <v>59</v>
      </c>
      <c r="AC4" s="29" t="s">
        <v>60</v>
      </c>
      <c r="AD4" s="29" t="s">
        <v>61</v>
      </c>
      <c r="AE4" s="29" t="s">
        <v>62</v>
      </c>
      <c r="AF4" s="29" t="s">
        <v>63</v>
      </c>
      <c r="AG4" s="29" t="s">
        <v>64</v>
      </c>
      <c r="AH4" s="29" t="s">
        <v>65</v>
      </c>
      <c r="AI4" s="29"/>
    </row>
    <row r="5" spans="1:42" s="8" customFormat="1" ht="40.5" customHeight="1" x14ac:dyDescent="0.25">
      <c r="A5" s="92" t="s">
        <v>36</v>
      </c>
      <c r="B5" s="27" t="s">
        <v>66</v>
      </c>
      <c r="C5" s="94" t="s">
        <v>67</v>
      </c>
      <c r="D5" s="31">
        <v>215576</v>
      </c>
      <c r="E5" s="31">
        <v>215776</v>
      </c>
      <c r="F5" s="31">
        <v>215991</v>
      </c>
      <c r="G5" s="31">
        <v>216202</v>
      </c>
      <c r="H5" s="31">
        <v>216431</v>
      </c>
      <c r="I5" s="31">
        <v>216616</v>
      </c>
      <c r="J5" s="31">
        <v>216882</v>
      </c>
      <c r="K5" s="31">
        <v>217154</v>
      </c>
      <c r="L5" s="31">
        <v>217369</v>
      </c>
      <c r="M5" s="31">
        <v>217686</v>
      </c>
      <c r="N5" s="31">
        <v>217904</v>
      </c>
      <c r="O5" s="31">
        <v>218118</v>
      </c>
      <c r="P5" s="31">
        <v>218380</v>
      </c>
      <c r="Q5" s="31">
        <v>218604</v>
      </c>
      <c r="R5" s="31">
        <v>218816</v>
      </c>
      <c r="S5" s="31">
        <v>219062</v>
      </c>
      <c r="T5" s="31">
        <v>219325</v>
      </c>
      <c r="U5" s="31">
        <v>219573</v>
      </c>
      <c r="V5" s="31">
        <v>219836</v>
      </c>
      <c r="W5" s="31">
        <v>220083</v>
      </c>
      <c r="X5" s="31">
        <v>220315</v>
      </c>
      <c r="Y5" s="31">
        <v>220559</v>
      </c>
      <c r="Z5" s="31">
        <v>220790</v>
      </c>
      <c r="AA5" s="31">
        <v>221004</v>
      </c>
      <c r="AB5" s="31">
        <v>221267</v>
      </c>
      <c r="AC5" s="31">
        <v>221488</v>
      </c>
      <c r="AD5" s="31">
        <v>221730</v>
      </c>
      <c r="AE5" s="31">
        <v>221995</v>
      </c>
      <c r="AF5" s="31">
        <v>222223</v>
      </c>
      <c r="AG5" s="31">
        <v>222458</v>
      </c>
      <c r="AH5" s="31">
        <v>222658</v>
      </c>
      <c r="AI5" s="31"/>
    </row>
    <row r="6" spans="1:42" s="34" customFormat="1" ht="25.7" customHeight="1" thickBot="1" x14ac:dyDescent="0.3">
      <c r="A6" s="93"/>
      <c r="B6" s="32"/>
      <c r="C6" s="94"/>
      <c r="D6" s="33"/>
      <c r="E6" s="33">
        <f>E5-D5</f>
        <v>200</v>
      </c>
      <c r="F6" s="33">
        <f t="shared" ref="F6:L6" si="0">F5-E5</f>
        <v>215</v>
      </c>
      <c r="G6" s="33">
        <f t="shared" si="0"/>
        <v>211</v>
      </c>
      <c r="H6" s="33">
        <f t="shared" si="0"/>
        <v>229</v>
      </c>
      <c r="I6" s="33">
        <f t="shared" si="0"/>
        <v>185</v>
      </c>
      <c r="J6" s="33">
        <f t="shared" si="0"/>
        <v>266</v>
      </c>
      <c r="K6" s="33">
        <f t="shared" si="0"/>
        <v>272</v>
      </c>
      <c r="L6" s="33">
        <f t="shared" si="0"/>
        <v>215</v>
      </c>
      <c r="M6" s="33">
        <f t="shared" ref="M6" si="1">M5-L5</f>
        <v>317</v>
      </c>
      <c r="N6" s="33">
        <f t="shared" ref="N6:O14" si="2">N5-M5</f>
        <v>218</v>
      </c>
      <c r="O6" s="33">
        <f t="shared" si="2"/>
        <v>214</v>
      </c>
      <c r="P6" s="33">
        <f t="shared" ref="P6" si="3">P5-O5</f>
        <v>262</v>
      </c>
      <c r="Q6" s="33">
        <f t="shared" ref="Q6" si="4">Q5-P5</f>
        <v>224</v>
      </c>
      <c r="R6" s="33">
        <f t="shared" ref="R6" si="5">R5-Q5</f>
        <v>212</v>
      </c>
      <c r="S6" s="33">
        <f t="shared" ref="S6" si="6">S5-R5</f>
        <v>246</v>
      </c>
      <c r="T6" s="33">
        <f t="shared" ref="T6" si="7">T5-S5</f>
        <v>263</v>
      </c>
      <c r="U6" s="33">
        <f t="shared" ref="U6" si="8">U5-T5</f>
        <v>248</v>
      </c>
      <c r="V6" s="33">
        <f t="shared" ref="V6" si="9">V5-U5</f>
        <v>263</v>
      </c>
      <c r="W6" s="33">
        <f t="shared" ref="W6" si="10">W5-V5</f>
        <v>247</v>
      </c>
      <c r="X6" s="33">
        <f t="shared" ref="X6" si="11">X5-W5</f>
        <v>232</v>
      </c>
      <c r="Y6" s="33">
        <f t="shared" ref="Y6" si="12">Y5-X5</f>
        <v>244</v>
      </c>
      <c r="Z6" s="33">
        <f t="shared" ref="Z6" si="13">Z5-Y5</f>
        <v>231</v>
      </c>
      <c r="AA6" s="33">
        <f t="shared" ref="AA6" si="14">AA5-Z5</f>
        <v>214</v>
      </c>
      <c r="AB6" s="33">
        <f t="shared" ref="AB6" si="15">AB5-AA5</f>
        <v>263</v>
      </c>
      <c r="AC6" s="33">
        <f t="shared" ref="AC6" si="16">AC5-AB5</f>
        <v>221</v>
      </c>
      <c r="AD6" s="33">
        <f t="shared" ref="AD6" si="17">AD5-AC5</f>
        <v>242</v>
      </c>
      <c r="AE6" s="33">
        <f t="shared" ref="AE6" si="18">AE5-AD5</f>
        <v>265</v>
      </c>
      <c r="AF6" s="33">
        <f t="shared" ref="AF6" si="19">AF5-AE5</f>
        <v>228</v>
      </c>
      <c r="AG6" s="33">
        <f t="shared" ref="AG6:AH6" si="20">AG5-AF5</f>
        <v>235</v>
      </c>
      <c r="AH6" s="33">
        <f t="shared" si="20"/>
        <v>200</v>
      </c>
      <c r="AI6" s="33"/>
      <c r="AJ6" s="8"/>
      <c r="AK6" s="8"/>
      <c r="AL6" s="8"/>
      <c r="AM6" s="8"/>
      <c r="AN6" s="8"/>
      <c r="AO6" s="8"/>
      <c r="AP6" s="8"/>
    </row>
    <row r="7" spans="1:42" s="8" customFormat="1" ht="39.75" customHeight="1" x14ac:dyDescent="0.25">
      <c r="A7" s="92" t="s">
        <v>38</v>
      </c>
      <c r="B7" s="49" t="s">
        <v>68</v>
      </c>
      <c r="C7" s="94" t="s">
        <v>69</v>
      </c>
      <c r="D7" s="31">
        <v>412356.4</v>
      </c>
      <c r="E7" s="31">
        <v>412386.2</v>
      </c>
      <c r="F7" s="31">
        <v>412417.4</v>
      </c>
      <c r="G7" s="31">
        <v>412447.6</v>
      </c>
      <c r="H7" s="31">
        <v>412478.6</v>
      </c>
      <c r="I7" s="31">
        <v>412505.3</v>
      </c>
      <c r="J7" s="31">
        <v>412523.9</v>
      </c>
      <c r="K7" s="31">
        <v>412551.3</v>
      </c>
      <c r="L7" s="31">
        <v>412572.9</v>
      </c>
      <c r="M7" s="31">
        <v>412601.2</v>
      </c>
      <c r="N7" s="31">
        <v>412631.6</v>
      </c>
      <c r="O7" s="31">
        <v>412662</v>
      </c>
      <c r="P7" s="31">
        <v>412692</v>
      </c>
      <c r="Q7" s="31">
        <v>412721.28</v>
      </c>
      <c r="R7" s="31">
        <v>412744.1</v>
      </c>
      <c r="S7" s="31">
        <v>412773.5</v>
      </c>
      <c r="T7" s="31">
        <v>412805.3</v>
      </c>
      <c r="U7" s="31">
        <v>412835.5</v>
      </c>
      <c r="V7" s="31">
        <v>412861</v>
      </c>
      <c r="W7" s="31">
        <v>412891.3</v>
      </c>
      <c r="X7" s="31">
        <v>412942</v>
      </c>
      <c r="Y7" s="31">
        <v>412969.5</v>
      </c>
      <c r="Z7" s="31">
        <v>413003.3</v>
      </c>
      <c r="AA7" s="31">
        <v>413053.2</v>
      </c>
      <c r="AB7" s="31">
        <v>413087.5</v>
      </c>
      <c r="AC7" s="31">
        <v>413122.5</v>
      </c>
      <c r="AD7" s="31">
        <v>413158.7</v>
      </c>
      <c r="AE7" s="31">
        <v>413199.6</v>
      </c>
      <c r="AF7" s="31">
        <v>413230.5</v>
      </c>
      <c r="AG7" s="31">
        <v>413267.5</v>
      </c>
      <c r="AH7" s="31">
        <v>413303.7</v>
      </c>
      <c r="AI7" s="31"/>
    </row>
    <row r="8" spans="1:42" s="34" customFormat="1" ht="25.7" customHeight="1" thickBot="1" x14ac:dyDescent="0.3">
      <c r="A8" s="93"/>
      <c r="B8" s="47"/>
      <c r="C8" s="94"/>
      <c r="D8" s="33"/>
      <c r="E8" s="33">
        <f t="shared" ref="E8" si="21">E7-D7</f>
        <v>29.799999999988358</v>
      </c>
      <c r="F8" s="33">
        <f t="shared" ref="F8:L8" si="22">F7-E7</f>
        <v>31.200000000011642</v>
      </c>
      <c r="G8" s="33">
        <f t="shared" si="22"/>
        <v>30.199999999953434</v>
      </c>
      <c r="H8" s="33">
        <f t="shared" si="22"/>
        <v>31</v>
      </c>
      <c r="I8" s="33">
        <f t="shared" si="22"/>
        <v>26.700000000011642</v>
      </c>
      <c r="J8" s="33">
        <f t="shared" si="22"/>
        <v>18.600000000034925</v>
      </c>
      <c r="K8" s="33">
        <f t="shared" si="22"/>
        <v>27.399999999965075</v>
      </c>
      <c r="L8" s="33">
        <f t="shared" si="22"/>
        <v>21.600000000034925</v>
      </c>
      <c r="M8" s="33">
        <f t="shared" ref="M8" si="23">M7-L7</f>
        <v>28.299999999988358</v>
      </c>
      <c r="N8" s="33">
        <f t="shared" ref="N8" si="24">N7-M7</f>
        <v>30.399999999965075</v>
      </c>
      <c r="O8" s="33">
        <f t="shared" si="2"/>
        <v>30.400000000023283</v>
      </c>
      <c r="P8" s="33">
        <f t="shared" ref="P8" si="25">P7-O7</f>
        <v>30</v>
      </c>
      <c r="Q8" s="33">
        <f t="shared" ref="Q8" si="26">Q7-P7</f>
        <v>29.28000000002794</v>
      </c>
      <c r="R8" s="33">
        <f t="shared" ref="R8" si="27">R7-Q7</f>
        <v>22.819999999948777</v>
      </c>
      <c r="S8" s="33">
        <f t="shared" ref="S8" si="28">S7-R7</f>
        <v>29.400000000023283</v>
      </c>
      <c r="T8" s="33">
        <f t="shared" ref="T8" si="29">T7-S7</f>
        <v>31.799999999988358</v>
      </c>
      <c r="U8" s="33">
        <f t="shared" ref="U8" si="30">U7-T7</f>
        <v>30.200000000011642</v>
      </c>
      <c r="V8" s="33">
        <f t="shared" ref="V8" si="31">V7-U7</f>
        <v>25.5</v>
      </c>
      <c r="W8" s="33">
        <f t="shared" ref="W8" si="32">W7-V7</f>
        <v>30.299999999988358</v>
      </c>
      <c r="X8" s="33">
        <f t="shared" ref="X8" si="33">X7-W7</f>
        <v>50.700000000011642</v>
      </c>
      <c r="Y8" s="33">
        <f t="shared" ref="Y8" si="34">Y7-X7</f>
        <v>27.5</v>
      </c>
      <c r="Z8" s="33">
        <f t="shared" ref="Z8" si="35">Z7-Y7</f>
        <v>33.799999999988358</v>
      </c>
      <c r="AA8" s="33">
        <f t="shared" ref="AA8" si="36">AA7-Z7</f>
        <v>49.900000000023283</v>
      </c>
      <c r="AB8" s="33">
        <f t="shared" ref="AB8" si="37">AB7-AA7</f>
        <v>34.299999999988358</v>
      </c>
      <c r="AC8" s="33">
        <f t="shared" ref="AC8" si="38">AC7-AB7</f>
        <v>35</v>
      </c>
      <c r="AD8" s="33">
        <f t="shared" ref="AD8" si="39">AD7-AC7</f>
        <v>36.200000000011642</v>
      </c>
      <c r="AE8" s="33">
        <f t="shared" ref="AE8" si="40">AE7-AD7</f>
        <v>40.899999999965075</v>
      </c>
      <c r="AF8" s="33">
        <f t="shared" ref="AF8" si="41">AF7-AE7</f>
        <v>30.900000000023283</v>
      </c>
      <c r="AG8" s="33">
        <f t="shared" ref="AG8:AH8" si="42">AG7-AF7</f>
        <v>37</v>
      </c>
      <c r="AH8" s="33">
        <f t="shared" si="42"/>
        <v>36.200000000011642</v>
      </c>
      <c r="AI8" s="33"/>
      <c r="AJ8" s="8"/>
      <c r="AK8" s="8"/>
      <c r="AL8" s="8"/>
      <c r="AM8" s="8"/>
      <c r="AN8" s="8"/>
      <c r="AO8" s="8"/>
      <c r="AP8" s="8"/>
    </row>
    <row r="9" spans="1:42" s="8" customFormat="1" ht="25.7" customHeight="1" x14ac:dyDescent="0.25">
      <c r="A9" s="92">
        <v>4</v>
      </c>
      <c r="B9" s="46" t="s">
        <v>70</v>
      </c>
      <c r="C9" s="94" t="s">
        <v>71</v>
      </c>
      <c r="D9" s="31">
        <v>41957</v>
      </c>
      <c r="E9" s="31">
        <v>42115</v>
      </c>
      <c r="F9" s="31">
        <v>42291</v>
      </c>
      <c r="G9" s="31">
        <v>42445</v>
      </c>
      <c r="H9" s="31">
        <v>42589</v>
      </c>
      <c r="I9" s="31">
        <v>42707</v>
      </c>
      <c r="J9" s="31">
        <v>42707</v>
      </c>
      <c r="K9" s="31">
        <v>42856</v>
      </c>
      <c r="L9" s="31">
        <v>42891</v>
      </c>
      <c r="M9" s="31">
        <v>43024</v>
      </c>
      <c r="N9" s="31">
        <v>43192</v>
      </c>
      <c r="O9" s="31">
        <v>43355</v>
      </c>
      <c r="P9" s="31">
        <v>43504</v>
      </c>
      <c r="Q9" s="31">
        <v>43646</v>
      </c>
      <c r="R9" s="31">
        <v>43677</v>
      </c>
      <c r="S9" s="31">
        <v>43822</v>
      </c>
      <c r="T9" s="31">
        <v>43999</v>
      </c>
      <c r="U9" s="31">
        <v>44164</v>
      </c>
      <c r="V9" s="31">
        <v>44333</v>
      </c>
      <c r="W9" s="31">
        <v>44486</v>
      </c>
      <c r="X9" s="31">
        <v>44642</v>
      </c>
      <c r="Y9" s="31">
        <v>44675</v>
      </c>
      <c r="Z9" s="31">
        <v>44839</v>
      </c>
      <c r="AA9" s="31">
        <v>45021</v>
      </c>
      <c r="AB9" s="31">
        <v>45195</v>
      </c>
      <c r="AC9" s="31">
        <v>45380</v>
      </c>
      <c r="AD9" s="31">
        <v>45579</v>
      </c>
      <c r="AE9" s="31">
        <v>45771</v>
      </c>
      <c r="AF9" s="31">
        <v>45822</v>
      </c>
      <c r="AG9" s="31">
        <v>45949</v>
      </c>
      <c r="AH9" s="31">
        <v>46093</v>
      </c>
      <c r="AI9" s="31"/>
    </row>
    <row r="10" spans="1:42" s="34" customFormat="1" ht="25.7" customHeight="1" thickBot="1" x14ac:dyDescent="0.3">
      <c r="A10" s="93"/>
      <c r="B10" s="47"/>
      <c r="C10" s="94"/>
      <c r="D10" s="33"/>
      <c r="E10" s="33">
        <f t="shared" ref="E10:L10" si="43">E9-D9</f>
        <v>158</v>
      </c>
      <c r="F10" s="33">
        <f t="shared" si="43"/>
        <v>176</v>
      </c>
      <c r="G10" s="33">
        <f t="shared" si="43"/>
        <v>154</v>
      </c>
      <c r="H10" s="33">
        <f t="shared" si="43"/>
        <v>144</v>
      </c>
      <c r="I10" s="33">
        <f t="shared" si="43"/>
        <v>118</v>
      </c>
      <c r="J10" s="33">
        <f t="shared" si="43"/>
        <v>0</v>
      </c>
      <c r="K10" s="33">
        <f t="shared" si="43"/>
        <v>149</v>
      </c>
      <c r="L10" s="33">
        <f t="shared" si="43"/>
        <v>35</v>
      </c>
      <c r="M10" s="33">
        <f t="shared" ref="M10" si="44">M9-L9</f>
        <v>133</v>
      </c>
      <c r="N10" s="33">
        <f t="shared" ref="N10" si="45">N9-M9</f>
        <v>168</v>
      </c>
      <c r="O10" s="33">
        <f t="shared" si="2"/>
        <v>163</v>
      </c>
      <c r="P10" s="33">
        <f t="shared" ref="P10" si="46">P9-O9</f>
        <v>149</v>
      </c>
      <c r="Q10" s="33">
        <f t="shared" ref="Q10" si="47">Q9-P9</f>
        <v>142</v>
      </c>
      <c r="R10" s="33">
        <f t="shared" ref="R10" si="48">R9-Q9</f>
        <v>31</v>
      </c>
      <c r="S10" s="33">
        <f t="shared" ref="S10" si="49">S9-R9</f>
        <v>145</v>
      </c>
      <c r="T10" s="33">
        <f t="shared" ref="T10" si="50">T9-S9</f>
        <v>177</v>
      </c>
      <c r="U10" s="33">
        <f t="shared" ref="U10" si="51">U9-T9</f>
        <v>165</v>
      </c>
      <c r="V10" s="33">
        <f t="shared" ref="V10" si="52">V9-U9</f>
        <v>169</v>
      </c>
      <c r="W10" s="33">
        <f t="shared" ref="W10" si="53">W9-V9</f>
        <v>153</v>
      </c>
      <c r="X10" s="33">
        <f t="shared" ref="X10" si="54">X9-W9</f>
        <v>156</v>
      </c>
      <c r="Y10" s="33">
        <f t="shared" ref="Y10" si="55">Y9-X9</f>
        <v>33</v>
      </c>
      <c r="Z10" s="33">
        <f t="shared" ref="Z10" si="56">Z9-Y9</f>
        <v>164</v>
      </c>
      <c r="AA10" s="33">
        <f t="shared" ref="AA10" si="57">AA9-Z9</f>
        <v>182</v>
      </c>
      <c r="AB10" s="33">
        <f t="shared" ref="AB10" si="58">AB9-AA9</f>
        <v>174</v>
      </c>
      <c r="AC10" s="33">
        <f t="shared" ref="AC10" si="59">AC9-AB9</f>
        <v>185</v>
      </c>
      <c r="AD10" s="33">
        <f t="shared" ref="AD10" si="60">AD9-AC9</f>
        <v>199</v>
      </c>
      <c r="AE10" s="33">
        <f t="shared" ref="AE10" si="61">AE9-AD9</f>
        <v>192</v>
      </c>
      <c r="AF10" s="33">
        <f t="shared" ref="AF10" si="62">AF9-AE9</f>
        <v>51</v>
      </c>
      <c r="AG10" s="33">
        <f t="shared" ref="AG10:AH10" si="63">AG9-AF9</f>
        <v>127</v>
      </c>
      <c r="AH10" s="33">
        <f t="shared" si="63"/>
        <v>144</v>
      </c>
      <c r="AI10" s="33"/>
      <c r="AJ10" s="8"/>
      <c r="AK10" s="8"/>
      <c r="AL10" s="8"/>
      <c r="AM10" s="8"/>
      <c r="AN10" s="8"/>
      <c r="AO10" s="8"/>
      <c r="AP10" s="8"/>
    </row>
    <row r="11" spans="1:42" s="8" customFormat="1" ht="25.7" customHeight="1" x14ac:dyDescent="0.25">
      <c r="A11" s="95">
        <v>5</v>
      </c>
      <c r="B11" s="27">
        <v>68864837</v>
      </c>
      <c r="C11" s="94" t="s">
        <v>72</v>
      </c>
      <c r="D11" s="31">
        <v>2617.7689999999998</v>
      </c>
      <c r="E11" s="31">
        <v>2619.34</v>
      </c>
      <c r="F11" s="31">
        <v>2620.6790000000001</v>
      </c>
      <c r="G11" s="31">
        <v>2621.5709999999999</v>
      </c>
      <c r="H11" s="31">
        <v>2622.4639999999999</v>
      </c>
      <c r="I11" s="31">
        <v>2624.451</v>
      </c>
      <c r="J11" s="31">
        <v>2624.451</v>
      </c>
      <c r="K11" s="31">
        <v>2626.0349999999999</v>
      </c>
      <c r="L11" s="31">
        <v>2627.1529999999998</v>
      </c>
      <c r="M11" s="31">
        <v>2628.3119999999999</v>
      </c>
      <c r="N11" s="31">
        <v>2629.39</v>
      </c>
      <c r="O11" s="31">
        <v>2630.3229999999999</v>
      </c>
      <c r="P11" s="31">
        <v>2632.0859999999998</v>
      </c>
      <c r="Q11" s="31">
        <v>2632.991</v>
      </c>
      <c r="R11" s="31">
        <v>2633.7269999999999</v>
      </c>
      <c r="S11" s="31">
        <v>2635.201</v>
      </c>
      <c r="T11" s="31">
        <v>2636.1</v>
      </c>
      <c r="U11" s="31">
        <v>2637.7669999999998</v>
      </c>
      <c r="V11" s="31">
        <v>2638.6979999999999</v>
      </c>
      <c r="W11" s="31">
        <v>2639.625</v>
      </c>
      <c r="X11" s="31">
        <v>2641.645</v>
      </c>
      <c r="Y11" s="31">
        <v>2642.884</v>
      </c>
      <c r="Z11" s="31">
        <v>2644.3310000000001</v>
      </c>
      <c r="AA11" s="31">
        <v>2646.24</v>
      </c>
      <c r="AB11" s="31">
        <v>2647.1849999999999</v>
      </c>
      <c r="AC11" s="31">
        <v>2648.297</v>
      </c>
      <c r="AD11" s="31">
        <v>2649.3249999999998</v>
      </c>
      <c r="AE11" s="31">
        <v>2650.4349999999999</v>
      </c>
      <c r="AF11" s="31">
        <v>2652.0929999999998</v>
      </c>
      <c r="AG11" s="31">
        <v>2653.261</v>
      </c>
      <c r="AH11" s="31">
        <v>2654.7289999999998</v>
      </c>
      <c r="AI11" s="31"/>
    </row>
    <row r="12" spans="1:42" s="8" customFormat="1" ht="25.7" customHeight="1" thickBot="1" x14ac:dyDescent="0.3">
      <c r="A12" s="96"/>
      <c r="B12" s="48"/>
      <c r="C12" s="94"/>
      <c r="D12" s="33"/>
      <c r="E12" s="33">
        <f t="shared" ref="E12:L12" si="64">E11-D11</f>
        <v>1.5710000000003674</v>
      </c>
      <c r="F12" s="33">
        <f t="shared" si="64"/>
        <v>1.3389999999999418</v>
      </c>
      <c r="G12" s="33">
        <f t="shared" si="64"/>
        <v>0.89199999999982538</v>
      </c>
      <c r="H12" s="33">
        <f t="shared" si="64"/>
        <v>0.8930000000000291</v>
      </c>
      <c r="I12" s="33">
        <f t="shared" si="64"/>
        <v>1.98700000000008</v>
      </c>
      <c r="J12" s="33">
        <f t="shared" si="64"/>
        <v>0</v>
      </c>
      <c r="K12" s="33">
        <f t="shared" si="64"/>
        <v>1.5839999999998327</v>
      </c>
      <c r="L12" s="33">
        <f t="shared" si="64"/>
        <v>1.1179999999999382</v>
      </c>
      <c r="M12" s="33">
        <f t="shared" ref="M12" si="65">M11-L11</f>
        <v>1.1590000000001055</v>
      </c>
      <c r="N12" s="33">
        <f t="shared" ref="N12" si="66">N11-M11</f>
        <v>1.0779999999999745</v>
      </c>
      <c r="O12" s="33">
        <f t="shared" si="2"/>
        <v>0.93299999999999272</v>
      </c>
      <c r="P12" s="33">
        <f t="shared" ref="P12" si="67">P11-O11</f>
        <v>1.76299999999992</v>
      </c>
      <c r="Q12" s="33">
        <f t="shared" ref="Q12" si="68">Q11-P11</f>
        <v>0.90500000000020009</v>
      </c>
      <c r="R12" s="33">
        <f t="shared" ref="R12" si="69">R11-Q11</f>
        <v>0.73599999999987631</v>
      </c>
      <c r="S12" s="33">
        <f t="shared" ref="S12" si="70">S11-R11</f>
        <v>1.4740000000001601</v>
      </c>
      <c r="T12" s="33">
        <f t="shared" ref="T12" si="71">T11-S11</f>
        <v>0.89899999999988722</v>
      </c>
      <c r="U12" s="33">
        <f t="shared" ref="U12" si="72">U11-T11</f>
        <v>1.6669999999999163</v>
      </c>
      <c r="V12" s="33">
        <f t="shared" ref="V12" si="73">V11-U11</f>
        <v>0.93100000000004002</v>
      </c>
      <c r="W12" s="33">
        <f t="shared" ref="W12" si="74">W11-V11</f>
        <v>0.92700000000013461</v>
      </c>
      <c r="X12" s="33">
        <f t="shared" ref="X12" si="75">X11-W11</f>
        <v>2.0199999999999818</v>
      </c>
      <c r="Y12" s="33">
        <f t="shared" ref="Y12" si="76">Y11-X11</f>
        <v>1.2390000000000327</v>
      </c>
      <c r="Z12" s="33">
        <f t="shared" ref="Z12" si="77">Z11-Y11</f>
        <v>1.4470000000001164</v>
      </c>
      <c r="AA12" s="33">
        <f t="shared" ref="AA12" si="78">AA11-Z11</f>
        <v>1.9089999999996508</v>
      </c>
      <c r="AB12" s="33">
        <f t="shared" ref="AB12" si="79">AB11-AA11</f>
        <v>0.94500000000016371</v>
      </c>
      <c r="AC12" s="33">
        <f t="shared" ref="AC12" si="80">AC11-AB11</f>
        <v>1.11200000000008</v>
      </c>
      <c r="AD12" s="33">
        <f t="shared" ref="AD12" si="81">AD11-AC11</f>
        <v>1.0279999999997926</v>
      </c>
      <c r="AE12" s="33">
        <f t="shared" ref="AE12" si="82">AE11-AD11</f>
        <v>1.1100000000001273</v>
      </c>
      <c r="AF12" s="33">
        <f t="shared" ref="AF12" si="83">AF11-AE11</f>
        <v>1.6579999999999018</v>
      </c>
      <c r="AG12" s="33">
        <f t="shared" ref="AG12:AH12" si="84">AG11-AF11</f>
        <v>1.1680000000001201</v>
      </c>
      <c r="AH12" s="33">
        <f t="shared" si="84"/>
        <v>1.4679999999998472</v>
      </c>
      <c r="AI12" s="33"/>
    </row>
    <row r="13" spans="1:42" s="8" customFormat="1" ht="25.7" customHeight="1" x14ac:dyDescent="0.25">
      <c r="A13" s="95">
        <v>6</v>
      </c>
      <c r="B13" s="27">
        <v>65296485</v>
      </c>
      <c r="C13" s="94" t="s">
        <v>73</v>
      </c>
      <c r="D13" s="31">
        <v>3337.7539999999999</v>
      </c>
      <c r="E13" s="31">
        <v>3342.672</v>
      </c>
      <c r="F13" s="31">
        <v>3344.76</v>
      </c>
      <c r="G13" s="31">
        <v>3347.0880000000002</v>
      </c>
      <c r="H13" s="31">
        <v>3348.1779999999999</v>
      </c>
      <c r="I13" s="31">
        <v>3352.7860000000001</v>
      </c>
      <c r="J13" s="31">
        <v>3352.7860000000001</v>
      </c>
      <c r="K13" s="31">
        <v>3356.0210000000002</v>
      </c>
      <c r="L13" s="31">
        <v>3361.5909999999999</v>
      </c>
      <c r="M13" s="31">
        <v>3365.4989999999998</v>
      </c>
      <c r="N13" s="31">
        <v>3369.2240000000002</v>
      </c>
      <c r="O13" s="31">
        <v>3375.643</v>
      </c>
      <c r="P13" s="31">
        <v>3378.0430000000001</v>
      </c>
      <c r="Q13" s="31">
        <v>3379.6840000000002</v>
      </c>
      <c r="R13" s="31">
        <v>3381.1509999999998</v>
      </c>
      <c r="S13" s="31">
        <v>3383.4229999999998</v>
      </c>
      <c r="T13" s="31">
        <v>3386.4119999999998</v>
      </c>
      <c r="U13" s="31">
        <v>3387.7777000000001</v>
      </c>
      <c r="V13" s="31">
        <v>3389.6289999999999</v>
      </c>
      <c r="W13" s="31">
        <v>3392.1390000000001</v>
      </c>
      <c r="X13" s="31">
        <v>3394.3220000000001</v>
      </c>
      <c r="Y13" s="31">
        <v>3395.8870000000002</v>
      </c>
      <c r="Z13" s="31">
        <v>3399.27</v>
      </c>
      <c r="AA13" s="31">
        <v>3402.6950000000002</v>
      </c>
      <c r="AB13" s="31">
        <v>3405.0940000000001</v>
      </c>
      <c r="AC13" s="31">
        <v>3407.4830000000002</v>
      </c>
      <c r="AD13" s="31">
        <v>3412.1909999999998</v>
      </c>
      <c r="AE13" s="31">
        <v>3414.069</v>
      </c>
      <c r="AF13" s="31">
        <v>3417.7640000000001</v>
      </c>
      <c r="AG13" s="31">
        <v>3422.2939999999999</v>
      </c>
      <c r="AH13" s="31">
        <v>3425.7739999999999</v>
      </c>
      <c r="AI13" s="31"/>
    </row>
    <row r="14" spans="1:42" s="8" customFormat="1" ht="25.7" customHeight="1" thickBot="1" x14ac:dyDescent="0.3">
      <c r="A14" s="96"/>
      <c r="B14" s="48"/>
      <c r="C14" s="94"/>
      <c r="D14" s="33"/>
      <c r="E14" s="33">
        <f t="shared" ref="E14:L14" si="85">E13-D13</f>
        <v>4.9180000000001201</v>
      </c>
      <c r="F14" s="33">
        <f t="shared" si="85"/>
        <v>2.0880000000001928</v>
      </c>
      <c r="G14" s="33">
        <f t="shared" si="85"/>
        <v>2.3279999999999745</v>
      </c>
      <c r="H14" s="33">
        <f t="shared" si="85"/>
        <v>1.0899999999996908</v>
      </c>
      <c r="I14" s="33">
        <f t="shared" si="85"/>
        <v>4.6080000000001746</v>
      </c>
      <c r="J14" s="33">
        <f t="shared" si="85"/>
        <v>0</v>
      </c>
      <c r="K14" s="33">
        <f t="shared" si="85"/>
        <v>3.2350000000001273</v>
      </c>
      <c r="L14" s="33">
        <f t="shared" si="85"/>
        <v>5.569999999999709</v>
      </c>
      <c r="M14" s="33">
        <f t="shared" ref="M14" si="86">M13-L13</f>
        <v>3.9079999999999018</v>
      </c>
      <c r="N14" s="33">
        <f t="shared" ref="N14" si="87">N13-M13</f>
        <v>3.7250000000003638</v>
      </c>
      <c r="O14" s="33">
        <f t="shared" si="2"/>
        <v>6.418999999999869</v>
      </c>
      <c r="P14" s="33">
        <f t="shared" ref="P14" si="88">P13-O13</f>
        <v>2.4000000000000909</v>
      </c>
      <c r="Q14" s="33">
        <f t="shared" ref="Q14" si="89">Q13-P13</f>
        <v>1.6410000000000764</v>
      </c>
      <c r="R14" s="33">
        <f t="shared" ref="R14" si="90">R13-Q13</f>
        <v>1.4669999999996435</v>
      </c>
      <c r="S14" s="33">
        <f t="shared" ref="S14" si="91">S13-R13</f>
        <v>2.2719999999999345</v>
      </c>
      <c r="T14" s="33">
        <f t="shared" ref="T14" si="92">T13-S13</f>
        <v>2.9890000000000327</v>
      </c>
      <c r="U14" s="33">
        <f t="shared" ref="U14" si="93">U13-T13</f>
        <v>1.3657000000002881</v>
      </c>
      <c r="V14" s="33">
        <f t="shared" ref="V14" si="94">V13-U13</f>
        <v>1.8512999999998101</v>
      </c>
      <c r="W14" s="33">
        <f t="shared" ref="W14" si="95">W13-V13</f>
        <v>2.5100000000002183</v>
      </c>
      <c r="X14" s="33">
        <f t="shared" ref="X14" si="96">X13-W13</f>
        <v>2.1829999999999927</v>
      </c>
      <c r="Y14" s="33">
        <f t="shared" ref="Y14" si="97">Y13-X13</f>
        <v>1.5650000000000546</v>
      </c>
      <c r="Z14" s="33">
        <f t="shared" ref="Z14" si="98">Z13-Y13</f>
        <v>3.3829999999998108</v>
      </c>
      <c r="AA14" s="33">
        <f t="shared" ref="AA14" si="99">AA13-Z13</f>
        <v>3.4250000000001819</v>
      </c>
      <c r="AB14" s="33">
        <f t="shared" ref="AB14" si="100">AB13-AA13</f>
        <v>2.3989999999998872</v>
      </c>
      <c r="AC14" s="33">
        <f t="shared" ref="AC14" si="101">AC13-AB13</f>
        <v>2.3890000000001237</v>
      </c>
      <c r="AD14" s="33">
        <f t="shared" ref="AD14" si="102">AD13-AC13</f>
        <v>4.7079999999996289</v>
      </c>
      <c r="AE14" s="33">
        <f t="shared" ref="AE14" si="103">AE13-AD13</f>
        <v>1.8780000000001564</v>
      </c>
      <c r="AF14" s="33">
        <f t="shared" ref="AF14" si="104">AF13-AE13</f>
        <v>3.6950000000001637</v>
      </c>
      <c r="AG14" s="33">
        <f t="shared" ref="AG14:AH14" si="105">AG13-AF13</f>
        <v>4.5299999999997453</v>
      </c>
      <c r="AH14" s="33">
        <f t="shared" si="105"/>
        <v>3.4800000000000182</v>
      </c>
      <c r="AI14" s="33"/>
      <c r="AJ14" s="2"/>
      <c r="AK14" s="2"/>
      <c r="AL14" s="2"/>
      <c r="AM14" s="2"/>
      <c r="AN14" s="2"/>
      <c r="AO14" s="2"/>
      <c r="AP14" s="2"/>
    </row>
    <row r="15" spans="1:42" ht="33" customHeight="1" x14ac:dyDescent="0.25">
      <c r="B15" s="88" t="s">
        <v>74</v>
      </c>
      <c r="C15" s="88"/>
      <c r="D15" s="50"/>
      <c r="E15" s="51">
        <f>E6+((E8*45%)+(E10*45%)+(E12+E14))</f>
        <v>290.99899999999525</v>
      </c>
      <c r="F15" s="51">
        <f t="shared" ref="F15:AH15" si="106">F6+((F8*45%)+(F10*45%)+(F12+F14))</f>
        <v>311.66700000000537</v>
      </c>
      <c r="G15" s="51">
        <f t="shared" si="106"/>
        <v>297.10999999997887</v>
      </c>
      <c r="H15" s="51">
        <f t="shared" si="106"/>
        <v>309.73299999999972</v>
      </c>
      <c r="I15" s="51">
        <f t="shared" si="106"/>
        <v>256.71000000000549</v>
      </c>
      <c r="J15" s="51">
        <f t="shared" si="106"/>
        <v>274.37000000001569</v>
      </c>
      <c r="K15" s="51">
        <f t="shared" si="106"/>
        <v>356.19899999998427</v>
      </c>
      <c r="L15" s="51">
        <f t="shared" si="106"/>
        <v>247.15800000001536</v>
      </c>
      <c r="M15" s="51">
        <f t="shared" si="106"/>
        <v>394.65199999999476</v>
      </c>
      <c r="N15" s="51">
        <f t="shared" si="106"/>
        <v>312.08299999998462</v>
      </c>
      <c r="O15" s="51">
        <f t="shared" si="106"/>
        <v>308.38200000001035</v>
      </c>
      <c r="P15" s="51">
        <f t="shared" si="106"/>
        <v>346.71300000000002</v>
      </c>
      <c r="Q15" s="51">
        <f t="shared" si="106"/>
        <v>303.62200000001286</v>
      </c>
      <c r="R15" s="51">
        <f t="shared" si="106"/>
        <v>238.42199999997646</v>
      </c>
      <c r="S15" s="51">
        <f t="shared" si="106"/>
        <v>328.22600000001057</v>
      </c>
      <c r="T15" s="51">
        <f t="shared" si="106"/>
        <v>360.84799999999467</v>
      </c>
      <c r="U15" s="51">
        <f t="shared" si="106"/>
        <v>338.87270000000547</v>
      </c>
      <c r="V15" s="51">
        <f t="shared" si="106"/>
        <v>353.30729999999983</v>
      </c>
      <c r="W15" s="51">
        <f t="shared" si="106"/>
        <v>332.92199999999514</v>
      </c>
      <c r="X15" s="51">
        <f t="shared" si="106"/>
        <v>329.21800000000519</v>
      </c>
      <c r="Y15" s="51">
        <f t="shared" si="106"/>
        <v>274.02900000000011</v>
      </c>
      <c r="Z15" s="51">
        <f t="shared" si="106"/>
        <v>324.83999999999469</v>
      </c>
      <c r="AA15" s="51">
        <f t="shared" si="106"/>
        <v>323.68900000001031</v>
      </c>
      <c r="AB15" s="51">
        <f t="shared" si="106"/>
        <v>360.07899999999483</v>
      </c>
      <c r="AC15" s="51">
        <f t="shared" si="106"/>
        <v>323.5010000000002</v>
      </c>
      <c r="AD15" s="51">
        <f t="shared" si="106"/>
        <v>353.57600000000468</v>
      </c>
      <c r="AE15" s="51">
        <f t="shared" si="106"/>
        <v>372.79299999998454</v>
      </c>
      <c r="AF15" s="51">
        <f t="shared" si="106"/>
        <v>270.20800000001054</v>
      </c>
      <c r="AG15" s="51">
        <f t="shared" si="106"/>
        <v>314.49799999999988</v>
      </c>
      <c r="AH15" s="51">
        <f t="shared" si="106"/>
        <v>286.03800000000513</v>
      </c>
      <c r="AI15" s="51"/>
    </row>
    <row r="16" spans="1:42" ht="33" customHeight="1" x14ac:dyDescent="0.25">
      <c r="B16" s="87" t="s">
        <v>75</v>
      </c>
      <c r="C16" s="87"/>
      <c r="D16" s="50"/>
      <c r="E16" s="51">
        <f>SUM(E15:AI15)</f>
        <v>9494.4649999999983</v>
      </c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</row>
    <row r="17" spans="2:2" ht="70.5" customHeight="1" x14ac:dyDescent="0.25">
      <c r="B17" s="8" t="s">
        <v>87</v>
      </c>
    </row>
    <row r="21" spans="2:2" s="2" customFormat="1" ht="70.5" customHeight="1" x14ac:dyDescent="0.25"/>
    <row r="22" spans="2:2" s="2" customFormat="1" ht="70.5" customHeight="1" x14ac:dyDescent="0.25"/>
    <row r="23" spans="2:2" s="2" customFormat="1" ht="70.5" customHeight="1" x14ac:dyDescent="0.25"/>
    <row r="24" spans="2:2" s="2" customFormat="1" ht="70.5" customHeight="1" x14ac:dyDescent="0.25"/>
    <row r="25" spans="2:2" s="2" customFormat="1" ht="70.5" customHeight="1" x14ac:dyDescent="0.25"/>
    <row r="26" spans="2:2" s="2" customFormat="1" ht="70.5" customHeight="1" x14ac:dyDescent="0.25"/>
    <row r="27" spans="2:2" s="2" customFormat="1" ht="70.5" customHeight="1" x14ac:dyDescent="0.25"/>
    <row r="28" spans="2:2" s="2" customFormat="1" ht="70.5" customHeight="1" x14ac:dyDescent="0.25"/>
    <row r="29" spans="2:2" s="2" customFormat="1" ht="70.5" customHeight="1" x14ac:dyDescent="0.25"/>
  </sheetData>
  <mergeCells count="14">
    <mergeCell ref="B16:C16"/>
    <mergeCell ref="B15:C15"/>
    <mergeCell ref="B2:AI2"/>
    <mergeCell ref="B3:AI3"/>
    <mergeCell ref="A5:A6"/>
    <mergeCell ref="C5:C6"/>
    <mergeCell ref="A9:A10"/>
    <mergeCell ref="C9:C10"/>
    <mergeCell ref="A11:A12"/>
    <mergeCell ref="C11:C12"/>
    <mergeCell ref="A13:A14"/>
    <mergeCell ref="C13:C14"/>
    <mergeCell ref="A7:A8"/>
    <mergeCell ref="C7:C8"/>
  </mergeCells>
  <phoneticPr fontId="26" type="noConversion"/>
  <printOptions horizontalCentered="1" verticalCentered="1"/>
  <pageMargins left="0.25" right="0.25" top="0.75" bottom="0.75" header="0.3" footer="0.3"/>
  <pageSetup paperSize="8" scale="49" orientation="landscape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DE04D-592C-4C8E-B760-4650AD8D8388}">
  <sheetPr>
    <pageSetUpPr fitToPage="1"/>
  </sheetPr>
  <dimension ref="A1:AG13"/>
  <sheetViews>
    <sheetView zoomScaleNormal="100" workbookViewId="0">
      <pane ySplit="3" topLeftCell="A4" activePane="bottomLeft" state="frozen"/>
      <selection pane="bottomLeft" activeCell="AF7" sqref="AF7"/>
    </sheetView>
  </sheetViews>
  <sheetFormatPr defaultRowHeight="15" x14ac:dyDescent="0.25"/>
  <cols>
    <col min="1" max="1" width="16" customWidth="1"/>
    <col min="2" max="2" width="13.5703125" customWidth="1"/>
    <col min="3" max="4" width="10.7109375" customWidth="1"/>
    <col min="5" max="5" width="12.28515625" bestFit="1" customWidth="1"/>
  </cols>
  <sheetData>
    <row r="1" spans="1:33" ht="54.75" customHeight="1" x14ac:dyDescent="0.25">
      <c r="A1" s="102" t="s">
        <v>91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</row>
    <row r="3" spans="1:33" ht="43.5" customHeight="1" x14ac:dyDescent="0.25">
      <c r="A3" s="57"/>
      <c r="B3" s="58" t="s">
        <v>35</v>
      </c>
      <c r="C3" s="59">
        <v>1</v>
      </c>
      <c r="D3" s="59">
        <v>2</v>
      </c>
      <c r="E3" s="59">
        <v>3</v>
      </c>
      <c r="F3" s="59">
        <v>4</v>
      </c>
      <c r="G3" s="59">
        <v>5</v>
      </c>
      <c r="H3" s="59">
        <v>6</v>
      </c>
      <c r="I3" s="59">
        <v>7</v>
      </c>
      <c r="J3" s="59">
        <v>8</v>
      </c>
      <c r="K3" s="59">
        <v>9</v>
      </c>
      <c r="L3" s="59">
        <v>10</v>
      </c>
      <c r="M3" s="59">
        <v>11</v>
      </c>
      <c r="N3" s="59">
        <v>12</v>
      </c>
      <c r="O3" s="59">
        <v>13</v>
      </c>
      <c r="P3" s="59">
        <v>14</v>
      </c>
      <c r="Q3" s="59">
        <v>15</v>
      </c>
      <c r="R3" s="59">
        <v>16</v>
      </c>
      <c r="S3" s="59">
        <v>17</v>
      </c>
      <c r="T3" s="59">
        <v>18</v>
      </c>
      <c r="U3" s="59">
        <v>19</v>
      </c>
      <c r="V3" s="59">
        <v>20</v>
      </c>
      <c r="W3" s="59">
        <v>21</v>
      </c>
      <c r="X3" s="59">
        <v>22</v>
      </c>
      <c r="Y3" s="59">
        <v>23</v>
      </c>
      <c r="Z3" s="59">
        <v>24</v>
      </c>
      <c r="AA3" s="59">
        <v>25</v>
      </c>
      <c r="AB3" s="59">
        <v>26</v>
      </c>
      <c r="AC3" s="59">
        <v>27</v>
      </c>
      <c r="AD3" s="59">
        <v>28</v>
      </c>
      <c r="AE3" s="59">
        <v>29</v>
      </c>
      <c r="AF3" s="59">
        <v>30</v>
      </c>
      <c r="AG3" s="59">
        <v>31</v>
      </c>
    </row>
    <row r="4" spans="1:33" ht="39.950000000000003" customHeight="1" x14ac:dyDescent="0.25">
      <c r="A4" s="59" t="s">
        <v>80</v>
      </c>
      <c r="B4" s="60">
        <v>281544</v>
      </c>
      <c r="C4" s="61">
        <v>282277</v>
      </c>
      <c r="D4" s="61">
        <v>282969</v>
      </c>
      <c r="E4" s="61">
        <v>283671</v>
      </c>
      <c r="F4" s="61">
        <v>284345</v>
      </c>
      <c r="G4" s="61">
        <v>285011</v>
      </c>
      <c r="H4" s="61">
        <v>285614</v>
      </c>
      <c r="I4" s="61">
        <v>286394</v>
      </c>
      <c r="J4" s="61">
        <v>287160</v>
      </c>
      <c r="K4" s="61">
        <v>287993</v>
      </c>
      <c r="L4" s="61">
        <v>288664</v>
      </c>
      <c r="M4" s="61">
        <v>289386</v>
      </c>
      <c r="N4" s="61">
        <v>290192</v>
      </c>
      <c r="O4" s="61">
        <v>290844</v>
      </c>
      <c r="P4" s="61">
        <v>291559</v>
      </c>
      <c r="Q4" s="61">
        <v>292332</v>
      </c>
      <c r="R4" s="61">
        <v>293051</v>
      </c>
      <c r="S4" s="61">
        <v>293957</v>
      </c>
      <c r="T4" s="61">
        <v>294879</v>
      </c>
      <c r="U4" s="61">
        <v>295258</v>
      </c>
      <c r="V4" s="61">
        <v>296081</v>
      </c>
      <c r="W4" s="61">
        <v>296748</v>
      </c>
      <c r="X4" s="61">
        <v>297544</v>
      </c>
      <c r="Y4" s="62">
        <v>298350</v>
      </c>
      <c r="Z4" s="61">
        <v>299037</v>
      </c>
      <c r="AA4" s="61">
        <v>299767</v>
      </c>
      <c r="AB4" s="61">
        <v>300529</v>
      </c>
      <c r="AC4" s="61">
        <v>301270</v>
      </c>
      <c r="AD4" s="64">
        <v>302003</v>
      </c>
      <c r="AE4" s="65">
        <v>302914</v>
      </c>
      <c r="AF4" s="64">
        <v>303494</v>
      </c>
      <c r="AG4" s="64"/>
    </row>
    <row r="5" spans="1:33" ht="39.950000000000003" customHeight="1" x14ac:dyDescent="0.25">
      <c r="A5" s="59"/>
      <c r="B5" s="60"/>
      <c r="C5" s="63">
        <f>(C4-B4)*3.2</f>
        <v>2345.6</v>
      </c>
      <c r="D5" s="63">
        <f t="shared" ref="D5:AC5" si="0">(D4-C4)*3.2</f>
        <v>2214.4</v>
      </c>
      <c r="E5" s="63">
        <f t="shared" si="0"/>
        <v>2246.4</v>
      </c>
      <c r="F5" s="63">
        <f t="shared" si="0"/>
        <v>2156.8000000000002</v>
      </c>
      <c r="G5" s="63">
        <f t="shared" si="0"/>
        <v>2131.2000000000003</v>
      </c>
      <c r="H5" s="63">
        <f t="shared" si="0"/>
        <v>1929.6000000000001</v>
      </c>
      <c r="I5" s="63">
        <f t="shared" si="0"/>
        <v>2496</v>
      </c>
      <c r="J5" s="63">
        <f t="shared" si="0"/>
        <v>2451.2000000000003</v>
      </c>
      <c r="K5" s="63">
        <f t="shared" si="0"/>
        <v>2665.6000000000004</v>
      </c>
      <c r="L5" s="63">
        <f t="shared" si="0"/>
        <v>2147.2000000000003</v>
      </c>
      <c r="M5" s="63">
        <f t="shared" si="0"/>
        <v>2310.4</v>
      </c>
      <c r="N5" s="63">
        <f t="shared" si="0"/>
        <v>2579.2000000000003</v>
      </c>
      <c r="O5" s="63">
        <f t="shared" si="0"/>
        <v>2086.4</v>
      </c>
      <c r="P5" s="63">
        <f t="shared" si="0"/>
        <v>2288</v>
      </c>
      <c r="Q5" s="63">
        <f t="shared" si="0"/>
        <v>2473.6000000000004</v>
      </c>
      <c r="R5" s="63">
        <f t="shared" si="0"/>
        <v>2300.8000000000002</v>
      </c>
      <c r="S5" s="63">
        <f t="shared" si="0"/>
        <v>2899.2000000000003</v>
      </c>
      <c r="T5" s="63">
        <f t="shared" si="0"/>
        <v>2950.4</v>
      </c>
      <c r="U5" s="63">
        <f t="shared" si="0"/>
        <v>1212.8</v>
      </c>
      <c r="V5" s="63">
        <f t="shared" si="0"/>
        <v>2633.6000000000004</v>
      </c>
      <c r="W5" s="63">
        <f t="shared" si="0"/>
        <v>2134.4</v>
      </c>
      <c r="X5" s="63">
        <f t="shared" si="0"/>
        <v>2547.2000000000003</v>
      </c>
      <c r="Y5" s="63">
        <f t="shared" si="0"/>
        <v>2579.2000000000003</v>
      </c>
      <c r="Z5" s="63">
        <f t="shared" si="0"/>
        <v>2198.4</v>
      </c>
      <c r="AA5" s="63">
        <f t="shared" si="0"/>
        <v>2336</v>
      </c>
      <c r="AB5" s="63">
        <f t="shared" si="0"/>
        <v>2438.4</v>
      </c>
      <c r="AC5" s="63">
        <f t="shared" si="0"/>
        <v>2371.2000000000003</v>
      </c>
      <c r="AD5" s="63">
        <f>(AD4-AC4)*3.2</f>
        <v>2345.6</v>
      </c>
      <c r="AE5" s="63">
        <f t="shared" ref="AE5:AF5" si="1">(AE4-AD4)*3.2</f>
        <v>2915.2000000000003</v>
      </c>
      <c r="AF5" s="63">
        <f t="shared" si="1"/>
        <v>1856</v>
      </c>
      <c r="AG5" s="63"/>
    </row>
    <row r="6" spans="1:33" ht="39.950000000000003" customHeight="1" x14ac:dyDescent="0.25">
      <c r="A6" s="59" t="s">
        <v>81</v>
      </c>
      <c r="B6" s="60">
        <v>296080.7</v>
      </c>
      <c r="C6" s="61">
        <v>296113.18</v>
      </c>
      <c r="D6" s="61">
        <v>296140.7</v>
      </c>
      <c r="E6" s="61">
        <v>296168.98</v>
      </c>
      <c r="F6" s="61">
        <v>296193.89999999997</v>
      </c>
      <c r="G6" s="61">
        <v>296219.90999999997</v>
      </c>
      <c r="H6" s="61">
        <v>296242.83999999997</v>
      </c>
      <c r="I6" s="61">
        <v>296261.92000000004</v>
      </c>
      <c r="J6" s="61">
        <v>296288.34999999998</v>
      </c>
      <c r="K6" s="61">
        <v>296315.31000000006</v>
      </c>
      <c r="L6" s="61">
        <v>296337.21000000002</v>
      </c>
      <c r="M6" s="61">
        <v>296361.71999999997</v>
      </c>
      <c r="N6" s="61">
        <v>296381.29000000004</v>
      </c>
      <c r="O6" s="61">
        <v>296403.58</v>
      </c>
      <c r="P6" s="61">
        <v>296414.01</v>
      </c>
      <c r="Q6" s="61">
        <v>296448.99000000005</v>
      </c>
      <c r="R6" s="61">
        <v>296474.76</v>
      </c>
      <c r="S6" s="61">
        <v>296507.58</v>
      </c>
      <c r="T6" s="61">
        <v>296527.38</v>
      </c>
      <c r="U6" s="61">
        <v>296551.56</v>
      </c>
      <c r="V6" s="61">
        <v>296573.86</v>
      </c>
      <c r="W6" s="61">
        <v>296592.16000000003</v>
      </c>
      <c r="X6" s="61">
        <v>296625.02999999997</v>
      </c>
      <c r="Y6" s="61">
        <v>296647.02999999997</v>
      </c>
      <c r="Z6" s="61">
        <v>296666.21000000002</v>
      </c>
      <c r="AA6" s="61">
        <v>296684.87</v>
      </c>
      <c r="AB6" s="61">
        <v>296701.087</v>
      </c>
      <c r="AC6" s="61">
        <v>296721.41000000003</v>
      </c>
      <c r="AD6" s="61">
        <v>296739.11699999997</v>
      </c>
      <c r="AE6" s="61">
        <v>296769.33</v>
      </c>
      <c r="AF6" s="61">
        <v>296798</v>
      </c>
      <c r="AG6" s="61"/>
    </row>
    <row r="7" spans="1:33" ht="39.950000000000003" customHeight="1" x14ac:dyDescent="0.25">
      <c r="A7" s="59"/>
      <c r="B7" s="60"/>
      <c r="C7" s="63">
        <f>(C6-B6)*3.2</f>
        <v>103.93599999994041</v>
      </c>
      <c r="D7" s="63">
        <f t="shared" ref="D7:AC7" si="2">(D6-C6)*3.2</f>
        <v>88.064000000059607</v>
      </c>
      <c r="E7" s="63">
        <f t="shared" si="2"/>
        <v>90.495999999903148</v>
      </c>
      <c r="F7" s="63">
        <f t="shared" si="2"/>
        <v>79.743999999947846</v>
      </c>
      <c r="G7" s="63">
        <f t="shared" si="2"/>
        <v>83.232000000029814</v>
      </c>
      <c r="H7" s="63">
        <f t="shared" si="2"/>
        <v>73.375999999977651</v>
      </c>
      <c r="I7" s="63">
        <f t="shared" si="2"/>
        <v>61.05600000023842</v>
      </c>
      <c r="J7" s="63">
        <f t="shared" si="2"/>
        <v>84.575999999791392</v>
      </c>
      <c r="K7" s="63">
        <f t="shared" si="2"/>
        <v>86.272000000253328</v>
      </c>
      <c r="L7" s="63">
        <f t="shared" si="2"/>
        <v>70.079999999888244</v>
      </c>
      <c r="M7" s="63">
        <f t="shared" si="2"/>
        <v>78.431999999843541</v>
      </c>
      <c r="N7" s="63">
        <f t="shared" si="2"/>
        <v>62.624000000208618</v>
      </c>
      <c r="O7" s="63">
        <f t="shared" si="2"/>
        <v>71.327999999932942</v>
      </c>
      <c r="P7" s="63">
        <f t="shared" si="2"/>
        <v>33.375999999977651</v>
      </c>
      <c r="Q7" s="63">
        <f t="shared" si="2"/>
        <v>111.93600000012667</v>
      </c>
      <c r="R7" s="63">
        <f t="shared" si="2"/>
        <v>82.463999999873351</v>
      </c>
      <c r="S7" s="63">
        <f t="shared" si="2"/>
        <v>105.02400000002235</v>
      </c>
      <c r="T7" s="63">
        <f t="shared" si="2"/>
        <v>63.359999999962753</v>
      </c>
      <c r="U7" s="63">
        <f t="shared" si="2"/>
        <v>77.375999999977651</v>
      </c>
      <c r="V7" s="63">
        <f t="shared" si="2"/>
        <v>71.359999999962753</v>
      </c>
      <c r="W7" s="63">
        <f t="shared" si="2"/>
        <v>58.560000000149017</v>
      </c>
      <c r="X7" s="63">
        <f t="shared" si="2"/>
        <v>105.18399999979884</v>
      </c>
      <c r="Y7" s="63">
        <f t="shared" si="2"/>
        <v>70.400000000000006</v>
      </c>
      <c r="Z7" s="63">
        <f t="shared" si="2"/>
        <v>61.376000000163913</v>
      </c>
      <c r="AA7" s="63">
        <f t="shared" si="2"/>
        <v>59.711999999918049</v>
      </c>
      <c r="AB7" s="63">
        <f t="shared" si="2"/>
        <v>51.894400000013412</v>
      </c>
      <c r="AC7" s="63">
        <f t="shared" si="2"/>
        <v>65.033600000105807</v>
      </c>
      <c r="AD7" s="63">
        <f t="shared" ref="AD7" si="3">(AD6-AC6)*3.2</f>
        <v>56.662399999797344</v>
      </c>
      <c r="AE7" s="63">
        <f t="shared" ref="AE7:AF7" si="4">(AE6-AD6)*3.2</f>
        <v>96.68160000015051</v>
      </c>
      <c r="AF7" s="63">
        <f t="shared" si="4"/>
        <v>91.743999999947846</v>
      </c>
      <c r="AG7" s="63"/>
    </row>
    <row r="8" spans="1:33" ht="39.950000000000003" customHeight="1" x14ac:dyDescent="0.25">
      <c r="A8" s="103" t="s">
        <v>82</v>
      </c>
      <c r="B8" s="104"/>
      <c r="C8" s="61">
        <f>C5+C7</f>
        <v>2449.5359999999405</v>
      </c>
      <c r="D8" s="61">
        <f t="shared" ref="D8:AF8" si="5">D5+D7</f>
        <v>2302.4640000000595</v>
      </c>
      <c r="E8" s="61">
        <f t="shared" si="5"/>
        <v>2336.8959999999033</v>
      </c>
      <c r="F8" s="61">
        <f t="shared" si="5"/>
        <v>2236.543999999948</v>
      </c>
      <c r="G8" s="61">
        <f t="shared" si="5"/>
        <v>2214.4320000000303</v>
      </c>
      <c r="H8" s="61">
        <f t="shared" si="5"/>
        <v>2002.9759999999778</v>
      </c>
      <c r="I8" s="61">
        <f t="shared" si="5"/>
        <v>2557.0560000002383</v>
      </c>
      <c r="J8" s="61">
        <f t="shared" si="5"/>
        <v>2535.7759999997916</v>
      </c>
      <c r="K8" s="61">
        <f t="shared" si="5"/>
        <v>2751.8720000002536</v>
      </c>
      <c r="L8" s="61">
        <f t="shared" si="5"/>
        <v>2217.2799999998883</v>
      </c>
      <c r="M8" s="61">
        <f t="shared" si="5"/>
        <v>2388.8319999998434</v>
      </c>
      <c r="N8" s="61">
        <f t="shared" si="5"/>
        <v>2641.8240000002088</v>
      </c>
      <c r="O8" s="61">
        <f t="shared" si="5"/>
        <v>2157.7279999999332</v>
      </c>
      <c r="P8" s="61">
        <f t="shared" si="5"/>
        <v>2321.3759999999775</v>
      </c>
      <c r="Q8" s="61">
        <f t="shared" si="5"/>
        <v>2585.5360000001269</v>
      </c>
      <c r="R8" s="61">
        <f t="shared" si="5"/>
        <v>2383.2639999998737</v>
      </c>
      <c r="S8" s="61">
        <f t="shared" si="5"/>
        <v>3004.2240000000224</v>
      </c>
      <c r="T8" s="61">
        <f t="shared" si="5"/>
        <v>3013.7599999999629</v>
      </c>
      <c r="U8" s="61">
        <f t="shared" si="5"/>
        <v>1290.1759999999776</v>
      </c>
      <c r="V8" s="61">
        <f t="shared" si="5"/>
        <v>2704.9599999999632</v>
      </c>
      <c r="W8" s="61">
        <f t="shared" si="5"/>
        <v>2192.9600000001492</v>
      </c>
      <c r="X8" s="61">
        <f t="shared" si="5"/>
        <v>2652.383999999799</v>
      </c>
      <c r="Y8" s="61">
        <f t="shared" si="5"/>
        <v>2649.6000000000004</v>
      </c>
      <c r="Z8" s="61">
        <f t="shared" si="5"/>
        <v>2259.776000000164</v>
      </c>
      <c r="AA8" s="61">
        <f t="shared" si="5"/>
        <v>2395.7119999999181</v>
      </c>
      <c r="AB8" s="61">
        <f t="shared" si="5"/>
        <v>2490.2944000000134</v>
      </c>
      <c r="AC8" s="61">
        <f t="shared" si="5"/>
        <v>2436.233600000106</v>
      </c>
      <c r="AD8" s="61">
        <f t="shared" si="5"/>
        <v>2402.2623999997973</v>
      </c>
      <c r="AE8" s="61">
        <f t="shared" si="5"/>
        <v>3011.8816000001507</v>
      </c>
      <c r="AF8" s="61">
        <f t="shared" si="5"/>
        <v>1947.7439999999478</v>
      </c>
      <c r="AG8" s="61"/>
    </row>
    <row r="9" spans="1:33" ht="39.950000000000003" customHeight="1" x14ac:dyDescent="0.25">
      <c r="A9" s="103" t="s">
        <v>83</v>
      </c>
      <c r="B9" s="104"/>
      <c r="C9" s="99">
        <f>SUM(C5:AG5)</f>
        <v>70240</v>
      </c>
      <c r="D9" s="100"/>
      <c r="E9" s="10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</row>
    <row r="10" spans="1:33" ht="39.950000000000003" customHeight="1" x14ac:dyDescent="0.25">
      <c r="A10" s="103" t="s">
        <v>84</v>
      </c>
      <c r="B10" s="104"/>
      <c r="C10" s="99">
        <f>SUM(C7:AG7)</f>
        <v>2295.3599999999633</v>
      </c>
      <c r="D10" s="100"/>
      <c r="E10" s="10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  <c r="AA10" s="61"/>
      <c r="AB10" s="61"/>
      <c r="AC10" s="61"/>
      <c r="AD10" s="61"/>
      <c r="AE10" s="61"/>
      <c r="AF10" s="61"/>
      <c r="AG10" s="61"/>
    </row>
    <row r="11" spans="1:33" ht="39.950000000000003" customHeight="1" x14ac:dyDescent="0.25">
      <c r="A11" s="97" t="s">
        <v>85</v>
      </c>
      <c r="B11" s="98"/>
      <c r="C11" s="99">
        <f>SUM(C8:AG8)</f>
        <v>72535.359999999986</v>
      </c>
      <c r="D11" s="100"/>
      <c r="E11" s="10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</row>
    <row r="13" spans="1:33" x14ac:dyDescent="0.25">
      <c r="A13" t="s">
        <v>88</v>
      </c>
    </row>
  </sheetData>
  <mergeCells count="8">
    <mergeCell ref="A11:B11"/>
    <mergeCell ref="C11:E11"/>
    <mergeCell ref="A1:AG1"/>
    <mergeCell ref="A8:B8"/>
    <mergeCell ref="A9:B9"/>
    <mergeCell ref="C9:E9"/>
    <mergeCell ref="A10:B10"/>
    <mergeCell ref="C10:E10"/>
  </mergeCells>
  <printOptions horizontalCentered="1"/>
  <pageMargins left="0" right="0" top="0" bottom="0" header="0.3" footer="0.3"/>
  <pageSetup paperSize="9" scale="71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35B19-7E3F-48ED-B7AD-3E9E86FFAF8F}">
  <dimension ref="A1:C34"/>
  <sheetViews>
    <sheetView topLeftCell="A16" zoomScaleNormal="100" workbookViewId="0">
      <selection activeCell="C32" sqref="C32"/>
    </sheetView>
  </sheetViews>
  <sheetFormatPr defaultRowHeight="15" x14ac:dyDescent="0.25"/>
  <cols>
    <col min="1" max="1" width="12.7109375" customWidth="1"/>
    <col min="2" max="2" width="17.42578125" customWidth="1"/>
    <col min="3" max="3" width="18" customWidth="1"/>
  </cols>
  <sheetData>
    <row r="1" spans="1:3" ht="35.25" customHeight="1" x14ac:dyDescent="0.25">
      <c r="A1" s="105" t="s">
        <v>92</v>
      </c>
      <c r="B1" s="105"/>
      <c r="C1" s="105"/>
    </row>
    <row r="2" spans="1:3" ht="24.95" customHeight="1" x14ac:dyDescent="0.25">
      <c r="A2" s="53" t="s">
        <v>76</v>
      </c>
      <c r="B2" s="53" t="s">
        <v>77</v>
      </c>
      <c r="C2" s="53" t="s">
        <v>78</v>
      </c>
    </row>
    <row r="3" spans="1:3" ht="24.95" customHeight="1" x14ac:dyDescent="0.25">
      <c r="A3" s="54">
        <v>45809</v>
      </c>
      <c r="B3" s="55">
        <v>385</v>
      </c>
      <c r="C3" s="55">
        <v>505</v>
      </c>
    </row>
    <row r="4" spans="1:3" ht="24.95" customHeight="1" x14ac:dyDescent="0.25">
      <c r="A4" s="54">
        <v>45810</v>
      </c>
      <c r="B4" s="55">
        <v>386</v>
      </c>
      <c r="C4" s="55">
        <v>499</v>
      </c>
    </row>
    <row r="5" spans="1:3" ht="24.95" customHeight="1" x14ac:dyDescent="0.25">
      <c r="A5" s="54">
        <v>45811</v>
      </c>
      <c r="B5" s="55">
        <v>379</v>
      </c>
      <c r="C5" s="55">
        <v>501</v>
      </c>
    </row>
    <row r="6" spans="1:3" ht="24.95" customHeight="1" x14ac:dyDescent="0.25">
      <c r="A6" s="54">
        <v>45812</v>
      </c>
      <c r="B6" s="55">
        <v>382</v>
      </c>
      <c r="C6" s="55">
        <v>553</v>
      </c>
    </row>
    <row r="7" spans="1:3" ht="24.95" customHeight="1" x14ac:dyDescent="0.25">
      <c r="A7" s="54">
        <v>45813</v>
      </c>
      <c r="B7" s="55">
        <v>401</v>
      </c>
      <c r="C7" s="55">
        <v>674</v>
      </c>
    </row>
    <row r="8" spans="1:3" ht="24.95" customHeight="1" x14ac:dyDescent="0.25">
      <c r="A8" s="54">
        <v>45814</v>
      </c>
      <c r="B8" s="55">
        <v>422</v>
      </c>
      <c r="C8" s="55">
        <v>749</v>
      </c>
    </row>
    <row r="9" spans="1:3" ht="24.95" customHeight="1" x14ac:dyDescent="0.25">
      <c r="A9" s="54">
        <v>45815</v>
      </c>
      <c r="B9" s="55">
        <v>435</v>
      </c>
      <c r="C9" s="55">
        <v>740</v>
      </c>
    </row>
    <row r="10" spans="1:3" ht="24.95" customHeight="1" x14ac:dyDescent="0.25">
      <c r="A10" s="54">
        <v>45816</v>
      </c>
      <c r="B10" s="55">
        <v>394</v>
      </c>
      <c r="C10" s="55">
        <v>603</v>
      </c>
    </row>
    <row r="11" spans="1:3" ht="24.95" customHeight="1" x14ac:dyDescent="0.25">
      <c r="A11" s="54">
        <v>45817</v>
      </c>
      <c r="B11" s="55">
        <v>462</v>
      </c>
      <c r="C11" s="55">
        <v>688</v>
      </c>
    </row>
    <row r="12" spans="1:3" ht="24.95" customHeight="1" x14ac:dyDescent="0.25">
      <c r="A12" s="54">
        <v>45818</v>
      </c>
      <c r="B12" s="55">
        <v>432</v>
      </c>
      <c r="C12" s="55">
        <v>585</v>
      </c>
    </row>
    <row r="13" spans="1:3" ht="24.95" customHeight="1" x14ac:dyDescent="0.25">
      <c r="A13" s="54">
        <v>45819</v>
      </c>
      <c r="B13" s="55">
        <v>424</v>
      </c>
      <c r="C13" s="55">
        <v>559</v>
      </c>
    </row>
    <row r="14" spans="1:3" ht="24.95" customHeight="1" x14ac:dyDescent="0.25">
      <c r="A14" s="54">
        <v>45820</v>
      </c>
      <c r="B14" s="55">
        <v>408</v>
      </c>
      <c r="C14" s="55">
        <v>515</v>
      </c>
    </row>
    <row r="15" spans="1:3" ht="24.95" customHeight="1" x14ac:dyDescent="0.25">
      <c r="A15" s="54">
        <v>45821</v>
      </c>
      <c r="B15" s="55">
        <v>411</v>
      </c>
      <c r="C15" s="55">
        <v>527</v>
      </c>
    </row>
    <row r="16" spans="1:3" ht="24.95" customHeight="1" x14ac:dyDescent="0.25">
      <c r="A16" s="54">
        <v>45822</v>
      </c>
      <c r="B16" s="55">
        <v>460</v>
      </c>
      <c r="C16" s="55">
        <v>626</v>
      </c>
    </row>
    <row r="17" spans="1:3" ht="24.95" customHeight="1" x14ac:dyDescent="0.25">
      <c r="A17" s="54">
        <v>45823</v>
      </c>
      <c r="B17" s="55">
        <v>466</v>
      </c>
      <c r="C17" s="55">
        <v>586</v>
      </c>
    </row>
    <row r="18" spans="1:3" ht="24.95" customHeight="1" x14ac:dyDescent="0.25">
      <c r="A18" s="54">
        <v>45824</v>
      </c>
      <c r="B18" s="55">
        <v>459</v>
      </c>
      <c r="C18" s="55">
        <v>576</v>
      </c>
    </row>
    <row r="19" spans="1:3" ht="24.95" customHeight="1" x14ac:dyDescent="0.25">
      <c r="A19" s="54">
        <v>45825</v>
      </c>
      <c r="B19" s="55">
        <v>469</v>
      </c>
      <c r="C19" s="55">
        <v>584</v>
      </c>
    </row>
    <row r="20" spans="1:3" ht="24.95" customHeight="1" x14ac:dyDescent="0.25">
      <c r="A20" s="54">
        <v>45826</v>
      </c>
      <c r="B20" s="55">
        <v>442</v>
      </c>
      <c r="C20" s="55">
        <v>538</v>
      </c>
    </row>
    <row r="21" spans="1:3" ht="24.95" customHeight="1" x14ac:dyDescent="0.25">
      <c r="A21" s="54">
        <v>45827</v>
      </c>
      <c r="B21" s="55">
        <v>453</v>
      </c>
      <c r="C21" s="55">
        <v>564</v>
      </c>
    </row>
    <row r="22" spans="1:3" ht="24.95" customHeight="1" x14ac:dyDescent="0.25">
      <c r="A22" s="54">
        <v>45828</v>
      </c>
      <c r="B22" s="55">
        <v>377</v>
      </c>
      <c r="C22" s="55">
        <v>488</v>
      </c>
    </row>
    <row r="23" spans="1:3" ht="24.95" customHeight="1" x14ac:dyDescent="0.25">
      <c r="A23" s="54">
        <v>45829</v>
      </c>
      <c r="B23" s="55">
        <v>344</v>
      </c>
      <c r="C23" s="55">
        <v>454</v>
      </c>
    </row>
    <row r="24" spans="1:3" ht="24.95" customHeight="1" x14ac:dyDescent="0.25">
      <c r="A24" s="54">
        <v>45830</v>
      </c>
      <c r="B24" s="55">
        <v>364</v>
      </c>
      <c r="C24" s="55">
        <v>458</v>
      </c>
    </row>
    <row r="25" spans="1:3" ht="24.95" customHeight="1" x14ac:dyDescent="0.25">
      <c r="A25" s="54">
        <v>45831</v>
      </c>
      <c r="B25" s="55">
        <v>403</v>
      </c>
      <c r="C25" s="55">
        <v>524</v>
      </c>
    </row>
    <row r="26" spans="1:3" ht="24.95" customHeight="1" x14ac:dyDescent="0.25">
      <c r="A26" s="54">
        <v>45832</v>
      </c>
      <c r="B26" s="55">
        <v>441</v>
      </c>
      <c r="C26" s="55">
        <v>622</v>
      </c>
    </row>
    <row r="27" spans="1:3" ht="24.95" customHeight="1" x14ac:dyDescent="0.25">
      <c r="A27" s="54">
        <v>45833</v>
      </c>
      <c r="B27" s="55">
        <v>358</v>
      </c>
      <c r="C27" s="55">
        <v>470</v>
      </c>
    </row>
    <row r="28" spans="1:3" ht="24.95" customHeight="1" x14ac:dyDescent="0.25">
      <c r="A28" s="54">
        <v>45834</v>
      </c>
      <c r="B28" s="55">
        <v>332</v>
      </c>
      <c r="C28" s="55">
        <v>485</v>
      </c>
    </row>
    <row r="29" spans="1:3" ht="24.95" customHeight="1" x14ac:dyDescent="0.25">
      <c r="A29" s="54">
        <v>45835</v>
      </c>
      <c r="B29" s="55">
        <v>371</v>
      </c>
      <c r="C29" s="55">
        <v>595</v>
      </c>
    </row>
    <row r="30" spans="1:3" ht="24.95" customHeight="1" x14ac:dyDescent="0.25">
      <c r="A30" s="54">
        <v>45836</v>
      </c>
      <c r="B30" s="55">
        <v>351</v>
      </c>
      <c r="C30" s="55">
        <v>551</v>
      </c>
    </row>
    <row r="31" spans="1:3" ht="24.95" customHeight="1" x14ac:dyDescent="0.25">
      <c r="A31" s="54">
        <v>45837</v>
      </c>
      <c r="B31" s="55">
        <v>320</v>
      </c>
      <c r="C31" s="55">
        <v>486</v>
      </c>
    </row>
    <row r="32" spans="1:3" ht="24.95" customHeight="1" x14ac:dyDescent="0.25">
      <c r="A32" s="54">
        <v>45838</v>
      </c>
      <c r="B32" s="55">
        <v>352</v>
      </c>
      <c r="C32" s="55">
        <v>532</v>
      </c>
    </row>
    <row r="33" spans="1:3" ht="24.95" customHeight="1" x14ac:dyDescent="0.25">
      <c r="A33" s="54"/>
      <c r="B33" s="55"/>
      <c r="C33" s="55"/>
    </row>
    <row r="34" spans="1:3" ht="30.75" customHeight="1" x14ac:dyDescent="0.25">
      <c r="A34" s="53" t="s">
        <v>79</v>
      </c>
      <c r="B34" s="56">
        <f>SUM(B3:B33)</f>
        <v>12083</v>
      </c>
      <c r="C34" s="56">
        <f>SUM(C3:C33)</f>
        <v>16837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Total</vt:lpstr>
      <vt:lpstr>Electricity</vt:lpstr>
      <vt:lpstr>Water</vt:lpstr>
      <vt:lpstr>LPG</vt:lpstr>
      <vt:lpstr>Occupied &amp; No. of Guest</vt:lpstr>
      <vt:lpstr>LPG!Print_Area</vt:lpstr>
    </vt:vector>
  </TitlesOfParts>
  <Manager/>
  <Company>Microsoft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Marian Chitian</dc:creator>
  <cp:keywords/>
  <dc:description/>
  <cp:lastModifiedBy>Lesley Ann Almazan</cp:lastModifiedBy>
  <cp:revision/>
  <dcterms:created xsi:type="dcterms:W3CDTF">2019-05-13T11:08:30Z</dcterms:created>
  <dcterms:modified xsi:type="dcterms:W3CDTF">2025-07-01T06:20:08Z</dcterms:modified>
  <cp:category/>
  <cp:contentStatus/>
</cp:coreProperties>
</file>