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24226"/>
  <xr:revisionPtr revIDLastSave="0" documentId="13_ncr:1_{3079EB6C-6191-4A3C-996B-E957DBFBC66B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OCT 2024" sheetId="10" r:id="rId3"/>
  </sheets>
  <definedNames>
    <definedName name="_xlnm.Print_Area" localSheetId="2">'OCT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32" i="5"/>
  <c r="B58" i="10"/>
  <c r="G58" i="10" s="1"/>
  <c r="L58" i="10" s="1"/>
  <c r="B57" i="10"/>
  <c r="G57" i="10" s="1"/>
  <c r="L57" i="10" s="1"/>
  <c r="B56" i="10"/>
  <c r="G56" i="10" s="1"/>
  <c r="L56" i="10" s="1"/>
  <c r="G55" i="10"/>
  <c r="L55" i="10" s="1"/>
  <c r="B55" i="10"/>
  <c r="B59" i="10" s="1"/>
  <c r="G50" i="10"/>
  <c r="R50" i="10" s="1"/>
  <c r="B50" i="10"/>
  <c r="B49" i="10"/>
  <c r="G49" i="10" s="1"/>
  <c r="R49" i="10" s="1"/>
  <c r="G48" i="10"/>
  <c r="R48" i="10" s="1"/>
  <c r="B48" i="10"/>
  <c r="B47" i="10"/>
  <c r="G47" i="10" s="1"/>
  <c r="R47" i="10" s="1"/>
  <c r="I45" i="10"/>
  <c r="V44" i="10"/>
  <c r="T44" i="10"/>
  <c r="O44" i="10"/>
  <c r="M44" i="10"/>
  <c r="J44" i="10"/>
  <c r="G44" i="10"/>
  <c r="X43" i="10"/>
  <c r="AG43" i="10" s="1"/>
  <c r="Z43" i="10" s="1"/>
  <c r="V43" i="10"/>
  <c r="T43" i="10"/>
  <c r="R43" i="10"/>
  <c r="O43" i="10"/>
  <c r="M43" i="10"/>
  <c r="L43" i="10"/>
  <c r="J43" i="10"/>
  <c r="D43" i="10"/>
  <c r="G43" i="10" s="1"/>
  <c r="V42" i="10"/>
  <c r="O42" i="10"/>
  <c r="J42" i="10"/>
  <c r="AG41" i="10"/>
  <c r="Z41" i="10"/>
  <c r="V41" i="10"/>
  <c r="T41" i="10"/>
  <c r="O41" i="10"/>
  <c r="M41" i="10"/>
  <c r="J41" i="10"/>
  <c r="G41" i="10"/>
  <c r="AG40" i="10"/>
  <c r="Z40" i="10"/>
  <c r="V40" i="10"/>
  <c r="T40" i="10"/>
  <c r="O40" i="10"/>
  <c r="M40" i="10"/>
  <c r="J40" i="10"/>
  <c r="G40" i="10"/>
  <c r="AG39" i="10"/>
  <c r="AG44" i="10" s="1"/>
  <c r="Z44" i="10" s="1"/>
  <c r="V39" i="10"/>
  <c r="O39" i="10"/>
  <c r="J39" i="10"/>
  <c r="AG38" i="10"/>
  <c r="AE36" i="10"/>
  <c r="AD36" i="10"/>
  <c r="W36" i="10"/>
  <c r="AY35" i="10"/>
  <c r="AX35" i="10"/>
  <c r="AV35" i="10"/>
  <c r="AU35" i="10"/>
  <c r="AS35" i="10"/>
  <c r="AR35" i="10"/>
  <c r="AP35" i="10"/>
  <c r="AO35" i="10"/>
  <c r="AM35" i="10"/>
  <c r="AL35" i="10"/>
  <c r="AJ35" i="10"/>
  <c r="AI35" i="10"/>
  <c r="AG35" i="10"/>
  <c r="AC35" i="10"/>
  <c r="Z35" i="10"/>
  <c r="X35" i="10"/>
  <c r="Y35" i="10" s="1"/>
  <c r="AA35" i="10" s="1"/>
  <c r="S35" i="10"/>
  <c r="T35" i="10" s="1"/>
  <c r="U35" i="10" s="1"/>
  <c r="Q35" i="10"/>
  <c r="P35" i="10"/>
  <c r="N35" i="10"/>
  <c r="L35" i="10"/>
  <c r="K35" i="10"/>
  <c r="G35" i="10"/>
  <c r="E35" i="10"/>
  <c r="C35" i="10"/>
  <c r="AX34" i="10"/>
  <c r="AY34" i="10" s="1"/>
  <c r="AV34" i="10"/>
  <c r="AU34" i="10"/>
  <c r="AR34" i="10"/>
  <c r="AS34" i="10" s="1"/>
  <c r="AP34" i="10"/>
  <c r="AO34" i="10"/>
  <c r="AL34" i="10"/>
  <c r="AM34" i="10" s="1"/>
  <c r="AJ34" i="10"/>
  <c r="AI34" i="10"/>
  <c r="AG34" i="10"/>
  <c r="AC34" i="10"/>
  <c r="Z34" i="10"/>
  <c r="X34" i="10"/>
  <c r="Y34" i="10" s="1"/>
  <c r="AA34" i="10" s="1"/>
  <c r="U34" i="10"/>
  <c r="T34" i="10"/>
  <c r="S34" i="10"/>
  <c r="P34" i="10"/>
  <c r="Q34" i="10" s="1"/>
  <c r="N34" i="10"/>
  <c r="K34" i="10"/>
  <c r="L34" i="10" s="1"/>
  <c r="G34" i="10"/>
  <c r="E34" i="10"/>
  <c r="C34" i="10"/>
  <c r="AY33" i="10"/>
  <c r="AX33" i="10"/>
  <c r="AV33" i="10"/>
  <c r="AU33" i="10"/>
  <c r="AS33" i="10"/>
  <c r="AR33" i="10"/>
  <c r="AP33" i="10"/>
  <c r="AO33" i="10"/>
  <c r="AM33" i="10"/>
  <c r="AL33" i="10"/>
  <c r="AJ33" i="10"/>
  <c r="AI33" i="10"/>
  <c r="AG33" i="10"/>
  <c r="AC33" i="10"/>
  <c r="AA33" i="10"/>
  <c r="Z33" i="10"/>
  <c r="Y33" i="10"/>
  <c r="X33" i="10"/>
  <c r="U33" i="10"/>
  <c r="T33" i="10"/>
  <c r="S33" i="10"/>
  <c r="P33" i="10"/>
  <c r="N33" i="10"/>
  <c r="L33" i="10"/>
  <c r="K33" i="10"/>
  <c r="I33" i="10"/>
  <c r="G33" i="10"/>
  <c r="E33" i="10"/>
  <c r="C33" i="10"/>
  <c r="H33" i="10" s="1"/>
  <c r="AY32" i="10"/>
  <c r="AX32" i="10"/>
  <c r="AU32" i="10"/>
  <c r="AV32" i="10" s="1"/>
  <c r="AS32" i="10"/>
  <c r="AR32" i="10"/>
  <c r="AO32" i="10"/>
  <c r="AP32" i="10" s="1"/>
  <c r="AM32" i="10"/>
  <c r="AL32" i="10"/>
  <c r="AI32" i="10"/>
  <c r="AJ32" i="10" s="1"/>
  <c r="AG32" i="10"/>
  <c r="AC32" i="10"/>
  <c r="Z32" i="10"/>
  <c r="Y32" i="10"/>
  <c r="X32" i="10"/>
  <c r="S32" i="10"/>
  <c r="T32" i="10" s="1"/>
  <c r="U32" i="10" s="1"/>
  <c r="P32" i="10"/>
  <c r="N32" i="10"/>
  <c r="Q32" i="10" s="1"/>
  <c r="L32" i="10"/>
  <c r="K32" i="10"/>
  <c r="H32" i="10"/>
  <c r="I32" i="10" s="1"/>
  <c r="G32" i="10"/>
  <c r="E32" i="10"/>
  <c r="C32" i="10"/>
  <c r="AY31" i="10"/>
  <c r="AX31" i="10"/>
  <c r="AV31" i="10"/>
  <c r="AU31" i="10"/>
  <c r="AS31" i="10"/>
  <c r="AR31" i="10"/>
  <c r="AP31" i="10"/>
  <c r="AO31" i="10"/>
  <c r="AM31" i="10"/>
  <c r="AL31" i="10"/>
  <c r="AJ31" i="10"/>
  <c r="AI31" i="10"/>
  <c r="AG31" i="10"/>
  <c r="AC31" i="10"/>
  <c r="Z31" i="10"/>
  <c r="Y31" i="10"/>
  <c r="AA31" i="10" s="1"/>
  <c r="X31" i="10"/>
  <c r="S31" i="10"/>
  <c r="T31" i="10" s="1"/>
  <c r="U31" i="10" s="1"/>
  <c r="Q31" i="10"/>
  <c r="P31" i="10"/>
  <c r="N31" i="10"/>
  <c r="K31" i="10"/>
  <c r="L31" i="10" s="1"/>
  <c r="G31" i="10"/>
  <c r="E31" i="10"/>
  <c r="C31" i="10"/>
  <c r="AX30" i="10"/>
  <c r="AY30" i="10" s="1"/>
  <c r="AV30" i="10"/>
  <c r="AU30" i="10"/>
  <c r="AR30" i="10"/>
  <c r="AS30" i="10" s="1"/>
  <c r="AP30" i="10"/>
  <c r="AO30" i="10"/>
  <c r="AL30" i="10"/>
  <c r="AM30" i="10" s="1"/>
  <c r="AJ30" i="10"/>
  <c r="AI30" i="10"/>
  <c r="AG30" i="10"/>
  <c r="AC30" i="10"/>
  <c r="Z30" i="10"/>
  <c r="X30" i="10"/>
  <c r="Y30" i="10" s="1"/>
  <c r="AA30" i="10" s="1"/>
  <c r="U30" i="10"/>
  <c r="T30" i="10"/>
  <c r="S30" i="10"/>
  <c r="P30" i="10"/>
  <c r="Q30" i="10" s="1"/>
  <c r="N30" i="10"/>
  <c r="K30" i="10"/>
  <c r="L30" i="10" s="1"/>
  <c r="I30" i="10"/>
  <c r="G30" i="10"/>
  <c r="E30" i="10"/>
  <c r="C30" i="10"/>
  <c r="H30" i="10" s="1"/>
  <c r="AY29" i="10"/>
  <c r="AX29" i="10"/>
  <c r="AU29" i="10"/>
  <c r="AV29" i="10" s="1"/>
  <c r="AS29" i="10"/>
  <c r="AR29" i="10"/>
  <c r="AO29" i="10"/>
  <c r="AP29" i="10" s="1"/>
  <c r="AM29" i="10"/>
  <c r="AL29" i="10"/>
  <c r="AI29" i="10"/>
  <c r="AJ29" i="10" s="1"/>
  <c r="AG29" i="10"/>
  <c r="AC29" i="10"/>
  <c r="Z29" i="10"/>
  <c r="AA29" i="10" s="1"/>
  <c r="Y29" i="10"/>
  <c r="X29" i="10"/>
  <c r="T29" i="10"/>
  <c r="U29" i="10" s="1"/>
  <c r="S29" i="10"/>
  <c r="P29" i="10"/>
  <c r="N29" i="10"/>
  <c r="L29" i="10"/>
  <c r="K29" i="10"/>
  <c r="I29" i="10"/>
  <c r="G29" i="10"/>
  <c r="E29" i="10"/>
  <c r="C29" i="10"/>
  <c r="H29" i="10" s="1"/>
  <c r="AX28" i="10"/>
  <c r="AY28" i="10" s="1"/>
  <c r="AU28" i="10"/>
  <c r="AV28" i="10" s="1"/>
  <c r="AS28" i="10"/>
  <c r="AR28" i="10"/>
  <c r="AO28" i="10"/>
  <c r="AP28" i="10" s="1"/>
  <c r="AL28" i="10"/>
  <c r="AM28" i="10" s="1"/>
  <c r="AI28" i="10"/>
  <c r="AJ28" i="10" s="1"/>
  <c r="AG28" i="10"/>
  <c r="AC28" i="10"/>
  <c r="Z28" i="10"/>
  <c r="X28" i="10"/>
  <c r="Y28" i="10" s="1"/>
  <c r="S28" i="10"/>
  <c r="T28" i="10" s="1"/>
  <c r="U28" i="10" s="1"/>
  <c r="P28" i="10"/>
  <c r="N28" i="10"/>
  <c r="Q28" i="10" s="1"/>
  <c r="L28" i="10"/>
  <c r="K28" i="10"/>
  <c r="H28" i="10"/>
  <c r="I28" i="10" s="1"/>
  <c r="G28" i="10"/>
  <c r="E28" i="10"/>
  <c r="C28" i="10"/>
  <c r="AY27" i="10"/>
  <c r="AX27" i="10"/>
  <c r="AV27" i="10"/>
  <c r="AU27" i="10"/>
  <c r="AS27" i="10"/>
  <c r="AR27" i="10"/>
  <c r="AP27" i="10"/>
  <c r="AO27" i="10"/>
  <c r="AM27" i="10"/>
  <c r="AL27" i="10"/>
  <c r="AJ27" i="10"/>
  <c r="AI27" i="10"/>
  <c r="AG27" i="10"/>
  <c r="AC27" i="10"/>
  <c r="Z27" i="10"/>
  <c r="Y27" i="10"/>
  <c r="AA27" i="10" s="1"/>
  <c r="X27" i="10"/>
  <c r="U27" i="10"/>
  <c r="S27" i="10"/>
  <c r="T27" i="10" s="1"/>
  <c r="Q27" i="10"/>
  <c r="P27" i="10"/>
  <c r="N27" i="10"/>
  <c r="K27" i="10"/>
  <c r="L27" i="10" s="1"/>
  <c r="I27" i="10"/>
  <c r="G27" i="10"/>
  <c r="E27" i="10"/>
  <c r="C27" i="10"/>
  <c r="H27" i="10" s="1"/>
  <c r="AX26" i="10"/>
  <c r="AY26" i="10" s="1"/>
  <c r="AV26" i="10"/>
  <c r="AU26" i="10"/>
  <c r="AR26" i="10"/>
  <c r="AS26" i="10" s="1"/>
  <c r="AP26" i="10"/>
  <c r="AO26" i="10"/>
  <c r="AL26" i="10"/>
  <c r="AM26" i="10" s="1"/>
  <c r="AI26" i="10"/>
  <c r="AJ26" i="10" s="1"/>
  <c r="AG26" i="10"/>
  <c r="AC26" i="10"/>
  <c r="Z26" i="10"/>
  <c r="AA26" i="10" s="1"/>
  <c r="X26" i="10"/>
  <c r="Y26" i="10" s="1"/>
  <c r="T26" i="10"/>
  <c r="U26" i="10" s="1"/>
  <c r="S26" i="10"/>
  <c r="Q26" i="10"/>
  <c r="P26" i="10"/>
  <c r="N26" i="10"/>
  <c r="K26" i="10"/>
  <c r="L26" i="10" s="1"/>
  <c r="I26" i="10"/>
  <c r="G26" i="10"/>
  <c r="E26" i="10"/>
  <c r="C26" i="10"/>
  <c r="H26" i="10" s="1"/>
  <c r="AY25" i="10"/>
  <c r="AX25" i="10"/>
  <c r="AU25" i="10"/>
  <c r="AV25" i="10" s="1"/>
  <c r="AS25" i="10"/>
  <c r="AR25" i="10"/>
  <c r="AO25" i="10"/>
  <c r="AP25" i="10" s="1"/>
  <c r="AM25" i="10"/>
  <c r="AL25" i="10"/>
  <c r="AI25" i="10"/>
  <c r="AJ25" i="10" s="1"/>
  <c r="AG25" i="10"/>
  <c r="AC25" i="10"/>
  <c r="Z25" i="10"/>
  <c r="AA25" i="10" s="1"/>
  <c r="Y25" i="10"/>
  <c r="X25" i="10"/>
  <c r="T25" i="10"/>
  <c r="U25" i="10" s="1"/>
  <c r="S25" i="10"/>
  <c r="P25" i="10"/>
  <c r="N25" i="10"/>
  <c r="Q25" i="10" s="1"/>
  <c r="L25" i="10"/>
  <c r="K25" i="10"/>
  <c r="G25" i="10"/>
  <c r="H25" i="10" s="1"/>
  <c r="I25" i="10" s="1"/>
  <c r="E25" i="10"/>
  <c r="C25" i="10"/>
  <c r="AX24" i="10"/>
  <c r="AY24" i="10" s="1"/>
  <c r="AU24" i="10"/>
  <c r="AV24" i="10" s="1"/>
  <c r="AR24" i="10"/>
  <c r="AS24" i="10" s="1"/>
  <c r="AO24" i="10"/>
  <c r="AP24" i="10" s="1"/>
  <c r="AL24" i="10"/>
  <c r="AM24" i="10" s="1"/>
  <c r="AI24" i="10"/>
  <c r="AJ24" i="10" s="1"/>
  <c r="AG24" i="10"/>
  <c r="AC24" i="10"/>
  <c r="Z24" i="10"/>
  <c r="X24" i="10"/>
  <c r="Y24" i="10" s="1"/>
  <c r="AA24" i="10" s="1"/>
  <c r="S24" i="10"/>
  <c r="T24" i="10" s="1"/>
  <c r="U24" i="10" s="1"/>
  <c r="Q24" i="10"/>
  <c r="P24" i="10"/>
  <c r="N24" i="10"/>
  <c r="K24" i="10"/>
  <c r="L24" i="10" s="1"/>
  <c r="G24" i="10"/>
  <c r="E24" i="10"/>
  <c r="H24" i="10" s="1"/>
  <c r="I24" i="10" s="1"/>
  <c r="C24" i="10"/>
  <c r="AY23" i="10"/>
  <c r="AX23" i="10"/>
  <c r="AV23" i="10"/>
  <c r="AU23" i="10"/>
  <c r="AS23" i="10"/>
  <c r="AR23" i="10"/>
  <c r="AP23" i="10"/>
  <c r="AO23" i="10"/>
  <c r="AM23" i="10"/>
  <c r="AL23" i="10"/>
  <c r="AJ23" i="10"/>
  <c r="AI23" i="10"/>
  <c r="AG23" i="10"/>
  <c r="AC23" i="10"/>
  <c r="AA23" i="10"/>
  <c r="Z23" i="10"/>
  <c r="Y23" i="10"/>
  <c r="X23" i="10"/>
  <c r="S23" i="10"/>
  <c r="T23" i="10" s="1"/>
  <c r="U23" i="10" s="1"/>
  <c r="Q23" i="10"/>
  <c r="P23" i="10"/>
  <c r="N23" i="10"/>
  <c r="L23" i="10"/>
  <c r="K23" i="10"/>
  <c r="G23" i="10"/>
  <c r="E23" i="10"/>
  <c r="C23" i="10"/>
  <c r="H23" i="10" s="1"/>
  <c r="I23" i="10" s="1"/>
  <c r="AX22" i="10"/>
  <c r="AY22" i="10" s="1"/>
  <c r="AU22" i="10"/>
  <c r="AV22" i="10" s="1"/>
  <c r="AR22" i="10"/>
  <c r="AS22" i="10" s="1"/>
  <c r="AO22" i="10"/>
  <c r="AP22" i="10" s="1"/>
  <c r="AL22" i="10"/>
  <c r="AM22" i="10" s="1"/>
  <c r="AJ22" i="10"/>
  <c r="AI22" i="10"/>
  <c r="AG22" i="10"/>
  <c r="AC22" i="10"/>
  <c r="AA22" i="10"/>
  <c r="Z22" i="10"/>
  <c r="X22" i="10"/>
  <c r="Y22" i="10" s="1"/>
  <c r="T22" i="10"/>
  <c r="U22" i="10" s="1"/>
  <c r="S22" i="10"/>
  <c r="P22" i="10"/>
  <c r="N22" i="10"/>
  <c r="Q22" i="10" s="1"/>
  <c r="K22" i="10"/>
  <c r="L22" i="10" s="1"/>
  <c r="G22" i="10"/>
  <c r="H22" i="10" s="1"/>
  <c r="I22" i="10" s="1"/>
  <c r="E22" i="10"/>
  <c r="C22" i="10"/>
  <c r="AX21" i="10"/>
  <c r="AY21" i="10" s="1"/>
  <c r="AU21" i="10"/>
  <c r="AV21" i="10" s="1"/>
  <c r="AR21" i="10"/>
  <c r="AS21" i="10" s="1"/>
  <c r="AO21" i="10"/>
  <c r="AP21" i="10" s="1"/>
  <c r="AM21" i="10"/>
  <c r="AL21" i="10"/>
  <c r="AI21" i="10"/>
  <c r="AJ21" i="10" s="1"/>
  <c r="AG21" i="10"/>
  <c r="AC21" i="10"/>
  <c r="Z21" i="10"/>
  <c r="X21" i="10"/>
  <c r="Y21" i="10" s="1"/>
  <c r="AA21" i="10" s="1"/>
  <c r="T21" i="10"/>
  <c r="U21" i="10" s="1"/>
  <c r="S21" i="10"/>
  <c r="P21" i="10"/>
  <c r="N21" i="10"/>
  <c r="Q21" i="10" s="1"/>
  <c r="K21" i="10"/>
  <c r="L21" i="10" s="1"/>
  <c r="G21" i="10"/>
  <c r="H21" i="10" s="1"/>
  <c r="I21" i="10" s="1"/>
  <c r="E21" i="10"/>
  <c r="C21" i="10"/>
  <c r="AX20" i="10"/>
  <c r="AY20" i="10" s="1"/>
  <c r="AV20" i="10"/>
  <c r="AU20" i="10"/>
  <c r="AR20" i="10"/>
  <c r="AS20" i="10" s="1"/>
  <c r="AP20" i="10"/>
  <c r="AO20" i="10"/>
  <c r="AL20" i="10"/>
  <c r="AM20" i="10" s="1"/>
  <c r="AJ20" i="10"/>
  <c r="AI20" i="10"/>
  <c r="AG20" i="10"/>
  <c r="AC20" i="10"/>
  <c r="Z20" i="10"/>
  <c r="X20" i="10"/>
  <c r="Y20" i="10" s="1"/>
  <c r="AA20" i="10" s="1"/>
  <c r="S20" i="10"/>
  <c r="T20" i="10" s="1"/>
  <c r="U20" i="10" s="1"/>
  <c r="P20" i="10"/>
  <c r="Q20" i="10" s="1"/>
  <c r="N20" i="10"/>
  <c r="K20" i="10"/>
  <c r="L20" i="10" s="1"/>
  <c r="I20" i="10"/>
  <c r="G20" i="10"/>
  <c r="E20" i="10"/>
  <c r="C20" i="10"/>
  <c r="H20" i="10" s="1"/>
  <c r="AX19" i="10"/>
  <c r="AY19" i="10" s="1"/>
  <c r="AU19" i="10"/>
  <c r="AV19" i="10" s="1"/>
  <c r="AR19" i="10"/>
  <c r="AS19" i="10" s="1"/>
  <c r="AP19" i="10"/>
  <c r="AO19" i="10"/>
  <c r="AL19" i="10"/>
  <c r="AM19" i="10" s="1"/>
  <c r="AI19" i="10"/>
  <c r="AJ19" i="10" s="1"/>
  <c r="AC19" i="10"/>
  <c r="Z19" i="10"/>
  <c r="Y19" i="10"/>
  <c r="AA19" i="10" s="1"/>
  <c r="X19" i="10"/>
  <c r="S19" i="10"/>
  <c r="T19" i="10" s="1"/>
  <c r="U19" i="10" s="1"/>
  <c r="P19" i="10"/>
  <c r="N19" i="10"/>
  <c r="Q19" i="10" s="1"/>
  <c r="L19" i="10"/>
  <c r="K19" i="10"/>
  <c r="G19" i="10"/>
  <c r="H19" i="10" s="1"/>
  <c r="I19" i="10" s="1"/>
  <c r="E19" i="10"/>
  <c r="C19" i="10"/>
  <c r="AX18" i="10"/>
  <c r="AY18" i="10" s="1"/>
  <c r="AU18" i="10"/>
  <c r="AV18" i="10" s="1"/>
  <c r="AR18" i="10"/>
  <c r="AS18" i="10" s="1"/>
  <c r="AO18" i="10"/>
  <c r="AP18" i="10" s="1"/>
  <c r="AM18" i="10"/>
  <c r="AL18" i="10"/>
  <c r="AI18" i="10"/>
  <c r="AJ18" i="10" s="1"/>
  <c r="AC18" i="10"/>
  <c r="Z18" i="10"/>
  <c r="X18" i="10"/>
  <c r="Y18" i="10" s="1"/>
  <c r="AA18" i="10" s="1"/>
  <c r="U18" i="10"/>
  <c r="S18" i="10"/>
  <c r="T18" i="10" s="1"/>
  <c r="P18" i="10"/>
  <c r="Q18" i="10" s="1"/>
  <c r="N18" i="10"/>
  <c r="K18" i="10"/>
  <c r="L18" i="10" s="1"/>
  <c r="G18" i="10"/>
  <c r="E18" i="10"/>
  <c r="C18" i="10"/>
  <c r="AX17" i="10"/>
  <c r="AY17" i="10" s="1"/>
  <c r="AV17" i="10"/>
  <c r="AU17" i="10"/>
  <c r="AR17" i="10"/>
  <c r="AS17" i="10" s="1"/>
  <c r="AO17" i="10"/>
  <c r="AP17" i="10" s="1"/>
  <c r="AL17" i="10"/>
  <c r="AM17" i="10" s="1"/>
  <c r="AI17" i="10"/>
  <c r="AJ17" i="10" s="1"/>
  <c r="AC17" i="10"/>
  <c r="Z17" i="10"/>
  <c r="Y17" i="10"/>
  <c r="AA17" i="10" s="1"/>
  <c r="X17" i="10"/>
  <c r="S17" i="10"/>
  <c r="T17" i="10" s="1"/>
  <c r="U17" i="10" s="1"/>
  <c r="P17" i="10"/>
  <c r="N17" i="10"/>
  <c r="L17" i="10"/>
  <c r="K17" i="10"/>
  <c r="I17" i="10"/>
  <c r="G17" i="10"/>
  <c r="E17" i="10"/>
  <c r="C17" i="10"/>
  <c r="H17" i="10" s="1"/>
  <c r="AX16" i="10"/>
  <c r="AY16" i="10" s="1"/>
  <c r="AU16" i="10"/>
  <c r="AV16" i="10" s="1"/>
  <c r="AS16" i="10"/>
  <c r="AR16" i="10"/>
  <c r="AO16" i="10"/>
  <c r="AP16" i="10" s="1"/>
  <c r="AL16" i="10"/>
  <c r="AM16" i="10" s="1"/>
  <c r="AI16" i="10"/>
  <c r="AJ16" i="10" s="1"/>
  <c r="AC16" i="10"/>
  <c r="Z16" i="10"/>
  <c r="X16" i="10"/>
  <c r="Y16" i="10" s="1"/>
  <c r="AA16" i="10" s="1"/>
  <c r="S16" i="10"/>
  <c r="T16" i="10" s="1"/>
  <c r="U16" i="10" s="1"/>
  <c r="P16" i="10"/>
  <c r="Q16" i="10" s="1"/>
  <c r="N16" i="10"/>
  <c r="L16" i="10"/>
  <c r="K16" i="10"/>
  <c r="G16" i="10"/>
  <c r="E16" i="10"/>
  <c r="C16" i="10"/>
  <c r="AX15" i="10"/>
  <c r="AY15" i="10" s="1"/>
  <c r="AU15" i="10"/>
  <c r="AV15" i="10" s="1"/>
  <c r="AR15" i="10"/>
  <c r="AS15" i="10" s="1"/>
  <c r="AO15" i="10"/>
  <c r="AP15" i="10" s="1"/>
  <c r="AL15" i="10"/>
  <c r="AM15" i="10" s="1"/>
  <c r="AI15" i="10"/>
  <c r="AJ15" i="10" s="1"/>
  <c r="AC15" i="10"/>
  <c r="AA15" i="10"/>
  <c r="Z15" i="10"/>
  <c r="Y15" i="10"/>
  <c r="X15" i="10"/>
  <c r="S15" i="10"/>
  <c r="T15" i="10" s="1"/>
  <c r="U15" i="10" s="1"/>
  <c r="P15" i="10"/>
  <c r="N15" i="10"/>
  <c r="Q15" i="10" s="1"/>
  <c r="L15" i="10"/>
  <c r="K15" i="10"/>
  <c r="H15" i="10"/>
  <c r="I15" i="10" s="1"/>
  <c r="G15" i="10"/>
  <c r="E15" i="10"/>
  <c r="C15" i="10"/>
  <c r="AY14" i="10"/>
  <c r="AX14" i="10"/>
  <c r="AU14" i="10"/>
  <c r="AV14" i="10" s="1"/>
  <c r="AR14" i="10"/>
  <c r="AS14" i="10" s="1"/>
  <c r="AO14" i="10"/>
  <c r="AP14" i="10" s="1"/>
  <c r="AL14" i="10"/>
  <c r="AM14" i="10" s="1"/>
  <c r="AI14" i="10"/>
  <c r="AJ14" i="10" s="1"/>
  <c r="AC14" i="10"/>
  <c r="Z14" i="10"/>
  <c r="Y14" i="10"/>
  <c r="AA14" i="10" s="1"/>
  <c r="X14" i="10"/>
  <c r="S14" i="10"/>
  <c r="T14" i="10" s="1"/>
  <c r="U14" i="10" s="1"/>
  <c r="Q14" i="10"/>
  <c r="P14" i="10"/>
  <c r="N14" i="10"/>
  <c r="K14" i="10"/>
  <c r="L14" i="10" s="1"/>
  <c r="G14" i="10"/>
  <c r="E14" i="10"/>
  <c r="C14" i="10"/>
  <c r="H14" i="10" s="1"/>
  <c r="I14" i="10" s="1"/>
  <c r="AX13" i="10"/>
  <c r="AY13" i="10" s="1"/>
  <c r="AU13" i="10"/>
  <c r="AV13" i="10" s="1"/>
  <c r="AR13" i="10"/>
  <c r="AS13" i="10" s="1"/>
  <c r="AO13" i="10"/>
  <c r="AP13" i="10" s="1"/>
  <c r="AL13" i="10"/>
  <c r="AM13" i="10" s="1"/>
  <c r="AJ13" i="10"/>
  <c r="AI13" i="10"/>
  <c r="AC13" i="10"/>
  <c r="Z13" i="10"/>
  <c r="AA13" i="10" s="1"/>
  <c r="Y13" i="10"/>
  <c r="X13" i="10"/>
  <c r="T13" i="10"/>
  <c r="U13" i="10" s="1"/>
  <c r="S13" i="10"/>
  <c r="P13" i="10"/>
  <c r="N13" i="10"/>
  <c r="Q13" i="10" s="1"/>
  <c r="L13" i="10"/>
  <c r="K13" i="10"/>
  <c r="G13" i="10"/>
  <c r="H13" i="10" s="1"/>
  <c r="I13" i="10" s="1"/>
  <c r="E13" i="10"/>
  <c r="C13" i="10"/>
  <c r="AX12" i="10"/>
  <c r="AY12" i="10" s="1"/>
  <c r="AU12" i="10"/>
  <c r="AV12" i="10" s="1"/>
  <c r="AR12" i="10"/>
  <c r="AS12" i="10" s="1"/>
  <c r="AO12" i="10"/>
  <c r="AP12" i="10" s="1"/>
  <c r="AL12" i="10"/>
  <c r="AM12" i="10" s="1"/>
  <c r="AI12" i="10"/>
  <c r="AJ12" i="10" s="1"/>
  <c r="AC12" i="10"/>
  <c r="Z12" i="10"/>
  <c r="X12" i="10"/>
  <c r="Y12" i="10" s="1"/>
  <c r="AA12" i="10" s="1"/>
  <c r="S12" i="10"/>
  <c r="T12" i="10" s="1"/>
  <c r="U12" i="10" s="1"/>
  <c r="P12" i="10"/>
  <c r="Q12" i="10" s="1"/>
  <c r="N12" i="10"/>
  <c r="K12" i="10"/>
  <c r="L12" i="10" s="1"/>
  <c r="I12" i="10"/>
  <c r="G12" i="10"/>
  <c r="E12" i="10"/>
  <c r="C12" i="10"/>
  <c r="H12" i="10" s="1"/>
  <c r="AX11" i="10"/>
  <c r="AY11" i="10" s="1"/>
  <c r="AU11" i="10"/>
  <c r="AV11" i="10" s="1"/>
  <c r="AR11" i="10"/>
  <c r="AS11" i="10" s="1"/>
  <c r="AP11" i="10"/>
  <c r="AO11" i="10"/>
  <c r="AL11" i="10"/>
  <c r="AM11" i="10" s="1"/>
  <c r="AI11" i="10"/>
  <c r="AJ11" i="10" s="1"/>
  <c r="AC11" i="10"/>
  <c r="Z11" i="10"/>
  <c r="Y11" i="10"/>
  <c r="AA11" i="10" s="1"/>
  <c r="X11" i="10"/>
  <c r="S11" i="10"/>
  <c r="T11" i="10" s="1"/>
  <c r="U11" i="10" s="1"/>
  <c r="P11" i="10"/>
  <c r="N11" i="10"/>
  <c r="Q11" i="10" s="1"/>
  <c r="L11" i="10"/>
  <c r="K11" i="10"/>
  <c r="G11" i="10"/>
  <c r="H11" i="10" s="1"/>
  <c r="I11" i="10" s="1"/>
  <c r="E11" i="10"/>
  <c r="C11" i="10"/>
  <c r="AX10" i="10"/>
  <c r="AY10" i="10" s="1"/>
  <c r="AU10" i="10"/>
  <c r="AV10" i="10" s="1"/>
  <c r="AR10" i="10"/>
  <c r="AS10" i="10" s="1"/>
  <c r="AO10" i="10"/>
  <c r="AP10" i="10" s="1"/>
  <c r="AM10" i="10"/>
  <c r="AL10" i="10"/>
  <c r="AI10" i="10"/>
  <c r="AJ10" i="10" s="1"/>
  <c r="AC10" i="10"/>
  <c r="Z10" i="10"/>
  <c r="X10" i="10"/>
  <c r="Y10" i="10" s="1"/>
  <c r="AA10" i="10" s="1"/>
  <c r="U10" i="10"/>
  <c r="S10" i="10"/>
  <c r="T10" i="10" s="1"/>
  <c r="P10" i="10"/>
  <c r="Q10" i="10" s="1"/>
  <c r="N10" i="10"/>
  <c r="K10" i="10"/>
  <c r="L10" i="10" s="1"/>
  <c r="G10" i="10"/>
  <c r="E10" i="10"/>
  <c r="C10" i="10"/>
  <c r="AX9" i="10"/>
  <c r="AY9" i="10" s="1"/>
  <c r="AV9" i="10"/>
  <c r="AU9" i="10"/>
  <c r="AR9" i="10"/>
  <c r="AS9" i="10" s="1"/>
  <c r="AO9" i="10"/>
  <c r="AP9" i="10" s="1"/>
  <c r="AL9" i="10"/>
  <c r="AM9" i="10" s="1"/>
  <c r="AI9" i="10"/>
  <c r="AJ9" i="10" s="1"/>
  <c r="AC9" i="10"/>
  <c r="Z9" i="10"/>
  <c r="Y9" i="10"/>
  <c r="AA9" i="10" s="1"/>
  <c r="X9" i="10"/>
  <c r="S9" i="10"/>
  <c r="T9" i="10" s="1"/>
  <c r="U9" i="10" s="1"/>
  <c r="P9" i="10"/>
  <c r="N9" i="10"/>
  <c r="L9" i="10"/>
  <c r="K9" i="10"/>
  <c r="G9" i="10"/>
  <c r="E9" i="10"/>
  <c r="C9" i="10"/>
  <c r="H9" i="10" s="1"/>
  <c r="I9" i="10" s="1"/>
  <c r="AX8" i="10"/>
  <c r="AY8" i="10" s="1"/>
  <c r="AU8" i="10"/>
  <c r="AV8" i="10" s="1"/>
  <c r="AS8" i="10"/>
  <c r="AR8" i="10"/>
  <c r="AO8" i="10"/>
  <c r="AP8" i="10" s="1"/>
  <c r="AM8" i="10"/>
  <c r="AL8" i="10"/>
  <c r="AI8" i="10"/>
  <c r="AJ8" i="10" s="1"/>
  <c r="Z8" i="10"/>
  <c r="X8" i="10"/>
  <c r="Y8" i="10" s="1"/>
  <c r="AA8" i="10" s="1"/>
  <c r="U8" i="10"/>
  <c r="S8" i="10"/>
  <c r="T8" i="10" s="1"/>
  <c r="P8" i="10"/>
  <c r="Q8" i="10" s="1"/>
  <c r="N8" i="10"/>
  <c r="K8" i="10"/>
  <c r="L8" i="10" s="1"/>
  <c r="G8" i="10"/>
  <c r="E8" i="10"/>
  <c r="C8" i="10"/>
  <c r="H8" i="10" s="1"/>
  <c r="I8" i="10" s="1"/>
  <c r="AX7" i="10"/>
  <c r="AY7" i="10" s="1"/>
  <c r="AU7" i="10"/>
  <c r="AV7" i="10" s="1"/>
  <c r="AR7" i="10"/>
  <c r="AS7" i="10" s="1"/>
  <c r="AO7" i="10"/>
  <c r="AP7" i="10" s="1"/>
  <c r="AL7" i="10"/>
  <c r="AM7" i="10" s="1"/>
  <c r="AI7" i="10"/>
  <c r="AJ7" i="10" s="1"/>
  <c r="AC7" i="10"/>
  <c r="Z7" i="10"/>
  <c r="Y7" i="10"/>
  <c r="AA7" i="10" s="1"/>
  <c r="X7" i="10"/>
  <c r="S7" i="10"/>
  <c r="T7" i="10" s="1"/>
  <c r="U7" i="10" s="1"/>
  <c r="P7" i="10"/>
  <c r="N7" i="10"/>
  <c r="Q7" i="10" s="1"/>
  <c r="L7" i="10"/>
  <c r="K7" i="10"/>
  <c r="H7" i="10"/>
  <c r="I7" i="10" s="1"/>
  <c r="G7" i="10"/>
  <c r="E7" i="10"/>
  <c r="C7" i="10"/>
  <c r="AY6" i="10"/>
  <c r="AX6" i="10"/>
  <c r="AU6" i="10"/>
  <c r="AR6" i="10"/>
  <c r="AR36" i="10" s="1"/>
  <c r="AO6" i="10"/>
  <c r="AL6" i="10"/>
  <c r="AI6" i="10"/>
  <c r="AC6" i="10"/>
  <c r="Z6" i="10"/>
  <c r="X6" i="10"/>
  <c r="Y6" i="10" s="1"/>
  <c r="AA6" i="10" s="1"/>
  <c r="S6" i="10"/>
  <c r="P6" i="10"/>
  <c r="P36" i="10" s="1"/>
  <c r="N6" i="10"/>
  <c r="K6" i="10"/>
  <c r="G6" i="10"/>
  <c r="E6" i="10"/>
  <c r="C6" i="10"/>
  <c r="AY5" i="10"/>
  <c r="AV5" i="10"/>
  <c r="AS5" i="10"/>
  <c r="AP5" i="10"/>
  <c r="AM5" i="10"/>
  <c r="AJ5" i="10"/>
  <c r="Z5" i="10"/>
  <c r="Z36" i="10" s="1"/>
  <c r="X5" i="10"/>
  <c r="U5" i="10"/>
  <c r="T5" i="10"/>
  <c r="Q5" i="10"/>
  <c r="L5" i="10"/>
  <c r="I5" i="10"/>
  <c r="H5" i="10"/>
  <c r="AJ36" i="10" l="1"/>
  <c r="AB49" i="10"/>
  <c r="L59" i="10"/>
  <c r="Q6" i="10"/>
  <c r="Q36" i="10" s="1"/>
  <c r="AL36" i="10"/>
  <c r="AS6" i="10"/>
  <c r="C36" i="10"/>
  <c r="H6" i="10"/>
  <c r="I6" i="10" s="1"/>
  <c r="K36" i="10"/>
  <c r="L6" i="10"/>
  <c r="AM6" i="10"/>
  <c r="AM36" i="10" s="1"/>
  <c r="AS36" i="10"/>
  <c r="E36" i="10"/>
  <c r="AC36" i="10"/>
  <c r="AD39" i="10" s="1"/>
  <c r="AE39" i="10" s="1"/>
  <c r="AX36" i="10"/>
  <c r="AG36" i="10"/>
  <c r="AB47" i="10"/>
  <c r="R51" i="10"/>
  <c r="X36" i="10"/>
  <c r="Z39" i="10" s="1"/>
  <c r="AV36" i="10"/>
  <c r="G36" i="10"/>
  <c r="S36" i="10"/>
  <c r="AI36" i="10"/>
  <c r="AO36" i="10"/>
  <c r="AU36" i="10"/>
  <c r="H10" i="10"/>
  <c r="I10" i="10" s="1"/>
  <c r="H18" i="10"/>
  <c r="I18" i="10" s="1"/>
  <c r="AB50" i="10"/>
  <c r="Y5" i="10"/>
  <c r="AY36" i="10"/>
  <c r="N36" i="10"/>
  <c r="T6" i="10"/>
  <c r="U6" i="10" s="1"/>
  <c r="U36" i="10" s="1"/>
  <c r="AJ6" i="10"/>
  <c r="AP6" i="10"/>
  <c r="AP36" i="10" s="1"/>
  <c r="AV6" i="10"/>
  <c r="Q9" i="10"/>
  <c r="H16" i="10"/>
  <c r="I16" i="10" s="1"/>
  <c r="Q17" i="10"/>
  <c r="AA28" i="10"/>
  <c r="AA32" i="10"/>
  <c r="Q33" i="10"/>
  <c r="H35" i="10"/>
  <c r="I35" i="10" s="1"/>
  <c r="Q29" i="10"/>
  <c r="H31" i="10"/>
  <c r="I31" i="10" s="1"/>
  <c r="H34" i="10"/>
  <c r="I34" i="10" s="1"/>
  <c r="AB48" i="10"/>
  <c r="B51" i="10"/>
  <c r="R39" i="10" l="1"/>
  <c r="R42" i="10" s="1"/>
  <c r="T42" i="10" s="1"/>
  <c r="L49" i="10"/>
  <c r="Z57" i="10" s="1"/>
  <c r="W49" i="10"/>
  <c r="H36" i="10"/>
  <c r="I36" i="10" s="1"/>
  <c r="AA5" i="10"/>
  <c r="AA36" i="10" s="1"/>
  <c r="Y36" i="10"/>
  <c r="AB51" i="10"/>
  <c r="T36" i="10"/>
  <c r="T39" i="10" s="1"/>
  <c r="L36" i="10"/>
  <c r="M39" i="10"/>
  <c r="W50" i="10" l="1"/>
  <c r="X39" i="10"/>
  <c r="X42" i="10" s="1"/>
  <c r="AG42" i="10" s="1"/>
  <c r="Z42" i="10" s="1"/>
  <c r="L50" i="10"/>
  <c r="Z58" i="10" s="1"/>
  <c r="R57" i="10"/>
  <c r="W57" i="10" s="1"/>
  <c r="AF49" i="10"/>
  <c r="Y49" i="10"/>
  <c r="W48" i="10"/>
  <c r="L48" i="10"/>
  <c r="Z56" i="10" s="1"/>
  <c r="L39" i="10"/>
  <c r="L42" i="10" s="1"/>
  <c r="M42" i="10" s="1"/>
  <c r="L47" i="10"/>
  <c r="Z55" i="10" s="1"/>
  <c r="W47" i="10"/>
  <c r="D39" i="10"/>
  <c r="AD57" i="10"/>
  <c r="AA57" i="10"/>
  <c r="AE57" i="10" s="1"/>
  <c r="AA58" i="10" l="1"/>
  <c r="AE58" i="10" s="1"/>
  <c r="AD58" i="10"/>
  <c r="AF47" i="10"/>
  <c r="W51" i="10"/>
  <c r="R55" i="10"/>
  <c r="Y47" i="10"/>
  <c r="R56" i="10"/>
  <c r="W56" i="10" s="1"/>
  <c r="AF48" i="10"/>
  <c r="Y48" i="10"/>
  <c r="AH49" i="10"/>
  <c r="AG49" i="10"/>
  <c r="Z59" i="10"/>
  <c r="AD55" i="10"/>
  <c r="AA55" i="10"/>
  <c r="D42" i="10"/>
  <c r="G42" i="10" s="1"/>
  <c r="G39" i="10"/>
  <c r="AD56" i="10"/>
  <c r="AA56" i="10"/>
  <c r="AE56" i="10" s="1"/>
  <c r="AF50" i="10"/>
  <c r="R58" i="10"/>
  <c r="W58" i="10" s="1"/>
  <c r="Y50" i="10"/>
  <c r="AH48" i="10" l="1"/>
  <c r="AG48" i="10"/>
  <c r="AF51" i="10"/>
  <c r="AH47" i="10"/>
  <c r="AG47" i="10"/>
  <c r="X52" i="10"/>
  <c r="B52" i="10" s="1"/>
  <c r="Y51" i="10"/>
  <c r="AH50" i="10"/>
  <c r="AG50" i="10"/>
  <c r="AA59" i="10"/>
  <c r="AE55" i="10"/>
  <c r="AE59" i="10" s="1"/>
  <c r="AD59" i="10"/>
  <c r="R59" i="10"/>
  <c r="X60" i="10" s="1"/>
  <c r="B60" i="10" s="1"/>
  <c r="W55" i="10"/>
  <c r="W59" i="10" s="1"/>
  <c r="AF52" i="10" l="1"/>
  <c r="AG51" i="10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B8" authorId="0" shapeId="0" xr:uid="{24349D45-289E-434F-AC11-6D49116BA2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PAL Tech team- replaced the New Bulk meter in ETS Room.</t>
        </r>
      </text>
    </comment>
    <comment ref="AF19" authorId="0" shapeId="0" xr:uid="{68043981-3F2B-483A-9827-B8F7B65EFE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Reading took at 11 am</t>
        </r>
      </text>
    </comment>
  </commentList>
</comments>
</file>

<file path=xl/sharedStrings.xml><?xml version="1.0" encoding="utf-8"?>
<sst xmlns="http://schemas.openxmlformats.org/spreadsheetml/2006/main" count="254" uniqueCount="107">
  <si>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</si>
  <si>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</si>
  <si>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</si>
  <si>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</si>
  <si>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</si>
  <si>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</si>
  <si>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</si>
  <si>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</si>
  <si>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</si>
  <si>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</si>
  <si>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</si>
  <si>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</si>
  <si>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</si>
  <si>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</si>
  <si>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</si>
  <si>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</si>
  <si>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</si>
  <si>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</si>
  <si>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</si>
  <si>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</si>
  <si>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</si>
  <si>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</si>
  <si>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</si>
  <si>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</si>
  <si>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</si>
  <si>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</si>
  <si>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</si>
  <si>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</si>
  <si>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</si>
  <si>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</si>
  <si>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</si>
  <si>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</si>
  <si>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</si>
  <si>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</si>
  <si>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</si>
  <si>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</si>
  <si>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</si>
  <si>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</si>
  <si>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</si>
  <si>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</si>
  <si>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</si>
  <si>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</si>
  <si>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</si>
  <si>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</si>
  <si>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</si>
  <si>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</si>
  <si>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</si>
  <si>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</si>
  <si>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</si>
  <si>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</si>
  <si>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</si>
  <si>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</si>
  <si>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</si>
  <si>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</si>
  <si>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</si>
  <si>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</si>
  <si>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</si>
  <si>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</si>
  <si>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</si>
  <si>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</si>
  <si>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</si>
  <si>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</si>
  <si>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</si>
  <si>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</si>
  <si>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</si>
  <si>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</si>
  <si>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</si>
  <si>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</si>
  <si>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</si>
  <si>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</si>
  <si>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</si>
  <si>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</si>
  <si>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</si>
  <si>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</si>
  <si>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</si>
  <si>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</si>
  <si>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</si>
  <si>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</si>
  <si>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</si>
  <si>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</si>
  <si>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</si>
  <si>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</si>
  <si>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</si>
  <si>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</si>
  <si>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</si>
  <si>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</si>
  <si>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</si>
  <si>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</si>
  <si>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</si>
  <si>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</si>
  <si>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</si>
  <si>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</si>
  <si>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</si>
  <si>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</si>
  <si>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</si>
  <si>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</si>
  <si>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</si>
  <si>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</si>
  <si>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</si>
  <si>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OCTOBER 2024</t>
  </si>
  <si>
    <t>ETS Energy Bulk Meter Reading</t>
  </si>
  <si>
    <t>ETS Cons.
Ton Hours</t>
  </si>
  <si>
    <t>Blue Sky tower Chilled water</t>
  </si>
  <si>
    <t>Cons. MWH</t>
  </si>
  <si>
    <t>Actual October 2024</t>
  </si>
  <si>
    <t>Budget October 2024</t>
  </si>
  <si>
    <t>Actual October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</si>
</sst>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</numFmts>
  <fonts count="41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5" xfId="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5" borderId="1" xfId="0" applyFont="1" applyFill="1" applyBorder="1"/>
    <xf numFmtId="0" fontId="7" fillId="5" borderId="3" xfId="0" applyFont="1" applyFill="1" applyBorder="1"/>
    <xf numFmtId="0" fontId="0" fillId="6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2" fontId="0" fillId="0" borderId="89" xfId="0" applyNumberFormat="1" applyBorder="1" applyAlignment="1">
      <alignment horizontal="center" vertical="center"/>
    </xf>
    <xf numFmtId="2" fontId="3" fillId="0" borderId="89" xfId="0" applyNumberFormat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1" fontId="2" fillId="0" borderId="91" xfId="0" applyNumberFormat="1" applyFont="1" applyBorder="1" applyAlignment="1">
      <alignment horizontal="center" vertical="center"/>
    </xf>
    <xf numFmtId="2" fontId="2" fillId="0" borderId="91" xfId="0" applyNumberFormat="1" applyFont="1" applyBorder="1" applyAlignment="1">
      <alignment horizontal="center" vertical="center"/>
    </xf>
    <xf numFmtId="164" fontId="3" fillId="0" borderId="91" xfId="18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93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40" fillId="6" borderId="17" xfId="0" applyFont="1" applyFill="1" applyBorder="1" applyAlignment="1">
      <alignment horizontal="center" vertical="center"/>
    </xf>
    <xf numFmtId="0" fontId="40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I8" sqref="I8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71</v>
      </c>
      <c r="B1" s="27" t="s">
        <v>72</v>
      </c>
      <c r="C1" s="28" t="s">
        <v>73</v>
      </c>
      <c r="D1" s="29" t="s">
        <v>74</v>
      </c>
      <c r="E1" s="30" t="s">
        <v>75</v>
      </c>
      <c r="F1" s="31" t="s">
        <v>76</v>
      </c>
      <c r="G1" s="30" t="s">
        <v>92</v>
      </c>
      <c r="H1" s="31" t="s">
        <v>93</v>
      </c>
      <c r="I1" s="32" t="s">
        <v>90</v>
      </c>
      <c r="J1" s="33" t="s">
        <v>91</v>
      </c>
      <c r="K1" s="34" t="s">
        <v>77</v>
      </c>
      <c r="L1" s="35" t="s">
        <v>78</v>
      </c>
      <c r="M1" s="36" t="s">
        <v>79</v>
      </c>
      <c r="N1" s="30" t="s">
        <v>80</v>
      </c>
    </row>
    <row r="2" spans="1:15" x14ac:dyDescent="0.25">
      <c r="A2" s="26" t="s">
        <v>81</v>
      </c>
      <c r="B2" s="2">
        <v>1</v>
      </c>
      <c r="C2" s="16">
        <v>10</v>
      </c>
      <c r="D2" s="2">
        <v>2024</v>
      </c>
      <c r="E2" s="9">
        <f>Submetering!E2+Submetering!F2+Submetering!G2</f>
        <v>14562</v>
      </c>
      <c r="F2" s="17">
        <v>0.2</v>
      </c>
      <c r="G2" s="9">
        <f>'OCT 2024'!T5</f>
        <v>31.671000000000003</v>
      </c>
      <c r="H2" s="18">
        <v>16.760000000000002</v>
      </c>
      <c r="I2" s="9">
        <f>Submetering!H2</f>
        <v>87</v>
      </c>
      <c r="J2" s="17">
        <v>7.84</v>
      </c>
      <c r="K2" s="19">
        <f>'OCT 2024'!X5</f>
        <v>10236.420000000002</v>
      </c>
      <c r="L2" s="171">
        <v>0.34489999999999998</v>
      </c>
      <c r="M2" s="9">
        <f>Submetering!N2</f>
        <v>250.01549999999997</v>
      </c>
      <c r="N2" s="2">
        <f>Submetering!O2</f>
        <v>306</v>
      </c>
      <c r="O2" s="15"/>
    </row>
    <row r="3" spans="1:15" x14ac:dyDescent="0.25">
      <c r="A3" s="26" t="s">
        <v>81</v>
      </c>
      <c r="B3" s="2">
        <f t="shared" ref="B3:B32" si="0">B2+1</f>
        <v>2</v>
      </c>
      <c r="C3" s="16">
        <v>10</v>
      </c>
      <c r="D3" s="2">
        <v>2024</v>
      </c>
      <c r="E3" s="9">
        <f>Submetering!E3+Submetering!F3+Submetering!G3</f>
        <v>14673</v>
      </c>
      <c r="F3" s="17">
        <v>0.2</v>
      </c>
      <c r="G3" s="9">
        <f>'OCT 2024'!T6</f>
        <v>42.228000000000002</v>
      </c>
      <c r="H3" s="18">
        <v>16.760000000000002</v>
      </c>
      <c r="I3" s="9">
        <f>Submetering!H3</f>
        <v>94</v>
      </c>
      <c r="J3" s="17">
        <v>7.84</v>
      </c>
      <c r="K3" s="19">
        <f>'OCT 2024'!X6</f>
        <v>11089.455000000002</v>
      </c>
      <c r="L3" s="171">
        <v>0.34489999999999998</v>
      </c>
      <c r="M3" s="9">
        <f>Submetering!N3</f>
        <v>265.0095</v>
      </c>
      <c r="N3" s="2">
        <f>Submetering!O3</f>
        <v>339</v>
      </c>
      <c r="O3" s="15"/>
    </row>
    <row r="4" spans="1:15" x14ac:dyDescent="0.25">
      <c r="A4" s="26" t="s">
        <v>81</v>
      </c>
      <c r="B4" s="2">
        <f t="shared" si="0"/>
        <v>3</v>
      </c>
      <c r="C4" s="16">
        <v>10</v>
      </c>
      <c r="D4" s="2">
        <v>2024</v>
      </c>
      <c r="E4" s="9">
        <f>Submetering!E4+Submetering!F4+Submetering!G4</f>
        <v>14732</v>
      </c>
      <c r="F4" s="17">
        <v>0.2</v>
      </c>
      <c r="G4" s="9">
        <f>'OCT 2024'!T7</f>
        <v>31.671000000000003</v>
      </c>
      <c r="H4" s="18">
        <v>16.760000000000002</v>
      </c>
      <c r="I4" s="9">
        <f>Submetering!H4</f>
        <v>92</v>
      </c>
      <c r="J4" s="17">
        <v>7.84</v>
      </c>
      <c r="K4" s="19">
        <f>'OCT 2024'!X7</f>
        <v>11373.800000000001</v>
      </c>
      <c r="L4" s="171">
        <v>0.34489999999999998</v>
      </c>
      <c r="M4" s="9">
        <f>Submetering!N4</f>
        <v>198.9855</v>
      </c>
      <c r="N4" s="2">
        <f>Submetering!O4</f>
        <v>245</v>
      </c>
      <c r="O4" s="15"/>
    </row>
    <row r="5" spans="1:15" x14ac:dyDescent="0.25">
      <c r="A5" s="26" t="s">
        <v>81</v>
      </c>
      <c r="B5" s="2">
        <f t="shared" si="0"/>
        <v>4</v>
      </c>
      <c r="C5" s="16">
        <v>10</v>
      </c>
      <c r="D5" s="2">
        <v>2024</v>
      </c>
      <c r="E5" s="9">
        <f>Submetering!E5+Submetering!F5+Submetering!G5</f>
        <v>14752</v>
      </c>
      <c r="F5" s="17">
        <v>0.2</v>
      </c>
      <c r="G5" s="9">
        <f>'OCT 2024'!T8</f>
        <v>40.116600000000005</v>
      </c>
      <c r="H5" s="18">
        <v>16.760000000000002</v>
      </c>
      <c r="I5" s="9">
        <f>Submetering!H5</f>
        <v>79</v>
      </c>
      <c r="J5" s="17">
        <v>7.84</v>
      </c>
      <c r="K5" s="19">
        <f>'OCT 2024'!X8</f>
        <v>10805.11</v>
      </c>
      <c r="L5" s="171">
        <v>0.34489999999999998</v>
      </c>
      <c r="M5" s="9">
        <f>Submetering!N5</f>
        <v>175.01399999999998</v>
      </c>
      <c r="N5" s="2">
        <f>Submetering!O5</f>
        <v>233</v>
      </c>
      <c r="O5" s="15"/>
    </row>
    <row r="6" spans="1:15" x14ac:dyDescent="0.25">
      <c r="A6" s="26" t="s">
        <v>81</v>
      </c>
      <c r="B6" s="2">
        <f t="shared" si="0"/>
        <v>5</v>
      </c>
      <c r="C6" s="16">
        <v>10</v>
      </c>
      <c r="D6" s="2">
        <v>2024</v>
      </c>
      <c r="E6" s="9">
        <f>Submetering!E6+Submetering!F6+Submetering!G6</f>
        <v>15420</v>
      </c>
      <c r="F6" s="17">
        <v>0.2</v>
      </c>
      <c r="G6" s="9">
        <f>'OCT 2024'!T9</f>
        <v>34.838100000000004</v>
      </c>
      <c r="H6" s="18">
        <v>16.760000000000002</v>
      </c>
      <c r="I6" s="9">
        <f>Submetering!H6</f>
        <v>87</v>
      </c>
      <c r="J6" s="17">
        <v>7.84</v>
      </c>
      <c r="K6" s="19">
        <f>'OCT 2024'!X9</f>
        <v>10520.765000000001</v>
      </c>
      <c r="L6" s="171">
        <v>0.34489999999999998</v>
      </c>
      <c r="M6" s="9">
        <f>Submetering!N6</f>
        <v>148.995</v>
      </c>
      <c r="N6" s="2">
        <f>Submetering!O6</f>
        <v>200</v>
      </c>
      <c r="O6" s="15"/>
    </row>
    <row r="7" spans="1:15" x14ac:dyDescent="0.25">
      <c r="A7" s="26" t="s">
        <v>81</v>
      </c>
      <c r="B7" s="2">
        <f t="shared" si="0"/>
        <v>6</v>
      </c>
      <c r="C7" s="16">
        <v>10</v>
      </c>
      <c r="D7" s="2">
        <v>2024</v>
      </c>
      <c r="E7" s="9">
        <f>Submetering!E7+Submetering!F7+Submetering!G7</f>
        <v>15598</v>
      </c>
      <c r="F7" s="17">
        <v>0.2</v>
      </c>
      <c r="G7" s="9">
        <f>'OCT 2024'!T10</f>
        <v>34.838100000000004</v>
      </c>
      <c r="H7" s="18">
        <v>16.760000000000002</v>
      </c>
      <c r="I7" s="9">
        <f>Submetering!H7</f>
        <v>75</v>
      </c>
      <c r="J7" s="17">
        <v>7.84</v>
      </c>
      <c r="K7" s="19">
        <f>'OCT 2024'!X10</f>
        <v>9667.7300000000014</v>
      </c>
      <c r="L7" s="171">
        <v>0.34489999999999998</v>
      </c>
      <c r="M7" s="9">
        <f>Submetering!N7</f>
        <v>214.98750000000001</v>
      </c>
      <c r="N7" s="2">
        <f>Submetering!O7</f>
        <v>269</v>
      </c>
      <c r="O7" s="15"/>
    </row>
    <row r="8" spans="1:15" x14ac:dyDescent="0.25">
      <c r="A8" s="26" t="s">
        <v>81</v>
      </c>
      <c r="B8" s="2">
        <f t="shared" si="0"/>
        <v>7</v>
      </c>
      <c r="C8" s="16">
        <v>10</v>
      </c>
      <c r="D8" s="2">
        <v>2024</v>
      </c>
      <c r="E8" s="9">
        <f>Submetering!E8+Submetering!F8+Submetering!G8</f>
        <v>14730</v>
      </c>
      <c r="F8" s="17">
        <v>0.2</v>
      </c>
      <c r="G8" s="9">
        <f>'OCT 2024'!T11</f>
        <v>34.838100000000004</v>
      </c>
      <c r="H8" s="18">
        <v>16.760000000000002</v>
      </c>
      <c r="I8" s="9">
        <f>Submetering!H8</f>
        <v>83</v>
      </c>
      <c r="J8" s="17">
        <v>7.84</v>
      </c>
      <c r="K8" s="19">
        <f>'OCT 2024'!X11</f>
        <v>9099.0400000000009</v>
      </c>
      <c r="L8" s="171">
        <v>0.34489999999999998</v>
      </c>
      <c r="M8" s="9">
        <f>Submetering!N8</f>
        <v>277.98750000000001</v>
      </c>
      <c r="N8" s="2">
        <f>Submetering!O8</f>
        <v>333</v>
      </c>
      <c r="O8" s="15"/>
    </row>
    <row r="9" spans="1:15" x14ac:dyDescent="0.25">
      <c r="A9" s="26" t="s">
        <v>81</v>
      </c>
      <c r="B9" s="2">
        <f t="shared" si="0"/>
        <v>8</v>
      </c>
      <c r="C9" s="16">
        <v>10</v>
      </c>
      <c r="D9" s="2">
        <v>2024</v>
      </c>
      <c r="E9" s="9">
        <f>Submetering!E9+Submetering!F9+Submetering!G9</f>
        <v>14299</v>
      </c>
      <c r="F9" s="17">
        <v>0.2</v>
      </c>
      <c r="G9" s="9">
        <f>'OCT 2024'!T12</f>
        <v>38.005200000000002</v>
      </c>
      <c r="H9" s="18">
        <v>16.760000000000002</v>
      </c>
      <c r="I9" s="9">
        <f>Submetering!H9</f>
        <v>90</v>
      </c>
      <c r="J9" s="17">
        <v>7.84</v>
      </c>
      <c r="K9" s="19">
        <f>'OCT 2024'!X12</f>
        <v>8814.6950000000015</v>
      </c>
      <c r="L9" s="171">
        <v>0.34489999999999998</v>
      </c>
      <c r="M9" s="9">
        <f>Submetering!N9</f>
        <v>315</v>
      </c>
      <c r="N9" s="2">
        <f>Submetering!O9</f>
        <v>378</v>
      </c>
      <c r="O9" s="15"/>
    </row>
    <row r="10" spans="1:15" x14ac:dyDescent="0.25">
      <c r="A10" s="26" t="s">
        <v>81</v>
      </c>
      <c r="B10" s="2">
        <f t="shared" si="0"/>
        <v>9</v>
      </c>
      <c r="C10" s="16">
        <v>10</v>
      </c>
      <c r="D10" s="2">
        <v>2024</v>
      </c>
      <c r="E10" s="9">
        <f>Submetering!E10+Submetering!F10+Submetering!G10</f>
        <v>15040</v>
      </c>
      <c r="F10" s="17">
        <v>0.2</v>
      </c>
      <c r="G10" s="9">
        <f>'OCT 2024'!T13</f>
        <v>36.9495</v>
      </c>
      <c r="H10" s="18">
        <v>16.760000000000002</v>
      </c>
      <c r="I10" s="9">
        <f>Submetering!H10</f>
        <v>105</v>
      </c>
      <c r="J10" s="17">
        <v>7.84</v>
      </c>
      <c r="K10" s="19">
        <f>'OCT 2024'!X13</f>
        <v>9383.3850000000002</v>
      </c>
      <c r="L10" s="171">
        <v>0.34489999999999998</v>
      </c>
      <c r="M10" s="9">
        <f>Submetering!N10</f>
        <v>298.99799999999999</v>
      </c>
      <c r="N10" s="2">
        <f>Submetering!O10</f>
        <v>366</v>
      </c>
      <c r="O10" s="15"/>
    </row>
    <row r="11" spans="1:15" x14ac:dyDescent="0.25">
      <c r="A11" s="26" t="s">
        <v>81</v>
      </c>
      <c r="B11" s="2">
        <f t="shared" si="0"/>
        <v>10</v>
      </c>
      <c r="C11" s="16">
        <v>10</v>
      </c>
      <c r="D11" s="2">
        <v>2024</v>
      </c>
      <c r="E11" s="9">
        <f>Submetering!E11+Submetering!F11+Submetering!G11</f>
        <v>14708</v>
      </c>
      <c r="F11" s="17">
        <v>0.2</v>
      </c>
      <c r="G11" s="9">
        <f>'OCT 2024'!T14</f>
        <v>29.559600000000003</v>
      </c>
      <c r="H11" s="18">
        <v>16.760000000000002</v>
      </c>
      <c r="I11" s="9">
        <f>Submetering!H11</f>
        <v>98</v>
      </c>
      <c r="J11" s="17">
        <v>7.84</v>
      </c>
      <c r="K11" s="19">
        <f>'OCT 2024'!X14</f>
        <v>9667.7300000000014</v>
      </c>
      <c r="L11" s="171">
        <v>0.34489999999999998</v>
      </c>
      <c r="M11" s="9">
        <f>Submetering!N11</f>
        <v>229.005</v>
      </c>
      <c r="N11" s="2">
        <f>Submetering!O11</f>
        <v>295</v>
      </c>
      <c r="O11" s="15"/>
    </row>
    <row r="12" spans="1:15" x14ac:dyDescent="0.25">
      <c r="A12" s="26" t="s">
        <v>81</v>
      </c>
      <c r="B12" s="2">
        <f t="shared" si="0"/>
        <v>11</v>
      </c>
      <c r="C12" s="16">
        <v>10</v>
      </c>
      <c r="D12" s="2">
        <v>2024</v>
      </c>
      <c r="E12" s="9">
        <f>Submetering!E12+Submetering!F12+Submetering!G12</f>
        <v>14095</v>
      </c>
      <c r="F12" s="17">
        <v>0.2</v>
      </c>
      <c r="G12" s="9">
        <f>'OCT 2024'!T15</f>
        <v>38.005200000000002</v>
      </c>
      <c r="H12" s="18">
        <v>16.760000000000002</v>
      </c>
      <c r="I12" s="9">
        <f>Submetering!H12</f>
        <v>92</v>
      </c>
      <c r="J12" s="17">
        <v>7.84</v>
      </c>
      <c r="K12" s="19">
        <f>'OCT 2024'!X15</f>
        <v>9383.3850000000002</v>
      </c>
      <c r="L12" s="171">
        <v>0.34489999999999998</v>
      </c>
      <c r="M12" s="9">
        <f>Submetering!N12</f>
        <v>207.99449999999999</v>
      </c>
      <c r="N12" s="2">
        <f>Submetering!O12</f>
        <v>292</v>
      </c>
      <c r="O12" s="15"/>
    </row>
    <row r="13" spans="1:15" x14ac:dyDescent="0.25">
      <c r="A13" s="26" t="s">
        <v>81</v>
      </c>
      <c r="B13" s="2">
        <f t="shared" si="0"/>
        <v>12</v>
      </c>
      <c r="C13" s="16">
        <v>10</v>
      </c>
      <c r="D13" s="2">
        <v>2024</v>
      </c>
      <c r="E13" s="9">
        <f>Submetering!E13+Submetering!F13+Submetering!G13</f>
        <v>14741</v>
      </c>
      <c r="F13" s="17">
        <v>0.2</v>
      </c>
      <c r="G13" s="9">
        <f>'OCT 2024'!T16</f>
        <v>34.838100000000004</v>
      </c>
      <c r="H13" s="18">
        <v>16.760000000000002</v>
      </c>
      <c r="I13" s="9">
        <f>Submetering!H13</f>
        <v>101</v>
      </c>
      <c r="J13" s="17">
        <v>7.84</v>
      </c>
      <c r="K13" s="19">
        <f>'OCT 2024'!X16</f>
        <v>9099.0400000000009</v>
      </c>
      <c r="L13" s="171">
        <v>0.34489999999999998</v>
      </c>
      <c r="M13" s="9">
        <f>Submetering!N13</f>
        <v>274.995</v>
      </c>
      <c r="N13" s="2">
        <f>Submetering!O13</f>
        <v>392</v>
      </c>
      <c r="O13" s="15"/>
    </row>
    <row r="14" spans="1:15" x14ac:dyDescent="0.25">
      <c r="A14" s="26" t="s">
        <v>81</v>
      </c>
      <c r="B14" s="2">
        <f t="shared" si="0"/>
        <v>13</v>
      </c>
      <c r="C14" s="16">
        <v>10</v>
      </c>
      <c r="D14" s="2">
        <v>2024</v>
      </c>
      <c r="E14" s="9">
        <f>Submetering!E14+Submetering!F14+Submetering!G14</f>
        <v>14872</v>
      </c>
      <c r="F14" s="17">
        <v>0.2</v>
      </c>
      <c r="G14" s="9">
        <f>'OCT 2024'!T17</f>
        <v>26.392500000000002</v>
      </c>
      <c r="H14" s="18">
        <v>16.760000000000002</v>
      </c>
      <c r="I14" s="9">
        <f>Submetering!H14</f>
        <v>113</v>
      </c>
      <c r="J14" s="17">
        <v>7.84</v>
      </c>
      <c r="K14" s="19">
        <f>'OCT 2024'!X17</f>
        <v>8814.6950000000015</v>
      </c>
      <c r="L14" s="171">
        <v>0.34489999999999998</v>
      </c>
      <c r="M14" s="9">
        <f>Submetering!N14</f>
        <v>253.00800000000001</v>
      </c>
      <c r="N14" s="2">
        <f>Submetering!O14</f>
        <v>326</v>
      </c>
      <c r="O14" s="15"/>
    </row>
    <row r="15" spans="1:15" x14ac:dyDescent="0.25">
      <c r="A15" s="26" t="s">
        <v>81</v>
      </c>
      <c r="B15" s="2">
        <f t="shared" si="0"/>
        <v>14</v>
      </c>
      <c r="C15" s="16">
        <v>10</v>
      </c>
      <c r="D15" s="2">
        <v>2024</v>
      </c>
      <c r="E15" s="9">
        <f>Submetering!E15+Submetering!F15+Submetering!G15</f>
        <v>15218</v>
      </c>
      <c r="F15" s="17">
        <v>0.2</v>
      </c>
      <c r="G15" s="9">
        <f>'OCT 2024'!T18</f>
        <v>41.1723</v>
      </c>
      <c r="H15" s="18">
        <v>16.760000000000002</v>
      </c>
      <c r="I15" s="9">
        <f>Submetering!H15</f>
        <v>82</v>
      </c>
      <c r="J15" s="17">
        <v>7.84</v>
      </c>
      <c r="K15" s="19">
        <f>'OCT 2024'!X18</f>
        <v>8246.005000000001</v>
      </c>
      <c r="L15" s="171">
        <v>0.34489999999999998</v>
      </c>
      <c r="M15" s="9">
        <f>Submetering!N15</f>
        <v>273.01050000000004</v>
      </c>
      <c r="N15" s="2">
        <f>Submetering!O15</f>
        <v>346</v>
      </c>
      <c r="O15" s="15"/>
    </row>
    <row r="16" spans="1:15" x14ac:dyDescent="0.25">
      <c r="A16" s="26" t="s">
        <v>81</v>
      </c>
      <c r="B16" s="2">
        <f t="shared" si="0"/>
        <v>15</v>
      </c>
      <c r="C16" s="16">
        <v>10</v>
      </c>
      <c r="D16" s="2">
        <v>2024</v>
      </c>
      <c r="E16" s="9">
        <f>Submetering!E16+Submetering!F16+Submetering!G16</f>
        <v>14857</v>
      </c>
      <c r="F16" s="17">
        <v>0.2</v>
      </c>
      <c r="G16" s="9">
        <f>'OCT 2024'!T19</f>
        <v>40.116600000000005</v>
      </c>
      <c r="H16" s="18">
        <v>16.760000000000002</v>
      </c>
      <c r="I16" s="9">
        <f>Submetering!H16</f>
        <v>103</v>
      </c>
      <c r="J16" s="17">
        <v>7.84</v>
      </c>
      <c r="K16" s="19">
        <f>'OCT 2024'!X19</f>
        <v>8814.6950000000015</v>
      </c>
      <c r="L16" s="171">
        <v>0.34489999999999998</v>
      </c>
      <c r="M16" s="9">
        <f>Submetering!N16</f>
        <v>284.00399999999996</v>
      </c>
      <c r="N16" s="2">
        <f>Submetering!O16</f>
        <v>360</v>
      </c>
      <c r="O16" s="15"/>
    </row>
    <row r="17" spans="1:15" x14ac:dyDescent="0.25">
      <c r="A17" s="26" t="s">
        <v>81</v>
      </c>
      <c r="B17" s="2">
        <f t="shared" si="0"/>
        <v>16</v>
      </c>
      <c r="C17" s="16">
        <v>10</v>
      </c>
      <c r="D17" s="2">
        <v>2024</v>
      </c>
      <c r="E17" s="9">
        <f>Submetering!E17+Submetering!F17+Submetering!G17</f>
        <v>14639</v>
      </c>
      <c r="F17" s="17">
        <v>0.2</v>
      </c>
      <c r="G17" s="9">
        <f>'OCT 2024'!T20</f>
        <v>36.9495</v>
      </c>
      <c r="H17" s="18">
        <v>16.760000000000002</v>
      </c>
      <c r="I17" s="9">
        <f>Submetering!H17</f>
        <v>109</v>
      </c>
      <c r="J17" s="17">
        <v>7.84</v>
      </c>
      <c r="K17" s="19">
        <f>'OCT 2024'!X20</f>
        <v>9099.0400000000009</v>
      </c>
      <c r="L17" s="171">
        <v>0.34489999999999998</v>
      </c>
      <c r="M17" s="9">
        <f>Submetering!N17</f>
        <v>301.01400000000001</v>
      </c>
      <c r="N17" s="2">
        <f>Submetering!O17</f>
        <v>380</v>
      </c>
      <c r="O17" s="15"/>
    </row>
    <row r="18" spans="1:15" x14ac:dyDescent="0.25">
      <c r="A18" s="26" t="s">
        <v>81</v>
      </c>
      <c r="B18" s="2">
        <f t="shared" si="0"/>
        <v>17</v>
      </c>
      <c r="C18" s="16">
        <v>10</v>
      </c>
      <c r="D18" s="2">
        <v>2024</v>
      </c>
      <c r="E18" s="9">
        <f>Submetering!E18+Submetering!F18+Submetering!G18</f>
        <v>14319</v>
      </c>
      <c r="F18" s="17">
        <v>0.2</v>
      </c>
      <c r="G18" s="9">
        <f>'OCT 2024'!T21</f>
        <v>38.005200000000002</v>
      </c>
      <c r="H18" s="18">
        <v>16.760000000000002</v>
      </c>
      <c r="I18" s="9">
        <f>Submetering!H18</f>
        <v>102</v>
      </c>
      <c r="J18" s="17">
        <v>7.84</v>
      </c>
      <c r="K18" s="19">
        <f>'OCT 2024'!X21</f>
        <v>9383.3850000000002</v>
      </c>
      <c r="L18" s="171">
        <v>0.34489999999999998</v>
      </c>
      <c r="M18" s="9">
        <f>Submetering!N18</f>
        <v>282.99599999999998</v>
      </c>
      <c r="N18" s="2">
        <f>Submetering!O18</f>
        <v>360</v>
      </c>
      <c r="O18" s="15"/>
    </row>
    <row r="19" spans="1:15" x14ac:dyDescent="0.25">
      <c r="A19" s="26" t="s">
        <v>81</v>
      </c>
      <c r="B19" s="2">
        <f t="shared" si="0"/>
        <v>18</v>
      </c>
      <c r="C19" s="16">
        <v>10</v>
      </c>
      <c r="D19" s="2">
        <v>2024</v>
      </c>
      <c r="E19" s="9">
        <f>Submetering!E19+Submetering!F19+Submetering!G19</f>
        <v>14621</v>
      </c>
      <c r="F19" s="17">
        <v>0.2</v>
      </c>
      <c r="G19" s="9">
        <f>'OCT 2024'!T22</f>
        <v>43.283700000000003</v>
      </c>
      <c r="H19" s="18">
        <v>16.760000000000002</v>
      </c>
      <c r="I19" s="9">
        <f>Submetering!H19</f>
        <v>111</v>
      </c>
      <c r="J19" s="17">
        <v>7.84</v>
      </c>
      <c r="K19" s="19">
        <f>'OCT 2024'!X22</f>
        <v>9952.0750000000007</v>
      </c>
      <c r="L19" s="171">
        <v>0.34489999999999998</v>
      </c>
      <c r="M19" s="9">
        <f>Submetering!N19</f>
        <v>280.00350000000003</v>
      </c>
      <c r="N19" s="2">
        <f>Submetering!O19</f>
        <v>367</v>
      </c>
      <c r="O19" s="15"/>
    </row>
    <row r="20" spans="1:15" x14ac:dyDescent="0.25">
      <c r="A20" s="26" t="s">
        <v>81</v>
      </c>
      <c r="B20" s="2">
        <f t="shared" si="0"/>
        <v>19</v>
      </c>
      <c r="C20" s="16">
        <v>10</v>
      </c>
      <c r="D20" s="2">
        <v>2024</v>
      </c>
      <c r="E20" s="9">
        <f>Submetering!E20+Submetering!F20+Submetering!G20</f>
        <v>14140</v>
      </c>
      <c r="F20" s="17">
        <v>0.2</v>
      </c>
      <c r="G20" s="9">
        <f>'OCT 2024'!T23</f>
        <v>39.060900000000004</v>
      </c>
      <c r="H20" s="18">
        <v>16.760000000000002</v>
      </c>
      <c r="I20" s="9">
        <f>Submetering!H20</f>
        <v>95</v>
      </c>
      <c r="J20" s="17">
        <v>7.84</v>
      </c>
      <c r="K20" s="19">
        <f>'OCT 2024'!X23</f>
        <v>10236.420000000002</v>
      </c>
      <c r="L20" s="171">
        <v>0.34489999999999998</v>
      </c>
      <c r="M20" s="9">
        <f>Submetering!N20</f>
        <v>288.00450000000001</v>
      </c>
      <c r="N20" s="2">
        <f>Submetering!O20</f>
        <v>394</v>
      </c>
      <c r="O20" s="15"/>
    </row>
    <row r="21" spans="1:15" x14ac:dyDescent="0.25">
      <c r="A21" s="26" t="s">
        <v>81</v>
      </c>
      <c r="B21" s="2">
        <f t="shared" si="0"/>
        <v>20</v>
      </c>
      <c r="C21" s="16">
        <v>10</v>
      </c>
      <c r="D21" s="2">
        <v>2024</v>
      </c>
      <c r="E21" s="9">
        <f>Submetering!E21+Submetering!F21+Submetering!G21</f>
        <v>14007</v>
      </c>
      <c r="F21" s="17">
        <v>0.2</v>
      </c>
      <c r="G21" s="9">
        <f>'OCT 2024'!T24</f>
        <v>30.615300000000001</v>
      </c>
      <c r="H21" s="18">
        <v>16.760000000000002</v>
      </c>
      <c r="I21" s="9">
        <f>Submetering!H21</f>
        <v>114</v>
      </c>
      <c r="J21" s="17">
        <v>7.84</v>
      </c>
      <c r="K21" s="19">
        <f>'OCT 2024'!X24</f>
        <v>10236.420000000002</v>
      </c>
      <c r="L21" s="171">
        <v>0.34489999999999998</v>
      </c>
      <c r="M21" s="9">
        <f>Submetering!N21</f>
        <v>250.01549999999997</v>
      </c>
      <c r="N21" s="2">
        <f>Submetering!O21</f>
        <v>309</v>
      </c>
      <c r="O21" s="15"/>
    </row>
    <row r="22" spans="1:15" x14ac:dyDescent="0.25">
      <c r="A22" s="26" t="s">
        <v>81</v>
      </c>
      <c r="B22" s="2">
        <f t="shared" si="0"/>
        <v>21</v>
      </c>
      <c r="C22" s="16">
        <v>10</v>
      </c>
      <c r="D22" s="2">
        <v>2024</v>
      </c>
      <c r="E22" s="9">
        <f>Submetering!E22+Submetering!F22+Submetering!G22</f>
        <v>14162</v>
      </c>
      <c r="F22" s="17">
        <v>0.2</v>
      </c>
      <c r="G22" s="9">
        <f>'OCT 2024'!T25</f>
        <v>36.9495</v>
      </c>
      <c r="H22" s="18">
        <v>16.760000000000002</v>
      </c>
      <c r="I22" s="9">
        <f>Submetering!H22</f>
        <v>63</v>
      </c>
      <c r="J22" s="17">
        <v>7.84</v>
      </c>
      <c r="K22" s="19">
        <f>'OCT 2024'!X25</f>
        <v>10236.420000000002</v>
      </c>
      <c r="L22" s="171">
        <v>0.34489999999999998</v>
      </c>
      <c r="M22" s="9">
        <f>Submetering!N22</f>
        <v>257.00849999999997</v>
      </c>
      <c r="N22" s="2">
        <f>Submetering!O22</f>
        <v>289</v>
      </c>
      <c r="O22" s="15"/>
    </row>
    <row r="23" spans="1:15" x14ac:dyDescent="0.25">
      <c r="A23" s="26" t="s">
        <v>81</v>
      </c>
      <c r="B23" s="2">
        <f t="shared" si="0"/>
        <v>22</v>
      </c>
      <c r="C23" s="16">
        <v>10</v>
      </c>
      <c r="D23" s="2">
        <v>2024</v>
      </c>
      <c r="E23" s="9">
        <f>Submetering!E23+Submetering!F23+Submetering!G23</f>
        <v>14204</v>
      </c>
      <c r="F23" s="17">
        <v>0.2</v>
      </c>
      <c r="G23" s="9">
        <f>'OCT 2024'!T26</f>
        <v>38.005200000000002</v>
      </c>
      <c r="H23" s="18">
        <v>16.760000000000002</v>
      </c>
      <c r="I23" s="9">
        <f>Submetering!H23</f>
        <v>98</v>
      </c>
      <c r="J23" s="17">
        <v>7.84</v>
      </c>
      <c r="K23" s="19">
        <f>'OCT 2024'!X26</f>
        <v>9952.0750000000007</v>
      </c>
      <c r="L23" s="171">
        <v>0.34489999999999998</v>
      </c>
      <c r="M23" s="9">
        <f>Submetering!N23</f>
        <v>315</v>
      </c>
      <c r="N23" s="2">
        <f>Submetering!O23</f>
        <v>371</v>
      </c>
      <c r="O23" s="15"/>
    </row>
    <row r="24" spans="1:15" x14ac:dyDescent="0.25">
      <c r="A24" s="26" t="s">
        <v>81</v>
      </c>
      <c r="B24" s="2">
        <f t="shared" si="0"/>
        <v>23</v>
      </c>
      <c r="C24" s="16">
        <v>10</v>
      </c>
      <c r="D24" s="2">
        <v>2024</v>
      </c>
      <c r="E24" s="9">
        <f>Submetering!E24+Submetering!F24+Submetering!G24</f>
        <v>14417</v>
      </c>
      <c r="F24" s="17">
        <v>0.2</v>
      </c>
      <c r="G24" s="9">
        <f>'OCT 2024'!T27</f>
        <v>36.9495</v>
      </c>
      <c r="H24" s="18">
        <v>16.760000000000002</v>
      </c>
      <c r="I24" s="9">
        <f>Submetering!H24</f>
        <v>99</v>
      </c>
      <c r="J24" s="17">
        <v>7.84</v>
      </c>
      <c r="K24" s="19">
        <f>'OCT 2024'!X27</f>
        <v>9383.3850000000002</v>
      </c>
      <c r="L24" s="171">
        <v>0.34489999999999998</v>
      </c>
      <c r="M24" s="9">
        <f>Submetering!N24</f>
        <v>301.9905</v>
      </c>
      <c r="N24" s="2">
        <f>Submetering!O24</f>
        <v>363</v>
      </c>
      <c r="O24" s="15"/>
    </row>
    <row r="25" spans="1:15" x14ac:dyDescent="0.25">
      <c r="A25" s="26" t="s">
        <v>81</v>
      </c>
      <c r="B25" s="2">
        <f t="shared" si="0"/>
        <v>24</v>
      </c>
      <c r="C25" s="16">
        <v>10</v>
      </c>
      <c r="D25" s="2">
        <v>2024</v>
      </c>
      <c r="E25" s="9">
        <f>Submetering!E25+Submetering!F25+Submetering!G25</f>
        <v>14469</v>
      </c>
      <c r="F25" s="17">
        <v>0.2</v>
      </c>
      <c r="G25" s="9">
        <f>'OCT 2024'!T28</f>
        <v>35.893800000000006</v>
      </c>
      <c r="H25" s="18">
        <v>16.760000000000002</v>
      </c>
      <c r="I25" s="9">
        <f>Submetering!H25</f>
        <v>106</v>
      </c>
      <c r="J25" s="17">
        <v>7.84</v>
      </c>
      <c r="K25" s="19">
        <f>'OCT 2024'!X28</f>
        <v>9383.3850000000002</v>
      </c>
      <c r="L25" s="171">
        <v>0.34489999999999998</v>
      </c>
      <c r="M25" s="9">
        <f>Submetering!N25</f>
        <v>313.99200000000002</v>
      </c>
      <c r="N25" s="2">
        <f>Submetering!O25</f>
        <v>397</v>
      </c>
      <c r="O25" s="15"/>
    </row>
    <row r="26" spans="1:15" x14ac:dyDescent="0.25">
      <c r="A26" s="26" t="s">
        <v>81</v>
      </c>
      <c r="B26" s="2">
        <f t="shared" si="0"/>
        <v>25</v>
      </c>
      <c r="C26" s="16">
        <v>10</v>
      </c>
      <c r="D26" s="2">
        <v>2024</v>
      </c>
      <c r="E26" s="9">
        <f>Submetering!E26+Submetering!F26+Submetering!G26</f>
        <v>14174</v>
      </c>
      <c r="F26" s="17">
        <v>0.2</v>
      </c>
      <c r="G26" s="9">
        <f>'OCT 2024'!T29</f>
        <v>35.893800000000006</v>
      </c>
      <c r="H26" s="18">
        <v>16.760000000000002</v>
      </c>
      <c r="I26" s="9">
        <f>Submetering!H26</f>
        <v>97</v>
      </c>
      <c r="J26" s="17">
        <v>7.84</v>
      </c>
      <c r="K26" s="19">
        <f>'OCT 2024'!X29</f>
        <v>9383.3850000000002</v>
      </c>
      <c r="L26" s="171">
        <v>0.34489999999999998</v>
      </c>
      <c r="M26" s="9">
        <f>Submetering!N26</f>
        <v>301.9905</v>
      </c>
      <c r="N26" s="2">
        <f>Submetering!O26</f>
        <v>383</v>
      </c>
      <c r="O26" s="15"/>
    </row>
    <row r="27" spans="1:15" x14ac:dyDescent="0.25">
      <c r="A27" s="26" t="s">
        <v>81</v>
      </c>
      <c r="B27" s="2">
        <f t="shared" si="0"/>
        <v>26</v>
      </c>
      <c r="C27" s="16">
        <v>10</v>
      </c>
      <c r="D27" s="2">
        <v>2024</v>
      </c>
      <c r="E27" s="9">
        <f>Submetering!E27+Submetering!F27+Submetering!G27</f>
        <v>14431</v>
      </c>
      <c r="F27" s="17">
        <v>0.2</v>
      </c>
      <c r="G27" s="9">
        <f>'OCT 2024'!T30</f>
        <v>39.060900000000004</v>
      </c>
      <c r="H27" s="18">
        <v>16.760000000000002</v>
      </c>
      <c r="I27" s="9">
        <f>Submetering!H27</f>
        <v>104</v>
      </c>
      <c r="J27" s="17">
        <v>7.84</v>
      </c>
      <c r="K27" s="19">
        <f>'OCT 2024'!X30</f>
        <v>9667.7300000000014</v>
      </c>
      <c r="L27" s="171">
        <v>0.34489999999999998</v>
      </c>
      <c r="M27" s="9">
        <f>Submetering!N27</f>
        <v>309.99149999999997</v>
      </c>
      <c r="N27" s="2">
        <f>Submetering!O27</f>
        <v>413</v>
      </c>
      <c r="O27" s="15"/>
    </row>
    <row r="28" spans="1:15" x14ac:dyDescent="0.25">
      <c r="A28" s="26" t="s">
        <v>81</v>
      </c>
      <c r="B28" s="2">
        <f t="shared" si="0"/>
        <v>27</v>
      </c>
      <c r="C28" s="16">
        <v>10</v>
      </c>
      <c r="D28" s="2">
        <v>2024</v>
      </c>
      <c r="E28" s="9">
        <f>Submetering!E28+Submetering!F28+Submetering!G28</f>
        <v>14165</v>
      </c>
      <c r="F28" s="17">
        <v>0.2</v>
      </c>
      <c r="G28" s="9">
        <f>'OCT 2024'!T31</f>
        <v>35.893800000000006</v>
      </c>
      <c r="H28" s="18">
        <v>16.760000000000002</v>
      </c>
      <c r="I28" s="9">
        <f>Submetering!H28</f>
        <v>104</v>
      </c>
      <c r="J28" s="17">
        <v>7.84</v>
      </c>
      <c r="K28" s="19">
        <f>'OCT 2024'!X31</f>
        <v>8814.6950000000015</v>
      </c>
      <c r="L28" s="171">
        <v>0.34489999999999998</v>
      </c>
      <c r="M28" s="9">
        <f>Submetering!N28</f>
        <v>293.01300000000003</v>
      </c>
      <c r="N28" s="2">
        <f>Submetering!O28</f>
        <v>379</v>
      </c>
      <c r="O28" s="15"/>
    </row>
    <row r="29" spans="1:15" x14ac:dyDescent="0.25">
      <c r="A29" s="26" t="s">
        <v>81</v>
      </c>
      <c r="B29" s="2">
        <f t="shared" si="0"/>
        <v>28</v>
      </c>
      <c r="C29" s="16">
        <v>10</v>
      </c>
      <c r="D29" s="2">
        <v>2024</v>
      </c>
      <c r="E29" s="9">
        <f>Submetering!E29+Submetering!F29+Submetering!G29</f>
        <v>14618</v>
      </c>
      <c r="F29" s="17">
        <v>0.2</v>
      </c>
      <c r="G29" s="9">
        <f>'OCT 2024'!T32</f>
        <v>35.893800000000006</v>
      </c>
      <c r="H29" s="18">
        <v>16.760000000000002</v>
      </c>
      <c r="I29" s="9">
        <f>Submetering!H29</f>
        <v>102</v>
      </c>
      <c r="J29" s="17">
        <v>7.84</v>
      </c>
      <c r="K29" s="19">
        <f>'OCT 2024'!X32</f>
        <v>8246.005000000001</v>
      </c>
      <c r="L29" s="171">
        <v>0.34489999999999998</v>
      </c>
      <c r="M29" s="9">
        <f>Submetering!N29</f>
        <v>297.01349999999996</v>
      </c>
      <c r="N29" s="2">
        <f>Submetering!O29</f>
        <v>371</v>
      </c>
      <c r="O29" s="15"/>
    </row>
    <row r="30" spans="1:15" x14ac:dyDescent="0.25">
      <c r="A30" s="26" t="s">
        <v>81</v>
      </c>
      <c r="B30" s="2">
        <f t="shared" si="0"/>
        <v>29</v>
      </c>
      <c r="C30" s="16">
        <v>10</v>
      </c>
      <c r="D30" s="2">
        <v>2024</v>
      </c>
      <c r="E30" s="9">
        <f>Submetering!E30+Submetering!F30+Submetering!G30</f>
        <v>14847</v>
      </c>
      <c r="F30" s="17">
        <v>0.2</v>
      </c>
      <c r="G30" s="9">
        <f>'OCT 2024'!T33</f>
        <v>36.9495</v>
      </c>
      <c r="H30" s="18">
        <v>16.760000000000002</v>
      </c>
      <c r="I30" s="9">
        <f>Submetering!H30</f>
        <v>103</v>
      </c>
      <c r="J30" s="17">
        <v>7.84</v>
      </c>
      <c r="K30" s="19">
        <f>'OCT 2024'!X33</f>
        <v>9099.0400000000009</v>
      </c>
      <c r="L30" s="171">
        <v>0.34489999999999998</v>
      </c>
      <c r="M30" s="9">
        <f>Submetering!N30</f>
        <v>288.00450000000001</v>
      </c>
      <c r="N30" s="2">
        <f>Submetering!O30</f>
        <v>359</v>
      </c>
      <c r="O30" s="15"/>
    </row>
    <row r="31" spans="1:15" x14ac:dyDescent="0.25">
      <c r="A31" s="26" t="s">
        <v>81</v>
      </c>
      <c r="B31" s="2">
        <f t="shared" si="0"/>
        <v>30</v>
      </c>
      <c r="C31" s="16">
        <v>10</v>
      </c>
      <c r="D31" s="2">
        <v>2024</v>
      </c>
      <c r="E31" s="9">
        <f>Submetering!E31+Submetering!F31+Submetering!G31</f>
        <v>14837</v>
      </c>
      <c r="F31" s="17">
        <v>0.2</v>
      </c>
      <c r="G31" s="9">
        <f>'OCT 2024'!T34</f>
        <v>39.060900000000004</v>
      </c>
      <c r="H31" s="18">
        <v>16.760000000000002</v>
      </c>
      <c r="I31" s="9">
        <f>Submetering!H31</f>
        <v>104</v>
      </c>
      <c r="J31" s="17">
        <v>7.84</v>
      </c>
      <c r="K31" s="19">
        <f>'OCT 2024'!X34</f>
        <v>9383.3850000000002</v>
      </c>
      <c r="L31" s="171">
        <v>0.34489999999999998</v>
      </c>
      <c r="M31" s="9">
        <f>Submetering!N31</f>
        <v>313.01550000000003</v>
      </c>
      <c r="N31" s="2">
        <f>Submetering!O31</f>
        <v>394</v>
      </c>
      <c r="O31" s="15"/>
    </row>
    <row r="32" spans="1:15" x14ac:dyDescent="0.25">
      <c r="A32" s="26" t="s">
        <v>81</v>
      </c>
      <c r="B32" s="2">
        <f t="shared" si="0"/>
        <v>31</v>
      </c>
      <c r="C32" s="16">
        <v>10</v>
      </c>
      <c r="D32" s="2">
        <v>2024</v>
      </c>
      <c r="E32" s="9">
        <f>Submetering!E32+Submetering!F32+Submetering!G32</f>
        <v>14736</v>
      </c>
      <c r="F32" s="17">
        <v>0.2</v>
      </c>
      <c r="G32" s="9">
        <f>'OCT 2024'!T35</f>
        <v>35.893800000000006</v>
      </c>
      <c r="H32" s="18">
        <v>16.760000000000002</v>
      </c>
      <c r="I32" s="9">
        <f>Submetering!H32</f>
        <v>95</v>
      </c>
      <c r="J32" s="17">
        <v>7.84</v>
      </c>
      <c r="K32" s="19">
        <f>'OCT 2024'!X35</f>
        <v>9099.0400000000009</v>
      </c>
      <c r="L32" s="171">
        <v>0.34489999999999998</v>
      </c>
      <c r="M32" s="9">
        <f>Submetering!N32</f>
        <v>246.9915</v>
      </c>
      <c r="N32" s="2">
        <f>Submetering!O32</f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B29" sqref="B29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71</v>
      </c>
      <c r="B1" s="15" t="s">
        <v>72</v>
      </c>
      <c r="C1" s="21" t="s">
        <v>73</v>
      </c>
      <c r="D1" s="15" t="s">
        <v>74</v>
      </c>
      <c r="E1" s="22" t="s">
        <v>82</v>
      </c>
      <c r="F1" s="23" t="s">
        <v>83</v>
      </c>
      <c r="G1" s="22" t="s">
        <v>84</v>
      </c>
      <c r="H1" s="22" t="s">
        <v>85</v>
      </c>
      <c r="I1" s="23" t="s">
        <v>86</v>
      </c>
      <c r="J1" s="23" t="s">
        <v>87</v>
      </c>
      <c r="K1" s="24" t="s">
        <v>2</v>
      </c>
      <c r="L1" s="24" t="s">
        <v>88</v>
      </c>
      <c r="M1" s="22" t="s">
        <v>89</v>
      </c>
      <c r="N1" s="24" t="s">
        <v>79</v>
      </c>
      <c r="O1" s="22" t="s">
        <v>80</v>
      </c>
    </row>
    <row r="2" spans="1:15" x14ac:dyDescent="0.25">
      <c r="A2" s="26" t="s">
        <v>81</v>
      </c>
      <c r="B2" s="2">
        <v>1</v>
      </c>
      <c r="C2" s="16">
        <v>10</v>
      </c>
      <c r="D2" s="2">
        <v>2024</v>
      </c>
      <c r="E2" s="9">
        <f>'OCT 2024'!C5</f>
        <v>7824</v>
      </c>
      <c r="F2" s="9">
        <f>'OCT 2024'!E5</f>
        <v>6605</v>
      </c>
      <c r="G2" s="9">
        <f>'OCT 2024'!G5</f>
        <v>133</v>
      </c>
      <c r="H2" s="9">
        <f>'OCT 2024'!K5</f>
        <v>87</v>
      </c>
      <c r="I2" s="9">
        <f>'OCT 2024'!N5</f>
        <v>19</v>
      </c>
      <c r="J2" s="9">
        <f>'OCT 2024'!P5</f>
        <v>11</v>
      </c>
      <c r="K2" s="9">
        <f>'OCT 2024'!X5</f>
        <v>10236.420000000002</v>
      </c>
      <c r="L2" s="9">
        <f>'OCT 2024'!AC5</f>
        <v>12529</v>
      </c>
      <c r="M2" s="9">
        <f>'OCT 2024'!AR5</f>
        <v>7</v>
      </c>
      <c r="N2" s="9">
        <f>'OCT 2024'!AD5*315</f>
        <v>250.01549999999997</v>
      </c>
      <c r="O2" s="141">
        <f>'OCT 2024'!AE5</f>
        <v>306</v>
      </c>
    </row>
    <row r="3" spans="1:15" x14ac:dyDescent="0.25">
      <c r="A3" s="26" t="s">
        <v>81</v>
      </c>
      <c r="B3" s="2">
        <f t="shared" ref="B3:B32" si="0">B2+1</f>
        <v>2</v>
      </c>
      <c r="C3" s="16">
        <v>10</v>
      </c>
      <c r="D3" s="2">
        <v>2024</v>
      </c>
      <c r="E3" s="9">
        <f>'OCT 2024'!C6</f>
        <v>7802</v>
      </c>
      <c r="F3" s="9">
        <f>'OCT 2024'!E6</f>
        <v>6738</v>
      </c>
      <c r="G3" s="9">
        <f>'OCT 2024'!G6</f>
        <v>133</v>
      </c>
      <c r="H3" s="9">
        <f>'OCT 2024'!K6</f>
        <v>94</v>
      </c>
      <c r="I3" s="9">
        <f>'OCT 2024'!N6</f>
        <v>21</v>
      </c>
      <c r="J3" s="9">
        <f>'OCT 2024'!P6</f>
        <v>19</v>
      </c>
      <c r="K3" s="9">
        <f>'OCT 2024'!X6</f>
        <v>11089.455000000002</v>
      </c>
      <c r="L3" s="9">
        <f>'OCT 2024'!AC6</f>
        <v>13300</v>
      </c>
      <c r="M3" s="9">
        <f>'OCT 2024'!AR6</f>
        <v>9</v>
      </c>
      <c r="N3" s="9">
        <f>'OCT 2024'!AD6*315</f>
        <v>265.0095</v>
      </c>
      <c r="O3" s="141">
        <f>'OCT 2024'!AE6</f>
        <v>339</v>
      </c>
    </row>
    <row r="4" spans="1:15" x14ac:dyDescent="0.25">
      <c r="A4" s="26" t="s">
        <v>81</v>
      </c>
      <c r="B4" s="2">
        <f t="shared" si="0"/>
        <v>3</v>
      </c>
      <c r="C4" s="16">
        <v>10</v>
      </c>
      <c r="D4" s="2">
        <v>2024</v>
      </c>
      <c r="E4" s="9">
        <f>'OCT 2024'!C7</f>
        <v>7824</v>
      </c>
      <c r="F4" s="9">
        <f>'OCT 2024'!E7</f>
        <v>6775</v>
      </c>
      <c r="G4" s="9">
        <f>'OCT 2024'!G7</f>
        <v>133</v>
      </c>
      <c r="H4" s="9">
        <f>'OCT 2024'!K7</f>
        <v>92</v>
      </c>
      <c r="I4" s="9">
        <f>'OCT 2024'!N7</f>
        <v>22</v>
      </c>
      <c r="J4" s="9">
        <f>'OCT 2024'!P7</f>
        <v>11</v>
      </c>
      <c r="K4" s="9">
        <f>'OCT 2024'!X7</f>
        <v>11373.800000000001</v>
      </c>
      <c r="L4" s="9">
        <f>'OCT 2024'!AC7</f>
        <v>8247</v>
      </c>
      <c r="M4" s="9">
        <f>'OCT 2024'!AR7</f>
        <v>9</v>
      </c>
      <c r="N4" s="9">
        <f>'OCT 2024'!AD7*315</f>
        <v>198.9855</v>
      </c>
      <c r="O4" s="141">
        <f>'OCT 2024'!AE7</f>
        <v>245</v>
      </c>
    </row>
    <row r="5" spans="1:15" x14ac:dyDescent="0.25">
      <c r="A5" s="26" t="s">
        <v>81</v>
      </c>
      <c r="B5" s="2">
        <f t="shared" si="0"/>
        <v>4</v>
      </c>
      <c r="C5" s="16">
        <v>10</v>
      </c>
      <c r="D5" s="2">
        <v>2024</v>
      </c>
      <c r="E5" s="9">
        <f>'OCT 2024'!C8</f>
        <v>7622</v>
      </c>
      <c r="F5" s="9">
        <f>'OCT 2024'!E8</f>
        <v>6995</v>
      </c>
      <c r="G5" s="9">
        <f>'OCT 2024'!G8</f>
        <v>135</v>
      </c>
      <c r="H5" s="9">
        <f>'OCT 2024'!K8</f>
        <v>79</v>
      </c>
      <c r="I5" s="9">
        <f>'OCT 2024'!N8</f>
        <v>23</v>
      </c>
      <c r="J5" s="9">
        <f>'OCT 2024'!P8</f>
        <v>13</v>
      </c>
      <c r="K5" s="9">
        <f>'OCT 2024'!X8</f>
        <v>10805.11</v>
      </c>
      <c r="L5" s="9">
        <f>'OCT 2024'!AC8</f>
        <v>14882</v>
      </c>
      <c r="M5" s="9">
        <f>'OCT 2024'!AR8</f>
        <v>6</v>
      </c>
      <c r="N5" s="9">
        <f>'OCT 2024'!AD8*315</f>
        <v>175.01399999999998</v>
      </c>
      <c r="O5" s="141">
        <f>'OCT 2024'!AE8</f>
        <v>233</v>
      </c>
    </row>
    <row r="6" spans="1:15" x14ac:dyDescent="0.25">
      <c r="A6" s="26" t="s">
        <v>81</v>
      </c>
      <c r="B6" s="2">
        <f t="shared" si="0"/>
        <v>5</v>
      </c>
      <c r="C6" s="16">
        <v>10</v>
      </c>
      <c r="D6" s="2">
        <v>2024</v>
      </c>
      <c r="E6" s="9">
        <f>'OCT 2024'!C9</f>
        <v>7681</v>
      </c>
      <c r="F6" s="9">
        <f>'OCT 2024'!E9</f>
        <v>7603</v>
      </c>
      <c r="G6" s="9">
        <f>'OCT 2024'!G9</f>
        <v>136</v>
      </c>
      <c r="H6" s="9">
        <f>'OCT 2024'!K9</f>
        <v>87</v>
      </c>
      <c r="I6" s="9">
        <f>'OCT 2024'!N9</f>
        <v>21</v>
      </c>
      <c r="J6" s="9">
        <f>'OCT 2024'!P9</f>
        <v>14</v>
      </c>
      <c r="K6" s="9">
        <f>'OCT 2024'!X9</f>
        <v>10520.765000000001</v>
      </c>
      <c r="L6" s="9">
        <f>'OCT 2024'!AC9</f>
        <v>10440</v>
      </c>
      <c r="M6" s="9">
        <f>'OCT 2024'!AR9</f>
        <v>8</v>
      </c>
      <c r="N6" s="9">
        <f>'OCT 2024'!AD9*315</f>
        <v>148.995</v>
      </c>
      <c r="O6" s="141">
        <f>'OCT 2024'!AE9</f>
        <v>200</v>
      </c>
    </row>
    <row r="7" spans="1:15" x14ac:dyDescent="0.25">
      <c r="A7" s="26" t="s">
        <v>81</v>
      </c>
      <c r="B7" s="2">
        <f t="shared" si="0"/>
        <v>6</v>
      </c>
      <c r="C7" s="16">
        <v>10</v>
      </c>
      <c r="D7" s="2">
        <v>2024</v>
      </c>
      <c r="E7" s="9">
        <f>'OCT 2024'!C10</f>
        <v>7901</v>
      </c>
      <c r="F7" s="9">
        <f>'OCT 2024'!E10</f>
        <v>7563</v>
      </c>
      <c r="G7" s="9">
        <f>'OCT 2024'!G10</f>
        <v>134</v>
      </c>
      <c r="H7" s="9">
        <f>'OCT 2024'!K10</f>
        <v>75</v>
      </c>
      <c r="I7" s="9">
        <f>'OCT 2024'!N10</f>
        <v>20</v>
      </c>
      <c r="J7" s="9">
        <f>'OCT 2024'!P10</f>
        <v>12</v>
      </c>
      <c r="K7" s="9">
        <f>'OCT 2024'!X10</f>
        <v>9667.7300000000014</v>
      </c>
      <c r="L7" s="9">
        <f>'OCT 2024'!AC10</f>
        <v>11915</v>
      </c>
      <c r="M7" s="9">
        <f>'OCT 2024'!AR10</f>
        <v>4</v>
      </c>
      <c r="N7" s="9">
        <f>'OCT 2024'!AD10*315</f>
        <v>214.98750000000001</v>
      </c>
      <c r="O7" s="141">
        <f>'OCT 2024'!AE10</f>
        <v>269</v>
      </c>
    </row>
    <row r="8" spans="1:15" x14ac:dyDescent="0.25">
      <c r="A8" s="26" t="s">
        <v>81</v>
      </c>
      <c r="B8" s="2">
        <f t="shared" si="0"/>
        <v>7</v>
      </c>
      <c r="C8" s="16">
        <v>10</v>
      </c>
      <c r="D8" s="2">
        <v>2024</v>
      </c>
      <c r="E8" s="9">
        <f>'OCT 2024'!C11</f>
        <v>7644</v>
      </c>
      <c r="F8" s="9">
        <f>'OCT 2024'!E11</f>
        <v>6953</v>
      </c>
      <c r="G8" s="9">
        <f>'OCT 2024'!G11</f>
        <v>133</v>
      </c>
      <c r="H8" s="9">
        <f>'OCT 2024'!K11</f>
        <v>83</v>
      </c>
      <c r="I8" s="9">
        <f>'OCT 2024'!N11</f>
        <v>21</v>
      </c>
      <c r="J8" s="9">
        <f>'OCT 2024'!P11</f>
        <v>13</v>
      </c>
      <c r="K8" s="9">
        <f>'OCT 2024'!X11</f>
        <v>9099.0400000000009</v>
      </c>
      <c r="L8" s="9">
        <f>'OCT 2024'!AC11</f>
        <v>11422</v>
      </c>
      <c r="M8" s="9">
        <f>'OCT 2024'!AR11</f>
        <v>7</v>
      </c>
      <c r="N8" s="9">
        <f>'OCT 2024'!AD11*315</f>
        <v>277.98750000000001</v>
      </c>
      <c r="O8" s="141">
        <f>'OCT 2024'!AE11</f>
        <v>333</v>
      </c>
    </row>
    <row r="9" spans="1:15" x14ac:dyDescent="0.25">
      <c r="A9" s="26" t="s">
        <v>81</v>
      </c>
      <c r="B9" s="2">
        <f t="shared" si="0"/>
        <v>8</v>
      </c>
      <c r="C9" s="16">
        <v>10</v>
      </c>
      <c r="D9" s="2">
        <v>2024</v>
      </c>
      <c r="E9" s="9">
        <f>'OCT 2024'!C12</f>
        <v>7575</v>
      </c>
      <c r="F9" s="9">
        <f>'OCT 2024'!E12</f>
        <v>6593</v>
      </c>
      <c r="G9" s="9">
        <f>'OCT 2024'!G12</f>
        <v>131</v>
      </c>
      <c r="H9" s="9">
        <f>'OCT 2024'!K12</f>
        <v>90</v>
      </c>
      <c r="I9" s="9">
        <f>'OCT 2024'!N12</f>
        <v>21</v>
      </c>
      <c r="J9" s="9">
        <f>'OCT 2024'!P12</f>
        <v>14</v>
      </c>
      <c r="K9" s="9">
        <f>'OCT 2024'!X12</f>
        <v>8814.6950000000015</v>
      </c>
      <c r="L9" s="9">
        <f>'OCT 2024'!AC12</f>
        <v>11231</v>
      </c>
      <c r="M9" s="9">
        <f>'OCT 2024'!AR12</f>
        <v>6</v>
      </c>
      <c r="N9" s="9">
        <f>'OCT 2024'!AD12*315</f>
        <v>315</v>
      </c>
      <c r="O9" s="141">
        <f>'OCT 2024'!AE12</f>
        <v>378</v>
      </c>
    </row>
    <row r="10" spans="1:15" x14ac:dyDescent="0.25">
      <c r="A10" s="26" t="s">
        <v>81</v>
      </c>
      <c r="B10" s="2">
        <f t="shared" si="0"/>
        <v>9</v>
      </c>
      <c r="C10" s="16">
        <v>10</v>
      </c>
      <c r="D10" s="2">
        <v>2024</v>
      </c>
      <c r="E10" s="9">
        <f>'OCT 2024'!C13</f>
        <v>7754</v>
      </c>
      <c r="F10" s="9">
        <f>'OCT 2024'!E13</f>
        <v>7154</v>
      </c>
      <c r="G10" s="9">
        <f>'OCT 2024'!G13</f>
        <v>132</v>
      </c>
      <c r="H10" s="9">
        <f>'OCT 2024'!K13</f>
        <v>105</v>
      </c>
      <c r="I10" s="9">
        <f>'OCT 2024'!N13</f>
        <v>20</v>
      </c>
      <c r="J10" s="9">
        <f>'OCT 2024'!P13</f>
        <v>15</v>
      </c>
      <c r="K10" s="9">
        <f>'OCT 2024'!X13</f>
        <v>9383.3850000000002</v>
      </c>
      <c r="L10" s="9">
        <f>'OCT 2024'!AC13</f>
        <v>12008</v>
      </c>
      <c r="M10" s="9">
        <f>'OCT 2024'!AR13</f>
        <v>7</v>
      </c>
      <c r="N10" s="9">
        <f>'OCT 2024'!AD13*315</f>
        <v>298.99799999999999</v>
      </c>
      <c r="O10" s="141">
        <f>'OCT 2024'!AE13</f>
        <v>366</v>
      </c>
    </row>
    <row r="11" spans="1:15" x14ac:dyDescent="0.25">
      <c r="A11" s="26" t="s">
        <v>81</v>
      </c>
      <c r="B11" s="2">
        <f t="shared" si="0"/>
        <v>10</v>
      </c>
      <c r="C11" s="16">
        <v>10</v>
      </c>
      <c r="D11" s="2">
        <v>2024</v>
      </c>
      <c r="E11" s="9">
        <f>'OCT 2024'!C14</f>
        <v>7658</v>
      </c>
      <c r="F11" s="9">
        <f>'OCT 2024'!E14</f>
        <v>6919</v>
      </c>
      <c r="G11" s="9">
        <f>'OCT 2024'!G14</f>
        <v>131</v>
      </c>
      <c r="H11" s="9">
        <f>'OCT 2024'!K14</f>
        <v>98</v>
      </c>
      <c r="I11" s="9">
        <f>'OCT 2024'!N14</f>
        <v>18</v>
      </c>
      <c r="J11" s="9">
        <f>'OCT 2024'!P14</f>
        <v>15</v>
      </c>
      <c r="K11" s="9">
        <f>'OCT 2024'!X14</f>
        <v>9667.7300000000014</v>
      </c>
      <c r="L11" s="9">
        <f>'OCT 2024'!AC14</f>
        <v>12117</v>
      </c>
      <c r="M11" s="9">
        <f>'OCT 2024'!AR14</f>
        <v>8</v>
      </c>
      <c r="N11" s="9">
        <f>'OCT 2024'!AD14*315</f>
        <v>229.005</v>
      </c>
      <c r="O11" s="141">
        <f>'OCT 2024'!AE14</f>
        <v>295</v>
      </c>
    </row>
    <row r="12" spans="1:15" x14ac:dyDescent="0.25">
      <c r="A12" s="26" t="s">
        <v>81</v>
      </c>
      <c r="B12" s="2">
        <f t="shared" si="0"/>
        <v>11</v>
      </c>
      <c r="C12" s="16">
        <v>10</v>
      </c>
      <c r="D12" s="2">
        <v>2024</v>
      </c>
      <c r="E12" s="9">
        <f>'OCT 2024'!C15</f>
        <v>7376</v>
      </c>
      <c r="F12" s="9">
        <f>'OCT 2024'!E15</f>
        <v>6588</v>
      </c>
      <c r="G12" s="9">
        <f>'OCT 2024'!G15</f>
        <v>131</v>
      </c>
      <c r="H12" s="9">
        <f>'OCT 2024'!K15</f>
        <v>92</v>
      </c>
      <c r="I12" s="9">
        <f>'OCT 2024'!N15</f>
        <v>22</v>
      </c>
      <c r="J12" s="9">
        <f>'OCT 2024'!P15</f>
        <v>17</v>
      </c>
      <c r="K12" s="9">
        <f>'OCT 2024'!X15</f>
        <v>9383.3850000000002</v>
      </c>
      <c r="L12" s="9">
        <f>'OCT 2024'!AC15</f>
        <v>11920</v>
      </c>
      <c r="M12" s="9">
        <f>'OCT 2024'!AR15</f>
        <v>6</v>
      </c>
      <c r="N12" s="9">
        <f>'OCT 2024'!AD15*315</f>
        <v>207.99449999999999</v>
      </c>
      <c r="O12" s="141">
        <f>'OCT 2024'!AE15</f>
        <v>292</v>
      </c>
    </row>
    <row r="13" spans="1:15" x14ac:dyDescent="0.25">
      <c r="A13" s="26" t="s">
        <v>81</v>
      </c>
      <c r="B13" s="2">
        <f t="shared" si="0"/>
        <v>12</v>
      </c>
      <c r="C13" s="16">
        <v>10</v>
      </c>
      <c r="D13" s="2">
        <v>2024</v>
      </c>
      <c r="E13" s="9">
        <f>'OCT 2024'!C16</f>
        <v>7733</v>
      </c>
      <c r="F13" s="9">
        <f>'OCT 2024'!E16</f>
        <v>6874</v>
      </c>
      <c r="G13" s="9">
        <f>'OCT 2024'!G16</f>
        <v>134</v>
      </c>
      <c r="H13" s="9">
        <f>'OCT 2024'!K16</f>
        <v>101</v>
      </c>
      <c r="I13" s="9">
        <f>'OCT 2024'!N16</f>
        <v>21</v>
      </c>
      <c r="J13" s="9">
        <f>'OCT 2024'!P16</f>
        <v>12</v>
      </c>
      <c r="K13" s="9">
        <f>'OCT 2024'!X16</f>
        <v>9099.0400000000009</v>
      </c>
      <c r="L13" s="9">
        <f>'OCT 2024'!AC16</f>
        <v>11573</v>
      </c>
      <c r="M13" s="9">
        <f>'OCT 2024'!AR16</f>
        <v>6</v>
      </c>
      <c r="N13" s="9">
        <f>'OCT 2024'!AD16*315</f>
        <v>274.995</v>
      </c>
      <c r="O13" s="141">
        <f>'OCT 2024'!AE16</f>
        <v>392</v>
      </c>
    </row>
    <row r="14" spans="1:15" x14ac:dyDescent="0.25">
      <c r="A14" s="26" t="s">
        <v>81</v>
      </c>
      <c r="B14" s="2">
        <f t="shared" si="0"/>
        <v>13</v>
      </c>
      <c r="C14" s="16">
        <v>10</v>
      </c>
      <c r="D14" s="2">
        <v>2024</v>
      </c>
      <c r="E14" s="9">
        <f>'OCT 2024'!C17</f>
        <v>7818</v>
      </c>
      <c r="F14" s="9">
        <f>'OCT 2024'!E17</f>
        <v>6919</v>
      </c>
      <c r="G14" s="9">
        <f>'OCT 2024'!G17</f>
        <v>135</v>
      </c>
      <c r="H14" s="9">
        <f>'OCT 2024'!K17</f>
        <v>113</v>
      </c>
      <c r="I14" s="9">
        <f>'OCT 2024'!N17</f>
        <v>19</v>
      </c>
      <c r="J14" s="9">
        <f>'OCT 2024'!P17</f>
        <v>10</v>
      </c>
      <c r="K14" s="9">
        <f>'OCT 2024'!X17</f>
        <v>8814.6950000000015</v>
      </c>
      <c r="L14" s="9">
        <f>'OCT 2024'!AC17</f>
        <v>11151</v>
      </c>
      <c r="M14" s="9">
        <f>'OCT 2024'!AR17</f>
        <v>7</v>
      </c>
      <c r="N14" s="9">
        <f>'OCT 2024'!AD17*315</f>
        <v>253.00800000000001</v>
      </c>
      <c r="O14" s="141">
        <f>'OCT 2024'!AE17</f>
        <v>326</v>
      </c>
    </row>
    <row r="15" spans="1:15" x14ac:dyDescent="0.25">
      <c r="A15" s="26" t="s">
        <v>81</v>
      </c>
      <c r="B15" s="2">
        <f t="shared" si="0"/>
        <v>14</v>
      </c>
      <c r="C15" s="16">
        <v>10</v>
      </c>
      <c r="D15" s="2">
        <v>2024</v>
      </c>
      <c r="E15" s="9">
        <f>'OCT 2024'!C18</f>
        <v>7876</v>
      </c>
      <c r="F15" s="9">
        <f>'OCT 2024'!E18</f>
        <v>7209</v>
      </c>
      <c r="G15" s="9">
        <f>'OCT 2024'!G18</f>
        <v>133</v>
      </c>
      <c r="H15" s="9">
        <f>'OCT 2024'!K18</f>
        <v>82</v>
      </c>
      <c r="I15" s="9">
        <f>'OCT 2024'!N18</f>
        <v>21</v>
      </c>
      <c r="J15" s="9">
        <f>'OCT 2024'!P18</f>
        <v>19</v>
      </c>
      <c r="K15" s="9">
        <f>'OCT 2024'!X18</f>
        <v>8246.005000000001</v>
      </c>
      <c r="L15" s="9">
        <f>'OCT 2024'!AC18</f>
        <v>10358</v>
      </c>
      <c r="M15" s="9">
        <f>'OCT 2024'!AR18</f>
        <v>7</v>
      </c>
      <c r="N15" s="9">
        <f>'OCT 2024'!AD18*315</f>
        <v>273.01050000000004</v>
      </c>
      <c r="O15" s="141">
        <f>'OCT 2024'!AE18</f>
        <v>346</v>
      </c>
    </row>
    <row r="16" spans="1:15" x14ac:dyDescent="0.25">
      <c r="A16" s="26" t="s">
        <v>81</v>
      </c>
      <c r="B16" s="2">
        <f t="shared" si="0"/>
        <v>15</v>
      </c>
      <c r="C16" s="16">
        <v>10</v>
      </c>
      <c r="D16" s="2">
        <v>2024</v>
      </c>
      <c r="E16" s="9">
        <f>'OCT 2024'!C19</f>
        <v>7646</v>
      </c>
      <c r="F16" s="9">
        <f>'OCT 2024'!E19</f>
        <v>7078</v>
      </c>
      <c r="G16" s="9">
        <f>'OCT 2024'!G19</f>
        <v>133</v>
      </c>
      <c r="H16" s="9">
        <f>'OCT 2024'!K19</f>
        <v>103</v>
      </c>
      <c r="I16" s="9">
        <f>'OCT 2024'!N19</f>
        <v>24</v>
      </c>
      <c r="J16" s="9">
        <f>'OCT 2024'!P19</f>
        <v>14</v>
      </c>
      <c r="K16" s="9">
        <f>'OCT 2024'!X19</f>
        <v>8814.6950000000015</v>
      </c>
      <c r="L16" s="9">
        <f>'OCT 2024'!AC19</f>
        <v>11203</v>
      </c>
      <c r="M16" s="9">
        <f>'OCT 2024'!AR19</f>
        <v>9</v>
      </c>
      <c r="N16" s="9">
        <f>'OCT 2024'!AD19*315</f>
        <v>284.00399999999996</v>
      </c>
      <c r="O16" s="141">
        <f>'OCT 2024'!AE19</f>
        <v>360</v>
      </c>
    </row>
    <row r="17" spans="1:15" x14ac:dyDescent="0.25">
      <c r="A17" s="26" t="s">
        <v>81</v>
      </c>
      <c r="B17" s="2">
        <f t="shared" si="0"/>
        <v>16</v>
      </c>
      <c r="C17" s="16">
        <v>10</v>
      </c>
      <c r="D17" s="2">
        <v>2024</v>
      </c>
      <c r="E17" s="9">
        <f>'OCT 2024'!C20</f>
        <v>7605</v>
      </c>
      <c r="F17" s="9">
        <f>'OCT 2024'!E20</f>
        <v>6905</v>
      </c>
      <c r="G17" s="9">
        <f>'OCT 2024'!G20</f>
        <v>129</v>
      </c>
      <c r="H17" s="9">
        <f>'OCT 2024'!K20</f>
        <v>109</v>
      </c>
      <c r="I17" s="9">
        <f>'OCT 2024'!N20</f>
        <v>24</v>
      </c>
      <c r="J17" s="9">
        <f>'OCT 2024'!P20</f>
        <v>13</v>
      </c>
      <c r="K17" s="9">
        <f>'OCT 2024'!X20</f>
        <v>9099.0400000000009</v>
      </c>
      <c r="L17" s="9">
        <f>'OCT 2024'!AC20</f>
        <v>11568</v>
      </c>
      <c r="M17" s="9">
        <f>'OCT 2024'!AR20</f>
        <v>7</v>
      </c>
      <c r="N17" s="9">
        <f>'OCT 2024'!AD20*315</f>
        <v>301.01400000000001</v>
      </c>
      <c r="O17" s="141">
        <f>'OCT 2024'!AE20</f>
        <v>380</v>
      </c>
    </row>
    <row r="18" spans="1:15" x14ac:dyDescent="0.25">
      <c r="A18" s="26" t="s">
        <v>81</v>
      </c>
      <c r="B18" s="2">
        <f t="shared" si="0"/>
        <v>17</v>
      </c>
      <c r="C18" s="16">
        <v>10</v>
      </c>
      <c r="D18" s="2">
        <v>2024</v>
      </c>
      <c r="E18" s="9">
        <f>'OCT 2024'!C21</f>
        <v>7513</v>
      </c>
      <c r="F18" s="9">
        <f>'OCT 2024'!E21</f>
        <v>6673</v>
      </c>
      <c r="G18" s="9">
        <f>'OCT 2024'!G21</f>
        <v>133</v>
      </c>
      <c r="H18" s="9">
        <f>'OCT 2024'!K21</f>
        <v>102</v>
      </c>
      <c r="I18" s="9">
        <f>'OCT 2024'!N21</f>
        <v>20</v>
      </c>
      <c r="J18" s="9">
        <f>'OCT 2024'!P21</f>
        <v>15</v>
      </c>
      <c r="K18" s="9">
        <f>'OCT 2024'!X21</f>
        <v>9383.3850000000002</v>
      </c>
      <c r="L18" s="9">
        <f>'OCT 2024'!AC21</f>
        <v>11804</v>
      </c>
      <c r="M18" s="9">
        <f>'OCT 2024'!AR21</f>
        <v>9</v>
      </c>
      <c r="N18" s="9">
        <f>'OCT 2024'!AD21*315</f>
        <v>282.99599999999998</v>
      </c>
      <c r="O18" s="141">
        <f>'OCT 2024'!AE21</f>
        <v>360</v>
      </c>
    </row>
    <row r="19" spans="1:15" x14ac:dyDescent="0.25">
      <c r="A19" s="26" t="s">
        <v>81</v>
      </c>
      <c r="B19" s="2">
        <f t="shared" si="0"/>
        <v>18</v>
      </c>
      <c r="C19" s="16">
        <v>10</v>
      </c>
      <c r="D19" s="2">
        <v>2024</v>
      </c>
      <c r="E19" s="9">
        <f>'OCT 2024'!C22</f>
        <v>7664</v>
      </c>
      <c r="F19" s="9">
        <f>'OCT 2024'!E22</f>
        <v>6828</v>
      </c>
      <c r="G19" s="9">
        <f>'OCT 2024'!G22</f>
        <v>129</v>
      </c>
      <c r="H19" s="9">
        <f>'OCT 2024'!K22</f>
        <v>111</v>
      </c>
      <c r="I19" s="9">
        <f>'OCT 2024'!N22</f>
        <v>25</v>
      </c>
      <c r="J19" s="9">
        <f>'OCT 2024'!P22</f>
        <v>16</v>
      </c>
      <c r="K19" s="9">
        <f>'OCT 2024'!X22</f>
        <v>9952.0750000000007</v>
      </c>
      <c r="L19" s="9">
        <f>'OCT 2024'!AC22</f>
        <v>12599</v>
      </c>
      <c r="M19" s="9">
        <f>'OCT 2024'!AR22</f>
        <v>7</v>
      </c>
      <c r="N19" s="9">
        <f>'OCT 2024'!AD22*315</f>
        <v>280.00350000000003</v>
      </c>
      <c r="O19" s="141">
        <f>'OCT 2024'!AE22</f>
        <v>367</v>
      </c>
    </row>
    <row r="20" spans="1:15" x14ac:dyDescent="0.25">
      <c r="A20" s="26" t="s">
        <v>81</v>
      </c>
      <c r="B20" s="2">
        <f t="shared" si="0"/>
        <v>19</v>
      </c>
      <c r="C20" s="16">
        <v>10</v>
      </c>
      <c r="D20" s="2">
        <v>2024</v>
      </c>
      <c r="E20" s="9">
        <f>'OCT 2024'!C23</f>
        <v>7424</v>
      </c>
      <c r="F20" s="9">
        <f>'OCT 2024'!E23</f>
        <v>6586</v>
      </c>
      <c r="G20" s="9">
        <f>'OCT 2024'!G23</f>
        <v>130</v>
      </c>
      <c r="H20" s="9">
        <f>'OCT 2024'!K23</f>
        <v>95</v>
      </c>
      <c r="I20" s="9">
        <f>'OCT 2024'!N23</f>
        <v>21</v>
      </c>
      <c r="J20" s="9">
        <f>'OCT 2024'!P23</f>
        <v>16</v>
      </c>
      <c r="K20" s="9">
        <f>'OCT 2024'!X23</f>
        <v>10236.420000000002</v>
      </c>
      <c r="L20" s="9">
        <f>'OCT 2024'!AC23</f>
        <v>12921</v>
      </c>
      <c r="M20" s="9">
        <f>'OCT 2024'!AR23</f>
        <v>8</v>
      </c>
      <c r="N20" s="9">
        <f>'OCT 2024'!AD23*315</f>
        <v>288.00450000000001</v>
      </c>
      <c r="O20" s="141">
        <f>'OCT 2024'!AE23</f>
        <v>394</v>
      </c>
    </row>
    <row r="21" spans="1:15" x14ac:dyDescent="0.25">
      <c r="A21" s="26" t="s">
        <v>81</v>
      </c>
      <c r="B21" s="2">
        <f t="shared" si="0"/>
        <v>20</v>
      </c>
      <c r="C21" s="16">
        <v>10</v>
      </c>
      <c r="D21" s="2">
        <v>2024</v>
      </c>
      <c r="E21" s="9">
        <f>'OCT 2024'!C24</f>
        <v>7365</v>
      </c>
      <c r="F21" s="9">
        <f>'OCT 2024'!E24</f>
        <v>6511</v>
      </c>
      <c r="G21" s="9">
        <f>'OCT 2024'!G24</f>
        <v>131</v>
      </c>
      <c r="H21" s="9">
        <f>'OCT 2024'!K24</f>
        <v>114</v>
      </c>
      <c r="I21" s="9">
        <f>'OCT 2024'!N24</f>
        <v>19</v>
      </c>
      <c r="J21" s="9">
        <f>'OCT 2024'!P24</f>
        <v>11</v>
      </c>
      <c r="K21" s="9">
        <f>'OCT 2024'!X24</f>
        <v>10236.420000000002</v>
      </c>
      <c r="L21" s="9">
        <f>'OCT 2024'!AC24</f>
        <v>12925</v>
      </c>
      <c r="M21" s="9">
        <f>'OCT 2024'!AR24</f>
        <v>5</v>
      </c>
      <c r="N21" s="9">
        <f>'OCT 2024'!AD24*315</f>
        <v>250.01549999999997</v>
      </c>
      <c r="O21" s="141">
        <f>'OCT 2024'!AE24</f>
        <v>309</v>
      </c>
    </row>
    <row r="22" spans="1:15" x14ac:dyDescent="0.25">
      <c r="A22" s="26" t="s">
        <v>81</v>
      </c>
      <c r="B22" s="2">
        <f t="shared" si="0"/>
        <v>21</v>
      </c>
      <c r="C22" s="16">
        <v>10</v>
      </c>
      <c r="D22" s="2">
        <v>2024</v>
      </c>
      <c r="E22" s="9">
        <f>'OCT 2024'!C25</f>
        <v>7471</v>
      </c>
      <c r="F22" s="9">
        <f>'OCT 2024'!E25</f>
        <v>6568</v>
      </c>
      <c r="G22" s="9">
        <f>'OCT 2024'!G25</f>
        <v>123</v>
      </c>
      <c r="H22" s="9">
        <f>'OCT 2024'!K25</f>
        <v>63</v>
      </c>
      <c r="I22" s="9">
        <f>'OCT 2024'!N25</f>
        <v>19</v>
      </c>
      <c r="J22" s="9">
        <f>'OCT 2024'!P25</f>
        <v>16</v>
      </c>
      <c r="K22" s="9">
        <f>'OCT 2024'!X25</f>
        <v>10236.420000000002</v>
      </c>
      <c r="L22" s="9">
        <f>'OCT 2024'!AC25</f>
        <v>13135</v>
      </c>
      <c r="M22" s="9">
        <f>'OCT 2024'!AR25</f>
        <v>4</v>
      </c>
      <c r="N22" s="9">
        <f>'OCT 2024'!AD25*315</f>
        <v>257.00849999999997</v>
      </c>
      <c r="O22" s="141">
        <f>'OCT 2024'!AE25</f>
        <v>289</v>
      </c>
    </row>
    <row r="23" spans="1:15" x14ac:dyDescent="0.25">
      <c r="A23" s="26" t="s">
        <v>81</v>
      </c>
      <c r="B23" s="2">
        <f t="shared" si="0"/>
        <v>22</v>
      </c>
      <c r="C23" s="16">
        <v>10</v>
      </c>
      <c r="D23" s="2">
        <v>2024</v>
      </c>
      <c r="E23" s="9">
        <f>'OCT 2024'!C26</f>
        <v>7455</v>
      </c>
      <c r="F23" s="9">
        <f>'OCT 2024'!E26</f>
        <v>6613</v>
      </c>
      <c r="G23" s="9">
        <f>'OCT 2024'!G26</f>
        <v>136</v>
      </c>
      <c r="H23" s="9">
        <f>'OCT 2024'!K26</f>
        <v>98</v>
      </c>
      <c r="I23" s="9">
        <f>'OCT 2024'!N26</f>
        <v>22</v>
      </c>
      <c r="J23" s="9">
        <f>'OCT 2024'!P26</f>
        <v>15</v>
      </c>
      <c r="K23" s="9">
        <f>'OCT 2024'!X26</f>
        <v>9952.0750000000007</v>
      </c>
      <c r="L23" s="9">
        <f>'OCT 2024'!AC26</f>
        <v>12751</v>
      </c>
      <c r="M23" s="9">
        <f>'OCT 2024'!AR26</f>
        <v>12</v>
      </c>
      <c r="N23" s="9">
        <f>'OCT 2024'!AD26*315</f>
        <v>315</v>
      </c>
      <c r="O23" s="141">
        <f>'OCT 2024'!AE26</f>
        <v>371</v>
      </c>
    </row>
    <row r="24" spans="1:15" x14ac:dyDescent="0.25">
      <c r="A24" s="26" t="s">
        <v>81</v>
      </c>
      <c r="B24" s="2">
        <f t="shared" si="0"/>
        <v>23</v>
      </c>
      <c r="C24" s="16">
        <v>10</v>
      </c>
      <c r="D24" s="2">
        <v>2024</v>
      </c>
      <c r="E24" s="9">
        <f>'OCT 2024'!C27</f>
        <v>7528</v>
      </c>
      <c r="F24" s="9">
        <f>'OCT 2024'!E27</f>
        <v>6751</v>
      </c>
      <c r="G24" s="9">
        <f>'OCT 2024'!G27</f>
        <v>138</v>
      </c>
      <c r="H24" s="9">
        <f>'OCT 2024'!K27</f>
        <v>99</v>
      </c>
      <c r="I24" s="9">
        <f>'OCT 2024'!N27</f>
        <v>21</v>
      </c>
      <c r="J24" s="9">
        <f>'OCT 2024'!P27</f>
        <v>15</v>
      </c>
      <c r="K24" s="9">
        <f>'OCT 2024'!X27</f>
        <v>9383.3850000000002</v>
      </c>
      <c r="L24" s="9">
        <f>'OCT 2024'!AC27</f>
        <v>12178</v>
      </c>
      <c r="M24" s="9">
        <f>'OCT 2024'!AR27</f>
        <v>9</v>
      </c>
      <c r="N24" s="9">
        <f>'OCT 2024'!AD27*315</f>
        <v>301.9905</v>
      </c>
      <c r="O24" s="141">
        <f>'OCT 2024'!AE27</f>
        <v>363</v>
      </c>
    </row>
    <row r="25" spans="1:15" x14ac:dyDescent="0.25">
      <c r="A25" s="26" t="s">
        <v>81</v>
      </c>
      <c r="B25" s="2">
        <f t="shared" si="0"/>
        <v>24</v>
      </c>
      <c r="C25" s="16">
        <v>10</v>
      </c>
      <c r="D25" s="2">
        <v>2024</v>
      </c>
      <c r="E25" s="9">
        <f>'OCT 2024'!C28</f>
        <v>7543</v>
      </c>
      <c r="F25" s="9">
        <f>'OCT 2024'!E28</f>
        <v>6787</v>
      </c>
      <c r="G25" s="9">
        <f>'OCT 2024'!G28</f>
        <v>139</v>
      </c>
      <c r="H25" s="9">
        <f>'OCT 2024'!K28</f>
        <v>106</v>
      </c>
      <c r="I25" s="9">
        <f>'OCT 2024'!N28</f>
        <v>18</v>
      </c>
      <c r="J25" s="9">
        <f>'OCT 2024'!P28</f>
        <v>15</v>
      </c>
      <c r="K25" s="9">
        <f>'OCT 2024'!X28</f>
        <v>9383.3850000000002</v>
      </c>
      <c r="L25" s="9">
        <f>'OCT 2024'!AC28</f>
        <v>12117</v>
      </c>
      <c r="M25" s="9">
        <f>'OCT 2024'!AR28</f>
        <v>8</v>
      </c>
      <c r="N25" s="9">
        <f>'OCT 2024'!AD28*315</f>
        <v>313.99200000000002</v>
      </c>
      <c r="O25" s="141">
        <f>'OCT 2024'!AE28</f>
        <v>397</v>
      </c>
    </row>
    <row r="26" spans="1:15" x14ac:dyDescent="0.25">
      <c r="A26" s="26" t="s">
        <v>81</v>
      </c>
      <c r="B26" s="2">
        <f t="shared" si="0"/>
        <v>25</v>
      </c>
      <c r="C26" s="16">
        <v>10</v>
      </c>
      <c r="D26" s="2">
        <v>2024</v>
      </c>
      <c r="E26" s="9">
        <f>'OCT 2024'!C29</f>
        <v>7454</v>
      </c>
      <c r="F26" s="9">
        <f>'OCT 2024'!E29</f>
        <v>6591</v>
      </c>
      <c r="G26" s="9">
        <f>'OCT 2024'!G29</f>
        <v>129</v>
      </c>
      <c r="H26" s="9">
        <f>'OCT 2024'!K29</f>
        <v>97</v>
      </c>
      <c r="I26" s="9">
        <f>'OCT 2024'!N29</f>
        <v>20</v>
      </c>
      <c r="J26" s="9">
        <f>'OCT 2024'!P29</f>
        <v>15</v>
      </c>
      <c r="K26" s="9">
        <f>'OCT 2024'!X29</f>
        <v>9383.3850000000002</v>
      </c>
      <c r="L26" s="9">
        <f>'OCT 2024'!AC29</f>
        <v>12162</v>
      </c>
      <c r="M26" s="9">
        <f>'OCT 2024'!AR29</f>
        <v>8</v>
      </c>
      <c r="N26" s="9">
        <f>'OCT 2024'!AD29*315</f>
        <v>301.9905</v>
      </c>
      <c r="O26" s="141">
        <f>'OCT 2024'!AE29</f>
        <v>383</v>
      </c>
    </row>
    <row r="27" spans="1:15" x14ac:dyDescent="0.25">
      <c r="A27" s="26" t="s">
        <v>81</v>
      </c>
      <c r="B27" s="2">
        <f t="shared" si="0"/>
        <v>26</v>
      </c>
      <c r="C27" s="16">
        <v>10</v>
      </c>
      <c r="D27" s="2">
        <v>2024</v>
      </c>
      <c r="E27" s="9">
        <f>'OCT 2024'!C30</f>
        <v>7510</v>
      </c>
      <c r="F27" s="9">
        <f>'OCT 2024'!E30</f>
        <v>6783</v>
      </c>
      <c r="G27" s="9">
        <f>'OCT 2024'!G30</f>
        <v>138</v>
      </c>
      <c r="H27" s="9">
        <f>'OCT 2024'!K30</f>
        <v>104</v>
      </c>
      <c r="I27" s="9">
        <f>'OCT 2024'!N30</f>
        <v>23</v>
      </c>
      <c r="J27" s="9">
        <f>'OCT 2024'!P30</f>
        <v>15</v>
      </c>
      <c r="K27" s="9">
        <f>'OCT 2024'!X30</f>
        <v>9667.7300000000014</v>
      </c>
      <c r="L27" s="9">
        <f>'OCT 2024'!AC30</f>
        <v>11930</v>
      </c>
      <c r="M27" s="9">
        <f>'OCT 2024'!AR30</f>
        <v>11</v>
      </c>
      <c r="N27" s="9">
        <f>'OCT 2024'!AD30*315</f>
        <v>309.99149999999997</v>
      </c>
      <c r="O27" s="141">
        <f>'OCT 2024'!AE30</f>
        <v>413</v>
      </c>
    </row>
    <row r="28" spans="1:15" x14ac:dyDescent="0.25">
      <c r="A28" s="26" t="s">
        <v>81</v>
      </c>
      <c r="B28" s="2">
        <f t="shared" si="0"/>
        <v>27</v>
      </c>
      <c r="C28" s="16">
        <v>10</v>
      </c>
      <c r="D28" s="2">
        <v>2024</v>
      </c>
      <c r="E28" s="9">
        <f>'OCT 2024'!C31</f>
        <v>7434</v>
      </c>
      <c r="F28" s="9">
        <f>'OCT 2024'!E31</f>
        <v>6594</v>
      </c>
      <c r="G28" s="9">
        <f>'OCT 2024'!G31</f>
        <v>137</v>
      </c>
      <c r="H28" s="9">
        <f>'OCT 2024'!K31</f>
        <v>104</v>
      </c>
      <c r="I28" s="9">
        <f>'OCT 2024'!N31</f>
        <v>21</v>
      </c>
      <c r="J28" s="9">
        <f>'OCT 2024'!P31</f>
        <v>13</v>
      </c>
      <c r="K28" s="9">
        <f>'OCT 2024'!X31</f>
        <v>8814.6950000000015</v>
      </c>
      <c r="L28" s="9">
        <f>'OCT 2024'!AC31</f>
        <v>11079</v>
      </c>
      <c r="M28" s="9">
        <f>'OCT 2024'!AR31</f>
        <v>9</v>
      </c>
      <c r="N28" s="9">
        <f>'OCT 2024'!AD31*315</f>
        <v>293.01300000000003</v>
      </c>
      <c r="O28" s="141">
        <f>'OCT 2024'!AE31</f>
        <v>379</v>
      </c>
    </row>
    <row r="29" spans="1:15" x14ac:dyDescent="0.25">
      <c r="A29" s="26" t="s">
        <v>81</v>
      </c>
      <c r="B29" s="2">
        <f t="shared" si="0"/>
        <v>28</v>
      </c>
      <c r="C29" s="16">
        <v>10</v>
      </c>
      <c r="D29" s="2">
        <v>2024</v>
      </c>
      <c r="E29" s="9">
        <f>'OCT 2024'!C32</f>
        <v>7686</v>
      </c>
      <c r="F29" s="9">
        <f>'OCT 2024'!E32</f>
        <v>6789</v>
      </c>
      <c r="G29" s="9">
        <f>'OCT 2024'!G32</f>
        <v>143</v>
      </c>
      <c r="H29" s="9">
        <f>'OCT 2024'!K32</f>
        <v>102</v>
      </c>
      <c r="I29" s="9">
        <f>'OCT 2024'!N32</f>
        <v>21</v>
      </c>
      <c r="J29" s="9">
        <f>'OCT 2024'!P32</f>
        <v>13</v>
      </c>
      <c r="K29" s="9">
        <f>'OCT 2024'!X32</f>
        <v>8246.005000000001</v>
      </c>
      <c r="L29" s="9">
        <f>'OCT 2024'!AC32</f>
        <v>10704</v>
      </c>
      <c r="M29" s="9">
        <f>'OCT 2024'!AR32</f>
        <v>8</v>
      </c>
      <c r="N29" s="9">
        <f>'OCT 2024'!AD32*315</f>
        <v>297.01349999999996</v>
      </c>
      <c r="O29" s="141">
        <f>'OCT 2024'!AE32</f>
        <v>371</v>
      </c>
    </row>
    <row r="30" spans="1:15" x14ac:dyDescent="0.25">
      <c r="A30" s="26" t="s">
        <v>81</v>
      </c>
      <c r="B30" s="2">
        <f t="shared" si="0"/>
        <v>29</v>
      </c>
      <c r="C30" s="16">
        <v>10</v>
      </c>
      <c r="D30" s="2">
        <v>2024</v>
      </c>
      <c r="E30" s="9">
        <f>'OCT 2024'!C33</f>
        <v>7725</v>
      </c>
      <c r="F30" s="9">
        <f>'OCT 2024'!E33</f>
        <v>6982</v>
      </c>
      <c r="G30" s="9">
        <f>'OCT 2024'!G33</f>
        <v>140</v>
      </c>
      <c r="H30" s="9">
        <f>'OCT 2024'!K33</f>
        <v>103</v>
      </c>
      <c r="I30" s="9">
        <f>'OCT 2024'!N33</f>
        <v>22</v>
      </c>
      <c r="J30" s="9">
        <f>'OCT 2024'!P33</f>
        <v>13</v>
      </c>
      <c r="K30" s="9">
        <f>'OCT 2024'!X33</f>
        <v>9099.0400000000009</v>
      </c>
      <c r="L30" s="9">
        <f>'OCT 2024'!AC33</f>
        <v>10318</v>
      </c>
      <c r="M30" s="9">
        <f>'OCT 2024'!AR33</f>
        <v>7</v>
      </c>
      <c r="N30" s="9">
        <f>'OCT 2024'!AD33*315</f>
        <v>288.00450000000001</v>
      </c>
      <c r="O30" s="141">
        <f>'OCT 2024'!AE33</f>
        <v>359</v>
      </c>
    </row>
    <row r="31" spans="1:15" x14ac:dyDescent="0.25">
      <c r="A31" s="26" t="s">
        <v>81</v>
      </c>
      <c r="B31" s="2">
        <f t="shared" si="0"/>
        <v>30</v>
      </c>
      <c r="C31" s="16">
        <v>10</v>
      </c>
      <c r="D31" s="2">
        <v>2024</v>
      </c>
      <c r="E31" s="9">
        <f>'OCT 2024'!C34</f>
        <v>7656</v>
      </c>
      <c r="F31" s="9">
        <f>'OCT 2024'!E34</f>
        <v>7046</v>
      </c>
      <c r="G31" s="9">
        <f>'OCT 2024'!G34</f>
        <v>135</v>
      </c>
      <c r="H31" s="9">
        <f>'OCT 2024'!K34</f>
        <v>104</v>
      </c>
      <c r="I31" s="9">
        <f>'OCT 2024'!N34</f>
        <v>23</v>
      </c>
      <c r="J31" s="9">
        <f>'OCT 2024'!P34</f>
        <v>15</v>
      </c>
      <c r="K31" s="9">
        <f>'OCT 2024'!X34</f>
        <v>9383.3850000000002</v>
      </c>
      <c r="L31" s="9">
        <f>'OCT 2024'!AC34</f>
        <v>10494</v>
      </c>
      <c r="M31" s="9">
        <f>'OCT 2024'!AR34</f>
        <v>7</v>
      </c>
      <c r="N31" s="9">
        <f>'OCT 2024'!AD34*315</f>
        <v>313.01550000000003</v>
      </c>
      <c r="O31" s="141">
        <f>'OCT 2024'!AE34</f>
        <v>394</v>
      </c>
    </row>
    <row r="32" spans="1:15" x14ac:dyDescent="0.25">
      <c r="A32" s="26" t="s">
        <v>81</v>
      </c>
      <c r="B32" s="2">
        <f t="shared" si="0"/>
        <v>31</v>
      </c>
      <c r="C32" s="16">
        <v>10</v>
      </c>
      <c r="D32" s="2">
        <v>2024</v>
      </c>
      <c r="E32" s="9">
        <f>'OCT 2024'!C35</f>
        <v>7758</v>
      </c>
      <c r="F32" s="9">
        <f>'OCT 2024'!E35</f>
        <v>6840</v>
      </c>
      <c r="G32" s="9">
        <f>'OCT 2024'!G35</f>
        <v>138</v>
      </c>
      <c r="H32" s="9">
        <f>'OCT 2024'!K35</f>
        <v>95</v>
      </c>
      <c r="I32" s="9">
        <f>'OCT 2024'!N35</f>
        <v>19</v>
      </c>
      <c r="J32" s="9">
        <f>'OCT 2024'!P35</f>
        <v>15</v>
      </c>
      <c r="K32" s="9">
        <f>'OCT 2024'!X35</f>
        <v>9099.0400000000009</v>
      </c>
      <c r="L32" s="9">
        <f>'OCT 2024'!AC35</f>
        <v>10378</v>
      </c>
      <c r="M32" s="9">
        <f>'OCT 2024'!AR35</f>
        <v>6</v>
      </c>
      <c r="N32" s="9">
        <f>'OCT 2024'!AD35*315</f>
        <v>246.9915</v>
      </c>
      <c r="O32" s="141">
        <f>'OCT 2024'!AE35</f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3E69-3E7A-4EE2-B42A-10D58432689A}">
  <sheetPr>
    <pageSetUpPr fitToPage="1"/>
  </sheetPr>
  <dimension ref="A1:FI77"/>
  <sheetViews>
    <sheetView view="pageBreakPreview" zoomScale="80" zoomScaleNormal="80" zoomScaleSheetLayoutView="80" workbookViewId="0">
      <pane ySplit="4" topLeftCell="A5" activePane="bottomLeft" state="frozen"/>
      <selection pane="bottomLeft" activeCell="I16" sqref="I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1" s="4" customFormat="1" ht="24.95" customHeight="1" thickBot="1" x14ac:dyDescent="0.3">
      <c r="A1" s="313" t="s">
        <v>99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151"/>
      <c r="AG1" s="151"/>
      <c r="AH1" s="151"/>
    </row>
    <row r="2" spans="1:51" s="6" customFormat="1" ht="24.95" customHeight="1" thickBot="1" x14ac:dyDescent="0.35">
      <c r="A2" s="315" t="s">
        <v>0</v>
      </c>
      <c r="B2" s="318" t="s">
        <v>3</v>
      </c>
      <c r="C2" s="319"/>
      <c r="D2" s="319"/>
      <c r="E2" s="319"/>
      <c r="F2" s="319"/>
      <c r="G2" s="319"/>
      <c r="H2" s="319"/>
      <c r="I2" s="319"/>
      <c r="J2" s="320" t="s">
        <v>4</v>
      </c>
      <c r="K2" s="321"/>
      <c r="L2" s="321"/>
      <c r="M2" s="322" t="s">
        <v>49</v>
      </c>
      <c r="N2" s="323"/>
      <c r="O2" s="323"/>
      <c r="P2" s="323"/>
      <c r="Q2" s="323"/>
      <c r="R2" s="323"/>
      <c r="S2" s="323"/>
      <c r="T2" s="323"/>
      <c r="U2" s="324"/>
      <c r="V2" s="325" t="s">
        <v>2</v>
      </c>
      <c r="W2" s="326"/>
      <c r="X2" s="326"/>
      <c r="Y2" s="326"/>
      <c r="Z2" s="326"/>
      <c r="AA2" s="326"/>
      <c r="AB2" s="326"/>
      <c r="AC2" s="326"/>
      <c r="AD2" s="175" t="s">
        <v>17</v>
      </c>
      <c r="AE2" s="176"/>
      <c r="AF2" s="283" t="s">
        <v>58</v>
      </c>
      <c r="AG2" s="284"/>
      <c r="AH2" s="284"/>
      <c r="AI2" s="284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5"/>
    </row>
    <row r="3" spans="1:51" s="5" customFormat="1" ht="36.75" customHeight="1" x14ac:dyDescent="0.25">
      <c r="A3" s="316"/>
      <c r="B3" s="286" t="s">
        <v>36</v>
      </c>
      <c r="C3" s="287"/>
      <c r="D3" s="288" t="s">
        <v>37</v>
      </c>
      <c r="E3" s="289"/>
      <c r="F3" s="288" t="s">
        <v>38</v>
      </c>
      <c r="G3" s="289"/>
      <c r="H3" s="287" t="s">
        <v>20</v>
      </c>
      <c r="I3" s="291" t="s">
        <v>7</v>
      </c>
      <c r="J3" s="293" t="s">
        <v>21</v>
      </c>
      <c r="K3" s="295" t="s">
        <v>22</v>
      </c>
      <c r="L3" s="297" t="s">
        <v>6</v>
      </c>
      <c r="M3" s="299" t="s">
        <v>34</v>
      </c>
      <c r="N3" s="300"/>
      <c r="O3" s="300" t="s">
        <v>35</v>
      </c>
      <c r="P3" s="300"/>
      <c r="Q3" s="300" t="s">
        <v>39</v>
      </c>
      <c r="R3" s="300" t="s">
        <v>32</v>
      </c>
      <c r="S3" s="300" t="s">
        <v>33</v>
      </c>
      <c r="T3" s="311" t="s">
        <v>18</v>
      </c>
      <c r="U3" s="330" t="s">
        <v>31</v>
      </c>
      <c r="V3" s="328" t="s">
        <v>23</v>
      </c>
      <c r="W3" s="305" t="s">
        <v>8</v>
      </c>
      <c r="X3" s="305" t="s">
        <v>9</v>
      </c>
      <c r="Y3" s="305" t="s">
        <v>10</v>
      </c>
      <c r="Z3" s="305" t="s">
        <v>11</v>
      </c>
      <c r="AA3" s="305" t="s">
        <v>12</v>
      </c>
      <c r="AB3" s="305" t="s">
        <v>100</v>
      </c>
      <c r="AC3" s="305" t="s">
        <v>101</v>
      </c>
      <c r="AD3" s="307" t="s">
        <v>62</v>
      </c>
      <c r="AE3" s="309" t="s">
        <v>19</v>
      </c>
      <c r="AF3" s="301" t="s">
        <v>102</v>
      </c>
      <c r="AG3" s="302"/>
      <c r="AH3" s="303" t="s">
        <v>63</v>
      </c>
      <c r="AI3" s="301"/>
      <c r="AJ3" s="302"/>
      <c r="AK3" s="304" t="s">
        <v>64</v>
      </c>
      <c r="AL3" s="301"/>
      <c r="AM3" s="302"/>
      <c r="AN3" s="303" t="s">
        <v>65</v>
      </c>
      <c r="AO3" s="301"/>
      <c r="AP3" s="302"/>
      <c r="AQ3" s="303" t="s">
        <v>66</v>
      </c>
      <c r="AR3" s="301"/>
      <c r="AS3" s="302"/>
      <c r="AT3" s="303" t="s">
        <v>68</v>
      </c>
      <c r="AU3" s="301"/>
      <c r="AV3" s="302"/>
      <c r="AW3" s="301" t="s">
        <v>67</v>
      </c>
      <c r="AX3" s="301"/>
      <c r="AY3" s="302"/>
    </row>
    <row r="4" spans="1:51" s="5" customFormat="1" ht="36.75" customHeight="1" thickBot="1" x14ac:dyDescent="0.3">
      <c r="A4" s="317"/>
      <c r="B4" s="106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7" t="s">
        <v>5</v>
      </c>
      <c r="H4" s="290"/>
      <c r="I4" s="292"/>
      <c r="J4" s="294"/>
      <c r="K4" s="296"/>
      <c r="L4" s="298"/>
      <c r="M4" s="108" t="s">
        <v>1</v>
      </c>
      <c r="N4" s="46" t="s">
        <v>5</v>
      </c>
      <c r="O4" s="46" t="s">
        <v>1</v>
      </c>
      <c r="P4" s="46" t="s">
        <v>5</v>
      </c>
      <c r="Q4" s="327"/>
      <c r="R4" s="327"/>
      <c r="S4" s="327"/>
      <c r="T4" s="312"/>
      <c r="U4" s="331"/>
      <c r="V4" s="329"/>
      <c r="W4" s="306"/>
      <c r="X4" s="306"/>
      <c r="Y4" s="306"/>
      <c r="Z4" s="306"/>
      <c r="AA4" s="306"/>
      <c r="AB4" s="306"/>
      <c r="AC4" s="306"/>
      <c r="AD4" s="308"/>
      <c r="AE4" s="310"/>
      <c r="AF4" s="157" t="s">
        <v>60</v>
      </c>
      <c r="AG4" s="156" t="s">
        <v>103</v>
      </c>
      <c r="AH4" s="155" t="s">
        <v>60</v>
      </c>
      <c r="AI4" s="156" t="s">
        <v>61</v>
      </c>
      <c r="AJ4" s="144" t="s">
        <v>13</v>
      </c>
      <c r="AK4" s="156" t="s">
        <v>60</v>
      </c>
      <c r="AL4" s="156" t="s">
        <v>61</v>
      </c>
      <c r="AM4" s="144" t="s">
        <v>13</v>
      </c>
      <c r="AN4" s="155" t="s">
        <v>60</v>
      </c>
      <c r="AO4" s="156" t="s">
        <v>61</v>
      </c>
      <c r="AP4" s="144" t="s">
        <v>13</v>
      </c>
      <c r="AQ4" s="155" t="s">
        <v>60</v>
      </c>
      <c r="AR4" s="156" t="s">
        <v>59</v>
      </c>
      <c r="AS4" s="144" t="s">
        <v>13</v>
      </c>
      <c r="AT4" s="155" t="s">
        <v>60</v>
      </c>
      <c r="AU4" s="156" t="s">
        <v>59</v>
      </c>
      <c r="AV4" s="144" t="s">
        <v>13</v>
      </c>
      <c r="AW4" s="157" t="s">
        <v>60</v>
      </c>
      <c r="AX4" s="156" t="s">
        <v>59</v>
      </c>
      <c r="AY4" s="144" t="s">
        <v>13</v>
      </c>
    </row>
    <row r="5" spans="1:51" s="3" customFormat="1" ht="27.95" customHeight="1" x14ac:dyDescent="0.25">
      <c r="A5" s="100">
        <v>45566</v>
      </c>
      <c r="B5" s="93">
        <v>20305604</v>
      </c>
      <c r="C5" s="99">
        <v>7824</v>
      </c>
      <c r="D5" s="91">
        <v>21064355</v>
      </c>
      <c r="E5" s="99">
        <v>6605</v>
      </c>
      <c r="F5" s="91">
        <v>471819</v>
      </c>
      <c r="G5" s="99">
        <v>133</v>
      </c>
      <c r="H5" s="101">
        <f t="shared" ref="H5:H35" si="0">C5+E5+G5</f>
        <v>14562</v>
      </c>
      <c r="I5" s="102">
        <f t="shared" ref="I5:I35" si="1">H5*0.2</f>
        <v>2912.4</v>
      </c>
      <c r="J5" s="93">
        <v>96796</v>
      </c>
      <c r="K5" s="99">
        <v>87</v>
      </c>
      <c r="L5" s="103">
        <f t="shared" ref="L5:L35" si="2">K5*7.84</f>
        <v>682.08</v>
      </c>
      <c r="M5" s="90">
        <v>38806</v>
      </c>
      <c r="N5" s="99">
        <v>19</v>
      </c>
      <c r="O5" s="91">
        <v>23058</v>
      </c>
      <c r="P5" s="104">
        <v>11</v>
      </c>
      <c r="Q5" s="94">
        <f>N5+P5</f>
        <v>30</v>
      </c>
      <c r="R5" s="95">
        <v>57984</v>
      </c>
      <c r="S5" s="104">
        <v>30</v>
      </c>
      <c r="T5" s="104">
        <f>S5*1.0557</f>
        <v>31.671000000000003</v>
      </c>
      <c r="U5" s="103">
        <f>IF(ISBLANK(M5),"0",T5*11.05+209.677)</f>
        <v>559.64155000000005</v>
      </c>
      <c r="V5" s="177">
        <v>73792</v>
      </c>
      <c r="W5" s="178">
        <v>36</v>
      </c>
      <c r="X5" s="179">
        <f>IF(ISBLANK(V5),"0 ",W5*284.345)</f>
        <v>10236.420000000002</v>
      </c>
      <c r="Y5" s="179">
        <f>X5*0.3449</f>
        <v>3530.5412580000007</v>
      </c>
      <c r="Z5" s="179">
        <f>IF(ISBLANK(V5),"0",1570*1608.73/12/31*0.65)</f>
        <v>4413.1961424731189</v>
      </c>
      <c r="AA5" s="180">
        <f>Y5+Z5</f>
        <v>7943.7374004731191</v>
      </c>
      <c r="AB5" s="181">
        <v>8359134</v>
      </c>
      <c r="AC5" s="181">
        <v>12529</v>
      </c>
      <c r="AD5" s="182">
        <v>0.79369999999999996</v>
      </c>
      <c r="AE5" s="105">
        <v>306</v>
      </c>
      <c r="AF5" s="183"/>
      <c r="AG5" s="141"/>
      <c r="AH5" s="90">
        <v>14283502</v>
      </c>
      <c r="AI5" s="140">
        <v>5742</v>
      </c>
      <c r="AJ5" s="154">
        <f>AI5*0.2</f>
        <v>1148.4000000000001</v>
      </c>
      <c r="AK5" s="90">
        <v>6572403</v>
      </c>
      <c r="AL5" s="140">
        <v>2223</v>
      </c>
      <c r="AM5" s="154">
        <f>AL5*0.2</f>
        <v>444.6</v>
      </c>
      <c r="AN5" s="148">
        <v>205471</v>
      </c>
      <c r="AO5" s="99">
        <v>547</v>
      </c>
      <c r="AP5" s="96">
        <f>AO5*0.2</f>
        <v>109.4</v>
      </c>
      <c r="AQ5" s="93">
        <v>7683</v>
      </c>
      <c r="AR5" s="99">
        <v>7</v>
      </c>
      <c r="AS5" s="141">
        <f>AR5*7.84</f>
        <v>54.879999999999995</v>
      </c>
      <c r="AT5" s="90">
        <v>3068</v>
      </c>
      <c r="AU5" s="99">
        <v>1</v>
      </c>
      <c r="AV5" s="105">
        <f>AU5*7.84</f>
        <v>7.84</v>
      </c>
      <c r="AW5" s="147">
        <v>44</v>
      </c>
      <c r="AX5" s="99">
        <v>1</v>
      </c>
      <c r="AY5" s="105">
        <f>AX5*7.84</f>
        <v>7.84</v>
      </c>
    </row>
    <row r="6" spans="1:51" s="3" customFormat="1" ht="27.95" customHeight="1" x14ac:dyDescent="0.25">
      <c r="A6" s="100">
        <v>45567</v>
      </c>
      <c r="B6" s="93">
        <v>20313406</v>
      </c>
      <c r="C6" s="91">
        <f t="shared" ref="C6:C35" si="3">IF(ISBLANK(B6),"0",B6-B5)</f>
        <v>7802</v>
      </c>
      <c r="D6" s="91">
        <v>21071093</v>
      </c>
      <c r="E6" s="91">
        <f t="shared" ref="E6:E35" si="4">IF(ISBLANK(D6),"0",D6-D5)</f>
        <v>6738</v>
      </c>
      <c r="F6" s="91">
        <v>471952</v>
      </c>
      <c r="G6" s="91">
        <f>IF(ISBLANK(F6),"0",F6-F5)</f>
        <v>133</v>
      </c>
      <c r="H6" s="92">
        <f t="shared" si="0"/>
        <v>14673</v>
      </c>
      <c r="I6" s="111">
        <f t="shared" si="1"/>
        <v>2934.6000000000004</v>
      </c>
      <c r="J6" s="93">
        <v>96890</v>
      </c>
      <c r="K6" s="91">
        <f>IF(ISBLANK(J6),"0",J6-J5)</f>
        <v>94</v>
      </c>
      <c r="L6" s="77">
        <f t="shared" si="2"/>
        <v>736.96</v>
      </c>
      <c r="M6" s="90">
        <v>38827</v>
      </c>
      <c r="N6" s="91">
        <f>IF(ISBLANK(M6),"0",M6-M5)</f>
        <v>21</v>
      </c>
      <c r="O6" s="91">
        <v>23077</v>
      </c>
      <c r="P6" s="94">
        <f>IF(ISBLANK(O6),"0",O6-O5)</f>
        <v>19</v>
      </c>
      <c r="Q6" s="94">
        <f t="shared" ref="Q6:Q35" si="5">N6+P6</f>
        <v>40</v>
      </c>
      <c r="R6" s="95">
        <v>58024</v>
      </c>
      <c r="S6" s="94">
        <f>IF(ISBLANK(R6),"0",R6-R5)</f>
        <v>40</v>
      </c>
      <c r="T6" s="104">
        <f t="shared" ref="T6:T35" si="6">S6*1.0557</f>
        <v>42.228000000000002</v>
      </c>
      <c r="U6" s="103">
        <f t="shared" ref="U6:U35" si="7">IF(ISBLANK(M6),"0",T6*11.05+209.677)</f>
        <v>676.29640000000006</v>
      </c>
      <c r="V6" s="184">
        <v>73831</v>
      </c>
      <c r="W6" s="185">
        <v>39</v>
      </c>
      <c r="X6" s="186">
        <f>IF(ISBLANK(V6),"0 ",W6*284.345)</f>
        <v>11089.455000000002</v>
      </c>
      <c r="Y6" s="186">
        <f t="shared" ref="Y6:Y35" si="8">X6*0.3449</f>
        <v>3824.7530295000006</v>
      </c>
      <c r="Z6" s="186">
        <f t="shared" ref="Z6:Z35" si="9">IF(ISBLANK(V6),"0",1570*1608.73/12/31*0.65)</f>
        <v>4413.1961424731189</v>
      </c>
      <c r="AA6" s="187">
        <f t="shared" ref="AA6:AA35" si="10">Y6+Z6</f>
        <v>8237.9491719731195</v>
      </c>
      <c r="AB6" s="188">
        <v>8372434</v>
      </c>
      <c r="AC6" s="188">
        <f t="shared" ref="AC6:AC35" si="11">IF(ISBLANK(AB6),"0 ",AB6-AB5)</f>
        <v>13300</v>
      </c>
      <c r="AD6" s="189">
        <v>0.84130000000000005</v>
      </c>
      <c r="AE6" s="96">
        <v>339</v>
      </c>
      <c r="AF6" s="190"/>
      <c r="AG6" s="142"/>
      <c r="AH6" s="90">
        <v>14289258</v>
      </c>
      <c r="AI6" s="91">
        <f>IF(ISBLANK(AH6),"0",AH6-AH5)</f>
        <v>5756</v>
      </c>
      <c r="AJ6" s="96">
        <f>AI6*0.2</f>
        <v>1151.2</v>
      </c>
      <c r="AK6" s="90">
        <v>6574602</v>
      </c>
      <c r="AL6" s="91">
        <f>IF(ISBLANK(AK6),"0",AK6-AK5)</f>
        <v>2199</v>
      </c>
      <c r="AM6" s="96">
        <f>AL6*0.2</f>
        <v>439.8</v>
      </c>
      <c r="AN6" s="93">
        <v>206101</v>
      </c>
      <c r="AO6" s="91">
        <f>IF(ISBLANK(AN6),"0",AN6-AN5)</f>
        <v>630</v>
      </c>
      <c r="AP6" s="96">
        <f>AO6*0.2</f>
        <v>126</v>
      </c>
      <c r="AQ6" s="93">
        <v>7692</v>
      </c>
      <c r="AR6" s="91">
        <f>IF(ISBLANK(AQ6),"0",AQ6-AQ5)</f>
        <v>9</v>
      </c>
      <c r="AS6" s="142">
        <f>AR6*7.84</f>
        <v>70.56</v>
      </c>
      <c r="AT6" s="90">
        <v>3068</v>
      </c>
      <c r="AU6" s="91">
        <f>IF(ISBLANK(AT6),"0",AT6-AT5)</f>
        <v>0</v>
      </c>
      <c r="AV6" s="96">
        <f t="shared" ref="AV6:AV35" si="12">AU6*7.84</f>
        <v>0</v>
      </c>
      <c r="AW6" s="90">
        <v>44</v>
      </c>
      <c r="AX6" s="91">
        <f>IF(ISBLANK(AW6),"0",AW6-AW5)</f>
        <v>0</v>
      </c>
      <c r="AY6" s="96">
        <f>AX6*7.84</f>
        <v>0</v>
      </c>
    </row>
    <row r="7" spans="1:51" s="3" customFormat="1" ht="27.95" customHeight="1" x14ac:dyDescent="0.25">
      <c r="A7" s="100">
        <v>45568</v>
      </c>
      <c r="B7" s="93">
        <v>20321230</v>
      </c>
      <c r="C7" s="91">
        <f t="shared" si="3"/>
        <v>7824</v>
      </c>
      <c r="D7" s="91">
        <v>21077868</v>
      </c>
      <c r="E7" s="91">
        <f t="shared" si="4"/>
        <v>6775</v>
      </c>
      <c r="F7" s="91">
        <v>472085</v>
      </c>
      <c r="G7" s="91">
        <f t="shared" ref="G7:G35" si="13">IF(ISBLANK(F7),"0",F7-F6)</f>
        <v>133</v>
      </c>
      <c r="H7" s="92">
        <f t="shared" si="0"/>
        <v>14732</v>
      </c>
      <c r="I7" s="111">
        <f t="shared" si="1"/>
        <v>2946.4</v>
      </c>
      <c r="J7" s="93">
        <v>96982</v>
      </c>
      <c r="K7" s="91">
        <f t="shared" ref="K7:K35" si="14">IF(ISBLANK(J7),"0",J7-J6)</f>
        <v>92</v>
      </c>
      <c r="L7" s="77">
        <f t="shared" si="2"/>
        <v>721.28</v>
      </c>
      <c r="M7" s="90">
        <v>38849</v>
      </c>
      <c r="N7" s="91">
        <f t="shared" ref="N7:N35" si="15">IF(ISBLANK(M7),"0",M7-M6)</f>
        <v>22</v>
      </c>
      <c r="O7" s="91">
        <v>23088</v>
      </c>
      <c r="P7" s="94">
        <f t="shared" ref="P7:P34" si="16">IF(ISBLANK(O7),"0",O7-O6)</f>
        <v>11</v>
      </c>
      <c r="Q7" s="94">
        <f t="shared" si="5"/>
        <v>33</v>
      </c>
      <c r="R7" s="95">
        <v>58054</v>
      </c>
      <c r="S7" s="94">
        <f t="shared" ref="S7:S34" si="17">IF(ISBLANK(R7),"0",R7-R6)</f>
        <v>30</v>
      </c>
      <c r="T7" s="104">
        <f t="shared" si="6"/>
        <v>31.671000000000003</v>
      </c>
      <c r="U7" s="103">
        <f t="shared" si="7"/>
        <v>559.64155000000005</v>
      </c>
      <c r="V7" s="191">
        <v>73871</v>
      </c>
      <c r="W7" s="185">
        <v>40</v>
      </c>
      <c r="X7" s="186">
        <f>IF(ISBLANK(V7),"0 ",W7*284.345)</f>
        <v>11373.800000000001</v>
      </c>
      <c r="Y7" s="186">
        <f t="shared" si="8"/>
        <v>3922.8236200000001</v>
      </c>
      <c r="Z7" s="186">
        <f t="shared" si="9"/>
        <v>4413.1961424731189</v>
      </c>
      <c r="AA7" s="187">
        <f t="shared" si="10"/>
        <v>8336.019762473119</v>
      </c>
      <c r="AB7" s="188">
        <v>8380681</v>
      </c>
      <c r="AC7" s="188">
        <f t="shared" si="11"/>
        <v>8247</v>
      </c>
      <c r="AD7" s="189">
        <v>0.63170000000000004</v>
      </c>
      <c r="AE7" s="96">
        <v>245</v>
      </c>
      <c r="AF7" s="190"/>
      <c r="AG7" s="142"/>
      <c r="AH7" s="90">
        <v>14295014</v>
      </c>
      <c r="AI7" s="91">
        <f t="shared" ref="AI7:AI35" si="18">IF(ISBLANK(AH7),"0",AH7-AH6)</f>
        <v>5756</v>
      </c>
      <c r="AJ7" s="96">
        <f t="shared" ref="AJ7:AJ35" si="19">AI7*0.2</f>
        <v>1151.2</v>
      </c>
      <c r="AK7" s="90">
        <v>6576796</v>
      </c>
      <c r="AL7" s="91">
        <f t="shared" ref="AL7:AL35" si="20">IF(ISBLANK(AK7),"0",AK7-AK6)</f>
        <v>2194</v>
      </c>
      <c r="AM7" s="96">
        <f t="shared" ref="AM7:AM35" si="21">AL7*0.2</f>
        <v>438.8</v>
      </c>
      <c r="AN7" s="93">
        <v>206746</v>
      </c>
      <c r="AO7" s="91">
        <f t="shared" ref="AO7:AO35" si="22">IF(ISBLANK(AN7),"0",AN7-AN6)</f>
        <v>645</v>
      </c>
      <c r="AP7" s="96">
        <f t="shared" ref="AP7:AP35" si="23">AO7*0.2</f>
        <v>129</v>
      </c>
      <c r="AQ7" s="93">
        <v>7701</v>
      </c>
      <c r="AR7" s="91">
        <f>IF(ISBLANK(AQ7),"0",AQ7-AQ6)</f>
        <v>9</v>
      </c>
      <c r="AS7" s="142">
        <f t="shared" ref="AS7:AS35" si="24">AR7*7.84</f>
        <v>70.56</v>
      </c>
      <c r="AT7" s="90">
        <v>3068</v>
      </c>
      <c r="AU7" s="91">
        <f t="shared" ref="AU7:AU35" si="25">IF(ISBLANK(AT7),"0",AT7-AT6)</f>
        <v>0</v>
      </c>
      <c r="AV7" s="96">
        <f t="shared" si="12"/>
        <v>0</v>
      </c>
      <c r="AW7" s="90">
        <v>45</v>
      </c>
      <c r="AX7" s="91">
        <f t="shared" ref="AX7:AX35" si="26">IF(ISBLANK(AW7),"0",AW7-AW6)</f>
        <v>1</v>
      </c>
      <c r="AY7" s="96">
        <f t="shared" ref="AY7:AY35" si="27">AX7*7.84</f>
        <v>7.84</v>
      </c>
    </row>
    <row r="8" spans="1:51" s="3" customFormat="1" ht="27.95" customHeight="1" x14ac:dyDescent="0.25">
      <c r="A8" s="100">
        <v>45569</v>
      </c>
      <c r="B8" s="93">
        <v>20328852</v>
      </c>
      <c r="C8" s="91">
        <f t="shared" si="3"/>
        <v>7622</v>
      </c>
      <c r="D8" s="91">
        <v>21084863</v>
      </c>
      <c r="E8" s="91">
        <f t="shared" si="4"/>
        <v>6995</v>
      </c>
      <c r="F8" s="91">
        <v>472220</v>
      </c>
      <c r="G8" s="91">
        <f t="shared" si="13"/>
        <v>135</v>
      </c>
      <c r="H8" s="92">
        <f t="shared" si="0"/>
        <v>14752</v>
      </c>
      <c r="I8" s="111">
        <f t="shared" si="1"/>
        <v>2950.4</v>
      </c>
      <c r="J8" s="93">
        <v>97061</v>
      </c>
      <c r="K8" s="91">
        <f t="shared" si="14"/>
        <v>79</v>
      </c>
      <c r="L8" s="77">
        <f t="shared" si="2"/>
        <v>619.36</v>
      </c>
      <c r="M8" s="90">
        <v>38872</v>
      </c>
      <c r="N8" s="91">
        <f t="shared" si="15"/>
        <v>23</v>
      </c>
      <c r="O8" s="91">
        <v>23101</v>
      </c>
      <c r="P8" s="94">
        <f t="shared" si="16"/>
        <v>13</v>
      </c>
      <c r="Q8" s="94">
        <f t="shared" si="5"/>
        <v>36</v>
      </c>
      <c r="R8" s="95">
        <v>58092</v>
      </c>
      <c r="S8" s="94">
        <f t="shared" si="17"/>
        <v>38</v>
      </c>
      <c r="T8" s="104">
        <f t="shared" si="6"/>
        <v>40.116600000000005</v>
      </c>
      <c r="U8" s="103">
        <f t="shared" si="7"/>
        <v>652.96543000000008</v>
      </c>
      <c r="V8" s="184">
        <v>73909</v>
      </c>
      <c r="W8" s="185">
        <v>38</v>
      </c>
      <c r="X8" s="186">
        <f t="shared" ref="X8:X35" si="28">IF(ISBLANK(V8),"0 ",W8*284.345)</f>
        <v>10805.11</v>
      </c>
      <c r="Y8" s="186">
        <f t="shared" si="8"/>
        <v>3726.6824390000002</v>
      </c>
      <c r="Z8" s="186">
        <f t="shared" si="9"/>
        <v>4413.1961424731189</v>
      </c>
      <c r="AA8" s="187">
        <f t="shared" si="10"/>
        <v>8139.8785814731191</v>
      </c>
      <c r="AB8" s="188">
        <v>14882</v>
      </c>
      <c r="AC8" s="188">
        <v>14882</v>
      </c>
      <c r="AD8" s="192">
        <v>0.55559999999999998</v>
      </c>
      <c r="AE8" s="96">
        <v>233</v>
      </c>
      <c r="AF8" s="193"/>
      <c r="AG8" s="142"/>
      <c r="AH8" s="90">
        <v>14300649</v>
      </c>
      <c r="AI8" s="91">
        <f t="shared" si="18"/>
        <v>5635</v>
      </c>
      <c r="AJ8" s="96">
        <f t="shared" si="19"/>
        <v>1127</v>
      </c>
      <c r="AK8" s="90">
        <v>6578947</v>
      </c>
      <c r="AL8" s="91">
        <f t="shared" si="20"/>
        <v>2151</v>
      </c>
      <c r="AM8" s="96">
        <f t="shared" si="21"/>
        <v>430.20000000000005</v>
      </c>
      <c r="AN8" s="93">
        <v>207657</v>
      </c>
      <c r="AO8" s="91">
        <f t="shared" si="22"/>
        <v>911</v>
      </c>
      <c r="AP8" s="96">
        <f t="shared" si="23"/>
        <v>182.20000000000002</v>
      </c>
      <c r="AQ8" s="93">
        <v>7707</v>
      </c>
      <c r="AR8" s="91">
        <f t="shared" ref="AR8:AR35" si="29">IF(ISBLANK(AQ8),"0",AQ8-AQ7)</f>
        <v>6</v>
      </c>
      <c r="AS8" s="142">
        <f t="shared" si="24"/>
        <v>47.04</v>
      </c>
      <c r="AT8" s="90">
        <v>3071</v>
      </c>
      <c r="AU8" s="91">
        <f t="shared" si="25"/>
        <v>3</v>
      </c>
      <c r="AV8" s="96">
        <f t="shared" si="12"/>
        <v>23.52</v>
      </c>
      <c r="AW8" s="90">
        <v>45</v>
      </c>
      <c r="AX8" s="91">
        <f t="shared" si="26"/>
        <v>0</v>
      </c>
      <c r="AY8" s="96">
        <f t="shared" si="27"/>
        <v>0</v>
      </c>
    </row>
    <row r="9" spans="1:51" s="3" customFormat="1" ht="27.95" customHeight="1" x14ac:dyDescent="0.25">
      <c r="A9" s="100">
        <v>45570</v>
      </c>
      <c r="B9" s="93">
        <v>20336533</v>
      </c>
      <c r="C9" s="91">
        <f t="shared" si="3"/>
        <v>7681</v>
      </c>
      <c r="D9" s="91">
        <v>21092466</v>
      </c>
      <c r="E9" s="91">
        <f t="shared" si="4"/>
        <v>7603</v>
      </c>
      <c r="F9" s="91">
        <v>472356</v>
      </c>
      <c r="G9" s="91">
        <f t="shared" si="13"/>
        <v>136</v>
      </c>
      <c r="H9" s="92">
        <f t="shared" si="0"/>
        <v>15420</v>
      </c>
      <c r="I9" s="111">
        <f t="shared" si="1"/>
        <v>3084</v>
      </c>
      <c r="J9" s="93">
        <v>97148</v>
      </c>
      <c r="K9" s="91">
        <f t="shared" si="14"/>
        <v>87</v>
      </c>
      <c r="L9" s="77">
        <f t="shared" si="2"/>
        <v>682.08</v>
      </c>
      <c r="M9" s="90">
        <v>38893</v>
      </c>
      <c r="N9" s="91">
        <f t="shared" si="15"/>
        <v>21</v>
      </c>
      <c r="O9" s="91">
        <v>23115</v>
      </c>
      <c r="P9" s="94">
        <f t="shared" si="16"/>
        <v>14</v>
      </c>
      <c r="Q9" s="94">
        <f t="shared" si="5"/>
        <v>35</v>
      </c>
      <c r="R9" s="95">
        <v>58125</v>
      </c>
      <c r="S9" s="94">
        <f t="shared" si="17"/>
        <v>33</v>
      </c>
      <c r="T9" s="104">
        <f t="shared" si="6"/>
        <v>34.838100000000004</v>
      </c>
      <c r="U9" s="103">
        <f t="shared" si="7"/>
        <v>594.63800500000002</v>
      </c>
      <c r="V9" s="191">
        <v>73946</v>
      </c>
      <c r="W9" s="185">
        <v>37</v>
      </c>
      <c r="X9" s="186">
        <f t="shared" si="28"/>
        <v>10520.765000000001</v>
      </c>
      <c r="Y9" s="186">
        <f t="shared" si="8"/>
        <v>3628.6118485000002</v>
      </c>
      <c r="Z9" s="186">
        <f t="shared" si="9"/>
        <v>4413.1961424731189</v>
      </c>
      <c r="AA9" s="187">
        <f t="shared" si="10"/>
        <v>8041.8079909731186</v>
      </c>
      <c r="AB9" s="188">
        <v>25322</v>
      </c>
      <c r="AC9" s="188">
        <f t="shared" si="11"/>
        <v>10440</v>
      </c>
      <c r="AD9" s="189">
        <v>0.47299999999999998</v>
      </c>
      <c r="AE9" s="96">
        <v>200</v>
      </c>
      <c r="AF9" s="190"/>
      <c r="AG9" s="142"/>
      <c r="AH9" s="90">
        <v>14305379</v>
      </c>
      <c r="AI9" s="91">
        <f t="shared" si="18"/>
        <v>4730</v>
      </c>
      <c r="AJ9" s="96">
        <f t="shared" si="19"/>
        <v>946</v>
      </c>
      <c r="AK9" s="90">
        <v>6580966</v>
      </c>
      <c r="AL9" s="91">
        <f t="shared" si="20"/>
        <v>2019</v>
      </c>
      <c r="AM9" s="96">
        <f t="shared" si="21"/>
        <v>403.8</v>
      </c>
      <c r="AN9" s="93">
        <v>208940</v>
      </c>
      <c r="AO9" s="91">
        <f t="shared" si="22"/>
        <v>1283</v>
      </c>
      <c r="AP9" s="96">
        <f t="shared" si="23"/>
        <v>256.60000000000002</v>
      </c>
      <c r="AQ9" s="93">
        <v>7715</v>
      </c>
      <c r="AR9" s="91">
        <f t="shared" si="29"/>
        <v>8</v>
      </c>
      <c r="AS9" s="142">
        <f t="shared" si="24"/>
        <v>62.72</v>
      </c>
      <c r="AT9" s="90">
        <v>3071</v>
      </c>
      <c r="AU9" s="91">
        <f t="shared" si="25"/>
        <v>0</v>
      </c>
      <c r="AV9" s="96">
        <f t="shared" si="12"/>
        <v>0</v>
      </c>
      <c r="AW9" s="90">
        <v>46</v>
      </c>
      <c r="AX9" s="91">
        <f t="shared" si="26"/>
        <v>1</v>
      </c>
      <c r="AY9" s="96">
        <f t="shared" si="27"/>
        <v>7.84</v>
      </c>
    </row>
    <row r="10" spans="1:51" s="3" customFormat="1" ht="27.95" customHeight="1" x14ac:dyDescent="0.25">
      <c r="A10" s="100">
        <v>45571</v>
      </c>
      <c r="B10" s="93">
        <v>20344434</v>
      </c>
      <c r="C10" s="91">
        <f t="shared" si="3"/>
        <v>7901</v>
      </c>
      <c r="D10" s="91">
        <v>21100029</v>
      </c>
      <c r="E10" s="91">
        <f>IF(ISBLANK(D10),"0",D10-D9)</f>
        <v>7563</v>
      </c>
      <c r="F10" s="91">
        <v>472490</v>
      </c>
      <c r="G10" s="91">
        <f>IF(ISBLANK(F10),"0",F10-F9)</f>
        <v>134</v>
      </c>
      <c r="H10" s="92">
        <f t="shared" si="0"/>
        <v>15598</v>
      </c>
      <c r="I10" s="111">
        <f t="shared" si="1"/>
        <v>3119.6000000000004</v>
      </c>
      <c r="J10" s="93">
        <v>97223</v>
      </c>
      <c r="K10" s="91">
        <f t="shared" si="14"/>
        <v>75</v>
      </c>
      <c r="L10" s="77">
        <f t="shared" si="2"/>
        <v>588</v>
      </c>
      <c r="M10" s="90">
        <v>38913</v>
      </c>
      <c r="N10" s="91">
        <f>IF(ISBLANK(M10),"0",M10-M9)</f>
        <v>20</v>
      </c>
      <c r="O10" s="91">
        <v>23127</v>
      </c>
      <c r="P10" s="94">
        <f t="shared" si="16"/>
        <v>12</v>
      </c>
      <c r="Q10" s="94">
        <f t="shared" si="5"/>
        <v>32</v>
      </c>
      <c r="R10" s="95">
        <v>58158</v>
      </c>
      <c r="S10" s="94">
        <f t="shared" si="17"/>
        <v>33</v>
      </c>
      <c r="T10" s="104">
        <f t="shared" si="6"/>
        <v>34.838100000000004</v>
      </c>
      <c r="U10" s="103">
        <f t="shared" si="7"/>
        <v>594.63800500000002</v>
      </c>
      <c r="V10" s="184">
        <v>73980</v>
      </c>
      <c r="W10" s="185">
        <v>34</v>
      </c>
      <c r="X10" s="186">
        <f t="shared" si="28"/>
        <v>9667.7300000000014</v>
      </c>
      <c r="Y10" s="186">
        <f t="shared" si="8"/>
        <v>3334.4000770000002</v>
      </c>
      <c r="Z10" s="186">
        <f t="shared" si="9"/>
        <v>4413.1961424731189</v>
      </c>
      <c r="AA10" s="187">
        <f t="shared" si="10"/>
        <v>7747.5962194731192</v>
      </c>
      <c r="AB10" s="188">
        <v>37237</v>
      </c>
      <c r="AC10" s="188">
        <f t="shared" si="11"/>
        <v>11915</v>
      </c>
      <c r="AD10" s="189">
        <v>0.6825</v>
      </c>
      <c r="AE10" s="96">
        <v>269</v>
      </c>
      <c r="AF10" s="190"/>
      <c r="AG10" s="142"/>
      <c r="AH10" s="90">
        <v>14310185</v>
      </c>
      <c r="AI10" s="91">
        <f t="shared" si="18"/>
        <v>4806</v>
      </c>
      <c r="AJ10" s="96">
        <f t="shared" si="19"/>
        <v>961.2</v>
      </c>
      <c r="AK10" s="90">
        <v>6583032</v>
      </c>
      <c r="AL10" s="91">
        <f t="shared" si="20"/>
        <v>2066</v>
      </c>
      <c r="AM10" s="96">
        <f t="shared" si="21"/>
        <v>413.20000000000005</v>
      </c>
      <c r="AN10" s="93">
        <v>210264</v>
      </c>
      <c r="AO10" s="91">
        <f t="shared" si="22"/>
        <v>1324</v>
      </c>
      <c r="AP10" s="96">
        <f t="shared" si="23"/>
        <v>264.8</v>
      </c>
      <c r="AQ10" s="93">
        <v>7719</v>
      </c>
      <c r="AR10" s="91">
        <f t="shared" si="29"/>
        <v>4</v>
      </c>
      <c r="AS10" s="142">
        <f t="shared" si="24"/>
        <v>31.36</v>
      </c>
      <c r="AT10" s="90">
        <v>3072</v>
      </c>
      <c r="AU10" s="91">
        <f t="shared" si="25"/>
        <v>1</v>
      </c>
      <c r="AV10" s="96">
        <f t="shared" si="12"/>
        <v>7.84</v>
      </c>
      <c r="AW10" s="90">
        <v>47</v>
      </c>
      <c r="AX10" s="91">
        <f t="shared" si="26"/>
        <v>1</v>
      </c>
      <c r="AY10" s="96">
        <f t="shared" si="27"/>
        <v>7.84</v>
      </c>
    </row>
    <row r="11" spans="1:51" s="3" customFormat="1" ht="27.95" customHeight="1" x14ac:dyDescent="0.25">
      <c r="A11" s="100">
        <v>45572</v>
      </c>
      <c r="B11" s="93">
        <v>20352078</v>
      </c>
      <c r="C11" s="91">
        <f t="shared" si="3"/>
        <v>7644</v>
      </c>
      <c r="D11" s="91">
        <v>21106982</v>
      </c>
      <c r="E11" s="91">
        <f t="shared" si="4"/>
        <v>6953</v>
      </c>
      <c r="F11" s="91">
        <v>472623</v>
      </c>
      <c r="G11" s="91">
        <f t="shared" si="13"/>
        <v>133</v>
      </c>
      <c r="H11" s="92">
        <f t="shared" si="0"/>
        <v>14730</v>
      </c>
      <c r="I11" s="111">
        <f t="shared" si="1"/>
        <v>2946</v>
      </c>
      <c r="J11" s="93">
        <v>97306</v>
      </c>
      <c r="K11" s="91">
        <f t="shared" si="14"/>
        <v>83</v>
      </c>
      <c r="L11" s="77">
        <f t="shared" si="2"/>
        <v>650.72</v>
      </c>
      <c r="M11" s="90">
        <v>38934</v>
      </c>
      <c r="N11" s="91">
        <f t="shared" si="15"/>
        <v>21</v>
      </c>
      <c r="O11" s="91">
        <v>23140</v>
      </c>
      <c r="P11" s="94">
        <f t="shared" si="16"/>
        <v>13</v>
      </c>
      <c r="Q11" s="94">
        <f t="shared" si="5"/>
        <v>34</v>
      </c>
      <c r="R11" s="95">
        <v>58191</v>
      </c>
      <c r="S11" s="94">
        <f>IF(ISBLANK(R11),"0",R11-R10)</f>
        <v>33</v>
      </c>
      <c r="T11" s="104">
        <f t="shared" si="6"/>
        <v>34.838100000000004</v>
      </c>
      <c r="U11" s="103">
        <f t="shared" si="7"/>
        <v>594.63800500000002</v>
      </c>
      <c r="V11" s="184">
        <v>74021</v>
      </c>
      <c r="W11" s="185">
        <v>32</v>
      </c>
      <c r="X11" s="186">
        <f t="shared" si="28"/>
        <v>9099.0400000000009</v>
      </c>
      <c r="Y11" s="186">
        <f t="shared" si="8"/>
        <v>3138.2588960000003</v>
      </c>
      <c r="Z11" s="186">
        <f t="shared" si="9"/>
        <v>4413.1961424731189</v>
      </c>
      <c r="AA11" s="187">
        <f t="shared" si="10"/>
        <v>7551.4550384731192</v>
      </c>
      <c r="AB11" s="188">
        <v>48659</v>
      </c>
      <c r="AC11" s="188">
        <f t="shared" si="11"/>
        <v>11422</v>
      </c>
      <c r="AD11" s="189">
        <v>0.88249999999999995</v>
      </c>
      <c r="AE11" s="96">
        <v>333</v>
      </c>
      <c r="AF11" s="190"/>
      <c r="AG11" s="142"/>
      <c r="AH11" s="90">
        <v>14315821</v>
      </c>
      <c r="AI11" s="91">
        <f t="shared" si="18"/>
        <v>5636</v>
      </c>
      <c r="AJ11" s="96">
        <f t="shared" si="19"/>
        <v>1127.2</v>
      </c>
      <c r="AK11" s="90">
        <v>6585202</v>
      </c>
      <c r="AL11" s="91">
        <f t="shared" si="20"/>
        <v>2170</v>
      </c>
      <c r="AM11" s="96">
        <f t="shared" si="21"/>
        <v>434</v>
      </c>
      <c r="AN11" s="93">
        <v>211160</v>
      </c>
      <c r="AO11" s="91">
        <f t="shared" si="22"/>
        <v>896</v>
      </c>
      <c r="AP11" s="96">
        <f t="shared" si="23"/>
        <v>179.20000000000002</v>
      </c>
      <c r="AQ11" s="93">
        <v>7726</v>
      </c>
      <c r="AR11" s="91">
        <f t="shared" si="29"/>
        <v>7</v>
      </c>
      <c r="AS11" s="142">
        <f t="shared" si="24"/>
        <v>54.879999999999995</v>
      </c>
      <c r="AT11" s="90">
        <v>3073</v>
      </c>
      <c r="AU11" s="91">
        <f t="shared" si="25"/>
        <v>1</v>
      </c>
      <c r="AV11" s="96">
        <f t="shared" si="12"/>
        <v>7.84</v>
      </c>
      <c r="AW11" s="90">
        <v>48</v>
      </c>
      <c r="AX11" s="91">
        <f t="shared" si="26"/>
        <v>1</v>
      </c>
      <c r="AY11" s="96">
        <f t="shared" si="27"/>
        <v>7.84</v>
      </c>
    </row>
    <row r="12" spans="1:51" s="3" customFormat="1" ht="27.95" customHeight="1" x14ac:dyDescent="0.25">
      <c r="A12" s="100">
        <v>45573</v>
      </c>
      <c r="B12" s="93">
        <v>20359653</v>
      </c>
      <c r="C12" s="91">
        <f t="shared" si="3"/>
        <v>7575</v>
      </c>
      <c r="D12" s="91">
        <v>21113575</v>
      </c>
      <c r="E12" s="91">
        <f t="shared" si="4"/>
        <v>6593</v>
      </c>
      <c r="F12" s="91">
        <v>472754</v>
      </c>
      <c r="G12" s="91">
        <f t="shared" si="13"/>
        <v>131</v>
      </c>
      <c r="H12" s="92">
        <f t="shared" si="0"/>
        <v>14299</v>
      </c>
      <c r="I12" s="111">
        <f>H12*0.2</f>
        <v>2859.8</v>
      </c>
      <c r="J12" s="93">
        <v>97396</v>
      </c>
      <c r="K12" s="91">
        <f t="shared" si="14"/>
        <v>90</v>
      </c>
      <c r="L12" s="77">
        <f t="shared" si="2"/>
        <v>705.6</v>
      </c>
      <c r="M12" s="90">
        <v>38955</v>
      </c>
      <c r="N12" s="91">
        <f t="shared" si="15"/>
        <v>21</v>
      </c>
      <c r="O12" s="91">
        <v>23154</v>
      </c>
      <c r="P12" s="94">
        <f t="shared" si="16"/>
        <v>14</v>
      </c>
      <c r="Q12" s="94">
        <f t="shared" si="5"/>
        <v>35</v>
      </c>
      <c r="R12" s="95">
        <v>58227</v>
      </c>
      <c r="S12" s="94">
        <f t="shared" si="17"/>
        <v>36</v>
      </c>
      <c r="T12" s="104">
        <f t="shared" si="6"/>
        <v>38.005200000000002</v>
      </c>
      <c r="U12" s="103">
        <f t="shared" si="7"/>
        <v>629.63445999999999</v>
      </c>
      <c r="V12" s="184">
        <v>74079</v>
      </c>
      <c r="W12" s="185">
        <v>31</v>
      </c>
      <c r="X12" s="186">
        <f t="shared" si="28"/>
        <v>8814.6950000000015</v>
      </c>
      <c r="Y12" s="186">
        <f t="shared" si="8"/>
        <v>3040.1883055000003</v>
      </c>
      <c r="Z12" s="186">
        <f t="shared" si="9"/>
        <v>4413.1961424731189</v>
      </c>
      <c r="AA12" s="187">
        <f t="shared" si="10"/>
        <v>7453.3844479731197</v>
      </c>
      <c r="AB12" s="188">
        <v>59890</v>
      </c>
      <c r="AC12" s="188">
        <f t="shared" si="11"/>
        <v>11231</v>
      </c>
      <c r="AD12" s="194">
        <v>1</v>
      </c>
      <c r="AE12" s="96">
        <v>378</v>
      </c>
      <c r="AF12" s="195"/>
      <c r="AG12" s="142"/>
      <c r="AH12" s="90">
        <v>14321493</v>
      </c>
      <c r="AI12" s="91">
        <f t="shared" si="18"/>
        <v>5672</v>
      </c>
      <c r="AJ12" s="96">
        <f t="shared" si="19"/>
        <v>1134.4000000000001</v>
      </c>
      <c r="AK12" s="90">
        <v>6587389</v>
      </c>
      <c r="AL12" s="91">
        <f t="shared" si="20"/>
        <v>2187</v>
      </c>
      <c r="AM12" s="96">
        <f t="shared" si="21"/>
        <v>437.40000000000003</v>
      </c>
      <c r="AN12" s="93">
        <v>211766</v>
      </c>
      <c r="AO12" s="91">
        <f t="shared" si="22"/>
        <v>606</v>
      </c>
      <c r="AP12" s="96">
        <f t="shared" si="23"/>
        <v>121.2</v>
      </c>
      <c r="AQ12" s="93">
        <v>7732</v>
      </c>
      <c r="AR12" s="91">
        <f t="shared" si="29"/>
        <v>6</v>
      </c>
      <c r="AS12" s="142">
        <f t="shared" si="24"/>
        <v>47.04</v>
      </c>
      <c r="AT12" s="90">
        <v>3073</v>
      </c>
      <c r="AU12" s="91">
        <f t="shared" si="25"/>
        <v>0</v>
      </c>
      <c r="AV12" s="96">
        <f t="shared" si="12"/>
        <v>0</v>
      </c>
      <c r="AW12" s="90">
        <v>48</v>
      </c>
      <c r="AX12" s="91">
        <f t="shared" si="26"/>
        <v>0</v>
      </c>
      <c r="AY12" s="96">
        <f t="shared" si="27"/>
        <v>0</v>
      </c>
    </row>
    <row r="13" spans="1:51" s="3" customFormat="1" ht="27.95" customHeight="1" x14ac:dyDescent="0.25">
      <c r="A13" s="100">
        <v>45574</v>
      </c>
      <c r="B13" s="93">
        <v>20367407</v>
      </c>
      <c r="C13" s="91">
        <f t="shared" si="3"/>
        <v>7754</v>
      </c>
      <c r="D13" s="91">
        <v>21120729</v>
      </c>
      <c r="E13" s="91">
        <f t="shared" si="4"/>
        <v>7154</v>
      </c>
      <c r="F13" s="91">
        <v>472886</v>
      </c>
      <c r="G13" s="91">
        <f t="shared" si="13"/>
        <v>132</v>
      </c>
      <c r="H13" s="92">
        <f t="shared" si="0"/>
        <v>15040</v>
      </c>
      <c r="I13" s="111">
        <f t="shared" si="1"/>
        <v>3008</v>
      </c>
      <c r="J13" s="93">
        <v>97501</v>
      </c>
      <c r="K13" s="91">
        <f t="shared" si="14"/>
        <v>105</v>
      </c>
      <c r="L13" s="77">
        <f t="shared" si="2"/>
        <v>823.19999999999993</v>
      </c>
      <c r="M13" s="90">
        <v>38975</v>
      </c>
      <c r="N13" s="91">
        <f t="shared" si="15"/>
        <v>20</v>
      </c>
      <c r="O13" s="91">
        <v>23169</v>
      </c>
      <c r="P13" s="94">
        <f t="shared" si="16"/>
        <v>15</v>
      </c>
      <c r="Q13" s="94">
        <f t="shared" si="5"/>
        <v>35</v>
      </c>
      <c r="R13" s="95">
        <v>58262</v>
      </c>
      <c r="S13" s="94">
        <f t="shared" si="17"/>
        <v>35</v>
      </c>
      <c r="T13" s="104">
        <f t="shared" si="6"/>
        <v>36.9495</v>
      </c>
      <c r="U13" s="103">
        <f t="shared" si="7"/>
        <v>617.968975</v>
      </c>
      <c r="V13" s="184">
        <v>74140</v>
      </c>
      <c r="W13" s="185">
        <v>33</v>
      </c>
      <c r="X13" s="186">
        <f t="shared" si="28"/>
        <v>9383.3850000000002</v>
      </c>
      <c r="Y13" s="186">
        <f t="shared" si="8"/>
        <v>3236.3294864999998</v>
      </c>
      <c r="Z13" s="186">
        <f t="shared" si="9"/>
        <v>4413.1961424731189</v>
      </c>
      <c r="AA13" s="187">
        <f t="shared" si="10"/>
        <v>7649.5256289731187</v>
      </c>
      <c r="AB13" s="188">
        <v>71898</v>
      </c>
      <c r="AC13" s="188">
        <f t="shared" si="11"/>
        <v>12008</v>
      </c>
      <c r="AD13" s="189">
        <v>0.94920000000000004</v>
      </c>
      <c r="AE13" s="96">
        <v>366</v>
      </c>
      <c r="AF13" s="190"/>
      <c r="AG13" s="142"/>
      <c r="AH13" s="90">
        <v>14327313</v>
      </c>
      <c r="AI13" s="91">
        <f t="shared" si="18"/>
        <v>5820</v>
      </c>
      <c r="AJ13" s="96">
        <f t="shared" si="19"/>
        <v>1164</v>
      </c>
      <c r="AK13" s="90">
        <v>6589619</v>
      </c>
      <c r="AL13" s="91">
        <f t="shared" si="20"/>
        <v>2230</v>
      </c>
      <c r="AM13" s="96">
        <f t="shared" si="21"/>
        <v>446</v>
      </c>
      <c r="AN13" s="93">
        <v>212504</v>
      </c>
      <c r="AO13" s="91">
        <f t="shared" si="22"/>
        <v>738</v>
      </c>
      <c r="AP13" s="96">
        <f t="shared" si="23"/>
        <v>147.6</v>
      </c>
      <c r="AQ13" s="93">
        <v>7739</v>
      </c>
      <c r="AR13" s="91">
        <f t="shared" si="29"/>
        <v>7</v>
      </c>
      <c r="AS13" s="142">
        <f t="shared" si="24"/>
        <v>54.879999999999995</v>
      </c>
      <c r="AT13" s="90">
        <v>3074</v>
      </c>
      <c r="AU13" s="91">
        <f t="shared" si="25"/>
        <v>1</v>
      </c>
      <c r="AV13" s="96">
        <f t="shared" si="12"/>
        <v>7.84</v>
      </c>
      <c r="AW13" s="90">
        <v>49</v>
      </c>
      <c r="AX13" s="91">
        <f t="shared" si="26"/>
        <v>1</v>
      </c>
      <c r="AY13" s="96">
        <f t="shared" si="27"/>
        <v>7.84</v>
      </c>
    </row>
    <row r="14" spans="1:51" s="3" customFormat="1" ht="27.95" customHeight="1" x14ac:dyDescent="0.25">
      <c r="A14" s="100">
        <v>45575</v>
      </c>
      <c r="B14" s="93">
        <v>20375065</v>
      </c>
      <c r="C14" s="91">
        <f t="shared" si="3"/>
        <v>7658</v>
      </c>
      <c r="D14" s="91">
        <v>21127648</v>
      </c>
      <c r="E14" s="91">
        <f t="shared" si="4"/>
        <v>6919</v>
      </c>
      <c r="F14" s="91">
        <v>473017</v>
      </c>
      <c r="G14" s="91">
        <f t="shared" si="13"/>
        <v>131</v>
      </c>
      <c r="H14" s="92">
        <f t="shared" si="0"/>
        <v>14708</v>
      </c>
      <c r="I14" s="111">
        <f t="shared" si="1"/>
        <v>2941.6000000000004</v>
      </c>
      <c r="J14" s="93">
        <v>97599</v>
      </c>
      <c r="K14" s="91">
        <f t="shared" si="14"/>
        <v>98</v>
      </c>
      <c r="L14" s="77">
        <f t="shared" si="2"/>
        <v>768.31999999999994</v>
      </c>
      <c r="M14" s="90">
        <v>38993</v>
      </c>
      <c r="N14" s="91">
        <f t="shared" si="15"/>
        <v>18</v>
      </c>
      <c r="O14" s="91">
        <v>23184</v>
      </c>
      <c r="P14" s="94">
        <f>IF(ISBLANK(O14),"0",O14-O13)</f>
        <v>15</v>
      </c>
      <c r="Q14" s="94">
        <f t="shared" si="5"/>
        <v>33</v>
      </c>
      <c r="R14" s="95">
        <v>58290</v>
      </c>
      <c r="S14" s="94">
        <f t="shared" si="17"/>
        <v>28</v>
      </c>
      <c r="T14" s="104">
        <f t="shared" si="6"/>
        <v>29.559600000000003</v>
      </c>
      <c r="U14" s="103">
        <f t="shared" si="7"/>
        <v>536.31058000000007</v>
      </c>
      <c r="V14" s="184">
        <v>74200</v>
      </c>
      <c r="W14" s="185">
        <v>34</v>
      </c>
      <c r="X14" s="186">
        <f t="shared" si="28"/>
        <v>9667.7300000000014</v>
      </c>
      <c r="Y14" s="186">
        <f t="shared" si="8"/>
        <v>3334.4000770000002</v>
      </c>
      <c r="Z14" s="186">
        <f t="shared" si="9"/>
        <v>4413.1961424731189</v>
      </c>
      <c r="AA14" s="187">
        <f t="shared" si="10"/>
        <v>7747.5962194731192</v>
      </c>
      <c r="AB14" s="188">
        <v>84015</v>
      </c>
      <c r="AC14" s="188">
        <f t="shared" si="11"/>
        <v>12117</v>
      </c>
      <c r="AD14" s="189">
        <v>0.72699999999999998</v>
      </c>
      <c r="AE14" s="96">
        <v>295</v>
      </c>
      <c r="AF14" s="190"/>
      <c r="AG14" s="142"/>
      <c r="AH14" s="90">
        <v>14333099</v>
      </c>
      <c r="AI14" s="91">
        <f t="shared" si="18"/>
        <v>5786</v>
      </c>
      <c r="AJ14" s="96">
        <f t="shared" si="19"/>
        <v>1157.2</v>
      </c>
      <c r="AK14" s="90">
        <v>6591843</v>
      </c>
      <c r="AL14" s="91">
        <f t="shared" si="20"/>
        <v>2224</v>
      </c>
      <c r="AM14" s="96">
        <f t="shared" si="21"/>
        <v>444.8</v>
      </c>
      <c r="AN14" s="93">
        <v>213172</v>
      </c>
      <c r="AO14" s="91">
        <f t="shared" si="22"/>
        <v>668</v>
      </c>
      <c r="AP14" s="96">
        <f t="shared" si="23"/>
        <v>133.6</v>
      </c>
      <c r="AQ14" s="93">
        <v>7747</v>
      </c>
      <c r="AR14" s="91">
        <f t="shared" si="29"/>
        <v>8</v>
      </c>
      <c r="AS14" s="142">
        <f t="shared" si="24"/>
        <v>62.72</v>
      </c>
      <c r="AT14" s="90">
        <v>3074</v>
      </c>
      <c r="AU14" s="91">
        <f t="shared" si="25"/>
        <v>0</v>
      </c>
      <c r="AV14" s="96">
        <f t="shared" si="12"/>
        <v>0</v>
      </c>
      <c r="AW14" s="90">
        <v>50</v>
      </c>
      <c r="AX14" s="91">
        <f t="shared" si="26"/>
        <v>1</v>
      </c>
      <c r="AY14" s="96">
        <f t="shared" si="27"/>
        <v>7.84</v>
      </c>
    </row>
    <row r="15" spans="1:51" s="3" customFormat="1" ht="27.95" customHeight="1" x14ac:dyDescent="0.25">
      <c r="A15" s="100">
        <v>45576</v>
      </c>
      <c r="B15" s="93">
        <v>20382441</v>
      </c>
      <c r="C15" s="91">
        <f t="shared" si="3"/>
        <v>7376</v>
      </c>
      <c r="D15" s="91">
        <v>21134236</v>
      </c>
      <c r="E15" s="91">
        <f t="shared" si="4"/>
        <v>6588</v>
      </c>
      <c r="F15" s="91">
        <v>473148</v>
      </c>
      <c r="G15" s="91">
        <f t="shared" si="13"/>
        <v>131</v>
      </c>
      <c r="H15" s="92">
        <f t="shared" si="0"/>
        <v>14095</v>
      </c>
      <c r="I15" s="111">
        <f t="shared" si="1"/>
        <v>2819</v>
      </c>
      <c r="J15" s="93">
        <v>97691</v>
      </c>
      <c r="K15" s="91">
        <f t="shared" si="14"/>
        <v>92</v>
      </c>
      <c r="L15" s="77">
        <f t="shared" si="2"/>
        <v>721.28</v>
      </c>
      <c r="M15" s="90">
        <v>39015</v>
      </c>
      <c r="N15" s="91">
        <f t="shared" si="15"/>
        <v>22</v>
      </c>
      <c r="O15" s="91">
        <v>23201</v>
      </c>
      <c r="P15" s="94">
        <f t="shared" si="16"/>
        <v>17</v>
      </c>
      <c r="Q15" s="94">
        <f t="shared" si="5"/>
        <v>39</v>
      </c>
      <c r="R15" s="95">
        <v>58326</v>
      </c>
      <c r="S15" s="94">
        <f t="shared" si="17"/>
        <v>36</v>
      </c>
      <c r="T15" s="104">
        <f t="shared" si="6"/>
        <v>38.005200000000002</v>
      </c>
      <c r="U15" s="103">
        <f t="shared" si="7"/>
        <v>629.63445999999999</v>
      </c>
      <c r="V15" s="184">
        <v>74261</v>
      </c>
      <c r="W15" s="185">
        <v>33</v>
      </c>
      <c r="X15" s="186">
        <f t="shared" si="28"/>
        <v>9383.3850000000002</v>
      </c>
      <c r="Y15" s="186">
        <f t="shared" si="8"/>
        <v>3236.3294864999998</v>
      </c>
      <c r="Z15" s="186">
        <f t="shared" si="9"/>
        <v>4413.1961424731189</v>
      </c>
      <c r="AA15" s="187">
        <f t="shared" si="10"/>
        <v>7649.5256289731187</v>
      </c>
      <c r="AB15" s="188">
        <v>95935</v>
      </c>
      <c r="AC15" s="188">
        <f t="shared" si="11"/>
        <v>11920</v>
      </c>
      <c r="AD15" s="189">
        <v>0.6603</v>
      </c>
      <c r="AE15" s="96">
        <v>292</v>
      </c>
      <c r="AF15" s="190"/>
      <c r="AG15" s="142"/>
      <c r="AH15" s="90">
        <v>14338588</v>
      </c>
      <c r="AI15" s="91">
        <f t="shared" si="18"/>
        <v>5489</v>
      </c>
      <c r="AJ15" s="96">
        <f t="shared" si="19"/>
        <v>1097.8</v>
      </c>
      <c r="AK15" s="90">
        <v>6593955</v>
      </c>
      <c r="AL15" s="91">
        <f t="shared" si="20"/>
        <v>2112</v>
      </c>
      <c r="AM15" s="96">
        <f t="shared" si="21"/>
        <v>422.40000000000003</v>
      </c>
      <c r="AN15" s="93">
        <v>213755</v>
      </c>
      <c r="AO15" s="91">
        <f t="shared" si="22"/>
        <v>583</v>
      </c>
      <c r="AP15" s="96">
        <f t="shared" si="23"/>
        <v>116.60000000000001</v>
      </c>
      <c r="AQ15" s="93">
        <v>7753</v>
      </c>
      <c r="AR15" s="91">
        <f t="shared" si="29"/>
        <v>6</v>
      </c>
      <c r="AS15" s="142">
        <f t="shared" si="24"/>
        <v>47.04</v>
      </c>
      <c r="AT15" s="90">
        <v>3077</v>
      </c>
      <c r="AU15" s="91">
        <f t="shared" si="25"/>
        <v>3</v>
      </c>
      <c r="AV15" s="96">
        <f t="shared" si="12"/>
        <v>23.52</v>
      </c>
      <c r="AW15" s="90">
        <v>51</v>
      </c>
      <c r="AX15" s="91">
        <f t="shared" si="26"/>
        <v>1</v>
      </c>
      <c r="AY15" s="96">
        <f t="shared" si="27"/>
        <v>7.84</v>
      </c>
    </row>
    <row r="16" spans="1:51" s="3" customFormat="1" ht="27.95" customHeight="1" x14ac:dyDescent="0.25">
      <c r="A16" s="100">
        <v>45577</v>
      </c>
      <c r="B16" s="93">
        <v>20390174</v>
      </c>
      <c r="C16" s="91">
        <f t="shared" si="3"/>
        <v>7733</v>
      </c>
      <c r="D16" s="91">
        <v>21141110</v>
      </c>
      <c r="E16" s="91">
        <f t="shared" si="4"/>
        <v>6874</v>
      </c>
      <c r="F16" s="91">
        <v>473282</v>
      </c>
      <c r="G16" s="91">
        <f t="shared" si="13"/>
        <v>134</v>
      </c>
      <c r="H16" s="92">
        <f t="shared" si="0"/>
        <v>14741</v>
      </c>
      <c r="I16" s="111">
        <f t="shared" si="1"/>
        <v>2948.2000000000003</v>
      </c>
      <c r="J16" s="93">
        <v>97792</v>
      </c>
      <c r="K16" s="91">
        <f t="shared" si="14"/>
        <v>101</v>
      </c>
      <c r="L16" s="77">
        <f t="shared" si="2"/>
        <v>791.84</v>
      </c>
      <c r="M16" s="90">
        <v>39036</v>
      </c>
      <c r="N16" s="91">
        <f t="shared" si="15"/>
        <v>21</v>
      </c>
      <c r="O16" s="91">
        <v>23213</v>
      </c>
      <c r="P16" s="94">
        <f t="shared" si="16"/>
        <v>12</v>
      </c>
      <c r="Q16" s="94">
        <f t="shared" si="5"/>
        <v>33</v>
      </c>
      <c r="R16" s="95">
        <v>58359</v>
      </c>
      <c r="S16" s="94">
        <f t="shared" si="17"/>
        <v>33</v>
      </c>
      <c r="T16" s="104">
        <f t="shared" si="6"/>
        <v>34.838100000000004</v>
      </c>
      <c r="U16" s="103">
        <f t="shared" si="7"/>
        <v>594.63800500000002</v>
      </c>
      <c r="V16" s="184">
        <v>74319</v>
      </c>
      <c r="W16" s="185">
        <v>32</v>
      </c>
      <c r="X16" s="186">
        <f t="shared" si="28"/>
        <v>9099.0400000000009</v>
      </c>
      <c r="Y16" s="186">
        <f t="shared" si="8"/>
        <v>3138.2588960000003</v>
      </c>
      <c r="Z16" s="186">
        <f t="shared" si="9"/>
        <v>4413.1961424731189</v>
      </c>
      <c r="AA16" s="187">
        <f t="shared" si="10"/>
        <v>7551.4550384731192</v>
      </c>
      <c r="AB16" s="188">
        <v>107508</v>
      </c>
      <c r="AC16" s="188">
        <f t="shared" si="11"/>
        <v>11573</v>
      </c>
      <c r="AD16" s="189">
        <v>0.873</v>
      </c>
      <c r="AE16" s="96">
        <v>392</v>
      </c>
      <c r="AF16" s="190"/>
      <c r="AG16" s="142"/>
      <c r="AH16" s="90">
        <v>14343366</v>
      </c>
      <c r="AI16" s="91">
        <f t="shared" si="18"/>
        <v>4778</v>
      </c>
      <c r="AJ16" s="96">
        <f t="shared" si="19"/>
        <v>955.6</v>
      </c>
      <c r="AK16" s="90">
        <v>6596014</v>
      </c>
      <c r="AL16" s="91">
        <f t="shared" si="20"/>
        <v>2059</v>
      </c>
      <c r="AM16" s="96">
        <f t="shared" si="21"/>
        <v>411.8</v>
      </c>
      <c r="AN16" s="93">
        <v>214327</v>
      </c>
      <c r="AO16" s="91">
        <f t="shared" si="22"/>
        <v>572</v>
      </c>
      <c r="AP16" s="96">
        <f t="shared" si="23"/>
        <v>114.4</v>
      </c>
      <c r="AQ16" s="93">
        <v>7759</v>
      </c>
      <c r="AR16" s="91">
        <f t="shared" si="29"/>
        <v>6</v>
      </c>
      <c r="AS16" s="142">
        <f t="shared" si="24"/>
        <v>47.04</v>
      </c>
      <c r="AT16" s="90">
        <v>3077</v>
      </c>
      <c r="AU16" s="91">
        <f t="shared" si="25"/>
        <v>0</v>
      </c>
      <c r="AV16" s="96">
        <f t="shared" si="12"/>
        <v>0</v>
      </c>
      <c r="AW16" s="90">
        <v>52</v>
      </c>
      <c r="AX16" s="91">
        <f t="shared" si="26"/>
        <v>1</v>
      </c>
      <c r="AY16" s="96">
        <f t="shared" si="27"/>
        <v>7.84</v>
      </c>
    </row>
    <row r="17" spans="1:51" s="3" customFormat="1" ht="27.95" customHeight="1" x14ac:dyDescent="0.25">
      <c r="A17" s="100">
        <v>45578</v>
      </c>
      <c r="B17" s="93">
        <v>20397992</v>
      </c>
      <c r="C17" s="91">
        <f t="shared" si="3"/>
        <v>7818</v>
      </c>
      <c r="D17" s="91">
        <v>21148029</v>
      </c>
      <c r="E17" s="91">
        <f t="shared" si="4"/>
        <v>6919</v>
      </c>
      <c r="F17" s="91">
        <v>473417</v>
      </c>
      <c r="G17" s="91">
        <f t="shared" si="13"/>
        <v>135</v>
      </c>
      <c r="H17" s="92">
        <f t="shared" si="0"/>
        <v>14872</v>
      </c>
      <c r="I17" s="111">
        <f t="shared" si="1"/>
        <v>2974.4</v>
      </c>
      <c r="J17" s="93">
        <v>97905</v>
      </c>
      <c r="K17" s="91">
        <f t="shared" si="14"/>
        <v>113</v>
      </c>
      <c r="L17" s="77">
        <f t="shared" si="2"/>
        <v>885.92</v>
      </c>
      <c r="M17" s="90">
        <v>39055</v>
      </c>
      <c r="N17" s="91">
        <f t="shared" si="15"/>
        <v>19</v>
      </c>
      <c r="O17" s="91">
        <v>23223</v>
      </c>
      <c r="P17" s="94">
        <f t="shared" si="16"/>
        <v>10</v>
      </c>
      <c r="Q17" s="94">
        <f t="shared" si="5"/>
        <v>29</v>
      </c>
      <c r="R17" s="95">
        <v>58384</v>
      </c>
      <c r="S17" s="94">
        <f t="shared" si="17"/>
        <v>25</v>
      </c>
      <c r="T17" s="104">
        <f t="shared" si="6"/>
        <v>26.392500000000002</v>
      </c>
      <c r="U17" s="103">
        <f t="shared" si="7"/>
        <v>501.31412499999999</v>
      </c>
      <c r="V17" s="184">
        <v>74375</v>
      </c>
      <c r="W17" s="185">
        <v>31</v>
      </c>
      <c r="X17" s="186">
        <f t="shared" si="28"/>
        <v>8814.6950000000015</v>
      </c>
      <c r="Y17" s="186">
        <f t="shared" si="8"/>
        <v>3040.1883055000003</v>
      </c>
      <c r="Z17" s="186">
        <f t="shared" si="9"/>
        <v>4413.1961424731189</v>
      </c>
      <c r="AA17" s="187">
        <f t="shared" si="10"/>
        <v>7453.3844479731197</v>
      </c>
      <c r="AB17" s="188">
        <v>118659</v>
      </c>
      <c r="AC17" s="188">
        <f t="shared" si="11"/>
        <v>11151</v>
      </c>
      <c r="AD17" s="194">
        <v>0.80320000000000003</v>
      </c>
      <c r="AE17" s="96">
        <v>326</v>
      </c>
      <c r="AF17" s="195"/>
      <c r="AG17" s="142"/>
      <c r="AH17" s="90">
        <v>14348199</v>
      </c>
      <c r="AI17" s="91">
        <f t="shared" si="18"/>
        <v>4833</v>
      </c>
      <c r="AJ17" s="96">
        <f t="shared" si="19"/>
        <v>966.6</v>
      </c>
      <c r="AK17" s="90">
        <v>6598128</v>
      </c>
      <c r="AL17" s="91">
        <f t="shared" si="20"/>
        <v>2114</v>
      </c>
      <c r="AM17" s="96">
        <f t="shared" si="21"/>
        <v>422.8</v>
      </c>
      <c r="AN17" s="93">
        <v>214847</v>
      </c>
      <c r="AO17" s="91">
        <f t="shared" si="22"/>
        <v>520</v>
      </c>
      <c r="AP17" s="96">
        <f t="shared" si="23"/>
        <v>104</v>
      </c>
      <c r="AQ17" s="93">
        <v>7766</v>
      </c>
      <c r="AR17" s="91">
        <f t="shared" si="29"/>
        <v>7</v>
      </c>
      <c r="AS17" s="142">
        <f t="shared" si="24"/>
        <v>54.879999999999995</v>
      </c>
      <c r="AT17" s="90">
        <v>3078</v>
      </c>
      <c r="AU17" s="91">
        <f t="shared" si="25"/>
        <v>1</v>
      </c>
      <c r="AV17" s="96">
        <f t="shared" si="12"/>
        <v>7.84</v>
      </c>
      <c r="AW17" s="90">
        <v>53</v>
      </c>
      <c r="AX17" s="91">
        <f t="shared" si="26"/>
        <v>1</v>
      </c>
      <c r="AY17" s="96">
        <f t="shared" si="27"/>
        <v>7.84</v>
      </c>
    </row>
    <row r="18" spans="1:51" s="3" customFormat="1" ht="27.95" customHeight="1" x14ac:dyDescent="0.25">
      <c r="A18" s="100">
        <v>45579</v>
      </c>
      <c r="B18" s="93">
        <v>20405868</v>
      </c>
      <c r="C18" s="91">
        <f t="shared" si="3"/>
        <v>7876</v>
      </c>
      <c r="D18" s="91">
        <v>21155238</v>
      </c>
      <c r="E18" s="91">
        <f t="shared" si="4"/>
        <v>7209</v>
      </c>
      <c r="F18" s="91">
        <v>473550</v>
      </c>
      <c r="G18" s="91">
        <f t="shared" si="13"/>
        <v>133</v>
      </c>
      <c r="H18" s="92">
        <f t="shared" si="0"/>
        <v>15218</v>
      </c>
      <c r="I18" s="111">
        <f t="shared" si="1"/>
        <v>3043.6000000000004</v>
      </c>
      <c r="J18" s="93">
        <v>97987</v>
      </c>
      <c r="K18" s="91">
        <f t="shared" si="14"/>
        <v>82</v>
      </c>
      <c r="L18" s="77">
        <f t="shared" si="2"/>
        <v>642.88</v>
      </c>
      <c r="M18" s="90">
        <v>39076</v>
      </c>
      <c r="N18" s="91">
        <f t="shared" si="15"/>
        <v>21</v>
      </c>
      <c r="O18" s="91">
        <v>23242</v>
      </c>
      <c r="P18" s="94">
        <f t="shared" si="16"/>
        <v>19</v>
      </c>
      <c r="Q18" s="94">
        <f t="shared" si="5"/>
        <v>40</v>
      </c>
      <c r="R18" s="95">
        <v>58423</v>
      </c>
      <c r="S18" s="94">
        <f t="shared" si="17"/>
        <v>39</v>
      </c>
      <c r="T18" s="104">
        <f t="shared" si="6"/>
        <v>41.1723</v>
      </c>
      <c r="U18" s="103">
        <f t="shared" si="7"/>
        <v>664.63091500000007</v>
      </c>
      <c r="V18" s="184">
        <v>74433</v>
      </c>
      <c r="W18" s="185">
        <v>29</v>
      </c>
      <c r="X18" s="186">
        <f t="shared" si="28"/>
        <v>8246.005000000001</v>
      </c>
      <c r="Y18" s="186">
        <f t="shared" si="8"/>
        <v>2844.0471245000003</v>
      </c>
      <c r="Z18" s="186">
        <f t="shared" si="9"/>
        <v>4413.1961424731189</v>
      </c>
      <c r="AA18" s="187">
        <f t="shared" si="10"/>
        <v>7257.2432669731188</v>
      </c>
      <c r="AB18" s="188">
        <v>129017</v>
      </c>
      <c r="AC18" s="188">
        <f t="shared" si="11"/>
        <v>10358</v>
      </c>
      <c r="AD18" s="189">
        <v>0.86670000000000003</v>
      </c>
      <c r="AE18" s="96">
        <v>346</v>
      </c>
      <c r="AF18" s="190"/>
      <c r="AG18" s="142"/>
      <c r="AH18" s="90">
        <v>14354156</v>
      </c>
      <c r="AI18" s="91">
        <f t="shared" si="18"/>
        <v>5957</v>
      </c>
      <c r="AJ18" s="96">
        <f t="shared" si="19"/>
        <v>1191.4000000000001</v>
      </c>
      <c r="AK18" s="90">
        <v>6600396</v>
      </c>
      <c r="AL18" s="91">
        <f t="shared" si="20"/>
        <v>2268</v>
      </c>
      <c r="AM18" s="96">
        <f t="shared" si="21"/>
        <v>453.6</v>
      </c>
      <c r="AN18" s="93">
        <v>215447</v>
      </c>
      <c r="AO18" s="91">
        <f t="shared" si="22"/>
        <v>600</v>
      </c>
      <c r="AP18" s="96">
        <f t="shared" si="23"/>
        <v>120</v>
      </c>
      <c r="AQ18" s="93">
        <v>7773</v>
      </c>
      <c r="AR18" s="91">
        <f t="shared" si="29"/>
        <v>7</v>
      </c>
      <c r="AS18" s="142">
        <f t="shared" si="24"/>
        <v>54.879999999999995</v>
      </c>
      <c r="AT18" s="90">
        <v>3079</v>
      </c>
      <c r="AU18" s="91">
        <f t="shared" si="25"/>
        <v>1</v>
      </c>
      <c r="AV18" s="96">
        <f t="shared" si="12"/>
        <v>7.84</v>
      </c>
      <c r="AW18" s="90">
        <v>54</v>
      </c>
      <c r="AX18" s="91">
        <f t="shared" si="26"/>
        <v>1</v>
      </c>
      <c r="AY18" s="96">
        <f t="shared" si="27"/>
        <v>7.84</v>
      </c>
    </row>
    <row r="19" spans="1:51" s="3" customFormat="1" ht="27.95" customHeight="1" x14ac:dyDescent="0.25">
      <c r="A19" s="100">
        <v>45580</v>
      </c>
      <c r="B19" s="93">
        <v>20413514</v>
      </c>
      <c r="C19" s="91">
        <f t="shared" si="3"/>
        <v>7646</v>
      </c>
      <c r="D19" s="91">
        <v>21162316</v>
      </c>
      <c r="E19" s="91">
        <f t="shared" si="4"/>
        <v>7078</v>
      </c>
      <c r="F19" s="91">
        <v>473683</v>
      </c>
      <c r="G19" s="91">
        <f t="shared" si="13"/>
        <v>133</v>
      </c>
      <c r="H19" s="92">
        <f t="shared" si="0"/>
        <v>14857</v>
      </c>
      <c r="I19" s="111">
        <f t="shared" si="1"/>
        <v>2971.4</v>
      </c>
      <c r="J19" s="93">
        <v>98090</v>
      </c>
      <c r="K19" s="91">
        <f t="shared" si="14"/>
        <v>103</v>
      </c>
      <c r="L19" s="77">
        <f t="shared" si="2"/>
        <v>807.52</v>
      </c>
      <c r="M19" s="90">
        <v>39100</v>
      </c>
      <c r="N19" s="91">
        <f t="shared" si="15"/>
        <v>24</v>
      </c>
      <c r="O19" s="91">
        <v>23256</v>
      </c>
      <c r="P19" s="94">
        <f t="shared" si="16"/>
        <v>14</v>
      </c>
      <c r="Q19" s="94">
        <f t="shared" si="5"/>
        <v>38</v>
      </c>
      <c r="R19" s="95">
        <v>58461</v>
      </c>
      <c r="S19" s="94">
        <f t="shared" si="17"/>
        <v>38</v>
      </c>
      <c r="T19" s="104">
        <f t="shared" si="6"/>
        <v>40.116600000000005</v>
      </c>
      <c r="U19" s="103">
        <f t="shared" si="7"/>
        <v>652.96543000000008</v>
      </c>
      <c r="V19" s="184">
        <v>74484</v>
      </c>
      <c r="W19" s="185">
        <v>31</v>
      </c>
      <c r="X19" s="186">
        <f t="shared" si="28"/>
        <v>8814.6950000000015</v>
      </c>
      <c r="Y19" s="186">
        <f t="shared" si="8"/>
        <v>3040.1883055000003</v>
      </c>
      <c r="Z19" s="186">
        <f t="shared" si="9"/>
        <v>4413.1961424731189</v>
      </c>
      <c r="AA19" s="187">
        <f t="shared" si="10"/>
        <v>7453.3844479731197</v>
      </c>
      <c r="AB19" s="188">
        <v>140220</v>
      </c>
      <c r="AC19" s="188">
        <f t="shared" si="11"/>
        <v>11203</v>
      </c>
      <c r="AD19" s="189">
        <v>0.90159999999999996</v>
      </c>
      <c r="AE19" s="96">
        <v>360</v>
      </c>
      <c r="AF19" s="190">
        <v>20148</v>
      </c>
      <c r="AG19" s="142"/>
      <c r="AH19" s="90">
        <v>14359950</v>
      </c>
      <c r="AI19" s="91">
        <f t="shared" si="18"/>
        <v>5794</v>
      </c>
      <c r="AJ19" s="96">
        <f t="shared" si="19"/>
        <v>1158.8</v>
      </c>
      <c r="AK19" s="90">
        <v>6602612</v>
      </c>
      <c r="AL19" s="91">
        <f t="shared" si="20"/>
        <v>2216</v>
      </c>
      <c r="AM19" s="96">
        <f t="shared" si="21"/>
        <v>443.20000000000005</v>
      </c>
      <c r="AN19" s="93">
        <v>216019</v>
      </c>
      <c r="AO19" s="91">
        <f t="shared" si="22"/>
        <v>572</v>
      </c>
      <c r="AP19" s="96">
        <f t="shared" si="23"/>
        <v>114.4</v>
      </c>
      <c r="AQ19" s="93">
        <v>7782</v>
      </c>
      <c r="AR19" s="91">
        <f t="shared" si="29"/>
        <v>9</v>
      </c>
      <c r="AS19" s="142">
        <f t="shared" si="24"/>
        <v>70.56</v>
      </c>
      <c r="AT19" s="90">
        <v>3080</v>
      </c>
      <c r="AU19" s="91">
        <f t="shared" si="25"/>
        <v>1</v>
      </c>
      <c r="AV19" s="96">
        <f t="shared" si="12"/>
        <v>7.84</v>
      </c>
      <c r="AW19" s="90">
        <v>54</v>
      </c>
      <c r="AX19" s="91">
        <f t="shared" si="26"/>
        <v>0</v>
      </c>
      <c r="AY19" s="96">
        <f t="shared" si="27"/>
        <v>0</v>
      </c>
    </row>
    <row r="20" spans="1:51" s="3" customFormat="1" ht="27.95" customHeight="1" x14ac:dyDescent="0.25">
      <c r="A20" s="100">
        <v>45581</v>
      </c>
      <c r="B20" s="93">
        <v>20421119</v>
      </c>
      <c r="C20" s="91">
        <f t="shared" si="3"/>
        <v>7605</v>
      </c>
      <c r="D20" s="91">
        <v>21169221</v>
      </c>
      <c r="E20" s="91">
        <f t="shared" si="4"/>
        <v>6905</v>
      </c>
      <c r="F20" s="91">
        <v>473812</v>
      </c>
      <c r="G20" s="91">
        <f t="shared" si="13"/>
        <v>129</v>
      </c>
      <c r="H20" s="92">
        <f t="shared" si="0"/>
        <v>14639</v>
      </c>
      <c r="I20" s="111">
        <f t="shared" si="1"/>
        <v>2927.8</v>
      </c>
      <c r="J20" s="93">
        <v>98199</v>
      </c>
      <c r="K20" s="91">
        <f t="shared" si="14"/>
        <v>109</v>
      </c>
      <c r="L20" s="77">
        <f t="shared" si="2"/>
        <v>854.56</v>
      </c>
      <c r="M20" s="90">
        <v>39124</v>
      </c>
      <c r="N20" s="91">
        <f t="shared" si="15"/>
        <v>24</v>
      </c>
      <c r="O20" s="91">
        <v>23269</v>
      </c>
      <c r="P20" s="94">
        <f t="shared" si="16"/>
        <v>13</v>
      </c>
      <c r="Q20" s="94">
        <f t="shared" si="5"/>
        <v>37</v>
      </c>
      <c r="R20" s="95">
        <v>58496</v>
      </c>
      <c r="S20" s="94">
        <f t="shared" si="17"/>
        <v>35</v>
      </c>
      <c r="T20" s="104">
        <f t="shared" si="6"/>
        <v>36.9495</v>
      </c>
      <c r="U20" s="103">
        <f t="shared" si="7"/>
        <v>617.968975</v>
      </c>
      <c r="V20" s="184">
        <v>74529</v>
      </c>
      <c r="W20" s="185">
        <v>32</v>
      </c>
      <c r="X20" s="186">
        <f t="shared" si="28"/>
        <v>9099.0400000000009</v>
      </c>
      <c r="Y20" s="186">
        <f t="shared" si="8"/>
        <v>3138.2588960000003</v>
      </c>
      <c r="Z20" s="186">
        <f t="shared" si="9"/>
        <v>4413.1961424731189</v>
      </c>
      <c r="AA20" s="187">
        <f t="shared" si="10"/>
        <v>7551.4550384731192</v>
      </c>
      <c r="AB20" s="188">
        <v>151788</v>
      </c>
      <c r="AC20" s="188">
        <f t="shared" si="11"/>
        <v>11568</v>
      </c>
      <c r="AD20" s="189">
        <v>0.9556</v>
      </c>
      <c r="AE20" s="96">
        <v>380</v>
      </c>
      <c r="AF20" s="190">
        <v>20154</v>
      </c>
      <c r="AG20" s="142">
        <f t="shared" ref="AG20:AG35" si="30">IF(ISBLANK(V20)," ",AF20-AF19)</f>
        <v>6</v>
      </c>
      <c r="AH20" s="90">
        <v>14365655</v>
      </c>
      <c r="AI20" s="91">
        <f t="shared" si="18"/>
        <v>5705</v>
      </c>
      <c r="AJ20" s="96">
        <f t="shared" si="19"/>
        <v>1141</v>
      </c>
      <c r="AK20" s="90">
        <v>6604836</v>
      </c>
      <c r="AL20" s="91">
        <f t="shared" si="20"/>
        <v>2224</v>
      </c>
      <c r="AM20" s="96">
        <f t="shared" si="21"/>
        <v>444.8</v>
      </c>
      <c r="AN20" s="93">
        <v>216520</v>
      </c>
      <c r="AO20" s="91">
        <f t="shared" si="22"/>
        <v>501</v>
      </c>
      <c r="AP20" s="96">
        <f t="shared" si="23"/>
        <v>100.2</v>
      </c>
      <c r="AQ20" s="93">
        <v>7789</v>
      </c>
      <c r="AR20" s="91">
        <f t="shared" si="29"/>
        <v>7</v>
      </c>
      <c r="AS20" s="142">
        <f t="shared" si="24"/>
        <v>54.879999999999995</v>
      </c>
      <c r="AT20" s="90">
        <v>3081</v>
      </c>
      <c r="AU20" s="91">
        <f t="shared" si="25"/>
        <v>1</v>
      </c>
      <c r="AV20" s="96">
        <f t="shared" si="12"/>
        <v>7.84</v>
      </c>
      <c r="AW20" s="90">
        <v>56</v>
      </c>
      <c r="AX20" s="91">
        <f t="shared" si="26"/>
        <v>2</v>
      </c>
      <c r="AY20" s="96">
        <f t="shared" si="27"/>
        <v>15.68</v>
      </c>
    </row>
    <row r="21" spans="1:51" s="3" customFormat="1" ht="27.95" customHeight="1" x14ac:dyDescent="0.25">
      <c r="A21" s="100">
        <v>45582</v>
      </c>
      <c r="B21" s="93">
        <v>20428632</v>
      </c>
      <c r="C21" s="91">
        <f t="shared" si="3"/>
        <v>7513</v>
      </c>
      <c r="D21" s="91">
        <v>21175894</v>
      </c>
      <c r="E21" s="91">
        <f t="shared" si="4"/>
        <v>6673</v>
      </c>
      <c r="F21" s="91">
        <v>473945</v>
      </c>
      <c r="G21" s="91">
        <f t="shared" si="13"/>
        <v>133</v>
      </c>
      <c r="H21" s="92">
        <f t="shared" si="0"/>
        <v>14319</v>
      </c>
      <c r="I21" s="111">
        <f t="shared" si="1"/>
        <v>2863.8</v>
      </c>
      <c r="J21" s="93">
        <v>98301</v>
      </c>
      <c r="K21" s="91">
        <f t="shared" si="14"/>
        <v>102</v>
      </c>
      <c r="L21" s="77">
        <f t="shared" si="2"/>
        <v>799.68</v>
      </c>
      <c r="M21" s="90">
        <v>39144</v>
      </c>
      <c r="N21" s="91">
        <f t="shared" si="15"/>
        <v>20</v>
      </c>
      <c r="O21" s="91">
        <v>23284</v>
      </c>
      <c r="P21" s="94">
        <f t="shared" si="16"/>
        <v>15</v>
      </c>
      <c r="Q21" s="94">
        <f t="shared" si="5"/>
        <v>35</v>
      </c>
      <c r="R21" s="95">
        <v>58532</v>
      </c>
      <c r="S21" s="94">
        <f t="shared" si="17"/>
        <v>36</v>
      </c>
      <c r="T21" s="104">
        <f t="shared" si="6"/>
        <v>38.005200000000002</v>
      </c>
      <c r="U21" s="103">
        <f t="shared" si="7"/>
        <v>629.63445999999999</v>
      </c>
      <c r="V21" s="184">
        <v>74576</v>
      </c>
      <c r="W21" s="185">
        <v>33</v>
      </c>
      <c r="X21" s="186">
        <f t="shared" si="28"/>
        <v>9383.3850000000002</v>
      </c>
      <c r="Y21" s="186">
        <f t="shared" si="8"/>
        <v>3236.3294864999998</v>
      </c>
      <c r="Z21" s="186">
        <f t="shared" si="9"/>
        <v>4413.1961424731189</v>
      </c>
      <c r="AA21" s="187">
        <f t="shared" si="10"/>
        <v>7649.5256289731187</v>
      </c>
      <c r="AB21" s="188">
        <v>163592</v>
      </c>
      <c r="AC21" s="188">
        <f t="shared" si="11"/>
        <v>11804</v>
      </c>
      <c r="AD21" s="189">
        <v>0.89839999999999998</v>
      </c>
      <c r="AE21" s="96">
        <v>360</v>
      </c>
      <c r="AF21" s="190">
        <v>20163</v>
      </c>
      <c r="AG21" s="142">
        <f t="shared" si="30"/>
        <v>9</v>
      </c>
      <c r="AH21" s="90">
        <v>14371280</v>
      </c>
      <c r="AI21" s="91">
        <f t="shared" si="18"/>
        <v>5625</v>
      </c>
      <c r="AJ21" s="96">
        <f t="shared" si="19"/>
        <v>1125</v>
      </c>
      <c r="AK21" s="90">
        <v>6607002</v>
      </c>
      <c r="AL21" s="91">
        <f t="shared" si="20"/>
        <v>2166</v>
      </c>
      <c r="AM21" s="96">
        <f t="shared" si="21"/>
        <v>433.20000000000005</v>
      </c>
      <c r="AN21" s="93">
        <v>216984</v>
      </c>
      <c r="AO21" s="91">
        <f t="shared" si="22"/>
        <v>464</v>
      </c>
      <c r="AP21" s="96">
        <f t="shared" si="23"/>
        <v>92.800000000000011</v>
      </c>
      <c r="AQ21" s="93">
        <v>7798</v>
      </c>
      <c r="AR21" s="91">
        <f t="shared" si="29"/>
        <v>9</v>
      </c>
      <c r="AS21" s="142">
        <f t="shared" si="24"/>
        <v>70.56</v>
      </c>
      <c r="AT21" s="90">
        <v>3081</v>
      </c>
      <c r="AU21" s="91">
        <f t="shared" si="25"/>
        <v>0</v>
      </c>
      <c r="AV21" s="96">
        <f t="shared" si="12"/>
        <v>0</v>
      </c>
      <c r="AW21" s="90">
        <v>57</v>
      </c>
      <c r="AX21" s="91">
        <f t="shared" si="26"/>
        <v>1</v>
      </c>
      <c r="AY21" s="96">
        <f t="shared" si="27"/>
        <v>7.84</v>
      </c>
    </row>
    <row r="22" spans="1:51" s="3" customFormat="1" ht="27.95" customHeight="1" x14ac:dyDescent="0.25">
      <c r="A22" s="100">
        <v>45583</v>
      </c>
      <c r="B22" s="93">
        <v>20436296</v>
      </c>
      <c r="C22" s="91">
        <f t="shared" si="3"/>
        <v>7664</v>
      </c>
      <c r="D22" s="91">
        <v>21182722</v>
      </c>
      <c r="E22" s="91">
        <f t="shared" si="4"/>
        <v>6828</v>
      </c>
      <c r="F22" s="91">
        <v>474074</v>
      </c>
      <c r="G22" s="91">
        <f t="shared" si="13"/>
        <v>129</v>
      </c>
      <c r="H22" s="92">
        <f t="shared" si="0"/>
        <v>14621</v>
      </c>
      <c r="I22" s="111">
        <f t="shared" si="1"/>
        <v>2924.2000000000003</v>
      </c>
      <c r="J22" s="93">
        <v>98412</v>
      </c>
      <c r="K22" s="91">
        <f t="shared" si="14"/>
        <v>111</v>
      </c>
      <c r="L22" s="77">
        <f t="shared" si="2"/>
        <v>870.24</v>
      </c>
      <c r="M22" s="90">
        <v>39169</v>
      </c>
      <c r="N22" s="91">
        <f t="shared" si="15"/>
        <v>25</v>
      </c>
      <c r="O22" s="91">
        <v>23300</v>
      </c>
      <c r="P22" s="94">
        <f t="shared" si="16"/>
        <v>16</v>
      </c>
      <c r="Q22" s="94">
        <f t="shared" si="5"/>
        <v>41</v>
      </c>
      <c r="R22" s="95">
        <v>58573</v>
      </c>
      <c r="S22" s="94">
        <f t="shared" si="17"/>
        <v>41</v>
      </c>
      <c r="T22" s="104">
        <f t="shared" si="6"/>
        <v>43.283700000000003</v>
      </c>
      <c r="U22" s="103">
        <f t="shared" si="7"/>
        <v>687.96188500000005</v>
      </c>
      <c r="V22" s="184">
        <v>74626</v>
      </c>
      <c r="W22" s="185">
        <v>35</v>
      </c>
      <c r="X22" s="186">
        <f t="shared" si="28"/>
        <v>9952.0750000000007</v>
      </c>
      <c r="Y22" s="186">
        <f t="shared" si="8"/>
        <v>3432.4706675000002</v>
      </c>
      <c r="Z22" s="186">
        <f t="shared" si="9"/>
        <v>4413.1961424731189</v>
      </c>
      <c r="AA22" s="187">
        <f t="shared" si="10"/>
        <v>7845.6668099731196</v>
      </c>
      <c r="AB22" s="188">
        <v>176191</v>
      </c>
      <c r="AC22" s="188">
        <f t="shared" si="11"/>
        <v>12599</v>
      </c>
      <c r="AD22" s="189">
        <v>0.88890000000000002</v>
      </c>
      <c r="AE22" s="96">
        <v>367</v>
      </c>
      <c r="AF22" s="190">
        <v>20172</v>
      </c>
      <c r="AG22" s="142">
        <f t="shared" si="30"/>
        <v>9</v>
      </c>
      <c r="AH22" s="90">
        <v>14376825</v>
      </c>
      <c r="AI22" s="91">
        <f t="shared" si="18"/>
        <v>5545</v>
      </c>
      <c r="AJ22" s="96">
        <f t="shared" si="19"/>
        <v>1109</v>
      </c>
      <c r="AK22" s="90">
        <v>6609235</v>
      </c>
      <c r="AL22" s="91">
        <f t="shared" si="20"/>
        <v>2233</v>
      </c>
      <c r="AM22" s="96">
        <f t="shared" si="21"/>
        <v>446.6</v>
      </c>
      <c r="AN22" s="93">
        <v>217487</v>
      </c>
      <c r="AO22" s="91">
        <f t="shared" si="22"/>
        <v>503</v>
      </c>
      <c r="AP22" s="96">
        <f t="shared" si="23"/>
        <v>100.60000000000001</v>
      </c>
      <c r="AQ22" s="93">
        <v>7805</v>
      </c>
      <c r="AR22" s="91">
        <f t="shared" si="29"/>
        <v>7</v>
      </c>
      <c r="AS22" s="142">
        <f t="shared" si="24"/>
        <v>54.879999999999995</v>
      </c>
      <c r="AT22" s="90">
        <v>3081</v>
      </c>
      <c r="AU22" s="91">
        <f t="shared" si="25"/>
        <v>0</v>
      </c>
      <c r="AV22" s="96">
        <f t="shared" si="12"/>
        <v>0</v>
      </c>
      <c r="AW22" s="90">
        <v>58</v>
      </c>
      <c r="AX22" s="91">
        <f t="shared" si="26"/>
        <v>1</v>
      </c>
      <c r="AY22" s="96">
        <f t="shared" si="27"/>
        <v>7.84</v>
      </c>
    </row>
    <row r="23" spans="1:51" s="3" customFormat="1" ht="27.95" customHeight="1" x14ac:dyDescent="0.25">
      <c r="A23" s="100">
        <v>45584</v>
      </c>
      <c r="B23" s="93">
        <v>20443720</v>
      </c>
      <c r="C23" s="91">
        <f t="shared" si="3"/>
        <v>7424</v>
      </c>
      <c r="D23" s="91">
        <v>21189308</v>
      </c>
      <c r="E23" s="91">
        <f t="shared" si="4"/>
        <v>6586</v>
      </c>
      <c r="F23" s="91">
        <v>474204</v>
      </c>
      <c r="G23" s="91">
        <f t="shared" si="13"/>
        <v>130</v>
      </c>
      <c r="H23" s="92">
        <f t="shared" si="0"/>
        <v>14140</v>
      </c>
      <c r="I23" s="111">
        <f t="shared" si="1"/>
        <v>2828</v>
      </c>
      <c r="J23" s="93">
        <v>98507</v>
      </c>
      <c r="K23" s="91">
        <f t="shared" si="14"/>
        <v>95</v>
      </c>
      <c r="L23" s="77">
        <f t="shared" si="2"/>
        <v>744.8</v>
      </c>
      <c r="M23" s="90">
        <v>39190</v>
      </c>
      <c r="N23" s="91">
        <f t="shared" si="15"/>
        <v>21</v>
      </c>
      <c r="O23" s="91">
        <v>23316</v>
      </c>
      <c r="P23" s="94">
        <f t="shared" si="16"/>
        <v>16</v>
      </c>
      <c r="Q23" s="94">
        <f t="shared" si="5"/>
        <v>37</v>
      </c>
      <c r="R23" s="95">
        <v>58610</v>
      </c>
      <c r="S23" s="94">
        <f t="shared" si="17"/>
        <v>37</v>
      </c>
      <c r="T23" s="104">
        <f t="shared" si="6"/>
        <v>39.060900000000004</v>
      </c>
      <c r="U23" s="103">
        <f t="shared" si="7"/>
        <v>641.29994500000009</v>
      </c>
      <c r="V23" s="184">
        <v>74685</v>
      </c>
      <c r="W23" s="185">
        <v>36</v>
      </c>
      <c r="X23" s="186">
        <f t="shared" si="28"/>
        <v>10236.420000000002</v>
      </c>
      <c r="Y23" s="186">
        <f t="shared" si="8"/>
        <v>3530.5412580000007</v>
      </c>
      <c r="Z23" s="186">
        <f t="shared" si="9"/>
        <v>4413.1961424731189</v>
      </c>
      <c r="AA23" s="187">
        <f t="shared" si="10"/>
        <v>7943.7374004731191</v>
      </c>
      <c r="AB23" s="188">
        <v>189112</v>
      </c>
      <c r="AC23" s="188">
        <f t="shared" si="11"/>
        <v>12921</v>
      </c>
      <c r="AD23" s="189">
        <v>0.9143</v>
      </c>
      <c r="AE23" s="96">
        <v>394</v>
      </c>
      <c r="AF23" s="190">
        <v>20181</v>
      </c>
      <c r="AG23" s="142">
        <f t="shared" si="30"/>
        <v>9</v>
      </c>
      <c r="AH23" s="90">
        <v>14381479</v>
      </c>
      <c r="AI23" s="91">
        <f t="shared" si="18"/>
        <v>4654</v>
      </c>
      <c r="AJ23" s="96">
        <f t="shared" si="19"/>
        <v>930.80000000000007</v>
      </c>
      <c r="AK23" s="90">
        <v>6611305</v>
      </c>
      <c r="AL23" s="91">
        <f t="shared" si="20"/>
        <v>2070</v>
      </c>
      <c r="AM23" s="96">
        <f t="shared" si="21"/>
        <v>414</v>
      </c>
      <c r="AN23" s="93">
        <v>217937</v>
      </c>
      <c r="AO23" s="91">
        <f t="shared" si="22"/>
        <v>450</v>
      </c>
      <c r="AP23" s="96">
        <f t="shared" si="23"/>
        <v>90</v>
      </c>
      <c r="AQ23" s="93">
        <v>7813</v>
      </c>
      <c r="AR23" s="91">
        <f t="shared" si="29"/>
        <v>8</v>
      </c>
      <c r="AS23" s="142">
        <f t="shared" si="24"/>
        <v>62.72</v>
      </c>
      <c r="AT23" s="90">
        <v>3082</v>
      </c>
      <c r="AU23" s="91">
        <f t="shared" si="25"/>
        <v>1</v>
      </c>
      <c r="AV23" s="96">
        <f t="shared" si="12"/>
        <v>7.84</v>
      </c>
      <c r="AW23" s="90">
        <v>59</v>
      </c>
      <c r="AX23" s="91">
        <f t="shared" si="26"/>
        <v>1</v>
      </c>
      <c r="AY23" s="96">
        <f t="shared" si="27"/>
        <v>7.84</v>
      </c>
    </row>
    <row r="24" spans="1:51" s="3" customFormat="1" ht="27.95" customHeight="1" x14ac:dyDescent="0.25">
      <c r="A24" s="100">
        <v>45585</v>
      </c>
      <c r="B24" s="93">
        <v>20451085</v>
      </c>
      <c r="C24" s="91">
        <f t="shared" si="3"/>
        <v>7365</v>
      </c>
      <c r="D24" s="91">
        <v>21195819</v>
      </c>
      <c r="E24" s="91">
        <f t="shared" si="4"/>
        <v>6511</v>
      </c>
      <c r="F24" s="91">
        <v>474335</v>
      </c>
      <c r="G24" s="91">
        <f t="shared" si="13"/>
        <v>131</v>
      </c>
      <c r="H24" s="92">
        <f t="shared" si="0"/>
        <v>14007</v>
      </c>
      <c r="I24" s="111">
        <f t="shared" si="1"/>
        <v>2801.4</v>
      </c>
      <c r="J24" s="93">
        <v>98621</v>
      </c>
      <c r="K24" s="91">
        <f t="shared" si="14"/>
        <v>114</v>
      </c>
      <c r="L24" s="77">
        <f t="shared" si="2"/>
        <v>893.76</v>
      </c>
      <c r="M24" s="90">
        <v>39209</v>
      </c>
      <c r="N24" s="91">
        <f t="shared" si="15"/>
        <v>19</v>
      </c>
      <c r="O24" s="91">
        <v>23327</v>
      </c>
      <c r="P24" s="94">
        <f t="shared" si="16"/>
        <v>11</v>
      </c>
      <c r="Q24" s="94">
        <f t="shared" si="5"/>
        <v>30</v>
      </c>
      <c r="R24" s="95">
        <v>58639</v>
      </c>
      <c r="S24" s="94">
        <f t="shared" si="17"/>
        <v>29</v>
      </c>
      <c r="T24" s="104">
        <f t="shared" si="6"/>
        <v>30.615300000000001</v>
      </c>
      <c r="U24" s="103">
        <f t="shared" si="7"/>
        <v>547.97606500000006</v>
      </c>
      <c r="V24" s="184">
        <v>74742</v>
      </c>
      <c r="W24" s="185">
        <v>36</v>
      </c>
      <c r="X24" s="186">
        <f t="shared" si="28"/>
        <v>10236.420000000002</v>
      </c>
      <c r="Y24" s="186">
        <f t="shared" si="8"/>
        <v>3530.5412580000007</v>
      </c>
      <c r="Z24" s="186">
        <f t="shared" si="9"/>
        <v>4413.1961424731189</v>
      </c>
      <c r="AA24" s="187">
        <f t="shared" si="10"/>
        <v>7943.7374004731191</v>
      </c>
      <c r="AB24" s="188">
        <v>202037</v>
      </c>
      <c r="AC24" s="188">
        <f t="shared" si="11"/>
        <v>12925</v>
      </c>
      <c r="AD24" s="189">
        <v>0.79369999999999996</v>
      </c>
      <c r="AE24" s="96">
        <v>309</v>
      </c>
      <c r="AF24" s="190">
        <v>20190</v>
      </c>
      <c r="AG24" s="142">
        <f t="shared" si="30"/>
        <v>9</v>
      </c>
      <c r="AH24" s="90">
        <v>14386215</v>
      </c>
      <c r="AI24" s="91">
        <f t="shared" si="18"/>
        <v>4736</v>
      </c>
      <c r="AJ24" s="96">
        <f t="shared" si="19"/>
        <v>947.2</v>
      </c>
      <c r="AK24" s="90">
        <v>6613407</v>
      </c>
      <c r="AL24" s="91">
        <f t="shared" si="20"/>
        <v>2102</v>
      </c>
      <c r="AM24" s="96">
        <f t="shared" si="21"/>
        <v>420.40000000000003</v>
      </c>
      <c r="AN24" s="93">
        <v>218318</v>
      </c>
      <c r="AO24" s="91">
        <f t="shared" si="22"/>
        <v>381</v>
      </c>
      <c r="AP24" s="96">
        <f t="shared" si="23"/>
        <v>76.2</v>
      </c>
      <c r="AQ24" s="146">
        <v>7818</v>
      </c>
      <c r="AR24" s="91">
        <f t="shared" si="29"/>
        <v>5</v>
      </c>
      <c r="AS24" s="142">
        <f t="shared" si="24"/>
        <v>39.200000000000003</v>
      </c>
      <c r="AT24" s="145">
        <v>3084</v>
      </c>
      <c r="AU24" s="91">
        <f t="shared" si="25"/>
        <v>2</v>
      </c>
      <c r="AV24" s="96">
        <f t="shared" si="12"/>
        <v>15.68</v>
      </c>
      <c r="AW24" s="90">
        <v>60</v>
      </c>
      <c r="AX24" s="91">
        <f t="shared" si="26"/>
        <v>1</v>
      </c>
      <c r="AY24" s="96">
        <f t="shared" si="27"/>
        <v>7.84</v>
      </c>
    </row>
    <row r="25" spans="1:51" s="7" customFormat="1" ht="27.95" customHeight="1" x14ac:dyDescent="0.25">
      <c r="A25" s="100">
        <v>45586</v>
      </c>
      <c r="B25" s="93">
        <v>20458556</v>
      </c>
      <c r="C25" s="91">
        <f t="shared" si="3"/>
        <v>7471</v>
      </c>
      <c r="D25" s="91">
        <v>21202387</v>
      </c>
      <c r="E25" s="91">
        <f t="shared" si="4"/>
        <v>6568</v>
      </c>
      <c r="F25" s="91">
        <v>474458</v>
      </c>
      <c r="G25" s="91">
        <f t="shared" si="13"/>
        <v>123</v>
      </c>
      <c r="H25" s="92">
        <f t="shared" si="0"/>
        <v>14162</v>
      </c>
      <c r="I25" s="111">
        <f t="shared" si="1"/>
        <v>2832.4</v>
      </c>
      <c r="J25" s="93">
        <v>98684</v>
      </c>
      <c r="K25" s="91">
        <f t="shared" si="14"/>
        <v>63</v>
      </c>
      <c r="L25" s="77">
        <f t="shared" si="2"/>
        <v>493.92</v>
      </c>
      <c r="M25" s="90">
        <v>39228</v>
      </c>
      <c r="N25" s="91">
        <f t="shared" si="15"/>
        <v>19</v>
      </c>
      <c r="O25" s="91">
        <v>23343</v>
      </c>
      <c r="P25" s="94">
        <f t="shared" si="16"/>
        <v>16</v>
      </c>
      <c r="Q25" s="94">
        <f t="shared" si="5"/>
        <v>35</v>
      </c>
      <c r="R25" s="95">
        <v>58674</v>
      </c>
      <c r="S25" s="94">
        <f t="shared" si="17"/>
        <v>35</v>
      </c>
      <c r="T25" s="104">
        <f>S25*1.0557</f>
        <v>36.9495</v>
      </c>
      <c r="U25" s="103">
        <f t="shared" si="7"/>
        <v>617.968975</v>
      </c>
      <c r="V25" s="184">
        <v>74796</v>
      </c>
      <c r="W25" s="185">
        <v>36</v>
      </c>
      <c r="X25" s="186">
        <f t="shared" si="28"/>
        <v>10236.420000000002</v>
      </c>
      <c r="Y25" s="186">
        <f t="shared" si="8"/>
        <v>3530.5412580000007</v>
      </c>
      <c r="Z25" s="186">
        <f t="shared" si="9"/>
        <v>4413.1961424731189</v>
      </c>
      <c r="AA25" s="187">
        <f t="shared" si="10"/>
        <v>7943.7374004731191</v>
      </c>
      <c r="AB25" s="188">
        <v>215172</v>
      </c>
      <c r="AC25" s="188">
        <f t="shared" si="11"/>
        <v>13135</v>
      </c>
      <c r="AD25" s="196">
        <v>0.81589999999999996</v>
      </c>
      <c r="AE25" s="197">
        <v>289</v>
      </c>
      <c r="AF25" s="198">
        <v>20200</v>
      </c>
      <c r="AG25" s="142">
        <f t="shared" si="30"/>
        <v>10</v>
      </c>
      <c r="AH25" s="145">
        <v>14391881</v>
      </c>
      <c r="AI25" s="91">
        <f t="shared" si="18"/>
        <v>5666</v>
      </c>
      <c r="AJ25" s="96">
        <f t="shared" si="19"/>
        <v>1133.2</v>
      </c>
      <c r="AK25" s="145">
        <v>6615616</v>
      </c>
      <c r="AL25" s="91">
        <f t="shared" si="20"/>
        <v>2209</v>
      </c>
      <c r="AM25" s="96">
        <f t="shared" si="21"/>
        <v>441.8</v>
      </c>
      <c r="AN25" s="146">
        <v>218692</v>
      </c>
      <c r="AO25" s="91">
        <f t="shared" si="22"/>
        <v>374</v>
      </c>
      <c r="AP25" s="96">
        <f t="shared" si="23"/>
        <v>74.8</v>
      </c>
      <c r="AQ25" s="93">
        <v>7822</v>
      </c>
      <c r="AR25" s="91">
        <f t="shared" si="29"/>
        <v>4</v>
      </c>
      <c r="AS25" s="142">
        <f t="shared" si="24"/>
        <v>31.36</v>
      </c>
      <c r="AT25" s="90">
        <v>3084</v>
      </c>
      <c r="AU25" s="91">
        <f t="shared" si="25"/>
        <v>0</v>
      </c>
      <c r="AV25" s="96">
        <f t="shared" si="12"/>
        <v>0</v>
      </c>
      <c r="AW25" s="145">
        <v>61</v>
      </c>
      <c r="AX25" s="91">
        <f t="shared" si="26"/>
        <v>1</v>
      </c>
      <c r="AY25" s="96">
        <f t="shared" si="27"/>
        <v>7.84</v>
      </c>
    </row>
    <row r="26" spans="1:51" s="3" customFormat="1" ht="27.95" customHeight="1" x14ac:dyDescent="0.25">
      <c r="A26" s="100">
        <v>45587</v>
      </c>
      <c r="B26" s="93">
        <v>20466011</v>
      </c>
      <c r="C26" s="91">
        <f t="shared" si="3"/>
        <v>7455</v>
      </c>
      <c r="D26" s="91">
        <v>21209000</v>
      </c>
      <c r="E26" s="91">
        <f t="shared" si="4"/>
        <v>6613</v>
      </c>
      <c r="F26" s="91">
        <v>474594</v>
      </c>
      <c r="G26" s="91">
        <f t="shared" si="13"/>
        <v>136</v>
      </c>
      <c r="H26" s="92">
        <f t="shared" si="0"/>
        <v>14204</v>
      </c>
      <c r="I26" s="111">
        <f t="shared" si="1"/>
        <v>2840.8</v>
      </c>
      <c r="J26" s="93">
        <v>98782</v>
      </c>
      <c r="K26" s="91">
        <f t="shared" si="14"/>
        <v>98</v>
      </c>
      <c r="L26" s="77">
        <f t="shared" si="2"/>
        <v>768.31999999999994</v>
      </c>
      <c r="M26" s="90">
        <v>39250</v>
      </c>
      <c r="N26" s="91">
        <f t="shared" si="15"/>
        <v>22</v>
      </c>
      <c r="O26" s="91">
        <v>23358</v>
      </c>
      <c r="P26" s="94">
        <f t="shared" si="16"/>
        <v>15</v>
      </c>
      <c r="Q26" s="94">
        <f t="shared" si="5"/>
        <v>37</v>
      </c>
      <c r="R26" s="95">
        <v>58710</v>
      </c>
      <c r="S26" s="94">
        <f t="shared" si="17"/>
        <v>36</v>
      </c>
      <c r="T26" s="104">
        <f t="shared" si="6"/>
        <v>38.005200000000002</v>
      </c>
      <c r="U26" s="103">
        <f t="shared" si="7"/>
        <v>629.63445999999999</v>
      </c>
      <c r="V26" s="184">
        <v>74849</v>
      </c>
      <c r="W26" s="185">
        <v>35</v>
      </c>
      <c r="X26" s="186">
        <f t="shared" si="28"/>
        <v>9952.0750000000007</v>
      </c>
      <c r="Y26" s="186">
        <f t="shared" si="8"/>
        <v>3432.4706675000002</v>
      </c>
      <c r="Z26" s="186">
        <f t="shared" si="9"/>
        <v>4413.1961424731189</v>
      </c>
      <c r="AA26" s="187">
        <f t="shared" si="10"/>
        <v>7845.6668099731196</v>
      </c>
      <c r="AB26" s="188">
        <v>227923</v>
      </c>
      <c r="AC26" s="188">
        <f t="shared" si="11"/>
        <v>12751</v>
      </c>
      <c r="AD26" s="189">
        <v>1</v>
      </c>
      <c r="AE26" s="96">
        <v>371</v>
      </c>
      <c r="AF26" s="190">
        <v>20210</v>
      </c>
      <c r="AG26" s="142">
        <f t="shared" si="30"/>
        <v>10</v>
      </c>
      <c r="AH26" s="90">
        <v>14397635</v>
      </c>
      <c r="AI26" s="91">
        <f t="shared" si="18"/>
        <v>5754</v>
      </c>
      <c r="AJ26" s="96">
        <f t="shared" si="19"/>
        <v>1150.8</v>
      </c>
      <c r="AK26" s="90">
        <v>6617824</v>
      </c>
      <c r="AL26" s="91">
        <f t="shared" si="20"/>
        <v>2208</v>
      </c>
      <c r="AM26" s="96">
        <f t="shared" si="21"/>
        <v>441.6</v>
      </c>
      <c r="AN26" s="93">
        <v>218961</v>
      </c>
      <c r="AO26" s="91">
        <f t="shared" si="22"/>
        <v>269</v>
      </c>
      <c r="AP26" s="96">
        <f t="shared" si="23"/>
        <v>53.800000000000004</v>
      </c>
      <c r="AQ26" s="93">
        <v>7834</v>
      </c>
      <c r="AR26" s="91">
        <f t="shared" si="29"/>
        <v>12</v>
      </c>
      <c r="AS26" s="142">
        <f t="shared" si="24"/>
        <v>94.08</v>
      </c>
      <c r="AT26" s="90">
        <v>3085</v>
      </c>
      <c r="AU26" s="91">
        <f t="shared" si="25"/>
        <v>1</v>
      </c>
      <c r="AV26" s="96">
        <f t="shared" si="12"/>
        <v>7.84</v>
      </c>
      <c r="AW26" s="90">
        <v>62</v>
      </c>
      <c r="AX26" s="91">
        <f t="shared" si="26"/>
        <v>1</v>
      </c>
      <c r="AY26" s="96">
        <f t="shared" si="27"/>
        <v>7.84</v>
      </c>
    </row>
    <row r="27" spans="1:51" s="3" customFormat="1" ht="27.95" customHeight="1" x14ac:dyDescent="0.25">
      <c r="A27" s="100">
        <v>45588</v>
      </c>
      <c r="B27" s="93">
        <v>20473539</v>
      </c>
      <c r="C27" s="91">
        <f t="shared" si="3"/>
        <v>7528</v>
      </c>
      <c r="D27" s="91">
        <v>21215751</v>
      </c>
      <c r="E27" s="91">
        <f t="shared" si="4"/>
        <v>6751</v>
      </c>
      <c r="F27" s="91">
        <v>474732</v>
      </c>
      <c r="G27" s="91">
        <f t="shared" si="13"/>
        <v>138</v>
      </c>
      <c r="H27" s="92">
        <f t="shared" si="0"/>
        <v>14417</v>
      </c>
      <c r="I27" s="111">
        <f t="shared" si="1"/>
        <v>2883.4</v>
      </c>
      <c r="J27" s="93">
        <v>98881</v>
      </c>
      <c r="K27" s="91">
        <f>IF(ISBLANK(J27),"0",J27-J26)</f>
        <v>99</v>
      </c>
      <c r="L27" s="77">
        <f t="shared" si="2"/>
        <v>776.16</v>
      </c>
      <c r="M27" s="90">
        <v>39271</v>
      </c>
      <c r="N27" s="91">
        <f t="shared" si="15"/>
        <v>21</v>
      </c>
      <c r="O27" s="91">
        <v>23373</v>
      </c>
      <c r="P27" s="94">
        <f t="shared" si="16"/>
        <v>15</v>
      </c>
      <c r="Q27" s="94">
        <f t="shared" si="5"/>
        <v>36</v>
      </c>
      <c r="R27" s="95">
        <v>58745</v>
      </c>
      <c r="S27" s="94">
        <f t="shared" si="17"/>
        <v>35</v>
      </c>
      <c r="T27" s="104">
        <f t="shared" si="6"/>
        <v>36.9495</v>
      </c>
      <c r="U27" s="103">
        <f t="shared" si="7"/>
        <v>617.968975</v>
      </c>
      <c r="V27" s="184">
        <v>74898</v>
      </c>
      <c r="W27" s="185">
        <v>33</v>
      </c>
      <c r="X27" s="186">
        <f t="shared" si="28"/>
        <v>9383.3850000000002</v>
      </c>
      <c r="Y27" s="186">
        <f t="shared" si="8"/>
        <v>3236.3294864999998</v>
      </c>
      <c r="Z27" s="186">
        <f t="shared" si="9"/>
        <v>4413.1961424731189</v>
      </c>
      <c r="AA27" s="187">
        <f t="shared" si="10"/>
        <v>7649.5256289731187</v>
      </c>
      <c r="AB27" s="188">
        <v>240101</v>
      </c>
      <c r="AC27" s="188">
        <f t="shared" si="11"/>
        <v>12178</v>
      </c>
      <c r="AD27" s="189">
        <v>0.9587</v>
      </c>
      <c r="AE27" s="96">
        <v>363</v>
      </c>
      <c r="AF27" s="190">
        <v>20220</v>
      </c>
      <c r="AG27" s="142">
        <f t="shared" si="30"/>
        <v>10</v>
      </c>
      <c r="AH27" s="90">
        <v>14403426</v>
      </c>
      <c r="AI27" s="91">
        <f t="shared" si="18"/>
        <v>5791</v>
      </c>
      <c r="AJ27" s="96">
        <f t="shared" si="19"/>
        <v>1158.2</v>
      </c>
      <c r="AK27" s="90">
        <v>6620061</v>
      </c>
      <c r="AL27" s="91">
        <f t="shared" si="20"/>
        <v>2237</v>
      </c>
      <c r="AM27" s="96">
        <f t="shared" si="21"/>
        <v>447.40000000000003</v>
      </c>
      <c r="AN27" s="93">
        <v>219423</v>
      </c>
      <c r="AO27" s="91">
        <f t="shared" si="22"/>
        <v>462</v>
      </c>
      <c r="AP27" s="96">
        <f t="shared" si="23"/>
        <v>92.4</v>
      </c>
      <c r="AQ27" s="93">
        <v>7843</v>
      </c>
      <c r="AR27" s="91">
        <f t="shared" si="29"/>
        <v>9</v>
      </c>
      <c r="AS27" s="142">
        <f t="shared" si="24"/>
        <v>70.56</v>
      </c>
      <c r="AT27" s="90">
        <v>3086</v>
      </c>
      <c r="AU27" s="91">
        <f t="shared" si="25"/>
        <v>1</v>
      </c>
      <c r="AV27" s="96">
        <f t="shared" si="12"/>
        <v>7.84</v>
      </c>
      <c r="AW27" s="90">
        <v>63</v>
      </c>
      <c r="AX27" s="91">
        <f t="shared" si="26"/>
        <v>1</v>
      </c>
      <c r="AY27" s="96">
        <f t="shared" si="27"/>
        <v>7.84</v>
      </c>
    </row>
    <row r="28" spans="1:51" s="3" customFormat="1" ht="27.95" customHeight="1" x14ac:dyDescent="0.25">
      <c r="A28" s="100">
        <v>45589</v>
      </c>
      <c r="B28" s="93">
        <v>20481082</v>
      </c>
      <c r="C28" s="91">
        <f t="shared" si="3"/>
        <v>7543</v>
      </c>
      <c r="D28" s="91">
        <v>21222538</v>
      </c>
      <c r="E28" s="91">
        <f t="shared" si="4"/>
        <v>6787</v>
      </c>
      <c r="F28" s="91">
        <v>474871</v>
      </c>
      <c r="G28" s="91">
        <f t="shared" si="13"/>
        <v>139</v>
      </c>
      <c r="H28" s="92">
        <f t="shared" si="0"/>
        <v>14469</v>
      </c>
      <c r="I28" s="111">
        <f t="shared" si="1"/>
        <v>2893.8</v>
      </c>
      <c r="J28" s="93">
        <v>98987</v>
      </c>
      <c r="K28" s="91">
        <f t="shared" si="14"/>
        <v>106</v>
      </c>
      <c r="L28" s="77">
        <f t="shared" si="2"/>
        <v>831.04</v>
      </c>
      <c r="M28" s="90">
        <v>39289</v>
      </c>
      <c r="N28" s="91">
        <f t="shared" si="15"/>
        <v>18</v>
      </c>
      <c r="O28" s="91">
        <v>23388</v>
      </c>
      <c r="P28" s="94">
        <f t="shared" si="16"/>
        <v>15</v>
      </c>
      <c r="Q28" s="94">
        <f t="shared" si="5"/>
        <v>33</v>
      </c>
      <c r="R28" s="95">
        <v>58779</v>
      </c>
      <c r="S28" s="94">
        <f t="shared" si="17"/>
        <v>34</v>
      </c>
      <c r="T28" s="104">
        <f t="shared" si="6"/>
        <v>35.893800000000006</v>
      </c>
      <c r="U28" s="103">
        <f t="shared" si="7"/>
        <v>606.30349000000012</v>
      </c>
      <c r="V28" s="184">
        <v>74943</v>
      </c>
      <c r="W28" s="185">
        <v>33</v>
      </c>
      <c r="X28" s="186">
        <f t="shared" si="28"/>
        <v>9383.3850000000002</v>
      </c>
      <c r="Y28" s="186">
        <f t="shared" si="8"/>
        <v>3236.3294864999998</v>
      </c>
      <c r="Z28" s="186">
        <f t="shared" si="9"/>
        <v>4413.1961424731189</v>
      </c>
      <c r="AA28" s="187">
        <f t="shared" si="10"/>
        <v>7649.5256289731187</v>
      </c>
      <c r="AB28" s="188">
        <v>252218</v>
      </c>
      <c r="AC28" s="188">
        <f t="shared" si="11"/>
        <v>12117</v>
      </c>
      <c r="AD28" s="189">
        <v>0.99680000000000002</v>
      </c>
      <c r="AE28" s="96">
        <v>397</v>
      </c>
      <c r="AF28" s="190">
        <v>20230</v>
      </c>
      <c r="AG28" s="142">
        <f t="shared" si="30"/>
        <v>10</v>
      </c>
      <c r="AH28" s="90">
        <v>14409275</v>
      </c>
      <c r="AI28" s="91">
        <f t="shared" si="18"/>
        <v>5849</v>
      </c>
      <c r="AJ28" s="96">
        <f t="shared" si="19"/>
        <v>1169.8</v>
      </c>
      <c r="AK28" s="90">
        <v>6622312</v>
      </c>
      <c r="AL28" s="91">
        <f t="shared" si="20"/>
        <v>2251</v>
      </c>
      <c r="AM28" s="96">
        <f t="shared" si="21"/>
        <v>450.20000000000005</v>
      </c>
      <c r="AN28" s="93">
        <v>219887</v>
      </c>
      <c r="AO28" s="91">
        <f t="shared" si="22"/>
        <v>464</v>
      </c>
      <c r="AP28" s="96">
        <f t="shared" si="23"/>
        <v>92.800000000000011</v>
      </c>
      <c r="AQ28" s="93">
        <v>7851</v>
      </c>
      <c r="AR28" s="91">
        <f t="shared" si="29"/>
        <v>8</v>
      </c>
      <c r="AS28" s="142">
        <f t="shared" si="24"/>
        <v>62.72</v>
      </c>
      <c r="AT28" s="90">
        <v>3086</v>
      </c>
      <c r="AU28" s="91">
        <f t="shared" si="25"/>
        <v>0</v>
      </c>
      <c r="AV28" s="96">
        <f t="shared" si="12"/>
        <v>0</v>
      </c>
      <c r="AW28" s="90">
        <v>63</v>
      </c>
      <c r="AX28" s="91">
        <f t="shared" si="26"/>
        <v>0</v>
      </c>
      <c r="AY28" s="96">
        <f t="shared" si="27"/>
        <v>0</v>
      </c>
    </row>
    <row r="29" spans="1:51" s="3" customFormat="1" ht="27.95" customHeight="1" x14ac:dyDescent="0.25">
      <c r="A29" s="100">
        <v>45590</v>
      </c>
      <c r="B29" s="93">
        <v>20488536</v>
      </c>
      <c r="C29" s="91">
        <f t="shared" si="3"/>
        <v>7454</v>
      </c>
      <c r="D29" s="91">
        <v>21229129</v>
      </c>
      <c r="E29" s="91">
        <f t="shared" si="4"/>
        <v>6591</v>
      </c>
      <c r="F29" s="91">
        <v>475000</v>
      </c>
      <c r="G29" s="91">
        <f t="shared" si="13"/>
        <v>129</v>
      </c>
      <c r="H29" s="92">
        <f t="shared" si="0"/>
        <v>14174</v>
      </c>
      <c r="I29" s="111">
        <f t="shared" si="1"/>
        <v>2834.8</v>
      </c>
      <c r="J29" s="93">
        <v>99084</v>
      </c>
      <c r="K29" s="91">
        <f t="shared" si="14"/>
        <v>97</v>
      </c>
      <c r="L29" s="77">
        <f t="shared" si="2"/>
        <v>760.48</v>
      </c>
      <c r="M29" s="90">
        <v>39309</v>
      </c>
      <c r="N29" s="91">
        <f t="shared" si="15"/>
        <v>20</v>
      </c>
      <c r="O29" s="91">
        <v>23403</v>
      </c>
      <c r="P29" s="94">
        <f t="shared" si="16"/>
        <v>15</v>
      </c>
      <c r="Q29" s="94">
        <f t="shared" si="5"/>
        <v>35</v>
      </c>
      <c r="R29" s="95">
        <v>58813</v>
      </c>
      <c r="S29" s="94">
        <f t="shared" si="17"/>
        <v>34</v>
      </c>
      <c r="T29" s="104">
        <f t="shared" si="6"/>
        <v>35.893800000000006</v>
      </c>
      <c r="U29" s="103">
        <f t="shared" si="7"/>
        <v>606.30349000000012</v>
      </c>
      <c r="V29" s="184">
        <v>74983</v>
      </c>
      <c r="W29" s="185">
        <v>33</v>
      </c>
      <c r="X29" s="186">
        <f t="shared" si="28"/>
        <v>9383.3850000000002</v>
      </c>
      <c r="Y29" s="186">
        <f t="shared" si="8"/>
        <v>3236.3294864999998</v>
      </c>
      <c r="Z29" s="186">
        <f t="shared" si="9"/>
        <v>4413.1961424731189</v>
      </c>
      <c r="AA29" s="187">
        <f t="shared" si="10"/>
        <v>7649.5256289731187</v>
      </c>
      <c r="AB29" s="188">
        <v>264380</v>
      </c>
      <c r="AC29" s="188">
        <f t="shared" si="11"/>
        <v>12162</v>
      </c>
      <c r="AD29" s="189">
        <v>0.9587</v>
      </c>
      <c r="AE29" s="96">
        <v>383</v>
      </c>
      <c r="AF29" s="190">
        <v>20240</v>
      </c>
      <c r="AG29" s="142">
        <f t="shared" si="30"/>
        <v>10</v>
      </c>
      <c r="AH29" s="90">
        <v>14414736</v>
      </c>
      <c r="AI29" s="91">
        <f t="shared" si="18"/>
        <v>5461</v>
      </c>
      <c r="AJ29" s="96">
        <f t="shared" si="19"/>
        <v>1092.2</v>
      </c>
      <c r="AK29" s="90">
        <v>6624509</v>
      </c>
      <c r="AL29" s="91">
        <f t="shared" si="20"/>
        <v>2197</v>
      </c>
      <c r="AM29" s="96">
        <f t="shared" si="21"/>
        <v>439.40000000000003</v>
      </c>
      <c r="AN29" s="93">
        <v>220248</v>
      </c>
      <c r="AO29" s="91">
        <f t="shared" si="22"/>
        <v>361</v>
      </c>
      <c r="AP29" s="96">
        <f t="shared" si="23"/>
        <v>72.2</v>
      </c>
      <c r="AQ29" s="93">
        <v>7859</v>
      </c>
      <c r="AR29" s="91">
        <f t="shared" si="29"/>
        <v>8</v>
      </c>
      <c r="AS29" s="142">
        <f t="shared" si="24"/>
        <v>62.72</v>
      </c>
      <c r="AT29" s="90">
        <v>3087</v>
      </c>
      <c r="AU29" s="91">
        <f t="shared" si="25"/>
        <v>1</v>
      </c>
      <c r="AV29" s="96">
        <f t="shared" si="12"/>
        <v>7.84</v>
      </c>
      <c r="AW29" s="90">
        <v>64</v>
      </c>
      <c r="AX29" s="91">
        <f t="shared" si="26"/>
        <v>1</v>
      </c>
      <c r="AY29" s="96">
        <f t="shared" si="27"/>
        <v>7.84</v>
      </c>
    </row>
    <row r="30" spans="1:51" s="3" customFormat="1" ht="27.95" customHeight="1" x14ac:dyDescent="0.25">
      <c r="A30" s="100">
        <v>45591</v>
      </c>
      <c r="B30" s="93">
        <v>20496046</v>
      </c>
      <c r="C30" s="91">
        <f t="shared" si="3"/>
        <v>7510</v>
      </c>
      <c r="D30" s="91">
        <v>21235912</v>
      </c>
      <c r="E30" s="91">
        <f t="shared" si="4"/>
        <v>6783</v>
      </c>
      <c r="F30" s="91">
        <v>475138</v>
      </c>
      <c r="G30" s="91">
        <f t="shared" si="13"/>
        <v>138</v>
      </c>
      <c r="H30" s="92">
        <f t="shared" si="0"/>
        <v>14431</v>
      </c>
      <c r="I30" s="111">
        <f t="shared" si="1"/>
        <v>2886.2000000000003</v>
      </c>
      <c r="J30" s="93">
        <v>99188</v>
      </c>
      <c r="K30" s="91">
        <f t="shared" si="14"/>
        <v>104</v>
      </c>
      <c r="L30" s="77">
        <f t="shared" si="2"/>
        <v>815.36</v>
      </c>
      <c r="M30" s="90">
        <v>39332</v>
      </c>
      <c r="N30" s="91">
        <f t="shared" si="15"/>
        <v>23</v>
      </c>
      <c r="O30" s="91">
        <v>23418</v>
      </c>
      <c r="P30" s="94">
        <f>IF(ISBLANK(O30),"0",O30-O29)</f>
        <v>15</v>
      </c>
      <c r="Q30" s="94">
        <f t="shared" si="5"/>
        <v>38</v>
      </c>
      <c r="R30" s="95">
        <v>58850</v>
      </c>
      <c r="S30" s="94">
        <f>IF(ISBLANK(R30),"0",R30-R29)</f>
        <v>37</v>
      </c>
      <c r="T30" s="104">
        <f t="shared" si="6"/>
        <v>39.060900000000004</v>
      </c>
      <c r="U30" s="103">
        <f t="shared" si="7"/>
        <v>641.29994500000009</v>
      </c>
      <c r="V30" s="184">
        <v>75020</v>
      </c>
      <c r="W30" s="185">
        <v>34</v>
      </c>
      <c r="X30" s="186">
        <f t="shared" si="28"/>
        <v>9667.7300000000014</v>
      </c>
      <c r="Y30" s="186">
        <f t="shared" si="8"/>
        <v>3334.4000770000002</v>
      </c>
      <c r="Z30" s="186">
        <f t="shared" si="9"/>
        <v>4413.1961424731189</v>
      </c>
      <c r="AA30" s="187">
        <f t="shared" si="10"/>
        <v>7747.5962194731192</v>
      </c>
      <c r="AB30" s="188">
        <v>276310</v>
      </c>
      <c r="AC30" s="188">
        <f t="shared" si="11"/>
        <v>11930</v>
      </c>
      <c r="AD30" s="189">
        <v>0.98409999999999997</v>
      </c>
      <c r="AE30" s="96">
        <v>413</v>
      </c>
      <c r="AF30" s="190">
        <v>20248</v>
      </c>
      <c r="AG30" s="142">
        <f t="shared" si="30"/>
        <v>8</v>
      </c>
      <c r="AH30" s="90">
        <v>14419405</v>
      </c>
      <c r="AI30" s="91">
        <f t="shared" si="18"/>
        <v>4669</v>
      </c>
      <c r="AJ30" s="96">
        <f t="shared" si="19"/>
        <v>933.80000000000007</v>
      </c>
      <c r="AK30" s="90">
        <v>6626615</v>
      </c>
      <c r="AL30" s="91">
        <f t="shared" si="20"/>
        <v>2106</v>
      </c>
      <c r="AM30" s="96">
        <f t="shared" si="21"/>
        <v>421.20000000000005</v>
      </c>
      <c r="AN30" s="93">
        <v>220687</v>
      </c>
      <c r="AO30" s="91">
        <f t="shared" si="22"/>
        <v>439</v>
      </c>
      <c r="AP30" s="96">
        <f t="shared" si="23"/>
        <v>87.800000000000011</v>
      </c>
      <c r="AQ30" s="93">
        <v>7870</v>
      </c>
      <c r="AR30" s="91">
        <f t="shared" si="29"/>
        <v>11</v>
      </c>
      <c r="AS30" s="142">
        <f t="shared" si="24"/>
        <v>86.24</v>
      </c>
      <c r="AT30" s="90">
        <v>3087</v>
      </c>
      <c r="AU30" s="91">
        <f t="shared" si="25"/>
        <v>0</v>
      </c>
      <c r="AV30" s="96">
        <f t="shared" si="12"/>
        <v>0</v>
      </c>
      <c r="AW30" s="90">
        <v>64</v>
      </c>
      <c r="AX30" s="91">
        <f t="shared" si="26"/>
        <v>0</v>
      </c>
      <c r="AY30" s="96">
        <f t="shared" si="27"/>
        <v>0</v>
      </c>
    </row>
    <row r="31" spans="1:51" s="3" customFormat="1" ht="27.95" customHeight="1" x14ac:dyDescent="0.25">
      <c r="A31" s="100">
        <v>45592</v>
      </c>
      <c r="B31" s="93">
        <v>20503480</v>
      </c>
      <c r="C31" s="91">
        <f t="shared" si="3"/>
        <v>7434</v>
      </c>
      <c r="D31" s="91">
        <v>21242506</v>
      </c>
      <c r="E31" s="91">
        <f t="shared" si="4"/>
        <v>6594</v>
      </c>
      <c r="F31" s="91">
        <v>475275</v>
      </c>
      <c r="G31" s="91">
        <f t="shared" si="13"/>
        <v>137</v>
      </c>
      <c r="H31" s="92">
        <f t="shared" si="0"/>
        <v>14165</v>
      </c>
      <c r="I31" s="111">
        <f t="shared" si="1"/>
        <v>2833</v>
      </c>
      <c r="J31" s="93">
        <v>99292</v>
      </c>
      <c r="K31" s="91">
        <f t="shared" si="14"/>
        <v>104</v>
      </c>
      <c r="L31" s="77">
        <f t="shared" si="2"/>
        <v>815.36</v>
      </c>
      <c r="M31" s="90">
        <v>39353</v>
      </c>
      <c r="N31" s="91">
        <f t="shared" si="15"/>
        <v>21</v>
      </c>
      <c r="O31" s="91">
        <v>23431</v>
      </c>
      <c r="P31" s="94">
        <f t="shared" si="16"/>
        <v>13</v>
      </c>
      <c r="Q31" s="94">
        <f t="shared" si="5"/>
        <v>34</v>
      </c>
      <c r="R31" s="95">
        <v>58884</v>
      </c>
      <c r="S31" s="94">
        <f t="shared" si="17"/>
        <v>34</v>
      </c>
      <c r="T31" s="104">
        <f t="shared" si="6"/>
        <v>35.893800000000006</v>
      </c>
      <c r="U31" s="103">
        <f t="shared" si="7"/>
        <v>606.30349000000012</v>
      </c>
      <c r="V31" s="184">
        <v>75056</v>
      </c>
      <c r="W31" s="185">
        <v>31</v>
      </c>
      <c r="X31" s="186">
        <f t="shared" si="28"/>
        <v>8814.6950000000015</v>
      </c>
      <c r="Y31" s="186">
        <f t="shared" si="8"/>
        <v>3040.1883055000003</v>
      </c>
      <c r="Z31" s="186">
        <f t="shared" si="9"/>
        <v>4413.1961424731189</v>
      </c>
      <c r="AA31" s="187">
        <f t="shared" si="10"/>
        <v>7453.3844479731197</v>
      </c>
      <c r="AB31" s="188">
        <v>287389</v>
      </c>
      <c r="AC31" s="188">
        <f t="shared" si="11"/>
        <v>11079</v>
      </c>
      <c r="AD31" s="189">
        <v>0.93020000000000003</v>
      </c>
      <c r="AE31" s="96">
        <v>379</v>
      </c>
      <c r="AF31" s="190">
        <v>20256</v>
      </c>
      <c r="AG31" s="142">
        <f t="shared" si="30"/>
        <v>8</v>
      </c>
      <c r="AH31" s="90">
        <v>14424101</v>
      </c>
      <c r="AI31" s="91">
        <f t="shared" si="18"/>
        <v>4696</v>
      </c>
      <c r="AJ31" s="96">
        <f t="shared" si="19"/>
        <v>939.2</v>
      </c>
      <c r="AK31" s="90">
        <v>6628726</v>
      </c>
      <c r="AL31" s="91">
        <f t="shared" si="20"/>
        <v>2111</v>
      </c>
      <c r="AM31" s="96">
        <f t="shared" si="21"/>
        <v>422.20000000000005</v>
      </c>
      <c r="AN31" s="93">
        <v>221012</v>
      </c>
      <c r="AO31" s="91">
        <f t="shared" si="22"/>
        <v>325</v>
      </c>
      <c r="AP31" s="96">
        <f t="shared" si="23"/>
        <v>65</v>
      </c>
      <c r="AQ31" s="93">
        <v>7879</v>
      </c>
      <c r="AR31" s="91">
        <f t="shared" si="29"/>
        <v>9</v>
      </c>
      <c r="AS31" s="142">
        <f t="shared" si="24"/>
        <v>70.56</v>
      </c>
      <c r="AT31" s="90">
        <v>3089</v>
      </c>
      <c r="AU31" s="91">
        <f t="shared" si="25"/>
        <v>2</v>
      </c>
      <c r="AV31" s="96">
        <f t="shared" si="12"/>
        <v>15.68</v>
      </c>
      <c r="AW31" s="90">
        <v>65</v>
      </c>
      <c r="AX31" s="91">
        <f t="shared" si="26"/>
        <v>1</v>
      </c>
      <c r="AY31" s="96">
        <f t="shared" si="27"/>
        <v>7.84</v>
      </c>
    </row>
    <row r="32" spans="1:51" s="3" customFormat="1" ht="27.95" customHeight="1" x14ac:dyDescent="0.25">
      <c r="A32" s="100">
        <v>45593</v>
      </c>
      <c r="B32" s="93">
        <v>20511166</v>
      </c>
      <c r="C32" s="91">
        <f t="shared" si="3"/>
        <v>7686</v>
      </c>
      <c r="D32" s="91">
        <v>21249295</v>
      </c>
      <c r="E32" s="91">
        <f t="shared" si="4"/>
        <v>6789</v>
      </c>
      <c r="F32" s="91">
        <v>475418</v>
      </c>
      <c r="G32" s="91">
        <f t="shared" si="13"/>
        <v>143</v>
      </c>
      <c r="H32" s="92">
        <f t="shared" si="0"/>
        <v>14618</v>
      </c>
      <c r="I32" s="111">
        <f t="shared" si="1"/>
        <v>2923.6000000000004</v>
      </c>
      <c r="J32" s="93">
        <v>99394</v>
      </c>
      <c r="K32" s="91">
        <f t="shared" si="14"/>
        <v>102</v>
      </c>
      <c r="L32" s="77">
        <f t="shared" si="2"/>
        <v>799.68</v>
      </c>
      <c r="M32" s="90">
        <v>39374</v>
      </c>
      <c r="N32" s="91">
        <f t="shared" si="15"/>
        <v>21</v>
      </c>
      <c r="O32" s="91">
        <v>23444</v>
      </c>
      <c r="P32" s="94">
        <f t="shared" si="16"/>
        <v>13</v>
      </c>
      <c r="Q32" s="94">
        <f t="shared" si="5"/>
        <v>34</v>
      </c>
      <c r="R32" s="95">
        <v>58918</v>
      </c>
      <c r="S32" s="94">
        <f t="shared" si="17"/>
        <v>34</v>
      </c>
      <c r="T32" s="104">
        <f t="shared" si="6"/>
        <v>35.893800000000006</v>
      </c>
      <c r="U32" s="103">
        <f t="shared" si="7"/>
        <v>606.30349000000012</v>
      </c>
      <c r="V32" s="184">
        <v>75090</v>
      </c>
      <c r="W32" s="185">
        <v>29</v>
      </c>
      <c r="X32" s="186">
        <f t="shared" si="28"/>
        <v>8246.005000000001</v>
      </c>
      <c r="Y32" s="186">
        <f t="shared" si="8"/>
        <v>2844.0471245000003</v>
      </c>
      <c r="Z32" s="186">
        <f t="shared" si="9"/>
        <v>4413.1961424731189</v>
      </c>
      <c r="AA32" s="187">
        <f t="shared" si="10"/>
        <v>7257.2432669731188</v>
      </c>
      <c r="AB32" s="188">
        <v>298093</v>
      </c>
      <c r="AC32" s="188">
        <f t="shared" si="11"/>
        <v>10704</v>
      </c>
      <c r="AD32" s="189">
        <v>0.94289999999999996</v>
      </c>
      <c r="AE32" s="96">
        <v>371</v>
      </c>
      <c r="AF32" s="190">
        <v>20265</v>
      </c>
      <c r="AG32" s="142">
        <f t="shared" si="30"/>
        <v>9</v>
      </c>
      <c r="AH32" s="90">
        <v>14429747</v>
      </c>
      <c r="AI32" s="91">
        <f t="shared" si="18"/>
        <v>5646</v>
      </c>
      <c r="AJ32" s="96">
        <f t="shared" si="19"/>
        <v>1129.2</v>
      </c>
      <c r="AK32" s="90">
        <v>6630955</v>
      </c>
      <c r="AL32" s="91">
        <f t="shared" si="20"/>
        <v>2229</v>
      </c>
      <c r="AM32" s="96">
        <f t="shared" si="21"/>
        <v>445.8</v>
      </c>
      <c r="AN32" s="93">
        <v>221311</v>
      </c>
      <c r="AO32" s="91">
        <f t="shared" si="22"/>
        <v>299</v>
      </c>
      <c r="AP32" s="96">
        <f t="shared" si="23"/>
        <v>59.800000000000004</v>
      </c>
      <c r="AQ32" s="93">
        <v>7887</v>
      </c>
      <c r="AR32" s="91">
        <f t="shared" si="29"/>
        <v>8</v>
      </c>
      <c r="AS32" s="142">
        <f t="shared" si="24"/>
        <v>62.72</v>
      </c>
      <c r="AT32" s="90">
        <v>3089</v>
      </c>
      <c r="AU32" s="91">
        <f t="shared" si="25"/>
        <v>0</v>
      </c>
      <c r="AV32" s="96">
        <f t="shared" si="12"/>
        <v>0</v>
      </c>
      <c r="AW32" s="90">
        <v>66</v>
      </c>
      <c r="AX32" s="91">
        <f t="shared" si="26"/>
        <v>1</v>
      </c>
      <c r="AY32" s="96">
        <f t="shared" si="27"/>
        <v>7.84</v>
      </c>
    </row>
    <row r="33" spans="1:165" s="3" customFormat="1" ht="27.95" customHeight="1" x14ac:dyDescent="0.25">
      <c r="A33" s="100">
        <v>45594</v>
      </c>
      <c r="B33" s="93">
        <v>20518891</v>
      </c>
      <c r="C33" s="91">
        <f t="shared" si="3"/>
        <v>7725</v>
      </c>
      <c r="D33" s="91">
        <v>21256277</v>
      </c>
      <c r="E33" s="91">
        <f t="shared" si="4"/>
        <v>6982</v>
      </c>
      <c r="F33" s="91">
        <v>475558</v>
      </c>
      <c r="G33" s="91">
        <f t="shared" si="13"/>
        <v>140</v>
      </c>
      <c r="H33" s="92">
        <f t="shared" si="0"/>
        <v>14847</v>
      </c>
      <c r="I33" s="111">
        <f t="shared" si="1"/>
        <v>2969.4</v>
      </c>
      <c r="J33" s="93">
        <v>99497</v>
      </c>
      <c r="K33" s="91">
        <f t="shared" si="14"/>
        <v>103</v>
      </c>
      <c r="L33" s="77">
        <f t="shared" si="2"/>
        <v>807.52</v>
      </c>
      <c r="M33" s="90">
        <v>39396</v>
      </c>
      <c r="N33" s="91">
        <f t="shared" si="15"/>
        <v>22</v>
      </c>
      <c r="O33" s="91">
        <v>23457</v>
      </c>
      <c r="P33" s="94">
        <f t="shared" si="16"/>
        <v>13</v>
      </c>
      <c r="Q33" s="94">
        <f t="shared" si="5"/>
        <v>35</v>
      </c>
      <c r="R33" s="95">
        <v>58953</v>
      </c>
      <c r="S33" s="94">
        <f t="shared" si="17"/>
        <v>35</v>
      </c>
      <c r="T33" s="104">
        <f t="shared" si="6"/>
        <v>36.9495</v>
      </c>
      <c r="U33" s="103">
        <f t="shared" si="7"/>
        <v>617.968975</v>
      </c>
      <c r="V33" s="184">
        <v>75122</v>
      </c>
      <c r="W33" s="185">
        <v>32</v>
      </c>
      <c r="X33" s="186">
        <f t="shared" si="28"/>
        <v>9099.0400000000009</v>
      </c>
      <c r="Y33" s="186">
        <f t="shared" si="8"/>
        <v>3138.2588960000003</v>
      </c>
      <c r="Z33" s="186">
        <f t="shared" si="9"/>
        <v>4413.1961424731189</v>
      </c>
      <c r="AA33" s="187">
        <f t="shared" si="10"/>
        <v>7551.4550384731192</v>
      </c>
      <c r="AB33" s="188">
        <v>308411</v>
      </c>
      <c r="AC33" s="188">
        <f t="shared" si="11"/>
        <v>10318</v>
      </c>
      <c r="AD33" s="189">
        <v>0.9143</v>
      </c>
      <c r="AE33" s="96">
        <v>359</v>
      </c>
      <c r="AF33" s="190">
        <v>20274</v>
      </c>
      <c r="AG33" s="142">
        <f t="shared" si="30"/>
        <v>9</v>
      </c>
      <c r="AH33" s="90">
        <v>14435422</v>
      </c>
      <c r="AI33" s="91">
        <f t="shared" si="18"/>
        <v>5675</v>
      </c>
      <c r="AJ33" s="96">
        <f t="shared" si="19"/>
        <v>1135</v>
      </c>
      <c r="AK33" s="90">
        <v>6633168</v>
      </c>
      <c r="AL33" s="91">
        <f t="shared" si="20"/>
        <v>2213</v>
      </c>
      <c r="AM33" s="96">
        <f t="shared" si="21"/>
        <v>442.6</v>
      </c>
      <c r="AN33" s="93">
        <v>221619</v>
      </c>
      <c r="AO33" s="91">
        <f t="shared" si="22"/>
        <v>308</v>
      </c>
      <c r="AP33" s="96">
        <f t="shared" si="23"/>
        <v>61.6</v>
      </c>
      <c r="AQ33" s="93">
        <v>7894</v>
      </c>
      <c r="AR33" s="91">
        <f t="shared" si="29"/>
        <v>7</v>
      </c>
      <c r="AS33" s="142">
        <f t="shared" si="24"/>
        <v>54.879999999999995</v>
      </c>
      <c r="AT33" s="90">
        <v>3091</v>
      </c>
      <c r="AU33" s="91">
        <f t="shared" si="25"/>
        <v>2</v>
      </c>
      <c r="AV33" s="96">
        <f t="shared" si="12"/>
        <v>15.68</v>
      </c>
      <c r="AW33" s="90">
        <v>68</v>
      </c>
      <c r="AX33" s="91">
        <f t="shared" si="26"/>
        <v>2</v>
      </c>
      <c r="AY33" s="96">
        <f t="shared" si="27"/>
        <v>15.68</v>
      </c>
    </row>
    <row r="34" spans="1:165" s="3" customFormat="1" ht="27.95" customHeight="1" x14ac:dyDescent="0.25">
      <c r="A34" s="100">
        <v>45595</v>
      </c>
      <c r="B34" s="93">
        <v>20526547</v>
      </c>
      <c r="C34" s="91">
        <f t="shared" si="3"/>
        <v>7656</v>
      </c>
      <c r="D34" s="91">
        <v>21263323</v>
      </c>
      <c r="E34" s="91">
        <f t="shared" si="4"/>
        <v>7046</v>
      </c>
      <c r="F34" s="91">
        <v>475693</v>
      </c>
      <c r="G34" s="91">
        <f t="shared" si="13"/>
        <v>135</v>
      </c>
      <c r="H34" s="92">
        <f t="shared" si="0"/>
        <v>14837</v>
      </c>
      <c r="I34" s="111">
        <f t="shared" si="1"/>
        <v>2967.4</v>
      </c>
      <c r="J34" s="93">
        <v>99601</v>
      </c>
      <c r="K34" s="91">
        <f t="shared" si="14"/>
        <v>104</v>
      </c>
      <c r="L34" s="77">
        <f t="shared" si="2"/>
        <v>815.36</v>
      </c>
      <c r="M34" s="90">
        <v>39419</v>
      </c>
      <c r="N34" s="91">
        <f t="shared" si="15"/>
        <v>23</v>
      </c>
      <c r="O34" s="91">
        <v>23472</v>
      </c>
      <c r="P34" s="94">
        <f t="shared" si="16"/>
        <v>15</v>
      </c>
      <c r="Q34" s="94">
        <f t="shared" si="5"/>
        <v>38</v>
      </c>
      <c r="R34" s="95">
        <v>58990</v>
      </c>
      <c r="S34" s="94">
        <f t="shared" si="17"/>
        <v>37</v>
      </c>
      <c r="T34" s="104">
        <f t="shared" si="6"/>
        <v>39.060900000000004</v>
      </c>
      <c r="U34" s="103">
        <f t="shared" si="7"/>
        <v>641.29994500000009</v>
      </c>
      <c r="V34" s="191">
        <v>75155</v>
      </c>
      <c r="W34" s="185">
        <v>33</v>
      </c>
      <c r="X34" s="186">
        <f t="shared" si="28"/>
        <v>9383.3850000000002</v>
      </c>
      <c r="Y34" s="186">
        <f t="shared" si="8"/>
        <v>3236.3294864999998</v>
      </c>
      <c r="Z34" s="186">
        <f t="shared" si="9"/>
        <v>4413.1961424731189</v>
      </c>
      <c r="AA34" s="187">
        <f t="shared" si="10"/>
        <v>7649.5256289731187</v>
      </c>
      <c r="AB34" s="188">
        <v>318905</v>
      </c>
      <c r="AC34" s="188">
        <f t="shared" si="11"/>
        <v>10494</v>
      </c>
      <c r="AD34" s="189">
        <v>0.99370000000000003</v>
      </c>
      <c r="AE34" s="96">
        <v>394</v>
      </c>
      <c r="AF34" s="190">
        <v>20282</v>
      </c>
      <c r="AG34" s="142">
        <f t="shared" si="30"/>
        <v>8</v>
      </c>
      <c r="AH34" s="90">
        <v>14441171</v>
      </c>
      <c r="AI34" s="91">
        <f t="shared" si="18"/>
        <v>5749</v>
      </c>
      <c r="AJ34" s="96">
        <f t="shared" si="19"/>
        <v>1149.8</v>
      </c>
      <c r="AK34" s="90">
        <v>6635411</v>
      </c>
      <c r="AL34" s="91">
        <f t="shared" si="20"/>
        <v>2243</v>
      </c>
      <c r="AM34" s="96">
        <f t="shared" si="21"/>
        <v>448.6</v>
      </c>
      <c r="AN34" s="93">
        <v>221927</v>
      </c>
      <c r="AO34" s="91">
        <f t="shared" si="22"/>
        <v>308</v>
      </c>
      <c r="AP34" s="96">
        <f t="shared" si="23"/>
        <v>61.6</v>
      </c>
      <c r="AQ34" s="93">
        <v>7901</v>
      </c>
      <c r="AR34" s="91">
        <f t="shared" si="29"/>
        <v>7</v>
      </c>
      <c r="AS34" s="142">
        <f t="shared" si="24"/>
        <v>54.879999999999995</v>
      </c>
      <c r="AT34" s="90">
        <v>3092</v>
      </c>
      <c r="AU34" s="91">
        <f t="shared" si="25"/>
        <v>1</v>
      </c>
      <c r="AV34" s="96">
        <f t="shared" si="12"/>
        <v>7.84</v>
      </c>
      <c r="AW34" s="90">
        <v>69</v>
      </c>
      <c r="AX34" s="91">
        <f t="shared" si="26"/>
        <v>1</v>
      </c>
      <c r="AY34" s="96">
        <f t="shared" si="27"/>
        <v>7.84</v>
      </c>
    </row>
    <row r="35" spans="1:165" s="3" customFormat="1" ht="27.95" customHeight="1" thickBot="1" x14ac:dyDescent="0.3">
      <c r="A35" s="100">
        <v>45596</v>
      </c>
      <c r="B35" s="93">
        <v>20534305</v>
      </c>
      <c r="C35" s="91">
        <f t="shared" si="3"/>
        <v>7758</v>
      </c>
      <c r="D35" s="91">
        <v>21270163</v>
      </c>
      <c r="E35" s="91">
        <f t="shared" si="4"/>
        <v>6840</v>
      </c>
      <c r="F35" s="91">
        <v>475831</v>
      </c>
      <c r="G35" s="91">
        <f t="shared" si="13"/>
        <v>138</v>
      </c>
      <c r="H35" s="92">
        <f t="shared" si="0"/>
        <v>14736</v>
      </c>
      <c r="I35" s="111">
        <f t="shared" si="1"/>
        <v>2947.2000000000003</v>
      </c>
      <c r="J35" s="93">
        <v>99696</v>
      </c>
      <c r="K35" s="91">
        <f t="shared" si="14"/>
        <v>95</v>
      </c>
      <c r="L35" s="77">
        <f t="shared" si="2"/>
        <v>744.8</v>
      </c>
      <c r="M35" s="90">
        <v>39438</v>
      </c>
      <c r="N35" s="91">
        <f t="shared" si="15"/>
        <v>19</v>
      </c>
      <c r="O35" s="91">
        <v>23487</v>
      </c>
      <c r="P35" s="94">
        <f>IF(ISBLANK(O35),"0",O35-O34)</f>
        <v>15</v>
      </c>
      <c r="Q35" s="94">
        <f t="shared" si="5"/>
        <v>34</v>
      </c>
      <c r="R35" s="95">
        <v>59024</v>
      </c>
      <c r="S35" s="94">
        <f>IF(ISBLANK(R35),"0",R35-R34)</f>
        <v>34</v>
      </c>
      <c r="T35" s="104">
        <f t="shared" si="6"/>
        <v>35.893800000000006</v>
      </c>
      <c r="U35" s="103">
        <f t="shared" si="7"/>
        <v>606.30349000000012</v>
      </c>
      <c r="V35" s="199">
        <v>75187</v>
      </c>
      <c r="W35" s="200">
        <v>32</v>
      </c>
      <c r="X35" s="201">
        <f t="shared" si="28"/>
        <v>9099.0400000000009</v>
      </c>
      <c r="Y35" s="201">
        <f t="shared" si="8"/>
        <v>3138.2588960000003</v>
      </c>
      <c r="Z35" s="201">
        <f t="shared" si="9"/>
        <v>4413.1961424731189</v>
      </c>
      <c r="AA35" s="202">
        <f t="shared" si="10"/>
        <v>7551.4550384731192</v>
      </c>
      <c r="AB35" s="203">
        <v>329283</v>
      </c>
      <c r="AC35" s="203">
        <f t="shared" si="11"/>
        <v>10378</v>
      </c>
      <c r="AD35" s="189">
        <v>0.78410000000000002</v>
      </c>
      <c r="AE35" s="96">
        <v>311</v>
      </c>
      <c r="AF35" s="190">
        <v>20291</v>
      </c>
      <c r="AG35" s="142">
        <f t="shared" si="30"/>
        <v>9</v>
      </c>
      <c r="AH35" s="90">
        <v>14446856</v>
      </c>
      <c r="AI35" s="91">
        <f t="shared" si="18"/>
        <v>5685</v>
      </c>
      <c r="AJ35" s="96">
        <f t="shared" si="19"/>
        <v>1137</v>
      </c>
      <c r="AK35" s="90">
        <v>6637643</v>
      </c>
      <c r="AL35" s="91">
        <f t="shared" si="20"/>
        <v>2232</v>
      </c>
      <c r="AM35" s="96">
        <f t="shared" si="21"/>
        <v>446.40000000000003</v>
      </c>
      <c r="AN35" s="93">
        <v>222296</v>
      </c>
      <c r="AO35" s="91">
        <f t="shared" si="22"/>
        <v>369</v>
      </c>
      <c r="AP35" s="96">
        <f t="shared" si="23"/>
        <v>73.8</v>
      </c>
      <c r="AQ35" s="93">
        <v>7907</v>
      </c>
      <c r="AR35" s="91">
        <f t="shared" si="29"/>
        <v>6</v>
      </c>
      <c r="AS35" s="142">
        <f t="shared" si="24"/>
        <v>47.04</v>
      </c>
      <c r="AT35" s="90">
        <v>3092</v>
      </c>
      <c r="AU35" s="91">
        <f t="shared" si="25"/>
        <v>0</v>
      </c>
      <c r="AV35" s="96">
        <f t="shared" si="12"/>
        <v>0</v>
      </c>
      <c r="AW35" s="90">
        <v>70</v>
      </c>
      <c r="AX35" s="91">
        <f t="shared" si="26"/>
        <v>1</v>
      </c>
      <c r="AY35" s="96">
        <f t="shared" si="27"/>
        <v>7.84</v>
      </c>
    </row>
    <row r="36" spans="1:165" s="12" customFormat="1" ht="27.95" customHeight="1" thickBot="1" x14ac:dyDescent="0.3">
      <c r="A36" s="159"/>
      <c r="B36" s="78"/>
      <c r="C36" s="79">
        <f>SUM(C5:C35)</f>
        <v>236525</v>
      </c>
      <c r="D36" s="79"/>
      <c r="E36" s="79">
        <f>SUM(E5:E35)</f>
        <v>212413</v>
      </c>
      <c r="F36" s="80"/>
      <c r="G36" s="79">
        <f>SUM(G5:G35)</f>
        <v>4145</v>
      </c>
      <c r="H36" s="81">
        <f>SUM(H5:H35)</f>
        <v>453083</v>
      </c>
      <c r="I36" s="89">
        <f>H36*0.2</f>
        <v>90616.6</v>
      </c>
      <c r="J36" s="78"/>
      <c r="K36" s="79">
        <f>SUM(K5:K35)</f>
        <v>2987</v>
      </c>
      <c r="L36" s="89">
        <f>K36*7.84</f>
        <v>23418.079999999998</v>
      </c>
      <c r="M36" s="78"/>
      <c r="N36" s="81">
        <f>SUM(N5:N35)</f>
        <v>651</v>
      </c>
      <c r="O36" s="82"/>
      <c r="P36" s="81">
        <f>SUM(P5:P35)</f>
        <v>440</v>
      </c>
      <c r="Q36" s="81">
        <f>SUM(Q5:Q35)</f>
        <v>1091</v>
      </c>
      <c r="R36" s="82"/>
      <c r="S36" s="82">
        <f>SUM(S5:S35)</f>
        <v>1070</v>
      </c>
      <c r="T36" s="110">
        <f>SUM(T5:T35)</f>
        <v>1129.5990000000002</v>
      </c>
      <c r="U36" s="88">
        <f>SUM(U5:U35)</f>
        <v>18982.055949999994</v>
      </c>
      <c r="V36" s="204"/>
      <c r="W36" s="205">
        <f>SUM(W5:W35)</f>
        <v>1043</v>
      </c>
      <c r="X36" s="206">
        <f>SUM(X5:X35)</f>
        <v>296571.83500000008</v>
      </c>
      <c r="Y36" s="207">
        <f>SUM(Y5:Y35)</f>
        <v>102287.62589150002</v>
      </c>
      <c r="Z36" s="207">
        <f>SUM(Z5:Z35)</f>
        <v>136809.08041666661</v>
      </c>
      <c r="AA36" s="208">
        <f>SUM(AA5:AA35)</f>
        <v>239096.70630816676</v>
      </c>
      <c r="AB36" s="209"/>
      <c r="AC36" s="210">
        <f>SUM(AC5:AC35)</f>
        <v>363359</v>
      </c>
      <c r="AD36" s="83">
        <f>AVERAGE(AD5:AD35)</f>
        <v>0.8506967741935485</v>
      </c>
      <c r="AE36" s="211">
        <f>SUM(AE5:AE35)</f>
        <v>10520</v>
      </c>
      <c r="AF36" s="212"/>
      <c r="AG36" s="143">
        <f>SUM(AG5:AG35)</f>
        <v>143</v>
      </c>
      <c r="AH36" s="78"/>
      <c r="AI36" s="149">
        <f>SUM(AI5:AI35)</f>
        <v>169096</v>
      </c>
      <c r="AJ36" s="150">
        <f>SUM(AJ5:AJ35)</f>
        <v>33819.199999999997</v>
      </c>
      <c r="AK36" s="78"/>
      <c r="AL36" s="149">
        <f>SUM(AL5:AL35)</f>
        <v>67463</v>
      </c>
      <c r="AM36" s="150">
        <f>SUM(AM5:AM35)</f>
        <v>13492.6</v>
      </c>
      <c r="AN36" s="78"/>
      <c r="AO36" s="149">
        <f>SUM(AO5:AO35)</f>
        <v>17372</v>
      </c>
      <c r="AP36" s="150">
        <f>SUM(AP5:AP35)</f>
        <v>3474.4000000000005</v>
      </c>
      <c r="AQ36" s="78"/>
      <c r="AR36" s="149">
        <f>SUM(AR5:AR35)</f>
        <v>231</v>
      </c>
      <c r="AS36" s="150">
        <f>SUM(AS5:AS35)</f>
        <v>1811.04</v>
      </c>
      <c r="AT36" s="78"/>
      <c r="AU36" s="149">
        <f>SUM(AU5:AU35)</f>
        <v>25</v>
      </c>
      <c r="AV36" s="150">
        <f>SUM(AV5:AV35)</f>
        <v>196.00000000000006</v>
      </c>
      <c r="AW36" s="78"/>
      <c r="AX36" s="149">
        <f>SUM(AX5:AX35)</f>
        <v>27</v>
      </c>
      <c r="AY36" s="150">
        <f>SUM(AY5:AY35)</f>
        <v>211.68000000000006</v>
      </c>
    </row>
    <row r="37" spans="1:165" s="8" customFormat="1" ht="22.5" customHeight="1" thickBot="1" x14ac:dyDescent="0.3">
      <c r="A37" s="265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7"/>
      <c r="V37" s="268" t="s">
        <v>24</v>
      </c>
      <c r="W37" s="269"/>
      <c r="X37" s="269"/>
      <c r="Y37" s="269"/>
      <c r="Z37" s="269"/>
      <c r="AA37" s="269"/>
      <c r="AB37" s="270"/>
      <c r="AC37" s="113"/>
      <c r="AD37" s="97"/>
      <c r="AE37" s="97"/>
      <c r="AF37" s="98"/>
      <c r="AG37" s="98"/>
      <c r="AH37" s="98"/>
    </row>
    <row r="38" spans="1:165" ht="27.95" customHeight="1" x14ac:dyDescent="0.25">
      <c r="A38" s="158"/>
      <c r="B38" s="271" t="s">
        <v>3</v>
      </c>
      <c r="C38" s="272"/>
      <c r="D38" s="272" t="s">
        <v>13</v>
      </c>
      <c r="E38" s="272"/>
      <c r="F38" s="272"/>
      <c r="G38" s="272" t="s">
        <v>14</v>
      </c>
      <c r="H38" s="272"/>
      <c r="I38" s="273"/>
      <c r="J38" s="274" t="s">
        <v>4</v>
      </c>
      <c r="K38" s="275"/>
      <c r="L38" s="45" t="s">
        <v>13</v>
      </c>
      <c r="M38" s="275" t="s">
        <v>48</v>
      </c>
      <c r="N38" s="276"/>
      <c r="O38" s="277" t="s">
        <v>25</v>
      </c>
      <c r="P38" s="278"/>
      <c r="Q38" s="278"/>
      <c r="R38" s="278" t="s">
        <v>13</v>
      </c>
      <c r="S38" s="278"/>
      <c r="T38" s="278" t="s">
        <v>48</v>
      </c>
      <c r="U38" s="279"/>
      <c r="V38" s="280" t="s">
        <v>15</v>
      </c>
      <c r="W38" s="281"/>
      <c r="X38" s="281" t="s">
        <v>13</v>
      </c>
      <c r="Y38" s="281"/>
      <c r="Z38" s="281" t="s">
        <v>16</v>
      </c>
      <c r="AA38" s="281"/>
      <c r="AB38" s="282"/>
      <c r="AC38" s="116"/>
      <c r="AD38" s="168"/>
      <c r="AE38" s="168"/>
      <c r="AF38"/>
      <c r="AG38" s="167">
        <f>(131547.55*7)+(135620.99)+(136809.08*2)</f>
        <v>1330071.9999999998</v>
      </c>
      <c r="AH38" s="242" t="s">
        <v>94</v>
      </c>
      <c r="AI38" s="243"/>
      <c r="AJ38" s="243"/>
      <c r="AK38" s="24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8"/>
      <c r="B39" s="251" t="s">
        <v>104</v>
      </c>
      <c r="C39" s="252"/>
      <c r="D39" s="253">
        <f>I36</f>
        <v>90616.6</v>
      </c>
      <c r="E39" s="253"/>
      <c r="F39" s="253"/>
      <c r="G39" s="254">
        <f t="shared" ref="G39:G44" si="31">D39/0.2</f>
        <v>453083</v>
      </c>
      <c r="H39" s="254"/>
      <c r="I39" s="255"/>
      <c r="J39" s="251" t="str">
        <f t="shared" ref="J39:J44" si="32">B39</f>
        <v>Actual October 2024</v>
      </c>
      <c r="K39" s="252"/>
      <c r="L39" s="42">
        <f>L36</f>
        <v>23418.079999999998</v>
      </c>
      <c r="M39" s="254">
        <f>K36</f>
        <v>2987</v>
      </c>
      <c r="N39" s="255"/>
      <c r="O39" s="251" t="str">
        <f t="shared" ref="O39:O44" si="33">B39</f>
        <v>Actual October 2024</v>
      </c>
      <c r="P39" s="252"/>
      <c r="Q39" s="252"/>
      <c r="R39" s="261">
        <f>U36</f>
        <v>18982.055949999994</v>
      </c>
      <c r="S39" s="261"/>
      <c r="T39" s="254">
        <f>T36</f>
        <v>1129.5990000000002</v>
      </c>
      <c r="U39" s="255"/>
      <c r="V39" s="251" t="str">
        <f t="shared" ref="V39:V44" si="34">B39</f>
        <v>Actual October 2024</v>
      </c>
      <c r="W39" s="252"/>
      <c r="X39" s="253">
        <f>AA36</f>
        <v>239096.70630816676</v>
      </c>
      <c r="Y39" s="253"/>
      <c r="Z39" s="254">
        <f>X36</f>
        <v>296571.83500000008</v>
      </c>
      <c r="AA39" s="254"/>
      <c r="AB39" s="255"/>
      <c r="AC39" s="114"/>
      <c r="AD39" s="117">
        <f>AC36</f>
        <v>363359</v>
      </c>
      <c r="AE39" s="118">
        <f>AD39-X36</f>
        <v>66787.164999999921</v>
      </c>
      <c r="AF39" s="169"/>
      <c r="AG39" s="125">
        <f>(126488.42*7)+(130404.97)+(131547.55*2)</f>
        <v>1278919.0099999998</v>
      </c>
      <c r="AH39" s="242" t="s">
        <v>51</v>
      </c>
      <c r="AI39" s="243"/>
      <c r="AJ39" s="243"/>
      <c r="AK39" s="24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8"/>
      <c r="B40" s="251" t="s">
        <v>105</v>
      </c>
      <c r="C40" s="252"/>
      <c r="D40" s="256">
        <v>98138.25</v>
      </c>
      <c r="E40" s="256"/>
      <c r="F40" s="256"/>
      <c r="G40" s="254">
        <f t="shared" si="31"/>
        <v>490691.25</v>
      </c>
      <c r="H40" s="254"/>
      <c r="I40" s="255"/>
      <c r="J40" s="251" t="str">
        <f t="shared" si="32"/>
        <v>Budget October 2024</v>
      </c>
      <c r="K40" s="252"/>
      <c r="L40" s="39">
        <v>26702.4503795399</v>
      </c>
      <c r="M40" s="254">
        <f>L40/7.84</f>
        <v>3405.9247933086608</v>
      </c>
      <c r="N40" s="255"/>
      <c r="O40" s="251" t="str">
        <f t="shared" si="33"/>
        <v>Budget October 2024</v>
      </c>
      <c r="P40" s="252"/>
      <c r="Q40" s="252"/>
      <c r="R40" s="257">
        <v>21382.731274183901</v>
      </c>
      <c r="S40" s="257"/>
      <c r="T40" s="254">
        <f>(R40-6500)/11.05</f>
        <v>1346.8535089759187</v>
      </c>
      <c r="U40" s="255"/>
      <c r="V40" s="251" t="str">
        <f t="shared" si="34"/>
        <v>Budget October 2024</v>
      </c>
      <c r="W40" s="252"/>
      <c r="X40" s="256">
        <v>243486.88</v>
      </c>
      <c r="Y40" s="256"/>
      <c r="Z40" s="254">
        <f>AG40/0.3449</f>
        <v>324555.90026094526</v>
      </c>
      <c r="AA40" s="254"/>
      <c r="AB40" s="255"/>
      <c r="AC40" s="115"/>
      <c r="AD40" s="162"/>
      <c r="AE40" s="163"/>
      <c r="AF40" s="165"/>
      <c r="AG40" s="119">
        <f>X40-131547.55</f>
        <v>111939.33000000002</v>
      </c>
      <c r="AH40" s="242" t="s">
        <v>95</v>
      </c>
      <c r="AI40" s="243"/>
      <c r="AJ40" s="243"/>
      <c r="AK40" s="24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2"/>
      <c r="B41" s="251" t="s">
        <v>106</v>
      </c>
      <c r="C41" s="252"/>
      <c r="D41" s="256">
        <v>94810.2</v>
      </c>
      <c r="E41" s="256"/>
      <c r="F41" s="256"/>
      <c r="G41" s="254">
        <f t="shared" si="31"/>
        <v>474050.99999999994</v>
      </c>
      <c r="H41" s="254"/>
      <c r="I41" s="255"/>
      <c r="J41" s="251" t="str">
        <f t="shared" si="32"/>
        <v>Actual October 2023</v>
      </c>
      <c r="K41" s="252"/>
      <c r="L41" s="39">
        <v>22430.240000000002</v>
      </c>
      <c r="M41" s="254">
        <f>L41/7.84</f>
        <v>2861.0000000000005</v>
      </c>
      <c r="N41" s="255"/>
      <c r="O41" s="251" t="str">
        <f t="shared" si="33"/>
        <v>Actual October 2023</v>
      </c>
      <c r="P41" s="252"/>
      <c r="Q41" s="252"/>
      <c r="R41" s="257">
        <v>18185.52</v>
      </c>
      <c r="S41" s="257"/>
      <c r="T41" s="254">
        <f>(R41-6500)/11.05</f>
        <v>1057.5131221719457</v>
      </c>
      <c r="U41" s="255"/>
      <c r="V41" s="251" t="str">
        <f t="shared" si="34"/>
        <v>Actual October 2023</v>
      </c>
      <c r="W41" s="252"/>
      <c r="X41" s="256">
        <v>236614.51</v>
      </c>
      <c r="Y41" s="256"/>
      <c r="Z41" s="254">
        <f>AG41/0.3442</f>
        <v>319947.96629866358</v>
      </c>
      <c r="AA41" s="254"/>
      <c r="AB41" s="255"/>
      <c r="AC41" s="115"/>
      <c r="AD41" s="164"/>
      <c r="AE41" s="11"/>
      <c r="AF41" s="165"/>
      <c r="AG41" s="120">
        <f>X41-126488.42</f>
        <v>110126.09000000001</v>
      </c>
      <c r="AH41" s="242" t="s">
        <v>96</v>
      </c>
      <c r="AI41" s="243"/>
      <c r="AJ41" s="243"/>
      <c r="AK41" s="24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8"/>
      <c r="B42" s="251" t="s">
        <v>69</v>
      </c>
      <c r="C42" s="252"/>
      <c r="D42" s="253">
        <f>D39+787483.6</f>
        <v>878100.2</v>
      </c>
      <c r="E42" s="253"/>
      <c r="F42" s="253"/>
      <c r="G42" s="254">
        <f t="shared" si="31"/>
        <v>4390500.9999999991</v>
      </c>
      <c r="H42" s="254"/>
      <c r="I42" s="255"/>
      <c r="J42" s="251" t="str">
        <f t="shared" si="32"/>
        <v>Actual YTD 2024</v>
      </c>
      <c r="K42" s="252"/>
      <c r="L42" s="42">
        <f>L39+218469.44</f>
        <v>241887.52</v>
      </c>
      <c r="M42" s="254">
        <f>L42/7.84</f>
        <v>30853</v>
      </c>
      <c r="N42" s="255"/>
      <c r="O42" s="258" t="str">
        <f t="shared" si="33"/>
        <v>Actual YTD 2024</v>
      </c>
      <c r="P42" s="259"/>
      <c r="Q42" s="260"/>
      <c r="R42" s="261">
        <f>R39+164022.83</f>
        <v>183004.88594999997</v>
      </c>
      <c r="S42" s="261"/>
      <c r="T42" s="254">
        <f>(R42-6500*10)/11.05</f>
        <v>10679.17519909502</v>
      </c>
      <c r="U42" s="255"/>
      <c r="V42" s="251" t="str">
        <f t="shared" si="34"/>
        <v>Actual YTD 2024</v>
      </c>
      <c r="W42" s="252"/>
      <c r="X42" s="253">
        <f>X39+1987394.45</f>
        <v>2226491.1563081667</v>
      </c>
      <c r="Y42" s="253"/>
      <c r="Z42" s="254">
        <f>AG42/0.3449</f>
        <v>2599069.7486464684</v>
      </c>
      <c r="AA42" s="254"/>
      <c r="AB42" s="255"/>
      <c r="AC42" s="115"/>
      <c r="AD42" s="164"/>
      <c r="AF42" s="165"/>
      <c r="AG42" s="119">
        <f>X42-AG38</f>
        <v>896419.15630816692</v>
      </c>
      <c r="AH42" s="242" t="s">
        <v>97</v>
      </c>
      <c r="AI42" s="243"/>
      <c r="AJ42" s="243"/>
      <c r="AK42" s="24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8"/>
      <c r="B43" s="251" t="s">
        <v>70</v>
      </c>
      <c r="C43" s="252"/>
      <c r="D43" s="256">
        <f>D40+863005.5</f>
        <v>961143.75</v>
      </c>
      <c r="E43" s="256"/>
      <c r="F43" s="256"/>
      <c r="G43" s="254">
        <f t="shared" si="31"/>
        <v>4805718.75</v>
      </c>
      <c r="H43" s="254"/>
      <c r="I43" s="255"/>
      <c r="J43" s="251" t="str">
        <f t="shared" si="32"/>
        <v>Budget YTD 2024</v>
      </c>
      <c r="K43" s="252"/>
      <c r="L43" s="39">
        <f>L40+220311.93</f>
        <v>247014.38037953989</v>
      </c>
      <c r="M43" s="254">
        <f>L43/7.84</f>
        <v>31506.936272900497</v>
      </c>
      <c r="N43" s="255"/>
      <c r="O43" s="251" t="str">
        <f t="shared" si="33"/>
        <v>Budget YTD 2024</v>
      </c>
      <c r="P43" s="252"/>
      <c r="Q43" s="252"/>
      <c r="R43" s="257">
        <f>R40+164069.23</f>
        <v>185451.96127418391</v>
      </c>
      <c r="S43" s="257"/>
      <c r="T43" s="254">
        <f>(R43-6500*10)/11.05</f>
        <v>10900.629979564153</v>
      </c>
      <c r="U43" s="255"/>
      <c r="V43" s="251" t="str">
        <f t="shared" si="34"/>
        <v>Budget YTD 2024</v>
      </c>
      <c r="W43" s="252"/>
      <c r="X43" s="256">
        <f>X40+1991025.48</f>
        <v>2234512.36</v>
      </c>
      <c r="Y43" s="256"/>
      <c r="Z43" s="262">
        <f>AG43/0.3449</f>
        <v>2622326.3554653525</v>
      </c>
      <c r="AA43" s="263"/>
      <c r="AB43" s="264"/>
      <c r="AC43" s="115"/>
      <c r="AD43" s="164"/>
      <c r="AF43" s="165"/>
      <c r="AG43" s="119">
        <f>X43-AG38</f>
        <v>904440.3600000001</v>
      </c>
      <c r="AH43" s="242" t="s">
        <v>98</v>
      </c>
      <c r="AI43" s="243"/>
      <c r="AJ43" s="243"/>
      <c r="AK43" s="244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7"/>
      <c r="B44" s="248" t="s">
        <v>50</v>
      </c>
      <c r="C44" s="249"/>
      <c r="D44" s="239">
        <v>937527.2</v>
      </c>
      <c r="E44" s="239"/>
      <c r="F44" s="239"/>
      <c r="G44" s="240">
        <f t="shared" si="31"/>
        <v>4687635.9999999991</v>
      </c>
      <c r="H44" s="240"/>
      <c r="I44" s="241"/>
      <c r="J44" s="248" t="str">
        <f t="shared" si="32"/>
        <v>Actual YTD 2023</v>
      </c>
      <c r="K44" s="249"/>
      <c r="L44" s="43">
        <v>222961.76</v>
      </c>
      <c r="M44" s="240">
        <f>L44/7.84</f>
        <v>28439</v>
      </c>
      <c r="N44" s="241"/>
      <c r="O44" s="248" t="str">
        <f t="shared" si="33"/>
        <v>Actual YTD 2023</v>
      </c>
      <c r="P44" s="249"/>
      <c r="Q44" s="249"/>
      <c r="R44" s="250">
        <v>171496.77</v>
      </c>
      <c r="S44" s="250"/>
      <c r="T44" s="240">
        <f>(R44-6500*10)/11.05</f>
        <v>9637.7167420814458</v>
      </c>
      <c r="U44" s="241"/>
      <c r="V44" s="248" t="str">
        <f t="shared" si="34"/>
        <v>Actual YTD 2023</v>
      </c>
      <c r="W44" s="249"/>
      <c r="X44" s="239">
        <v>2138144.3199999998</v>
      </c>
      <c r="Y44" s="239"/>
      <c r="Z44" s="240">
        <f>AG44/0.3442</f>
        <v>2496296.6589192329</v>
      </c>
      <c r="AA44" s="240"/>
      <c r="AB44" s="241"/>
      <c r="AC44" s="115"/>
      <c r="AD44" s="164"/>
      <c r="AF44" s="165"/>
      <c r="AG44" s="121">
        <f>X44-AG39</f>
        <v>859225.31</v>
      </c>
      <c r="AH44" s="242" t="s">
        <v>52</v>
      </c>
      <c r="AI44" s="243"/>
      <c r="AJ44" s="243"/>
      <c r="AK44" s="244"/>
      <c r="AL44" s="8"/>
      <c r="AM44" s="8"/>
      <c r="AN44" s="8"/>
      <c r="AO44" s="8"/>
      <c r="AP44" s="8"/>
    </row>
    <row r="45" spans="1:165" ht="27.95" customHeight="1" x14ac:dyDescent="0.25">
      <c r="G45" s="138"/>
      <c r="H45" s="138">
        <v>45566</v>
      </c>
      <c r="I45" s="84">
        <f ca="1">TODAY()</f>
        <v>45597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6"/>
      <c r="AE45" s="166"/>
      <c r="AF45" s="166"/>
      <c r="AG45" s="161"/>
      <c r="AH45" s="161"/>
      <c r="AI45" s="160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27" t="s">
        <v>26</v>
      </c>
      <c r="B46" s="228"/>
      <c r="D46" s="229" t="s">
        <v>27</v>
      </c>
      <c r="E46" s="230"/>
      <c r="F46" s="230"/>
      <c r="G46" s="231"/>
      <c r="H46" s="48"/>
      <c r="I46" s="232" t="s">
        <v>28</v>
      </c>
      <c r="J46" s="233"/>
      <c r="K46" s="233"/>
      <c r="L46" s="234"/>
      <c r="M46" s="49"/>
      <c r="N46" s="229" t="s">
        <v>29</v>
      </c>
      <c r="O46" s="230"/>
      <c r="P46" s="230"/>
      <c r="Q46" s="230"/>
      <c r="R46" s="230"/>
      <c r="S46" s="231"/>
      <c r="T46" s="2"/>
      <c r="U46" s="229" t="s">
        <v>30</v>
      </c>
      <c r="V46" s="230"/>
      <c r="W46" s="230"/>
      <c r="X46" s="231"/>
      <c r="Y46"/>
      <c r="Z46" s="229" t="s">
        <v>53</v>
      </c>
      <c r="AA46" s="230"/>
      <c r="AB46" s="231"/>
      <c r="AC46"/>
      <c r="AD46" s="245" t="s">
        <v>54</v>
      </c>
      <c r="AE46" s="246"/>
      <c r="AF46" s="247"/>
      <c r="AG46" s="134" t="s">
        <v>55</v>
      </c>
      <c r="AH46" s="41" t="s">
        <v>56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98138.25</v>
      </c>
      <c r="C47" s="10"/>
      <c r="D47" s="220" t="s">
        <v>3</v>
      </c>
      <c r="E47" s="221"/>
      <c r="F47" s="221"/>
      <c r="G47" s="40">
        <f>B47/31</f>
        <v>3165.75</v>
      </c>
      <c r="H47" s="139"/>
      <c r="I47" s="220" t="s">
        <v>3</v>
      </c>
      <c r="J47" s="221"/>
      <c r="K47" s="221"/>
      <c r="L47" s="122">
        <f>I36/J45</f>
        <v>2923.1161290322584</v>
      </c>
      <c r="M47" s="50"/>
      <c r="N47" s="220" t="s">
        <v>3</v>
      </c>
      <c r="O47" s="221"/>
      <c r="P47" s="221"/>
      <c r="Q47" s="221"/>
      <c r="R47" s="237">
        <f>G47*J45</f>
        <v>98138.25</v>
      </c>
      <c r="S47" s="238"/>
      <c r="T47" s="51"/>
      <c r="U47" s="220" t="s">
        <v>3</v>
      </c>
      <c r="V47" s="221"/>
      <c r="W47" s="224">
        <f>I36</f>
        <v>90616.6</v>
      </c>
      <c r="X47" s="225"/>
      <c r="Y47" s="52">
        <f>R47-W47</f>
        <v>7521.6499999999942</v>
      </c>
      <c r="Z47" s="220" t="s">
        <v>3</v>
      </c>
      <c r="AA47" s="221"/>
      <c r="AB47" s="126">
        <f>R47+863005.5</f>
        <v>961143.75</v>
      </c>
      <c r="AC47"/>
      <c r="AD47" s="220" t="s">
        <v>3</v>
      </c>
      <c r="AE47" s="221"/>
      <c r="AF47" s="128">
        <f>W47+787483.6</f>
        <v>878100.2</v>
      </c>
      <c r="AG47" s="129">
        <f>AB47-AF47</f>
        <v>83043.550000000047</v>
      </c>
      <c r="AH47" s="130">
        <f>AF47-AB47</f>
        <v>-83043.550000000047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26702.4503795399</v>
      </c>
      <c r="C48" s="10"/>
      <c r="D48" s="220" t="s">
        <v>4</v>
      </c>
      <c r="E48" s="221"/>
      <c r="F48" s="221"/>
      <c r="G48" s="40">
        <f t="shared" ref="G48:G50" si="35">B48/31</f>
        <v>861.3693670819323</v>
      </c>
      <c r="H48" s="139"/>
      <c r="I48" s="220" t="s">
        <v>4</v>
      </c>
      <c r="J48" s="221"/>
      <c r="K48" s="221"/>
      <c r="L48" s="123">
        <f>L36/J45</f>
        <v>755.42193548387093</v>
      </c>
      <c r="M48" s="50"/>
      <c r="N48" s="220" t="s">
        <v>4</v>
      </c>
      <c r="O48" s="221"/>
      <c r="P48" s="221"/>
      <c r="Q48" s="221"/>
      <c r="R48" s="237">
        <f>G48*J45</f>
        <v>26702.4503795399</v>
      </c>
      <c r="S48" s="238"/>
      <c r="T48" s="51"/>
      <c r="U48" s="220" t="s">
        <v>4</v>
      </c>
      <c r="V48" s="221"/>
      <c r="W48" s="224">
        <f>L36</f>
        <v>23418.079999999998</v>
      </c>
      <c r="X48" s="225"/>
      <c r="Y48" s="52">
        <f>R48-W48</f>
        <v>3284.3703795399015</v>
      </c>
      <c r="Z48" s="220" t="s">
        <v>4</v>
      </c>
      <c r="AA48" s="221"/>
      <c r="AB48" s="126">
        <f>R48+220311.93</f>
        <v>247014.38037953989</v>
      </c>
      <c r="AC48"/>
      <c r="AD48" s="220" t="s">
        <v>4</v>
      </c>
      <c r="AE48" s="221"/>
      <c r="AF48" s="128">
        <f>W48+218469.44</f>
        <v>241887.52</v>
      </c>
      <c r="AG48" s="129">
        <f>AB48-AF48</f>
        <v>5126.8603795398958</v>
      </c>
      <c r="AH48" s="130">
        <f>AF48-AB48</f>
        <v>-5126.8603795398958</v>
      </c>
      <c r="AI48" s="172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21382.731274183901</v>
      </c>
      <c r="C49" s="10"/>
      <c r="D49" s="220" t="s">
        <v>25</v>
      </c>
      <c r="E49" s="221"/>
      <c r="F49" s="221"/>
      <c r="G49" s="40">
        <f t="shared" si="35"/>
        <v>689.76552497367425</v>
      </c>
      <c r="H49" s="50"/>
      <c r="I49" s="220" t="s">
        <v>25</v>
      </c>
      <c r="J49" s="221"/>
      <c r="K49" s="221"/>
      <c r="L49" s="123">
        <f>U36/J45</f>
        <v>612.32438548387074</v>
      </c>
      <c r="M49" s="50"/>
      <c r="N49" s="220" t="s">
        <v>25</v>
      </c>
      <c r="O49" s="221"/>
      <c r="P49" s="221"/>
      <c r="Q49" s="221"/>
      <c r="R49" s="237">
        <f>G49*J45</f>
        <v>21382.731274183901</v>
      </c>
      <c r="S49" s="238"/>
      <c r="T49" s="51"/>
      <c r="U49" s="220" t="s">
        <v>25</v>
      </c>
      <c r="V49" s="221"/>
      <c r="W49" s="224">
        <f>U36</f>
        <v>18982.055949999994</v>
      </c>
      <c r="X49" s="225"/>
      <c r="Y49" s="52">
        <f>R49-W49</f>
        <v>2400.6753241839069</v>
      </c>
      <c r="Z49" s="220" t="s">
        <v>25</v>
      </c>
      <c r="AA49" s="221"/>
      <c r="AB49" s="126">
        <f>R49+164069.23</f>
        <v>185451.96127418391</v>
      </c>
      <c r="AC49"/>
      <c r="AD49" s="220" t="s">
        <v>25</v>
      </c>
      <c r="AE49" s="221"/>
      <c r="AF49" s="128">
        <f>W49+164022.83</f>
        <v>183004.88594999997</v>
      </c>
      <c r="AG49" s="129">
        <f>AB49-AF49</f>
        <v>2447.0753241839411</v>
      </c>
      <c r="AH49" s="130">
        <f>AF49-AB49</f>
        <v>-2447.0753241839411</v>
      </c>
      <c r="AI49" s="172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243486.88</v>
      </c>
      <c r="C50" s="61"/>
      <c r="D50" s="214" t="s">
        <v>15</v>
      </c>
      <c r="E50" s="215"/>
      <c r="F50" s="215"/>
      <c r="G50" s="38">
        <f t="shared" si="35"/>
        <v>7854.4154838709683</v>
      </c>
      <c r="H50" s="53"/>
      <c r="I50" s="214" t="s">
        <v>15</v>
      </c>
      <c r="J50" s="215"/>
      <c r="K50" s="215"/>
      <c r="L50" s="124">
        <f>AA36/J45</f>
        <v>7712.7969776827986</v>
      </c>
      <c r="M50" s="53"/>
      <c r="N50" s="214" t="s">
        <v>15</v>
      </c>
      <c r="O50" s="215"/>
      <c r="P50" s="215"/>
      <c r="Q50" s="215"/>
      <c r="R50" s="235">
        <f>G50*J45</f>
        <v>243486.88</v>
      </c>
      <c r="S50" s="236"/>
      <c r="T50" s="51"/>
      <c r="U50" s="214" t="s">
        <v>15</v>
      </c>
      <c r="V50" s="215"/>
      <c r="W50" s="218">
        <f>AA36</f>
        <v>239096.70630816676</v>
      </c>
      <c r="X50" s="219"/>
      <c r="Y50" s="52">
        <f>R50-W50</f>
        <v>4390.1736918332463</v>
      </c>
      <c r="Z50" s="214" t="s">
        <v>15</v>
      </c>
      <c r="AA50" s="215"/>
      <c r="AB50" s="65">
        <f>R50+1991025.48</f>
        <v>2234512.36</v>
      </c>
      <c r="AC50"/>
      <c r="AD50" s="214" t="s">
        <v>15</v>
      </c>
      <c r="AE50" s="215"/>
      <c r="AF50" s="135">
        <f>W50+1987394.45</f>
        <v>2226491.1563081667</v>
      </c>
      <c r="AG50" s="136">
        <f>AB50-AF50</f>
        <v>8021.2036918331869</v>
      </c>
      <c r="AH50" s="137">
        <f>AF50-AB50</f>
        <v>-8021.2036918331869</v>
      </c>
      <c r="AI50" s="172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389710.31165372382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3">
        <f>SUM(R47:S50)</f>
        <v>389710.31165372382</v>
      </c>
      <c r="S51" s="213"/>
      <c r="T51" s="56"/>
      <c r="U51" s="56"/>
      <c r="V51" s="56"/>
      <c r="W51" s="213">
        <f>SUM(W47:X50)</f>
        <v>372113.44225816673</v>
      </c>
      <c r="X51" s="213"/>
      <c r="Y51" s="52">
        <f>R51-W51</f>
        <v>17596.869395557093</v>
      </c>
      <c r="Z51" s="226"/>
      <c r="AA51" s="226" t="s">
        <v>57</v>
      </c>
      <c r="AB51" s="127">
        <f>SUM(AB47:AB50)</f>
        <v>3628122.4516537236</v>
      </c>
      <c r="AD51" s="131"/>
      <c r="AF51" s="127">
        <f>SUM(AF47:AF50)</f>
        <v>3529483.7622581664</v>
      </c>
      <c r="AG51" s="132">
        <f>AB51-AF51</f>
        <v>98638.689395557158</v>
      </c>
      <c r="AH51" s="127"/>
      <c r="AI51" s="132"/>
      <c r="AJ51" s="132"/>
      <c r="AK51" s="132"/>
      <c r="AL51" s="133"/>
      <c r="AM51" s="133"/>
      <c r="AN51" s="133"/>
      <c r="AO51"/>
      <c r="AP51"/>
      <c r="AQ51"/>
    </row>
    <row r="52" spans="1:43" ht="27.95" customHeight="1" x14ac:dyDescent="0.25">
      <c r="B52" s="54">
        <f>B51*X52</f>
        <v>17596.869395557082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4.5153717695806672E-2</v>
      </c>
      <c r="Y52" s="59"/>
      <c r="Z52"/>
      <c r="AA52"/>
      <c r="AB52"/>
      <c r="AC52"/>
      <c r="AD52"/>
      <c r="AE52"/>
      <c r="AF52" s="58">
        <f>1-(AF51/AB51)</f>
        <v>2.71872547605434E-2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27" t="s">
        <v>40</v>
      </c>
      <c r="B54" s="228"/>
      <c r="D54" s="229" t="s">
        <v>41</v>
      </c>
      <c r="E54" s="230"/>
      <c r="F54" s="230"/>
      <c r="G54" s="231"/>
      <c r="H54" s="48"/>
      <c r="I54" s="232" t="s">
        <v>42</v>
      </c>
      <c r="J54" s="233"/>
      <c r="K54" s="233"/>
      <c r="L54" s="234"/>
      <c r="M54" s="49"/>
      <c r="N54" s="229" t="s">
        <v>30</v>
      </c>
      <c r="O54" s="230"/>
      <c r="P54" s="230"/>
      <c r="Q54" s="230"/>
      <c r="R54" s="230"/>
      <c r="S54" s="231"/>
      <c r="T54" s="2"/>
      <c r="U54" s="229" t="s">
        <v>43</v>
      </c>
      <c r="V54" s="230"/>
      <c r="W54" s="230"/>
      <c r="X54" s="231"/>
      <c r="Y54"/>
      <c r="Z54" s="75" t="s">
        <v>44</v>
      </c>
      <c r="AA54" s="76" t="s">
        <v>45</v>
      </c>
      <c r="AB54"/>
      <c r="AC54"/>
      <c r="AD54" s="73" t="s">
        <v>47</v>
      </c>
      <c r="AE54" s="74" t="s">
        <v>46</v>
      </c>
      <c r="AF54" s="152"/>
      <c r="AG54" s="152"/>
      <c r="AH54" s="152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94810.2</v>
      </c>
      <c r="C55" s="10"/>
      <c r="D55" s="220" t="s">
        <v>3</v>
      </c>
      <c r="E55" s="221"/>
      <c r="F55" s="221"/>
      <c r="G55" s="40">
        <f>B55/31</f>
        <v>3058.3935483870969</v>
      </c>
      <c r="H55" s="50"/>
      <c r="I55" s="220" t="s">
        <v>3</v>
      </c>
      <c r="J55" s="221"/>
      <c r="K55" s="221"/>
      <c r="L55" s="66">
        <f>G55*J45</f>
        <v>94810.2</v>
      </c>
      <c r="M55" s="50"/>
      <c r="N55" s="220" t="s">
        <v>3</v>
      </c>
      <c r="O55" s="221"/>
      <c r="P55" s="221"/>
      <c r="Q55" s="221"/>
      <c r="R55" s="222">
        <f>W47</f>
        <v>90616.6</v>
      </c>
      <c r="S55" s="223"/>
      <c r="T55" s="51"/>
      <c r="U55" s="220" t="s">
        <v>3</v>
      </c>
      <c r="V55" s="221"/>
      <c r="W55" s="224">
        <f>L55-R55</f>
        <v>4193.5999999999913</v>
      </c>
      <c r="X55" s="225"/>
      <c r="Y55" s="52"/>
      <c r="Z55" s="109">
        <f>L47*31</f>
        <v>90616.6</v>
      </c>
      <c r="AA55" s="72">
        <f>Z55+787483.6</f>
        <v>878100.2</v>
      </c>
      <c r="AB55" s="10"/>
      <c r="AC55" s="10"/>
      <c r="AD55" s="68">
        <f>D41-Z55</f>
        <v>4193.5999999999913</v>
      </c>
      <c r="AE55" s="69">
        <f>D44-AA55</f>
        <v>59427</v>
      </c>
      <c r="AF55" s="153"/>
      <c r="AG55" s="153"/>
      <c r="AH55" s="153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22430.240000000002</v>
      </c>
      <c r="C56" s="10"/>
      <c r="D56" s="220" t="s">
        <v>4</v>
      </c>
      <c r="E56" s="221"/>
      <c r="F56" s="221"/>
      <c r="G56" s="40">
        <f t="shared" ref="G56:G58" si="36">B56/31</f>
        <v>723.55612903225813</v>
      </c>
      <c r="H56" s="50"/>
      <c r="I56" s="220" t="s">
        <v>4</v>
      </c>
      <c r="J56" s="221"/>
      <c r="K56" s="221"/>
      <c r="L56" s="66">
        <f>G56*J45</f>
        <v>22430.240000000002</v>
      </c>
      <c r="M56" s="50"/>
      <c r="N56" s="220" t="s">
        <v>4</v>
      </c>
      <c r="O56" s="221"/>
      <c r="P56" s="221"/>
      <c r="Q56" s="221"/>
      <c r="R56" s="222">
        <f>W48</f>
        <v>23418.079999999998</v>
      </c>
      <c r="S56" s="223"/>
      <c r="T56" s="51"/>
      <c r="U56" s="220" t="s">
        <v>4</v>
      </c>
      <c r="V56" s="221"/>
      <c r="W56" s="224">
        <f>L56-R56</f>
        <v>-987.83999999999651</v>
      </c>
      <c r="X56" s="225"/>
      <c r="Y56" s="52"/>
      <c r="Z56" s="109">
        <f>L48*31</f>
        <v>23418.079999999998</v>
      </c>
      <c r="AA56" s="69">
        <f>Z56+218469.44</f>
        <v>241887.52</v>
      </c>
      <c r="AB56" s="10"/>
      <c r="AC56" s="10"/>
      <c r="AD56" s="68">
        <f>L41-Z56</f>
        <v>-987.83999999999651</v>
      </c>
      <c r="AE56" s="69">
        <f>L44-AA56</f>
        <v>-18925.75999999998</v>
      </c>
      <c r="AF56" s="153"/>
      <c r="AG56" s="153"/>
      <c r="AH56" s="153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18185.52</v>
      </c>
      <c r="C57" s="10"/>
      <c r="D57" s="220" t="s">
        <v>25</v>
      </c>
      <c r="E57" s="221"/>
      <c r="F57" s="221"/>
      <c r="G57" s="40">
        <f t="shared" si="36"/>
        <v>586.62967741935483</v>
      </c>
      <c r="H57" s="50"/>
      <c r="I57" s="220" t="s">
        <v>25</v>
      </c>
      <c r="J57" s="221"/>
      <c r="K57" s="221"/>
      <c r="L57" s="66">
        <f>G57*J45</f>
        <v>18185.52</v>
      </c>
      <c r="M57" s="50"/>
      <c r="N57" s="220" t="s">
        <v>25</v>
      </c>
      <c r="O57" s="221"/>
      <c r="P57" s="221"/>
      <c r="Q57" s="221"/>
      <c r="R57" s="222">
        <f>W49</f>
        <v>18982.055949999994</v>
      </c>
      <c r="S57" s="223"/>
      <c r="T57" s="51"/>
      <c r="U57" s="220" t="s">
        <v>25</v>
      </c>
      <c r="V57" s="221"/>
      <c r="W57" s="224">
        <f>L57-R57</f>
        <v>-796.53594999999405</v>
      </c>
      <c r="X57" s="225"/>
      <c r="Y57" s="52"/>
      <c r="Z57" s="109">
        <f>L49*31</f>
        <v>18982.055949999994</v>
      </c>
      <c r="AA57" s="69">
        <f>Z57+164022.83</f>
        <v>183004.88594999997</v>
      </c>
      <c r="AB57" s="10"/>
      <c r="AC57" s="10"/>
      <c r="AD57" s="68">
        <f>R41-Z57</f>
        <v>-796.53594999999405</v>
      </c>
      <c r="AE57" s="69">
        <f>R44-AA57</f>
        <v>-11508.115949999978</v>
      </c>
      <c r="AF57" s="153"/>
      <c r="AG57" s="153"/>
      <c r="AH57" s="153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236614.51</v>
      </c>
      <c r="C58" s="61"/>
      <c r="D58" s="214" t="s">
        <v>15</v>
      </c>
      <c r="E58" s="215"/>
      <c r="F58" s="215"/>
      <c r="G58" s="38">
        <f t="shared" si="36"/>
        <v>7632.7261290322585</v>
      </c>
      <c r="H58" s="53"/>
      <c r="I58" s="214" t="s">
        <v>15</v>
      </c>
      <c r="J58" s="215"/>
      <c r="K58" s="215"/>
      <c r="L58" s="67">
        <f>G58*J45</f>
        <v>236614.51</v>
      </c>
      <c r="M58" s="53"/>
      <c r="N58" s="214" t="s">
        <v>15</v>
      </c>
      <c r="O58" s="215"/>
      <c r="P58" s="215"/>
      <c r="Q58" s="215"/>
      <c r="R58" s="216">
        <f>W50</f>
        <v>239096.70630816676</v>
      </c>
      <c r="S58" s="217"/>
      <c r="T58" s="51"/>
      <c r="U58" s="214" t="s">
        <v>15</v>
      </c>
      <c r="V58" s="215"/>
      <c r="W58" s="218">
        <f>L58-R58</f>
        <v>-2482.1963081667491</v>
      </c>
      <c r="X58" s="219"/>
      <c r="Y58" s="52"/>
      <c r="Z58" s="109">
        <f>L50*31</f>
        <v>239096.70630816676</v>
      </c>
      <c r="AA58" s="69">
        <f>Z58+1987394.45</f>
        <v>2226491.1563081667</v>
      </c>
      <c r="AB58" s="10"/>
      <c r="AC58" s="10"/>
      <c r="AD58" s="68">
        <f>X41-Z58</f>
        <v>-2482.1963081667491</v>
      </c>
      <c r="AE58" s="69">
        <f>Z44-AA58</f>
        <v>269805.50261106621</v>
      </c>
      <c r="AF58" s="153"/>
      <c r="AG58" s="153"/>
      <c r="AH58" s="153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372040.47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372040.47</v>
      </c>
      <c r="M59" s="53"/>
      <c r="N59" s="53"/>
      <c r="O59" s="53"/>
      <c r="P59" s="53"/>
      <c r="Q59" s="53"/>
      <c r="R59" s="213">
        <f>SUM(R55:S58)</f>
        <v>372113.44225816673</v>
      </c>
      <c r="S59" s="213"/>
      <c r="T59" s="56"/>
      <c r="U59" s="56"/>
      <c r="V59" s="56"/>
      <c r="W59" s="213">
        <f>SUM(W55:X58)</f>
        <v>-72.972258166748361</v>
      </c>
      <c r="X59" s="213"/>
      <c r="Y59" s="52"/>
      <c r="Z59" s="170">
        <f>SUM(Z55:Z58)</f>
        <v>372113.44225816673</v>
      </c>
      <c r="AA59" s="71">
        <f>SUM(AA55:AA58)</f>
        <v>3529483.7622581664</v>
      </c>
      <c r="AB59" s="10"/>
      <c r="AC59" s="10"/>
      <c r="AD59" s="70">
        <f>SUM(AD55:AD58)</f>
        <v>-72.972258166748361</v>
      </c>
      <c r="AE59" s="71">
        <f>SUM(AE55:AE58)</f>
        <v>298798.62666106626</v>
      </c>
      <c r="AF59" s="153"/>
      <c r="AG59" s="153"/>
      <c r="AH59" s="153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-72.972258166751203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-1.9614064611506166E-4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5"/>
      <c r="B62" s="173"/>
      <c r="C62" s="173"/>
      <c r="D62" s="173"/>
      <c r="E62" s="173"/>
      <c r="F62" s="173"/>
      <c r="G62" s="173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3"/>
      <c r="AA62" s="13"/>
      <c r="AB62" s="173"/>
      <c r="AC62" s="173"/>
      <c r="AD62" s="173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6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6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6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6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6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5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198">
    <mergeCell ref="A1:AE1"/>
    <mergeCell ref="A2:A4"/>
    <mergeCell ref="B2:I2"/>
    <mergeCell ref="J2:L2"/>
    <mergeCell ref="M2:U2"/>
    <mergeCell ref="V2:AC2"/>
    <mergeCell ref="O3:P3"/>
    <mergeCell ref="Q3:Q4"/>
    <mergeCell ref="R3:R4"/>
    <mergeCell ref="S3:S4"/>
    <mergeCell ref="V3:V4"/>
    <mergeCell ref="W3:W4"/>
    <mergeCell ref="X3:X4"/>
    <mergeCell ref="Y3:Y4"/>
    <mergeCell ref="U3:U4"/>
    <mergeCell ref="AF2:AY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W3:AY3"/>
    <mergeCell ref="AF3:AG3"/>
    <mergeCell ref="AH3:AJ3"/>
    <mergeCell ref="AK3:AM3"/>
    <mergeCell ref="AN3:AP3"/>
    <mergeCell ref="AQ3:AS3"/>
    <mergeCell ref="AT3:AV3"/>
    <mergeCell ref="Z3:Z4"/>
    <mergeCell ref="AA3:AA4"/>
    <mergeCell ref="AB3:AB4"/>
    <mergeCell ref="AC3:AC4"/>
    <mergeCell ref="AD3:AD4"/>
    <mergeCell ref="AE3:AE4"/>
    <mergeCell ref="T3:T4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6EBC249C-503B-4475-8B23-66735F82E1D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OCT 2024</vt:lpstr>
      <vt:lpstr>'OCT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2024-11-01T08:22:58Z</dcterms:modified>
</cp:coreProperties>
</file>