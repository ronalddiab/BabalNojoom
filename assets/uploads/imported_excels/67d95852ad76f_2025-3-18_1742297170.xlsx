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2/"/>
    </mc:Choice>
  </mc:AlternateContent>
  <xr:revisionPtr revIDLastSave="698" documentId="8_{8847650D-614C-4264-8C87-30D8B5EB4252}" xr6:coauthVersionLast="47" xr6:coauthVersionMax="47" xr10:uidLastSave="{66B36C6C-C340-4688-A9A6-E3C752F4FED9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 l="1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K6" authorId="0" shapeId="0" xr:uid="{854E55C9-E2DF-4BE8-81FE-294E58CBCB00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Hot water hotel pipe leakage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K10" authorId="0" shapeId="0" xr:uid="{0DC1D23E-D390-4C90-81B3-399E98E89734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friday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<sst xmlns="http://schemas.openxmlformats.org/spreadsheetml/2006/main" count="123" uniqueCount="88">
  <si>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</si>
  <si>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</si>
  <si>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</si>
  <si>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</si>
  <si>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</si>
  <si>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</si>
  <si>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</si>
  <si>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</si>
  <si>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</si>
  <si>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</si>
  <si>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</si>
  <si>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</si>
  <si>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</si>
  <si>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</si>
  <si>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</si>
  <si>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</si>
  <si>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</si>
  <si>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</si>
  <si>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</si>
  <si>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</si>
  <si>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</si>
  <si>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</si>
  <si>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</si>
  <si>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</si>
  <si>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</si>
  <si>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</si>
  <si>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</si>
  <si>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</si>
  <si>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</si>
  <si>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</si>
  <si>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</si>
  <si>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</si>
  <si>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</si>
  <si>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</si>
  <si>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</si>
  <si>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</si>
  <si>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</si>
  <si>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</si>
  <si>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</si>
  <si>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</si>
  <si>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</si>
  <si>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</si>
  <si>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</si>
  <si>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</si>
  <si>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</si>
  <si>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</si>
  <si>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</si>
  <si>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</si>
  <si>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</si>
  <si>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</si>
  <si>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</si>
  <si>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</si>
  <si>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</si>
  <si>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</si>
  <si>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</si>
  <si>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</si>
  <si>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</si>
  <si>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</si>
  <si>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</si>
  <si>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</si>
  <si>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</si>
  <si>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</si>
  <si>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</si>
  <si>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</si>
  <si>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</si>
  <si>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</si>
  <si>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</si>
  <si>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</si>
  <si>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</si>
  <si>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</si>
  <si>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</si>
  <si>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</si>
  <si>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</si>
  <si>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</si>
  <si>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</si>
  <si>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</si>
  <si>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</si>
  <si>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</si>
  <si>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</si>
  <si>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</si>
  <si>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</si>
  <si>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</si>
  <si>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</si>
  <si>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</si>
  <si>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GAS METER READINGS &amp; CONSUMPTION (Liters) OCTOBER 2023</t>
  </si>
  <si>
    <t>DAILY ELECTRICITY METER READINGS &amp; CONSUMPTION OCTOBER 2022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</si>
  <si>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OCTOBER  2022</t>
    </r>
  </si>
  <si>
    <t>Occupied Room &amp; Number of Guest
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</si>
</sst>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8" fontId="28" fillId="0" borderId="21" xfId="1" applyNumberFormat="1" applyFont="1" applyFill="1" applyBorder="1"/>
    <xf numFmtId="166" fontId="18" fillId="5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10</v>
      </c>
      <c r="D2" s="10">
        <v>2022</v>
      </c>
      <c r="E2" s="4" cm="1">
        <f t="array" ref="E2:E32">TRANSPOSE(Electricity!E21:AI21)</f>
        <v>43527</v>
      </c>
      <c r="F2" s="11">
        <v>0.2</v>
      </c>
      <c r="G2" s="4">
        <f>LPG!C4</f>
        <v>1971.6390322580644</v>
      </c>
      <c r="H2" s="11">
        <v>1.4899936699137331</v>
      </c>
      <c r="I2" s="4" cm="1">
        <f t="array" ref="I2:I32">TRANSPOSE(Water!E15:AI15)</f>
        <v>270.79099999999465</v>
      </c>
      <c r="J2" s="11">
        <v>7.84</v>
      </c>
      <c r="K2" s="4">
        <f>'Occupied &amp; No. of Guest'!B3</f>
        <v>262</v>
      </c>
      <c r="L2" s="4">
        <f>'Occupied &amp; No. of Guest'!C3</f>
        <v>333</v>
      </c>
    </row>
    <row r="3" spans="1:12" x14ac:dyDescent="0.25">
      <c r="A3" s="9" t="s">
        <v>52</v>
      </c>
      <c r="B3" s="10">
        <f>B2+1</f>
        <v>2</v>
      </c>
      <c r="C3" s="10">
        <v>10</v>
      </c>
      <c r="D3" s="10">
        <v>2022</v>
      </c>
      <c r="E3" s="4">
        <v>42525</v>
      </c>
      <c r="F3" s="11">
        <v>0.2</v>
      </c>
      <c r="G3" s="4">
        <f>LPG!C5</f>
        <v>1971.6390322580644</v>
      </c>
      <c r="H3" s="11">
        <v>1.4899936699137331</v>
      </c>
      <c r="I3" s="4">
        <v>333.0000000000403</v>
      </c>
      <c r="J3" s="11">
        <v>7.84</v>
      </c>
      <c r="K3" s="4">
        <f>'Occupied &amp; No. of Guest'!B4</f>
        <v>305</v>
      </c>
      <c r="L3" s="4">
        <f>'Occupied &amp; No. of Guest'!C4</f>
        <v>380</v>
      </c>
    </row>
    <row r="4" spans="1:12" x14ac:dyDescent="0.25">
      <c r="A4" s="9" t="s">
        <v>52</v>
      </c>
      <c r="B4" s="10">
        <f t="shared" ref="B4:B32" si="0">B3+1</f>
        <v>3</v>
      </c>
      <c r="C4" s="10">
        <v>10</v>
      </c>
      <c r="D4" s="10">
        <v>2022</v>
      </c>
      <c r="E4" s="4">
        <v>41849</v>
      </c>
      <c r="F4" s="11">
        <v>0.2</v>
      </c>
      <c r="G4" s="4">
        <f>LPG!C6</f>
        <v>1971.6390322580644</v>
      </c>
      <c r="H4" s="11">
        <v>1.4899936699137331</v>
      </c>
      <c r="I4" s="4">
        <v>264.85099999998954</v>
      </c>
      <c r="J4" s="11">
        <v>7.84</v>
      </c>
      <c r="K4" s="4">
        <f>'Occupied &amp; No. of Guest'!B5</f>
        <v>335</v>
      </c>
      <c r="L4" s="4">
        <f>'Occupied &amp; No. of Guest'!C5</f>
        <v>412</v>
      </c>
    </row>
    <row r="5" spans="1:12" x14ac:dyDescent="0.25">
      <c r="A5" s="9" t="s">
        <v>52</v>
      </c>
      <c r="B5" s="10">
        <f t="shared" si="0"/>
        <v>4</v>
      </c>
      <c r="C5" s="10">
        <v>10</v>
      </c>
      <c r="D5" s="10">
        <v>2022</v>
      </c>
      <c r="E5" s="4">
        <v>42703</v>
      </c>
      <c r="F5" s="11">
        <v>0.2</v>
      </c>
      <c r="G5" s="4">
        <f>LPG!C7</f>
        <v>1971.6390322580644</v>
      </c>
      <c r="H5" s="11">
        <v>1.4899936699137331</v>
      </c>
      <c r="I5" s="4">
        <v>290.91199999999753</v>
      </c>
      <c r="J5" s="11">
        <v>7.84</v>
      </c>
      <c r="K5" s="4">
        <f>'Occupied &amp; No. of Guest'!B6</f>
        <v>278</v>
      </c>
      <c r="L5" s="4">
        <f>'Occupied &amp; No. of Guest'!C6</f>
        <v>348</v>
      </c>
    </row>
    <row r="6" spans="1:12" x14ac:dyDescent="0.25">
      <c r="A6" s="9" t="s">
        <v>52</v>
      </c>
      <c r="B6" s="10">
        <f t="shared" si="0"/>
        <v>5</v>
      </c>
      <c r="C6" s="10">
        <v>10</v>
      </c>
      <c r="D6" s="10">
        <v>2022</v>
      </c>
      <c r="E6" s="4">
        <v>44304</v>
      </c>
      <c r="F6" s="11">
        <v>0.2</v>
      </c>
      <c r="G6" s="4">
        <f>LPG!C8</f>
        <v>1971.6390322580644</v>
      </c>
      <c r="H6" s="11">
        <v>1.4899936699137331</v>
      </c>
      <c r="I6" s="4">
        <v>248.69499999996751</v>
      </c>
      <c r="J6" s="11">
        <v>7.84</v>
      </c>
      <c r="K6" s="4">
        <f>'Occupied &amp; No. of Guest'!B7</f>
        <v>265</v>
      </c>
      <c r="L6" s="4">
        <f>'Occupied &amp; No. of Guest'!C7</f>
        <v>334</v>
      </c>
    </row>
    <row r="7" spans="1:12" x14ac:dyDescent="0.25">
      <c r="A7" s="9" t="s">
        <v>52</v>
      </c>
      <c r="B7" s="10">
        <f t="shared" si="0"/>
        <v>6</v>
      </c>
      <c r="C7" s="10">
        <v>10</v>
      </c>
      <c r="D7" s="10">
        <v>2022</v>
      </c>
      <c r="E7" s="4">
        <v>42927</v>
      </c>
      <c r="F7" s="11">
        <v>0.2</v>
      </c>
      <c r="G7" s="4">
        <f>LPG!C9</f>
        <v>1971.6390322580644</v>
      </c>
      <c r="H7" s="11">
        <v>1.4899936699137331</v>
      </c>
      <c r="I7" s="4">
        <v>318.11400000005187</v>
      </c>
      <c r="J7" s="11">
        <v>7.84</v>
      </c>
      <c r="K7" s="4">
        <f>'Occupied &amp; No. of Guest'!B8</f>
        <v>261</v>
      </c>
      <c r="L7" s="4">
        <f>'Occupied &amp; No. of Guest'!C8</f>
        <v>336</v>
      </c>
    </row>
    <row r="8" spans="1:12" x14ac:dyDescent="0.25">
      <c r="A8" s="9" t="s">
        <v>52</v>
      </c>
      <c r="B8" s="10">
        <f t="shared" si="0"/>
        <v>7</v>
      </c>
      <c r="C8" s="10">
        <v>10</v>
      </c>
      <c r="D8" s="10">
        <v>2022</v>
      </c>
      <c r="E8" s="4">
        <v>41115</v>
      </c>
      <c r="F8" s="11">
        <v>0.2</v>
      </c>
      <c r="G8" s="4">
        <f>LPG!C10</f>
        <v>1971.6390322580644</v>
      </c>
      <c r="H8" s="11">
        <v>1.4899936699137331</v>
      </c>
      <c r="I8" s="4">
        <v>262.13000000001045</v>
      </c>
      <c r="J8" s="11">
        <v>7.84</v>
      </c>
      <c r="K8" s="4">
        <f>'Occupied &amp; No. of Guest'!B9</f>
        <v>276</v>
      </c>
      <c r="L8" s="4">
        <f>'Occupied &amp; No. of Guest'!C9</f>
        <v>371</v>
      </c>
    </row>
    <row r="9" spans="1:12" x14ac:dyDescent="0.25">
      <c r="A9" s="9" t="s">
        <v>52</v>
      </c>
      <c r="B9" s="10">
        <f t="shared" si="0"/>
        <v>8</v>
      </c>
      <c r="C9" s="10">
        <v>10</v>
      </c>
      <c r="D9" s="10">
        <v>2022</v>
      </c>
      <c r="E9" s="4">
        <v>37734</v>
      </c>
      <c r="F9" s="11">
        <v>0.2</v>
      </c>
      <c r="G9" s="4">
        <f>LPG!C11</f>
        <v>1971.6390322580644</v>
      </c>
      <c r="H9" s="11">
        <v>1.4899936699137331</v>
      </c>
      <c r="I9" s="4">
        <v>322.92599999998305</v>
      </c>
      <c r="J9" s="11">
        <v>7.84</v>
      </c>
      <c r="K9" s="4">
        <f>'Occupied &amp; No. of Guest'!B10</f>
        <v>298</v>
      </c>
      <c r="L9" s="4">
        <f>'Occupied &amp; No. of Guest'!C10</f>
        <v>432</v>
      </c>
    </row>
    <row r="10" spans="1:12" x14ac:dyDescent="0.25">
      <c r="A10" s="9" t="s">
        <v>52</v>
      </c>
      <c r="B10" s="10">
        <f t="shared" si="0"/>
        <v>9</v>
      </c>
      <c r="C10" s="10">
        <v>10</v>
      </c>
      <c r="D10" s="10">
        <v>2022</v>
      </c>
      <c r="E10" s="4">
        <v>37114</v>
      </c>
      <c r="F10" s="11">
        <v>0.2</v>
      </c>
      <c r="G10" s="4">
        <f>LPG!C12</f>
        <v>1971.6390322580644</v>
      </c>
      <c r="H10" s="11">
        <v>1.4899936699137331</v>
      </c>
      <c r="I10" s="4">
        <v>289.05799999996634</v>
      </c>
      <c r="J10" s="11">
        <v>7.84</v>
      </c>
      <c r="K10" s="4">
        <f>'Occupied &amp; No. of Guest'!B11</f>
        <v>264</v>
      </c>
      <c r="L10" s="4">
        <f>'Occupied &amp; No. of Guest'!C11</f>
        <v>356</v>
      </c>
    </row>
    <row r="11" spans="1:12" x14ac:dyDescent="0.25">
      <c r="A11" s="9" t="s">
        <v>52</v>
      </c>
      <c r="B11" s="10">
        <f t="shared" si="0"/>
        <v>10</v>
      </c>
      <c r="C11" s="10">
        <v>10</v>
      </c>
      <c r="D11" s="10">
        <v>2022</v>
      </c>
      <c r="E11" s="4">
        <v>39328</v>
      </c>
      <c r="F11" s="11">
        <v>0.2</v>
      </c>
      <c r="G11" s="4">
        <f>LPG!C13</f>
        <v>1971.6390322580644</v>
      </c>
      <c r="H11" s="11">
        <v>1.4899936699137331</v>
      </c>
      <c r="I11" s="4">
        <v>330.43700000000399</v>
      </c>
      <c r="J11" s="11">
        <v>7.84</v>
      </c>
      <c r="K11" s="4">
        <f>'Occupied &amp; No. of Guest'!B12</f>
        <v>306</v>
      </c>
      <c r="L11" s="4">
        <f>'Occupied &amp; No. of Guest'!C12</f>
        <v>395</v>
      </c>
    </row>
    <row r="12" spans="1:12" x14ac:dyDescent="0.25">
      <c r="A12" s="9" t="s">
        <v>52</v>
      </c>
      <c r="B12" s="10">
        <f t="shared" si="0"/>
        <v>11</v>
      </c>
      <c r="C12" s="10">
        <v>10</v>
      </c>
      <c r="D12" s="10">
        <v>2022</v>
      </c>
      <c r="E12" s="4">
        <v>39131</v>
      </c>
      <c r="F12" s="11">
        <v>0.2</v>
      </c>
      <c r="G12" s="4">
        <f>LPG!C14</f>
        <v>1971.6390322580644</v>
      </c>
      <c r="H12" s="11">
        <v>1.4899936699137331</v>
      </c>
      <c r="I12" s="4">
        <v>290.62100000000765</v>
      </c>
      <c r="J12" s="11">
        <v>7.84</v>
      </c>
      <c r="K12" s="4">
        <f>'Occupied &amp; No. of Guest'!B13</f>
        <v>387</v>
      </c>
      <c r="L12" s="4">
        <f>'Occupied &amp; No. of Guest'!C13</f>
        <v>500</v>
      </c>
    </row>
    <row r="13" spans="1:12" x14ac:dyDescent="0.25">
      <c r="A13" s="9" t="s">
        <v>52</v>
      </c>
      <c r="B13" s="10">
        <f t="shared" si="0"/>
        <v>12</v>
      </c>
      <c r="C13" s="10">
        <v>10</v>
      </c>
      <c r="D13" s="10">
        <v>2022</v>
      </c>
      <c r="E13" s="4">
        <v>43730</v>
      </c>
      <c r="F13" s="11">
        <v>0.2</v>
      </c>
      <c r="G13" s="4">
        <f>LPG!C15</f>
        <v>1971.6390322580644</v>
      </c>
      <c r="H13" s="11">
        <v>1.4899936699137331</v>
      </c>
      <c r="I13" s="4">
        <v>251.27300000002091</v>
      </c>
      <c r="J13" s="11">
        <v>7.84</v>
      </c>
      <c r="K13" s="4">
        <f>'Occupied &amp; No. of Guest'!B14</f>
        <v>349</v>
      </c>
      <c r="L13" s="4">
        <f>'Occupied &amp; No. of Guest'!C14</f>
        <v>436</v>
      </c>
    </row>
    <row r="14" spans="1:12" x14ac:dyDescent="0.25">
      <c r="A14" s="9" t="s">
        <v>52</v>
      </c>
      <c r="B14" s="10">
        <f t="shared" si="0"/>
        <v>13</v>
      </c>
      <c r="C14" s="10">
        <v>10</v>
      </c>
      <c r="D14" s="10">
        <v>2022</v>
      </c>
      <c r="E14" s="4">
        <v>38909</v>
      </c>
      <c r="F14" s="11">
        <v>0.2</v>
      </c>
      <c r="G14" s="4">
        <f>LPG!C16</f>
        <v>1971.6390322580644</v>
      </c>
      <c r="H14" s="11">
        <v>1.4899936699137331</v>
      </c>
      <c r="I14" s="4">
        <v>337.49399999997155</v>
      </c>
      <c r="J14" s="11">
        <v>7.84</v>
      </c>
      <c r="K14" s="4">
        <f>'Occupied &amp; No. of Guest'!B15</f>
        <v>288</v>
      </c>
      <c r="L14" s="4">
        <f>'Occupied &amp; No. of Guest'!C15</f>
        <v>357</v>
      </c>
    </row>
    <row r="15" spans="1:12" x14ac:dyDescent="0.25">
      <c r="A15" s="9" t="s">
        <v>52</v>
      </c>
      <c r="B15" s="10">
        <f t="shared" si="0"/>
        <v>14</v>
      </c>
      <c r="C15" s="10">
        <v>10</v>
      </c>
      <c r="D15" s="10">
        <v>2022</v>
      </c>
      <c r="E15" s="4">
        <v>38531</v>
      </c>
      <c r="F15" s="11">
        <v>0.2</v>
      </c>
      <c r="G15" s="4">
        <f>LPG!C17</f>
        <v>1971.6390322580644</v>
      </c>
      <c r="H15" s="11">
        <v>1.4899936699137331</v>
      </c>
      <c r="I15" s="4">
        <v>162.58699999998407</v>
      </c>
      <c r="J15" s="11">
        <v>7.84</v>
      </c>
      <c r="K15" s="4">
        <f>'Occupied &amp; No. of Guest'!B16</f>
        <v>274</v>
      </c>
      <c r="L15" s="4">
        <f>'Occupied &amp; No. of Guest'!C16</f>
        <v>372</v>
      </c>
    </row>
    <row r="16" spans="1:12" x14ac:dyDescent="0.25">
      <c r="A16" s="9" t="s">
        <v>52</v>
      </c>
      <c r="B16" s="10">
        <f t="shared" si="0"/>
        <v>15</v>
      </c>
      <c r="C16" s="10">
        <v>10</v>
      </c>
      <c r="D16" s="10">
        <v>2022</v>
      </c>
      <c r="E16" s="4">
        <v>39934</v>
      </c>
      <c r="F16" s="11">
        <v>0.2</v>
      </c>
      <c r="G16" s="4">
        <f>LPG!C18</f>
        <v>1971.6390322580644</v>
      </c>
      <c r="H16" s="11">
        <v>1.4899936699137331</v>
      </c>
      <c r="I16" s="4">
        <v>285.98800000002103</v>
      </c>
      <c r="J16" s="11">
        <v>7.84</v>
      </c>
      <c r="K16" s="4">
        <f>'Occupied &amp; No. of Guest'!B17</f>
        <v>270</v>
      </c>
      <c r="L16" s="4">
        <f>'Occupied &amp; No. of Guest'!C17</f>
        <v>393</v>
      </c>
    </row>
    <row r="17" spans="1:12" x14ac:dyDescent="0.25">
      <c r="A17" s="9" t="s">
        <v>52</v>
      </c>
      <c r="B17" s="10">
        <f t="shared" si="0"/>
        <v>16</v>
      </c>
      <c r="C17" s="10">
        <v>10</v>
      </c>
      <c r="D17" s="10">
        <v>2022</v>
      </c>
      <c r="E17" s="4">
        <v>41118</v>
      </c>
      <c r="F17" s="11">
        <v>0.2</v>
      </c>
      <c r="G17" s="4">
        <f>LPG!C19</f>
        <v>1971.6390322580644</v>
      </c>
      <c r="H17" s="11">
        <v>1.4899936699137331</v>
      </c>
      <c r="I17" s="4">
        <v>281.94200000000632</v>
      </c>
      <c r="J17" s="11">
        <v>7.84</v>
      </c>
      <c r="K17" s="4">
        <f>'Occupied &amp; No. of Guest'!B18</f>
        <v>340</v>
      </c>
      <c r="L17" s="4">
        <f>'Occupied &amp; No. of Guest'!C18</f>
        <v>456</v>
      </c>
    </row>
    <row r="18" spans="1:12" x14ac:dyDescent="0.25">
      <c r="A18" s="9" t="s">
        <v>52</v>
      </c>
      <c r="B18" s="10">
        <f t="shared" si="0"/>
        <v>17</v>
      </c>
      <c r="C18" s="10">
        <v>10</v>
      </c>
      <c r="D18" s="10">
        <v>2022</v>
      </c>
      <c r="E18" s="4">
        <v>38707</v>
      </c>
      <c r="F18" s="11">
        <v>0.2</v>
      </c>
      <c r="G18" s="4">
        <f>LPG!C20</f>
        <v>1971.6390322580644</v>
      </c>
      <c r="H18" s="11">
        <v>1.4899936699137331</v>
      </c>
      <c r="I18" s="4">
        <v>312.80199999997285</v>
      </c>
      <c r="J18" s="11">
        <v>7.84</v>
      </c>
      <c r="K18" s="4">
        <f>'Occupied &amp; No. of Guest'!B19</f>
        <v>316</v>
      </c>
      <c r="L18" s="4">
        <f>'Occupied &amp; No. of Guest'!C19</f>
        <v>391</v>
      </c>
    </row>
    <row r="19" spans="1:12" x14ac:dyDescent="0.25">
      <c r="A19" s="9" t="s">
        <v>52</v>
      </c>
      <c r="B19" s="10">
        <f t="shared" si="0"/>
        <v>18</v>
      </c>
      <c r="C19" s="10">
        <v>10</v>
      </c>
      <c r="D19" s="10">
        <v>2022</v>
      </c>
      <c r="E19" s="4">
        <v>39714</v>
      </c>
      <c r="F19" s="11">
        <v>0.2</v>
      </c>
      <c r="G19" s="4">
        <f>LPG!C21</f>
        <v>1971.6390322580644</v>
      </c>
      <c r="H19" s="11">
        <v>1.4899936699137331</v>
      </c>
      <c r="I19" s="4">
        <v>255.26000000002335</v>
      </c>
      <c r="J19" s="11">
        <v>7.84</v>
      </c>
      <c r="K19" s="4">
        <f>'Occupied &amp; No. of Guest'!B20</f>
        <v>380</v>
      </c>
      <c r="L19" s="4">
        <f>'Occupied &amp; No. of Guest'!C20</f>
        <v>471</v>
      </c>
    </row>
    <row r="20" spans="1:12" x14ac:dyDescent="0.25">
      <c r="A20" s="9" t="s">
        <v>52</v>
      </c>
      <c r="B20" s="10">
        <f t="shared" si="0"/>
        <v>19</v>
      </c>
      <c r="C20" s="10">
        <v>10</v>
      </c>
      <c r="D20" s="10">
        <v>2022</v>
      </c>
      <c r="E20" s="4">
        <v>40115</v>
      </c>
      <c r="F20" s="11">
        <v>0.2</v>
      </c>
      <c r="G20" s="4">
        <f>LPG!C22</f>
        <v>1971.6390322580644</v>
      </c>
      <c r="H20" s="11">
        <v>1.4899936699137331</v>
      </c>
      <c r="I20" s="4">
        <v>297.53799999998199</v>
      </c>
      <c r="J20" s="11">
        <v>7.84</v>
      </c>
      <c r="K20" s="4">
        <f>'Occupied &amp; No. of Guest'!B21</f>
        <v>411</v>
      </c>
      <c r="L20" s="4">
        <f>'Occupied &amp; No. of Guest'!C21</f>
        <v>530</v>
      </c>
    </row>
    <row r="21" spans="1:12" x14ac:dyDescent="0.25">
      <c r="A21" s="9" t="s">
        <v>52</v>
      </c>
      <c r="B21" s="10">
        <f t="shared" si="0"/>
        <v>20</v>
      </c>
      <c r="C21" s="10">
        <v>10</v>
      </c>
      <c r="D21" s="10">
        <v>2022</v>
      </c>
      <c r="E21" s="4">
        <v>41107</v>
      </c>
      <c r="F21" s="11">
        <v>0.2</v>
      </c>
      <c r="G21" s="4">
        <f>LPG!C23</f>
        <v>1971.6390322580644</v>
      </c>
      <c r="H21" s="11">
        <v>1.4899936699137331</v>
      </c>
      <c r="I21" s="4">
        <v>302.92300000005059</v>
      </c>
      <c r="J21" s="11">
        <v>7.84</v>
      </c>
      <c r="K21" s="4">
        <f>'Occupied &amp; No. of Guest'!B22</f>
        <v>360</v>
      </c>
      <c r="L21" s="4">
        <f>'Occupied &amp; No. of Guest'!C22</f>
        <v>480</v>
      </c>
    </row>
    <row r="22" spans="1:12" x14ac:dyDescent="0.25">
      <c r="A22" s="9" t="s">
        <v>52</v>
      </c>
      <c r="B22" s="10">
        <f t="shared" si="0"/>
        <v>21</v>
      </c>
      <c r="C22" s="10">
        <v>10</v>
      </c>
      <c r="D22" s="10">
        <v>2022</v>
      </c>
      <c r="E22" s="4">
        <v>38931</v>
      </c>
      <c r="F22" s="11">
        <v>0.2</v>
      </c>
      <c r="G22" s="4">
        <f>LPG!C24</f>
        <v>1971.6390322580644</v>
      </c>
      <c r="H22" s="11">
        <v>1.4899936699137331</v>
      </c>
      <c r="I22" s="4">
        <v>223.58999999995982</v>
      </c>
      <c r="J22" s="11">
        <v>7.84</v>
      </c>
      <c r="K22" s="4">
        <f>'Occupied &amp; No. of Guest'!B23</f>
        <v>367</v>
      </c>
      <c r="L22" s="4">
        <f>'Occupied &amp; No. of Guest'!C23</f>
        <v>537</v>
      </c>
    </row>
    <row r="23" spans="1:12" x14ac:dyDescent="0.25">
      <c r="A23" s="9" t="s">
        <v>52</v>
      </c>
      <c r="B23" s="10">
        <f t="shared" si="0"/>
        <v>22</v>
      </c>
      <c r="C23" s="10">
        <v>10</v>
      </c>
      <c r="D23" s="10">
        <v>2022</v>
      </c>
      <c r="E23" s="4">
        <v>39926</v>
      </c>
      <c r="F23" s="11">
        <v>0.2</v>
      </c>
      <c r="G23" s="4">
        <f>LPG!C25</f>
        <v>1971.6390322580644</v>
      </c>
      <c r="H23" s="11">
        <v>1.4899936699137331</v>
      </c>
      <c r="I23" s="4">
        <v>345.81500000000119</v>
      </c>
      <c r="J23" s="11">
        <v>7.84</v>
      </c>
      <c r="K23" s="4" t="e">
        <f>'Occupied &amp; No. of Guest'!#REF!</f>
        <v>#REF!</v>
      </c>
      <c r="L23" s="4">
        <f>'Occupied &amp; No. of Guest'!C24</f>
        <v>655</v>
      </c>
    </row>
    <row r="24" spans="1:12" x14ac:dyDescent="0.25">
      <c r="A24" s="9" t="s">
        <v>52</v>
      </c>
      <c r="B24" s="10">
        <f t="shared" si="0"/>
        <v>23</v>
      </c>
      <c r="C24" s="10">
        <v>10</v>
      </c>
      <c r="D24" s="10">
        <v>2022</v>
      </c>
      <c r="E24" s="4">
        <v>37929</v>
      </c>
      <c r="F24" s="11">
        <v>0.2</v>
      </c>
      <c r="G24" s="4">
        <f>LPG!C26</f>
        <v>1971.6390322580644</v>
      </c>
      <c r="H24" s="11">
        <v>1.4899936699137331</v>
      </c>
      <c r="I24" s="4">
        <v>338.70400000002212</v>
      </c>
      <c r="J24" s="11">
        <v>7.84</v>
      </c>
      <c r="K24" s="4">
        <f>'Occupied &amp; No. of Guest'!B24</f>
        <v>445</v>
      </c>
      <c r="L24" s="4">
        <f>'Occupied &amp; No. of Guest'!C25</f>
        <v>448</v>
      </c>
    </row>
    <row r="25" spans="1:12" x14ac:dyDescent="0.25">
      <c r="A25" s="9" t="s">
        <v>52</v>
      </c>
      <c r="B25" s="10">
        <f t="shared" si="0"/>
        <v>24</v>
      </c>
      <c r="C25" s="10">
        <v>10</v>
      </c>
      <c r="D25" s="10">
        <v>2022</v>
      </c>
      <c r="E25" s="4">
        <v>37529</v>
      </c>
      <c r="F25" s="11">
        <v>0.2</v>
      </c>
      <c r="G25" s="4">
        <f>LPG!C27</f>
        <v>1971.6390322580644</v>
      </c>
      <c r="H25" s="11">
        <v>1.4899936699137331</v>
      </c>
      <c r="I25" s="4">
        <v>310.35599999996111</v>
      </c>
      <c r="J25" s="11">
        <v>7.84</v>
      </c>
      <c r="K25" s="4">
        <f>'Occupied &amp; No. of Guest'!B26</f>
        <v>385</v>
      </c>
      <c r="L25" s="4">
        <f>'Occupied &amp; No. of Guest'!C26</f>
        <v>505</v>
      </c>
    </row>
    <row r="26" spans="1:12" x14ac:dyDescent="0.25">
      <c r="A26" s="9" t="s">
        <v>52</v>
      </c>
      <c r="B26" s="10">
        <f>B25+1</f>
        <v>25</v>
      </c>
      <c r="C26" s="10">
        <v>10</v>
      </c>
      <c r="D26" s="10">
        <v>2022</v>
      </c>
      <c r="E26" s="4">
        <v>38531</v>
      </c>
      <c r="F26" s="11">
        <v>0.2</v>
      </c>
      <c r="G26" s="4">
        <f>LPG!C28</f>
        <v>1971.6390322580644</v>
      </c>
      <c r="H26" s="11">
        <v>1.4899936699137331</v>
      </c>
      <c r="I26" s="4">
        <v>257.47199999999987</v>
      </c>
      <c r="J26" s="11">
        <v>7.84</v>
      </c>
      <c r="K26" s="4">
        <f>'Occupied &amp; No. of Guest'!B27</f>
        <v>444</v>
      </c>
      <c r="L26" s="4">
        <f>'Occupied &amp; No. of Guest'!C27</f>
        <v>575</v>
      </c>
    </row>
    <row r="27" spans="1:12" x14ac:dyDescent="0.25">
      <c r="A27" s="9" t="s">
        <v>52</v>
      </c>
      <c r="B27" s="10">
        <f t="shared" si="0"/>
        <v>26</v>
      </c>
      <c r="C27" s="10">
        <v>10</v>
      </c>
      <c r="D27" s="10">
        <v>2022</v>
      </c>
      <c r="E27" s="4">
        <v>39530</v>
      </c>
      <c r="F27" s="11">
        <v>0.2</v>
      </c>
      <c r="G27" s="4">
        <f>LPG!C29</f>
        <v>1971.6390322580644</v>
      </c>
      <c r="H27" s="11">
        <v>1.4899936699137331</v>
      </c>
      <c r="I27" s="4">
        <v>313.48299999999995</v>
      </c>
      <c r="J27" s="11">
        <v>7.84</v>
      </c>
      <c r="K27" s="4">
        <f>'Occupied &amp; No. of Guest'!B28</f>
        <v>467</v>
      </c>
      <c r="L27" s="4">
        <f>'Occupied &amp; No. of Guest'!C28</f>
        <v>603</v>
      </c>
    </row>
    <row r="28" spans="1:12" x14ac:dyDescent="0.25">
      <c r="A28" s="9" t="s">
        <v>52</v>
      </c>
      <c r="B28" s="10">
        <f t="shared" si="0"/>
        <v>27</v>
      </c>
      <c r="C28" s="10">
        <v>10</v>
      </c>
      <c r="D28" s="10">
        <v>2022</v>
      </c>
      <c r="E28" s="4">
        <v>37321</v>
      </c>
      <c r="F28" s="11">
        <v>0.2</v>
      </c>
      <c r="G28" s="4">
        <f>LPG!C30</f>
        <v>1971.6390322580644</v>
      </c>
      <c r="H28" s="11">
        <v>1.4899936699137331</v>
      </c>
      <c r="I28" s="4">
        <v>361.80300000002762</v>
      </c>
      <c r="J28" s="11">
        <v>7.84</v>
      </c>
      <c r="K28" s="4">
        <f>'Occupied &amp; No. of Guest'!B29</f>
        <v>449</v>
      </c>
      <c r="L28" s="4">
        <f>'Occupied &amp; No. of Guest'!C29</f>
        <v>606</v>
      </c>
    </row>
    <row r="29" spans="1:12" x14ac:dyDescent="0.25">
      <c r="A29" s="9" t="s">
        <v>52</v>
      </c>
      <c r="B29" s="10">
        <f t="shared" si="0"/>
        <v>28</v>
      </c>
      <c r="C29" s="10">
        <v>10</v>
      </c>
      <c r="D29" s="10">
        <v>2022</v>
      </c>
      <c r="E29" s="4">
        <v>38913</v>
      </c>
      <c r="F29" s="11">
        <v>0.2</v>
      </c>
      <c r="G29" s="4">
        <f>LPG!C31</f>
        <v>1971.6390322580644</v>
      </c>
      <c r="H29" s="11">
        <v>1.4899936699137331</v>
      </c>
      <c r="I29" s="4">
        <v>234.15800000001144</v>
      </c>
      <c r="J29" s="11">
        <v>7.84</v>
      </c>
      <c r="K29" s="4">
        <f>'Occupied &amp; No. of Guest'!B30</f>
        <v>433</v>
      </c>
      <c r="L29" s="4">
        <f>'Occupied &amp; No. of Guest'!C30</f>
        <v>615</v>
      </c>
    </row>
    <row r="30" spans="1:12" x14ac:dyDescent="0.25">
      <c r="A30" s="9" t="s">
        <v>52</v>
      </c>
      <c r="B30" s="10">
        <f t="shared" si="0"/>
        <v>29</v>
      </c>
      <c r="C30" s="10">
        <v>10</v>
      </c>
      <c r="D30" s="10">
        <v>2022</v>
      </c>
      <c r="E30" s="4">
        <v>40301</v>
      </c>
      <c r="F30" s="11">
        <v>0.2</v>
      </c>
      <c r="G30" s="4">
        <f>LPG!C32</f>
        <v>1971.6390322580644</v>
      </c>
      <c r="H30" s="11">
        <v>1.4899936699137331</v>
      </c>
      <c r="I30" s="4">
        <v>308.80999999999597</v>
      </c>
      <c r="J30" s="11">
        <v>7.84</v>
      </c>
      <c r="K30" s="4">
        <f>'Occupied &amp; No. of Guest'!B31</f>
        <v>475</v>
      </c>
      <c r="L30" s="4">
        <f>'Occupied &amp; No. of Guest'!C31</f>
        <v>705</v>
      </c>
    </row>
    <row r="31" spans="1:12" x14ac:dyDescent="0.25">
      <c r="A31" s="9" t="s">
        <v>52</v>
      </c>
      <c r="B31" s="10">
        <f t="shared" si="0"/>
        <v>30</v>
      </c>
      <c r="C31" s="10">
        <v>10</v>
      </c>
      <c r="D31" s="10">
        <v>2022</v>
      </c>
      <c r="E31" s="4">
        <v>38927</v>
      </c>
      <c r="F31" s="11">
        <v>0.2</v>
      </c>
      <c r="G31" s="4">
        <f>LPG!C33</f>
        <v>1971.6390322580644</v>
      </c>
      <c r="H31" s="11">
        <v>1.4899936699137331</v>
      </c>
      <c r="I31" s="4">
        <v>350.52499999998071</v>
      </c>
      <c r="J31" s="11">
        <v>7.84</v>
      </c>
      <c r="K31" s="4">
        <f>'Occupied &amp; No. of Guest'!B32</f>
        <v>466</v>
      </c>
      <c r="L31" s="4">
        <f>'Occupied &amp; No. of Guest'!C32</f>
        <v>607</v>
      </c>
    </row>
    <row r="32" spans="1:12" x14ac:dyDescent="0.25">
      <c r="A32" s="9" t="s">
        <v>52</v>
      </c>
      <c r="B32" s="10">
        <f t="shared" si="0"/>
        <v>31</v>
      </c>
      <c r="C32" s="10">
        <v>10</v>
      </c>
      <c r="D32" s="10">
        <v>2022</v>
      </c>
      <c r="E32" s="4">
        <v>39920</v>
      </c>
      <c r="F32" s="11">
        <v>0.2</v>
      </c>
      <c r="G32" s="4">
        <f>LPG!C34</f>
        <v>1971.6390322580644</v>
      </c>
      <c r="H32" s="11">
        <v>1.4899936699137331</v>
      </c>
      <c r="I32" s="4">
        <v>335.72700000000015</v>
      </c>
      <c r="J32" s="11">
        <v>7.84</v>
      </c>
      <c r="K32" s="4">
        <f>'Occupied &amp; No. of Guest'!B33</f>
        <v>488</v>
      </c>
      <c r="L32" s="4">
        <f>'Occupied &amp; No. of Guest'!C33</f>
        <v>598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5" t="s">
        <v>85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67" s="14" customFormat="1" ht="29.25" customHeight="1" thickBot="1" x14ac:dyDescent="0.3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7">
        <v>1</v>
      </c>
      <c r="B5" s="20" t="s">
        <v>14</v>
      </c>
      <c r="C5" s="69" t="s">
        <v>15</v>
      </c>
      <c r="D5" s="21">
        <v>90345</v>
      </c>
      <c r="E5" s="21">
        <v>90369</v>
      </c>
      <c r="F5" s="21">
        <v>90392</v>
      </c>
      <c r="G5" s="21">
        <v>90415</v>
      </c>
      <c r="H5" s="21">
        <v>90439</v>
      </c>
      <c r="I5" s="21">
        <v>90465</v>
      </c>
      <c r="J5" s="21">
        <v>90488</v>
      </c>
      <c r="K5" s="21">
        <v>90510</v>
      </c>
      <c r="L5" s="21">
        <v>90533</v>
      </c>
      <c r="M5" s="21">
        <v>90555</v>
      </c>
      <c r="N5" s="21">
        <v>90578</v>
      </c>
      <c r="O5" s="21">
        <v>90600</v>
      </c>
      <c r="P5" s="21">
        <v>90625</v>
      </c>
      <c r="Q5" s="21">
        <v>90648</v>
      </c>
      <c r="R5" s="21">
        <v>90671</v>
      </c>
      <c r="S5" s="21">
        <v>90695</v>
      </c>
      <c r="T5" s="21">
        <v>90719</v>
      </c>
      <c r="U5" s="21">
        <v>90741</v>
      </c>
      <c r="V5" s="21">
        <v>90764</v>
      </c>
      <c r="W5" s="21">
        <v>90787</v>
      </c>
      <c r="X5" s="21">
        <v>90811</v>
      </c>
      <c r="Y5" s="21">
        <v>90834</v>
      </c>
      <c r="Z5" s="21">
        <v>90858</v>
      </c>
      <c r="AA5" s="21">
        <v>90880</v>
      </c>
      <c r="AB5" s="21">
        <v>90902</v>
      </c>
      <c r="AC5" s="21">
        <v>90925</v>
      </c>
      <c r="AD5" s="21">
        <v>90949</v>
      </c>
      <c r="AE5" s="21">
        <v>90972</v>
      </c>
      <c r="AF5" s="21">
        <v>90995</v>
      </c>
      <c r="AG5" s="21">
        <v>91019</v>
      </c>
      <c r="AH5" s="21">
        <v>91042</v>
      </c>
      <c r="AI5" s="21">
        <v>91066</v>
      </c>
    </row>
    <row r="6" spans="1:67" s="24" customFormat="1" ht="21.75" customHeight="1" thickBot="1" x14ac:dyDescent="0.25">
      <c r="A6" s="68"/>
      <c r="B6" s="22"/>
      <c r="C6" s="70"/>
      <c r="D6" s="23"/>
      <c r="E6" s="23">
        <f>(E5-D5)*1000</f>
        <v>24000</v>
      </c>
      <c r="F6" s="23">
        <f t="shared" ref="F6:AI6" si="0">(F5-E5)*1000</f>
        <v>23000</v>
      </c>
      <c r="G6" s="23">
        <f t="shared" si="0"/>
        <v>23000</v>
      </c>
      <c r="H6" s="23">
        <f t="shared" si="0"/>
        <v>24000</v>
      </c>
      <c r="I6" s="23">
        <f t="shared" si="0"/>
        <v>26000</v>
      </c>
      <c r="J6" s="23">
        <f t="shared" si="0"/>
        <v>23000</v>
      </c>
      <c r="K6" s="23">
        <f t="shared" si="0"/>
        <v>22000</v>
      </c>
      <c r="L6" s="23">
        <f t="shared" si="0"/>
        <v>23000</v>
      </c>
      <c r="M6" s="23">
        <f t="shared" si="0"/>
        <v>22000</v>
      </c>
      <c r="N6" s="23">
        <f t="shared" si="0"/>
        <v>23000</v>
      </c>
      <c r="O6" s="23">
        <f t="shared" si="0"/>
        <v>22000</v>
      </c>
      <c r="P6" s="23">
        <f t="shared" si="0"/>
        <v>25000</v>
      </c>
      <c r="Q6" s="23">
        <f t="shared" si="0"/>
        <v>23000</v>
      </c>
      <c r="R6" s="23">
        <f t="shared" si="0"/>
        <v>23000</v>
      </c>
      <c r="S6" s="23">
        <f t="shared" si="0"/>
        <v>24000</v>
      </c>
      <c r="T6" s="23">
        <f t="shared" si="0"/>
        <v>24000</v>
      </c>
      <c r="U6" s="23">
        <f t="shared" si="0"/>
        <v>22000</v>
      </c>
      <c r="V6" s="23">
        <f t="shared" si="0"/>
        <v>23000</v>
      </c>
      <c r="W6" s="23">
        <f t="shared" si="0"/>
        <v>23000</v>
      </c>
      <c r="X6" s="23">
        <f t="shared" si="0"/>
        <v>24000</v>
      </c>
      <c r="Y6" s="23">
        <f t="shared" si="0"/>
        <v>23000</v>
      </c>
      <c r="Z6" s="23">
        <f t="shared" si="0"/>
        <v>24000</v>
      </c>
      <c r="AA6" s="23">
        <f t="shared" si="0"/>
        <v>22000</v>
      </c>
      <c r="AB6" s="23">
        <f t="shared" si="0"/>
        <v>22000</v>
      </c>
      <c r="AC6" s="23">
        <f t="shared" si="0"/>
        <v>23000</v>
      </c>
      <c r="AD6" s="23">
        <f t="shared" si="0"/>
        <v>24000</v>
      </c>
      <c r="AE6" s="23">
        <f t="shared" si="0"/>
        <v>23000</v>
      </c>
      <c r="AF6" s="23">
        <f t="shared" si="0"/>
        <v>23000</v>
      </c>
      <c r="AG6" s="23">
        <f t="shared" si="0"/>
        <v>24000</v>
      </c>
      <c r="AH6" s="23">
        <f t="shared" si="0"/>
        <v>23000</v>
      </c>
      <c r="AI6" s="23">
        <f t="shared" si="0"/>
        <v>24000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1">
        <v>2</v>
      </c>
      <c r="B7" s="25" t="s">
        <v>16</v>
      </c>
      <c r="C7" s="73" t="s">
        <v>17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thickBot="1" x14ac:dyDescent="0.25">
      <c r="A8" s="72"/>
      <c r="B8" s="22"/>
      <c r="C8" s="70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8">
        <v>3</v>
      </c>
      <c r="B9" s="36" t="s">
        <v>53</v>
      </c>
      <c r="C9" s="80" t="s">
        <v>54</v>
      </c>
      <c r="D9" s="21">
        <v>102340</v>
      </c>
      <c r="E9" s="21">
        <v>102377</v>
      </c>
      <c r="F9" s="21">
        <v>102414</v>
      </c>
      <c r="G9" s="21">
        <v>102452</v>
      </c>
      <c r="H9" s="21">
        <v>102490</v>
      </c>
      <c r="I9" s="21">
        <v>102529</v>
      </c>
      <c r="J9" s="21">
        <v>102574</v>
      </c>
      <c r="K9" s="21">
        <v>102612</v>
      </c>
      <c r="L9" s="21">
        <v>102630</v>
      </c>
      <c r="M9" s="21">
        <v>102658</v>
      </c>
      <c r="N9" s="21">
        <v>102696</v>
      </c>
      <c r="O9" s="21">
        <v>102736</v>
      </c>
      <c r="P9" s="21">
        <v>102781</v>
      </c>
      <c r="Q9" s="21">
        <v>102818</v>
      </c>
      <c r="R9" s="21">
        <v>102854</v>
      </c>
      <c r="S9" s="21">
        <v>102890</v>
      </c>
      <c r="T9" s="21">
        <v>102928</v>
      </c>
      <c r="U9" s="21">
        <v>102966</v>
      </c>
      <c r="V9" s="21">
        <v>103003</v>
      </c>
      <c r="W9" s="21">
        <v>103042</v>
      </c>
      <c r="X9" s="21">
        <v>103080</v>
      </c>
      <c r="Y9" s="21">
        <v>103116</v>
      </c>
      <c r="Z9" s="21">
        <v>103152</v>
      </c>
      <c r="AA9" s="21">
        <v>103188</v>
      </c>
      <c r="AB9" s="21">
        <v>103222</v>
      </c>
      <c r="AC9" s="21">
        <v>103257</v>
      </c>
      <c r="AD9" s="21">
        <v>103292</v>
      </c>
      <c r="AE9" s="21">
        <v>103325</v>
      </c>
      <c r="AF9" s="21">
        <v>103362</v>
      </c>
      <c r="AG9" s="21">
        <v>103399</v>
      </c>
      <c r="AH9" s="21">
        <v>103436</v>
      </c>
      <c r="AI9" s="21">
        <v>103473</v>
      </c>
    </row>
    <row r="10" spans="1:67" s="24" customFormat="1" ht="21.75" customHeight="1" thickBot="1" x14ac:dyDescent="0.25">
      <c r="A10" s="79"/>
      <c r="B10" s="37"/>
      <c r="C10" s="77"/>
      <c r="D10" s="23"/>
      <c r="E10" s="23">
        <f>(E9-D9)*1000</f>
        <v>37000</v>
      </c>
      <c r="F10" s="23">
        <f t="shared" ref="F10" si="31">(F9-E9)*1000</f>
        <v>37000</v>
      </c>
      <c r="G10" s="23">
        <f t="shared" ref="G10" si="32">(G9-F9)*1000</f>
        <v>38000</v>
      </c>
      <c r="H10" s="23">
        <f t="shared" ref="H10" si="33">(H9-G9)*1000</f>
        <v>38000</v>
      </c>
      <c r="I10" s="23">
        <f t="shared" ref="I10" si="34">(I9-H9)*1000</f>
        <v>39000</v>
      </c>
      <c r="J10" s="23">
        <f t="shared" ref="J10" si="35">(J9-I9)*1000</f>
        <v>45000</v>
      </c>
      <c r="K10" s="23">
        <f t="shared" ref="K10" si="36">(K9-J9)*1000</f>
        <v>38000</v>
      </c>
      <c r="L10" s="23">
        <f t="shared" ref="L10" si="37">(L9-K9)*1000</f>
        <v>18000</v>
      </c>
      <c r="M10" s="23">
        <f t="shared" ref="M10" si="38">(M9-L9)*1000</f>
        <v>28000</v>
      </c>
      <c r="N10" s="23">
        <f t="shared" ref="N10" si="39">(N9-M9)*1000</f>
        <v>38000</v>
      </c>
      <c r="O10" s="23">
        <f t="shared" ref="O10" si="40">(O9-N9)*1000</f>
        <v>40000</v>
      </c>
      <c r="P10" s="23">
        <f t="shared" ref="P10" si="41">(P9-O9)*1000</f>
        <v>45000</v>
      </c>
      <c r="Q10" s="23">
        <f t="shared" ref="Q10" si="42">(Q9-P9)*1000</f>
        <v>37000</v>
      </c>
      <c r="R10" s="23">
        <f t="shared" ref="R10" si="43">(R9-Q9)*1000</f>
        <v>36000</v>
      </c>
      <c r="S10" s="23">
        <f t="shared" ref="S10" si="44">(S9-R9)*1000</f>
        <v>36000</v>
      </c>
      <c r="T10" s="23">
        <f t="shared" ref="T10" si="45">(T9-S9)*1000</f>
        <v>38000</v>
      </c>
      <c r="U10" s="23">
        <f t="shared" ref="U10" si="46">(U9-T9)*1000</f>
        <v>38000</v>
      </c>
      <c r="V10" s="23">
        <f t="shared" ref="V10" si="47">(V9-U9)*1000</f>
        <v>37000</v>
      </c>
      <c r="W10" s="23">
        <f t="shared" ref="W10" si="48">(W9-V9)*1000</f>
        <v>39000</v>
      </c>
      <c r="X10" s="23">
        <f t="shared" ref="X10" si="49">(X9-W9)*1000</f>
        <v>38000</v>
      </c>
      <c r="Y10" s="23">
        <f t="shared" ref="Y10" si="50">(Y9-X9)*1000</f>
        <v>36000</v>
      </c>
      <c r="Z10" s="23">
        <f t="shared" ref="Z10" si="51">(Z9-Y9)*1000</f>
        <v>36000</v>
      </c>
      <c r="AA10" s="23">
        <f t="shared" ref="AA10" si="52">(AA9-Z9)*1000</f>
        <v>36000</v>
      </c>
      <c r="AB10" s="23">
        <f t="shared" ref="AB10" si="53">(AB9-AA9)*1000</f>
        <v>34000</v>
      </c>
      <c r="AC10" s="23">
        <f t="shared" ref="AC10" si="54">(AC9-AB9)*1000</f>
        <v>35000</v>
      </c>
      <c r="AD10" s="23">
        <f t="shared" ref="AD10" si="55">(AD9-AC9)*1000</f>
        <v>35000</v>
      </c>
      <c r="AE10" s="23">
        <f t="shared" ref="AE10" si="56">(AE9-AD9)*1000</f>
        <v>33000</v>
      </c>
      <c r="AF10" s="23">
        <f t="shared" ref="AF10" si="57">(AF9-AE9)*1000</f>
        <v>37000</v>
      </c>
      <c r="AG10" s="23">
        <f t="shared" ref="AG10" si="58">(AG9-AF9)*1000</f>
        <v>37000</v>
      </c>
      <c r="AH10" s="23">
        <f t="shared" ref="AH10" si="59">(AH9-AG9)*1000</f>
        <v>37000</v>
      </c>
      <c r="AI10" s="23">
        <f t="shared" ref="AI10" si="60">(AI9-AH9)*1000</f>
        <v>37000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4">
        <v>4</v>
      </c>
      <c r="B11" s="36" t="s">
        <v>55</v>
      </c>
      <c r="C11" s="80" t="s">
        <v>56</v>
      </c>
      <c r="D11" s="21">
        <v>88108</v>
      </c>
      <c r="E11" s="21">
        <v>88119</v>
      </c>
      <c r="F11" s="21">
        <v>88130</v>
      </c>
      <c r="G11" s="21">
        <v>88139</v>
      </c>
      <c r="H11" s="21">
        <v>88147</v>
      </c>
      <c r="I11" s="21">
        <v>88153</v>
      </c>
      <c r="J11" s="21">
        <v>88157</v>
      </c>
      <c r="K11" s="21">
        <v>88166</v>
      </c>
      <c r="L11" s="21">
        <v>88184</v>
      </c>
      <c r="M11" s="21">
        <v>88193</v>
      </c>
      <c r="N11" s="21">
        <v>88195</v>
      </c>
      <c r="O11" s="21">
        <v>88197</v>
      </c>
      <c r="P11" s="21">
        <v>88198</v>
      </c>
      <c r="Q11" s="21">
        <v>88200</v>
      </c>
      <c r="R11" s="21">
        <v>88202</v>
      </c>
      <c r="S11" s="21">
        <v>88205</v>
      </c>
      <c r="T11" s="21">
        <v>88209</v>
      </c>
      <c r="U11" s="21">
        <v>88212</v>
      </c>
      <c r="V11" s="21">
        <v>88216</v>
      </c>
      <c r="W11" s="21">
        <v>88219</v>
      </c>
      <c r="X11" s="21">
        <v>88223</v>
      </c>
      <c r="Y11" s="21">
        <v>88226</v>
      </c>
      <c r="Z11" s="21">
        <v>88229</v>
      </c>
      <c r="AA11" s="21">
        <v>88232</v>
      </c>
      <c r="AB11" s="21">
        <v>88236</v>
      </c>
      <c r="AC11" s="21">
        <v>88239</v>
      </c>
      <c r="AD11" s="21">
        <v>88242</v>
      </c>
      <c r="AE11" s="21">
        <v>88244</v>
      </c>
      <c r="AF11" s="21">
        <v>88246</v>
      </c>
      <c r="AG11" s="21">
        <v>88249</v>
      </c>
      <c r="AH11" s="21">
        <v>88251</v>
      </c>
      <c r="AI11" s="21">
        <v>88253</v>
      </c>
    </row>
    <row r="12" spans="1:67" s="38" customFormat="1" ht="21.75" customHeight="1" thickBot="1" x14ac:dyDescent="0.25">
      <c r="A12" s="75"/>
      <c r="B12" s="37"/>
      <c r="C12" s="77"/>
      <c r="D12" s="23"/>
      <c r="E12" s="23">
        <f>(E11-D11)*1000</f>
        <v>11000</v>
      </c>
      <c r="F12" s="23">
        <f t="shared" ref="F12" si="61">(F11-E11)*1000</f>
        <v>11000</v>
      </c>
      <c r="G12" s="23">
        <f t="shared" ref="G12" si="62">(G11-F11)*1000</f>
        <v>9000</v>
      </c>
      <c r="H12" s="23">
        <f t="shared" ref="H12" si="63">(H11-G11)*1000</f>
        <v>8000</v>
      </c>
      <c r="I12" s="23">
        <f t="shared" ref="I12" si="64">(I11-H11)*1000</f>
        <v>6000</v>
      </c>
      <c r="J12" s="23">
        <f t="shared" ref="J12" si="65">(J11-I11)*1000</f>
        <v>4000</v>
      </c>
      <c r="K12" s="23">
        <f t="shared" ref="K12" si="66">(K11-J11)*1000</f>
        <v>9000</v>
      </c>
      <c r="L12" s="23">
        <f t="shared" ref="L12" si="67">(L11-K11)*1000</f>
        <v>18000</v>
      </c>
      <c r="M12" s="23">
        <f t="shared" ref="M12" si="68">(M11-L11)*1000</f>
        <v>9000</v>
      </c>
      <c r="N12" s="23">
        <f t="shared" ref="N12" si="69">(N11-M11)*1000</f>
        <v>2000</v>
      </c>
      <c r="O12" s="23">
        <f t="shared" ref="O12" si="70">(O11-N11)*1000</f>
        <v>2000</v>
      </c>
      <c r="P12" s="23">
        <f t="shared" ref="P12" si="71">(P11-O11)*1000</f>
        <v>1000</v>
      </c>
      <c r="Q12" s="23">
        <f t="shared" ref="Q12" si="72">(Q11-P11)*1000</f>
        <v>2000</v>
      </c>
      <c r="R12" s="23">
        <f t="shared" ref="R12" si="73">(R11-Q11)*1000</f>
        <v>2000</v>
      </c>
      <c r="S12" s="23">
        <f t="shared" ref="S12" si="74">(S11-R11)*1000</f>
        <v>3000</v>
      </c>
      <c r="T12" s="23">
        <f t="shared" ref="T12" si="75">(T11-S11)*1000</f>
        <v>4000</v>
      </c>
      <c r="U12" s="23">
        <f t="shared" ref="U12" si="76">(U11-T11)*1000</f>
        <v>3000</v>
      </c>
      <c r="V12" s="23">
        <f t="shared" ref="V12" si="77">(V11-U11)*1000</f>
        <v>4000</v>
      </c>
      <c r="W12" s="23">
        <f t="shared" ref="W12" si="78">(W11-V11)*1000</f>
        <v>3000</v>
      </c>
      <c r="X12" s="23">
        <f t="shared" ref="X12" si="79">(X11-W11)*1000</f>
        <v>4000</v>
      </c>
      <c r="Y12" s="23">
        <f t="shared" ref="Y12" si="80">(Y11-X11)*1000</f>
        <v>3000</v>
      </c>
      <c r="Z12" s="23">
        <f t="shared" ref="Z12" si="81">(Z11-Y11)*1000</f>
        <v>3000</v>
      </c>
      <c r="AA12" s="23">
        <f t="shared" ref="AA12" si="82">(AA11-Z11)*1000</f>
        <v>3000</v>
      </c>
      <c r="AB12" s="23">
        <f t="shared" ref="AB12" si="83">(AB11-AA11)*1000</f>
        <v>4000</v>
      </c>
      <c r="AC12" s="23">
        <f t="shared" ref="AC12" si="84">(AC11-AB11)*1000</f>
        <v>3000</v>
      </c>
      <c r="AD12" s="23">
        <f t="shared" ref="AD12" si="85">(AD11-AC11)*1000</f>
        <v>3000</v>
      </c>
      <c r="AE12" s="23">
        <f t="shared" ref="AE12" si="86">(AE11-AD11)*1000</f>
        <v>2000</v>
      </c>
      <c r="AF12" s="23">
        <f t="shared" ref="AF12" si="87">(AF11-AE11)*1000</f>
        <v>2000</v>
      </c>
      <c r="AG12" s="23">
        <f t="shared" ref="AG12" si="88">(AG11-AF11)*1000</f>
        <v>3000</v>
      </c>
      <c r="AH12" s="23">
        <f t="shared" ref="AH12" si="89">(AH11-AG11)*1000</f>
        <v>2000</v>
      </c>
      <c r="AI12" s="23">
        <f t="shared" ref="AI12" si="90">(AI11-AH11)*1000</f>
        <v>2000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8">
        <v>7</v>
      </c>
      <c r="B13" s="39" t="s">
        <v>57</v>
      </c>
      <c r="C13" s="76" t="s">
        <v>58</v>
      </c>
      <c r="D13" s="40">
        <v>3117</v>
      </c>
      <c r="E13" s="40">
        <v>3119</v>
      </c>
      <c r="F13" s="40">
        <v>3119</v>
      </c>
      <c r="G13" s="40">
        <v>3119</v>
      </c>
      <c r="H13" s="40">
        <v>3119</v>
      </c>
      <c r="I13" s="40">
        <v>3119</v>
      </c>
      <c r="J13" s="40">
        <v>3119</v>
      </c>
      <c r="K13" s="40">
        <v>3119</v>
      </c>
      <c r="L13" s="40">
        <v>3119</v>
      </c>
      <c r="M13" s="40">
        <v>3119</v>
      </c>
      <c r="N13" s="40">
        <v>3119</v>
      </c>
      <c r="O13" s="40">
        <v>3119</v>
      </c>
      <c r="P13" s="40">
        <v>3119</v>
      </c>
      <c r="Q13" s="40">
        <v>3119</v>
      </c>
      <c r="R13" s="40">
        <v>3119</v>
      </c>
      <c r="S13" s="40">
        <v>3119</v>
      </c>
      <c r="T13" s="40">
        <v>3119</v>
      </c>
      <c r="U13" s="40">
        <v>3119</v>
      </c>
      <c r="V13" s="40">
        <v>3119</v>
      </c>
      <c r="W13" s="40">
        <v>3121</v>
      </c>
      <c r="X13" s="40">
        <v>3121</v>
      </c>
      <c r="Y13" s="40">
        <v>3121</v>
      </c>
      <c r="Z13" s="40">
        <v>3121</v>
      </c>
      <c r="AA13" s="40">
        <v>3121</v>
      </c>
      <c r="AB13" s="40">
        <v>3121</v>
      </c>
      <c r="AC13" s="40">
        <v>3121</v>
      </c>
      <c r="AD13" s="40">
        <v>3121</v>
      </c>
      <c r="AE13" s="40">
        <v>3121</v>
      </c>
      <c r="AF13" s="40">
        <v>3121</v>
      </c>
      <c r="AG13" s="40">
        <v>3121</v>
      </c>
      <c r="AH13" s="40">
        <v>3121</v>
      </c>
      <c r="AI13" s="40">
        <v>3121</v>
      </c>
    </row>
    <row r="14" spans="1:67" s="24" customFormat="1" ht="21.75" customHeight="1" thickBot="1" x14ac:dyDescent="0.25">
      <c r="A14" s="79"/>
      <c r="B14" s="41"/>
      <c r="C14" s="77"/>
      <c r="D14" s="42"/>
      <c r="E14" s="42">
        <f>E13-D13</f>
        <v>2</v>
      </c>
      <c r="F14" s="42">
        <f t="shared" ref="F14:AI14" si="91">F13-E13</f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2</v>
      </c>
      <c r="X14" s="42">
        <f t="shared" si="91"/>
        <v>0</v>
      </c>
      <c r="Y14" s="42">
        <f t="shared" si="91"/>
        <v>0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0</v>
      </c>
      <c r="AE14" s="42">
        <f>AE13-AD13</f>
        <v>0</v>
      </c>
      <c r="AF14" s="42">
        <f t="shared" si="91"/>
        <v>0</v>
      </c>
      <c r="AG14" s="42">
        <f t="shared" si="91"/>
        <v>0</v>
      </c>
      <c r="AH14" s="42">
        <f t="shared" si="91"/>
        <v>0</v>
      </c>
      <c r="AI14" s="42">
        <f t="shared" si="91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4">
        <v>8</v>
      </c>
      <c r="B15" s="39" t="s">
        <v>59</v>
      </c>
      <c r="C15" s="76" t="s">
        <v>60</v>
      </c>
      <c r="D15" s="40">
        <v>377</v>
      </c>
      <c r="E15" s="40">
        <v>378</v>
      </c>
      <c r="F15" s="40">
        <v>378</v>
      </c>
      <c r="G15" s="40">
        <v>378</v>
      </c>
      <c r="H15" s="40">
        <v>378</v>
      </c>
      <c r="I15" s="40">
        <v>378</v>
      </c>
      <c r="J15" s="40">
        <v>378</v>
      </c>
      <c r="K15" s="40">
        <v>378</v>
      </c>
      <c r="L15" s="40">
        <v>378</v>
      </c>
      <c r="M15" s="40">
        <v>378</v>
      </c>
      <c r="N15" s="40">
        <v>378</v>
      </c>
      <c r="O15" s="40">
        <v>378</v>
      </c>
      <c r="P15" s="40">
        <v>378</v>
      </c>
      <c r="Q15" s="40">
        <v>378</v>
      </c>
      <c r="R15" s="40">
        <v>378</v>
      </c>
      <c r="S15" s="40">
        <v>378</v>
      </c>
      <c r="T15" s="40">
        <v>378</v>
      </c>
      <c r="U15" s="40">
        <v>379</v>
      </c>
      <c r="V15" s="40">
        <v>379</v>
      </c>
      <c r="W15" s="40">
        <v>379</v>
      </c>
      <c r="X15" s="40">
        <v>379</v>
      </c>
      <c r="Y15" s="40">
        <v>379</v>
      </c>
      <c r="Z15" s="40">
        <v>379</v>
      </c>
      <c r="AA15" s="40">
        <v>379</v>
      </c>
      <c r="AB15" s="40">
        <v>379</v>
      </c>
      <c r="AC15" s="40">
        <v>379</v>
      </c>
      <c r="AD15" s="40">
        <v>379</v>
      </c>
      <c r="AE15" s="40">
        <v>379</v>
      </c>
      <c r="AF15" s="40">
        <v>379</v>
      </c>
      <c r="AG15" s="40">
        <v>379</v>
      </c>
      <c r="AH15" s="40">
        <v>379</v>
      </c>
      <c r="AI15" s="40">
        <v>380</v>
      </c>
    </row>
    <row r="16" spans="1:67" s="24" customFormat="1" ht="21.75" customHeight="1" thickBot="1" x14ac:dyDescent="0.25">
      <c r="A16" s="75"/>
      <c r="B16" s="41"/>
      <c r="C16" s="77"/>
      <c r="D16" s="42"/>
      <c r="E16" s="42">
        <f t="shared" ref="E16:AI16" si="92">E15-D15</f>
        <v>1</v>
      </c>
      <c r="F16" s="42">
        <f t="shared" si="92"/>
        <v>0</v>
      </c>
      <c r="G16" s="42">
        <f t="shared" si="92"/>
        <v>0</v>
      </c>
      <c r="H16" s="42">
        <f t="shared" si="92"/>
        <v>0</v>
      </c>
      <c r="I16" s="42">
        <f t="shared" si="92"/>
        <v>0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0</v>
      </c>
      <c r="N16" s="42">
        <f t="shared" si="92"/>
        <v>0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0</v>
      </c>
      <c r="T16" s="42">
        <f t="shared" si="92"/>
        <v>0</v>
      </c>
      <c r="U16" s="42">
        <f t="shared" si="92"/>
        <v>1</v>
      </c>
      <c r="V16" s="42">
        <f t="shared" si="92"/>
        <v>0</v>
      </c>
      <c r="W16" s="42">
        <f t="shared" si="92"/>
        <v>0</v>
      </c>
      <c r="X16" s="42">
        <f t="shared" si="92"/>
        <v>0</v>
      </c>
      <c r="Y16" s="42">
        <f t="shared" si="92"/>
        <v>0</v>
      </c>
      <c r="Z16" s="42">
        <f t="shared" si="92"/>
        <v>0</v>
      </c>
      <c r="AA16" s="42">
        <f t="shared" si="92"/>
        <v>0</v>
      </c>
      <c r="AB16" s="42">
        <f t="shared" si="92"/>
        <v>0</v>
      </c>
      <c r="AC16" s="42">
        <f t="shared" si="92"/>
        <v>0</v>
      </c>
      <c r="AD16" s="42">
        <f t="shared" si="92"/>
        <v>0</v>
      </c>
      <c r="AE16" s="42">
        <f t="shared" si="92"/>
        <v>0</v>
      </c>
      <c r="AF16" s="42">
        <f t="shared" si="92"/>
        <v>0</v>
      </c>
      <c r="AG16" s="42">
        <f t="shared" si="92"/>
        <v>0</v>
      </c>
      <c r="AH16" s="42">
        <f t="shared" si="92"/>
        <v>0</v>
      </c>
      <c r="AI16" s="42">
        <f t="shared" si="92"/>
        <v>1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4">
        <v>13</v>
      </c>
      <c r="B17" s="39" t="s">
        <v>61</v>
      </c>
      <c r="C17" s="76" t="s">
        <v>62</v>
      </c>
      <c r="D17" s="40">
        <v>1242525</v>
      </c>
      <c r="E17" s="40">
        <v>1242806</v>
      </c>
      <c r="F17" s="40">
        <v>1243086</v>
      </c>
      <c r="G17" s="40">
        <v>1243368</v>
      </c>
      <c r="H17" s="40">
        <v>1243623</v>
      </c>
      <c r="I17" s="40">
        <v>1243875</v>
      </c>
      <c r="J17" s="40">
        <v>1244153</v>
      </c>
      <c r="K17" s="40">
        <v>1244424</v>
      </c>
      <c r="L17" s="40">
        <v>1244707</v>
      </c>
      <c r="M17" s="40">
        <v>1244973</v>
      </c>
      <c r="N17" s="40">
        <v>1245254</v>
      </c>
      <c r="O17" s="40">
        <v>1245541</v>
      </c>
      <c r="P17" s="40">
        <v>1245822</v>
      </c>
      <c r="Q17" s="40">
        <v>1246085</v>
      </c>
      <c r="R17" s="40">
        <v>1246369</v>
      </c>
      <c r="S17" s="40">
        <v>1246656</v>
      </c>
      <c r="T17" s="40">
        <v>1246929</v>
      </c>
      <c r="U17" s="40">
        <v>1247188</v>
      </c>
      <c r="V17" s="40">
        <v>1247458</v>
      </c>
      <c r="W17" s="40">
        <v>1247721</v>
      </c>
      <c r="X17" s="40">
        <v>1247980</v>
      </c>
      <c r="Y17" s="40">
        <v>1248265</v>
      </c>
      <c r="Z17" s="40">
        <v>1248539</v>
      </c>
      <c r="AA17" s="40">
        <v>1248819</v>
      </c>
      <c r="AB17" s="40">
        <v>1249101</v>
      </c>
      <c r="AC17" s="40">
        <v>1249386</v>
      </c>
      <c r="AD17" s="40">
        <v>1249669</v>
      </c>
      <c r="AE17" s="40">
        <v>1249941</v>
      </c>
      <c r="AF17" s="40">
        <v>1250207</v>
      </c>
      <c r="AG17" s="40">
        <v>1250455</v>
      </c>
      <c r="AH17" s="40">
        <v>1250734</v>
      </c>
      <c r="AI17" s="40">
        <v>1251005</v>
      </c>
    </row>
    <row r="18" spans="1:35" ht="21.75" customHeight="1" thickBot="1" x14ac:dyDescent="0.25">
      <c r="A18" s="82"/>
      <c r="B18" s="43"/>
      <c r="C18" s="83"/>
      <c r="D18" s="42"/>
      <c r="E18" s="42">
        <f t="shared" ref="E18:AI18" si="93">E17-D17</f>
        <v>281</v>
      </c>
      <c r="F18" s="42">
        <f t="shared" si="93"/>
        <v>280</v>
      </c>
      <c r="G18" s="42">
        <v>3</v>
      </c>
      <c r="H18" s="42">
        <f t="shared" si="93"/>
        <v>255</v>
      </c>
      <c r="I18" s="42">
        <f t="shared" si="93"/>
        <v>252</v>
      </c>
      <c r="J18" s="42">
        <f t="shared" si="93"/>
        <v>278</v>
      </c>
      <c r="K18" s="42">
        <f t="shared" si="93"/>
        <v>271</v>
      </c>
      <c r="L18" s="42">
        <f t="shared" si="93"/>
        <v>283</v>
      </c>
      <c r="M18" s="42">
        <f t="shared" si="93"/>
        <v>266</v>
      </c>
      <c r="N18" s="42">
        <f t="shared" si="93"/>
        <v>281</v>
      </c>
      <c r="O18" s="42">
        <f t="shared" si="93"/>
        <v>287</v>
      </c>
      <c r="P18" s="42">
        <f t="shared" si="93"/>
        <v>281</v>
      </c>
      <c r="Q18" s="42">
        <f t="shared" si="93"/>
        <v>263</v>
      </c>
      <c r="R18" s="42">
        <f t="shared" si="93"/>
        <v>284</v>
      </c>
      <c r="S18" s="42">
        <f t="shared" si="93"/>
        <v>287</v>
      </c>
      <c r="T18" s="42">
        <f t="shared" si="93"/>
        <v>273</v>
      </c>
      <c r="U18" s="42">
        <f t="shared" si="93"/>
        <v>259</v>
      </c>
      <c r="V18" s="42">
        <f t="shared" si="93"/>
        <v>270</v>
      </c>
      <c r="W18" s="42">
        <f t="shared" si="93"/>
        <v>263</v>
      </c>
      <c r="X18" s="42">
        <f t="shared" si="93"/>
        <v>259</v>
      </c>
      <c r="Y18" s="42">
        <f t="shared" si="93"/>
        <v>285</v>
      </c>
      <c r="Z18" s="42">
        <f t="shared" si="93"/>
        <v>274</v>
      </c>
      <c r="AA18" s="42">
        <f t="shared" si="93"/>
        <v>280</v>
      </c>
      <c r="AB18" s="42">
        <f t="shared" si="93"/>
        <v>282</v>
      </c>
      <c r="AC18" s="42">
        <f t="shared" si="93"/>
        <v>285</v>
      </c>
      <c r="AD18" s="42">
        <f t="shared" si="93"/>
        <v>283</v>
      </c>
      <c r="AE18" s="42">
        <f t="shared" si="93"/>
        <v>272</v>
      </c>
      <c r="AF18" s="42">
        <f t="shared" si="93"/>
        <v>266</v>
      </c>
      <c r="AG18" s="42">
        <f t="shared" si="93"/>
        <v>248</v>
      </c>
      <c r="AH18" s="42">
        <f t="shared" si="93"/>
        <v>279</v>
      </c>
      <c r="AI18" s="42">
        <f t="shared" si="93"/>
        <v>271</v>
      </c>
    </row>
    <row r="19" spans="1:35" ht="21.75" customHeight="1" x14ac:dyDescent="0.2">
      <c r="A19" s="84">
        <v>14</v>
      </c>
      <c r="B19" s="39" t="s">
        <v>63</v>
      </c>
      <c r="C19" s="76" t="s">
        <v>64</v>
      </c>
      <c r="D19" s="40">
        <v>349324</v>
      </c>
      <c r="E19" s="40">
        <v>349367</v>
      </c>
      <c r="F19" s="40">
        <v>349412</v>
      </c>
      <c r="G19" s="40">
        <v>349458</v>
      </c>
      <c r="H19" s="40">
        <v>349506</v>
      </c>
      <c r="I19" s="40">
        <v>349558</v>
      </c>
      <c r="J19" s="40">
        <v>349607</v>
      </c>
      <c r="K19" s="40">
        <v>349651</v>
      </c>
      <c r="L19" s="40">
        <v>349702</v>
      </c>
      <c r="M19" s="40">
        <v>349750</v>
      </c>
      <c r="N19" s="40">
        <v>349797</v>
      </c>
      <c r="O19" s="40">
        <v>349841</v>
      </c>
      <c r="P19" s="40">
        <v>349890</v>
      </c>
      <c r="Q19" s="40">
        <v>349936</v>
      </c>
      <c r="R19" s="40">
        <v>349983</v>
      </c>
      <c r="S19" s="40">
        <v>350030</v>
      </c>
      <c r="T19" s="40">
        <v>350075</v>
      </c>
      <c r="U19" s="40">
        <v>350122</v>
      </c>
      <c r="V19" s="40">
        <v>350166</v>
      </c>
      <c r="W19" s="40">
        <v>350216</v>
      </c>
      <c r="X19" s="40">
        <v>350264</v>
      </c>
      <c r="Y19" s="40">
        <v>350310</v>
      </c>
      <c r="Z19" s="40">
        <v>350362</v>
      </c>
      <c r="AA19" s="40">
        <v>350411</v>
      </c>
      <c r="AB19" s="40">
        <v>350458</v>
      </c>
      <c r="AC19" s="40">
        <v>350504</v>
      </c>
      <c r="AD19" s="40">
        <v>350551</v>
      </c>
      <c r="AE19" s="40">
        <v>350600</v>
      </c>
      <c r="AF19" s="40">
        <v>350647</v>
      </c>
      <c r="AG19" s="40">
        <v>350700</v>
      </c>
      <c r="AH19" s="40">
        <v>350748</v>
      </c>
      <c r="AI19" s="40">
        <v>350796</v>
      </c>
    </row>
    <row r="20" spans="1:35" ht="21.75" customHeight="1" thickBot="1" x14ac:dyDescent="0.25">
      <c r="A20" s="79"/>
      <c r="B20" s="43"/>
      <c r="C20" s="83"/>
      <c r="D20" s="42"/>
      <c r="E20" s="42">
        <f t="shared" ref="E20:AI20" si="94">E19-D19</f>
        <v>43</v>
      </c>
      <c r="F20" s="42">
        <f t="shared" si="94"/>
        <v>45</v>
      </c>
      <c r="G20" s="42">
        <f t="shared" si="94"/>
        <v>46</v>
      </c>
      <c r="H20" s="42">
        <f t="shared" si="94"/>
        <v>48</v>
      </c>
      <c r="I20" s="42">
        <f t="shared" si="94"/>
        <v>52</v>
      </c>
      <c r="J20" s="42">
        <f t="shared" si="94"/>
        <v>49</v>
      </c>
      <c r="K20" s="42">
        <f t="shared" si="94"/>
        <v>44</v>
      </c>
      <c r="L20" s="42">
        <f t="shared" si="94"/>
        <v>51</v>
      </c>
      <c r="M20" s="42">
        <f t="shared" si="94"/>
        <v>48</v>
      </c>
      <c r="N20" s="42">
        <f t="shared" si="94"/>
        <v>47</v>
      </c>
      <c r="O20" s="42">
        <f t="shared" si="94"/>
        <v>44</v>
      </c>
      <c r="P20" s="42">
        <f t="shared" si="94"/>
        <v>49</v>
      </c>
      <c r="Q20" s="42">
        <f t="shared" si="94"/>
        <v>46</v>
      </c>
      <c r="R20" s="42">
        <f t="shared" si="94"/>
        <v>47</v>
      </c>
      <c r="S20" s="42">
        <f t="shared" si="94"/>
        <v>47</v>
      </c>
      <c r="T20" s="42">
        <f t="shared" si="94"/>
        <v>45</v>
      </c>
      <c r="U20" s="42">
        <f t="shared" si="94"/>
        <v>47</v>
      </c>
      <c r="V20" s="42">
        <f t="shared" si="94"/>
        <v>44</v>
      </c>
      <c r="W20" s="42">
        <f t="shared" si="94"/>
        <v>50</v>
      </c>
      <c r="X20" s="42">
        <f t="shared" si="94"/>
        <v>48</v>
      </c>
      <c r="Y20" s="42">
        <f t="shared" si="94"/>
        <v>46</v>
      </c>
      <c r="Z20" s="42">
        <f t="shared" si="94"/>
        <v>52</v>
      </c>
      <c r="AA20" s="42">
        <f t="shared" si="94"/>
        <v>49</v>
      </c>
      <c r="AB20" s="42">
        <f t="shared" si="94"/>
        <v>47</v>
      </c>
      <c r="AC20" s="42">
        <f t="shared" si="94"/>
        <v>46</v>
      </c>
      <c r="AD20" s="42">
        <f t="shared" si="94"/>
        <v>47</v>
      </c>
      <c r="AE20" s="42">
        <f t="shared" si="94"/>
        <v>49</v>
      </c>
      <c r="AF20" s="42">
        <f t="shared" si="94"/>
        <v>47</v>
      </c>
      <c r="AG20" s="42">
        <f t="shared" si="94"/>
        <v>53</v>
      </c>
      <c r="AH20" s="42">
        <f t="shared" si="94"/>
        <v>48</v>
      </c>
      <c r="AI20" s="42">
        <f t="shared" si="94"/>
        <v>48</v>
      </c>
    </row>
    <row r="21" spans="1:35" ht="27" customHeight="1" x14ac:dyDescent="0.3">
      <c r="B21" s="85" t="s">
        <v>65</v>
      </c>
      <c r="C21" s="85"/>
      <c r="D21" s="44"/>
      <c r="E21" s="59">
        <f>((E6+E8)+((E10+E12)*40%)+(E14+E16+E18+E20))</f>
        <v>43527</v>
      </c>
      <c r="F21" s="59">
        <f t="shared" ref="F21:AI21" si="95">((F6+F8)+((F10+F12)*40%)+(F14+F16+F18+F20))</f>
        <v>42525</v>
      </c>
      <c r="G21" s="59">
        <f t="shared" si="95"/>
        <v>41849</v>
      </c>
      <c r="H21" s="59">
        <f t="shared" si="95"/>
        <v>42703</v>
      </c>
      <c r="I21" s="59">
        <f t="shared" si="95"/>
        <v>44304</v>
      </c>
      <c r="J21" s="59">
        <f t="shared" si="95"/>
        <v>42927</v>
      </c>
      <c r="K21" s="59">
        <f t="shared" si="95"/>
        <v>41115</v>
      </c>
      <c r="L21" s="59">
        <f t="shared" si="95"/>
        <v>37734</v>
      </c>
      <c r="M21" s="59">
        <f t="shared" si="95"/>
        <v>37114</v>
      </c>
      <c r="N21" s="59">
        <f t="shared" si="95"/>
        <v>39328</v>
      </c>
      <c r="O21" s="59">
        <f t="shared" si="95"/>
        <v>39131</v>
      </c>
      <c r="P21" s="59">
        <f t="shared" si="95"/>
        <v>43730</v>
      </c>
      <c r="Q21" s="59">
        <f t="shared" si="95"/>
        <v>38909</v>
      </c>
      <c r="R21" s="59">
        <f t="shared" si="95"/>
        <v>38531</v>
      </c>
      <c r="S21" s="59">
        <f t="shared" si="95"/>
        <v>39934</v>
      </c>
      <c r="T21" s="59">
        <f t="shared" si="95"/>
        <v>41118</v>
      </c>
      <c r="U21" s="59">
        <f t="shared" si="95"/>
        <v>38707</v>
      </c>
      <c r="V21" s="59">
        <f t="shared" si="95"/>
        <v>39714</v>
      </c>
      <c r="W21" s="59">
        <f t="shared" si="95"/>
        <v>40115</v>
      </c>
      <c r="X21" s="59">
        <f t="shared" si="95"/>
        <v>41107</v>
      </c>
      <c r="Y21" s="59">
        <f t="shared" si="95"/>
        <v>38931</v>
      </c>
      <c r="Z21" s="59">
        <f t="shared" si="95"/>
        <v>39926</v>
      </c>
      <c r="AA21" s="59">
        <f t="shared" si="95"/>
        <v>37929</v>
      </c>
      <c r="AB21" s="59">
        <f t="shared" si="95"/>
        <v>37529</v>
      </c>
      <c r="AC21" s="59">
        <f t="shared" si="95"/>
        <v>38531</v>
      </c>
      <c r="AD21" s="59">
        <f t="shared" si="95"/>
        <v>39530</v>
      </c>
      <c r="AE21" s="59">
        <f t="shared" si="95"/>
        <v>37321</v>
      </c>
      <c r="AF21" s="59">
        <f t="shared" si="95"/>
        <v>38913</v>
      </c>
      <c r="AG21" s="59">
        <f t="shared" si="95"/>
        <v>40301</v>
      </c>
      <c r="AH21" s="59">
        <f t="shared" si="95"/>
        <v>38927</v>
      </c>
      <c r="AI21" s="59">
        <f t="shared" si="95"/>
        <v>39920</v>
      </c>
    </row>
    <row r="22" spans="1:35" ht="27" customHeight="1" x14ac:dyDescent="0.3">
      <c r="B22" s="81" t="s">
        <v>66</v>
      </c>
      <c r="C22" s="81"/>
      <c r="D22" s="44"/>
      <c r="E22" s="59">
        <f>SUM(E21:AI21)</f>
        <v>1241880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8" t="s">
        <v>86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2" s="8" customFormat="1" ht="30" customHeight="1" thickBot="1" x14ac:dyDescent="0.3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91" t="s">
        <v>20</v>
      </c>
      <c r="B5" s="27" t="s">
        <v>48</v>
      </c>
      <c r="C5" s="93" t="s">
        <v>49</v>
      </c>
      <c r="D5" s="31">
        <v>334326.09999999998</v>
      </c>
      <c r="E5" s="31">
        <v>334471.09999999998</v>
      </c>
      <c r="F5" s="31">
        <v>334632.7</v>
      </c>
      <c r="G5" s="31">
        <v>334777.2</v>
      </c>
      <c r="H5" s="31">
        <v>334948.8</v>
      </c>
      <c r="I5" s="31">
        <v>335093.09999999998</v>
      </c>
      <c r="J5" s="31">
        <v>335290.40000000002</v>
      </c>
      <c r="K5" s="31">
        <v>335523.90000000002</v>
      </c>
      <c r="L5" s="31">
        <v>335720.2</v>
      </c>
      <c r="M5" s="31">
        <v>335865.8</v>
      </c>
      <c r="N5" s="31">
        <v>336033.1</v>
      </c>
      <c r="O5" s="31">
        <v>336175.5</v>
      </c>
      <c r="P5" s="31">
        <v>336314.5</v>
      </c>
      <c r="Q5" s="31">
        <v>336506.1</v>
      </c>
      <c r="R5" s="31">
        <v>336640.6</v>
      </c>
      <c r="S5" s="31">
        <v>336786.6</v>
      </c>
      <c r="T5" s="31">
        <v>336941.3</v>
      </c>
      <c r="U5" s="31">
        <v>337123.6</v>
      </c>
      <c r="V5" s="31">
        <v>337263</v>
      </c>
      <c r="W5" s="31">
        <v>337466.1</v>
      </c>
      <c r="X5" s="31">
        <v>337611.2</v>
      </c>
      <c r="Y5" s="31">
        <v>337808.1</v>
      </c>
      <c r="Z5" s="31">
        <v>338026.3</v>
      </c>
      <c r="AA5" s="31">
        <v>338261.5</v>
      </c>
      <c r="AB5" s="31">
        <v>338459.6</v>
      </c>
      <c r="AC5" s="31">
        <v>338637.6</v>
      </c>
      <c r="AD5" s="31">
        <v>338834.6</v>
      </c>
      <c r="AE5" s="31">
        <v>339075.3</v>
      </c>
      <c r="AF5" s="31">
        <v>339284</v>
      </c>
      <c r="AG5" s="31">
        <v>339491.7</v>
      </c>
      <c r="AH5" s="31">
        <v>339717.1</v>
      </c>
      <c r="AI5" s="31">
        <v>339934.1</v>
      </c>
    </row>
    <row r="6" spans="1:42" s="34" customFormat="1" ht="25.7" customHeight="1" thickBot="1" x14ac:dyDescent="0.3">
      <c r="A6" s="92"/>
      <c r="B6" s="32"/>
      <c r="C6" s="93"/>
      <c r="D6" s="33"/>
      <c r="E6" s="33">
        <f t="shared" ref="E6:AI6" si="0">E5-D5</f>
        <v>145</v>
      </c>
      <c r="F6" s="33">
        <f t="shared" si="0"/>
        <v>161.60000000003492</v>
      </c>
      <c r="G6" s="33">
        <f t="shared" si="0"/>
        <v>144.5</v>
      </c>
      <c r="H6" s="33">
        <f t="shared" si="0"/>
        <v>171.59999999997672</v>
      </c>
      <c r="I6" s="33">
        <f t="shared" si="0"/>
        <v>144.29999999998836</v>
      </c>
      <c r="J6" s="64">
        <f t="shared" si="0"/>
        <v>197.30000000004657</v>
      </c>
      <c r="K6" s="64">
        <f t="shared" si="0"/>
        <v>233.5</v>
      </c>
      <c r="L6" s="33">
        <f t="shared" si="0"/>
        <v>196.29999999998836</v>
      </c>
      <c r="M6" s="33">
        <f t="shared" si="0"/>
        <v>145.59999999997672</v>
      </c>
      <c r="N6" s="33">
        <f t="shared" si="0"/>
        <v>167.29999999998836</v>
      </c>
      <c r="O6" s="33">
        <f t="shared" si="0"/>
        <v>142.40000000002328</v>
      </c>
      <c r="P6" s="33">
        <f t="shared" si="0"/>
        <v>139</v>
      </c>
      <c r="Q6" s="64">
        <f t="shared" si="0"/>
        <v>191.59999999997672</v>
      </c>
      <c r="R6" s="33">
        <f t="shared" si="0"/>
        <v>134.5</v>
      </c>
      <c r="S6" s="33">
        <f t="shared" si="0"/>
        <v>146</v>
      </c>
      <c r="T6" s="33">
        <f t="shared" si="0"/>
        <v>154.70000000001164</v>
      </c>
      <c r="U6" s="64">
        <f t="shared" si="0"/>
        <v>182.29999999998836</v>
      </c>
      <c r="V6" s="33">
        <f t="shared" si="0"/>
        <v>139.40000000002328</v>
      </c>
      <c r="W6" s="33">
        <f t="shared" si="0"/>
        <v>203.09999999997672</v>
      </c>
      <c r="X6" s="33">
        <f t="shared" si="0"/>
        <v>145.10000000003492</v>
      </c>
      <c r="Y6" s="64">
        <f t="shared" si="0"/>
        <v>196.89999999996508</v>
      </c>
      <c r="Z6" s="64">
        <f t="shared" si="0"/>
        <v>218.20000000001164</v>
      </c>
      <c r="AA6" s="64">
        <f t="shared" si="0"/>
        <v>235.20000000001164</v>
      </c>
      <c r="AB6" s="33">
        <f t="shared" si="0"/>
        <v>198.09999999997672</v>
      </c>
      <c r="AC6" s="33">
        <f t="shared" si="0"/>
        <v>178</v>
      </c>
      <c r="AD6" s="33">
        <f>AD5-AC5</f>
        <v>197</v>
      </c>
      <c r="AE6" s="64">
        <f t="shared" si="0"/>
        <v>240.70000000001164</v>
      </c>
      <c r="AF6" s="33">
        <f t="shared" si="0"/>
        <v>208.70000000001164</v>
      </c>
      <c r="AG6" s="33">
        <f t="shared" si="0"/>
        <v>207.70000000001164</v>
      </c>
      <c r="AH6" s="64">
        <f t="shared" si="0"/>
        <v>225.39999999996508</v>
      </c>
      <c r="AI6" s="33">
        <f t="shared" si="0"/>
        <v>217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1" t="s">
        <v>22</v>
      </c>
      <c r="B7" s="49" t="s">
        <v>69</v>
      </c>
      <c r="C7" s="93" t="s">
        <v>70</v>
      </c>
      <c r="D7" s="31">
        <v>367513</v>
      </c>
      <c r="E7" s="31">
        <v>367625.3</v>
      </c>
      <c r="F7" s="31">
        <v>367808.5</v>
      </c>
      <c r="G7" s="31">
        <v>367927.1</v>
      </c>
      <c r="H7" s="31">
        <v>368039.4</v>
      </c>
      <c r="I7" s="31">
        <v>368124.1</v>
      </c>
      <c r="J7" s="31">
        <v>368250.3</v>
      </c>
      <c r="K7" s="31">
        <v>368305.2</v>
      </c>
      <c r="L7" s="31">
        <v>368432.5</v>
      </c>
      <c r="M7" s="31">
        <v>368585.1</v>
      </c>
      <c r="N7" s="31">
        <v>368771.7</v>
      </c>
      <c r="O7" s="31">
        <v>368959.1</v>
      </c>
      <c r="P7" s="31">
        <v>369063.4</v>
      </c>
      <c r="Q7" s="31">
        <v>369225.7</v>
      </c>
      <c r="R7" s="31">
        <v>369274.1</v>
      </c>
      <c r="S7" s="31">
        <v>369418.9</v>
      </c>
      <c r="T7" s="31">
        <v>369542.2</v>
      </c>
      <c r="U7" s="31">
        <v>369691.1</v>
      </c>
      <c r="V7" s="31">
        <v>369812.1</v>
      </c>
      <c r="W7" s="31">
        <v>369934.8</v>
      </c>
      <c r="X7" s="31">
        <v>370121.9</v>
      </c>
      <c r="Y7" s="31">
        <v>370169.2</v>
      </c>
      <c r="Z7" s="31">
        <v>370307.8</v>
      </c>
      <c r="AA7" s="31">
        <v>370392.2</v>
      </c>
      <c r="AB7" s="31">
        <v>370502.1</v>
      </c>
      <c r="AC7" s="31">
        <v>370583.6</v>
      </c>
      <c r="AD7" s="31">
        <v>370714.1</v>
      </c>
      <c r="AE7" s="31">
        <v>370848.2</v>
      </c>
      <c r="AF7" s="31">
        <v>370894.2</v>
      </c>
      <c r="AG7" s="31">
        <v>370999.1</v>
      </c>
      <c r="AH7" s="31">
        <v>371136.2</v>
      </c>
      <c r="AI7" s="31">
        <v>371265.2</v>
      </c>
    </row>
    <row r="8" spans="1:42" s="34" customFormat="1" ht="25.7" customHeight="1" thickBot="1" x14ac:dyDescent="0.3">
      <c r="A8" s="92"/>
      <c r="B8" s="47"/>
      <c r="C8" s="93"/>
      <c r="D8" s="33"/>
      <c r="E8" s="33">
        <f t="shared" ref="E8:AI8" si="1">E7-D7</f>
        <v>112.29999999998836</v>
      </c>
      <c r="F8" s="33">
        <f t="shared" si="1"/>
        <v>183.20000000001164</v>
      </c>
      <c r="G8" s="33">
        <f t="shared" si="1"/>
        <v>118.59999999997672</v>
      </c>
      <c r="H8" s="33">
        <f t="shared" si="1"/>
        <v>112.30000000004657</v>
      </c>
      <c r="I8" s="33">
        <f t="shared" si="1"/>
        <v>84.699999999953434</v>
      </c>
      <c r="J8" s="33">
        <f t="shared" si="1"/>
        <v>126.20000000001164</v>
      </c>
      <c r="K8" s="33">
        <f t="shared" si="1"/>
        <v>54.900000000023283</v>
      </c>
      <c r="L8" s="33">
        <f t="shared" si="1"/>
        <v>127.29999999998836</v>
      </c>
      <c r="M8" s="33">
        <f t="shared" si="1"/>
        <v>152.59999999997672</v>
      </c>
      <c r="N8" s="64">
        <f t="shared" si="1"/>
        <v>186.60000000003492</v>
      </c>
      <c r="O8" s="33">
        <f t="shared" si="1"/>
        <v>187.39999999996508</v>
      </c>
      <c r="P8" s="33">
        <f t="shared" si="1"/>
        <v>104.30000000004657</v>
      </c>
      <c r="Q8" s="64">
        <f t="shared" si="1"/>
        <v>162.29999999998836</v>
      </c>
      <c r="R8" s="33">
        <f t="shared" si="1"/>
        <v>48.399999999965075</v>
      </c>
      <c r="S8" s="33">
        <f t="shared" si="1"/>
        <v>144.80000000004657</v>
      </c>
      <c r="T8" s="33">
        <f t="shared" si="1"/>
        <v>123.29999999998836</v>
      </c>
      <c r="U8" s="33">
        <f t="shared" si="1"/>
        <v>148.89999999996508</v>
      </c>
      <c r="V8" s="33">
        <f t="shared" si="1"/>
        <v>121</v>
      </c>
      <c r="W8" s="33">
        <f t="shared" si="1"/>
        <v>122.70000000001164</v>
      </c>
      <c r="X8" s="33">
        <f t="shared" si="1"/>
        <v>187.10000000003492</v>
      </c>
      <c r="Y8" s="33">
        <f t="shared" si="1"/>
        <v>47.299999999988358</v>
      </c>
      <c r="Z8" s="33">
        <f t="shared" si="1"/>
        <v>138.59999999997672</v>
      </c>
      <c r="AA8" s="33">
        <f t="shared" si="1"/>
        <v>84.400000000023283</v>
      </c>
      <c r="AB8" s="33">
        <f t="shared" si="1"/>
        <v>109.89999999996508</v>
      </c>
      <c r="AC8" s="33">
        <f t="shared" si="1"/>
        <v>81.5</v>
      </c>
      <c r="AD8" s="33">
        <f>AD7-AC7</f>
        <v>130.5</v>
      </c>
      <c r="AE8" s="33">
        <f t="shared" si="1"/>
        <v>134.10000000003492</v>
      </c>
      <c r="AF8" s="33">
        <f t="shared" si="1"/>
        <v>46</v>
      </c>
      <c r="AG8" s="33">
        <f t="shared" si="1"/>
        <v>104.89999999996508</v>
      </c>
      <c r="AH8" s="33">
        <f t="shared" si="1"/>
        <v>137.10000000003492</v>
      </c>
      <c r="AI8" s="33">
        <f t="shared" si="1"/>
        <v>129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1">
        <v>4</v>
      </c>
      <c r="B9" s="46" t="s">
        <v>67</v>
      </c>
      <c r="C9" s="93" t="s">
        <v>68</v>
      </c>
      <c r="D9" s="31">
        <v>29325</v>
      </c>
      <c r="E9" s="31">
        <v>29487</v>
      </c>
      <c r="F9" s="31">
        <v>29660</v>
      </c>
      <c r="G9" s="31">
        <v>29804</v>
      </c>
      <c r="H9" s="31">
        <v>29945</v>
      </c>
      <c r="I9" s="31">
        <v>30087</v>
      </c>
      <c r="J9" s="31">
        <v>30226</v>
      </c>
      <c r="K9" s="31">
        <v>30226</v>
      </c>
      <c r="L9" s="31">
        <v>30373</v>
      </c>
      <c r="M9" s="31">
        <v>30533</v>
      </c>
      <c r="N9" s="31">
        <v>30696</v>
      </c>
      <c r="O9" s="31">
        <v>30833</v>
      </c>
      <c r="P9" s="31">
        <v>30973</v>
      </c>
      <c r="Q9" s="31">
        <v>31120</v>
      </c>
      <c r="R9" s="31">
        <v>31120</v>
      </c>
      <c r="S9" s="31">
        <v>31263</v>
      </c>
      <c r="T9" s="31">
        <v>31414</v>
      </c>
      <c r="U9" s="31">
        <v>31532</v>
      </c>
      <c r="V9" s="31">
        <v>31645</v>
      </c>
      <c r="W9" s="31">
        <v>31726</v>
      </c>
      <c r="X9" s="31">
        <v>31879</v>
      </c>
      <c r="Y9" s="31">
        <v>31879</v>
      </c>
      <c r="Z9" s="31">
        <v>32014</v>
      </c>
      <c r="AA9" s="31">
        <v>32137</v>
      </c>
      <c r="AB9" s="31">
        <v>32268</v>
      </c>
      <c r="AC9" s="31">
        <v>32354</v>
      </c>
      <c r="AD9" s="31">
        <v>32476</v>
      </c>
      <c r="AE9" s="31">
        <v>32606</v>
      </c>
      <c r="AF9" s="31">
        <v>32606</v>
      </c>
      <c r="AG9" s="31">
        <v>32717</v>
      </c>
      <c r="AH9" s="31">
        <v>32850</v>
      </c>
      <c r="AI9" s="31">
        <v>32975</v>
      </c>
    </row>
    <row r="10" spans="1:42" s="34" customFormat="1" ht="25.7" customHeight="1" thickBot="1" x14ac:dyDescent="0.3">
      <c r="A10" s="92"/>
      <c r="B10" s="47"/>
      <c r="C10" s="93"/>
      <c r="D10" s="33"/>
      <c r="E10" s="33">
        <f t="shared" ref="E10:AI14" si="2">E9-D9</f>
        <v>162</v>
      </c>
      <c r="F10" s="33">
        <f t="shared" si="2"/>
        <v>173</v>
      </c>
      <c r="G10" s="33">
        <f t="shared" si="2"/>
        <v>144</v>
      </c>
      <c r="H10" s="33">
        <f t="shared" si="2"/>
        <v>141</v>
      </c>
      <c r="I10" s="33">
        <f t="shared" si="2"/>
        <v>142</v>
      </c>
      <c r="J10" s="33">
        <f t="shared" si="2"/>
        <v>139</v>
      </c>
      <c r="K10" s="64">
        <f t="shared" si="2"/>
        <v>0</v>
      </c>
      <c r="L10" s="33">
        <f t="shared" si="2"/>
        <v>147</v>
      </c>
      <c r="M10" s="33">
        <f t="shared" si="2"/>
        <v>160</v>
      </c>
      <c r="N10" s="33">
        <f t="shared" si="2"/>
        <v>163</v>
      </c>
      <c r="O10" s="33">
        <f t="shared" si="2"/>
        <v>137</v>
      </c>
      <c r="P10" s="33">
        <f t="shared" si="2"/>
        <v>140</v>
      </c>
      <c r="Q10" s="33">
        <f t="shared" si="2"/>
        <v>147</v>
      </c>
      <c r="R10" s="33">
        <f t="shared" si="2"/>
        <v>0</v>
      </c>
      <c r="S10" s="33">
        <f t="shared" si="2"/>
        <v>143</v>
      </c>
      <c r="T10" s="33">
        <f t="shared" si="2"/>
        <v>151</v>
      </c>
      <c r="U10" s="33">
        <f t="shared" si="2"/>
        <v>118</v>
      </c>
      <c r="V10" s="33">
        <f t="shared" si="2"/>
        <v>113</v>
      </c>
      <c r="W10" s="33">
        <f t="shared" si="2"/>
        <v>81</v>
      </c>
      <c r="X10" s="33">
        <f t="shared" si="2"/>
        <v>153</v>
      </c>
      <c r="Y10" s="33">
        <f t="shared" si="2"/>
        <v>0</v>
      </c>
      <c r="Z10" s="33">
        <f t="shared" si="2"/>
        <v>135</v>
      </c>
      <c r="AA10" s="33">
        <f t="shared" si="2"/>
        <v>123</v>
      </c>
      <c r="AB10" s="33">
        <f t="shared" si="2"/>
        <v>131</v>
      </c>
      <c r="AC10" s="33">
        <f t="shared" si="2"/>
        <v>86</v>
      </c>
      <c r="AD10" s="33">
        <f t="shared" si="2"/>
        <v>122</v>
      </c>
      <c r="AE10" s="33">
        <f t="shared" si="2"/>
        <v>130</v>
      </c>
      <c r="AF10" s="33">
        <f t="shared" si="2"/>
        <v>0</v>
      </c>
      <c r="AG10" s="33">
        <f t="shared" si="2"/>
        <v>111</v>
      </c>
      <c r="AH10" s="33">
        <f t="shared" si="2"/>
        <v>133</v>
      </c>
      <c r="AI10" s="33">
        <f t="shared" si="2"/>
        <v>125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4">
        <v>5</v>
      </c>
      <c r="B11" s="27">
        <v>68864837</v>
      </c>
      <c r="C11" s="93" t="s">
        <v>74</v>
      </c>
      <c r="D11" s="31">
        <v>755.85900000000004</v>
      </c>
      <c r="E11" s="31">
        <v>757.26199999999994</v>
      </c>
      <c r="F11" s="31">
        <v>759.88499999999999</v>
      </c>
      <c r="G11" s="31">
        <v>761.01199999999994</v>
      </c>
      <c r="H11" s="31">
        <v>763.84199999999998</v>
      </c>
      <c r="I11" s="31">
        <v>765.22699999999998</v>
      </c>
      <c r="J11" s="31">
        <v>765.80600000000004</v>
      </c>
      <c r="K11" s="31">
        <v>768.76900000000001</v>
      </c>
      <c r="L11" s="31">
        <v>770.57399999999996</v>
      </c>
      <c r="M11" s="31">
        <v>772</v>
      </c>
      <c r="N11" s="31">
        <v>773.65800000000002</v>
      </c>
      <c r="O11" s="31">
        <v>775.12599999999998</v>
      </c>
      <c r="P11" s="31">
        <v>776.75800000000004</v>
      </c>
      <c r="Q11" s="31">
        <v>779.27800000000002</v>
      </c>
      <c r="R11" s="31">
        <v>780.96299999999997</v>
      </c>
      <c r="S11" s="31">
        <v>788.99</v>
      </c>
      <c r="T11" s="31">
        <v>790.58299999999997</v>
      </c>
      <c r="U11" s="31">
        <v>792.52300000000002</v>
      </c>
      <c r="V11" s="31">
        <v>794.23</v>
      </c>
      <c r="W11" s="31">
        <v>796.37</v>
      </c>
      <c r="X11" s="31">
        <v>797.625</v>
      </c>
      <c r="Y11" s="31">
        <v>799.71</v>
      </c>
      <c r="Z11" s="31">
        <v>802.65899999999999</v>
      </c>
      <c r="AA11" s="31">
        <v>804.47400000000005</v>
      </c>
      <c r="AB11" s="31">
        <v>806.15</v>
      </c>
      <c r="AC11" s="31">
        <v>807.91399999999999</v>
      </c>
      <c r="AD11" s="31">
        <v>809.37599999999998</v>
      </c>
      <c r="AE11" s="31">
        <v>810.94</v>
      </c>
      <c r="AF11" s="31">
        <v>813.48</v>
      </c>
      <c r="AG11" s="31">
        <v>815.70500000000004</v>
      </c>
      <c r="AH11" s="31">
        <v>817.15700000000004</v>
      </c>
      <c r="AI11" s="31">
        <v>818.63099999999997</v>
      </c>
    </row>
    <row r="12" spans="1:42" s="8" customFormat="1" ht="25.7" customHeight="1" thickBot="1" x14ac:dyDescent="0.3">
      <c r="A12" s="95"/>
      <c r="B12" s="48"/>
      <c r="C12" s="93"/>
      <c r="D12" s="33"/>
      <c r="E12" s="33">
        <f t="shared" ref="E12" si="3">E11-D11</f>
        <v>1.4029999999999063</v>
      </c>
      <c r="F12" s="33">
        <f t="shared" si="2"/>
        <v>2.6230000000000473</v>
      </c>
      <c r="G12" s="33">
        <f t="shared" si="2"/>
        <v>1.1269999999999527</v>
      </c>
      <c r="H12" s="33">
        <f t="shared" si="2"/>
        <v>2.8300000000000409</v>
      </c>
      <c r="I12" s="33">
        <f t="shared" si="2"/>
        <v>1.3849999999999909</v>
      </c>
      <c r="J12" s="33">
        <f t="shared" si="2"/>
        <v>0.57900000000006457</v>
      </c>
      <c r="K12" s="33">
        <f t="shared" si="2"/>
        <v>2.9629999999999654</v>
      </c>
      <c r="L12" s="33">
        <f t="shared" si="2"/>
        <v>1.80499999999995</v>
      </c>
      <c r="M12" s="33">
        <f t="shared" si="2"/>
        <v>1.4260000000000446</v>
      </c>
      <c r="N12" s="33">
        <f t="shared" si="2"/>
        <v>1.6580000000000155</v>
      </c>
      <c r="O12" s="33">
        <f t="shared" si="2"/>
        <v>1.4679999999999609</v>
      </c>
      <c r="P12" s="33">
        <f t="shared" si="2"/>
        <v>1.6320000000000618</v>
      </c>
      <c r="Q12" s="33">
        <f t="shared" si="2"/>
        <v>2.5199999999999818</v>
      </c>
      <c r="R12" s="33">
        <f t="shared" si="2"/>
        <v>1.6849999999999454</v>
      </c>
      <c r="S12" s="33">
        <f t="shared" si="2"/>
        <v>8.0270000000000437</v>
      </c>
      <c r="T12" s="33">
        <f t="shared" si="2"/>
        <v>1.5929999999999609</v>
      </c>
      <c r="U12" s="33">
        <f t="shared" si="2"/>
        <v>1.9400000000000546</v>
      </c>
      <c r="V12" s="33">
        <f t="shared" si="2"/>
        <v>1.7069999999999936</v>
      </c>
      <c r="W12" s="33">
        <f t="shared" si="2"/>
        <v>2.1399999999999864</v>
      </c>
      <c r="X12" s="33">
        <f t="shared" si="2"/>
        <v>1.2549999999999955</v>
      </c>
      <c r="Y12" s="33">
        <f t="shared" si="2"/>
        <v>2.0850000000000364</v>
      </c>
      <c r="Z12" s="33">
        <f t="shared" si="2"/>
        <v>2.9489999999999554</v>
      </c>
      <c r="AA12" s="33">
        <f t="shared" si="2"/>
        <v>1.8150000000000546</v>
      </c>
      <c r="AB12" s="33">
        <f t="shared" si="2"/>
        <v>1.6759999999999309</v>
      </c>
      <c r="AC12" s="33">
        <f t="shared" si="2"/>
        <v>1.76400000000001</v>
      </c>
      <c r="AD12" s="33">
        <f t="shared" si="2"/>
        <v>1.4619999999999891</v>
      </c>
      <c r="AE12" s="33">
        <f t="shared" si="2"/>
        <v>1.5640000000000782</v>
      </c>
      <c r="AF12" s="33">
        <f t="shared" si="2"/>
        <v>2.5399999999999636</v>
      </c>
      <c r="AG12" s="33">
        <f t="shared" si="2"/>
        <v>2.2250000000000227</v>
      </c>
      <c r="AH12" s="33">
        <f>AH11-AG11</f>
        <v>1.4519999999999982</v>
      </c>
      <c r="AI12" s="33">
        <f t="shared" si="2"/>
        <v>1.4739999999999327</v>
      </c>
    </row>
    <row r="13" spans="1:42" s="8" customFormat="1" ht="25.7" customHeight="1" thickBot="1" x14ac:dyDescent="0.3">
      <c r="A13" s="94">
        <v>6</v>
      </c>
      <c r="B13" s="27">
        <v>65296485</v>
      </c>
      <c r="C13" s="93" t="s">
        <v>73</v>
      </c>
      <c r="D13" s="31">
        <v>1094.309</v>
      </c>
      <c r="E13" s="31">
        <v>1095.2619999999999</v>
      </c>
      <c r="F13" s="31">
        <v>1103.749</v>
      </c>
      <c r="G13" s="31">
        <v>1104.8030000000001</v>
      </c>
      <c r="H13" s="31">
        <v>1107.3</v>
      </c>
      <c r="I13" s="31">
        <v>1108.2950000000001</v>
      </c>
      <c r="J13" s="31">
        <v>1109.19</v>
      </c>
      <c r="K13" s="31">
        <v>1110.152</v>
      </c>
      <c r="L13" s="31">
        <v>1111.538</v>
      </c>
      <c r="M13" s="31">
        <v>1112.9000000000001</v>
      </c>
      <c r="N13" s="31">
        <v>1117.059</v>
      </c>
      <c r="O13" s="31">
        <v>1117.8320000000001</v>
      </c>
      <c r="P13" s="31">
        <v>1118.538</v>
      </c>
      <c r="Q13" s="31">
        <v>1122.7270000000001</v>
      </c>
      <c r="R13" s="31">
        <v>1127.3489999999999</v>
      </c>
      <c r="S13" s="31">
        <v>1129.8</v>
      </c>
      <c r="T13" s="31">
        <v>1132.0139999999999</v>
      </c>
      <c r="U13" s="31">
        <v>1140.471</v>
      </c>
      <c r="V13" s="31">
        <v>1149.3240000000001</v>
      </c>
      <c r="W13" s="31">
        <v>1149.9570000000001</v>
      </c>
      <c r="X13" s="31">
        <v>1153.48</v>
      </c>
      <c r="Y13" s="31">
        <v>1156.8</v>
      </c>
      <c r="Z13" s="31">
        <v>1158.346</v>
      </c>
      <c r="AA13" s="31">
        <v>1166.7049999999999</v>
      </c>
      <c r="AB13" s="31">
        <v>1168.8800000000001</v>
      </c>
      <c r="AC13" s="31">
        <v>1171.213</v>
      </c>
      <c r="AD13" s="31">
        <v>1172.6089999999999</v>
      </c>
      <c r="AE13" s="31">
        <v>1173.3030000000001</v>
      </c>
      <c r="AF13" s="31">
        <v>1175.521</v>
      </c>
      <c r="AG13" s="31">
        <v>1177.251</v>
      </c>
      <c r="AH13" s="31">
        <v>1179.3789999999999</v>
      </c>
      <c r="AI13" s="31">
        <v>1182.3320000000001</v>
      </c>
    </row>
    <row r="14" spans="1:42" s="8" customFormat="1" ht="25.7" customHeight="1" thickBot="1" x14ac:dyDescent="0.3">
      <c r="A14" s="95"/>
      <c r="B14" s="48"/>
      <c r="C14" s="93"/>
      <c r="D14" s="33"/>
      <c r="E14" s="33">
        <f t="shared" ref="E14" si="4">E13-D13</f>
        <v>0.95299999999997453</v>
      </c>
      <c r="F14" s="33">
        <f t="shared" si="2"/>
        <v>8.48700000000008</v>
      </c>
      <c r="G14" s="33">
        <f t="shared" si="2"/>
        <v>1.0540000000000873</v>
      </c>
      <c r="H14" s="33">
        <f t="shared" si="2"/>
        <v>2.4969999999998436</v>
      </c>
      <c r="I14" s="33">
        <f t="shared" si="2"/>
        <v>0.99500000000011823</v>
      </c>
      <c r="J14" s="33">
        <f t="shared" si="2"/>
        <v>0.89499999999998181</v>
      </c>
      <c r="K14" s="33">
        <f t="shared" si="2"/>
        <v>0.96199999999998909</v>
      </c>
      <c r="L14" s="33">
        <f t="shared" si="2"/>
        <v>1.3859999999999673</v>
      </c>
      <c r="M14" s="33">
        <f t="shared" si="2"/>
        <v>1.36200000000008</v>
      </c>
      <c r="N14" s="33">
        <f t="shared" si="2"/>
        <v>4.1589999999998781</v>
      </c>
      <c r="O14" s="33">
        <f t="shared" si="2"/>
        <v>0.77300000000013824</v>
      </c>
      <c r="P14" s="33">
        <f t="shared" si="2"/>
        <v>0.70599999999990359</v>
      </c>
      <c r="Q14" s="33">
        <f t="shared" si="2"/>
        <v>4.1890000000000782</v>
      </c>
      <c r="R14" s="33">
        <f t="shared" si="2"/>
        <v>4.6219999999998436</v>
      </c>
      <c r="S14" s="33">
        <f t="shared" si="2"/>
        <v>2.4510000000000218</v>
      </c>
      <c r="T14" s="33">
        <f t="shared" si="2"/>
        <v>2.2139999999999418</v>
      </c>
      <c r="U14" s="33">
        <f t="shared" si="2"/>
        <v>8.4570000000001073</v>
      </c>
      <c r="V14" s="33">
        <f t="shared" si="2"/>
        <v>8.8530000000000655</v>
      </c>
      <c r="W14" s="33">
        <f t="shared" si="2"/>
        <v>0.6330000000000382</v>
      </c>
      <c r="X14" s="33">
        <f t="shared" si="2"/>
        <v>3.5229999999999109</v>
      </c>
      <c r="Y14" s="33">
        <f t="shared" si="2"/>
        <v>3.3199999999999363</v>
      </c>
      <c r="Z14" s="33">
        <f t="shared" si="2"/>
        <v>1.5460000000000491</v>
      </c>
      <c r="AA14" s="64">
        <f t="shared" si="2"/>
        <v>8.3589999999999236</v>
      </c>
      <c r="AB14" s="33">
        <f t="shared" si="2"/>
        <v>2.1750000000001819</v>
      </c>
      <c r="AC14" s="33">
        <f t="shared" si="2"/>
        <v>2.3329999999998563</v>
      </c>
      <c r="AD14" s="33">
        <f t="shared" si="2"/>
        <v>1.3959999999999582</v>
      </c>
      <c r="AE14" s="33">
        <f t="shared" si="2"/>
        <v>0.69400000000018736</v>
      </c>
      <c r="AF14" s="33">
        <f t="shared" si="2"/>
        <v>2.2179999999998472</v>
      </c>
      <c r="AG14" s="33">
        <f t="shared" si="2"/>
        <v>1.7300000000000182</v>
      </c>
      <c r="AH14" s="33">
        <f t="shared" si="2"/>
        <v>2.1279999999999291</v>
      </c>
      <c r="AI14" s="33">
        <f t="shared" si="2"/>
        <v>2.9530000000002019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7" t="s">
        <v>71</v>
      </c>
      <c r="C15" s="87"/>
      <c r="D15" s="50"/>
      <c r="E15" s="58">
        <f>E6+((E8*45%)+(E10*45%)+(E12+E14))</f>
        <v>270.79099999999465</v>
      </c>
      <c r="F15" s="58">
        <f t="shared" ref="F15:AI15" si="5">F6+((F8*45%)+(F10*45%)+(F12+F14))</f>
        <v>333.0000000000403</v>
      </c>
      <c r="G15" s="58">
        <f t="shared" si="5"/>
        <v>264.85099999998954</v>
      </c>
      <c r="H15" s="58">
        <f t="shared" si="5"/>
        <v>290.91199999999753</v>
      </c>
      <c r="I15" s="58">
        <f t="shared" si="5"/>
        <v>248.69499999996751</v>
      </c>
      <c r="J15" s="58">
        <f t="shared" si="5"/>
        <v>318.11400000005187</v>
      </c>
      <c r="K15" s="58">
        <f t="shared" si="5"/>
        <v>262.13000000001045</v>
      </c>
      <c r="L15" s="58">
        <f t="shared" si="5"/>
        <v>322.92599999998305</v>
      </c>
      <c r="M15" s="58">
        <f t="shared" si="5"/>
        <v>289.05799999996634</v>
      </c>
      <c r="N15" s="58">
        <f t="shared" si="5"/>
        <v>330.43700000000399</v>
      </c>
      <c r="O15" s="58">
        <f t="shared" si="5"/>
        <v>290.62100000000765</v>
      </c>
      <c r="P15" s="58">
        <f t="shared" si="5"/>
        <v>251.27300000002091</v>
      </c>
      <c r="Q15" s="58">
        <f t="shared" si="5"/>
        <v>337.49399999997155</v>
      </c>
      <c r="R15" s="58">
        <f t="shared" si="5"/>
        <v>162.58699999998407</v>
      </c>
      <c r="S15" s="58">
        <f t="shared" si="5"/>
        <v>285.98800000002103</v>
      </c>
      <c r="T15" s="58">
        <f t="shared" si="5"/>
        <v>281.94200000000632</v>
      </c>
      <c r="U15" s="58">
        <f t="shared" si="5"/>
        <v>312.80199999997285</v>
      </c>
      <c r="V15" s="58">
        <f t="shared" si="5"/>
        <v>255.26000000002335</v>
      </c>
      <c r="W15" s="58">
        <f t="shared" si="5"/>
        <v>297.53799999998199</v>
      </c>
      <c r="X15" s="58">
        <f t="shared" si="5"/>
        <v>302.92300000005059</v>
      </c>
      <c r="Y15" s="58">
        <f t="shared" si="5"/>
        <v>223.58999999995982</v>
      </c>
      <c r="Z15" s="58">
        <f t="shared" si="5"/>
        <v>345.81500000000119</v>
      </c>
      <c r="AA15" s="58">
        <f t="shared" si="5"/>
        <v>338.70400000002212</v>
      </c>
      <c r="AB15" s="58">
        <f t="shared" si="5"/>
        <v>310.35599999996111</v>
      </c>
      <c r="AC15" s="58">
        <f t="shared" si="5"/>
        <v>257.47199999999987</v>
      </c>
      <c r="AD15" s="58">
        <f t="shared" si="5"/>
        <v>313.48299999999995</v>
      </c>
      <c r="AE15" s="58">
        <f t="shared" si="5"/>
        <v>361.80300000002762</v>
      </c>
      <c r="AF15" s="58">
        <f t="shared" si="5"/>
        <v>234.15800000001144</v>
      </c>
      <c r="AG15" s="58">
        <f t="shared" si="5"/>
        <v>308.80999999999597</v>
      </c>
      <c r="AH15" s="58">
        <f t="shared" si="5"/>
        <v>350.52499999998071</v>
      </c>
      <c r="AI15" s="58">
        <f t="shared" si="5"/>
        <v>335.72700000000015</v>
      </c>
    </row>
    <row r="16" spans="1:42" ht="33" customHeight="1" x14ac:dyDescent="0.25">
      <c r="B16" s="86" t="s">
        <v>72</v>
      </c>
      <c r="C16" s="86"/>
      <c r="D16" s="50"/>
      <c r="E16" s="58">
        <f>SUM(E15:AI15)</f>
        <v>9089.7850000000089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1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97" t="s">
        <v>84</v>
      </c>
      <c r="B1" s="97"/>
      <c r="C1" s="97"/>
    </row>
    <row r="3" spans="1:7" ht="48" x14ac:dyDescent="0.25">
      <c r="A3" s="51" t="s">
        <v>19</v>
      </c>
      <c r="B3" s="52">
        <v>61120.81</v>
      </c>
      <c r="C3" s="53"/>
    </row>
    <row r="4" spans="1:7" ht="28.5" customHeight="1" x14ac:dyDescent="0.25">
      <c r="A4" s="54">
        <v>1</v>
      </c>
      <c r="B4" s="52"/>
      <c r="C4" s="53">
        <f>B3/31</f>
        <v>1971.6390322580644</v>
      </c>
    </row>
    <row r="5" spans="1:7" ht="28.5" customHeight="1" x14ac:dyDescent="0.25">
      <c r="A5" s="54">
        <v>2</v>
      </c>
      <c r="B5" s="52"/>
      <c r="C5" s="53">
        <v>1971.6390322580644</v>
      </c>
    </row>
    <row r="6" spans="1:7" ht="28.5" customHeight="1" x14ac:dyDescent="0.25">
      <c r="A6" s="55">
        <v>3</v>
      </c>
      <c r="B6" s="52"/>
      <c r="C6" s="53">
        <v>1971.6390322580644</v>
      </c>
    </row>
    <row r="7" spans="1:7" ht="28.5" customHeight="1" x14ac:dyDescent="0.25">
      <c r="A7" s="54">
        <v>4</v>
      </c>
      <c r="B7" s="52"/>
      <c r="C7" s="53">
        <v>1971.6390322580644</v>
      </c>
    </row>
    <row r="8" spans="1:7" ht="28.5" customHeight="1" x14ac:dyDescent="0.25">
      <c r="A8" s="54">
        <v>5</v>
      </c>
      <c r="B8" s="52"/>
      <c r="C8" s="53">
        <v>1971.6390322580644</v>
      </c>
    </row>
    <row r="9" spans="1:7" ht="28.5" customHeight="1" x14ac:dyDescent="0.25">
      <c r="A9" s="54">
        <v>6</v>
      </c>
      <c r="B9" s="52"/>
      <c r="C9" s="53">
        <v>1971.6390322580644</v>
      </c>
      <c r="G9" t="s">
        <v>75</v>
      </c>
    </row>
    <row r="10" spans="1:7" ht="28.5" customHeight="1" x14ac:dyDescent="0.25">
      <c r="A10" s="54">
        <v>7</v>
      </c>
      <c r="B10" s="52"/>
      <c r="C10" s="53">
        <v>1971.6390322580644</v>
      </c>
    </row>
    <row r="11" spans="1:7" ht="28.5" customHeight="1" x14ac:dyDescent="0.25">
      <c r="A11" s="54">
        <v>8</v>
      </c>
      <c r="B11" s="52"/>
      <c r="C11" s="53">
        <v>1971.6390322580644</v>
      </c>
    </row>
    <row r="12" spans="1:7" ht="28.5" customHeight="1" x14ac:dyDescent="0.25">
      <c r="A12" s="54">
        <v>9</v>
      </c>
      <c r="B12" s="52"/>
      <c r="C12" s="53">
        <v>1971.6390322580644</v>
      </c>
    </row>
    <row r="13" spans="1:7" ht="28.5" customHeight="1" x14ac:dyDescent="0.25">
      <c r="A13" s="54">
        <v>10</v>
      </c>
      <c r="B13" s="52"/>
      <c r="C13" s="53">
        <v>1971.6390322580644</v>
      </c>
    </row>
    <row r="14" spans="1:7" ht="28.5" customHeight="1" x14ac:dyDescent="0.25">
      <c r="A14" s="54">
        <v>11</v>
      </c>
      <c r="B14" s="52"/>
      <c r="C14" s="53">
        <v>1971.6390322580644</v>
      </c>
    </row>
    <row r="15" spans="1:7" ht="28.5" customHeight="1" x14ac:dyDescent="0.25">
      <c r="A15" s="54">
        <v>12</v>
      </c>
      <c r="B15" s="52"/>
      <c r="C15" s="53">
        <v>1971.6390322580644</v>
      </c>
    </row>
    <row r="16" spans="1:7" ht="28.5" customHeight="1" x14ac:dyDescent="0.25">
      <c r="A16" s="54">
        <v>13</v>
      </c>
      <c r="B16" s="52"/>
      <c r="C16" s="53">
        <v>1971.6390322580644</v>
      </c>
    </row>
    <row r="17" spans="1:4" ht="28.5" customHeight="1" x14ac:dyDescent="0.25">
      <c r="A17" s="54">
        <v>14</v>
      </c>
      <c r="B17" s="52"/>
      <c r="C17" s="53">
        <v>1971.6390322580644</v>
      </c>
    </row>
    <row r="18" spans="1:4" ht="28.5" customHeight="1" x14ac:dyDescent="0.25">
      <c r="A18" s="54">
        <v>15</v>
      </c>
      <c r="B18" s="52"/>
      <c r="C18" s="53">
        <v>1971.6390322580644</v>
      </c>
    </row>
    <row r="19" spans="1:4" ht="28.5" customHeight="1" x14ac:dyDescent="0.25">
      <c r="A19" s="54">
        <v>16</v>
      </c>
      <c r="B19" s="52"/>
      <c r="C19" s="53">
        <v>1971.6390322580644</v>
      </c>
    </row>
    <row r="20" spans="1:4" ht="28.5" customHeight="1" x14ac:dyDescent="0.25">
      <c r="A20" s="54">
        <v>17</v>
      </c>
      <c r="B20" s="52"/>
      <c r="C20" s="53">
        <v>1971.6390322580644</v>
      </c>
    </row>
    <row r="21" spans="1:4" ht="28.5" customHeight="1" x14ac:dyDescent="0.25">
      <c r="A21" s="54">
        <v>18</v>
      </c>
      <c r="B21" s="52"/>
      <c r="C21" s="53">
        <v>1971.6390322580644</v>
      </c>
    </row>
    <row r="22" spans="1:4" ht="28.5" customHeight="1" x14ac:dyDescent="0.25">
      <c r="A22" s="54">
        <v>19</v>
      </c>
      <c r="B22" s="52"/>
      <c r="C22" s="53">
        <v>1971.6390322580644</v>
      </c>
    </row>
    <row r="23" spans="1:4" ht="28.5" customHeight="1" x14ac:dyDescent="0.25">
      <c r="A23" s="54">
        <v>20</v>
      </c>
      <c r="B23" s="52"/>
      <c r="C23" s="53">
        <v>1971.6390322580644</v>
      </c>
    </row>
    <row r="24" spans="1:4" ht="28.5" customHeight="1" x14ac:dyDescent="0.25">
      <c r="A24" s="54">
        <v>21</v>
      </c>
      <c r="B24" s="52"/>
      <c r="C24" s="53">
        <v>1971.6390322580644</v>
      </c>
    </row>
    <row r="25" spans="1:4" ht="28.5" customHeight="1" x14ac:dyDescent="0.25">
      <c r="A25" s="54">
        <v>22</v>
      </c>
      <c r="B25" s="52"/>
      <c r="C25" s="53">
        <v>1971.6390322580644</v>
      </c>
    </row>
    <row r="26" spans="1:4" ht="28.5" customHeight="1" x14ac:dyDescent="0.25">
      <c r="A26" s="54">
        <v>23</v>
      </c>
      <c r="B26" s="52"/>
      <c r="C26" s="53">
        <v>1971.6390322580644</v>
      </c>
    </row>
    <row r="27" spans="1:4" ht="28.5" customHeight="1" x14ac:dyDescent="0.25">
      <c r="A27" s="54">
        <v>24</v>
      </c>
      <c r="B27" s="52"/>
      <c r="C27" s="53">
        <v>1971.6390322580644</v>
      </c>
    </row>
    <row r="28" spans="1:4" ht="28.5" customHeight="1" x14ac:dyDescent="0.25">
      <c r="A28" s="54">
        <v>25</v>
      </c>
      <c r="B28" s="52"/>
      <c r="C28" s="53">
        <v>1971.6390322580644</v>
      </c>
      <c r="D28" s="56"/>
    </row>
    <row r="29" spans="1:4" ht="28.5" customHeight="1" x14ac:dyDescent="0.25">
      <c r="A29" s="54">
        <v>26</v>
      </c>
      <c r="B29" s="52"/>
      <c r="C29" s="53">
        <v>1971.6390322580644</v>
      </c>
      <c r="D29" s="56"/>
    </row>
    <row r="30" spans="1:4" ht="28.5" customHeight="1" x14ac:dyDescent="0.25">
      <c r="A30" s="54">
        <v>27</v>
      </c>
      <c r="B30" s="52"/>
      <c r="C30" s="53">
        <v>1971.6390322580644</v>
      </c>
    </row>
    <row r="31" spans="1:4" ht="28.5" customHeight="1" x14ac:dyDescent="0.25">
      <c r="A31" s="54">
        <v>28</v>
      </c>
      <c r="B31" s="52"/>
      <c r="C31" s="53">
        <v>1971.6390322580644</v>
      </c>
    </row>
    <row r="32" spans="1:4" ht="28.5" customHeight="1" x14ac:dyDescent="0.25">
      <c r="A32" s="54">
        <v>29</v>
      </c>
      <c r="B32" s="52"/>
      <c r="C32" s="53">
        <v>1971.6390322580644</v>
      </c>
    </row>
    <row r="33" spans="1:3" ht="28.5" customHeight="1" x14ac:dyDescent="0.25">
      <c r="A33" s="54">
        <v>30</v>
      </c>
      <c r="B33" s="52"/>
      <c r="C33" s="53">
        <v>1971.6390322580644</v>
      </c>
    </row>
    <row r="34" spans="1:3" ht="28.5" customHeight="1" x14ac:dyDescent="0.25">
      <c r="A34" s="54">
        <v>31</v>
      </c>
      <c r="B34" s="52"/>
      <c r="C34" s="53">
        <v>1971.6390322580644</v>
      </c>
    </row>
    <row r="35" spans="1:3" x14ac:dyDescent="0.25">
      <c r="A35" s="96" t="s">
        <v>76</v>
      </c>
      <c r="B35" s="96"/>
      <c r="C35" s="57">
        <f>SUM(C4:C34)</f>
        <v>61120.809999999961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6" zoomScaleNormal="100" workbookViewId="0">
      <selection activeCell="C34" sqref="C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8" t="s">
        <v>87</v>
      </c>
      <c r="B1" s="98"/>
      <c r="C1" s="98"/>
    </row>
    <row r="2" spans="1:3" ht="24.95" customHeight="1" x14ac:dyDescent="0.25">
      <c r="A2" s="60" t="s">
        <v>82</v>
      </c>
      <c r="B2" s="60" t="s">
        <v>80</v>
      </c>
      <c r="C2" s="60" t="s">
        <v>81</v>
      </c>
    </row>
    <row r="3" spans="1:3" ht="24.95" customHeight="1" x14ac:dyDescent="0.25">
      <c r="A3" s="61">
        <v>44835</v>
      </c>
      <c r="B3" s="63">
        <v>262</v>
      </c>
      <c r="C3" s="63">
        <v>333</v>
      </c>
    </row>
    <row r="4" spans="1:3" ht="24.95" customHeight="1" x14ac:dyDescent="0.25">
      <c r="A4" s="61">
        <v>44836</v>
      </c>
      <c r="B4" s="63">
        <v>305</v>
      </c>
      <c r="C4" s="63">
        <v>380</v>
      </c>
    </row>
    <row r="5" spans="1:3" ht="24.95" customHeight="1" x14ac:dyDescent="0.25">
      <c r="A5" s="61">
        <v>44837</v>
      </c>
      <c r="B5" s="63">
        <v>335</v>
      </c>
      <c r="C5" s="63">
        <v>412</v>
      </c>
    </row>
    <row r="6" spans="1:3" ht="24.95" customHeight="1" x14ac:dyDescent="0.25">
      <c r="A6" s="61">
        <v>44838</v>
      </c>
      <c r="B6" s="63">
        <v>278</v>
      </c>
      <c r="C6" s="63">
        <v>348</v>
      </c>
    </row>
    <row r="7" spans="1:3" ht="24.95" customHeight="1" x14ac:dyDescent="0.25">
      <c r="A7" s="61">
        <v>44839</v>
      </c>
      <c r="B7" s="63">
        <v>265</v>
      </c>
      <c r="C7" s="63">
        <v>334</v>
      </c>
    </row>
    <row r="8" spans="1:3" ht="24.95" customHeight="1" x14ac:dyDescent="0.25">
      <c r="A8" s="61">
        <v>44840</v>
      </c>
      <c r="B8" s="63">
        <v>261</v>
      </c>
      <c r="C8" s="63">
        <v>336</v>
      </c>
    </row>
    <row r="9" spans="1:3" ht="24.95" customHeight="1" x14ac:dyDescent="0.25">
      <c r="A9" s="61">
        <v>44841</v>
      </c>
      <c r="B9" s="63">
        <v>276</v>
      </c>
      <c r="C9" s="63">
        <v>371</v>
      </c>
    </row>
    <row r="10" spans="1:3" ht="24.95" customHeight="1" x14ac:dyDescent="0.25">
      <c r="A10" s="61">
        <v>44842</v>
      </c>
      <c r="B10" s="63">
        <v>298</v>
      </c>
      <c r="C10" s="63">
        <v>432</v>
      </c>
    </row>
    <row r="11" spans="1:3" ht="24.95" customHeight="1" x14ac:dyDescent="0.25">
      <c r="A11" s="61">
        <v>44843</v>
      </c>
      <c r="B11" s="63">
        <v>264</v>
      </c>
      <c r="C11" s="63">
        <v>356</v>
      </c>
    </row>
    <row r="12" spans="1:3" ht="24.95" customHeight="1" x14ac:dyDescent="0.25">
      <c r="A12" s="61">
        <v>44844</v>
      </c>
      <c r="B12" s="63">
        <v>306</v>
      </c>
      <c r="C12" s="63">
        <v>395</v>
      </c>
    </row>
    <row r="13" spans="1:3" ht="24.95" customHeight="1" x14ac:dyDescent="0.25">
      <c r="A13" s="61">
        <v>44845</v>
      </c>
      <c r="B13" s="63">
        <v>387</v>
      </c>
      <c r="C13" s="63">
        <v>500</v>
      </c>
    </row>
    <row r="14" spans="1:3" ht="24.95" customHeight="1" x14ac:dyDescent="0.25">
      <c r="A14" s="61">
        <v>44846</v>
      </c>
      <c r="B14" s="63">
        <v>349</v>
      </c>
      <c r="C14" s="63">
        <v>436</v>
      </c>
    </row>
    <row r="15" spans="1:3" ht="24.95" customHeight="1" x14ac:dyDescent="0.25">
      <c r="A15" s="61">
        <v>44847</v>
      </c>
      <c r="B15" s="63">
        <v>288</v>
      </c>
      <c r="C15" s="63">
        <v>357</v>
      </c>
    </row>
    <row r="16" spans="1:3" ht="24.95" customHeight="1" x14ac:dyDescent="0.25">
      <c r="A16" s="61">
        <v>44848</v>
      </c>
      <c r="B16" s="63">
        <v>274</v>
      </c>
      <c r="C16" s="63">
        <v>372</v>
      </c>
    </row>
    <row r="17" spans="1:3" ht="24.95" customHeight="1" x14ac:dyDescent="0.25">
      <c r="A17" s="61">
        <v>44849</v>
      </c>
      <c r="B17" s="63">
        <v>270</v>
      </c>
      <c r="C17" s="63">
        <v>393</v>
      </c>
    </row>
    <row r="18" spans="1:3" ht="24.95" customHeight="1" x14ac:dyDescent="0.25">
      <c r="A18" s="61">
        <v>44850</v>
      </c>
      <c r="B18" s="63">
        <v>340</v>
      </c>
      <c r="C18" s="63">
        <v>456</v>
      </c>
    </row>
    <row r="19" spans="1:3" ht="24.95" customHeight="1" x14ac:dyDescent="0.25">
      <c r="A19" s="61">
        <v>44851</v>
      </c>
      <c r="B19" s="63">
        <v>316</v>
      </c>
      <c r="C19" s="63">
        <v>391</v>
      </c>
    </row>
    <row r="20" spans="1:3" ht="24.95" customHeight="1" x14ac:dyDescent="0.25">
      <c r="A20" s="61">
        <v>44852</v>
      </c>
      <c r="B20" s="63">
        <v>380</v>
      </c>
      <c r="C20" s="63">
        <v>471</v>
      </c>
    </row>
    <row r="21" spans="1:3" ht="24.95" customHeight="1" x14ac:dyDescent="0.25">
      <c r="A21" s="61">
        <v>44853</v>
      </c>
      <c r="B21" s="63">
        <v>411</v>
      </c>
      <c r="C21" s="63">
        <v>530</v>
      </c>
    </row>
    <row r="22" spans="1:3" ht="24.95" customHeight="1" x14ac:dyDescent="0.25">
      <c r="A22" s="61">
        <v>44854</v>
      </c>
      <c r="B22" s="63">
        <v>360</v>
      </c>
      <c r="C22" s="63">
        <v>480</v>
      </c>
    </row>
    <row r="23" spans="1:3" ht="24.95" customHeight="1" x14ac:dyDescent="0.25">
      <c r="A23" s="61">
        <v>44855</v>
      </c>
      <c r="B23" s="63">
        <v>367</v>
      </c>
      <c r="C23" s="63">
        <v>537</v>
      </c>
    </row>
    <row r="24" spans="1:3" ht="24.95" customHeight="1" x14ac:dyDescent="0.25">
      <c r="A24" s="61">
        <v>44856</v>
      </c>
      <c r="B24" s="63">
        <v>445</v>
      </c>
      <c r="C24" s="63">
        <v>655</v>
      </c>
    </row>
    <row r="25" spans="1:3" ht="24.95" customHeight="1" x14ac:dyDescent="0.25">
      <c r="A25" s="61">
        <v>44857</v>
      </c>
      <c r="B25" s="63">
        <v>327</v>
      </c>
      <c r="C25" s="63">
        <v>448</v>
      </c>
    </row>
    <row r="26" spans="1:3" ht="24.95" customHeight="1" x14ac:dyDescent="0.25">
      <c r="A26" s="61">
        <v>44858</v>
      </c>
      <c r="B26" s="63">
        <v>385</v>
      </c>
      <c r="C26" s="63">
        <v>505</v>
      </c>
    </row>
    <row r="27" spans="1:3" ht="24.95" customHeight="1" x14ac:dyDescent="0.25">
      <c r="A27" s="61">
        <v>44859</v>
      </c>
      <c r="B27" s="63">
        <v>444</v>
      </c>
      <c r="C27" s="63">
        <v>575</v>
      </c>
    </row>
    <row r="28" spans="1:3" ht="24.95" customHeight="1" x14ac:dyDescent="0.25">
      <c r="A28" s="61">
        <v>44860</v>
      </c>
      <c r="B28" s="63">
        <v>467</v>
      </c>
      <c r="C28" s="63">
        <v>603</v>
      </c>
    </row>
    <row r="29" spans="1:3" ht="24.95" customHeight="1" x14ac:dyDescent="0.25">
      <c r="A29" s="61">
        <v>44861</v>
      </c>
      <c r="B29" s="63">
        <v>449</v>
      </c>
      <c r="C29" s="63">
        <v>606</v>
      </c>
    </row>
    <row r="30" spans="1:3" ht="24.95" customHeight="1" x14ac:dyDescent="0.25">
      <c r="A30" s="61">
        <v>44862</v>
      </c>
      <c r="B30" s="63">
        <v>433</v>
      </c>
      <c r="C30" s="63">
        <v>615</v>
      </c>
    </row>
    <row r="31" spans="1:3" ht="24.95" customHeight="1" x14ac:dyDescent="0.25">
      <c r="A31" s="61">
        <v>44863</v>
      </c>
      <c r="B31" s="63">
        <v>475</v>
      </c>
      <c r="C31" s="63">
        <v>705</v>
      </c>
    </row>
    <row r="32" spans="1:3" ht="24.95" customHeight="1" x14ac:dyDescent="0.25">
      <c r="A32" s="61">
        <v>44864</v>
      </c>
      <c r="B32" s="63">
        <v>466</v>
      </c>
      <c r="C32" s="63">
        <v>607</v>
      </c>
    </row>
    <row r="33" spans="1:3" ht="24.95" customHeight="1" x14ac:dyDescent="0.25">
      <c r="A33" s="61">
        <v>44865</v>
      </c>
      <c r="B33" s="63">
        <v>488</v>
      </c>
      <c r="C33" s="63">
        <v>598</v>
      </c>
    </row>
    <row r="34" spans="1:3" ht="30.75" customHeight="1" x14ac:dyDescent="0.25">
      <c r="A34" s="60" t="s">
        <v>83</v>
      </c>
      <c r="B34" s="62">
        <f>SUM(B3:B33)</f>
        <v>10971</v>
      </c>
      <c r="C34" s="62">
        <f>SUM(C3:C33)</f>
        <v>14537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2025-03-18T10:47:07Z</dcterms:modified>
</cp:coreProperties>
</file>