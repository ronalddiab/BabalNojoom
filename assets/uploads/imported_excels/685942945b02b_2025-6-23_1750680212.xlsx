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4/"/>
    </mc:Choice>
  </mc:AlternateContent>
  <xr:revisionPtr revIDLastSave="634" documentId="8_{8847650D-614C-4264-8C87-30D8B5EB4252}" xr6:coauthVersionLast="47" xr6:coauthVersionMax="47" xr10:uidLastSave="{65A8EF60-331C-41F4-A1CE-2B885BB7C032}"/>
  <bookViews>
    <workbookView xWindow="-120" yWindow="-120" windowWidth="29040" windowHeight="15720" activeTab="3" xr2:uid="{00000000-000D-0000-FFFF-FFFF00000000}"/>
  </bookViews>
  <sheets>
    <sheet name="Total" sheetId="2" r:id="rId1"/>
    <sheet name="Electricity" sheetId="3" r:id="rId2"/>
    <sheet name="Water" sheetId="5" r:id="rId3"/>
    <sheet name="LPG" sheetId="6" r:id="rId4"/>
    <sheet name="Occupied &amp; No. of Guest" sheetId="7" r:id="rId5"/>
  </sheets>
  <definedNames>
    <definedName name="_xlnm._FilterDatabase" localSheetId="3" hidden="1">LPG!$A$3:$C$3</definedName>
    <definedName name="_xlnm.Print_Area" localSheetId="3">LPG!$A$1:$C$37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G2" i="2"/>
  <c r="E2" i="2"/>
  <c r="C4" i="6" l="1"/>
  <c r="C34" i="7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AF15" i="5" l="1"/>
  <c r="AH15" i="5"/>
  <c r="AG15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B34" i="7"/>
  <c r="AF21" i="3" l="1"/>
  <c r="AG21" i="3"/>
  <c r="AH21" i="3"/>
  <c r="C35" i="6" l="1"/>
  <c r="C37" i="6" s="1"/>
  <c r="AI15" i="5" l="1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I21" i="3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E16" i="5" l="1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sharedStrings.xml><?xml version="1.0" encoding="utf-8"?>
<sst xmlns="http://schemas.openxmlformats.org/spreadsheetml/2006/main" count="127" uniqueCount="90">
  <si>
    <t>Site Name</t>
  </si>
  <si>
    <t>Day</t>
  </si>
  <si>
    <t>Month</t>
  </si>
  <si>
    <t>Year</t>
  </si>
  <si>
    <t xml:space="preserve">Room Nights </t>
  </si>
  <si>
    <t xml:space="preserve">Total Guests </t>
  </si>
  <si>
    <t>Total Electricity Kwh</t>
  </si>
  <si>
    <t>Electricity Tariff ($/Kwh)</t>
  </si>
  <si>
    <t>Water Utility Supply (m3) m3</t>
  </si>
  <si>
    <t>Water Utility Supply (m3) $/m3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</si>
  <si>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</si>
  <si>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</si>
  <si>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</si>
  <si>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</si>
  <si>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</si>
  <si>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</si>
  <si>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</si>
  <si>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</si>
  <si>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</si>
  <si>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</si>
  <si>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</si>
  <si>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</si>
  <si>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</si>
  <si>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</si>
  <si>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</si>
  <si>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</si>
  <si>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</si>
  <si>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</si>
  <si>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</si>
  <si>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</si>
  <si>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</si>
  <si>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</si>
  <si>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</si>
  <si>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</si>
  <si>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</si>
  <si>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</si>
  <si>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</si>
  <si>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</si>
  <si>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</si>
  <si>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</si>
  <si>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</si>
  <si>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</si>
  <si>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</si>
  <si>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</si>
  <si>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</si>
  <si>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</si>
  <si>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</si>
  <si>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</si>
  <si>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48242051 (Hotel &amp; Arjaan Main Meter)</t>
  </si>
  <si>
    <t>Hotel &amp; Arjaan / Raw Water Tank for Hotel,Arjaan,Kitchen,Laundry,Staff Locker,Hotel Swimming Pool</t>
  </si>
  <si>
    <t xml:space="preserve">LPG (Liters) </t>
  </si>
  <si>
    <t>LPG $/Liters</t>
  </si>
  <si>
    <t>Park Rotana and Park Arjaan Abu Dhabi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</si>
  <si>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</si>
  <si>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</si>
  <si>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</si>
  <si>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</si>
  <si>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</si>
  <si>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</si>
  <si>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</si>
  <si>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</si>
  <si>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</si>
  <si>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</si>
  <si>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</si>
  <si>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</si>
  <si>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</si>
  <si>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</si>
  <si>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t>2045000686(Sub Meter)</t>
  </si>
  <si>
    <t>Irrigation water Tank</t>
  </si>
  <si>
    <t>EMK17100DA17081056 (Cooling Tower Meter)</t>
  </si>
  <si>
    <t>Cooling Towers, Irrigation Tank,CHW Make up Line,Residence Pool, Cooling Tower Blow Down</t>
  </si>
  <si>
    <t>Total Daily Consumption (m3)</t>
  </si>
  <si>
    <t>Total Monthly Consumption (m3)</t>
  </si>
  <si>
    <t>Hotel  &amp; Arjaan Gym</t>
  </si>
  <si>
    <t>Hotel &amp; Arjaan Spa</t>
  </si>
  <si>
    <t xml:space="preserve">                                       </t>
  </si>
  <si>
    <t>TOTAL Consumption</t>
  </si>
  <si>
    <t>TOTAL BOILER</t>
  </si>
  <si>
    <t>29</t>
  </si>
  <si>
    <t>30</t>
  </si>
  <si>
    <t>31</t>
  </si>
  <si>
    <t>Occupied</t>
  </si>
  <si>
    <t># Guest</t>
  </si>
  <si>
    <t>Date</t>
  </si>
  <si>
    <t>TOTAL MTD</t>
  </si>
  <si>
    <t>DAILY ELECTRICITY METER READINGS &amp; CONSUMPTION AUGUTS 2024</t>
  </si>
  <si>
    <t>DAILY GAS METER READINGS &amp; CONSUMPTION (Liters) AUGUST 2024</t>
  </si>
  <si>
    <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AUGUST  2024</t>
    </r>
  </si>
  <si>
    <t>Occupied Room &amp; Number of Guest
August 2024</t>
  </si>
  <si>
    <t>From Technical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</si>
</sst>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</numFmts>
  <fonts count="3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20" fillId="0" borderId="0" applyFont="0" applyFill="0" applyBorder="0" applyAlignment="0" applyProtection="0"/>
  </cellStyleXfs>
  <cellXfs count="10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8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21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3" fillId="11" borderId="0" xfId="1" applyNumberFormat="1" applyFont="1" applyFill="1"/>
    <xf numFmtId="4" fontId="23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0" fontId="19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3" fontId="27" fillId="0" borderId="10" xfId="0" applyNumberFormat="1" applyFont="1" applyBorder="1" applyAlignment="1">
      <alignment horizontal="center" vertical="center"/>
    </xf>
    <xf numFmtId="3" fontId="28" fillId="0" borderId="10" xfId="0" applyNumberFormat="1" applyFont="1" applyBorder="1" applyAlignment="1">
      <alignment horizontal="center" vertical="center"/>
    </xf>
    <xf numFmtId="0" fontId="0" fillId="6" borderId="0" xfId="0" applyFill="1"/>
    <xf numFmtId="164" fontId="2" fillId="0" borderId="0" xfId="0" applyNumberFormat="1" applyFont="1"/>
    <xf numFmtId="3" fontId="16" fillId="11" borderId="0" xfId="0" applyNumberFormat="1" applyFont="1" applyFill="1" applyAlignment="1">
      <alignment horizontal="center" vertical="center"/>
    </xf>
    <xf numFmtId="3" fontId="23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165" fontId="29" fillId="12" borderId="0" xfId="0" applyNumberFormat="1" applyFont="1" applyFill="1" applyAlignment="1">
      <alignment horizontal="center" vertical="center" wrapText="1"/>
    </xf>
    <xf numFmtId="164" fontId="2" fillId="9" borderId="0" xfId="0" applyNumberFormat="1" applyFont="1" applyFill="1" applyAlignment="1">
      <alignment horizontal="center" vertical="center"/>
    </xf>
    <xf numFmtId="1" fontId="31" fillId="0" borderId="0" xfId="0" applyNumberFormat="1" applyFont="1" applyAlignment="1">
      <alignment horizontal="center"/>
    </xf>
    <xf numFmtId="4" fontId="23" fillId="11" borderId="0" xfId="1" applyNumberFormat="1" applyFont="1" applyFill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4" fontId="23" fillId="11" borderId="13" xfId="1" applyNumberFormat="1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4" fontId="25" fillId="11" borderId="13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6" borderId="12" xfId="0" quotePrefix="1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9" fillId="12" borderId="0" xfId="0" applyFont="1" applyFill="1" applyAlignment="1">
      <alignment horizontal="center" vertical="center" wrapText="1"/>
    </xf>
    <xf numFmtId="0" fontId="2" fillId="0" borderId="20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3"/>
  <sheetViews>
    <sheetView workbookViewId="0">
      <selection activeCell="E23" sqref="E23"/>
    </sheetView>
  </sheetViews>
  <sheetFormatPr defaultColWidth="11.5703125" defaultRowHeight="15" x14ac:dyDescent="0.25"/>
  <cols>
    <col min="1" max="1" width="29.140625" style="2" bestFit="1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24" width="11.5703125" style="3"/>
  </cols>
  <sheetData>
    <row r="1" spans="1:12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6</v>
      </c>
      <c r="F1" s="6" t="s">
        <v>7</v>
      </c>
      <c r="G1" s="5" t="s">
        <v>50</v>
      </c>
      <c r="H1" s="6" t="s">
        <v>51</v>
      </c>
      <c r="I1" s="5" t="s">
        <v>8</v>
      </c>
      <c r="J1" s="7" t="s">
        <v>9</v>
      </c>
      <c r="K1" s="5" t="s">
        <v>4</v>
      </c>
      <c r="L1" s="5" t="s">
        <v>5</v>
      </c>
    </row>
    <row r="2" spans="1:12" x14ac:dyDescent="0.25">
      <c r="A2" s="9" t="s">
        <v>52</v>
      </c>
      <c r="B2" s="10">
        <v>1</v>
      </c>
      <c r="C2" s="10">
        <v>8</v>
      </c>
      <c r="D2" s="10">
        <v>2024</v>
      </c>
      <c r="E2" s="4">
        <f>Electricity!E23/31</f>
        <v>46517.419354838712</v>
      </c>
      <c r="F2" s="11">
        <v>0.2</v>
      </c>
      <c r="G2" s="4">
        <f>LPG!C38/31</f>
        <v>2180.7709677419352</v>
      </c>
      <c r="H2" s="11">
        <v>1.54</v>
      </c>
      <c r="I2" s="4">
        <f>Water!E17/31</f>
        <v>403.79774193548388</v>
      </c>
      <c r="J2" s="11">
        <v>7.84</v>
      </c>
      <c r="K2" s="4">
        <f>'Occupied &amp; No. of Guest'!B3</f>
        <v>476</v>
      </c>
      <c r="L2" s="4">
        <f>'Occupied &amp; No. of Guest'!C3</f>
        <v>715</v>
      </c>
    </row>
    <row r="3" spans="1:12" x14ac:dyDescent="0.25">
      <c r="A3" s="9" t="s">
        <v>52</v>
      </c>
      <c r="B3" s="10">
        <f>B2+1</f>
        <v>2</v>
      </c>
      <c r="C3" s="10">
        <v>8</v>
      </c>
      <c r="D3" s="10">
        <v>2024</v>
      </c>
      <c r="E3" s="4">
        <v>46517.419354838712</v>
      </c>
      <c r="F3" s="11">
        <v>0.2</v>
      </c>
      <c r="G3" s="4">
        <v>2180.7709677419352</v>
      </c>
      <c r="H3" s="11">
        <v>1.54</v>
      </c>
      <c r="I3" s="4">
        <v>403.79774193548388</v>
      </c>
      <c r="J3" s="11">
        <v>7.84</v>
      </c>
      <c r="K3" s="4">
        <f>'Occupied &amp; No. of Guest'!B4</f>
        <v>448</v>
      </c>
      <c r="L3" s="4">
        <f>'Occupied &amp; No. of Guest'!C4</f>
        <v>688</v>
      </c>
    </row>
    <row r="4" spans="1:12" x14ac:dyDescent="0.25">
      <c r="A4" s="9" t="s">
        <v>52</v>
      </c>
      <c r="B4" s="10">
        <f t="shared" ref="B4:B32" si="0">B3+1</f>
        <v>3</v>
      </c>
      <c r="C4" s="10">
        <v>8</v>
      </c>
      <c r="D4" s="10">
        <v>2024</v>
      </c>
      <c r="E4" s="4">
        <v>46517.419354838712</v>
      </c>
      <c r="F4" s="11">
        <v>0.2</v>
      </c>
      <c r="G4" s="4">
        <v>2180.7709677419352</v>
      </c>
      <c r="H4" s="11">
        <v>1.54</v>
      </c>
      <c r="I4" s="4">
        <v>403.79774193548388</v>
      </c>
      <c r="J4" s="11">
        <v>7.84</v>
      </c>
      <c r="K4" s="4">
        <f>'Occupied &amp; No. of Guest'!B5</f>
        <v>459</v>
      </c>
      <c r="L4" s="4">
        <f>'Occupied &amp; No. of Guest'!C5</f>
        <v>759</v>
      </c>
    </row>
    <row r="5" spans="1:12" x14ac:dyDescent="0.25">
      <c r="A5" s="9" t="s">
        <v>52</v>
      </c>
      <c r="B5" s="10">
        <f t="shared" si="0"/>
        <v>4</v>
      </c>
      <c r="C5" s="10">
        <v>8</v>
      </c>
      <c r="D5" s="10">
        <v>2024</v>
      </c>
      <c r="E5" s="4">
        <v>46517.419354838712</v>
      </c>
      <c r="F5" s="11">
        <v>0.2</v>
      </c>
      <c r="G5" s="4">
        <v>2180.7709677419352</v>
      </c>
      <c r="H5" s="11">
        <v>1.54</v>
      </c>
      <c r="I5" s="4">
        <v>403.79774193548388</v>
      </c>
      <c r="J5" s="11">
        <v>7.84</v>
      </c>
      <c r="K5" s="4">
        <f>'Occupied &amp; No. of Guest'!B6</f>
        <v>469</v>
      </c>
      <c r="L5" s="4">
        <f>'Occupied &amp; No. of Guest'!C6</f>
        <v>749</v>
      </c>
    </row>
    <row r="6" spans="1:12" x14ac:dyDescent="0.25">
      <c r="A6" s="9" t="s">
        <v>52</v>
      </c>
      <c r="B6" s="10">
        <f t="shared" si="0"/>
        <v>5</v>
      </c>
      <c r="C6" s="10">
        <v>8</v>
      </c>
      <c r="D6" s="10">
        <v>2024</v>
      </c>
      <c r="E6" s="4">
        <v>46517.419354838712</v>
      </c>
      <c r="F6" s="11">
        <v>0.2</v>
      </c>
      <c r="G6" s="4">
        <v>2180.7709677419352</v>
      </c>
      <c r="H6" s="11">
        <v>1.54</v>
      </c>
      <c r="I6" s="4">
        <v>403.79774193548388</v>
      </c>
      <c r="J6" s="11">
        <v>7.84</v>
      </c>
      <c r="K6" s="4">
        <f>'Occupied &amp; No. of Guest'!B7</f>
        <v>488</v>
      </c>
      <c r="L6" s="4">
        <f>'Occupied &amp; No. of Guest'!C7</f>
        <v>792</v>
      </c>
    </row>
    <row r="7" spans="1:12" x14ac:dyDescent="0.25">
      <c r="A7" s="9" t="s">
        <v>52</v>
      </c>
      <c r="B7" s="10">
        <f t="shared" si="0"/>
        <v>6</v>
      </c>
      <c r="C7" s="10">
        <v>8</v>
      </c>
      <c r="D7" s="10">
        <v>2024</v>
      </c>
      <c r="E7" s="4">
        <v>46517.419354838712</v>
      </c>
      <c r="F7" s="11">
        <v>0.2</v>
      </c>
      <c r="G7" s="4">
        <v>2180.7709677419352</v>
      </c>
      <c r="H7" s="11">
        <v>1.54</v>
      </c>
      <c r="I7" s="4">
        <v>403.79774193548388</v>
      </c>
      <c r="J7" s="11">
        <v>7.84</v>
      </c>
      <c r="K7" s="4">
        <f>'Occupied &amp; No. of Guest'!B8</f>
        <v>484</v>
      </c>
      <c r="L7" s="4">
        <f>'Occupied &amp; No. of Guest'!C8</f>
        <v>753</v>
      </c>
    </row>
    <row r="8" spans="1:12" x14ac:dyDescent="0.25">
      <c r="A8" s="9" t="s">
        <v>52</v>
      </c>
      <c r="B8" s="10">
        <f t="shared" si="0"/>
        <v>7</v>
      </c>
      <c r="C8" s="10">
        <v>8</v>
      </c>
      <c r="D8" s="10">
        <v>2024</v>
      </c>
      <c r="E8" s="4">
        <v>46517.419354838712</v>
      </c>
      <c r="F8" s="11">
        <v>0.2</v>
      </c>
      <c r="G8" s="4">
        <v>2180.7709677419352</v>
      </c>
      <c r="H8" s="11">
        <v>1.54</v>
      </c>
      <c r="I8" s="4">
        <v>403.79774193548388</v>
      </c>
      <c r="J8" s="11">
        <v>7.84</v>
      </c>
      <c r="K8" s="4">
        <f>'Occupied &amp; No. of Guest'!B9</f>
        <v>475</v>
      </c>
      <c r="L8" s="4">
        <f>'Occupied &amp; No. of Guest'!C9</f>
        <v>713</v>
      </c>
    </row>
    <row r="9" spans="1:12" x14ac:dyDescent="0.25">
      <c r="A9" s="9" t="s">
        <v>52</v>
      </c>
      <c r="B9" s="10">
        <f t="shared" si="0"/>
        <v>8</v>
      </c>
      <c r="C9" s="10">
        <v>8</v>
      </c>
      <c r="D9" s="10">
        <v>2024</v>
      </c>
      <c r="E9" s="4">
        <v>46517.419354838712</v>
      </c>
      <c r="F9" s="11">
        <v>0.2</v>
      </c>
      <c r="G9" s="4">
        <v>2180.7709677419352</v>
      </c>
      <c r="H9" s="11">
        <v>1.54</v>
      </c>
      <c r="I9" s="4">
        <v>403.79774193548388</v>
      </c>
      <c r="J9" s="11">
        <v>7.84</v>
      </c>
      <c r="K9" s="4">
        <f>'Occupied &amp; No. of Guest'!B10</f>
        <v>480</v>
      </c>
      <c r="L9" s="4">
        <f>'Occupied &amp; No. of Guest'!C10</f>
        <v>734</v>
      </c>
    </row>
    <row r="10" spans="1:12" x14ac:dyDescent="0.25">
      <c r="A10" s="9" t="s">
        <v>52</v>
      </c>
      <c r="B10" s="10">
        <f t="shared" si="0"/>
        <v>9</v>
      </c>
      <c r="C10" s="10">
        <v>8</v>
      </c>
      <c r="D10" s="10">
        <v>2024</v>
      </c>
      <c r="E10" s="4">
        <v>46517.419354838712</v>
      </c>
      <c r="F10" s="11">
        <v>0.2</v>
      </c>
      <c r="G10" s="4">
        <v>2180.7709677419352</v>
      </c>
      <c r="H10" s="11">
        <v>1.54</v>
      </c>
      <c r="I10" s="4">
        <v>403.79774193548388</v>
      </c>
      <c r="J10" s="11">
        <v>7.84</v>
      </c>
      <c r="K10" s="4">
        <f>'Occupied &amp; No. of Guest'!B11</f>
        <v>451</v>
      </c>
      <c r="L10" s="4">
        <f>'Occupied &amp; No. of Guest'!C11</f>
        <v>741</v>
      </c>
    </row>
    <row r="11" spans="1:12" x14ac:dyDescent="0.25">
      <c r="A11" s="9" t="s">
        <v>52</v>
      </c>
      <c r="B11" s="10">
        <f t="shared" si="0"/>
        <v>10</v>
      </c>
      <c r="C11" s="10">
        <v>8</v>
      </c>
      <c r="D11" s="10">
        <v>2024</v>
      </c>
      <c r="E11" s="4">
        <v>46517.419354838712</v>
      </c>
      <c r="F11" s="11">
        <v>0.2</v>
      </c>
      <c r="G11" s="4">
        <v>2180.7709677419352</v>
      </c>
      <c r="H11" s="11">
        <v>1.54</v>
      </c>
      <c r="I11" s="4">
        <v>403.79774193548388</v>
      </c>
      <c r="J11" s="11">
        <v>7.84</v>
      </c>
      <c r="K11" s="4">
        <f>'Occupied &amp; No. of Guest'!B12</f>
        <v>421</v>
      </c>
      <c r="L11" s="4">
        <f>'Occupied &amp; No. of Guest'!C12</f>
        <v>696</v>
      </c>
    </row>
    <row r="12" spans="1:12" x14ac:dyDescent="0.25">
      <c r="A12" s="9" t="s">
        <v>52</v>
      </c>
      <c r="B12" s="10">
        <f t="shared" si="0"/>
        <v>11</v>
      </c>
      <c r="C12" s="10">
        <v>8</v>
      </c>
      <c r="D12" s="10">
        <v>2024</v>
      </c>
      <c r="E12" s="4">
        <v>46517.419354838712</v>
      </c>
      <c r="F12" s="11">
        <v>0.2</v>
      </c>
      <c r="G12" s="4">
        <v>2180.7709677419352</v>
      </c>
      <c r="H12" s="11">
        <v>1.54</v>
      </c>
      <c r="I12" s="4">
        <v>403.79774193548388</v>
      </c>
      <c r="J12" s="11">
        <v>7.84</v>
      </c>
      <c r="K12" s="4">
        <f>'Occupied &amp; No. of Guest'!B13</f>
        <v>409</v>
      </c>
      <c r="L12" s="4">
        <f>'Occupied &amp; No. of Guest'!C13</f>
        <v>596</v>
      </c>
    </row>
    <row r="13" spans="1:12" x14ac:dyDescent="0.25">
      <c r="A13" s="9" t="s">
        <v>52</v>
      </c>
      <c r="B13" s="10">
        <f t="shared" si="0"/>
        <v>12</v>
      </c>
      <c r="C13" s="10">
        <v>8</v>
      </c>
      <c r="D13" s="10">
        <v>2024</v>
      </c>
      <c r="E13" s="4">
        <v>46517.419354838712</v>
      </c>
      <c r="F13" s="11">
        <v>0.2</v>
      </c>
      <c r="G13" s="4">
        <v>2180.7709677419352</v>
      </c>
      <c r="H13" s="11">
        <v>1.54</v>
      </c>
      <c r="I13" s="4">
        <v>403.79774193548388</v>
      </c>
      <c r="J13" s="11">
        <v>7.84</v>
      </c>
      <c r="K13" s="4">
        <f>'Occupied &amp; No. of Guest'!B14</f>
        <v>477</v>
      </c>
      <c r="L13" s="4">
        <f>'Occupied &amp; No. of Guest'!C14</f>
        <v>691</v>
      </c>
    </row>
    <row r="14" spans="1:12" x14ac:dyDescent="0.25">
      <c r="A14" s="9" t="s">
        <v>52</v>
      </c>
      <c r="B14" s="10">
        <f t="shared" si="0"/>
        <v>13</v>
      </c>
      <c r="C14" s="10">
        <v>8</v>
      </c>
      <c r="D14" s="10">
        <v>2024</v>
      </c>
      <c r="E14" s="4">
        <v>46517.419354838712</v>
      </c>
      <c r="F14" s="11">
        <v>0.2</v>
      </c>
      <c r="G14" s="4">
        <v>2180.7709677419352</v>
      </c>
      <c r="H14" s="11">
        <v>1.54</v>
      </c>
      <c r="I14" s="4">
        <v>403.79774193548388</v>
      </c>
      <c r="J14" s="11">
        <v>7.84</v>
      </c>
      <c r="K14" s="4">
        <f>'Occupied &amp; No. of Guest'!B15</f>
        <v>478</v>
      </c>
      <c r="L14" s="4">
        <f>'Occupied &amp; No. of Guest'!C15</f>
        <v>679</v>
      </c>
    </row>
    <row r="15" spans="1:12" x14ac:dyDescent="0.25">
      <c r="A15" s="9" t="s">
        <v>52</v>
      </c>
      <c r="B15" s="10">
        <f t="shared" si="0"/>
        <v>14</v>
      </c>
      <c r="C15" s="10">
        <v>8</v>
      </c>
      <c r="D15" s="10">
        <v>2024</v>
      </c>
      <c r="E15" s="4">
        <v>46517.419354838712</v>
      </c>
      <c r="F15" s="11">
        <v>0.2</v>
      </c>
      <c r="G15" s="4">
        <v>2180.7709677419352</v>
      </c>
      <c r="H15" s="11">
        <v>1.54</v>
      </c>
      <c r="I15" s="4">
        <v>403.79774193548388</v>
      </c>
      <c r="J15" s="11">
        <v>7.84</v>
      </c>
      <c r="K15" s="4">
        <f>'Occupied &amp; No. of Guest'!B16</f>
        <v>481</v>
      </c>
      <c r="L15" s="4">
        <f>'Occupied &amp; No. of Guest'!C16</f>
        <v>701</v>
      </c>
    </row>
    <row r="16" spans="1:12" x14ac:dyDescent="0.25">
      <c r="A16" s="9" t="s">
        <v>52</v>
      </c>
      <c r="B16" s="10">
        <f t="shared" si="0"/>
        <v>15</v>
      </c>
      <c r="C16" s="10">
        <v>8</v>
      </c>
      <c r="D16" s="10">
        <v>2024</v>
      </c>
      <c r="E16" s="4">
        <v>46517.419354838712</v>
      </c>
      <c r="F16" s="11">
        <v>0.2</v>
      </c>
      <c r="G16" s="4">
        <v>2180.7709677419352</v>
      </c>
      <c r="H16" s="11">
        <v>1.54</v>
      </c>
      <c r="I16" s="4">
        <v>403.79774193548388</v>
      </c>
      <c r="J16" s="11">
        <v>7.84</v>
      </c>
      <c r="K16" s="4">
        <f>'Occupied &amp; No. of Guest'!B17</f>
        <v>460</v>
      </c>
      <c r="L16" s="4">
        <f>'Occupied &amp; No. of Guest'!C17</f>
        <v>680</v>
      </c>
    </row>
    <row r="17" spans="1:12" x14ac:dyDescent="0.25">
      <c r="A17" s="9" t="s">
        <v>52</v>
      </c>
      <c r="B17" s="10">
        <f t="shared" si="0"/>
        <v>16</v>
      </c>
      <c r="C17" s="10">
        <v>8</v>
      </c>
      <c r="D17" s="10">
        <v>2024</v>
      </c>
      <c r="E17" s="4">
        <v>46517.419354838712</v>
      </c>
      <c r="F17" s="11">
        <v>0.2</v>
      </c>
      <c r="G17" s="4">
        <v>2180.7709677419352</v>
      </c>
      <c r="H17" s="11">
        <v>1.54</v>
      </c>
      <c r="I17" s="4">
        <v>403.79774193548388</v>
      </c>
      <c r="J17" s="11">
        <v>7.84</v>
      </c>
      <c r="K17" s="4">
        <f>'Occupied &amp; No. of Guest'!B18</f>
        <v>406</v>
      </c>
      <c r="L17" s="4">
        <f>'Occupied &amp; No. of Guest'!C18</f>
        <v>596</v>
      </c>
    </row>
    <row r="18" spans="1:12" x14ac:dyDescent="0.25">
      <c r="A18" s="9" t="s">
        <v>52</v>
      </c>
      <c r="B18" s="10">
        <f t="shared" si="0"/>
        <v>17</v>
      </c>
      <c r="C18" s="10">
        <v>8</v>
      </c>
      <c r="D18" s="10">
        <v>2024</v>
      </c>
      <c r="E18" s="4">
        <v>46517.419354838712</v>
      </c>
      <c r="F18" s="11">
        <v>0.2</v>
      </c>
      <c r="G18" s="4">
        <v>2180.7709677419352</v>
      </c>
      <c r="H18" s="11">
        <v>1.54</v>
      </c>
      <c r="I18" s="4">
        <v>403.79774193548388</v>
      </c>
      <c r="J18" s="11">
        <v>7.84</v>
      </c>
      <c r="K18" s="4">
        <f>'Occupied &amp; No. of Guest'!B19</f>
        <v>460</v>
      </c>
      <c r="L18" s="4">
        <f>'Occupied &amp; No. of Guest'!C19</f>
        <v>695</v>
      </c>
    </row>
    <row r="19" spans="1:12" x14ac:dyDescent="0.25">
      <c r="A19" s="9" t="s">
        <v>52</v>
      </c>
      <c r="B19" s="10">
        <f t="shared" si="0"/>
        <v>18</v>
      </c>
      <c r="C19" s="10">
        <v>8</v>
      </c>
      <c r="D19" s="10">
        <v>2024</v>
      </c>
      <c r="E19" s="4">
        <v>46517.419354838712</v>
      </c>
      <c r="F19" s="11">
        <v>0.2</v>
      </c>
      <c r="G19" s="4">
        <v>2180.7709677419352</v>
      </c>
      <c r="H19" s="11">
        <v>1.54</v>
      </c>
      <c r="I19" s="4">
        <v>403.79774193548388</v>
      </c>
      <c r="J19" s="11">
        <v>7.84</v>
      </c>
      <c r="K19" s="4">
        <f>'Occupied &amp; No. of Guest'!B20</f>
        <v>433</v>
      </c>
      <c r="L19" s="4">
        <f>'Occupied &amp; No. of Guest'!C20</f>
        <v>633</v>
      </c>
    </row>
    <row r="20" spans="1:12" x14ac:dyDescent="0.25">
      <c r="A20" s="9" t="s">
        <v>52</v>
      </c>
      <c r="B20" s="10">
        <f t="shared" si="0"/>
        <v>19</v>
      </c>
      <c r="C20" s="10">
        <v>8</v>
      </c>
      <c r="D20" s="10">
        <v>2024</v>
      </c>
      <c r="E20" s="4">
        <v>46517.419354838712</v>
      </c>
      <c r="F20" s="11">
        <v>0.2</v>
      </c>
      <c r="G20" s="4">
        <v>2180.7709677419352</v>
      </c>
      <c r="H20" s="11">
        <v>1.54</v>
      </c>
      <c r="I20" s="4">
        <v>403.79774193548388</v>
      </c>
      <c r="J20" s="11">
        <v>7.84</v>
      </c>
      <c r="K20" s="4">
        <f>'Occupied &amp; No. of Guest'!B21</f>
        <v>470</v>
      </c>
      <c r="L20" s="4">
        <f>'Occupied &amp; No. of Guest'!C21</f>
        <v>668</v>
      </c>
    </row>
    <row r="21" spans="1:12" x14ac:dyDescent="0.25">
      <c r="A21" s="9" t="s">
        <v>52</v>
      </c>
      <c r="B21" s="10">
        <f t="shared" si="0"/>
        <v>20</v>
      </c>
      <c r="C21" s="10">
        <v>8</v>
      </c>
      <c r="D21" s="10">
        <v>2024</v>
      </c>
      <c r="E21" s="4">
        <v>46517.419354838712</v>
      </c>
      <c r="F21" s="11">
        <v>0.2</v>
      </c>
      <c r="G21" s="4">
        <v>2180.7709677419352</v>
      </c>
      <c r="H21" s="11">
        <v>1.54</v>
      </c>
      <c r="I21" s="4">
        <v>403.79774193548388</v>
      </c>
      <c r="J21" s="11">
        <v>7.84</v>
      </c>
      <c r="K21" s="4">
        <f>'Occupied &amp; No. of Guest'!B22</f>
        <v>456</v>
      </c>
      <c r="L21" s="4">
        <f>'Occupied &amp; No. of Guest'!C22</f>
        <v>641</v>
      </c>
    </row>
    <row r="22" spans="1:12" x14ac:dyDescent="0.25">
      <c r="A22" s="9" t="s">
        <v>52</v>
      </c>
      <c r="B22" s="10">
        <f t="shared" si="0"/>
        <v>21</v>
      </c>
      <c r="C22" s="10">
        <v>8</v>
      </c>
      <c r="D22" s="10">
        <v>2024</v>
      </c>
      <c r="E22" s="4">
        <v>46517.419354838712</v>
      </c>
      <c r="F22" s="11">
        <v>0.2</v>
      </c>
      <c r="G22" s="4">
        <v>2180.7709677419352</v>
      </c>
      <c r="H22" s="11">
        <v>1.54</v>
      </c>
      <c r="I22" s="4">
        <v>403.79774193548388</v>
      </c>
      <c r="J22" s="11">
        <v>7.84</v>
      </c>
      <c r="K22" s="4">
        <f>'Occupied &amp; No. of Guest'!B23</f>
        <v>452</v>
      </c>
      <c r="L22" s="4">
        <f>'Occupied &amp; No. of Guest'!C23</f>
        <v>596</v>
      </c>
    </row>
    <row r="23" spans="1:12" x14ac:dyDescent="0.25">
      <c r="A23" s="9" t="s">
        <v>52</v>
      </c>
      <c r="B23" s="10">
        <f t="shared" si="0"/>
        <v>22</v>
      </c>
      <c r="C23" s="10">
        <v>8</v>
      </c>
      <c r="D23" s="10">
        <v>2024</v>
      </c>
      <c r="E23" s="4">
        <v>46517.419354838712</v>
      </c>
      <c r="F23" s="11">
        <v>0.2</v>
      </c>
      <c r="G23" s="4">
        <v>2180.7709677419352</v>
      </c>
      <c r="H23" s="11">
        <v>1.54</v>
      </c>
      <c r="I23" s="4">
        <v>403.79774193548388</v>
      </c>
      <c r="J23" s="11">
        <v>7.84</v>
      </c>
      <c r="K23" s="4">
        <f>'Occupied &amp; No. of Guest'!B24</f>
        <v>447</v>
      </c>
      <c r="L23" s="4">
        <f>'Occupied &amp; No. of Guest'!C24</f>
        <v>614</v>
      </c>
    </row>
    <row r="24" spans="1:12" x14ac:dyDescent="0.25">
      <c r="A24" s="9" t="s">
        <v>52</v>
      </c>
      <c r="B24" s="10">
        <f t="shared" si="0"/>
        <v>23</v>
      </c>
      <c r="C24" s="10">
        <v>8</v>
      </c>
      <c r="D24" s="10">
        <v>2024</v>
      </c>
      <c r="E24" s="4">
        <v>46517.419354838712</v>
      </c>
      <c r="F24" s="11">
        <v>0.2</v>
      </c>
      <c r="G24" s="4">
        <v>2180.7709677419352</v>
      </c>
      <c r="H24" s="11">
        <v>1.54</v>
      </c>
      <c r="I24" s="4">
        <v>403.79774193548388</v>
      </c>
      <c r="J24" s="11">
        <v>7.84</v>
      </c>
      <c r="K24" s="4">
        <f>'Occupied &amp; No. of Guest'!B25</f>
        <v>444</v>
      </c>
      <c r="L24" s="4">
        <f>'Occupied &amp; No. of Guest'!C25</f>
        <v>606</v>
      </c>
    </row>
    <row r="25" spans="1:12" x14ac:dyDescent="0.25">
      <c r="A25" s="9" t="s">
        <v>52</v>
      </c>
      <c r="B25" s="10">
        <f t="shared" si="0"/>
        <v>24</v>
      </c>
      <c r="C25" s="10">
        <v>8</v>
      </c>
      <c r="D25" s="10">
        <v>2024</v>
      </c>
      <c r="E25" s="4">
        <v>46517.419354838712</v>
      </c>
      <c r="F25" s="11">
        <v>0.2</v>
      </c>
      <c r="G25" s="4">
        <v>2180.7709677419352</v>
      </c>
      <c r="H25" s="11">
        <v>1.54</v>
      </c>
      <c r="I25" s="4">
        <v>403.79774193548388</v>
      </c>
      <c r="J25" s="11">
        <v>7.84</v>
      </c>
      <c r="K25" s="4">
        <f>'Occupied &amp; No. of Guest'!B26</f>
        <v>405</v>
      </c>
      <c r="L25" s="4">
        <f>'Occupied &amp; No. of Guest'!C26</f>
        <v>572</v>
      </c>
    </row>
    <row r="26" spans="1:12" x14ac:dyDescent="0.25">
      <c r="A26" s="9" t="s">
        <v>52</v>
      </c>
      <c r="B26" s="10">
        <f>B25+1</f>
        <v>25</v>
      </c>
      <c r="C26" s="10">
        <v>8</v>
      </c>
      <c r="D26" s="10">
        <v>2024</v>
      </c>
      <c r="E26" s="4">
        <v>46517.419354838712</v>
      </c>
      <c r="F26" s="11">
        <v>0.2</v>
      </c>
      <c r="G26" s="4">
        <v>2180.7709677419352</v>
      </c>
      <c r="H26" s="11">
        <v>1.54</v>
      </c>
      <c r="I26" s="4">
        <v>403.79774193548388</v>
      </c>
      <c r="J26" s="11">
        <v>7.84</v>
      </c>
      <c r="K26" s="4">
        <f>'Occupied &amp; No. of Guest'!B27</f>
        <v>381</v>
      </c>
      <c r="L26" s="4">
        <f>'Occupied &amp; No. of Guest'!C27</f>
        <v>519</v>
      </c>
    </row>
    <row r="27" spans="1:12" x14ac:dyDescent="0.25">
      <c r="A27" s="9" t="s">
        <v>52</v>
      </c>
      <c r="B27" s="10">
        <f t="shared" si="0"/>
        <v>26</v>
      </c>
      <c r="C27" s="10">
        <v>8</v>
      </c>
      <c r="D27" s="10">
        <v>2024</v>
      </c>
      <c r="E27" s="4">
        <v>46517.419354838712</v>
      </c>
      <c r="F27" s="11">
        <v>0.2</v>
      </c>
      <c r="G27" s="4">
        <v>2180.7709677419352</v>
      </c>
      <c r="H27" s="11">
        <v>1.54</v>
      </c>
      <c r="I27" s="4">
        <v>403.79774193548388</v>
      </c>
      <c r="J27" s="11">
        <v>7.84</v>
      </c>
      <c r="K27" s="4">
        <f>'Occupied &amp; No. of Guest'!B28</f>
        <v>366</v>
      </c>
      <c r="L27" s="4">
        <f>'Occupied &amp; No. of Guest'!C28</f>
        <v>479</v>
      </c>
    </row>
    <row r="28" spans="1:12" x14ac:dyDescent="0.25">
      <c r="A28" s="9" t="s">
        <v>52</v>
      </c>
      <c r="B28" s="10">
        <f t="shared" si="0"/>
        <v>27</v>
      </c>
      <c r="C28" s="10">
        <v>8</v>
      </c>
      <c r="D28" s="10">
        <v>2024</v>
      </c>
      <c r="E28" s="4">
        <v>46517.419354838712</v>
      </c>
      <c r="F28" s="11">
        <v>0.2</v>
      </c>
      <c r="G28" s="4">
        <v>2180.7709677419352</v>
      </c>
      <c r="H28" s="11">
        <v>1.54</v>
      </c>
      <c r="I28" s="4">
        <v>403.79774193548388</v>
      </c>
      <c r="J28" s="11">
        <v>7.84</v>
      </c>
      <c r="K28" s="4">
        <f>'Occupied &amp; No. of Guest'!B29</f>
        <v>385</v>
      </c>
      <c r="L28" s="4">
        <f>'Occupied &amp; No. of Guest'!C29</f>
        <v>518</v>
      </c>
    </row>
    <row r="29" spans="1:12" x14ac:dyDescent="0.25">
      <c r="A29" s="9" t="s">
        <v>52</v>
      </c>
      <c r="B29" s="10">
        <f t="shared" si="0"/>
        <v>28</v>
      </c>
      <c r="C29" s="10">
        <v>8</v>
      </c>
      <c r="D29" s="10">
        <v>2024</v>
      </c>
      <c r="E29" s="4">
        <v>46517.419354838712</v>
      </c>
      <c r="F29" s="11">
        <v>0.2</v>
      </c>
      <c r="G29" s="4">
        <v>2180.7709677419352</v>
      </c>
      <c r="H29" s="11">
        <v>1.54</v>
      </c>
      <c r="I29" s="4">
        <v>403.79774193548388</v>
      </c>
      <c r="J29" s="11">
        <v>7.84</v>
      </c>
      <c r="K29" s="4">
        <f>'Occupied &amp; No. of Guest'!B30</f>
        <v>481</v>
      </c>
      <c r="L29" s="4">
        <f>'Occupied &amp; No. of Guest'!C30</f>
        <v>661</v>
      </c>
    </row>
    <row r="30" spans="1:12" x14ac:dyDescent="0.25">
      <c r="A30" s="9" t="s">
        <v>52</v>
      </c>
      <c r="B30" s="10">
        <f t="shared" si="0"/>
        <v>29</v>
      </c>
      <c r="C30" s="10">
        <v>8</v>
      </c>
      <c r="D30" s="10">
        <v>2024</v>
      </c>
      <c r="E30" s="4">
        <v>46517.419354838712</v>
      </c>
      <c r="F30" s="11">
        <v>0.2</v>
      </c>
      <c r="G30" s="4">
        <v>2180.7709677419352</v>
      </c>
      <c r="H30" s="11">
        <v>1.54</v>
      </c>
      <c r="I30" s="4">
        <v>403.79774193548388</v>
      </c>
      <c r="J30" s="11">
        <v>7.84</v>
      </c>
      <c r="K30" s="4">
        <f>'Occupied &amp; No. of Guest'!B31</f>
        <v>442</v>
      </c>
      <c r="L30" s="4">
        <f>'Occupied &amp; No. of Guest'!C31</f>
        <v>616</v>
      </c>
    </row>
    <row r="31" spans="1:12" x14ac:dyDescent="0.25">
      <c r="A31" s="9" t="s">
        <v>52</v>
      </c>
      <c r="B31" s="10">
        <f t="shared" si="0"/>
        <v>30</v>
      </c>
      <c r="C31" s="10">
        <v>8</v>
      </c>
      <c r="D31" s="10">
        <v>2024</v>
      </c>
      <c r="E31" s="4">
        <v>46517.419354838712</v>
      </c>
      <c r="F31" s="11">
        <v>0.2</v>
      </c>
      <c r="G31" s="4">
        <v>2180.7709677419352</v>
      </c>
      <c r="H31" s="11">
        <v>1.54</v>
      </c>
      <c r="I31" s="4">
        <v>403.79774193548388</v>
      </c>
      <c r="J31" s="11">
        <v>7.84</v>
      </c>
      <c r="K31" s="4">
        <f>'Occupied &amp; No. of Guest'!B32</f>
        <v>420</v>
      </c>
      <c r="L31" s="4">
        <f>'Occupied &amp; No. of Guest'!C32</f>
        <v>600</v>
      </c>
    </row>
    <row r="32" spans="1:12" x14ac:dyDescent="0.25">
      <c r="A32" s="9" t="s">
        <v>52</v>
      </c>
      <c r="B32" s="10">
        <f t="shared" si="0"/>
        <v>31</v>
      </c>
      <c r="C32" s="10">
        <v>8</v>
      </c>
      <c r="D32" s="10">
        <v>2024</v>
      </c>
      <c r="E32" s="4">
        <v>46517.419354838712</v>
      </c>
      <c r="F32" s="11">
        <v>0.2</v>
      </c>
      <c r="G32" s="4">
        <v>2180.7709677419352</v>
      </c>
      <c r="H32" s="11">
        <v>1.54</v>
      </c>
      <c r="I32" s="4">
        <v>403.79774193548388</v>
      </c>
      <c r="J32" s="11">
        <v>7.84</v>
      </c>
      <c r="K32" s="4">
        <f>'Occupied &amp; No. of Guest'!B33</f>
        <v>411</v>
      </c>
      <c r="L32" s="4">
        <f>'Occupied &amp; No. of Guest'!C33</f>
        <v>583</v>
      </c>
    </row>
    <row r="33" spans="7:7" x14ac:dyDescent="0.25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 codeName="Sheet2">
    <pageSetUpPr fitToPage="1"/>
  </sheetPr>
  <dimension ref="A1:BO23"/>
  <sheetViews>
    <sheetView zoomScale="115" zoomScaleNormal="115" zoomScaleSheetLayoutView="85" workbookViewId="0">
      <pane xSplit="4" ySplit="4" topLeftCell="E15" activePane="bottomRight" state="frozen"/>
      <selection pane="topRight" activeCell="E1" sqref="E1"/>
      <selection pane="bottomLeft" activeCell="A5" sqref="A5"/>
      <selection pane="bottomRight" activeCell="E23" sqref="E23"/>
    </sheetView>
  </sheetViews>
  <sheetFormatPr defaultColWidth="9.140625" defaultRowHeight="27" customHeight="1" x14ac:dyDescent="0.2"/>
  <cols>
    <col min="1" max="1" width="5.7109375" style="13" customWidth="1"/>
    <col min="2" max="2" width="17.28515625" style="26" customWidth="1"/>
    <col min="3" max="3" width="21.42578125" style="26" customWidth="1"/>
    <col min="4" max="4" width="10.5703125" style="13" customWidth="1"/>
    <col min="5" max="6" width="15" style="14" customWidth="1"/>
    <col min="7" max="35" width="15" style="13" customWidth="1"/>
    <col min="36" max="16384" width="9.140625" style="13"/>
  </cols>
  <sheetData>
    <row r="1" spans="1:67" ht="29.25" customHeight="1" x14ac:dyDescent="0.2">
      <c r="B1" s="13"/>
      <c r="C1" s="14"/>
      <c r="D1" s="14"/>
      <c r="G1" s="14"/>
    </row>
    <row r="2" spans="1:67" s="14" customFormat="1" ht="29.25" customHeight="1" x14ac:dyDescent="0.25">
      <c r="A2" s="81" t="s">
        <v>85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</row>
    <row r="3" spans="1:67" s="14" customFormat="1" ht="29.25" customHeight="1" thickBot="1" x14ac:dyDescent="0.3"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</row>
    <row r="4" spans="1:67" ht="39" thickBot="1" x14ac:dyDescent="0.25">
      <c r="A4" s="15" t="s">
        <v>10</v>
      </c>
      <c r="B4" s="16" t="s">
        <v>11</v>
      </c>
      <c r="C4" s="17" t="s">
        <v>12</v>
      </c>
      <c r="D4" s="18" t="s">
        <v>13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>
        <v>31</v>
      </c>
    </row>
    <row r="5" spans="1:67" ht="26.25" customHeight="1" x14ac:dyDescent="0.2">
      <c r="A5" s="83">
        <v>1</v>
      </c>
      <c r="B5" s="20" t="s">
        <v>14</v>
      </c>
      <c r="C5" s="85" t="s">
        <v>15</v>
      </c>
      <c r="D5" s="21">
        <v>11407375</v>
      </c>
      <c r="E5" s="21">
        <v>11429698</v>
      </c>
      <c r="F5" s="21">
        <v>11451176</v>
      </c>
      <c r="G5" s="21">
        <v>11472434</v>
      </c>
      <c r="H5" s="21">
        <v>11493664</v>
      </c>
      <c r="I5" s="21">
        <v>11516133</v>
      </c>
      <c r="J5" s="21">
        <v>11538760</v>
      </c>
      <c r="K5" s="21">
        <v>11561189</v>
      </c>
      <c r="L5" s="21">
        <v>11584005</v>
      </c>
      <c r="M5" s="21">
        <v>11605478</v>
      </c>
      <c r="N5" s="21">
        <v>11627564</v>
      </c>
      <c r="O5" s="21">
        <v>11649014</v>
      </c>
      <c r="P5" s="21">
        <v>11670805</v>
      </c>
      <c r="Q5" s="21">
        <v>11692663</v>
      </c>
      <c r="R5" s="21">
        <v>11714322</v>
      </c>
      <c r="S5" s="21">
        <v>11735649</v>
      </c>
      <c r="T5" s="21">
        <v>11757368</v>
      </c>
      <c r="U5" s="21">
        <v>11779104</v>
      </c>
      <c r="V5" s="21">
        <v>11799938</v>
      </c>
      <c r="W5" s="21">
        <v>11821346</v>
      </c>
      <c r="X5" s="21">
        <v>11842652</v>
      </c>
      <c r="Y5" s="21">
        <v>11864274</v>
      </c>
      <c r="Z5" s="21">
        <v>11886107</v>
      </c>
      <c r="AA5" s="21">
        <v>11907887</v>
      </c>
      <c r="AB5" s="21">
        <v>11929805</v>
      </c>
      <c r="AC5" s="21">
        <v>11951395</v>
      </c>
      <c r="AD5" s="21">
        <v>11973958</v>
      </c>
      <c r="AE5" s="21">
        <v>11995486</v>
      </c>
      <c r="AF5" s="21">
        <v>12016786</v>
      </c>
      <c r="AG5" s="21">
        <v>12038782</v>
      </c>
      <c r="AH5" s="21">
        <v>12060220</v>
      </c>
      <c r="AI5" s="21">
        <v>12082286</v>
      </c>
    </row>
    <row r="6" spans="1:67" s="24" customFormat="1" ht="21.75" customHeight="1" thickBot="1" x14ac:dyDescent="0.25">
      <c r="A6" s="84"/>
      <c r="B6" s="22"/>
      <c r="C6" s="86"/>
      <c r="D6" s="23"/>
      <c r="E6" s="23">
        <f t="shared" ref="E6:AI6" si="0">E5-D5</f>
        <v>22323</v>
      </c>
      <c r="F6" s="23">
        <f t="shared" si="0"/>
        <v>21478</v>
      </c>
      <c r="G6" s="23">
        <f t="shared" si="0"/>
        <v>21258</v>
      </c>
      <c r="H6" s="23">
        <f t="shared" si="0"/>
        <v>21230</v>
      </c>
      <c r="I6" s="23">
        <f t="shared" si="0"/>
        <v>22469</v>
      </c>
      <c r="J6" s="23">
        <f t="shared" si="0"/>
        <v>22627</v>
      </c>
      <c r="K6" s="23">
        <f>K5-J5</f>
        <v>22429</v>
      </c>
      <c r="L6" s="23">
        <f t="shared" si="0"/>
        <v>22816</v>
      </c>
      <c r="M6" s="23">
        <f t="shared" si="0"/>
        <v>21473</v>
      </c>
      <c r="N6" s="23">
        <f t="shared" si="0"/>
        <v>22086</v>
      </c>
      <c r="O6" s="23">
        <f t="shared" si="0"/>
        <v>21450</v>
      </c>
      <c r="P6" s="23">
        <f t="shared" si="0"/>
        <v>21791</v>
      </c>
      <c r="Q6" s="23">
        <f t="shared" si="0"/>
        <v>21858</v>
      </c>
      <c r="R6" s="23">
        <f t="shared" si="0"/>
        <v>21659</v>
      </c>
      <c r="S6" s="23">
        <f t="shared" si="0"/>
        <v>21327</v>
      </c>
      <c r="T6" s="23">
        <f t="shared" si="0"/>
        <v>21719</v>
      </c>
      <c r="U6" s="23">
        <f t="shared" si="0"/>
        <v>21736</v>
      </c>
      <c r="V6" s="23">
        <f t="shared" si="0"/>
        <v>20834</v>
      </c>
      <c r="W6" s="23">
        <f t="shared" si="0"/>
        <v>21408</v>
      </c>
      <c r="X6" s="23">
        <f t="shared" si="0"/>
        <v>21306</v>
      </c>
      <c r="Y6" s="23">
        <f t="shared" si="0"/>
        <v>21622</v>
      </c>
      <c r="Z6" s="23">
        <f t="shared" si="0"/>
        <v>21833</v>
      </c>
      <c r="AA6" s="23">
        <f t="shared" si="0"/>
        <v>21780</v>
      </c>
      <c r="AB6" s="23">
        <f t="shared" si="0"/>
        <v>21918</v>
      </c>
      <c r="AC6" s="23">
        <f t="shared" si="0"/>
        <v>21590</v>
      </c>
      <c r="AD6" s="23">
        <f t="shared" si="0"/>
        <v>22563</v>
      </c>
      <c r="AE6" s="23">
        <f t="shared" si="0"/>
        <v>21528</v>
      </c>
      <c r="AF6" s="23">
        <f t="shared" si="0"/>
        <v>21300</v>
      </c>
      <c r="AG6" s="23">
        <f t="shared" si="0"/>
        <v>21996</v>
      </c>
      <c r="AH6" s="23">
        <f t="shared" si="0"/>
        <v>21438</v>
      </c>
      <c r="AI6" s="23">
        <f t="shared" si="0"/>
        <v>22066</v>
      </c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2">
      <c r="A7" s="87">
        <v>2</v>
      </c>
      <c r="B7" s="25" t="s">
        <v>16</v>
      </c>
      <c r="C7" s="89" t="s">
        <v>17</v>
      </c>
      <c r="D7" s="21">
        <v>620</v>
      </c>
      <c r="E7" s="21">
        <v>620</v>
      </c>
      <c r="F7" s="21">
        <v>620</v>
      </c>
      <c r="G7" s="21">
        <v>620</v>
      </c>
      <c r="H7" s="21">
        <v>620</v>
      </c>
      <c r="I7" s="21">
        <v>620</v>
      </c>
      <c r="J7" s="21">
        <v>620</v>
      </c>
      <c r="K7" s="21">
        <v>620</v>
      </c>
      <c r="L7" s="21">
        <v>620</v>
      </c>
      <c r="M7" s="21">
        <v>620</v>
      </c>
      <c r="N7" s="21">
        <v>620</v>
      </c>
      <c r="O7" s="21">
        <v>620</v>
      </c>
      <c r="P7" s="21">
        <v>620</v>
      </c>
      <c r="Q7" s="21">
        <v>620</v>
      </c>
      <c r="R7" s="21">
        <v>620</v>
      </c>
      <c r="S7" s="21">
        <v>620</v>
      </c>
      <c r="T7" s="21">
        <v>620</v>
      </c>
      <c r="U7" s="21">
        <v>620</v>
      </c>
      <c r="V7" s="21">
        <v>620</v>
      </c>
      <c r="W7" s="21">
        <v>620</v>
      </c>
      <c r="X7" s="21">
        <v>620</v>
      </c>
      <c r="Y7" s="21">
        <v>620</v>
      </c>
      <c r="Z7" s="21">
        <v>620</v>
      </c>
      <c r="AA7" s="21">
        <v>620</v>
      </c>
      <c r="AB7" s="21">
        <v>620</v>
      </c>
      <c r="AC7" s="21">
        <v>620</v>
      </c>
      <c r="AD7" s="21">
        <v>620</v>
      </c>
      <c r="AE7" s="21">
        <v>620</v>
      </c>
      <c r="AF7" s="21">
        <v>620</v>
      </c>
      <c r="AG7" s="21">
        <v>620</v>
      </c>
      <c r="AH7" s="21">
        <v>620</v>
      </c>
      <c r="AI7" s="21">
        <v>620</v>
      </c>
    </row>
    <row r="8" spans="1:67" s="24" customFormat="1" ht="21.75" customHeight="1" thickBot="1" x14ac:dyDescent="0.25">
      <c r="A8" s="88"/>
      <c r="B8" s="22"/>
      <c r="C8" s="86"/>
      <c r="D8" s="23"/>
      <c r="E8" s="23">
        <f t="shared" ref="E8:AI8" si="1">E7-D7</f>
        <v>0</v>
      </c>
      <c r="F8" s="23">
        <f t="shared" si="1"/>
        <v>0</v>
      </c>
      <c r="G8" s="23">
        <f t="shared" si="1"/>
        <v>0</v>
      </c>
      <c r="H8" s="23">
        <f t="shared" si="1"/>
        <v>0</v>
      </c>
      <c r="I8" s="23">
        <f t="shared" si="1"/>
        <v>0</v>
      </c>
      <c r="J8" s="23">
        <f t="shared" si="1"/>
        <v>0</v>
      </c>
      <c r="K8" s="23">
        <f t="shared" si="1"/>
        <v>0</v>
      </c>
      <c r="L8" s="23">
        <f t="shared" si="1"/>
        <v>0</v>
      </c>
      <c r="M8" s="23">
        <f t="shared" si="1"/>
        <v>0</v>
      </c>
      <c r="N8" s="23">
        <f t="shared" si="1"/>
        <v>0</v>
      </c>
      <c r="O8" s="23">
        <f t="shared" si="1"/>
        <v>0</v>
      </c>
      <c r="P8" s="23">
        <f t="shared" si="1"/>
        <v>0</v>
      </c>
      <c r="Q8" s="23">
        <f t="shared" si="1"/>
        <v>0</v>
      </c>
      <c r="R8" s="23">
        <f t="shared" si="1"/>
        <v>0</v>
      </c>
      <c r="S8" s="23">
        <f t="shared" si="1"/>
        <v>0</v>
      </c>
      <c r="T8" s="23">
        <f t="shared" si="1"/>
        <v>0</v>
      </c>
      <c r="U8" s="23">
        <f t="shared" si="1"/>
        <v>0</v>
      </c>
      <c r="V8" s="23">
        <f t="shared" si="1"/>
        <v>0</v>
      </c>
      <c r="W8" s="23">
        <f t="shared" si="1"/>
        <v>0</v>
      </c>
      <c r="X8" s="23">
        <f t="shared" si="1"/>
        <v>0</v>
      </c>
      <c r="Y8" s="23">
        <f t="shared" si="1"/>
        <v>0</v>
      </c>
      <c r="Z8" s="23">
        <f t="shared" si="1"/>
        <v>0</v>
      </c>
      <c r="AA8" s="23">
        <f t="shared" si="1"/>
        <v>0</v>
      </c>
      <c r="AB8" s="23">
        <f t="shared" si="1"/>
        <v>0</v>
      </c>
      <c r="AC8" s="23">
        <f t="shared" si="1"/>
        <v>0</v>
      </c>
      <c r="AD8" s="23">
        <f t="shared" si="1"/>
        <v>0</v>
      </c>
      <c r="AE8" s="23">
        <f t="shared" si="1"/>
        <v>0</v>
      </c>
      <c r="AF8" s="23">
        <f t="shared" si="1"/>
        <v>0</v>
      </c>
      <c r="AG8" s="23">
        <f t="shared" si="1"/>
        <v>0</v>
      </c>
      <c r="AH8" s="23">
        <f t="shared" si="1"/>
        <v>0</v>
      </c>
      <c r="AI8" s="23">
        <f t="shared" si="1"/>
        <v>0</v>
      </c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2">
      <c r="A9" s="79">
        <v>3</v>
      </c>
      <c r="B9" s="36" t="s">
        <v>53</v>
      </c>
      <c r="C9" s="80" t="s">
        <v>54</v>
      </c>
      <c r="D9" s="21">
        <v>12206854</v>
      </c>
      <c r="E9" s="21">
        <v>12226434</v>
      </c>
      <c r="F9" s="21">
        <v>12247809</v>
      </c>
      <c r="G9" s="21">
        <v>12269457</v>
      </c>
      <c r="H9" s="21">
        <v>12289913</v>
      </c>
      <c r="I9" s="21">
        <v>12319553</v>
      </c>
      <c r="J9" s="21">
        <v>12358108</v>
      </c>
      <c r="K9" s="21">
        <v>12397162</v>
      </c>
      <c r="L9" s="21">
        <v>12429885</v>
      </c>
      <c r="M9" s="21">
        <v>12453804</v>
      </c>
      <c r="N9" s="21">
        <v>12477908</v>
      </c>
      <c r="O9" s="21">
        <v>12502195</v>
      </c>
      <c r="P9" s="21">
        <v>12527044</v>
      </c>
      <c r="Q9" s="21">
        <v>12547913</v>
      </c>
      <c r="R9" s="21">
        <v>12572101</v>
      </c>
      <c r="S9" s="21">
        <v>12594115</v>
      </c>
      <c r="T9" s="21">
        <v>12616788</v>
      </c>
      <c r="U9" s="21">
        <v>12639058</v>
      </c>
      <c r="V9" s="21">
        <v>12657476</v>
      </c>
      <c r="W9" s="21">
        <v>12676574</v>
      </c>
      <c r="X9" s="21">
        <v>12693909</v>
      </c>
      <c r="Y9" s="21">
        <v>12710379</v>
      </c>
      <c r="Z9" s="21">
        <v>12727209</v>
      </c>
      <c r="AA9" s="21">
        <v>12747042</v>
      </c>
      <c r="AB9" s="21">
        <v>12764358</v>
      </c>
      <c r="AC9" s="21">
        <v>12781980</v>
      </c>
      <c r="AD9" s="21">
        <v>12802125</v>
      </c>
      <c r="AE9" s="21">
        <v>12823724</v>
      </c>
      <c r="AF9" s="21">
        <v>12845446</v>
      </c>
      <c r="AG9" s="21">
        <v>12866081</v>
      </c>
      <c r="AH9" s="21">
        <v>12887820</v>
      </c>
      <c r="AI9" s="21">
        <v>12908588</v>
      </c>
    </row>
    <row r="10" spans="1:67" s="24" customFormat="1" ht="21.75" customHeight="1" thickBot="1" x14ac:dyDescent="0.25">
      <c r="A10" s="75"/>
      <c r="B10" s="37"/>
      <c r="C10" s="78"/>
      <c r="D10" s="23"/>
      <c r="E10" s="23">
        <f t="shared" ref="E10:AI10" si="2">E9-D9</f>
        <v>19580</v>
      </c>
      <c r="F10" s="23">
        <f t="shared" si="2"/>
        <v>21375</v>
      </c>
      <c r="G10" s="23">
        <f t="shared" si="2"/>
        <v>21648</v>
      </c>
      <c r="H10" s="23">
        <f t="shared" si="2"/>
        <v>20456</v>
      </c>
      <c r="I10" s="23">
        <f t="shared" si="2"/>
        <v>29640</v>
      </c>
      <c r="J10" s="23">
        <f>J9-I9</f>
        <v>38555</v>
      </c>
      <c r="K10" s="23">
        <f t="shared" si="2"/>
        <v>39054</v>
      </c>
      <c r="L10" s="23">
        <f t="shared" si="2"/>
        <v>32723</v>
      </c>
      <c r="M10" s="23">
        <f t="shared" si="2"/>
        <v>23919</v>
      </c>
      <c r="N10" s="23">
        <f t="shared" si="2"/>
        <v>24104</v>
      </c>
      <c r="O10" s="23">
        <f t="shared" si="2"/>
        <v>24287</v>
      </c>
      <c r="P10" s="23">
        <f t="shared" si="2"/>
        <v>24849</v>
      </c>
      <c r="Q10" s="23">
        <f t="shared" si="2"/>
        <v>20869</v>
      </c>
      <c r="R10" s="23">
        <f t="shared" si="2"/>
        <v>24188</v>
      </c>
      <c r="S10" s="23">
        <f t="shared" si="2"/>
        <v>22014</v>
      </c>
      <c r="T10" s="23">
        <f t="shared" si="2"/>
        <v>22673</v>
      </c>
      <c r="U10" s="23">
        <f t="shared" si="2"/>
        <v>22270</v>
      </c>
      <c r="V10" s="23">
        <f t="shared" si="2"/>
        <v>18418</v>
      </c>
      <c r="W10" s="23">
        <f t="shared" si="2"/>
        <v>19098</v>
      </c>
      <c r="X10" s="23">
        <f t="shared" si="2"/>
        <v>17335</v>
      </c>
      <c r="Y10" s="23">
        <f t="shared" si="2"/>
        <v>16470</v>
      </c>
      <c r="Z10" s="23">
        <f t="shared" si="2"/>
        <v>16830</v>
      </c>
      <c r="AA10" s="23">
        <f t="shared" si="2"/>
        <v>19833</v>
      </c>
      <c r="AB10" s="23">
        <f t="shared" si="2"/>
        <v>17316</v>
      </c>
      <c r="AC10" s="23">
        <f t="shared" si="2"/>
        <v>17622</v>
      </c>
      <c r="AD10" s="23">
        <f t="shared" si="2"/>
        <v>20145</v>
      </c>
      <c r="AE10" s="23">
        <f t="shared" si="2"/>
        <v>21599</v>
      </c>
      <c r="AF10" s="23">
        <f t="shared" si="2"/>
        <v>21722</v>
      </c>
      <c r="AG10" s="23">
        <f t="shared" si="2"/>
        <v>20635</v>
      </c>
      <c r="AH10" s="23">
        <f t="shared" si="2"/>
        <v>21739</v>
      </c>
      <c r="AI10" s="23">
        <f t="shared" si="2"/>
        <v>20768</v>
      </c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2">
      <c r="A11" s="70">
        <v>4</v>
      </c>
      <c r="B11" s="36" t="s">
        <v>55</v>
      </c>
      <c r="C11" s="80" t="s">
        <v>56</v>
      </c>
      <c r="D11" s="21">
        <v>7987232</v>
      </c>
      <c r="E11" s="21">
        <v>8027184</v>
      </c>
      <c r="F11" s="21">
        <v>8070440</v>
      </c>
      <c r="G11" s="21">
        <v>8111821</v>
      </c>
      <c r="H11" s="21">
        <v>8150719</v>
      </c>
      <c r="I11" s="21">
        <v>8182947</v>
      </c>
      <c r="J11" s="21">
        <v>8200927</v>
      </c>
      <c r="K11" s="21">
        <v>8219262</v>
      </c>
      <c r="L11" s="21">
        <v>8248004</v>
      </c>
      <c r="M11" s="21">
        <v>8284238</v>
      </c>
      <c r="N11" s="21">
        <v>8321008</v>
      </c>
      <c r="O11" s="21">
        <v>8358221</v>
      </c>
      <c r="P11" s="21">
        <v>8396335</v>
      </c>
      <c r="Q11" s="21">
        <v>8437600</v>
      </c>
      <c r="R11" s="21">
        <v>8475034</v>
      </c>
      <c r="S11" s="21">
        <v>8515748</v>
      </c>
      <c r="T11" s="21">
        <v>8559060</v>
      </c>
      <c r="U11" s="21">
        <v>8600523</v>
      </c>
      <c r="V11" s="21">
        <v>8638483</v>
      </c>
      <c r="W11" s="21">
        <v>8679360</v>
      </c>
      <c r="X11" s="21">
        <v>8721837</v>
      </c>
      <c r="Y11" s="21">
        <v>8763758</v>
      </c>
      <c r="Z11" s="21">
        <v>8805768</v>
      </c>
      <c r="AA11" s="21">
        <v>8846695</v>
      </c>
      <c r="AB11" s="21">
        <v>8890946</v>
      </c>
      <c r="AC11" s="21">
        <v>8935812</v>
      </c>
      <c r="AD11" s="21">
        <v>8977418</v>
      </c>
      <c r="AE11" s="21">
        <v>9021595</v>
      </c>
      <c r="AF11" s="21">
        <v>9065732</v>
      </c>
      <c r="AG11" s="21">
        <v>9109311</v>
      </c>
      <c r="AH11" s="21">
        <v>9154416</v>
      </c>
      <c r="AI11" s="21">
        <v>9198145</v>
      </c>
    </row>
    <row r="12" spans="1:67" s="38" customFormat="1" ht="21.75" customHeight="1" thickBot="1" x14ac:dyDescent="0.25">
      <c r="A12" s="77"/>
      <c r="B12" s="37"/>
      <c r="C12" s="78"/>
      <c r="D12" s="23"/>
      <c r="E12" s="23">
        <f t="shared" ref="E12:AI12" si="3">E11-D11</f>
        <v>39952</v>
      </c>
      <c r="F12" s="23">
        <f t="shared" si="3"/>
        <v>43256</v>
      </c>
      <c r="G12" s="23">
        <f t="shared" si="3"/>
        <v>41381</v>
      </c>
      <c r="H12" s="23">
        <f t="shared" si="3"/>
        <v>38898</v>
      </c>
      <c r="I12" s="23">
        <f t="shared" si="3"/>
        <v>32228</v>
      </c>
      <c r="J12" s="23">
        <f>J11-I11</f>
        <v>17980</v>
      </c>
      <c r="K12" s="23">
        <f t="shared" si="3"/>
        <v>18335</v>
      </c>
      <c r="L12" s="23">
        <f t="shared" si="3"/>
        <v>28742</v>
      </c>
      <c r="M12" s="23">
        <f t="shared" si="3"/>
        <v>36234</v>
      </c>
      <c r="N12" s="23">
        <f t="shared" si="3"/>
        <v>36770</v>
      </c>
      <c r="O12" s="23">
        <f t="shared" si="3"/>
        <v>37213</v>
      </c>
      <c r="P12" s="23">
        <f t="shared" si="3"/>
        <v>38114</v>
      </c>
      <c r="Q12" s="23">
        <f t="shared" si="3"/>
        <v>41265</v>
      </c>
      <c r="R12" s="23">
        <f t="shared" si="3"/>
        <v>37434</v>
      </c>
      <c r="S12" s="23">
        <f t="shared" si="3"/>
        <v>40714</v>
      </c>
      <c r="T12" s="23">
        <f t="shared" si="3"/>
        <v>43312</v>
      </c>
      <c r="U12" s="23">
        <f t="shared" si="3"/>
        <v>41463</v>
      </c>
      <c r="V12" s="23">
        <f t="shared" si="3"/>
        <v>37960</v>
      </c>
      <c r="W12" s="23">
        <f t="shared" si="3"/>
        <v>40877</v>
      </c>
      <c r="X12" s="23">
        <f t="shared" si="3"/>
        <v>42477</v>
      </c>
      <c r="Y12" s="23">
        <f t="shared" si="3"/>
        <v>41921</v>
      </c>
      <c r="Z12" s="23">
        <f t="shared" si="3"/>
        <v>42010</v>
      </c>
      <c r="AA12" s="23">
        <f t="shared" si="3"/>
        <v>40927</v>
      </c>
      <c r="AB12" s="23">
        <f t="shared" si="3"/>
        <v>44251</v>
      </c>
      <c r="AC12" s="23">
        <f t="shared" si="3"/>
        <v>44866</v>
      </c>
      <c r="AD12" s="23">
        <f t="shared" si="3"/>
        <v>41606</v>
      </c>
      <c r="AE12" s="23">
        <f t="shared" si="3"/>
        <v>44177</v>
      </c>
      <c r="AF12" s="23">
        <f t="shared" si="3"/>
        <v>44137</v>
      </c>
      <c r="AG12" s="23">
        <f t="shared" si="3"/>
        <v>43579</v>
      </c>
      <c r="AH12" s="23">
        <f t="shared" si="3"/>
        <v>45105</v>
      </c>
      <c r="AI12" s="23">
        <f t="shared" si="3"/>
        <v>43729</v>
      </c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2">
      <c r="A13" s="79">
        <v>7</v>
      </c>
      <c r="B13" s="39" t="s">
        <v>57</v>
      </c>
      <c r="C13" s="72" t="s">
        <v>58</v>
      </c>
      <c r="D13" s="40">
        <v>3269</v>
      </c>
      <c r="E13" s="40">
        <v>3269</v>
      </c>
      <c r="F13" s="40">
        <v>3269</v>
      </c>
      <c r="G13" s="40">
        <v>3269</v>
      </c>
      <c r="H13" s="40">
        <v>3269</v>
      </c>
      <c r="I13" s="40">
        <v>3269</v>
      </c>
      <c r="J13" s="40">
        <v>3269</v>
      </c>
      <c r="K13" s="40">
        <v>3269</v>
      </c>
      <c r="L13" s="40">
        <v>3269</v>
      </c>
      <c r="M13" s="40">
        <v>3269</v>
      </c>
      <c r="N13" s="40">
        <v>3271</v>
      </c>
      <c r="O13" s="40">
        <v>3271</v>
      </c>
      <c r="P13" s="40">
        <v>3271</v>
      </c>
      <c r="Q13" s="40">
        <v>3271</v>
      </c>
      <c r="R13" s="40">
        <v>3271</v>
      </c>
      <c r="S13" s="40">
        <v>3271</v>
      </c>
      <c r="T13" s="40">
        <v>3273</v>
      </c>
      <c r="U13" s="40">
        <v>3273</v>
      </c>
      <c r="V13" s="40">
        <v>3273</v>
      </c>
      <c r="W13" s="40">
        <v>3273</v>
      </c>
      <c r="X13" s="40">
        <v>3273</v>
      </c>
      <c r="Y13" s="40">
        <v>3273</v>
      </c>
      <c r="Z13" s="40">
        <v>3273</v>
      </c>
      <c r="AA13" s="40">
        <v>3273</v>
      </c>
      <c r="AB13" s="40">
        <v>3288</v>
      </c>
      <c r="AC13" s="40">
        <v>3288</v>
      </c>
      <c r="AD13" s="40">
        <v>3308</v>
      </c>
      <c r="AE13" s="40">
        <v>3308</v>
      </c>
      <c r="AF13" s="40">
        <v>3309</v>
      </c>
      <c r="AG13" s="40">
        <v>3309</v>
      </c>
      <c r="AH13" s="40">
        <v>3309</v>
      </c>
      <c r="AI13" s="40">
        <v>3309</v>
      </c>
    </row>
    <row r="14" spans="1:67" s="24" customFormat="1" ht="21.75" customHeight="1" thickBot="1" x14ac:dyDescent="0.25">
      <c r="A14" s="75"/>
      <c r="B14" s="41"/>
      <c r="C14" s="78"/>
      <c r="D14" s="42"/>
      <c r="E14" s="42">
        <f t="shared" ref="E14:AI14" si="4">E13-D13</f>
        <v>0</v>
      </c>
      <c r="F14" s="42">
        <f t="shared" si="4"/>
        <v>0</v>
      </c>
      <c r="G14" s="42">
        <f t="shared" si="4"/>
        <v>0</v>
      </c>
      <c r="H14" s="42">
        <f t="shared" si="4"/>
        <v>0</v>
      </c>
      <c r="I14" s="42">
        <f t="shared" si="4"/>
        <v>0</v>
      </c>
      <c r="J14" s="42">
        <f t="shared" si="4"/>
        <v>0</v>
      </c>
      <c r="K14" s="42">
        <f t="shared" si="4"/>
        <v>0</v>
      </c>
      <c r="L14" s="42">
        <f t="shared" si="4"/>
        <v>0</v>
      </c>
      <c r="M14" s="42">
        <f t="shared" si="4"/>
        <v>0</v>
      </c>
      <c r="N14" s="42">
        <f t="shared" si="4"/>
        <v>2</v>
      </c>
      <c r="O14" s="42">
        <f t="shared" si="4"/>
        <v>0</v>
      </c>
      <c r="P14" s="42">
        <f t="shared" si="4"/>
        <v>0</v>
      </c>
      <c r="Q14" s="42">
        <f t="shared" si="4"/>
        <v>0</v>
      </c>
      <c r="R14" s="42">
        <f t="shared" si="4"/>
        <v>0</v>
      </c>
      <c r="S14" s="42">
        <f t="shared" si="4"/>
        <v>0</v>
      </c>
      <c r="T14" s="42">
        <f t="shared" si="4"/>
        <v>2</v>
      </c>
      <c r="U14" s="42">
        <f t="shared" si="4"/>
        <v>0</v>
      </c>
      <c r="V14" s="42">
        <f t="shared" si="4"/>
        <v>0</v>
      </c>
      <c r="W14" s="42">
        <f t="shared" si="4"/>
        <v>0</v>
      </c>
      <c r="X14" s="42">
        <f t="shared" si="4"/>
        <v>0</v>
      </c>
      <c r="Y14" s="42">
        <f t="shared" si="4"/>
        <v>0</v>
      </c>
      <c r="Z14" s="42">
        <f t="shared" si="4"/>
        <v>0</v>
      </c>
      <c r="AA14" s="42">
        <f t="shared" si="4"/>
        <v>0</v>
      </c>
      <c r="AB14" s="42">
        <f t="shared" si="4"/>
        <v>15</v>
      </c>
      <c r="AC14" s="42">
        <f t="shared" si="4"/>
        <v>0</v>
      </c>
      <c r="AD14" s="42">
        <f t="shared" si="4"/>
        <v>20</v>
      </c>
      <c r="AE14" s="42">
        <f t="shared" si="4"/>
        <v>0</v>
      </c>
      <c r="AF14" s="42">
        <f t="shared" si="4"/>
        <v>1</v>
      </c>
      <c r="AG14" s="42">
        <f t="shared" si="4"/>
        <v>0</v>
      </c>
      <c r="AH14" s="42">
        <f t="shared" si="4"/>
        <v>0</v>
      </c>
      <c r="AI14" s="42">
        <f t="shared" si="4"/>
        <v>0</v>
      </c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2">
      <c r="A15" s="70">
        <v>8</v>
      </c>
      <c r="B15" s="39" t="s">
        <v>59</v>
      </c>
      <c r="C15" s="72" t="s">
        <v>60</v>
      </c>
      <c r="D15" s="40">
        <v>468</v>
      </c>
      <c r="E15" s="40">
        <v>468</v>
      </c>
      <c r="F15" s="40">
        <v>468</v>
      </c>
      <c r="G15" s="40">
        <v>468</v>
      </c>
      <c r="H15" s="40">
        <v>468</v>
      </c>
      <c r="I15" s="40">
        <v>468</v>
      </c>
      <c r="J15" s="40">
        <v>468</v>
      </c>
      <c r="K15" s="40">
        <v>468</v>
      </c>
      <c r="L15" s="40">
        <v>468</v>
      </c>
      <c r="M15" s="40">
        <v>469</v>
      </c>
      <c r="N15" s="40">
        <v>469</v>
      </c>
      <c r="O15" s="40">
        <v>469</v>
      </c>
      <c r="P15" s="40">
        <v>470</v>
      </c>
      <c r="Q15" s="40">
        <v>470</v>
      </c>
      <c r="R15" s="40">
        <v>470</v>
      </c>
      <c r="S15" s="40">
        <v>470</v>
      </c>
      <c r="T15" s="40">
        <v>470</v>
      </c>
      <c r="U15" s="40">
        <v>471</v>
      </c>
      <c r="V15" s="40">
        <v>471</v>
      </c>
      <c r="W15" s="40">
        <v>471</v>
      </c>
      <c r="X15" s="40">
        <v>471</v>
      </c>
      <c r="Y15" s="40">
        <v>471</v>
      </c>
      <c r="Z15" s="40">
        <v>471</v>
      </c>
      <c r="AA15" s="40">
        <v>471</v>
      </c>
      <c r="AB15" s="40">
        <v>471</v>
      </c>
      <c r="AC15" s="40">
        <v>471</v>
      </c>
      <c r="AD15" s="40">
        <v>471</v>
      </c>
      <c r="AE15" s="40">
        <v>471</v>
      </c>
      <c r="AF15" s="40">
        <v>472</v>
      </c>
      <c r="AG15" s="40">
        <v>472</v>
      </c>
      <c r="AH15" s="40">
        <v>472</v>
      </c>
      <c r="AI15" s="40">
        <v>472</v>
      </c>
    </row>
    <row r="16" spans="1:67" s="24" customFormat="1" ht="21.75" customHeight="1" thickBot="1" x14ac:dyDescent="0.25">
      <c r="A16" s="77"/>
      <c r="B16" s="41"/>
      <c r="C16" s="78"/>
      <c r="D16" s="42"/>
      <c r="E16" s="42">
        <f t="shared" ref="E16:AI16" si="5">E15-D15</f>
        <v>0</v>
      </c>
      <c r="F16" s="42">
        <f t="shared" si="5"/>
        <v>0</v>
      </c>
      <c r="G16" s="42">
        <f t="shared" si="5"/>
        <v>0</v>
      </c>
      <c r="H16" s="42">
        <f t="shared" si="5"/>
        <v>0</v>
      </c>
      <c r="I16" s="42">
        <f t="shared" si="5"/>
        <v>0</v>
      </c>
      <c r="J16" s="42">
        <f t="shared" si="5"/>
        <v>0</v>
      </c>
      <c r="K16" s="42">
        <f t="shared" si="5"/>
        <v>0</v>
      </c>
      <c r="L16" s="42">
        <f t="shared" si="5"/>
        <v>0</v>
      </c>
      <c r="M16" s="42">
        <f t="shared" si="5"/>
        <v>1</v>
      </c>
      <c r="N16" s="42">
        <f t="shared" si="5"/>
        <v>0</v>
      </c>
      <c r="O16" s="42">
        <f t="shared" si="5"/>
        <v>0</v>
      </c>
      <c r="P16" s="42">
        <f t="shared" si="5"/>
        <v>1</v>
      </c>
      <c r="Q16" s="42">
        <f t="shared" si="5"/>
        <v>0</v>
      </c>
      <c r="R16" s="42">
        <f t="shared" si="5"/>
        <v>0</v>
      </c>
      <c r="S16" s="42">
        <f t="shared" si="5"/>
        <v>0</v>
      </c>
      <c r="T16" s="42">
        <f t="shared" si="5"/>
        <v>0</v>
      </c>
      <c r="U16" s="42">
        <f t="shared" si="5"/>
        <v>1</v>
      </c>
      <c r="V16" s="42">
        <f t="shared" si="5"/>
        <v>0</v>
      </c>
      <c r="W16" s="42">
        <f t="shared" si="5"/>
        <v>0</v>
      </c>
      <c r="X16" s="42">
        <f t="shared" si="5"/>
        <v>0</v>
      </c>
      <c r="Y16" s="42">
        <f t="shared" si="5"/>
        <v>0</v>
      </c>
      <c r="Z16" s="42">
        <f t="shared" si="5"/>
        <v>0</v>
      </c>
      <c r="AA16" s="42">
        <f t="shared" si="5"/>
        <v>0</v>
      </c>
      <c r="AB16" s="42">
        <f t="shared" si="5"/>
        <v>0</v>
      </c>
      <c r="AC16" s="42">
        <f t="shared" si="5"/>
        <v>0</v>
      </c>
      <c r="AD16" s="42">
        <f t="shared" si="5"/>
        <v>0</v>
      </c>
      <c r="AE16" s="42">
        <f t="shared" si="5"/>
        <v>0</v>
      </c>
      <c r="AF16" s="42">
        <f t="shared" si="5"/>
        <v>1</v>
      </c>
      <c r="AG16" s="42">
        <f t="shared" si="5"/>
        <v>0</v>
      </c>
      <c r="AH16" s="42">
        <f t="shared" si="5"/>
        <v>0</v>
      </c>
      <c r="AI16" s="42">
        <f t="shared" si="5"/>
        <v>0</v>
      </c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2">
      <c r="A17" s="70">
        <v>13</v>
      </c>
      <c r="B17" s="39" t="s">
        <v>61</v>
      </c>
      <c r="C17" s="72" t="s">
        <v>62</v>
      </c>
      <c r="D17" s="40">
        <v>1425754</v>
      </c>
      <c r="E17" s="40">
        <v>1426003</v>
      </c>
      <c r="F17" s="40">
        <v>1426261</v>
      </c>
      <c r="G17" s="40">
        <v>1426549</v>
      </c>
      <c r="H17" s="40">
        <v>1426841</v>
      </c>
      <c r="I17" s="40">
        <v>1427138</v>
      </c>
      <c r="J17" s="40">
        <v>1427449</v>
      </c>
      <c r="K17" s="40">
        <v>1427753</v>
      </c>
      <c r="L17" s="40">
        <v>1428031</v>
      </c>
      <c r="M17" s="40">
        <v>1428324</v>
      </c>
      <c r="N17" s="40">
        <v>1428585</v>
      </c>
      <c r="O17" s="40">
        <v>1428870</v>
      </c>
      <c r="P17" s="40">
        <v>1429149</v>
      </c>
      <c r="Q17" s="40">
        <v>1429419</v>
      </c>
      <c r="R17" s="40">
        <v>1429699</v>
      </c>
      <c r="S17" s="40">
        <v>1429968</v>
      </c>
      <c r="T17" s="40">
        <v>1430240</v>
      </c>
      <c r="U17" s="40">
        <v>1430518</v>
      </c>
      <c r="V17" s="40">
        <v>1430787</v>
      </c>
      <c r="W17" s="40">
        <v>1431054</v>
      </c>
      <c r="X17" s="40">
        <v>1431322</v>
      </c>
      <c r="Y17" s="40">
        <v>1431591</v>
      </c>
      <c r="Z17" s="40">
        <v>1431861</v>
      </c>
      <c r="AA17" s="40">
        <v>1432122</v>
      </c>
      <c r="AB17" s="40">
        <v>1432379</v>
      </c>
      <c r="AC17" s="40">
        <v>1432630</v>
      </c>
      <c r="AD17" s="40">
        <v>1432885</v>
      </c>
      <c r="AE17" s="40">
        <v>1433142</v>
      </c>
      <c r="AF17" s="40">
        <v>1433412</v>
      </c>
      <c r="AG17" s="40">
        <v>1433660</v>
      </c>
      <c r="AH17" s="40">
        <v>1433909</v>
      </c>
      <c r="AI17" s="40">
        <v>1434167</v>
      </c>
    </row>
    <row r="18" spans="1:35" ht="21.75" customHeight="1" thickBot="1" x14ac:dyDescent="0.25">
      <c r="A18" s="71"/>
      <c r="B18" s="43"/>
      <c r="C18" s="73"/>
      <c r="D18" s="42"/>
      <c r="E18" s="42">
        <f t="shared" ref="E18:AI18" si="6">E17-D17</f>
        <v>249</v>
      </c>
      <c r="F18" s="42">
        <f t="shared" si="6"/>
        <v>258</v>
      </c>
      <c r="G18" s="42">
        <f t="shared" si="6"/>
        <v>288</v>
      </c>
      <c r="H18" s="42">
        <f t="shared" si="6"/>
        <v>292</v>
      </c>
      <c r="I18" s="42">
        <f t="shared" si="6"/>
        <v>297</v>
      </c>
      <c r="J18" s="42">
        <f t="shared" si="6"/>
        <v>311</v>
      </c>
      <c r="K18" s="42">
        <f t="shared" si="6"/>
        <v>304</v>
      </c>
      <c r="L18" s="42">
        <f t="shared" si="6"/>
        <v>278</v>
      </c>
      <c r="M18" s="42">
        <f t="shared" si="6"/>
        <v>293</v>
      </c>
      <c r="N18" s="42">
        <f t="shared" si="6"/>
        <v>261</v>
      </c>
      <c r="O18" s="42">
        <f t="shared" si="6"/>
        <v>285</v>
      </c>
      <c r="P18" s="42">
        <f t="shared" si="6"/>
        <v>279</v>
      </c>
      <c r="Q18" s="42">
        <f t="shared" si="6"/>
        <v>270</v>
      </c>
      <c r="R18" s="42">
        <f t="shared" si="6"/>
        <v>280</v>
      </c>
      <c r="S18" s="42">
        <f t="shared" si="6"/>
        <v>269</v>
      </c>
      <c r="T18" s="42">
        <f t="shared" si="6"/>
        <v>272</v>
      </c>
      <c r="U18" s="42">
        <f t="shared" si="6"/>
        <v>278</v>
      </c>
      <c r="V18" s="42">
        <f t="shared" si="6"/>
        <v>269</v>
      </c>
      <c r="W18" s="42">
        <f t="shared" si="6"/>
        <v>267</v>
      </c>
      <c r="X18" s="42">
        <f t="shared" si="6"/>
        <v>268</v>
      </c>
      <c r="Y18" s="42">
        <f t="shared" si="6"/>
        <v>269</v>
      </c>
      <c r="Z18" s="42">
        <f t="shared" si="6"/>
        <v>270</v>
      </c>
      <c r="AA18" s="42">
        <f t="shared" si="6"/>
        <v>261</v>
      </c>
      <c r="AB18" s="42">
        <f t="shared" si="6"/>
        <v>257</v>
      </c>
      <c r="AC18" s="42">
        <f t="shared" si="6"/>
        <v>251</v>
      </c>
      <c r="AD18" s="42">
        <f t="shared" si="6"/>
        <v>255</v>
      </c>
      <c r="AE18" s="42">
        <f t="shared" si="6"/>
        <v>257</v>
      </c>
      <c r="AF18" s="42">
        <f t="shared" si="6"/>
        <v>270</v>
      </c>
      <c r="AG18" s="42">
        <f t="shared" si="6"/>
        <v>248</v>
      </c>
      <c r="AH18" s="42">
        <f t="shared" si="6"/>
        <v>249</v>
      </c>
      <c r="AI18" s="42">
        <f t="shared" si="6"/>
        <v>258</v>
      </c>
    </row>
    <row r="19" spans="1:35" ht="21.75" customHeight="1" x14ac:dyDescent="0.2">
      <c r="A19" s="74">
        <v>14</v>
      </c>
      <c r="B19" s="39" t="s">
        <v>63</v>
      </c>
      <c r="C19" s="72" t="s">
        <v>64</v>
      </c>
      <c r="D19" s="40">
        <v>380302</v>
      </c>
      <c r="E19" s="40">
        <v>380352</v>
      </c>
      <c r="F19" s="40">
        <v>380398</v>
      </c>
      <c r="G19" s="40">
        <v>380449</v>
      </c>
      <c r="H19" s="40">
        <v>380498</v>
      </c>
      <c r="I19" s="40">
        <v>380544</v>
      </c>
      <c r="J19" s="40">
        <v>380591</v>
      </c>
      <c r="K19" s="40">
        <v>380643</v>
      </c>
      <c r="L19" s="40">
        <v>380689</v>
      </c>
      <c r="M19" s="40">
        <v>380737</v>
      </c>
      <c r="N19" s="40">
        <v>380784</v>
      </c>
      <c r="O19" s="40">
        <v>380834</v>
      </c>
      <c r="P19" s="40">
        <v>380882</v>
      </c>
      <c r="Q19" s="40">
        <v>380933</v>
      </c>
      <c r="R19" s="40">
        <v>380983</v>
      </c>
      <c r="S19" s="40">
        <v>381032</v>
      </c>
      <c r="T19" s="40">
        <v>381081</v>
      </c>
      <c r="U19" s="40">
        <v>381129</v>
      </c>
      <c r="V19" s="40">
        <v>381176</v>
      </c>
      <c r="W19" s="40">
        <v>381224</v>
      </c>
      <c r="X19" s="40">
        <v>381273</v>
      </c>
      <c r="Y19" s="40">
        <v>381322</v>
      </c>
      <c r="Z19" s="40">
        <v>381373</v>
      </c>
      <c r="AA19" s="40">
        <v>381421</v>
      </c>
      <c r="AB19" s="40">
        <v>381472</v>
      </c>
      <c r="AC19" s="40">
        <v>381524</v>
      </c>
      <c r="AD19" s="40">
        <v>381569</v>
      </c>
      <c r="AE19" s="40">
        <v>381618</v>
      </c>
      <c r="AF19" s="40">
        <v>381665</v>
      </c>
      <c r="AG19" s="40">
        <v>381710</v>
      </c>
      <c r="AH19" s="40">
        <v>381759</v>
      </c>
      <c r="AI19" s="40">
        <v>381806</v>
      </c>
    </row>
    <row r="20" spans="1:35" ht="21.75" customHeight="1" thickBot="1" x14ac:dyDescent="0.25">
      <c r="A20" s="75"/>
      <c r="B20" s="43"/>
      <c r="C20" s="73"/>
      <c r="D20" s="42"/>
      <c r="E20" s="42">
        <f>E19-D19</f>
        <v>50</v>
      </c>
      <c r="F20" s="42">
        <f t="shared" ref="F20:AI20" si="7">F19-E19</f>
        <v>46</v>
      </c>
      <c r="G20" s="42">
        <f t="shared" si="7"/>
        <v>51</v>
      </c>
      <c r="H20" s="42">
        <f t="shared" si="7"/>
        <v>49</v>
      </c>
      <c r="I20" s="42">
        <f t="shared" si="7"/>
        <v>46</v>
      </c>
      <c r="J20" s="42">
        <f t="shared" si="7"/>
        <v>47</v>
      </c>
      <c r="K20" s="42">
        <f t="shared" si="7"/>
        <v>52</v>
      </c>
      <c r="L20" s="42">
        <f t="shared" si="7"/>
        <v>46</v>
      </c>
      <c r="M20" s="42">
        <f t="shared" si="7"/>
        <v>48</v>
      </c>
      <c r="N20" s="42">
        <f t="shared" si="7"/>
        <v>47</v>
      </c>
      <c r="O20" s="42">
        <f t="shared" si="7"/>
        <v>50</v>
      </c>
      <c r="P20" s="42">
        <f t="shared" si="7"/>
        <v>48</v>
      </c>
      <c r="Q20" s="42">
        <f t="shared" si="7"/>
        <v>51</v>
      </c>
      <c r="R20" s="42">
        <f t="shared" si="7"/>
        <v>50</v>
      </c>
      <c r="S20" s="42">
        <f t="shared" si="7"/>
        <v>49</v>
      </c>
      <c r="T20" s="42">
        <f t="shared" si="7"/>
        <v>49</v>
      </c>
      <c r="U20" s="42">
        <f t="shared" si="7"/>
        <v>48</v>
      </c>
      <c r="V20" s="42">
        <f t="shared" si="7"/>
        <v>47</v>
      </c>
      <c r="W20" s="42">
        <f t="shared" si="7"/>
        <v>48</v>
      </c>
      <c r="X20" s="42">
        <f t="shared" si="7"/>
        <v>49</v>
      </c>
      <c r="Y20" s="42">
        <f t="shared" si="7"/>
        <v>49</v>
      </c>
      <c r="Z20" s="42">
        <f t="shared" si="7"/>
        <v>51</v>
      </c>
      <c r="AA20" s="42">
        <f t="shared" si="7"/>
        <v>48</v>
      </c>
      <c r="AB20" s="42">
        <f t="shared" si="7"/>
        <v>51</v>
      </c>
      <c r="AC20" s="42">
        <f t="shared" si="7"/>
        <v>52</v>
      </c>
      <c r="AD20" s="42">
        <f t="shared" si="7"/>
        <v>45</v>
      </c>
      <c r="AE20" s="42">
        <f t="shared" si="7"/>
        <v>49</v>
      </c>
      <c r="AF20" s="42">
        <f t="shared" si="7"/>
        <v>47</v>
      </c>
      <c r="AG20" s="42">
        <f t="shared" si="7"/>
        <v>45</v>
      </c>
      <c r="AH20" s="42">
        <f t="shared" si="7"/>
        <v>49</v>
      </c>
      <c r="AI20" s="42">
        <f t="shared" si="7"/>
        <v>47</v>
      </c>
    </row>
    <row r="21" spans="1:35" ht="27" customHeight="1" x14ac:dyDescent="0.3">
      <c r="B21" s="76" t="s">
        <v>65</v>
      </c>
      <c r="C21" s="76"/>
      <c r="D21" s="44"/>
      <c r="E21" s="61">
        <f>((E6+E8)+((E10+E12)*40%)+(E14+E16+E18+E20))</f>
        <v>46434.8</v>
      </c>
      <c r="F21" s="61">
        <f t="shared" ref="F21:AI21" si="8">((F6+F8)+((F10+F12)*40%)+(F14+F16+F18+F20))</f>
        <v>47634.400000000001</v>
      </c>
      <c r="G21" s="61">
        <f t="shared" si="8"/>
        <v>46808.600000000006</v>
      </c>
      <c r="H21" s="61">
        <f t="shared" si="8"/>
        <v>45312.600000000006</v>
      </c>
      <c r="I21" s="61">
        <f t="shared" si="8"/>
        <v>47559.199999999997</v>
      </c>
      <c r="J21" s="61">
        <f t="shared" si="8"/>
        <v>45599</v>
      </c>
      <c r="K21" s="61">
        <f t="shared" si="8"/>
        <v>45740.600000000006</v>
      </c>
      <c r="L21" s="61">
        <f t="shared" si="8"/>
        <v>47726</v>
      </c>
      <c r="M21" s="61">
        <f t="shared" si="8"/>
        <v>45876.2</v>
      </c>
      <c r="N21" s="61">
        <f t="shared" si="8"/>
        <v>46745.600000000006</v>
      </c>
      <c r="O21" s="61">
        <f t="shared" si="8"/>
        <v>46385</v>
      </c>
      <c r="P21" s="61">
        <f t="shared" si="8"/>
        <v>47304.2</v>
      </c>
      <c r="Q21" s="61">
        <f t="shared" si="8"/>
        <v>47032.600000000006</v>
      </c>
      <c r="R21" s="61">
        <f t="shared" si="8"/>
        <v>46637.8</v>
      </c>
      <c r="S21" s="61">
        <f t="shared" si="8"/>
        <v>46736.2</v>
      </c>
      <c r="T21" s="61">
        <f t="shared" si="8"/>
        <v>48436</v>
      </c>
      <c r="U21" s="61">
        <f t="shared" si="8"/>
        <v>47556.2</v>
      </c>
      <c r="V21" s="61">
        <f t="shared" si="8"/>
        <v>43701.2</v>
      </c>
      <c r="W21" s="61">
        <f t="shared" si="8"/>
        <v>45713</v>
      </c>
      <c r="X21" s="61">
        <f t="shared" si="8"/>
        <v>45547.8</v>
      </c>
      <c r="Y21" s="61">
        <f t="shared" si="8"/>
        <v>45296.4</v>
      </c>
      <c r="Z21" s="61">
        <f t="shared" si="8"/>
        <v>45690</v>
      </c>
      <c r="AA21" s="61">
        <f t="shared" si="8"/>
        <v>46393</v>
      </c>
      <c r="AB21" s="61">
        <f t="shared" si="8"/>
        <v>46867.8</v>
      </c>
      <c r="AC21" s="61">
        <f t="shared" si="8"/>
        <v>46888.2</v>
      </c>
      <c r="AD21" s="61">
        <f t="shared" si="8"/>
        <v>47583.4</v>
      </c>
      <c r="AE21" s="61">
        <f t="shared" si="8"/>
        <v>48144.4</v>
      </c>
      <c r="AF21" s="61">
        <f t="shared" si="8"/>
        <v>47962.600000000006</v>
      </c>
      <c r="AG21" s="61">
        <f t="shared" si="8"/>
        <v>47974.600000000006</v>
      </c>
      <c r="AH21" s="61">
        <f t="shared" si="8"/>
        <v>48473.600000000006</v>
      </c>
      <c r="AI21" s="61">
        <f t="shared" si="8"/>
        <v>48169.8</v>
      </c>
    </row>
    <row r="22" spans="1:35" ht="27" customHeight="1" x14ac:dyDescent="0.3">
      <c r="B22" s="69" t="s">
        <v>66</v>
      </c>
      <c r="C22" s="69"/>
      <c r="D22" s="44"/>
      <c r="E22" s="61">
        <f>SUM(E21:AI21)</f>
        <v>1449930.8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  <row r="23" spans="1:35" ht="27" customHeight="1" x14ac:dyDescent="0.2">
      <c r="B23" s="26" t="s">
        <v>89</v>
      </c>
      <c r="E23" s="14">
        <v>1442040</v>
      </c>
    </row>
  </sheetData>
  <mergeCells count="20">
    <mergeCell ref="A2:AI2"/>
    <mergeCell ref="C3:AI3"/>
    <mergeCell ref="A5:A6"/>
    <mergeCell ref="C5:C6"/>
    <mergeCell ref="A7:A8"/>
    <mergeCell ref="C7:C8"/>
    <mergeCell ref="A15:A16"/>
    <mergeCell ref="C15:C16"/>
    <mergeCell ref="A9:A10"/>
    <mergeCell ref="C9:C10"/>
    <mergeCell ref="A11:A12"/>
    <mergeCell ref="C11:C12"/>
    <mergeCell ref="A13:A14"/>
    <mergeCell ref="C13:C14"/>
    <mergeCell ref="B22:C22"/>
    <mergeCell ref="A17:A18"/>
    <mergeCell ref="C17:C18"/>
    <mergeCell ref="A19:A20"/>
    <mergeCell ref="C19:C20"/>
    <mergeCell ref="B21:C21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 codeName="Sheet4">
    <pageSetUpPr fitToPage="1"/>
  </sheetPr>
  <dimension ref="A2:AP29"/>
  <sheetViews>
    <sheetView zoomScale="115" zoomScaleNormal="115" workbookViewId="0">
      <pane xSplit="3" ySplit="4" topLeftCell="D12" activePane="bottomRight" state="frozen"/>
      <selection pane="topRight" activeCell="D1" sqref="D1"/>
      <selection pane="bottomLeft" activeCell="A5" sqref="A5"/>
      <selection pane="bottomRight" activeCell="E17" sqref="E17"/>
    </sheetView>
  </sheetViews>
  <sheetFormatPr defaultColWidth="9.140625" defaultRowHeight="70.5" customHeight="1" x14ac:dyDescent="0.25"/>
  <cols>
    <col min="1" max="1" width="5.7109375" style="2" customWidth="1"/>
    <col min="2" max="2" width="21.85546875" style="8" customWidth="1"/>
    <col min="3" max="3" width="23" style="35" customWidth="1"/>
    <col min="4" max="6" width="10.140625" style="8" customWidth="1"/>
    <col min="7" max="35" width="10.140625" style="2" customWidth="1"/>
    <col min="36" max="16384" width="9.140625" style="2"/>
  </cols>
  <sheetData>
    <row r="2" spans="1:42" s="8" customFormat="1" ht="25.7" customHeight="1" x14ac:dyDescent="0.4">
      <c r="B2" s="92" t="s">
        <v>87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</row>
    <row r="3" spans="1:42" s="8" customFormat="1" ht="30" customHeight="1" thickBot="1" x14ac:dyDescent="0.3"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</row>
    <row r="4" spans="1:42" s="30" customFormat="1" ht="57.75" customHeight="1" thickBot="1" x14ac:dyDescent="0.3">
      <c r="A4" s="15" t="s">
        <v>10</v>
      </c>
      <c r="B4" s="27" t="s">
        <v>18</v>
      </c>
      <c r="C4" s="27" t="s">
        <v>12</v>
      </c>
      <c r="D4" s="28" t="s">
        <v>19</v>
      </c>
      <c r="E4" s="29" t="s">
        <v>20</v>
      </c>
      <c r="F4" s="29" t="s">
        <v>21</v>
      </c>
      <c r="G4" s="29" t="s">
        <v>22</v>
      </c>
      <c r="H4" s="29" t="s">
        <v>23</v>
      </c>
      <c r="I4" s="29" t="s">
        <v>24</v>
      </c>
      <c r="J4" s="29" t="s">
        <v>25</v>
      </c>
      <c r="K4" s="29" t="s">
        <v>26</v>
      </c>
      <c r="L4" s="29" t="s">
        <v>27</v>
      </c>
      <c r="M4" s="29" t="s">
        <v>28</v>
      </c>
      <c r="N4" s="29" t="s">
        <v>29</v>
      </c>
      <c r="O4" s="29" t="s">
        <v>30</v>
      </c>
      <c r="P4" s="29" t="s">
        <v>31</v>
      </c>
      <c r="Q4" s="29" t="s">
        <v>32</v>
      </c>
      <c r="R4" s="29" t="s">
        <v>33</v>
      </c>
      <c r="S4" s="29" t="s">
        <v>34</v>
      </c>
      <c r="T4" s="29" t="s">
        <v>35</v>
      </c>
      <c r="U4" s="29" t="s">
        <v>36</v>
      </c>
      <c r="V4" s="29" t="s">
        <v>37</v>
      </c>
      <c r="W4" s="29" t="s">
        <v>38</v>
      </c>
      <c r="X4" s="29" t="s">
        <v>39</v>
      </c>
      <c r="Y4" s="29" t="s">
        <v>40</v>
      </c>
      <c r="Z4" s="29" t="s">
        <v>41</v>
      </c>
      <c r="AA4" s="29" t="s">
        <v>42</v>
      </c>
      <c r="AB4" s="29" t="s">
        <v>43</v>
      </c>
      <c r="AC4" s="29" t="s">
        <v>44</v>
      </c>
      <c r="AD4" s="29" t="s">
        <v>45</v>
      </c>
      <c r="AE4" s="29" t="s">
        <v>46</v>
      </c>
      <c r="AF4" s="29" t="s">
        <v>47</v>
      </c>
      <c r="AG4" s="29" t="s">
        <v>78</v>
      </c>
      <c r="AH4" s="29" t="s">
        <v>79</v>
      </c>
      <c r="AI4" s="29" t="s">
        <v>80</v>
      </c>
    </row>
    <row r="5" spans="1:42" s="8" customFormat="1" ht="40.5" customHeight="1" thickBot="1" x14ac:dyDescent="0.3">
      <c r="A5" s="95" t="s">
        <v>20</v>
      </c>
      <c r="B5" s="27" t="s">
        <v>48</v>
      </c>
      <c r="C5" s="97" t="s">
        <v>49</v>
      </c>
      <c r="D5" s="31">
        <v>139108</v>
      </c>
      <c r="E5" s="31">
        <v>139363</v>
      </c>
      <c r="F5" s="31">
        <v>139634</v>
      </c>
      <c r="G5" s="31">
        <v>139893</v>
      </c>
      <c r="H5" s="31">
        <v>140153</v>
      </c>
      <c r="I5" s="31">
        <v>140416</v>
      </c>
      <c r="J5" s="31">
        <v>140664</v>
      </c>
      <c r="K5" s="31">
        <v>140914</v>
      </c>
      <c r="L5" s="31">
        <v>141160</v>
      </c>
      <c r="M5" s="31">
        <v>141406</v>
      </c>
      <c r="N5" s="31">
        <v>141671</v>
      </c>
      <c r="O5" s="31">
        <v>141893</v>
      </c>
      <c r="P5" s="31">
        <v>142159</v>
      </c>
      <c r="Q5" s="31">
        <v>142406</v>
      </c>
      <c r="R5" s="31">
        <v>142668</v>
      </c>
      <c r="S5" s="31">
        <v>142917</v>
      </c>
      <c r="T5" s="31">
        <v>143157</v>
      </c>
      <c r="U5" s="31">
        <v>143397</v>
      </c>
      <c r="V5" s="31">
        <v>143682</v>
      </c>
      <c r="W5" s="31">
        <v>143926</v>
      </c>
      <c r="X5" s="31">
        <v>144170</v>
      </c>
      <c r="Y5" s="31">
        <v>144428</v>
      </c>
      <c r="Z5" s="31">
        <v>144691</v>
      </c>
      <c r="AA5" s="31">
        <v>144939</v>
      </c>
      <c r="AB5" s="31">
        <v>145161</v>
      </c>
      <c r="AC5" s="31">
        <v>145411</v>
      </c>
      <c r="AD5" s="31">
        <v>145645</v>
      </c>
      <c r="AE5" s="31">
        <v>145854</v>
      </c>
      <c r="AF5" s="31">
        <v>146084</v>
      </c>
      <c r="AG5" s="31">
        <v>146345</v>
      </c>
      <c r="AH5" s="31">
        <v>146594</v>
      </c>
      <c r="AI5" s="31">
        <v>146865</v>
      </c>
    </row>
    <row r="6" spans="1:42" s="34" customFormat="1" ht="25.7" customHeight="1" thickBot="1" x14ac:dyDescent="0.3">
      <c r="A6" s="96"/>
      <c r="B6" s="32"/>
      <c r="C6" s="97"/>
      <c r="D6" s="33"/>
      <c r="E6" s="33">
        <f>E5-D5</f>
        <v>255</v>
      </c>
      <c r="F6" s="33">
        <f t="shared" ref="F6:AI6" si="0">F5-E5</f>
        <v>271</v>
      </c>
      <c r="G6" s="33">
        <f t="shared" si="0"/>
        <v>259</v>
      </c>
      <c r="H6" s="33">
        <f t="shared" si="0"/>
        <v>260</v>
      </c>
      <c r="I6" s="33">
        <f t="shared" si="0"/>
        <v>263</v>
      </c>
      <c r="J6" s="33">
        <f t="shared" si="0"/>
        <v>248</v>
      </c>
      <c r="K6" s="33">
        <f t="shared" si="0"/>
        <v>250</v>
      </c>
      <c r="L6" s="33">
        <f t="shared" si="0"/>
        <v>246</v>
      </c>
      <c r="M6" s="33">
        <f t="shared" si="0"/>
        <v>246</v>
      </c>
      <c r="N6" s="33">
        <f t="shared" si="0"/>
        <v>265</v>
      </c>
      <c r="O6" s="33">
        <f t="shared" si="0"/>
        <v>222</v>
      </c>
      <c r="P6" s="33">
        <f t="shared" si="0"/>
        <v>266</v>
      </c>
      <c r="Q6" s="33">
        <f t="shared" si="0"/>
        <v>247</v>
      </c>
      <c r="R6" s="33">
        <f t="shared" si="0"/>
        <v>262</v>
      </c>
      <c r="S6" s="33">
        <f t="shared" si="0"/>
        <v>249</v>
      </c>
      <c r="T6" s="33">
        <f t="shared" si="0"/>
        <v>240</v>
      </c>
      <c r="U6" s="33">
        <f t="shared" si="0"/>
        <v>240</v>
      </c>
      <c r="V6" s="33">
        <f t="shared" si="0"/>
        <v>285</v>
      </c>
      <c r="W6" s="33">
        <f t="shared" si="0"/>
        <v>244</v>
      </c>
      <c r="X6" s="33">
        <f t="shared" si="0"/>
        <v>244</v>
      </c>
      <c r="Y6" s="33">
        <f t="shared" si="0"/>
        <v>258</v>
      </c>
      <c r="Z6" s="33">
        <f t="shared" si="0"/>
        <v>263</v>
      </c>
      <c r="AA6" s="33">
        <f t="shared" si="0"/>
        <v>248</v>
      </c>
      <c r="AB6" s="33">
        <f t="shared" si="0"/>
        <v>222</v>
      </c>
      <c r="AC6" s="33">
        <f t="shared" si="0"/>
        <v>250</v>
      </c>
      <c r="AD6" s="33">
        <f t="shared" si="0"/>
        <v>234</v>
      </c>
      <c r="AE6" s="33">
        <f t="shared" si="0"/>
        <v>209</v>
      </c>
      <c r="AF6" s="33">
        <f t="shared" si="0"/>
        <v>230</v>
      </c>
      <c r="AG6" s="33">
        <f t="shared" si="0"/>
        <v>261</v>
      </c>
      <c r="AH6" s="33">
        <f t="shared" si="0"/>
        <v>249</v>
      </c>
      <c r="AI6" s="33">
        <f t="shared" si="0"/>
        <v>271</v>
      </c>
      <c r="AJ6" s="8"/>
      <c r="AK6" s="8"/>
      <c r="AL6" s="8"/>
      <c r="AM6" s="8"/>
      <c r="AN6" s="8"/>
      <c r="AO6" s="8"/>
      <c r="AP6" s="8"/>
    </row>
    <row r="7" spans="1:42" s="8" customFormat="1" ht="39.75" customHeight="1" thickBot="1" x14ac:dyDescent="0.3">
      <c r="A7" s="95" t="s">
        <v>22</v>
      </c>
      <c r="B7" s="49" t="s">
        <v>69</v>
      </c>
      <c r="C7" s="97" t="s">
        <v>70</v>
      </c>
      <c r="D7" s="31">
        <v>404845.7</v>
      </c>
      <c r="E7" s="31">
        <v>404886.2</v>
      </c>
      <c r="F7" s="31">
        <v>404926.5</v>
      </c>
      <c r="G7" s="31">
        <v>404956.5</v>
      </c>
      <c r="H7" s="31">
        <v>404995.8</v>
      </c>
      <c r="I7" s="31">
        <v>405036.79999999999</v>
      </c>
      <c r="J7" s="31">
        <v>405076.9</v>
      </c>
      <c r="K7" s="31">
        <v>405113.8</v>
      </c>
      <c r="L7" s="31">
        <v>405152.9</v>
      </c>
      <c r="M7" s="31">
        <v>405190.8</v>
      </c>
      <c r="N7" s="31">
        <v>405220.5</v>
      </c>
      <c r="O7" s="31">
        <v>405260.4</v>
      </c>
      <c r="P7" s="31">
        <v>405302.5</v>
      </c>
      <c r="Q7" s="31">
        <v>405343.5</v>
      </c>
      <c r="R7" s="31">
        <v>405382.1</v>
      </c>
      <c r="S7" s="31">
        <v>405422.5</v>
      </c>
      <c r="T7" s="31">
        <v>405465.7</v>
      </c>
      <c r="U7" s="31">
        <v>405499</v>
      </c>
      <c r="V7" s="31">
        <v>405538.8</v>
      </c>
      <c r="W7" s="31">
        <v>405581</v>
      </c>
      <c r="X7" s="31">
        <v>405623.7</v>
      </c>
      <c r="Y7" s="31">
        <v>405659.5</v>
      </c>
      <c r="Z7" s="31">
        <v>405693.1</v>
      </c>
      <c r="AA7" s="31">
        <v>405733.5</v>
      </c>
      <c r="AB7" s="31">
        <v>405760</v>
      </c>
      <c r="AC7" s="31">
        <v>405799</v>
      </c>
      <c r="AD7" s="31">
        <v>405836</v>
      </c>
      <c r="AE7" s="31">
        <v>405879</v>
      </c>
      <c r="AF7" s="31">
        <v>405924</v>
      </c>
      <c r="AG7" s="31">
        <v>405970.1</v>
      </c>
      <c r="AH7" s="31">
        <v>406014.6</v>
      </c>
      <c r="AI7" s="31">
        <v>406051.3</v>
      </c>
    </row>
    <row r="8" spans="1:42" s="34" customFormat="1" ht="25.7" customHeight="1" thickBot="1" x14ac:dyDescent="0.3">
      <c r="A8" s="96"/>
      <c r="B8" s="47"/>
      <c r="C8" s="97"/>
      <c r="D8" s="33"/>
      <c r="E8" s="33">
        <f>E7-D7</f>
        <v>40.5</v>
      </c>
      <c r="F8" s="33">
        <f t="shared" ref="F8:AI8" si="1">F7-E7</f>
        <v>40.299999999988358</v>
      </c>
      <c r="G8" s="33">
        <f t="shared" si="1"/>
        <v>30</v>
      </c>
      <c r="H8" s="33">
        <f t="shared" si="1"/>
        <v>39.299999999988358</v>
      </c>
      <c r="I8" s="33">
        <f t="shared" si="1"/>
        <v>41</v>
      </c>
      <c r="J8" s="33">
        <f t="shared" si="1"/>
        <v>40.100000000034925</v>
      </c>
      <c r="K8" s="33">
        <f t="shared" si="1"/>
        <v>36.899999999965075</v>
      </c>
      <c r="L8" s="33">
        <f t="shared" si="1"/>
        <v>39.100000000034925</v>
      </c>
      <c r="M8" s="33">
        <f t="shared" si="1"/>
        <v>37.899999999965075</v>
      </c>
      <c r="N8" s="33">
        <f t="shared" si="1"/>
        <v>29.700000000011642</v>
      </c>
      <c r="O8" s="33">
        <f t="shared" si="1"/>
        <v>39.900000000023283</v>
      </c>
      <c r="P8" s="33">
        <f t="shared" si="1"/>
        <v>42.099999999976717</v>
      </c>
      <c r="Q8" s="33">
        <f t="shared" si="1"/>
        <v>41</v>
      </c>
      <c r="R8" s="33">
        <f t="shared" si="1"/>
        <v>38.599999999976717</v>
      </c>
      <c r="S8" s="33">
        <f t="shared" si="1"/>
        <v>40.400000000023283</v>
      </c>
      <c r="T8" s="33">
        <f t="shared" si="1"/>
        <v>43.200000000011642</v>
      </c>
      <c r="U8" s="33">
        <f t="shared" si="1"/>
        <v>33.299999999988358</v>
      </c>
      <c r="V8" s="33">
        <f t="shared" si="1"/>
        <v>39.799999999988358</v>
      </c>
      <c r="W8" s="33">
        <f t="shared" si="1"/>
        <v>42.200000000011642</v>
      </c>
      <c r="X8" s="33">
        <f t="shared" si="1"/>
        <v>42.700000000011642</v>
      </c>
      <c r="Y8" s="33">
        <f>Y7-X7</f>
        <v>35.799999999988358</v>
      </c>
      <c r="Z8" s="33">
        <f t="shared" si="1"/>
        <v>33.599999999976717</v>
      </c>
      <c r="AA8" s="33">
        <f t="shared" si="1"/>
        <v>40.400000000023283</v>
      </c>
      <c r="AB8" s="33">
        <f t="shared" si="1"/>
        <v>26.5</v>
      </c>
      <c r="AC8" s="33">
        <f t="shared" si="1"/>
        <v>39</v>
      </c>
      <c r="AD8" s="33">
        <f t="shared" si="1"/>
        <v>37</v>
      </c>
      <c r="AE8" s="33">
        <f t="shared" si="1"/>
        <v>43</v>
      </c>
      <c r="AF8" s="33">
        <f t="shared" si="1"/>
        <v>45</v>
      </c>
      <c r="AG8" s="33">
        <f t="shared" si="1"/>
        <v>46.099999999976717</v>
      </c>
      <c r="AH8" s="33">
        <f t="shared" si="1"/>
        <v>44.5</v>
      </c>
      <c r="AI8" s="33">
        <f t="shared" si="1"/>
        <v>36.700000000011642</v>
      </c>
      <c r="AJ8" s="8"/>
      <c r="AK8" s="8"/>
      <c r="AL8" s="8"/>
      <c r="AM8" s="8"/>
      <c r="AN8" s="8"/>
      <c r="AO8" s="8"/>
      <c r="AP8" s="8"/>
    </row>
    <row r="9" spans="1:42" s="8" customFormat="1" ht="25.7" customHeight="1" thickBot="1" x14ac:dyDescent="0.3">
      <c r="A9" s="95">
        <v>4</v>
      </c>
      <c r="B9" s="46" t="s">
        <v>67</v>
      </c>
      <c r="C9" s="97" t="s">
        <v>68</v>
      </c>
      <c r="D9" s="31">
        <v>11449</v>
      </c>
      <c r="E9" s="31">
        <v>11679</v>
      </c>
      <c r="F9" s="31">
        <v>11911</v>
      </c>
      <c r="G9" s="31">
        <v>11943</v>
      </c>
      <c r="H9" s="31">
        <v>12155</v>
      </c>
      <c r="I9" s="31">
        <v>12387</v>
      </c>
      <c r="J9" s="31">
        <v>12610</v>
      </c>
      <c r="K9" s="31">
        <v>12807</v>
      </c>
      <c r="L9" s="31">
        <v>13007</v>
      </c>
      <c r="M9" s="31">
        <v>13208</v>
      </c>
      <c r="N9" s="31">
        <v>13215</v>
      </c>
      <c r="O9" s="31">
        <v>13437</v>
      </c>
      <c r="P9" s="31">
        <v>13677</v>
      </c>
      <c r="Q9" s="31">
        <v>13887</v>
      </c>
      <c r="R9" s="31">
        <v>14076</v>
      </c>
      <c r="S9" s="31">
        <v>14267</v>
      </c>
      <c r="T9" s="31">
        <v>14461</v>
      </c>
      <c r="U9" s="31">
        <v>14470</v>
      </c>
      <c r="V9" s="31">
        <v>14651</v>
      </c>
      <c r="W9" s="31">
        <v>14854</v>
      </c>
      <c r="X9" s="31">
        <v>15101</v>
      </c>
      <c r="Y9" s="31">
        <v>15265</v>
      </c>
      <c r="Z9" s="31">
        <v>15444</v>
      </c>
      <c r="AA9" s="31">
        <v>15640</v>
      </c>
      <c r="AB9" s="31">
        <v>15661</v>
      </c>
      <c r="AC9" s="31">
        <v>15859</v>
      </c>
      <c r="AD9" s="31">
        <v>16064</v>
      </c>
      <c r="AE9" s="31">
        <v>16268</v>
      </c>
      <c r="AF9" s="31">
        <v>16445</v>
      </c>
      <c r="AG9" s="31">
        <v>16610</v>
      </c>
      <c r="AH9" s="31">
        <v>16773</v>
      </c>
      <c r="AI9" s="31">
        <v>16792</v>
      </c>
    </row>
    <row r="10" spans="1:42" s="34" customFormat="1" ht="25.7" customHeight="1" thickBot="1" x14ac:dyDescent="0.3">
      <c r="A10" s="96"/>
      <c r="B10" s="47"/>
      <c r="C10" s="97"/>
      <c r="D10" s="33"/>
      <c r="E10" s="33">
        <f t="shared" ref="E10:AI10" si="2">E9-D9</f>
        <v>230</v>
      </c>
      <c r="F10" s="33">
        <f t="shared" si="2"/>
        <v>232</v>
      </c>
      <c r="G10" s="33">
        <f t="shared" si="2"/>
        <v>32</v>
      </c>
      <c r="H10" s="33">
        <f t="shared" si="2"/>
        <v>212</v>
      </c>
      <c r="I10" s="33">
        <f t="shared" si="2"/>
        <v>232</v>
      </c>
      <c r="J10" s="33">
        <f t="shared" si="2"/>
        <v>223</v>
      </c>
      <c r="K10" s="33">
        <f t="shared" si="2"/>
        <v>197</v>
      </c>
      <c r="L10" s="33">
        <f t="shared" si="2"/>
        <v>200</v>
      </c>
      <c r="M10" s="33">
        <f t="shared" si="2"/>
        <v>201</v>
      </c>
      <c r="N10" s="33">
        <f t="shared" si="2"/>
        <v>7</v>
      </c>
      <c r="O10" s="33">
        <f t="shared" si="2"/>
        <v>222</v>
      </c>
      <c r="P10" s="33">
        <f t="shared" si="2"/>
        <v>240</v>
      </c>
      <c r="Q10" s="33">
        <f t="shared" si="2"/>
        <v>210</v>
      </c>
      <c r="R10" s="33">
        <f t="shared" si="2"/>
        <v>189</v>
      </c>
      <c r="S10" s="33">
        <f t="shared" si="2"/>
        <v>191</v>
      </c>
      <c r="T10" s="33">
        <f t="shared" si="2"/>
        <v>194</v>
      </c>
      <c r="U10" s="33">
        <f t="shared" si="2"/>
        <v>9</v>
      </c>
      <c r="V10" s="33">
        <f t="shared" si="2"/>
        <v>181</v>
      </c>
      <c r="W10" s="33">
        <f t="shared" si="2"/>
        <v>203</v>
      </c>
      <c r="X10" s="33">
        <f t="shared" si="2"/>
        <v>247</v>
      </c>
      <c r="Y10" s="33">
        <f t="shared" si="2"/>
        <v>164</v>
      </c>
      <c r="Z10" s="33">
        <f t="shared" si="2"/>
        <v>179</v>
      </c>
      <c r="AA10" s="33">
        <f t="shared" si="2"/>
        <v>196</v>
      </c>
      <c r="AB10" s="33">
        <f t="shared" si="2"/>
        <v>21</v>
      </c>
      <c r="AC10" s="33">
        <f t="shared" si="2"/>
        <v>198</v>
      </c>
      <c r="AD10" s="33">
        <f t="shared" si="2"/>
        <v>205</v>
      </c>
      <c r="AE10" s="33">
        <f t="shared" si="2"/>
        <v>204</v>
      </c>
      <c r="AF10" s="33">
        <f t="shared" si="2"/>
        <v>177</v>
      </c>
      <c r="AG10" s="33">
        <f t="shared" si="2"/>
        <v>165</v>
      </c>
      <c r="AH10" s="33">
        <f t="shared" si="2"/>
        <v>163</v>
      </c>
      <c r="AI10" s="33">
        <f t="shared" si="2"/>
        <v>19</v>
      </c>
      <c r="AJ10" s="8"/>
      <c r="AK10" s="8"/>
      <c r="AL10" s="8"/>
      <c r="AM10" s="8"/>
      <c r="AN10" s="8"/>
      <c r="AO10" s="8"/>
      <c r="AP10" s="8"/>
    </row>
    <row r="11" spans="1:42" s="8" customFormat="1" ht="25.7" customHeight="1" thickBot="1" x14ac:dyDescent="0.3">
      <c r="A11" s="98">
        <v>5</v>
      </c>
      <c r="B11" s="27">
        <v>68864837</v>
      </c>
      <c r="C11" s="97" t="s">
        <v>74</v>
      </c>
      <c r="D11" s="31">
        <v>2100.9180000000001</v>
      </c>
      <c r="E11" s="31">
        <v>2102.846</v>
      </c>
      <c r="F11" s="31">
        <v>2103.9769999999999</v>
      </c>
      <c r="G11" s="31">
        <v>2107.5700000000002</v>
      </c>
      <c r="H11" s="31">
        <v>2109.1210000000001</v>
      </c>
      <c r="I11" s="31">
        <v>2110.6219999999998</v>
      </c>
      <c r="J11" s="31">
        <v>2112.123</v>
      </c>
      <c r="K11" s="31">
        <v>2115.4899999999998</v>
      </c>
      <c r="L11" s="31">
        <v>2116.8670000000002</v>
      </c>
      <c r="M11" s="31">
        <v>2118.7040000000002</v>
      </c>
      <c r="N11" s="31">
        <v>2120.2959999999998</v>
      </c>
      <c r="O11" s="31">
        <v>2122.759</v>
      </c>
      <c r="P11" s="31">
        <v>2125.6999999999998</v>
      </c>
      <c r="Q11" s="31">
        <v>2127.424</v>
      </c>
      <c r="R11" s="31">
        <v>2129.056</v>
      </c>
      <c r="S11" s="31">
        <v>2130.8629999999998</v>
      </c>
      <c r="T11" s="31">
        <v>2133.2150000000001</v>
      </c>
      <c r="U11" s="31">
        <v>2134.7570000000001</v>
      </c>
      <c r="V11" s="31">
        <v>2137.8000000000002</v>
      </c>
      <c r="W11" s="31">
        <v>2139.2890000000002</v>
      </c>
      <c r="X11" s="31">
        <v>2141.9459999999999</v>
      </c>
      <c r="Y11" s="31">
        <v>2143.7660000000001</v>
      </c>
      <c r="Z11" s="31">
        <v>2145.7939999999999</v>
      </c>
      <c r="AA11" s="31">
        <v>2152.06</v>
      </c>
      <c r="AB11" s="31">
        <v>2154.61</v>
      </c>
      <c r="AC11" s="31">
        <v>2158.3829999999998</v>
      </c>
      <c r="AD11" s="31">
        <v>2160.123</v>
      </c>
      <c r="AE11" s="31">
        <v>2161.9290000000001</v>
      </c>
      <c r="AF11" s="31">
        <v>2165</v>
      </c>
      <c r="AG11" s="31">
        <v>2166.9499999999998</v>
      </c>
      <c r="AH11" s="31">
        <v>2168.6350000000002</v>
      </c>
      <c r="AI11" s="31">
        <v>2170.471</v>
      </c>
    </row>
    <row r="12" spans="1:42" s="8" customFormat="1" ht="25.7" customHeight="1" thickBot="1" x14ac:dyDescent="0.3">
      <c r="A12" s="99"/>
      <c r="B12" s="48"/>
      <c r="C12" s="97"/>
      <c r="D12" s="33"/>
      <c r="E12" s="33">
        <f>E11-D11</f>
        <v>1.9279999999998836</v>
      </c>
      <c r="F12" s="33">
        <f t="shared" ref="F12:AI12" si="3">F11-E11</f>
        <v>1.1309999999998581</v>
      </c>
      <c r="G12" s="33">
        <f t="shared" si="3"/>
        <v>3.593000000000302</v>
      </c>
      <c r="H12" s="33">
        <f t="shared" si="3"/>
        <v>1.5509999999999309</v>
      </c>
      <c r="I12" s="33">
        <f t="shared" si="3"/>
        <v>1.500999999999749</v>
      </c>
      <c r="J12" s="33">
        <f t="shared" si="3"/>
        <v>1.5010000000002037</v>
      </c>
      <c r="K12" s="33">
        <f t="shared" si="3"/>
        <v>3.3669999999997344</v>
      </c>
      <c r="L12" s="33">
        <f t="shared" si="3"/>
        <v>1.3770000000004075</v>
      </c>
      <c r="M12" s="33">
        <f t="shared" si="3"/>
        <v>1.8369999999999891</v>
      </c>
      <c r="N12" s="33">
        <f t="shared" si="3"/>
        <v>1.5919999999996435</v>
      </c>
      <c r="O12" s="33">
        <f t="shared" si="3"/>
        <v>2.4630000000001928</v>
      </c>
      <c r="P12" s="33">
        <f t="shared" si="3"/>
        <v>2.9409999999998035</v>
      </c>
      <c r="Q12" s="33">
        <f t="shared" si="3"/>
        <v>1.7240000000001601</v>
      </c>
      <c r="R12" s="33">
        <f t="shared" si="3"/>
        <v>1.6320000000000618</v>
      </c>
      <c r="S12" s="33">
        <f t="shared" si="3"/>
        <v>1.806999999999789</v>
      </c>
      <c r="T12" s="33">
        <f t="shared" si="3"/>
        <v>2.3520000000003165</v>
      </c>
      <c r="U12" s="33">
        <f t="shared" si="3"/>
        <v>1.5419999999999163</v>
      </c>
      <c r="V12" s="33">
        <f t="shared" si="3"/>
        <v>3.0430000000001201</v>
      </c>
      <c r="W12" s="33">
        <f t="shared" si="3"/>
        <v>1.4890000000000327</v>
      </c>
      <c r="X12" s="33">
        <f t="shared" si="3"/>
        <v>2.656999999999698</v>
      </c>
      <c r="Y12" s="33">
        <f t="shared" si="3"/>
        <v>1.8200000000001637</v>
      </c>
      <c r="Z12" s="33">
        <f t="shared" si="3"/>
        <v>2.0279999999997926</v>
      </c>
      <c r="AA12" s="33">
        <f t="shared" si="3"/>
        <v>6.2660000000000764</v>
      </c>
      <c r="AB12" s="33">
        <f t="shared" si="3"/>
        <v>2.5500000000001819</v>
      </c>
      <c r="AC12" s="33">
        <f t="shared" si="3"/>
        <v>3.7729999999996835</v>
      </c>
      <c r="AD12" s="33">
        <f t="shared" si="3"/>
        <v>1.7400000000002365</v>
      </c>
      <c r="AE12" s="33">
        <f t="shared" si="3"/>
        <v>1.80600000000004</v>
      </c>
      <c r="AF12" s="33">
        <f t="shared" si="3"/>
        <v>3.0709999999999127</v>
      </c>
      <c r="AG12" s="33">
        <f t="shared" si="3"/>
        <v>1.9499999999998181</v>
      </c>
      <c r="AH12" s="33">
        <f t="shared" si="3"/>
        <v>1.6850000000004002</v>
      </c>
      <c r="AI12" s="33">
        <f t="shared" si="3"/>
        <v>1.8359999999997854</v>
      </c>
    </row>
    <row r="13" spans="1:42" s="8" customFormat="1" ht="25.7" customHeight="1" thickBot="1" x14ac:dyDescent="0.3">
      <c r="A13" s="98">
        <v>6</v>
      </c>
      <c r="B13" s="27">
        <v>65296485</v>
      </c>
      <c r="C13" s="97" t="s">
        <v>73</v>
      </c>
      <c r="D13" s="31">
        <v>2662.4859999999999</v>
      </c>
      <c r="E13" s="31">
        <v>2666.7840000000001</v>
      </c>
      <c r="F13" s="31">
        <v>2669.7040000000002</v>
      </c>
      <c r="G13" s="31">
        <v>2670.9380000000001</v>
      </c>
      <c r="H13" s="31">
        <v>2676.9479999999999</v>
      </c>
      <c r="I13" s="31">
        <v>2677.43</v>
      </c>
      <c r="J13" s="31">
        <v>2680.799</v>
      </c>
      <c r="K13" s="31">
        <v>2682.5940000000001</v>
      </c>
      <c r="L13" s="31">
        <v>2684.5650000000001</v>
      </c>
      <c r="M13" s="31">
        <v>2686.0770000000002</v>
      </c>
      <c r="N13" s="31">
        <v>2687.8150000000001</v>
      </c>
      <c r="O13" s="31">
        <v>2691.8009999999999</v>
      </c>
      <c r="P13" s="31">
        <v>2693.87</v>
      </c>
      <c r="Q13" s="31">
        <v>2697.11</v>
      </c>
      <c r="R13" s="31">
        <v>2699.3359999999998</v>
      </c>
      <c r="S13" s="31">
        <v>2702.0059999999999</v>
      </c>
      <c r="T13" s="31">
        <v>2703.9960000000001</v>
      </c>
      <c r="U13" s="31">
        <v>2706.3339999999998</v>
      </c>
      <c r="V13" s="31">
        <v>2707.433</v>
      </c>
      <c r="W13" s="31">
        <v>2710.4</v>
      </c>
      <c r="X13" s="31">
        <v>2713.4740000000002</v>
      </c>
      <c r="Y13" s="31">
        <v>2714.5070000000001</v>
      </c>
      <c r="Z13" s="31">
        <v>2715.7649999999999</v>
      </c>
      <c r="AA13" s="31">
        <v>2717.3710000000001</v>
      </c>
      <c r="AB13" s="31">
        <v>2718.8110000000001</v>
      </c>
      <c r="AC13" s="31">
        <v>2724.098</v>
      </c>
      <c r="AD13" s="31">
        <v>2725.5790000000002</v>
      </c>
      <c r="AE13" s="31">
        <v>2727.0650000000001</v>
      </c>
      <c r="AF13" s="31">
        <v>2729.2020000000002</v>
      </c>
      <c r="AG13" s="31">
        <v>2731.07</v>
      </c>
      <c r="AH13" s="31">
        <v>2732.6990000000001</v>
      </c>
      <c r="AI13" s="31">
        <v>2734.482</v>
      </c>
    </row>
    <row r="14" spans="1:42" s="8" customFormat="1" ht="25.7" customHeight="1" thickBot="1" x14ac:dyDescent="0.3">
      <c r="A14" s="99"/>
      <c r="B14" s="48"/>
      <c r="C14" s="97"/>
      <c r="D14" s="33"/>
      <c r="E14" s="33">
        <f>E13-D13</f>
        <v>4.2980000000002292</v>
      </c>
      <c r="F14" s="33">
        <f t="shared" ref="F14:AI14" si="4">F13-E13</f>
        <v>2.9200000000000728</v>
      </c>
      <c r="G14" s="33">
        <f t="shared" si="4"/>
        <v>1.2339999999999236</v>
      </c>
      <c r="H14" s="33">
        <f t="shared" si="4"/>
        <v>6.0099999999997635</v>
      </c>
      <c r="I14" s="33">
        <f t="shared" si="4"/>
        <v>0.4819999999999709</v>
      </c>
      <c r="J14" s="33">
        <f t="shared" si="4"/>
        <v>3.3690000000001419</v>
      </c>
      <c r="K14" s="33">
        <f t="shared" si="4"/>
        <v>1.7950000000000728</v>
      </c>
      <c r="L14" s="33">
        <f t="shared" si="4"/>
        <v>1.9710000000000036</v>
      </c>
      <c r="M14" s="33">
        <f t="shared" si="4"/>
        <v>1.512000000000171</v>
      </c>
      <c r="N14" s="33">
        <f t="shared" si="4"/>
        <v>1.737999999999829</v>
      </c>
      <c r="O14" s="33">
        <f t="shared" si="4"/>
        <v>3.9859999999998763</v>
      </c>
      <c r="P14" s="33">
        <f t="shared" si="4"/>
        <v>2.06899999999996</v>
      </c>
      <c r="Q14" s="33">
        <f t="shared" si="4"/>
        <v>3.2400000000002365</v>
      </c>
      <c r="R14" s="33">
        <f t="shared" si="4"/>
        <v>2.225999999999658</v>
      </c>
      <c r="S14" s="33">
        <f t="shared" si="4"/>
        <v>2.6700000000000728</v>
      </c>
      <c r="T14" s="33">
        <f t="shared" si="4"/>
        <v>1.9900000000002365</v>
      </c>
      <c r="U14" s="33">
        <f t="shared" si="4"/>
        <v>2.3379999999997381</v>
      </c>
      <c r="V14" s="33">
        <f t="shared" si="4"/>
        <v>1.0990000000001601</v>
      </c>
      <c r="W14" s="33">
        <f t="shared" si="4"/>
        <v>2.9670000000000982</v>
      </c>
      <c r="X14" s="33">
        <f t="shared" si="4"/>
        <v>3.0740000000000691</v>
      </c>
      <c r="Y14" s="33">
        <f t="shared" si="4"/>
        <v>1.0329999999999018</v>
      </c>
      <c r="Z14" s="33">
        <f t="shared" si="4"/>
        <v>1.2579999999998108</v>
      </c>
      <c r="AA14" s="33">
        <f t="shared" si="4"/>
        <v>1.6060000000002219</v>
      </c>
      <c r="AB14" s="33">
        <f t="shared" si="4"/>
        <v>1.4400000000000546</v>
      </c>
      <c r="AC14" s="33">
        <f t="shared" si="4"/>
        <v>5.2869999999998072</v>
      </c>
      <c r="AD14" s="33">
        <f t="shared" si="4"/>
        <v>1.4810000000002219</v>
      </c>
      <c r="AE14" s="33">
        <f t="shared" si="4"/>
        <v>1.4859999999998763</v>
      </c>
      <c r="AF14" s="33">
        <f t="shared" si="4"/>
        <v>2.137000000000171</v>
      </c>
      <c r="AG14" s="33">
        <f t="shared" si="4"/>
        <v>1.8679999999999382</v>
      </c>
      <c r="AH14" s="33">
        <f t="shared" si="4"/>
        <v>1.6289999999999054</v>
      </c>
      <c r="AI14" s="33">
        <f t="shared" si="4"/>
        <v>1.7829999999999018</v>
      </c>
      <c r="AJ14" s="2"/>
      <c r="AK14" s="2"/>
      <c r="AL14" s="2"/>
      <c r="AM14" s="2"/>
      <c r="AN14" s="2"/>
      <c r="AO14" s="2"/>
      <c r="AP14" s="2"/>
    </row>
    <row r="15" spans="1:42" ht="33" customHeight="1" x14ac:dyDescent="0.25">
      <c r="B15" s="91" t="s">
        <v>71</v>
      </c>
      <c r="C15" s="91"/>
      <c r="D15" s="50"/>
      <c r="E15" s="60">
        <f>E6+((E8*45%)+(E10*45%)+(E12+E14))</f>
        <v>382.95100000000014</v>
      </c>
      <c r="F15" s="60">
        <f t="shared" ref="F15:AI15" si="5">F6+((F8*45%)+(F10*45%)+(F12+F14))</f>
        <v>397.58599999999467</v>
      </c>
      <c r="G15" s="60">
        <f t="shared" si="5"/>
        <v>291.7270000000002</v>
      </c>
      <c r="H15" s="60">
        <f t="shared" si="5"/>
        <v>380.64599999999444</v>
      </c>
      <c r="I15" s="60">
        <f t="shared" si="5"/>
        <v>387.83299999999974</v>
      </c>
      <c r="J15" s="60">
        <f t="shared" si="5"/>
        <v>371.26500000001607</v>
      </c>
      <c r="K15" s="60">
        <f t="shared" si="5"/>
        <v>360.41699999998411</v>
      </c>
      <c r="L15" s="60">
        <f t="shared" si="5"/>
        <v>356.94300000001613</v>
      </c>
      <c r="M15" s="60">
        <f t="shared" si="5"/>
        <v>356.85399999998447</v>
      </c>
      <c r="N15" s="60">
        <f t="shared" si="5"/>
        <v>284.84500000000469</v>
      </c>
      <c r="O15" s="60">
        <f t="shared" si="5"/>
        <v>346.30400000001055</v>
      </c>
      <c r="P15" s="60">
        <f t="shared" si="5"/>
        <v>397.9549999999893</v>
      </c>
      <c r="Q15" s="60">
        <f t="shared" si="5"/>
        <v>364.91400000000039</v>
      </c>
      <c r="R15" s="60">
        <f t="shared" si="5"/>
        <v>368.27799999998922</v>
      </c>
      <c r="S15" s="60">
        <f t="shared" si="5"/>
        <v>357.60700000001032</v>
      </c>
      <c r="T15" s="60">
        <f t="shared" si="5"/>
        <v>351.08200000000579</v>
      </c>
      <c r="U15" s="60">
        <f t="shared" si="5"/>
        <v>262.91499999999439</v>
      </c>
      <c r="V15" s="60">
        <f t="shared" si="5"/>
        <v>388.50199999999506</v>
      </c>
      <c r="W15" s="60">
        <f t="shared" si="5"/>
        <v>358.79600000000539</v>
      </c>
      <c r="X15" s="60">
        <f t="shared" si="5"/>
        <v>380.09600000000501</v>
      </c>
      <c r="Y15" s="60">
        <f t="shared" si="5"/>
        <v>350.7629999999948</v>
      </c>
      <c r="Z15" s="60">
        <f t="shared" si="5"/>
        <v>361.9559999999891</v>
      </c>
      <c r="AA15" s="60">
        <f t="shared" si="5"/>
        <v>362.25200000001075</v>
      </c>
      <c r="AB15" s="60">
        <f t="shared" si="5"/>
        <v>247.36500000000024</v>
      </c>
      <c r="AC15" s="60">
        <f t="shared" si="5"/>
        <v>365.70999999999947</v>
      </c>
      <c r="AD15" s="60">
        <f t="shared" si="5"/>
        <v>346.12100000000044</v>
      </c>
      <c r="AE15" s="60">
        <f t="shared" si="5"/>
        <v>323.44199999999989</v>
      </c>
      <c r="AF15" s="60">
        <f t="shared" si="5"/>
        <v>335.10800000000006</v>
      </c>
      <c r="AG15" s="60">
        <f t="shared" si="5"/>
        <v>359.8129999999893</v>
      </c>
      <c r="AH15" s="60">
        <f t="shared" si="5"/>
        <v>345.68900000000031</v>
      </c>
      <c r="AI15" s="60">
        <f t="shared" si="5"/>
        <v>299.68400000000491</v>
      </c>
    </row>
    <row r="16" spans="1:42" ht="33" customHeight="1" x14ac:dyDescent="0.25">
      <c r="B16" s="90" t="s">
        <v>72</v>
      </c>
      <c r="C16" s="90"/>
      <c r="D16" s="50"/>
      <c r="E16" s="60">
        <f>SUM(E15:AI15)</f>
        <v>10845.418999999989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17" spans="2:5" ht="70.5" customHeight="1" x14ac:dyDescent="0.25">
      <c r="B17" s="8" t="s">
        <v>89</v>
      </c>
      <c r="E17" s="8">
        <v>12517.73</v>
      </c>
    </row>
    <row r="21" spans="2:5" s="2" customFormat="1" ht="70.5" customHeight="1" x14ac:dyDescent="0.25"/>
    <row r="22" spans="2:5" s="2" customFormat="1" ht="70.5" customHeight="1" x14ac:dyDescent="0.25"/>
    <row r="23" spans="2:5" s="2" customFormat="1" ht="70.5" customHeight="1" x14ac:dyDescent="0.25"/>
    <row r="24" spans="2:5" s="2" customFormat="1" ht="70.5" customHeight="1" x14ac:dyDescent="0.25"/>
    <row r="25" spans="2:5" s="2" customFormat="1" ht="70.5" customHeight="1" x14ac:dyDescent="0.25"/>
    <row r="26" spans="2:5" s="2" customFormat="1" ht="70.5" customHeight="1" x14ac:dyDescent="0.25"/>
    <row r="27" spans="2:5" s="2" customFormat="1" ht="70.5" customHeight="1" x14ac:dyDescent="0.25"/>
    <row r="28" spans="2:5" s="2" customFormat="1" ht="70.5" customHeight="1" x14ac:dyDescent="0.25"/>
    <row r="29" spans="2:5" s="2" customFormat="1" ht="70.5" customHeight="1" x14ac:dyDescent="0.25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30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 codeName="Sheet3">
    <pageSetUpPr fitToPage="1"/>
  </sheetPr>
  <dimension ref="A1:G38"/>
  <sheetViews>
    <sheetView tabSelected="1" zoomScaleNormal="100" workbookViewId="0">
      <pane ySplit="3" topLeftCell="A26" activePane="bottomLeft" state="frozen"/>
      <selection pane="bottomLeft" activeCell="C38" sqref="C38"/>
    </sheetView>
  </sheetViews>
  <sheetFormatPr defaultRowHeight="15" x14ac:dyDescent="0.25"/>
  <cols>
    <col min="1" max="1" width="9.7109375" customWidth="1"/>
    <col min="2" max="2" width="10.7109375" customWidth="1"/>
    <col min="3" max="3" width="12.28515625" bestFit="1" customWidth="1"/>
  </cols>
  <sheetData>
    <row r="1" spans="1:7" ht="50.25" customHeight="1" x14ac:dyDescent="0.25">
      <c r="A1" s="100" t="s">
        <v>86</v>
      </c>
      <c r="B1" s="100"/>
      <c r="C1" s="100"/>
    </row>
    <row r="3" spans="1:7" ht="48" x14ac:dyDescent="0.25">
      <c r="A3" s="51" t="s">
        <v>19</v>
      </c>
      <c r="B3" s="68">
        <v>67604</v>
      </c>
      <c r="C3" s="53"/>
    </row>
    <row r="4" spans="1:7" ht="28.5" customHeight="1" x14ac:dyDescent="0.25">
      <c r="A4" s="54">
        <v>1</v>
      </c>
      <c r="B4" s="52"/>
      <c r="C4" s="53">
        <f>B3/31</f>
        <v>2180.7741935483873</v>
      </c>
    </row>
    <row r="5" spans="1:7" ht="28.5" customHeight="1" x14ac:dyDescent="0.25">
      <c r="A5" s="54">
        <v>2</v>
      </c>
      <c r="B5" s="52"/>
      <c r="C5" s="53">
        <v>2180.7741935483873</v>
      </c>
    </row>
    <row r="6" spans="1:7" ht="28.5" customHeight="1" x14ac:dyDescent="0.25">
      <c r="A6" s="55">
        <v>3</v>
      </c>
      <c r="B6" s="52"/>
      <c r="C6" s="53">
        <v>2180.7741935483873</v>
      </c>
    </row>
    <row r="7" spans="1:7" ht="28.5" customHeight="1" x14ac:dyDescent="0.25">
      <c r="A7" s="54">
        <v>4</v>
      </c>
      <c r="B7" s="52"/>
      <c r="C7" s="53">
        <v>2180.7741935483873</v>
      </c>
    </row>
    <row r="8" spans="1:7" ht="28.5" customHeight="1" x14ac:dyDescent="0.25">
      <c r="A8" s="54">
        <v>5</v>
      </c>
      <c r="B8" s="52"/>
      <c r="C8" s="53">
        <v>2180.7741935483873</v>
      </c>
    </row>
    <row r="9" spans="1:7" ht="28.5" customHeight="1" x14ac:dyDescent="0.25">
      <c r="A9" s="54">
        <v>6</v>
      </c>
      <c r="B9" s="52"/>
      <c r="C9" s="53">
        <v>2180.7741935483873</v>
      </c>
      <c r="G9" t="s">
        <v>75</v>
      </c>
    </row>
    <row r="10" spans="1:7" ht="28.5" customHeight="1" x14ac:dyDescent="0.25">
      <c r="A10" s="54">
        <v>7</v>
      </c>
      <c r="B10" s="52"/>
      <c r="C10" s="53">
        <v>2180.7741935483873</v>
      </c>
    </row>
    <row r="11" spans="1:7" ht="28.5" customHeight="1" x14ac:dyDescent="0.25">
      <c r="A11" s="54">
        <v>8</v>
      </c>
      <c r="B11" s="52"/>
      <c r="C11" s="53">
        <v>2180.7741935483873</v>
      </c>
    </row>
    <row r="12" spans="1:7" ht="28.5" customHeight="1" x14ac:dyDescent="0.25">
      <c r="A12" s="54">
        <v>9</v>
      </c>
      <c r="B12" s="52"/>
      <c r="C12" s="53">
        <v>2180.7741935483873</v>
      </c>
    </row>
    <row r="13" spans="1:7" ht="28.5" customHeight="1" x14ac:dyDescent="0.25">
      <c r="A13" s="54">
        <v>10</v>
      </c>
      <c r="B13" s="52"/>
      <c r="C13" s="53">
        <v>2180.7741935483873</v>
      </c>
    </row>
    <row r="14" spans="1:7" ht="28.5" customHeight="1" x14ac:dyDescent="0.25">
      <c r="A14" s="54">
        <v>11</v>
      </c>
      <c r="B14" s="52"/>
      <c r="C14" s="53">
        <v>2180.7741935483873</v>
      </c>
    </row>
    <row r="15" spans="1:7" ht="28.5" customHeight="1" x14ac:dyDescent="0.25">
      <c r="A15" s="54">
        <v>12</v>
      </c>
      <c r="B15" s="52"/>
      <c r="C15" s="53">
        <v>2180.7741935483873</v>
      </c>
    </row>
    <row r="16" spans="1:7" ht="28.5" customHeight="1" x14ac:dyDescent="0.25">
      <c r="A16" s="54">
        <v>13</v>
      </c>
      <c r="B16" s="52"/>
      <c r="C16" s="53">
        <v>2180.7741935483873</v>
      </c>
    </row>
    <row r="17" spans="1:4" ht="28.5" customHeight="1" x14ac:dyDescent="0.25">
      <c r="A17" s="54">
        <v>14</v>
      </c>
      <c r="B17" s="52"/>
      <c r="C17" s="53">
        <v>2180.7741935483873</v>
      </c>
    </row>
    <row r="18" spans="1:4" ht="28.5" customHeight="1" x14ac:dyDescent="0.25">
      <c r="A18" s="54">
        <v>15</v>
      </c>
      <c r="B18" s="52"/>
      <c r="C18" s="53">
        <v>2180.7741935483873</v>
      </c>
    </row>
    <row r="19" spans="1:4" ht="28.5" customHeight="1" x14ac:dyDescent="0.25">
      <c r="A19" s="54">
        <v>16</v>
      </c>
      <c r="B19" s="52"/>
      <c r="C19" s="53">
        <v>2180.7741935483873</v>
      </c>
    </row>
    <row r="20" spans="1:4" ht="28.5" customHeight="1" x14ac:dyDescent="0.25">
      <c r="A20" s="54">
        <v>17</v>
      </c>
      <c r="B20" s="52"/>
      <c r="C20" s="53">
        <v>2180.7741935483873</v>
      </c>
    </row>
    <row r="21" spans="1:4" ht="28.5" customHeight="1" x14ac:dyDescent="0.25">
      <c r="A21" s="54">
        <v>18</v>
      </c>
      <c r="B21" s="52"/>
      <c r="C21" s="53">
        <v>2180.7741935483873</v>
      </c>
    </row>
    <row r="22" spans="1:4" ht="28.5" customHeight="1" x14ac:dyDescent="0.25">
      <c r="A22" s="54">
        <v>19</v>
      </c>
      <c r="B22" s="52"/>
      <c r="C22" s="53">
        <v>2180.7741935483873</v>
      </c>
    </row>
    <row r="23" spans="1:4" ht="28.5" customHeight="1" x14ac:dyDescent="0.25">
      <c r="A23" s="54">
        <v>20</v>
      </c>
      <c r="B23" s="52"/>
      <c r="C23" s="53">
        <v>2180.7741935483873</v>
      </c>
    </row>
    <row r="24" spans="1:4" ht="28.5" customHeight="1" x14ac:dyDescent="0.25">
      <c r="A24" s="54">
        <v>21</v>
      </c>
      <c r="B24" s="52"/>
      <c r="C24" s="53">
        <v>2180.7741935483873</v>
      </c>
    </row>
    <row r="25" spans="1:4" ht="28.5" customHeight="1" x14ac:dyDescent="0.25">
      <c r="A25" s="54">
        <v>22</v>
      </c>
      <c r="B25" s="52"/>
      <c r="C25" s="53">
        <v>2180.7741935483873</v>
      </c>
    </row>
    <row r="26" spans="1:4" ht="28.5" customHeight="1" x14ac:dyDescent="0.25">
      <c r="A26" s="54">
        <v>23</v>
      </c>
      <c r="B26" s="56"/>
      <c r="C26" s="53">
        <v>2180.7741935483873</v>
      </c>
    </row>
    <row r="27" spans="1:4" ht="28.5" customHeight="1" x14ac:dyDescent="0.25">
      <c r="A27" s="54">
        <v>24</v>
      </c>
      <c r="B27" s="52"/>
      <c r="C27" s="53">
        <v>2180.7741935483873</v>
      </c>
    </row>
    <row r="28" spans="1:4" ht="28.5" customHeight="1" x14ac:dyDescent="0.25">
      <c r="A28" s="54">
        <v>25</v>
      </c>
      <c r="B28" s="57"/>
      <c r="C28" s="53">
        <v>2180.7741935483873</v>
      </c>
      <c r="D28" s="58"/>
    </row>
    <row r="29" spans="1:4" ht="28.5" customHeight="1" x14ac:dyDescent="0.25">
      <c r="A29" s="54">
        <v>26</v>
      </c>
      <c r="B29" s="52"/>
      <c r="C29" s="53">
        <v>2180.7741935483873</v>
      </c>
      <c r="D29" s="58"/>
    </row>
    <row r="30" spans="1:4" ht="28.5" customHeight="1" x14ac:dyDescent="0.25">
      <c r="A30" s="54">
        <v>27</v>
      </c>
      <c r="B30" s="52"/>
      <c r="C30" s="53">
        <v>2180.7741935483873</v>
      </c>
    </row>
    <row r="31" spans="1:4" ht="28.5" customHeight="1" x14ac:dyDescent="0.25">
      <c r="A31" s="54">
        <v>28</v>
      </c>
      <c r="B31" s="52"/>
      <c r="C31" s="53">
        <v>2180.7741935483873</v>
      </c>
    </row>
    <row r="32" spans="1:4" ht="28.5" customHeight="1" x14ac:dyDescent="0.25">
      <c r="A32" s="54">
        <v>29</v>
      </c>
      <c r="B32" s="56"/>
      <c r="C32" s="53">
        <v>2180.7741935483873</v>
      </c>
    </row>
    <row r="33" spans="1:3" ht="28.5" customHeight="1" x14ac:dyDescent="0.25">
      <c r="A33" s="54">
        <v>30</v>
      </c>
      <c r="B33" s="52"/>
      <c r="C33" s="53">
        <v>2180.7741935483873</v>
      </c>
    </row>
    <row r="34" spans="1:3" ht="28.5" customHeight="1" x14ac:dyDescent="0.25">
      <c r="A34" s="54">
        <v>31</v>
      </c>
      <c r="B34" s="52"/>
      <c r="C34" s="53">
        <v>2180.7741935483873</v>
      </c>
    </row>
    <row r="35" spans="1:3" x14ac:dyDescent="0.25">
      <c r="A35" s="102" t="s">
        <v>76</v>
      </c>
      <c r="B35" s="102"/>
      <c r="C35" s="59">
        <f>SUM(C4:C34)</f>
        <v>67603.999999999985</v>
      </c>
    </row>
    <row r="37" spans="1:3" x14ac:dyDescent="0.25">
      <c r="A37" s="103" t="s">
        <v>77</v>
      </c>
      <c r="B37" s="103"/>
      <c r="C37" s="67">
        <f>SUM(C35)</f>
        <v>67603.999999999985</v>
      </c>
    </row>
    <row r="38" spans="1:3" ht="47.25" customHeight="1" x14ac:dyDescent="0.25">
      <c r="A38" s="101" t="s">
        <v>89</v>
      </c>
      <c r="B38" s="101"/>
      <c r="C38" s="66">
        <v>67603.899999999994</v>
      </c>
    </row>
  </sheetData>
  <mergeCells count="4">
    <mergeCell ref="A1:C1"/>
    <mergeCell ref="A38:B38"/>
    <mergeCell ref="A35:B35"/>
    <mergeCell ref="A37:B37"/>
  </mergeCells>
  <printOptions horizontalCentered="1"/>
  <pageMargins left="0" right="0" top="0" bottom="0" header="0.3" footer="0.3"/>
  <pageSetup paperSize="9" scale="71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sheetPr codeName="Sheet5"/>
  <dimension ref="A1:C34"/>
  <sheetViews>
    <sheetView topLeftCell="A20" zoomScaleNormal="100" workbookViewId="0">
      <selection activeCell="L32" sqref="L32"/>
    </sheetView>
  </sheetViews>
  <sheetFormatPr defaultRowHeight="15" x14ac:dyDescent="0.25"/>
  <cols>
    <col min="1" max="1" width="12.7109375" customWidth="1"/>
    <col min="2" max="2" width="17.42578125" customWidth="1"/>
    <col min="3" max="3" width="18" customWidth="1"/>
  </cols>
  <sheetData>
    <row r="1" spans="1:3" ht="35.25" customHeight="1" x14ac:dyDescent="0.25">
      <c r="A1" s="104" t="s">
        <v>88</v>
      </c>
      <c r="B1" s="104"/>
      <c r="C1" s="104"/>
    </row>
    <row r="2" spans="1:3" ht="24.95" customHeight="1" x14ac:dyDescent="0.25">
      <c r="A2" s="62" t="s">
        <v>83</v>
      </c>
      <c r="B2" s="62" t="s">
        <v>81</v>
      </c>
      <c r="C2" s="62" t="s">
        <v>82</v>
      </c>
    </row>
    <row r="3" spans="1:3" ht="24.95" customHeight="1" x14ac:dyDescent="0.25">
      <c r="A3" s="63">
        <v>45505</v>
      </c>
      <c r="B3" s="64">
        <v>476</v>
      </c>
      <c r="C3" s="64">
        <v>715</v>
      </c>
    </row>
    <row r="4" spans="1:3" ht="24.95" customHeight="1" x14ac:dyDescent="0.25">
      <c r="A4" s="63">
        <v>45506</v>
      </c>
      <c r="B4" s="64">
        <v>448</v>
      </c>
      <c r="C4" s="64">
        <v>688</v>
      </c>
    </row>
    <row r="5" spans="1:3" ht="24.95" customHeight="1" x14ac:dyDescent="0.25">
      <c r="A5" s="63">
        <v>45507</v>
      </c>
      <c r="B5" s="64">
        <v>459</v>
      </c>
      <c r="C5" s="64">
        <v>759</v>
      </c>
    </row>
    <row r="6" spans="1:3" ht="24.95" customHeight="1" x14ac:dyDescent="0.25">
      <c r="A6" s="63">
        <v>45508</v>
      </c>
      <c r="B6" s="64">
        <v>469</v>
      </c>
      <c r="C6" s="64">
        <v>749</v>
      </c>
    </row>
    <row r="7" spans="1:3" ht="24.95" customHeight="1" x14ac:dyDescent="0.25">
      <c r="A7" s="63">
        <v>45509</v>
      </c>
      <c r="B7" s="64">
        <v>488</v>
      </c>
      <c r="C7" s="64">
        <v>792</v>
      </c>
    </row>
    <row r="8" spans="1:3" ht="24.95" customHeight="1" x14ac:dyDescent="0.25">
      <c r="A8" s="63">
        <v>45510</v>
      </c>
      <c r="B8" s="64">
        <v>484</v>
      </c>
      <c r="C8" s="64">
        <v>753</v>
      </c>
    </row>
    <row r="9" spans="1:3" ht="24.95" customHeight="1" x14ac:dyDescent="0.25">
      <c r="A9" s="63">
        <v>45511</v>
      </c>
      <c r="B9" s="64">
        <v>475</v>
      </c>
      <c r="C9" s="64">
        <v>713</v>
      </c>
    </row>
    <row r="10" spans="1:3" ht="24.95" customHeight="1" x14ac:dyDescent="0.25">
      <c r="A10" s="63">
        <v>45512</v>
      </c>
      <c r="B10" s="64">
        <v>480</v>
      </c>
      <c r="C10" s="64">
        <v>734</v>
      </c>
    </row>
    <row r="11" spans="1:3" ht="24.95" customHeight="1" x14ac:dyDescent="0.25">
      <c r="A11" s="63">
        <v>45513</v>
      </c>
      <c r="B11" s="64">
        <v>451</v>
      </c>
      <c r="C11" s="64">
        <v>741</v>
      </c>
    </row>
    <row r="12" spans="1:3" ht="24.95" customHeight="1" x14ac:dyDescent="0.25">
      <c r="A12" s="63">
        <v>45514</v>
      </c>
      <c r="B12" s="64">
        <v>421</v>
      </c>
      <c r="C12" s="64">
        <v>696</v>
      </c>
    </row>
    <row r="13" spans="1:3" ht="24.95" customHeight="1" x14ac:dyDescent="0.25">
      <c r="A13" s="63">
        <v>45515</v>
      </c>
      <c r="B13" s="64">
        <v>409</v>
      </c>
      <c r="C13" s="64">
        <v>596</v>
      </c>
    </row>
    <row r="14" spans="1:3" ht="24.95" customHeight="1" x14ac:dyDescent="0.25">
      <c r="A14" s="63">
        <v>45516</v>
      </c>
      <c r="B14" s="64">
        <v>477</v>
      </c>
      <c r="C14" s="64">
        <v>691</v>
      </c>
    </row>
    <row r="15" spans="1:3" ht="24.95" customHeight="1" x14ac:dyDescent="0.25">
      <c r="A15" s="63">
        <v>45517</v>
      </c>
      <c r="B15" s="64">
        <v>478</v>
      </c>
      <c r="C15" s="64">
        <v>679</v>
      </c>
    </row>
    <row r="16" spans="1:3" ht="24.95" customHeight="1" x14ac:dyDescent="0.25">
      <c r="A16" s="63">
        <v>45518</v>
      </c>
      <c r="B16" s="64">
        <v>481</v>
      </c>
      <c r="C16" s="64">
        <v>701</v>
      </c>
    </row>
    <row r="17" spans="1:3" ht="24.95" customHeight="1" x14ac:dyDescent="0.25">
      <c r="A17" s="63">
        <v>45519</v>
      </c>
      <c r="B17" s="64">
        <v>460</v>
      </c>
      <c r="C17" s="64">
        <v>680</v>
      </c>
    </row>
    <row r="18" spans="1:3" ht="24.95" customHeight="1" x14ac:dyDescent="0.25">
      <c r="A18" s="63">
        <v>45520</v>
      </c>
      <c r="B18" s="64">
        <v>406</v>
      </c>
      <c r="C18" s="64">
        <v>596</v>
      </c>
    </row>
    <row r="19" spans="1:3" ht="24.95" customHeight="1" x14ac:dyDescent="0.25">
      <c r="A19" s="63">
        <v>45521</v>
      </c>
      <c r="B19" s="64">
        <v>460</v>
      </c>
      <c r="C19" s="64">
        <v>695</v>
      </c>
    </row>
    <row r="20" spans="1:3" ht="24.95" customHeight="1" x14ac:dyDescent="0.25">
      <c r="A20" s="63">
        <v>45522</v>
      </c>
      <c r="B20" s="64">
        <v>433</v>
      </c>
      <c r="C20" s="64">
        <v>633</v>
      </c>
    </row>
    <row r="21" spans="1:3" ht="24.95" customHeight="1" x14ac:dyDescent="0.25">
      <c r="A21" s="63">
        <v>45523</v>
      </c>
      <c r="B21" s="64">
        <v>470</v>
      </c>
      <c r="C21" s="64">
        <v>668</v>
      </c>
    </row>
    <row r="22" spans="1:3" ht="24.95" customHeight="1" x14ac:dyDescent="0.25">
      <c r="A22" s="63">
        <v>45524</v>
      </c>
      <c r="B22" s="64">
        <v>456</v>
      </c>
      <c r="C22" s="64">
        <v>641</v>
      </c>
    </row>
    <row r="23" spans="1:3" ht="24.95" customHeight="1" x14ac:dyDescent="0.25">
      <c r="A23" s="63">
        <v>45525</v>
      </c>
      <c r="B23" s="64">
        <v>452</v>
      </c>
      <c r="C23" s="64">
        <v>596</v>
      </c>
    </row>
    <row r="24" spans="1:3" ht="24.95" customHeight="1" x14ac:dyDescent="0.25">
      <c r="A24" s="63">
        <v>45526</v>
      </c>
      <c r="B24" s="64">
        <v>447</v>
      </c>
      <c r="C24" s="64">
        <v>614</v>
      </c>
    </row>
    <row r="25" spans="1:3" ht="24.95" customHeight="1" x14ac:dyDescent="0.25">
      <c r="A25" s="63">
        <v>45527</v>
      </c>
      <c r="B25" s="64">
        <v>444</v>
      </c>
      <c r="C25" s="64">
        <v>606</v>
      </c>
    </row>
    <row r="26" spans="1:3" ht="24.95" customHeight="1" x14ac:dyDescent="0.25">
      <c r="A26" s="63">
        <v>45528</v>
      </c>
      <c r="B26" s="64">
        <v>405</v>
      </c>
      <c r="C26" s="64">
        <v>572</v>
      </c>
    </row>
    <row r="27" spans="1:3" ht="24.95" customHeight="1" x14ac:dyDescent="0.25">
      <c r="A27" s="63">
        <v>45529</v>
      </c>
      <c r="B27" s="64">
        <v>381</v>
      </c>
      <c r="C27" s="64">
        <v>519</v>
      </c>
    </row>
    <row r="28" spans="1:3" ht="24.95" customHeight="1" x14ac:dyDescent="0.25">
      <c r="A28" s="63">
        <v>45530</v>
      </c>
      <c r="B28" s="64">
        <v>366</v>
      </c>
      <c r="C28" s="64">
        <v>479</v>
      </c>
    </row>
    <row r="29" spans="1:3" ht="24.95" customHeight="1" x14ac:dyDescent="0.25">
      <c r="A29" s="63">
        <v>45531</v>
      </c>
      <c r="B29" s="64">
        <v>385</v>
      </c>
      <c r="C29" s="64">
        <v>518</v>
      </c>
    </row>
    <row r="30" spans="1:3" ht="24.95" customHeight="1" x14ac:dyDescent="0.25">
      <c r="A30" s="63">
        <v>45532</v>
      </c>
      <c r="B30" s="64">
        <v>481</v>
      </c>
      <c r="C30" s="64">
        <v>661</v>
      </c>
    </row>
    <row r="31" spans="1:3" ht="24.95" customHeight="1" x14ac:dyDescent="0.25">
      <c r="A31" s="63">
        <v>45533</v>
      </c>
      <c r="B31" s="64">
        <v>442</v>
      </c>
      <c r="C31" s="64">
        <v>616</v>
      </c>
    </row>
    <row r="32" spans="1:3" ht="24.95" customHeight="1" x14ac:dyDescent="0.25">
      <c r="A32" s="63">
        <v>45534</v>
      </c>
      <c r="B32" s="64">
        <v>420</v>
      </c>
      <c r="C32" s="64">
        <v>600</v>
      </c>
    </row>
    <row r="33" spans="1:3" ht="24.95" customHeight="1" x14ac:dyDescent="0.25">
      <c r="A33" s="63">
        <v>45535</v>
      </c>
      <c r="B33" s="64">
        <v>411</v>
      </c>
      <c r="C33" s="64">
        <v>583</v>
      </c>
    </row>
    <row r="34" spans="1:3" ht="30.75" customHeight="1" x14ac:dyDescent="0.25">
      <c r="A34" s="62" t="s">
        <v>84</v>
      </c>
      <c r="B34" s="65">
        <f>SUM(B3:B33)</f>
        <v>13815</v>
      </c>
      <c r="C34" s="65">
        <f>SUM(C3:C33)</f>
        <v>20284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Water</vt:lpstr>
      <vt:lpstr>LPG</vt:lpstr>
      <vt:lpstr>Occupied &amp; No. of Guest</vt:lpstr>
      <vt:lpstr>LPG!Print_Area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Chitian</dc:creator>
  <cp:lastModifiedBy>Lesley Ann Almazan</cp:lastModifiedBy>
  <dcterms:created xsi:type="dcterms:W3CDTF">2019-05-13T11:08:30Z</dcterms:created>
  <dcterms:modified xsi:type="dcterms:W3CDTF">2025-06-23T06:15:13Z</dcterms:modified>
</cp:coreProperties>
</file>