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D07B7A22-9666-40F4-91D5-65DD8D828EDA}" xr6:coauthVersionLast="47" xr6:coauthVersionMax="47" xr10:uidLastSave="{00000000-0000-0000-0000-000000000000}"/>
  <bookViews>
    <workbookView showVerticalScroll="0" xWindow="-108" yWindow="-108" windowWidth="23256" windowHeight="12456" xr2:uid="{00000000-000D-0000-FFFF-FFFF00000000}"/>
  </bookViews>
  <sheets>
    <sheet name="Total" sheetId="38" r:id="rId1"/>
    <sheet name="Mar-25" sheetId="3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8" l="1"/>
  <c r="J4" i="38"/>
  <c r="J5" i="38"/>
  <c r="J6" i="38"/>
  <c r="J7" i="38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31" i="38"/>
  <c r="J32" i="38"/>
  <c r="J2" i="38"/>
  <c r="I3" i="38"/>
  <c r="I4" i="38"/>
  <c r="I5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2" i="38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2" i="38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2" i="38"/>
  <c r="Q45" i="39"/>
  <c r="J45" i="39"/>
  <c r="B45" i="39"/>
  <c r="Q44" i="39"/>
  <c r="J44" i="39"/>
  <c r="B44" i="39"/>
  <c r="Q42" i="39"/>
  <c r="J42" i="39"/>
  <c r="B42" i="39"/>
  <c r="P38" i="39"/>
  <c r="I38" i="39"/>
  <c r="I39" i="39" s="1"/>
  <c r="T36" i="39"/>
  <c r="Q36" i="39"/>
  <c r="P36" i="39"/>
  <c r="M36" i="39"/>
  <c r="I36" i="39"/>
  <c r="J36" i="39" s="1"/>
  <c r="G36" i="39"/>
  <c r="D36" i="39"/>
  <c r="C36" i="39"/>
  <c r="Q35" i="39"/>
  <c r="J35" i="39"/>
  <c r="D35" i="39"/>
  <c r="Q34" i="39"/>
  <c r="J34" i="39"/>
  <c r="D34" i="39"/>
  <c r="Q33" i="39"/>
  <c r="J33" i="39"/>
  <c r="D33" i="39"/>
  <c r="Q32" i="39"/>
  <c r="J32" i="39"/>
  <c r="D32" i="39"/>
  <c r="Q31" i="39"/>
  <c r="J31" i="39"/>
  <c r="D31" i="39"/>
  <c r="Q30" i="39"/>
  <c r="J30" i="39"/>
  <c r="D30" i="39"/>
  <c r="Q29" i="39"/>
  <c r="J29" i="39"/>
  <c r="D29" i="39"/>
  <c r="Q28" i="39"/>
  <c r="J28" i="39"/>
  <c r="D28" i="39"/>
  <c r="Q27" i="39"/>
  <c r="J27" i="39"/>
  <c r="D27" i="39"/>
  <c r="Q26" i="39"/>
  <c r="J26" i="39"/>
  <c r="D26" i="39"/>
  <c r="Q25" i="39"/>
  <c r="J25" i="39"/>
  <c r="D25" i="39"/>
  <c r="Q24" i="39"/>
  <c r="J24" i="39"/>
  <c r="D24" i="39"/>
  <c r="Q23" i="39"/>
  <c r="J23" i="39"/>
  <c r="D23" i="39"/>
  <c r="Q22" i="39"/>
  <c r="J22" i="39"/>
  <c r="D22" i="39"/>
  <c r="Q21" i="39"/>
  <c r="J21" i="39"/>
  <c r="D21" i="39"/>
  <c r="Q20" i="39"/>
  <c r="J20" i="39"/>
  <c r="D20" i="39"/>
  <c r="Q19" i="39"/>
  <c r="J19" i="39"/>
  <c r="D19" i="39"/>
  <c r="Q18" i="39"/>
  <c r="J18" i="39"/>
  <c r="D18" i="39"/>
  <c r="Q17" i="39"/>
  <c r="J17" i="39"/>
  <c r="D17" i="39"/>
  <c r="Q16" i="39"/>
  <c r="J16" i="39"/>
  <c r="D16" i="39"/>
  <c r="Q15" i="39"/>
  <c r="J15" i="39"/>
  <c r="D15" i="39"/>
  <c r="Q14" i="39"/>
  <c r="S14" i="39" s="1"/>
  <c r="J14" i="39"/>
  <c r="K14" i="39" s="1"/>
  <c r="F14" i="39"/>
  <c r="E14" i="39"/>
  <c r="D14" i="39"/>
  <c r="Q13" i="39"/>
  <c r="S13" i="39" s="1"/>
  <c r="J13" i="39"/>
  <c r="K13" i="39" s="1"/>
  <c r="D13" i="39"/>
  <c r="F13" i="39" s="1"/>
  <c r="S12" i="39"/>
  <c r="R12" i="39"/>
  <c r="Q12" i="39"/>
  <c r="J12" i="39"/>
  <c r="L12" i="39" s="1"/>
  <c r="D12" i="39"/>
  <c r="E12" i="39" s="1"/>
  <c r="Q11" i="39"/>
  <c r="R11" i="39" s="1"/>
  <c r="L11" i="39"/>
  <c r="K11" i="39"/>
  <c r="J11" i="39"/>
  <c r="D11" i="39"/>
  <c r="F11" i="39" s="1"/>
  <c r="Q10" i="39"/>
  <c r="S10" i="39" s="1"/>
  <c r="J10" i="39"/>
  <c r="K10" i="39" s="1"/>
  <c r="F10" i="39"/>
  <c r="E10" i="39"/>
  <c r="D10" i="39"/>
  <c r="Q9" i="39"/>
  <c r="S9" i="39" s="1"/>
  <c r="J9" i="39"/>
  <c r="K9" i="39" s="1"/>
  <c r="D9" i="39"/>
  <c r="F9" i="39" s="1"/>
  <c r="S8" i="39"/>
  <c r="R8" i="39"/>
  <c r="Q8" i="39"/>
  <c r="J8" i="39"/>
  <c r="L8" i="39" s="1"/>
  <c r="D8" i="39"/>
  <c r="F8" i="39" s="1"/>
  <c r="Q7" i="39"/>
  <c r="R7" i="39" s="1"/>
  <c r="L7" i="39"/>
  <c r="K7" i="39"/>
  <c r="J7" i="39"/>
  <c r="D7" i="39"/>
  <c r="F7" i="39" s="1"/>
  <c r="Q6" i="39"/>
  <c r="S6" i="39" s="1"/>
  <c r="J6" i="39"/>
  <c r="L6" i="39" s="1"/>
  <c r="F6" i="39"/>
  <c r="E6" i="39"/>
  <c r="D6" i="39"/>
  <c r="Q5" i="39"/>
  <c r="S5" i="39" s="1"/>
  <c r="J5" i="39"/>
  <c r="J38" i="39" s="1"/>
  <c r="D5" i="39"/>
  <c r="D38" i="39" s="1"/>
  <c r="K6" i="39" l="1"/>
  <c r="E13" i="39"/>
  <c r="K5" i="39"/>
  <c r="E8" i="39"/>
  <c r="R10" i="39"/>
  <c r="L5" i="39"/>
  <c r="L9" i="39"/>
  <c r="F12" i="39"/>
  <c r="L13" i="39"/>
  <c r="R5" i="39"/>
  <c r="R37" i="39" s="1"/>
  <c r="M48" i="39" s="1"/>
  <c r="E7" i="39"/>
  <c r="K8" i="39"/>
  <c r="R9" i="39"/>
  <c r="E11" i="39"/>
  <c r="K12" i="39"/>
  <c r="R13" i="39"/>
  <c r="E5" i="39"/>
  <c r="E9" i="39"/>
  <c r="F5" i="39"/>
  <c r="F37" i="39" s="1"/>
  <c r="L46" i="39" s="1"/>
  <c r="S7" i="39"/>
  <c r="S37" i="39" s="1"/>
  <c r="L48" i="39" s="1"/>
  <c r="L10" i="39"/>
  <c r="S11" i="39"/>
  <c r="L14" i="39"/>
  <c r="R6" i="39"/>
  <c r="R14" i="39"/>
  <c r="Q38" i="39"/>
  <c r="E37" i="39" l="1"/>
  <c r="M46" i="39" s="1"/>
  <c r="L37" i="39"/>
  <c r="L47" i="39" s="1"/>
  <c r="L49" i="39" s="1"/>
  <c r="K37" i="39"/>
  <c r="M47" i="39" s="1"/>
  <c r="M49" i="39" l="1"/>
  <c r="B3" i="38" l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</calcChain>
</file>

<file path=xl/sharedStrings.xml><?xml version="1.0" encoding="utf-8"?>
<sst xmlns="http://schemas.openxmlformats.org/spreadsheetml/2006/main" count="100" uniqueCount="52">
  <si>
    <t>Budget</t>
  </si>
  <si>
    <t>Date</t>
  </si>
  <si>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</si>
  <si>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</si>
  <si>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</si>
  <si>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</si>
  <si>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</si>
  <si>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</si>
  <si>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</si>
  <si>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</si>
  <si>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Water Utility Supply (m3) m3</t>
  </si>
  <si>
    <t>Water Utility Supply (m3) $/m3</t>
  </si>
  <si>
    <t>MARCH 2025 HOTEL UTILITIES MONTHLY SAVINGS</t>
  </si>
  <si>
    <t xml:space="preserve">                                                       ELECTRICITY </t>
  </si>
  <si>
    <t xml:space="preserve">WATER </t>
  </si>
  <si>
    <t>LPG</t>
  </si>
  <si>
    <t>Daily forecast budget DHS</t>
  </si>
  <si>
    <t>Daily reading Kwh</t>
  </si>
  <si>
    <t>Daily consumption  DHS</t>
  </si>
  <si>
    <t xml:space="preserve">Daily Variance DHS Forecast </t>
  </si>
  <si>
    <t>Daily variance DHS Budget</t>
  </si>
  <si>
    <t>2024                                    Daily reading Kwh</t>
  </si>
  <si>
    <t>Daily reading gallon</t>
  </si>
  <si>
    <t>Daily Variance DHS Forecast</t>
  </si>
  <si>
    <t>2024                Daily reading gallon</t>
  </si>
  <si>
    <t>Daily forecast budget Litter</t>
  </si>
  <si>
    <t>Daily reading Litter</t>
  </si>
  <si>
    <t>2024                     Daily reading Litter</t>
  </si>
  <si>
    <t xml:space="preserve"> </t>
  </si>
  <si>
    <t>Electricity saved in dhs</t>
  </si>
  <si>
    <t>Water saved in dhs</t>
  </si>
  <si>
    <t>LPG saved in dhs</t>
  </si>
  <si>
    <t>Occu</t>
  </si>
  <si>
    <t>Budget/</t>
  </si>
  <si>
    <t>Acutal/</t>
  </si>
  <si>
    <t>M3*220</t>
  </si>
  <si>
    <t>Electricity</t>
  </si>
  <si>
    <t>Water</t>
  </si>
  <si>
    <t>Column1</t>
  </si>
  <si>
    <t>Con MTD</t>
  </si>
  <si>
    <t xml:space="preserve">Utility Readings( MTD)  savings </t>
  </si>
  <si>
    <t>Budget/day</t>
  </si>
  <si>
    <t xml:space="preserve">Forecast </t>
  </si>
  <si>
    <t>Budget(MTD)</t>
  </si>
  <si>
    <t xml:space="preserve"> Occupancy </t>
  </si>
  <si>
    <t>Saving</t>
  </si>
  <si>
    <t>Actual</t>
  </si>
  <si>
    <t xml:space="preserve">Water </t>
  </si>
  <si>
    <t>Total</t>
  </si>
  <si>
    <t>Centro Barsha by Rotana Dubai</t>
  </si>
  <si>
    <t xml:space="preserve">LPG (Liters)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</si>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</sst>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8" formatCode="0.0000"/>
    <numFmt numFmtId="169" formatCode="[$-409]d\-mmm\-yy;@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theme="8" tint="-0.249977111117893"/>
      </left>
      <right/>
      <top style="double">
        <color theme="8" tint="-0.249977111117893"/>
      </top>
      <bottom style="double">
        <color theme="8" tint="-0.249977111117893"/>
      </bottom>
      <diagonal/>
    </border>
    <border>
      <left/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-0.249977111117893"/>
      </left>
      <right/>
      <top/>
      <bottom style="double">
        <color theme="8" tint="-0.249977111117893"/>
      </bottom>
      <diagonal/>
    </border>
    <border>
      <left/>
      <right style="double">
        <color theme="8" tint="-0.249977111117893"/>
      </right>
      <top/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137">
    <xf numFmtId="0" fontId="0" fillId="0" borderId="0" xfId="0"/>
    <xf numFmtId="0" fontId="11" fillId="0" borderId="24" xfId="127" applyFont="1" applyBorder="1" applyAlignment="1">
      <alignment horizontal="center" vertical="center"/>
    </xf>
    <xf numFmtId="0" fontId="11" fillId="0" borderId="24" xfId="127" applyFont="1" applyBorder="1" applyAlignment="1">
      <alignment horizontal="center" vertical="center" wrapText="1"/>
    </xf>
    <xf numFmtId="2" fontId="12" fillId="0" borderId="24" xfId="127" applyNumberFormat="1" applyFont="1" applyBorder="1" applyAlignment="1">
      <alignment horizontal="center" vertical="center" wrapText="1"/>
    </xf>
    <xf numFmtId="0" fontId="12" fillId="0" borderId="24" xfId="127" applyFont="1" applyBorder="1" applyAlignment="1">
      <alignment horizontal="center" vertical="center" wrapText="1"/>
    </xf>
    <xf numFmtId="0" fontId="11" fillId="0" borderId="0" xfId="127" applyFont="1" applyAlignment="1">
      <alignment horizontal="center" vertical="center"/>
    </xf>
    <xf numFmtId="0" fontId="13" fillId="0" borderId="0" xfId="127" applyFont="1" applyAlignment="1">
      <alignment horizontal="center"/>
    </xf>
    <xf numFmtId="0" fontId="11" fillId="0" borderId="0" xfId="127" applyFont="1" applyAlignment="1">
      <alignment horizontal="center"/>
    </xf>
    <xf numFmtId="1" fontId="2" fillId="0" borderId="0" xfId="127" applyNumberFormat="1" applyAlignment="1">
      <alignment horizontal="center"/>
    </xf>
    <xf numFmtId="2" fontId="10" fillId="0" borderId="0" xfId="127" applyNumberFormat="1" applyFont="1" applyAlignment="1">
      <alignment horizontal="center"/>
    </xf>
    <xf numFmtId="168" fontId="10" fillId="0" borderId="0" xfId="127" applyNumberFormat="1" applyFont="1" applyAlignment="1">
      <alignment horizontal="center"/>
    </xf>
    <xf numFmtId="0" fontId="2" fillId="0" borderId="0" xfId="127" applyAlignment="1">
      <alignment horizontal="center"/>
    </xf>
    <xf numFmtId="0" fontId="11" fillId="0" borderId="0" xfId="127" applyFont="1"/>
    <xf numFmtId="0" fontId="10" fillId="0" borderId="0" xfId="127" applyFont="1" applyAlignment="1">
      <alignment horizontal="center"/>
    </xf>
    <xf numFmtId="0" fontId="2" fillId="0" borderId="0" xfId="127"/>
    <xf numFmtId="0" fontId="14" fillId="0" borderId="25" xfId="128" applyFont="1" applyBorder="1" applyAlignment="1">
      <alignment horizontal="center" vertical="center"/>
    </xf>
    <xf numFmtId="0" fontId="14" fillId="0" borderId="26" xfId="128" applyFont="1" applyBorder="1" applyAlignment="1">
      <alignment horizontal="center" vertical="center"/>
    </xf>
    <xf numFmtId="0" fontId="14" fillId="0" borderId="27" xfId="128" applyFont="1" applyBorder="1" applyAlignment="1">
      <alignment horizontal="center" vertical="center"/>
    </xf>
    <xf numFmtId="0" fontId="1" fillId="0" borderId="0" xfId="128"/>
    <xf numFmtId="0" fontId="11" fillId="2" borderId="16" xfId="128" applyFont="1" applyFill="1" applyBorder="1" applyAlignment="1">
      <alignment horizontal="center" vertical="center" wrapText="1"/>
    </xf>
    <xf numFmtId="0" fontId="15" fillId="3" borderId="28" xfId="128" applyFont="1" applyFill="1" applyBorder="1" applyAlignment="1">
      <alignment vertical="center" wrapText="1"/>
    </xf>
    <xf numFmtId="0" fontId="15" fillId="3" borderId="29" xfId="128" applyFont="1" applyFill="1" applyBorder="1" applyAlignment="1">
      <alignment vertical="center" wrapText="1"/>
    </xf>
    <xf numFmtId="0" fontId="15" fillId="3" borderId="30" xfId="128" applyFont="1" applyFill="1" applyBorder="1" applyAlignment="1">
      <alignment vertical="center" wrapText="1"/>
    </xf>
    <xf numFmtId="0" fontId="15" fillId="4" borderId="28" xfId="128" applyFont="1" applyFill="1" applyBorder="1" applyAlignment="1">
      <alignment horizontal="center" vertical="center"/>
    </xf>
    <xf numFmtId="0" fontId="15" fillId="4" borderId="29" xfId="128" applyFont="1" applyFill="1" applyBorder="1" applyAlignment="1">
      <alignment horizontal="center" vertical="center"/>
    </xf>
    <xf numFmtId="0" fontId="15" fillId="4" borderId="30" xfId="128" applyFont="1" applyFill="1" applyBorder="1" applyAlignment="1">
      <alignment horizontal="center" vertical="center"/>
    </xf>
    <xf numFmtId="0" fontId="15" fillId="5" borderId="28" xfId="128" applyFont="1" applyFill="1" applyBorder="1" applyAlignment="1">
      <alignment horizontal="center" vertical="center"/>
    </xf>
    <xf numFmtId="0" fontId="15" fillId="5" borderId="29" xfId="128" applyFont="1" applyFill="1" applyBorder="1" applyAlignment="1">
      <alignment horizontal="center" vertical="center"/>
    </xf>
    <xf numFmtId="0" fontId="15" fillId="5" borderId="30" xfId="128" applyFont="1" applyFill="1" applyBorder="1" applyAlignment="1">
      <alignment horizontal="center" vertical="center"/>
    </xf>
    <xf numFmtId="0" fontId="11" fillId="2" borderId="10" xfId="128" applyFont="1" applyFill="1" applyBorder="1" applyAlignment="1">
      <alignment horizontal="center" vertical="center" wrapText="1"/>
    </xf>
    <xf numFmtId="0" fontId="15" fillId="3" borderId="31" xfId="128" applyFont="1" applyFill="1" applyBorder="1" applyAlignment="1">
      <alignment vertical="center" wrapText="1"/>
    </xf>
    <xf numFmtId="0" fontId="15" fillId="3" borderId="32" xfId="128" applyFont="1" applyFill="1" applyBorder="1" applyAlignment="1">
      <alignment vertical="center" wrapText="1"/>
    </xf>
    <xf numFmtId="0" fontId="15" fillId="3" borderId="33" xfId="128" applyFont="1" applyFill="1" applyBorder="1" applyAlignment="1">
      <alignment vertical="center" wrapText="1"/>
    </xf>
    <xf numFmtId="0" fontId="15" fillId="4" borderId="31" xfId="128" applyFont="1" applyFill="1" applyBorder="1" applyAlignment="1">
      <alignment horizontal="center" vertical="center"/>
    </xf>
    <xf numFmtId="0" fontId="15" fillId="4" borderId="32" xfId="128" applyFont="1" applyFill="1" applyBorder="1" applyAlignment="1">
      <alignment horizontal="center" vertical="center"/>
    </xf>
    <xf numFmtId="0" fontId="15" fillId="4" borderId="33" xfId="128" applyFont="1" applyFill="1" applyBorder="1" applyAlignment="1">
      <alignment horizontal="center" vertical="center"/>
    </xf>
    <xf numFmtId="0" fontId="15" fillId="5" borderId="31" xfId="128" applyFont="1" applyFill="1" applyBorder="1" applyAlignment="1">
      <alignment horizontal="center" vertical="center"/>
    </xf>
    <xf numFmtId="0" fontId="15" fillId="5" borderId="32" xfId="128" applyFont="1" applyFill="1" applyBorder="1" applyAlignment="1">
      <alignment horizontal="center" vertical="center"/>
    </xf>
    <xf numFmtId="0" fontId="15" fillId="5" borderId="33" xfId="128" applyFont="1" applyFill="1" applyBorder="1" applyAlignment="1">
      <alignment horizontal="center" vertical="center"/>
    </xf>
    <xf numFmtId="0" fontId="11" fillId="2" borderId="15" xfId="128" applyFont="1" applyFill="1" applyBorder="1" applyAlignment="1">
      <alignment horizontal="center" vertical="center" wrapText="1"/>
    </xf>
    <xf numFmtId="0" fontId="11" fillId="3" borderId="2" xfId="128" applyFont="1" applyFill="1" applyBorder="1" applyAlignment="1">
      <alignment horizontal="center" vertical="center" wrapText="1"/>
    </xf>
    <xf numFmtId="0" fontId="11" fillId="3" borderId="3" xfId="128" applyFont="1" applyFill="1" applyBorder="1" applyAlignment="1">
      <alignment horizontal="center" vertical="center" wrapText="1"/>
    </xf>
    <xf numFmtId="0" fontId="11" fillId="3" borderId="8" xfId="128" applyFont="1" applyFill="1" applyBorder="1" applyAlignment="1">
      <alignment horizontal="center" vertical="center" wrapText="1"/>
    </xf>
    <xf numFmtId="0" fontId="11" fillId="3" borderId="34" xfId="128" applyFont="1" applyFill="1" applyBorder="1" applyAlignment="1">
      <alignment horizontal="center" vertical="center" wrapText="1"/>
    </xf>
    <xf numFmtId="0" fontId="11" fillId="4" borderId="2" xfId="128" applyFont="1" applyFill="1" applyBorder="1" applyAlignment="1">
      <alignment horizontal="center" vertical="center" wrapText="1"/>
    </xf>
    <xf numFmtId="0" fontId="11" fillId="4" borderId="3" xfId="128" applyFont="1" applyFill="1" applyBorder="1" applyAlignment="1">
      <alignment horizontal="center" vertical="center" wrapText="1"/>
    </xf>
    <xf numFmtId="0" fontId="11" fillId="4" borderId="8" xfId="128" applyFont="1" applyFill="1" applyBorder="1" applyAlignment="1">
      <alignment horizontal="center" vertical="center" wrapText="1"/>
    </xf>
    <xf numFmtId="0" fontId="11" fillId="4" borderId="34" xfId="128" applyFont="1" applyFill="1" applyBorder="1" applyAlignment="1">
      <alignment horizontal="center" vertical="center" wrapText="1"/>
    </xf>
    <xf numFmtId="0" fontId="11" fillId="5" borderId="2" xfId="128" applyFont="1" applyFill="1" applyBorder="1" applyAlignment="1">
      <alignment horizontal="center" vertical="center" wrapText="1"/>
    </xf>
    <xf numFmtId="0" fontId="11" fillId="5" borderId="3" xfId="128" applyFont="1" applyFill="1" applyBorder="1" applyAlignment="1">
      <alignment horizontal="center" vertical="center" wrapText="1"/>
    </xf>
    <xf numFmtId="0" fontId="11" fillId="5" borderId="32" xfId="128" applyFont="1" applyFill="1" applyBorder="1" applyAlignment="1">
      <alignment horizontal="center" vertical="center" wrapText="1"/>
    </xf>
    <xf numFmtId="0" fontId="1" fillId="0" borderId="0" xfId="128" applyAlignment="1">
      <alignment horizontal="center" vertical="center"/>
    </xf>
    <xf numFmtId="169" fontId="16" fillId="0" borderId="35" xfId="128" applyNumberFormat="1" applyFont="1" applyBorder="1" applyAlignment="1">
      <alignment horizontal="center"/>
    </xf>
    <xf numFmtId="0" fontId="17" fillId="3" borderId="14" xfId="128" applyFont="1" applyFill="1" applyBorder="1" applyAlignment="1">
      <alignment horizontal="center"/>
    </xf>
    <xf numFmtId="0" fontId="1" fillId="3" borderId="20" xfId="128" applyFill="1" applyBorder="1" applyAlignment="1">
      <alignment horizontal="center"/>
    </xf>
    <xf numFmtId="0" fontId="17" fillId="3" borderId="17" xfId="128" applyFont="1" applyFill="1" applyBorder="1" applyAlignment="1">
      <alignment horizontal="center"/>
    </xf>
    <xf numFmtId="0" fontId="17" fillId="3" borderId="6" xfId="128" applyFont="1" applyFill="1" applyBorder="1" applyAlignment="1">
      <alignment horizontal="center"/>
    </xf>
    <xf numFmtId="0" fontId="17" fillId="3" borderId="36" xfId="128" applyFont="1" applyFill="1" applyBorder="1" applyAlignment="1">
      <alignment horizontal="center"/>
    </xf>
    <xf numFmtId="0" fontId="1" fillId="4" borderId="14" xfId="128" applyFill="1" applyBorder="1" applyAlignment="1">
      <alignment horizontal="center"/>
    </xf>
    <xf numFmtId="0" fontId="17" fillId="4" borderId="6" xfId="128" applyFont="1" applyFill="1" applyBorder="1" applyAlignment="1">
      <alignment horizontal="center"/>
    </xf>
    <xf numFmtId="0" fontId="17" fillId="4" borderId="17" xfId="128" applyFont="1" applyFill="1" applyBorder="1" applyAlignment="1">
      <alignment horizontal="center"/>
    </xf>
    <xf numFmtId="0" fontId="17" fillId="4" borderId="36" xfId="128" applyFont="1" applyFill="1" applyBorder="1" applyAlignment="1">
      <alignment horizontal="center"/>
    </xf>
    <xf numFmtId="0" fontId="17" fillId="5" borderId="14" xfId="128" applyFont="1" applyFill="1" applyBorder="1" applyAlignment="1">
      <alignment horizontal="center"/>
    </xf>
    <xf numFmtId="0" fontId="17" fillId="5" borderId="17" xfId="128" applyFont="1" applyFill="1" applyBorder="1" applyAlignment="1">
      <alignment horizontal="center"/>
    </xf>
    <xf numFmtId="0" fontId="17" fillId="5" borderId="37" xfId="128" applyFont="1" applyFill="1" applyBorder="1" applyAlignment="1">
      <alignment horizontal="center"/>
    </xf>
    <xf numFmtId="0" fontId="17" fillId="5" borderId="24" xfId="128" applyFont="1" applyFill="1" applyBorder="1" applyAlignment="1">
      <alignment horizontal="center"/>
    </xf>
    <xf numFmtId="0" fontId="17" fillId="5" borderId="6" xfId="128" applyFont="1" applyFill="1" applyBorder="1" applyAlignment="1">
      <alignment horizontal="center"/>
    </xf>
    <xf numFmtId="0" fontId="1" fillId="4" borderId="6" xfId="128" applyFill="1" applyBorder="1" applyAlignment="1">
      <alignment horizontal="center"/>
    </xf>
    <xf numFmtId="0" fontId="1" fillId="4" borderId="7" xfId="128" applyFill="1" applyBorder="1" applyAlignment="1">
      <alignment horizontal="center"/>
    </xf>
    <xf numFmtId="0" fontId="17" fillId="5" borderId="7" xfId="128" applyFont="1" applyFill="1" applyBorder="1" applyAlignment="1">
      <alignment horizontal="center"/>
    </xf>
    <xf numFmtId="0" fontId="1" fillId="3" borderId="7" xfId="128" applyFill="1" applyBorder="1" applyAlignment="1">
      <alignment horizontal="center"/>
    </xf>
    <xf numFmtId="169" fontId="16" fillId="0" borderId="38" xfId="128" applyNumberFormat="1" applyFont="1" applyBorder="1" applyAlignment="1">
      <alignment horizontal="center"/>
    </xf>
    <xf numFmtId="0" fontId="17" fillId="3" borderId="38" xfId="128" applyFont="1" applyFill="1" applyBorder="1" applyAlignment="1">
      <alignment horizontal="center"/>
    </xf>
    <xf numFmtId="0" fontId="17" fillId="6" borderId="6" xfId="128" applyFont="1" applyFill="1" applyBorder="1" applyAlignment="1">
      <alignment horizontal="center"/>
    </xf>
    <xf numFmtId="0" fontId="17" fillId="3" borderId="0" xfId="128" applyFont="1" applyFill="1" applyAlignment="1">
      <alignment horizontal="center"/>
    </xf>
    <xf numFmtId="0" fontId="1" fillId="4" borderId="0" xfId="128" applyFill="1" applyAlignment="1">
      <alignment horizontal="center"/>
    </xf>
    <xf numFmtId="0" fontId="17" fillId="4" borderId="18" xfId="128" applyFont="1" applyFill="1" applyBorder="1" applyAlignment="1">
      <alignment horizontal="center"/>
    </xf>
    <xf numFmtId="0" fontId="17" fillId="3" borderId="19" xfId="128" applyFont="1" applyFill="1" applyBorder="1" applyAlignment="1">
      <alignment horizontal="center"/>
    </xf>
    <xf numFmtId="0" fontId="17" fillId="5" borderId="0" xfId="128" applyFont="1" applyFill="1" applyAlignment="1">
      <alignment horizontal="center"/>
    </xf>
    <xf numFmtId="0" fontId="15" fillId="7" borderId="28" xfId="128" applyFont="1" applyFill="1" applyBorder="1" applyAlignment="1">
      <alignment vertical="center"/>
    </xf>
    <xf numFmtId="0" fontId="18" fillId="3" borderId="28" xfId="128" applyFont="1" applyFill="1" applyBorder="1" applyAlignment="1">
      <alignment horizontal="center" vertical="center" wrapText="1"/>
    </xf>
    <xf numFmtId="0" fontId="18" fillId="3" borderId="29" xfId="128" applyFont="1" applyFill="1" applyBorder="1" applyAlignment="1">
      <alignment horizontal="center" vertical="center" wrapText="1"/>
    </xf>
    <xf numFmtId="164" fontId="19" fillId="3" borderId="16" xfId="129" applyFont="1" applyFill="1" applyBorder="1" applyAlignment="1">
      <alignment horizontal="center" vertical="center"/>
    </xf>
    <xf numFmtId="164" fontId="19" fillId="3" borderId="30" xfId="129" applyFont="1" applyFill="1" applyBorder="1" applyAlignment="1">
      <alignment horizontal="center" vertical="center"/>
    </xf>
    <xf numFmtId="0" fontId="17" fillId="8" borderId="10" xfId="128" applyFont="1" applyFill="1" applyBorder="1" applyAlignment="1">
      <alignment horizontal="center"/>
    </xf>
    <xf numFmtId="0" fontId="18" fillId="4" borderId="28" xfId="128" applyFont="1" applyFill="1" applyBorder="1" applyAlignment="1">
      <alignment horizontal="center" vertical="center" wrapText="1"/>
    </xf>
    <xf numFmtId="0" fontId="18" fillId="4" borderId="29" xfId="128" applyFont="1" applyFill="1" applyBorder="1" applyAlignment="1">
      <alignment horizontal="center" vertical="center" wrapText="1"/>
    </xf>
    <xf numFmtId="0" fontId="18" fillId="4" borderId="39" xfId="128" applyFont="1" applyFill="1" applyBorder="1" applyAlignment="1">
      <alignment horizontal="center" vertical="center" wrapText="1"/>
    </xf>
    <xf numFmtId="164" fontId="18" fillId="4" borderId="23" xfId="129" applyFont="1" applyFill="1" applyBorder="1" applyAlignment="1">
      <alignment horizontal="center" vertical="center" wrapText="1"/>
    </xf>
    <xf numFmtId="0" fontId="17" fillId="9" borderId="16" xfId="128" applyFont="1" applyFill="1" applyBorder="1" applyAlignment="1">
      <alignment horizontal="center"/>
    </xf>
    <xf numFmtId="0" fontId="18" fillId="5" borderId="38" xfId="128" applyFont="1" applyFill="1" applyBorder="1" applyAlignment="1">
      <alignment horizontal="center" vertical="center" wrapText="1"/>
    </xf>
    <xf numFmtId="0" fontId="18" fillId="5" borderId="9" xfId="128" applyFont="1" applyFill="1" applyBorder="1" applyAlignment="1">
      <alignment horizontal="center" vertical="center" wrapText="1"/>
    </xf>
    <xf numFmtId="0" fontId="18" fillId="5" borderId="40" xfId="128" applyFont="1" applyFill="1" applyBorder="1" applyAlignment="1">
      <alignment horizontal="center" vertical="center" wrapText="1"/>
    </xf>
    <xf numFmtId="164" fontId="18" fillId="5" borderId="5" xfId="129" applyFont="1" applyFill="1" applyBorder="1" applyAlignment="1">
      <alignment horizontal="center" vertical="center" wrapText="1"/>
    </xf>
    <xf numFmtId="164" fontId="18" fillId="5" borderId="9" xfId="129" applyFont="1" applyFill="1" applyBorder="1" applyAlignment="1">
      <alignment horizontal="center" vertical="center" wrapText="1"/>
    </xf>
    <xf numFmtId="0" fontId="1" fillId="10" borderId="1" xfId="128" applyFill="1" applyBorder="1"/>
    <xf numFmtId="0" fontId="1" fillId="0" borderId="6" xfId="128" applyBorder="1"/>
    <xf numFmtId="0" fontId="1" fillId="7" borderId="6" xfId="128" applyFill="1" applyBorder="1"/>
    <xf numFmtId="0" fontId="20" fillId="7" borderId="6" xfId="128" applyFont="1" applyFill="1" applyBorder="1" applyAlignment="1">
      <alignment horizontal="center"/>
    </xf>
    <xf numFmtId="0" fontId="20" fillId="0" borderId="6" xfId="128" applyFont="1" applyBorder="1" applyAlignment="1">
      <alignment horizontal="center"/>
    </xf>
    <xf numFmtId="0" fontId="17" fillId="7" borderId="6" xfId="128" applyFont="1" applyFill="1" applyBorder="1" applyAlignment="1">
      <alignment horizontal="center"/>
    </xf>
    <xf numFmtId="0" fontId="20" fillId="0" borderId="0" xfId="128" applyFont="1" applyAlignment="1">
      <alignment horizontal="center"/>
    </xf>
    <xf numFmtId="0" fontId="21" fillId="0" borderId="6" xfId="128" applyFont="1" applyBorder="1" applyAlignment="1">
      <alignment horizontal="center" vertical="center"/>
    </xf>
    <xf numFmtId="0" fontId="21" fillId="0" borderId="6" xfId="128" applyFont="1" applyBorder="1"/>
    <xf numFmtId="0" fontId="22" fillId="0" borderId="0" xfId="128" applyFont="1" applyAlignment="1">
      <alignment horizontal="center" vertical="center"/>
    </xf>
    <xf numFmtId="0" fontId="22" fillId="0" borderId="0" xfId="128" applyFont="1" applyAlignment="1">
      <alignment horizontal="center"/>
    </xf>
    <xf numFmtId="0" fontId="23" fillId="11" borderId="41" xfId="128" applyFont="1" applyFill="1" applyBorder="1" applyAlignment="1">
      <alignment horizontal="center"/>
    </xf>
    <xf numFmtId="0" fontId="23" fillId="11" borderId="42" xfId="128" applyFont="1" applyFill="1" applyBorder="1" applyAlignment="1">
      <alignment horizontal="center"/>
    </xf>
    <xf numFmtId="0" fontId="23" fillId="11" borderId="43" xfId="128" applyFont="1" applyFill="1" applyBorder="1" applyAlignment="1">
      <alignment horizontal="center"/>
    </xf>
    <xf numFmtId="0" fontId="24" fillId="11" borderId="44" xfId="128" applyFont="1" applyFill="1" applyBorder="1" applyAlignment="1">
      <alignment horizontal="center"/>
    </xf>
    <xf numFmtId="0" fontId="24" fillId="11" borderId="45" xfId="128" applyFont="1" applyFill="1" applyBorder="1" applyAlignment="1">
      <alignment horizontal="center"/>
    </xf>
    <xf numFmtId="0" fontId="1" fillId="11" borderId="43" xfId="128" applyFill="1" applyBorder="1"/>
    <xf numFmtId="0" fontId="1" fillId="11" borderId="43" xfId="128" applyFill="1" applyBorder="1" applyAlignment="1">
      <alignment horizontal="left"/>
    </xf>
    <xf numFmtId="0" fontId="25" fillId="12" borderId="21" xfId="128" applyFont="1" applyFill="1" applyBorder="1" applyAlignment="1">
      <alignment horizontal="center"/>
    </xf>
    <xf numFmtId="0" fontId="25" fillId="12" borderId="22" xfId="128" applyFont="1" applyFill="1" applyBorder="1" applyAlignment="1">
      <alignment horizontal="center"/>
    </xf>
    <xf numFmtId="0" fontId="25" fillId="12" borderId="4" xfId="128" applyFont="1" applyFill="1" applyBorder="1" applyAlignment="1">
      <alignment horizontal="center"/>
    </xf>
    <xf numFmtId="0" fontId="12" fillId="11" borderId="46" xfId="128" applyFont="1" applyFill="1" applyBorder="1"/>
    <xf numFmtId="0" fontId="12" fillId="11" borderId="46" xfId="128" applyFont="1" applyFill="1" applyBorder="1" applyAlignment="1">
      <alignment horizontal="left"/>
    </xf>
    <xf numFmtId="0" fontId="25" fillId="13" borderId="47" xfId="128" applyFont="1" applyFill="1" applyBorder="1" applyAlignment="1">
      <alignment horizontal="center"/>
    </xf>
    <xf numFmtId="0" fontId="25" fillId="13" borderId="6" xfId="128" applyFont="1" applyFill="1" applyBorder="1" applyAlignment="1">
      <alignment horizontal="center"/>
    </xf>
    <xf numFmtId="0" fontId="25" fillId="13" borderId="48" xfId="128" applyFont="1" applyFill="1" applyBorder="1" applyAlignment="1">
      <alignment horizontal="center"/>
    </xf>
    <xf numFmtId="0" fontId="1" fillId="11" borderId="6" xfId="128" applyFill="1" applyBorder="1"/>
    <xf numFmtId="0" fontId="1" fillId="11" borderId="6" xfId="128" applyFill="1" applyBorder="1" applyAlignment="1">
      <alignment horizontal="left"/>
    </xf>
    <xf numFmtId="0" fontId="25" fillId="0" borderId="47" xfId="128" applyFont="1" applyBorder="1" applyAlignment="1">
      <alignment horizontal="center"/>
    </xf>
    <xf numFmtId="10" fontId="25" fillId="0" borderId="6" xfId="128" applyNumberFormat="1" applyFont="1" applyBorder="1" applyAlignment="1">
      <alignment horizontal="center"/>
    </xf>
    <xf numFmtId="10" fontId="25" fillId="0" borderId="48" xfId="128" applyNumberFormat="1" applyFont="1" applyBorder="1" applyAlignment="1">
      <alignment horizontal="center"/>
    </xf>
    <xf numFmtId="10" fontId="25" fillId="0" borderId="6" xfId="128" applyNumberFormat="1" applyFont="1" applyBorder="1" applyAlignment="1">
      <alignment horizontal="center" vertical="center"/>
    </xf>
    <xf numFmtId="0" fontId="1" fillId="11" borderId="7" xfId="128" applyFill="1" applyBorder="1"/>
    <xf numFmtId="164" fontId="25" fillId="0" borderId="6" xfId="129" applyFont="1" applyBorder="1" applyAlignment="1">
      <alignment horizontal="center"/>
    </xf>
    <xf numFmtId="164" fontId="25" fillId="0" borderId="48" xfId="129" applyFont="1" applyBorder="1" applyAlignment="1">
      <alignment horizontal="center"/>
    </xf>
    <xf numFmtId="3" fontId="25" fillId="0" borderId="6" xfId="128" applyNumberFormat="1" applyFont="1" applyBorder="1" applyAlignment="1">
      <alignment horizontal="center" vertical="center"/>
    </xf>
    <xf numFmtId="0" fontId="25" fillId="0" borderId="11" xfId="128" applyFont="1" applyBorder="1" applyAlignment="1">
      <alignment horizontal="center"/>
    </xf>
    <xf numFmtId="164" fontId="25" fillId="0" borderId="7" xfId="129" applyFont="1" applyBorder="1" applyAlignment="1">
      <alignment horizontal="center"/>
    </xf>
    <xf numFmtId="164" fontId="25" fillId="0" borderId="12" xfId="129" applyFont="1" applyBorder="1" applyAlignment="1">
      <alignment horizontal="center"/>
    </xf>
    <xf numFmtId="0" fontId="25" fillId="11" borderId="13" xfId="128" applyFont="1" applyFill="1" applyBorder="1" applyAlignment="1">
      <alignment horizontal="center"/>
    </xf>
    <xf numFmtId="164" fontId="25" fillId="11" borderId="8" xfId="129" applyFont="1" applyFill="1" applyBorder="1" applyAlignment="1">
      <alignment horizontal="center"/>
    </xf>
    <xf numFmtId="164" fontId="25" fillId="11" borderId="5" xfId="129" applyFont="1" applyFill="1" applyBorder="1" applyAlignment="1">
      <alignment horizontal="center"/>
    </xf>
  </cellXfs>
  <cellStyles count="130">
    <cellStyle name="Comma 2" xfId="1" xr:uid="{00000000-0005-0000-0000-000001000000}"/>
    <cellStyle name="Comma 2 10" xfId="66" xr:uid="{00000000-0005-0000-0000-000002000000}"/>
    <cellStyle name="Comma 2 11" xfId="105" xr:uid="{00000000-0005-0000-0000-000003000000}"/>
    <cellStyle name="Comma 2 12" xfId="91" xr:uid="{00000000-0005-0000-0000-000004000000}"/>
    <cellStyle name="Comma 2 13" xfId="101" xr:uid="{00000000-0005-0000-0000-000005000000}"/>
    <cellStyle name="Comma 2 14" xfId="76" xr:uid="{00000000-0005-0000-0000-000006000000}"/>
    <cellStyle name="Comma 2 15" xfId="90" xr:uid="{00000000-0005-0000-0000-000007000000}"/>
    <cellStyle name="Comma 2 16" xfId="93" xr:uid="{00000000-0005-0000-0000-000008000000}"/>
    <cellStyle name="Comma 2 17" xfId="88" xr:uid="{00000000-0005-0000-0000-000009000000}"/>
    <cellStyle name="Comma 2 18" xfId="104" xr:uid="{00000000-0005-0000-0000-00000A000000}"/>
    <cellStyle name="Comma 2 2" xfId="10" xr:uid="{00000000-0005-0000-0000-00000B000000}"/>
    <cellStyle name="Comma 2 3" xfId="13" xr:uid="{00000000-0005-0000-0000-00000C000000}"/>
    <cellStyle name="Comma 2 4" xfId="20" xr:uid="{00000000-0005-0000-0000-00000D000000}"/>
    <cellStyle name="Comma 2 5" xfId="27" xr:uid="{00000000-0005-0000-0000-00000E000000}"/>
    <cellStyle name="Comma 2 6" xfId="34" xr:uid="{00000000-0005-0000-0000-00000F000000}"/>
    <cellStyle name="Comma 2 7" xfId="41" xr:uid="{00000000-0005-0000-0000-000010000000}"/>
    <cellStyle name="Comma 2 8" xfId="48" xr:uid="{00000000-0005-0000-0000-000011000000}"/>
    <cellStyle name="Comma 2 9" xfId="54" xr:uid="{00000000-0005-0000-0000-000012000000}"/>
    <cellStyle name="Comma 3" xfId="2" xr:uid="{00000000-0005-0000-0000-000013000000}"/>
    <cellStyle name="Comma 3 10" xfId="67" xr:uid="{00000000-0005-0000-0000-000014000000}"/>
    <cellStyle name="Comma 3 11" xfId="99" xr:uid="{00000000-0005-0000-0000-000015000000}"/>
    <cellStyle name="Comma 3 12" xfId="74" xr:uid="{00000000-0005-0000-0000-000016000000}"/>
    <cellStyle name="Comma 3 13" xfId="103" xr:uid="{00000000-0005-0000-0000-000017000000}"/>
    <cellStyle name="Comma 3 14" xfId="102" xr:uid="{00000000-0005-0000-0000-000018000000}"/>
    <cellStyle name="Comma 3 15" xfId="107" xr:uid="{00000000-0005-0000-0000-000019000000}"/>
    <cellStyle name="Comma 3 16" xfId="78" xr:uid="{00000000-0005-0000-0000-00001A000000}"/>
    <cellStyle name="Comma 3 17" xfId="79" xr:uid="{00000000-0005-0000-0000-00001B000000}"/>
    <cellStyle name="Comma 3 18" xfId="64" xr:uid="{00000000-0005-0000-0000-00001C000000}"/>
    <cellStyle name="Comma 3 2" xfId="11" xr:uid="{00000000-0005-0000-0000-00001D000000}"/>
    <cellStyle name="Comma 3 3" xfId="9" xr:uid="{00000000-0005-0000-0000-00001E000000}"/>
    <cellStyle name="Comma 3 4" xfId="8" xr:uid="{00000000-0005-0000-0000-00001F000000}"/>
    <cellStyle name="Comma 3 5" xfId="15" xr:uid="{00000000-0005-0000-0000-000020000000}"/>
    <cellStyle name="Comma 3 6" xfId="22" xr:uid="{00000000-0005-0000-0000-000021000000}"/>
    <cellStyle name="Comma 3 7" xfId="29" xr:uid="{00000000-0005-0000-0000-000022000000}"/>
    <cellStyle name="Comma 3 8" xfId="36" xr:uid="{00000000-0005-0000-0000-000023000000}"/>
    <cellStyle name="Comma 3 9" xfId="43" xr:uid="{00000000-0005-0000-0000-000024000000}"/>
    <cellStyle name="Comma 4" xfId="3" xr:uid="{00000000-0005-0000-0000-000025000000}"/>
    <cellStyle name="Comma 4 10" xfId="68" xr:uid="{00000000-0005-0000-0000-000026000000}"/>
    <cellStyle name="Comma 4 11" xfId="94" xr:uid="{00000000-0005-0000-0000-000027000000}"/>
    <cellStyle name="Comma 4 12" xfId="83" xr:uid="{00000000-0005-0000-0000-000028000000}"/>
    <cellStyle name="Comma 4 13" xfId="95" xr:uid="{00000000-0005-0000-0000-000029000000}"/>
    <cellStyle name="Comma 4 14" xfId="77" xr:uid="{00000000-0005-0000-0000-00002A000000}"/>
    <cellStyle name="Comma 4 15" xfId="84" xr:uid="{00000000-0005-0000-0000-00002B000000}"/>
    <cellStyle name="Comma 4 16" xfId="87" xr:uid="{00000000-0005-0000-0000-00002C000000}"/>
    <cellStyle name="Comma 4 17" xfId="109" xr:uid="{00000000-0005-0000-0000-00002D000000}"/>
    <cellStyle name="Comma 4 18" xfId="65" xr:uid="{00000000-0005-0000-0000-00002E000000}"/>
    <cellStyle name="Comma 4 2" xfId="12" xr:uid="{00000000-0005-0000-0000-00002F000000}"/>
    <cellStyle name="Comma 4 3" xfId="19" xr:uid="{00000000-0005-0000-0000-000030000000}"/>
    <cellStyle name="Comma 4 4" xfId="26" xr:uid="{00000000-0005-0000-0000-000031000000}"/>
    <cellStyle name="Comma 4 5" xfId="33" xr:uid="{00000000-0005-0000-0000-000032000000}"/>
    <cellStyle name="Comma 4 6" xfId="40" xr:uid="{00000000-0005-0000-0000-000033000000}"/>
    <cellStyle name="Comma 4 7" xfId="47" xr:uid="{00000000-0005-0000-0000-000034000000}"/>
    <cellStyle name="Comma 4 8" xfId="53" xr:uid="{00000000-0005-0000-0000-000035000000}"/>
    <cellStyle name="Comma 4 9" xfId="59" xr:uid="{00000000-0005-0000-0000-000036000000}"/>
    <cellStyle name="Comma 5" xfId="5" xr:uid="{00000000-0005-0000-0000-000037000000}"/>
    <cellStyle name="Comma 5 10" xfId="71" xr:uid="{00000000-0005-0000-0000-000038000000}"/>
    <cellStyle name="Comma 5 11" xfId="70" xr:uid="{00000000-0005-0000-0000-000039000000}"/>
    <cellStyle name="Comma 5 12" xfId="81" xr:uid="{00000000-0005-0000-0000-00003A000000}"/>
    <cellStyle name="Comma 5 13" xfId="106" xr:uid="{00000000-0005-0000-0000-00003B000000}"/>
    <cellStyle name="Comma 5 14" xfId="89" xr:uid="{00000000-0005-0000-0000-00003C000000}"/>
    <cellStyle name="Comma 5 15" xfId="98" xr:uid="{00000000-0005-0000-0000-00003D000000}"/>
    <cellStyle name="Comma 5 16" xfId="80" xr:uid="{00000000-0005-0000-0000-00003E000000}"/>
    <cellStyle name="Comma 5 17" xfId="112" xr:uid="{00000000-0005-0000-0000-00003F000000}"/>
    <cellStyle name="Comma 5 18" xfId="115" xr:uid="{00000000-0005-0000-0000-000040000000}"/>
    <cellStyle name="Comma 5 2" xfId="16" xr:uid="{00000000-0005-0000-0000-000041000000}"/>
    <cellStyle name="Comma 5 3" xfId="23" xr:uid="{00000000-0005-0000-0000-000042000000}"/>
    <cellStyle name="Comma 5 4" xfId="30" xr:uid="{00000000-0005-0000-0000-000043000000}"/>
    <cellStyle name="Comma 5 5" xfId="37" xr:uid="{00000000-0005-0000-0000-000044000000}"/>
    <cellStyle name="Comma 5 6" xfId="44" xr:uid="{00000000-0005-0000-0000-000045000000}"/>
    <cellStyle name="Comma 5 7" xfId="50" xr:uid="{00000000-0005-0000-0000-000046000000}"/>
    <cellStyle name="Comma 5 8" xfId="56" xr:uid="{00000000-0005-0000-0000-000047000000}"/>
    <cellStyle name="Comma 5 9" xfId="61" xr:uid="{00000000-0005-0000-0000-000048000000}"/>
    <cellStyle name="Comma 6" xfId="129" xr:uid="{14BC9F93-272F-48BA-85C5-3C2905A78B8C}"/>
    <cellStyle name="Hyperlink 2" xfId="7" xr:uid="{00000000-0005-0000-0000-00004A000000}"/>
    <cellStyle name="Hyperlink 2 10" xfId="73" xr:uid="{00000000-0005-0000-0000-00004B000000}"/>
    <cellStyle name="Hyperlink 2 11" xfId="108" xr:uid="{00000000-0005-0000-0000-00004C000000}"/>
    <cellStyle name="Hyperlink 2 12" xfId="75" xr:uid="{00000000-0005-0000-0000-00004D000000}"/>
    <cellStyle name="Hyperlink 2 13" xfId="92" xr:uid="{00000000-0005-0000-0000-00004E000000}"/>
    <cellStyle name="Hyperlink 2 14" xfId="96" xr:uid="{00000000-0005-0000-0000-00004F000000}"/>
    <cellStyle name="Hyperlink 2 15" xfId="97" xr:uid="{00000000-0005-0000-0000-000050000000}"/>
    <cellStyle name="Hyperlink 2 16" xfId="85" xr:uid="{00000000-0005-0000-0000-000051000000}"/>
    <cellStyle name="Hyperlink 2 17" xfId="82" xr:uid="{00000000-0005-0000-0000-000052000000}"/>
    <cellStyle name="Hyperlink 2 18" xfId="100" xr:uid="{00000000-0005-0000-0000-000053000000}"/>
    <cellStyle name="Hyperlink 2 2" xfId="18" xr:uid="{00000000-0005-0000-0000-000054000000}"/>
    <cellStyle name="Hyperlink 2 3" xfId="25" xr:uid="{00000000-0005-0000-0000-000055000000}"/>
    <cellStyle name="Hyperlink 2 4" xfId="32" xr:uid="{00000000-0005-0000-0000-000056000000}"/>
    <cellStyle name="Hyperlink 2 5" xfId="39" xr:uid="{00000000-0005-0000-0000-000057000000}"/>
    <cellStyle name="Hyperlink 2 6" xfId="46" xr:uid="{00000000-0005-0000-0000-000058000000}"/>
    <cellStyle name="Hyperlink 2 7" xfId="52" xr:uid="{00000000-0005-0000-0000-000059000000}"/>
    <cellStyle name="Hyperlink 2 8" xfId="58" xr:uid="{00000000-0005-0000-0000-00005A000000}"/>
    <cellStyle name="Hyperlink 2 9" xfId="63" xr:uid="{00000000-0005-0000-0000-00005B000000}"/>
    <cellStyle name="Normal" xfId="0" builtinId="0"/>
    <cellStyle name="Normal 2" xfId="4" xr:uid="{00000000-0005-0000-0000-00005D000000}"/>
    <cellStyle name="Normal 2 10" xfId="69" xr:uid="{00000000-0005-0000-0000-00005E000000}"/>
    <cellStyle name="Normal 2 11" xfId="86" xr:uid="{00000000-0005-0000-0000-00005F000000}"/>
    <cellStyle name="Normal 2 12" xfId="111" xr:uid="{00000000-0005-0000-0000-000060000000}"/>
    <cellStyle name="Normal 2 13" xfId="114" xr:uid="{00000000-0005-0000-0000-000061000000}"/>
    <cellStyle name="Normal 2 14" xfId="117" xr:uid="{00000000-0005-0000-0000-000062000000}"/>
    <cellStyle name="Normal 2 15" xfId="119" xr:uid="{00000000-0005-0000-0000-000063000000}"/>
    <cellStyle name="Normal 2 16" xfId="121" xr:uid="{00000000-0005-0000-0000-000064000000}"/>
    <cellStyle name="Normal 2 17" xfId="123" xr:uid="{00000000-0005-0000-0000-000065000000}"/>
    <cellStyle name="Normal 2 18" xfId="125" xr:uid="{00000000-0005-0000-0000-000066000000}"/>
    <cellStyle name="Normal 2 2" xfId="14" xr:uid="{00000000-0005-0000-0000-000067000000}"/>
    <cellStyle name="Normal 2 3" xfId="21" xr:uid="{00000000-0005-0000-0000-000068000000}"/>
    <cellStyle name="Normal 2 4" xfId="28" xr:uid="{00000000-0005-0000-0000-000069000000}"/>
    <cellStyle name="Normal 2 5" xfId="35" xr:uid="{00000000-0005-0000-0000-00006A000000}"/>
    <cellStyle name="Normal 2 6" xfId="42" xr:uid="{00000000-0005-0000-0000-00006B000000}"/>
    <cellStyle name="Normal 2 7" xfId="49" xr:uid="{00000000-0005-0000-0000-00006C000000}"/>
    <cellStyle name="Normal 2 8" xfId="55" xr:uid="{00000000-0005-0000-0000-00006D000000}"/>
    <cellStyle name="Normal 2 9" xfId="60" xr:uid="{00000000-0005-0000-0000-00006E000000}"/>
    <cellStyle name="Normal 3" xfId="127" xr:uid="{7A2A2037-D085-4A6E-AB41-E865E3DF52F4}"/>
    <cellStyle name="Normal 4" xfId="128" xr:uid="{BBA50316-FD07-4654-8812-D8F294408716}"/>
    <cellStyle name="Percent 2" xfId="6" xr:uid="{00000000-0005-0000-0000-000070000000}"/>
    <cellStyle name="Percent 2 10" xfId="72" xr:uid="{00000000-0005-0000-0000-000071000000}"/>
    <cellStyle name="Percent 2 11" xfId="110" xr:uid="{00000000-0005-0000-0000-000072000000}"/>
    <cellStyle name="Percent 2 12" xfId="113" xr:uid="{00000000-0005-0000-0000-000073000000}"/>
    <cellStyle name="Percent 2 13" xfId="116" xr:uid="{00000000-0005-0000-0000-000074000000}"/>
    <cellStyle name="Percent 2 14" xfId="118" xr:uid="{00000000-0005-0000-0000-000075000000}"/>
    <cellStyle name="Percent 2 15" xfId="120" xr:uid="{00000000-0005-0000-0000-000076000000}"/>
    <cellStyle name="Percent 2 16" xfId="122" xr:uid="{00000000-0005-0000-0000-000077000000}"/>
    <cellStyle name="Percent 2 17" xfId="124" xr:uid="{00000000-0005-0000-0000-000078000000}"/>
    <cellStyle name="Percent 2 18" xfId="126" xr:uid="{00000000-0005-0000-0000-000079000000}"/>
    <cellStyle name="Percent 2 2" xfId="17" xr:uid="{00000000-0005-0000-0000-00007A000000}"/>
    <cellStyle name="Percent 2 3" xfId="24" xr:uid="{00000000-0005-0000-0000-00007B000000}"/>
    <cellStyle name="Percent 2 4" xfId="31" xr:uid="{00000000-0005-0000-0000-00007C000000}"/>
    <cellStyle name="Percent 2 5" xfId="38" xr:uid="{00000000-0005-0000-0000-00007D000000}"/>
    <cellStyle name="Percent 2 6" xfId="45" xr:uid="{00000000-0005-0000-0000-00007E000000}"/>
    <cellStyle name="Percent 2 7" xfId="51" xr:uid="{00000000-0005-0000-0000-00007F000000}"/>
    <cellStyle name="Percent 2 8" xfId="57" xr:uid="{00000000-0005-0000-0000-000080000000}"/>
    <cellStyle name="Percent 2 9" xfId="62" xr:uid="{00000000-0005-0000-0000-000081000000}"/>
  </cellStyles>
  <dxfs count="3">
    <dxf>
      <border outline="0">
        <bottom style="double">
          <color rgb="FF305496"/>
        </bottom>
      </border>
    </dxf>
    <dxf>
      <border outline="0">
        <top style="double">
          <color rgb="FF305496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022249-F1D8-4A6E-9127-63C2A55FF6C1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8B99D4-7F04-4634-A9BB-E7BB775315FD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DE0BD1-F344-4437-9269-CA23A8F346C6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FA708B-EF20-4A3B-891E-BD13777684F3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D9A41-4672-41F0-900C-40BFEBAAFA29}" name="Table13489" displayName="Table13489" ref="P41:Q45" totalsRowShown="0" headerRowDxfId="2" headerRowBorderDxfId="0" tableBorderDxfId="1">
  <autoFilter ref="P41:Q45" xr:uid="{FCCEA306-0A5F-4639-85CE-B4901DE87A2D}"/>
  <tableColumns count="2">
    <tableColumn id="1" xr3:uid="{79083114-D2CC-4E8E-B138-322BB7D6238E}" name="LPG"/>
    <tableColumn id="2" xr3:uid="{3CCAC26F-343D-43A8-A7FD-04504507C13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F30-0531-4103-9999-295F0C76E335}">
  <dimension ref="A1:X33"/>
  <sheetViews>
    <sheetView tabSelected="1" workbookViewId="0">
      <selection activeCell="H2" sqref="H2"/>
    </sheetView>
  </sheetViews>
  <sheetFormatPr defaultColWidth="11.5546875" defaultRowHeight="14.4" x14ac:dyDescent="0.3"/>
  <cols>
    <col min="1" max="1" width="29.109375" style="12" bestFit="1" customWidth="1"/>
    <col min="2" max="3" width="11.5546875" style="7"/>
    <col min="4" max="4" width="13.44140625" style="7" customWidth="1"/>
    <col min="5" max="5" width="12.5546875" style="11" customWidth="1"/>
    <col min="6" max="6" width="12.5546875" style="9" customWidth="1"/>
    <col min="7" max="7" width="11.5546875" style="11"/>
    <col min="8" max="8" width="11.5546875" style="9"/>
    <col min="9" max="9" width="11.5546875" style="11"/>
    <col min="10" max="10" width="11.5546875" style="13"/>
    <col min="11" max="24" width="11.5546875" style="11"/>
    <col min="25" max="16384" width="11.5546875" style="14"/>
  </cols>
  <sheetData>
    <row r="1" spans="1:12" s="5" customFormat="1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2" t="s">
        <v>6</v>
      </c>
      <c r="F1" s="3" t="s">
        <v>7</v>
      </c>
      <c r="G1" s="2" t="s">
        <v>50</v>
      </c>
      <c r="H1" s="3" t="s">
        <v>51</v>
      </c>
      <c r="I1" s="2" t="s">
        <v>10</v>
      </c>
      <c r="J1" s="4" t="s">
        <v>11</v>
      </c>
      <c r="K1" s="2" t="s">
        <v>8</v>
      </c>
      <c r="L1" s="2" t="s">
        <v>9</v>
      </c>
    </row>
    <row r="2" spans="1:12" x14ac:dyDescent="0.3">
      <c r="A2" s="6" t="s">
        <v>49</v>
      </c>
      <c r="B2" s="7">
        <v>1</v>
      </c>
      <c r="C2" s="7">
        <v>3</v>
      </c>
      <c r="D2" s="7">
        <v>2025</v>
      </c>
      <c r="E2" s="8">
        <f>'Mar-25'!C5</f>
        <v>8160</v>
      </c>
      <c r="F2" s="9">
        <f>'Mar-25'!D5/'Mar-25'!C5</f>
        <v>0.44</v>
      </c>
      <c r="G2" s="8">
        <f>'Mar-25'!P5</f>
        <v>631</v>
      </c>
      <c r="H2" s="9">
        <f>'Mar-25'!Q5/'Mar-25'!P5</f>
        <v>1.8399999999999999</v>
      </c>
      <c r="I2" s="8">
        <f>'Mar-25'!I5*0.00454609</f>
        <v>86.616652770000002</v>
      </c>
      <c r="J2" s="10">
        <f>'Mar-25'!J5/Total!I2</f>
        <v>13.198154897945267</v>
      </c>
      <c r="K2" s="8"/>
      <c r="L2" s="8"/>
    </row>
    <row r="3" spans="1:12" x14ac:dyDescent="0.3">
      <c r="A3" s="6" t="s">
        <v>49</v>
      </c>
      <c r="B3" s="7">
        <f>B2+1</f>
        <v>2</v>
      </c>
      <c r="C3" s="7">
        <v>3</v>
      </c>
      <c r="D3" s="7">
        <v>2025</v>
      </c>
      <c r="E3" s="8">
        <f>'Mar-25'!C6</f>
        <v>8160</v>
      </c>
      <c r="F3" s="9">
        <f>'Mar-25'!D6/'Mar-25'!C6</f>
        <v>0.44</v>
      </c>
      <c r="G3" s="8">
        <f>'Mar-25'!P6</f>
        <v>688</v>
      </c>
      <c r="H3" s="9">
        <f>'Mar-25'!Q6/'Mar-25'!P6</f>
        <v>1.84</v>
      </c>
      <c r="I3" s="8">
        <f>'Mar-25'!I6*0.00454609</f>
        <v>83.629871640000005</v>
      </c>
      <c r="J3" s="10">
        <f>'Mar-25'!J6/Total!I3</f>
        <v>13.198154897945267</v>
      </c>
      <c r="K3" s="8"/>
      <c r="L3" s="8"/>
    </row>
    <row r="4" spans="1:12" x14ac:dyDescent="0.3">
      <c r="A4" s="6" t="s">
        <v>49</v>
      </c>
      <c r="B4" s="7">
        <f t="shared" ref="B4:B32" si="0">B3+1</f>
        <v>3</v>
      </c>
      <c r="C4" s="7">
        <v>3</v>
      </c>
      <c r="D4" s="7">
        <v>2025</v>
      </c>
      <c r="E4" s="8">
        <f>'Mar-25'!C7</f>
        <v>8160</v>
      </c>
      <c r="F4" s="9">
        <f>'Mar-25'!D7/'Mar-25'!C7</f>
        <v>0.44</v>
      </c>
      <c r="G4" s="8">
        <f>'Mar-25'!P7</f>
        <v>636</v>
      </c>
      <c r="H4" s="9">
        <f>'Mar-25'!Q7/'Mar-25'!P7</f>
        <v>1.84</v>
      </c>
      <c r="I4" s="8">
        <f>'Mar-25'!I7*0.00454609</f>
        <v>80.643090510000007</v>
      </c>
      <c r="J4" s="10">
        <f>'Mar-25'!J7/Total!I4</f>
        <v>13.198154897945265</v>
      </c>
      <c r="K4" s="8"/>
      <c r="L4" s="8"/>
    </row>
    <row r="5" spans="1:12" x14ac:dyDescent="0.3">
      <c r="A5" s="6" t="s">
        <v>49</v>
      </c>
      <c r="B5" s="7">
        <f t="shared" si="0"/>
        <v>4</v>
      </c>
      <c r="C5" s="7">
        <v>3</v>
      </c>
      <c r="D5" s="7">
        <v>2025</v>
      </c>
      <c r="E5" s="8">
        <f>'Mar-25'!C8</f>
        <v>8640</v>
      </c>
      <c r="F5" s="9">
        <f>'Mar-25'!D8/'Mar-25'!C8</f>
        <v>0.44</v>
      </c>
      <c r="G5" s="8">
        <f>'Mar-25'!P8</f>
        <v>601</v>
      </c>
      <c r="H5" s="9">
        <f>'Mar-25'!Q8/'Mar-25'!P8</f>
        <v>1.8400000000000003</v>
      </c>
      <c r="I5" s="8">
        <f>'Mar-25'!I8*0.00454609</f>
        <v>81.638684220000002</v>
      </c>
      <c r="J5" s="10">
        <f>'Mar-25'!J8/Total!I5</f>
        <v>13.198154897945267</v>
      </c>
      <c r="K5" s="8"/>
      <c r="L5" s="8"/>
    </row>
    <row r="6" spans="1:12" x14ac:dyDescent="0.3">
      <c r="A6" s="6" t="s">
        <v>49</v>
      </c>
      <c r="B6" s="7">
        <f t="shared" si="0"/>
        <v>5</v>
      </c>
      <c r="C6" s="7">
        <v>3</v>
      </c>
      <c r="D6" s="7">
        <v>2025</v>
      </c>
      <c r="E6" s="8">
        <f>'Mar-25'!C9</f>
        <v>8160</v>
      </c>
      <c r="F6" s="9">
        <f>'Mar-25'!D9/'Mar-25'!C9</f>
        <v>0.44</v>
      </c>
      <c r="G6" s="8">
        <f>'Mar-25'!P9</f>
        <v>626</v>
      </c>
      <c r="H6" s="9">
        <f>'Mar-25'!Q9/'Mar-25'!P9</f>
        <v>1.8400000000000003</v>
      </c>
      <c r="I6" s="8">
        <f>'Mar-25'!I9*0.00454609</f>
        <v>71.964604699999995</v>
      </c>
      <c r="J6" s="10">
        <f>'Mar-25'!J9/Total!I6</f>
        <v>13.198154897945267</v>
      </c>
      <c r="K6" s="8"/>
      <c r="L6" s="8"/>
    </row>
    <row r="7" spans="1:12" x14ac:dyDescent="0.3">
      <c r="A7" s="6" t="s">
        <v>49</v>
      </c>
      <c r="B7" s="7">
        <f t="shared" si="0"/>
        <v>6</v>
      </c>
      <c r="C7" s="7">
        <v>3</v>
      </c>
      <c r="D7" s="7">
        <v>2025</v>
      </c>
      <c r="E7" s="8">
        <f>'Mar-25'!C10</f>
        <v>9600</v>
      </c>
      <c r="F7" s="9">
        <f>'Mar-25'!D10/'Mar-25'!C10</f>
        <v>0.44</v>
      </c>
      <c r="G7" s="8">
        <f>'Mar-25'!P10</f>
        <v>634</v>
      </c>
      <c r="H7" s="9">
        <f>'Mar-25'!Q10/'Mar-25'!P10</f>
        <v>1.8399999999999999</v>
      </c>
      <c r="I7" s="8">
        <f>'Mar-25'!I10*0.00454609</f>
        <v>49.779685499999999</v>
      </c>
      <c r="J7" s="10">
        <f>'Mar-25'!J10/Total!I7</f>
        <v>13.198154897945267</v>
      </c>
      <c r="K7" s="8"/>
      <c r="L7" s="8"/>
    </row>
    <row r="8" spans="1:12" x14ac:dyDescent="0.3">
      <c r="A8" s="6" t="s">
        <v>49</v>
      </c>
      <c r="B8" s="7">
        <f t="shared" si="0"/>
        <v>7</v>
      </c>
      <c r="C8" s="7">
        <v>3</v>
      </c>
      <c r="D8" s="7">
        <v>2025</v>
      </c>
      <c r="E8" s="8">
        <f>'Mar-25'!C11</f>
        <v>9120</v>
      </c>
      <c r="F8" s="9">
        <f>'Mar-25'!D11/'Mar-25'!C11</f>
        <v>0.44</v>
      </c>
      <c r="G8" s="8">
        <f>'Mar-25'!P11</f>
        <v>639</v>
      </c>
      <c r="H8" s="9">
        <f>'Mar-25'!Q11/'Mar-25'!P11</f>
        <v>1.84</v>
      </c>
      <c r="I8" s="8">
        <f>'Mar-25'!I11*0.00454609</f>
        <v>66.704778570000002</v>
      </c>
      <c r="J8" s="10">
        <f>'Mar-25'!J11/Total!I8</f>
        <v>13.198154897945267</v>
      </c>
      <c r="K8" s="8"/>
      <c r="L8" s="8"/>
    </row>
    <row r="9" spans="1:12" x14ac:dyDescent="0.3">
      <c r="A9" s="6" t="s">
        <v>49</v>
      </c>
      <c r="B9" s="7">
        <f t="shared" si="0"/>
        <v>8</v>
      </c>
      <c r="C9" s="7">
        <v>3</v>
      </c>
      <c r="D9" s="7">
        <v>2025</v>
      </c>
      <c r="E9" s="8">
        <f>'Mar-25'!C12</f>
        <v>9120</v>
      </c>
      <c r="F9" s="9">
        <f>'Mar-25'!D12/'Mar-25'!C12</f>
        <v>0.44</v>
      </c>
      <c r="G9" s="8">
        <f>'Mar-25'!P12</f>
        <v>629</v>
      </c>
      <c r="H9" s="9">
        <f>'Mar-25'!Q12/'Mar-25'!P12</f>
        <v>1.8400000000000003</v>
      </c>
      <c r="I9" s="8">
        <f>'Mar-25'!I12*0.00454609</f>
        <v>105.53293326000001</v>
      </c>
      <c r="J9" s="10">
        <f>'Mar-25'!J12/Total!I9</f>
        <v>13.198154897945265</v>
      </c>
      <c r="K9" s="8"/>
      <c r="L9" s="8"/>
    </row>
    <row r="10" spans="1:12" x14ac:dyDescent="0.3">
      <c r="A10" s="6" t="s">
        <v>49</v>
      </c>
      <c r="B10" s="7">
        <f t="shared" si="0"/>
        <v>9</v>
      </c>
      <c r="C10" s="7">
        <v>3</v>
      </c>
      <c r="D10" s="7">
        <v>2025</v>
      </c>
      <c r="E10" s="8">
        <f>'Mar-25'!C13</f>
        <v>9600</v>
      </c>
      <c r="F10" s="9">
        <f>'Mar-25'!D13/'Mar-25'!C13</f>
        <v>0.44</v>
      </c>
      <c r="G10" s="8">
        <f>'Mar-25'!P13</f>
        <v>677</v>
      </c>
      <c r="H10" s="9">
        <f>'Mar-25'!Q13/'Mar-25'!P13</f>
        <v>1.84</v>
      </c>
      <c r="I10" s="8">
        <f>'Mar-25'!I13*0.00454609</f>
        <v>76.660715670000002</v>
      </c>
      <c r="J10" s="10">
        <f>'Mar-25'!J13/Total!I10</f>
        <v>13.198154897945267</v>
      </c>
      <c r="K10" s="8"/>
      <c r="L10" s="8"/>
    </row>
    <row r="11" spans="1:12" x14ac:dyDescent="0.3">
      <c r="A11" s="6" t="s">
        <v>49</v>
      </c>
      <c r="B11" s="7">
        <f t="shared" si="0"/>
        <v>10</v>
      </c>
      <c r="C11" s="7">
        <v>3</v>
      </c>
      <c r="D11" s="7">
        <v>2025</v>
      </c>
      <c r="E11" s="8">
        <f>'Mar-25'!C14</f>
        <v>8640</v>
      </c>
      <c r="F11" s="9">
        <f>'Mar-25'!D14/'Mar-25'!C14</f>
        <v>0.44</v>
      </c>
      <c r="G11" s="8">
        <f>'Mar-25'!P14</f>
        <v>561</v>
      </c>
      <c r="H11" s="9">
        <f>'Mar-25'!Q14/'Mar-25'!P14</f>
        <v>1.84</v>
      </c>
      <c r="I11" s="8">
        <f>'Mar-25'!I14*0.00454609</f>
        <v>72.678340829999996</v>
      </c>
      <c r="J11" s="10">
        <f>'Mar-25'!J14/Total!I11</f>
        <v>13.198154897945267</v>
      </c>
      <c r="K11" s="8"/>
      <c r="L11" s="8"/>
    </row>
    <row r="12" spans="1:12" x14ac:dyDescent="0.3">
      <c r="A12" s="6" t="s">
        <v>49</v>
      </c>
      <c r="B12" s="7">
        <f t="shared" si="0"/>
        <v>11</v>
      </c>
      <c r="C12" s="7">
        <v>3</v>
      </c>
      <c r="D12" s="7">
        <v>2025</v>
      </c>
      <c r="E12" s="8">
        <f>'Mar-25'!C15</f>
        <v>0</v>
      </c>
      <c r="F12" s="9" t="e">
        <f>'Mar-25'!D15/'Mar-25'!C15</f>
        <v>#DIV/0!</v>
      </c>
      <c r="G12" s="8">
        <f>'Mar-25'!P15</f>
        <v>0</v>
      </c>
      <c r="H12" s="9" t="e">
        <f>'Mar-25'!Q15/'Mar-25'!P15</f>
        <v>#DIV/0!</v>
      </c>
      <c r="I12" s="8">
        <f>'Mar-25'!I15*0.00454609</f>
        <v>0</v>
      </c>
      <c r="J12" s="10" t="e">
        <f>'Mar-25'!J15/Total!I12</f>
        <v>#DIV/0!</v>
      </c>
      <c r="K12" s="8"/>
      <c r="L12" s="8"/>
    </row>
    <row r="13" spans="1:12" x14ac:dyDescent="0.3">
      <c r="A13" s="6" t="s">
        <v>49</v>
      </c>
      <c r="B13" s="7">
        <f t="shared" si="0"/>
        <v>12</v>
      </c>
      <c r="C13" s="7">
        <v>3</v>
      </c>
      <c r="D13" s="7">
        <v>2025</v>
      </c>
      <c r="E13" s="8">
        <f>'Mar-25'!C16</f>
        <v>0</v>
      </c>
      <c r="F13" s="9" t="e">
        <f>'Mar-25'!D16/'Mar-25'!C16</f>
        <v>#DIV/0!</v>
      </c>
      <c r="G13" s="8">
        <f>'Mar-25'!P16</f>
        <v>0</v>
      </c>
      <c r="H13" s="9" t="e">
        <f>'Mar-25'!Q16/'Mar-25'!P16</f>
        <v>#DIV/0!</v>
      </c>
      <c r="I13" s="8">
        <f>'Mar-25'!I16*0.00454609</f>
        <v>0</v>
      </c>
      <c r="J13" s="10" t="e">
        <f>'Mar-25'!J16/Total!I13</f>
        <v>#DIV/0!</v>
      </c>
      <c r="K13" s="8"/>
      <c r="L13" s="8"/>
    </row>
    <row r="14" spans="1:12" x14ac:dyDescent="0.3">
      <c r="A14" s="6" t="s">
        <v>49</v>
      </c>
      <c r="B14" s="7">
        <f t="shared" si="0"/>
        <v>13</v>
      </c>
      <c r="C14" s="7">
        <v>3</v>
      </c>
      <c r="D14" s="7">
        <v>2025</v>
      </c>
      <c r="E14" s="8">
        <f>'Mar-25'!C17</f>
        <v>0</v>
      </c>
      <c r="F14" s="9" t="e">
        <f>'Mar-25'!D17/'Mar-25'!C17</f>
        <v>#DIV/0!</v>
      </c>
      <c r="G14" s="8">
        <f>'Mar-25'!P17</f>
        <v>0</v>
      </c>
      <c r="H14" s="9" t="e">
        <f>'Mar-25'!Q17/'Mar-25'!P17</f>
        <v>#DIV/0!</v>
      </c>
      <c r="I14" s="8">
        <f>'Mar-25'!I17*0.00454609</f>
        <v>0</v>
      </c>
      <c r="J14" s="10" t="e">
        <f>'Mar-25'!J17/Total!I14</f>
        <v>#DIV/0!</v>
      </c>
      <c r="K14" s="8"/>
      <c r="L14" s="8"/>
    </row>
    <row r="15" spans="1:12" x14ac:dyDescent="0.3">
      <c r="A15" s="6" t="s">
        <v>49</v>
      </c>
      <c r="B15" s="7">
        <f t="shared" si="0"/>
        <v>14</v>
      </c>
      <c r="C15" s="7">
        <v>3</v>
      </c>
      <c r="D15" s="7">
        <v>2025</v>
      </c>
      <c r="E15" s="8">
        <f>'Mar-25'!C18</f>
        <v>0</v>
      </c>
      <c r="F15" s="9" t="e">
        <f>'Mar-25'!D18/'Mar-25'!C18</f>
        <v>#DIV/0!</v>
      </c>
      <c r="G15" s="8">
        <f>'Mar-25'!P18</f>
        <v>0</v>
      </c>
      <c r="H15" s="9" t="e">
        <f>'Mar-25'!Q18/'Mar-25'!P18</f>
        <v>#DIV/0!</v>
      </c>
      <c r="I15" s="8">
        <f>'Mar-25'!I18*0.00454609</f>
        <v>0</v>
      </c>
      <c r="J15" s="10" t="e">
        <f>'Mar-25'!J18/Total!I15</f>
        <v>#DIV/0!</v>
      </c>
      <c r="K15" s="8"/>
      <c r="L15" s="8"/>
    </row>
    <row r="16" spans="1:12" x14ac:dyDescent="0.3">
      <c r="A16" s="6" t="s">
        <v>49</v>
      </c>
      <c r="B16" s="7">
        <f t="shared" si="0"/>
        <v>15</v>
      </c>
      <c r="C16" s="7">
        <v>3</v>
      </c>
      <c r="D16" s="7">
        <v>2025</v>
      </c>
      <c r="E16" s="8">
        <f>'Mar-25'!C19</f>
        <v>0</v>
      </c>
      <c r="F16" s="9" t="e">
        <f>'Mar-25'!D19/'Mar-25'!C19</f>
        <v>#DIV/0!</v>
      </c>
      <c r="G16" s="8">
        <f>'Mar-25'!P19</f>
        <v>0</v>
      </c>
      <c r="H16" s="9" t="e">
        <f>'Mar-25'!Q19/'Mar-25'!P19</f>
        <v>#DIV/0!</v>
      </c>
      <c r="I16" s="8">
        <f>'Mar-25'!I19*0.00454609</f>
        <v>0</v>
      </c>
      <c r="J16" s="10" t="e">
        <f>'Mar-25'!J19/Total!I16</f>
        <v>#DIV/0!</v>
      </c>
      <c r="K16" s="8"/>
      <c r="L16" s="8"/>
    </row>
    <row r="17" spans="1:12" x14ac:dyDescent="0.3">
      <c r="A17" s="6" t="s">
        <v>49</v>
      </c>
      <c r="B17" s="7">
        <f t="shared" si="0"/>
        <v>16</v>
      </c>
      <c r="C17" s="7">
        <v>3</v>
      </c>
      <c r="D17" s="7">
        <v>2025</v>
      </c>
      <c r="E17" s="8">
        <f>'Mar-25'!C20</f>
        <v>0</v>
      </c>
      <c r="F17" s="9" t="e">
        <f>'Mar-25'!D20/'Mar-25'!C20</f>
        <v>#DIV/0!</v>
      </c>
      <c r="G17" s="8">
        <f>'Mar-25'!P20</f>
        <v>0</v>
      </c>
      <c r="H17" s="9" t="e">
        <f>'Mar-25'!Q20/'Mar-25'!P20</f>
        <v>#DIV/0!</v>
      </c>
      <c r="I17" s="8">
        <f>'Mar-25'!I20*0.00454609</f>
        <v>0</v>
      </c>
      <c r="J17" s="10" t="e">
        <f>'Mar-25'!J20/Total!I17</f>
        <v>#DIV/0!</v>
      </c>
      <c r="K17" s="8"/>
      <c r="L17" s="8"/>
    </row>
    <row r="18" spans="1:12" x14ac:dyDescent="0.3">
      <c r="A18" s="6" t="s">
        <v>49</v>
      </c>
      <c r="B18" s="7">
        <f t="shared" si="0"/>
        <v>17</v>
      </c>
      <c r="C18" s="7">
        <v>3</v>
      </c>
      <c r="D18" s="7">
        <v>2025</v>
      </c>
      <c r="E18" s="8">
        <f>'Mar-25'!C21</f>
        <v>0</v>
      </c>
      <c r="F18" s="9" t="e">
        <f>'Mar-25'!D21/'Mar-25'!C21</f>
        <v>#DIV/0!</v>
      </c>
      <c r="G18" s="8">
        <f>'Mar-25'!P21</f>
        <v>0</v>
      </c>
      <c r="H18" s="9" t="e">
        <f>'Mar-25'!Q21/'Mar-25'!P21</f>
        <v>#DIV/0!</v>
      </c>
      <c r="I18" s="8">
        <f>'Mar-25'!I21*0.00454609</f>
        <v>0</v>
      </c>
      <c r="J18" s="10" t="e">
        <f>'Mar-25'!J21/Total!I18</f>
        <v>#DIV/0!</v>
      </c>
      <c r="K18" s="8"/>
      <c r="L18" s="8"/>
    </row>
    <row r="19" spans="1:12" x14ac:dyDescent="0.3">
      <c r="A19" s="6" t="s">
        <v>49</v>
      </c>
      <c r="B19" s="7">
        <f t="shared" si="0"/>
        <v>18</v>
      </c>
      <c r="C19" s="7">
        <v>3</v>
      </c>
      <c r="D19" s="7">
        <v>2025</v>
      </c>
      <c r="E19" s="8">
        <f>'Mar-25'!C22</f>
        <v>0</v>
      </c>
      <c r="F19" s="9" t="e">
        <f>'Mar-25'!D22/'Mar-25'!C22</f>
        <v>#DIV/0!</v>
      </c>
      <c r="G19" s="8">
        <f>'Mar-25'!P22</f>
        <v>0</v>
      </c>
      <c r="H19" s="9" t="e">
        <f>'Mar-25'!Q22/'Mar-25'!P22</f>
        <v>#DIV/0!</v>
      </c>
      <c r="I19" s="8">
        <f>'Mar-25'!I22*0.00454609</f>
        <v>0</v>
      </c>
      <c r="J19" s="10" t="e">
        <f>'Mar-25'!J22/Total!I19</f>
        <v>#DIV/0!</v>
      </c>
      <c r="K19" s="8"/>
      <c r="L19" s="8"/>
    </row>
    <row r="20" spans="1:12" x14ac:dyDescent="0.3">
      <c r="A20" s="6" t="s">
        <v>49</v>
      </c>
      <c r="B20" s="7">
        <f t="shared" si="0"/>
        <v>19</v>
      </c>
      <c r="C20" s="7">
        <v>3</v>
      </c>
      <c r="D20" s="7">
        <v>2025</v>
      </c>
      <c r="E20" s="8">
        <f>'Mar-25'!C23</f>
        <v>0</v>
      </c>
      <c r="F20" s="9" t="e">
        <f>'Mar-25'!D23/'Mar-25'!C23</f>
        <v>#DIV/0!</v>
      </c>
      <c r="G20" s="8">
        <f>'Mar-25'!P23</f>
        <v>0</v>
      </c>
      <c r="H20" s="9" t="e">
        <f>'Mar-25'!Q23/'Mar-25'!P23</f>
        <v>#DIV/0!</v>
      </c>
      <c r="I20" s="8">
        <f>'Mar-25'!I23*0.00454609</f>
        <v>0</v>
      </c>
      <c r="J20" s="10" t="e">
        <f>'Mar-25'!J23/Total!I20</f>
        <v>#DIV/0!</v>
      </c>
      <c r="K20" s="8"/>
      <c r="L20" s="8"/>
    </row>
    <row r="21" spans="1:12" x14ac:dyDescent="0.3">
      <c r="A21" s="6" t="s">
        <v>49</v>
      </c>
      <c r="B21" s="7">
        <f t="shared" si="0"/>
        <v>20</v>
      </c>
      <c r="C21" s="7">
        <v>3</v>
      </c>
      <c r="D21" s="7">
        <v>2025</v>
      </c>
      <c r="E21" s="8">
        <f>'Mar-25'!C24</f>
        <v>0</v>
      </c>
      <c r="F21" s="9" t="e">
        <f>'Mar-25'!D24/'Mar-25'!C24</f>
        <v>#DIV/0!</v>
      </c>
      <c r="G21" s="8">
        <f>'Mar-25'!P24</f>
        <v>0</v>
      </c>
      <c r="H21" s="9" t="e">
        <f>'Mar-25'!Q24/'Mar-25'!P24</f>
        <v>#DIV/0!</v>
      </c>
      <c r="I21" s="8">
        <f>'Mar-25'!I24*0.00454609</f>
        <v>0</v>
      </c>
      <c r="J21" s="10" t="e">
        <f>'Mar-25'!J24/Total!I21</f>
        <v>#DIV/0!</v>
      </c>
      <c r="K21" s="8"/>
      <c r="L21" s="8"/>
    </row>
    <row r="22" spans="1:12" x14ac:dyDescent="0.3">
      <c r="A22" s="6" t="s">
        <v>49</v>
      </c>
      <c r="B22" s="7">
        <f t="shared" si="0"/>
        <v>21</v>
      </c>
      <c r="C22" s="7">
        <v>3</v>
      </c>
      <c r="D22" s="7">
        <v>2025</v>
      </c>
      <c r="E22" s="8">
        <f>'Mar-25'!C25</f>
        <v>0</v>
      </c>
      <c r="F22" s="9" t="e">
        <f>'Mar-25'!D25/'Mar-25'!C25</f>
        <v>#DIV/0!</v>
      </c>
      <c r="G22" s="8">
        <f>'Mar-25'!P25</f>
        <v>0</v>
      </c>
      <c r="H22" s="9" t="e">
        <f>'Mar-25'!Q25/'Mar-25'!P25</f>
        <v>#DIV/0!</v>
      </c>
      <c r="I22" s="8">
        <f>'Mar-25'!I25*0.00454609</f>
        <v>0</v>
      </c>
      <c r="J22" s="10" t="e">
        <f>'Mar-25'!J25/Total!I22</f>
        <v>#DIV/0!</v>
      </c>
      <c r="K22" s="8"/>
      <c r="L22" s="8"/>
    </row>
    <row r="23" spans="1:12" x14ac:dyDescent="0.3">
      <c r="A23" s="6" t="s">
        <v>49</v>
      </c>
      <c r="B23" s="7">
        <f t="shared" si="0"/>
        <v>22</v>
      </c>
      <c r="C23" s="7">
        <v>3</v>
      </c>
      <c r="D23" s="7">
        <v>2025</v>
      </c>
      <c r="E23" s="8">
        <f>'Mar-25'!C26</f>
        <v>0</v>
      </c>
      <c r="F23" s="9" t="e">
        <f>'Mar-25'!D26/'Mar-25'!C26</f>
        <v>#DIV/0!</v>
      </c>
      <c r="G23" s="8">
        <f>'Mar-25'!P26</f>
        <v>0</v>
      </c>
      <c r="H23" s="9" t="e">
        <f>'Mar-25'!Q26/'Mar-25'!P26</f>
        <v>#DIV/0!</v>
      </c>
      <c r="I23" s="8">
        <f>'Mar-25'!I26*0.00454609</f>
        <v>0</v>
      </c>
      <c r="J23" s="10" t="e">
        <f>'Mar-25'!J26/Total!I23</f>
        <v>#DIV/0!</v>
      </c>
      <c r="K23" s="8"/>
      <c r="L23" s="8"/>
    </row>
    <row r="24" spans="1:12" x14ac:dyDescent="0.3">
      <c r="A24" s="6" t="s">
        <v>49</v>
      </c>
      <c r="B24" s="7">
        <f t="shared" si="0"/>
        <v>23</v>
      </c>
      <c r="C24" s="7">
        <v>3</v>
      </c>
      <c r="D24" s="7">
        <v>2025</v>
      </c>
      <c r="E24" s="8">
        <f>'Mar-25'!C27</f>
        <v>0</v>
      </c>
      <c r="F24" s="9" t="e">
        <f>'Mar-25'!D27/'Mar-25'!C27</f>
        <v>#DIV/0!</v>
      </c>
      <c r="G24" s="8">
        <f>'Mar-25'!P27</f>
        <v>0</v>
      </c>
      <c r="H24" s="9" t="e">
        <f>'Mar-25'!Q27/'Mar-25'!P27</f>
        <v>#DIV/0!</v>
      </c>
      <c r="I24" s="8">
        <f>'Mar-25'!I27*0.00454609</f>
        <v>0</v>
      </c>
      <c r="J24" s="10" t="e">
        <f>'Mar-25'!J27/Total!I24</f>
        <v>#DIV/0!</v>
      </c>
      <c r="K24" s="8"/>
      <c r="L24" s="8"/>
    </row>
    <row r="25" spans="1:12" x14ac:dyDescent="0.3">
      <c r="A25" s="6" t="s">
        <v>49</v>
      </c>
      <c r="B25" s="7">
        <f t="shared" si="0"/>
        <v>24</v>
      </c>
      <c r="C25" s="7">
        <v>3</v>
      </c>
      <c r="D25" s="7">
        <v>2025</v>
      </c>
      <c r="E25" s="8">
        <f>'Mar-25'!C28</f>
        <v>0</v>
      </c>
      <c r="F25" s="9" t="e">
        <f>'Mar-25'!D28/'Mar-25'!C28</f>
        <v>#DIV/0!</v>
      </c>
      <c r="G25" s="8">
        <f>'Mar-25'!P28</f>
        <v>0</v>
      </c>
      <c r="H25" s="9" t="e">
        <f>'Mar-25'!Q28/'Mar-25'!P28</f>
        <v>#DIV/0!</v>
      </c>
      <c r="I25" s="8">
        <f>'Mar-25'!I28*0.00454609</f>
        <v>0</v>
      </c>
      <c r="J25" s="10" t="e">
        <f>'Mar-25'!J28/Total!I25</f>
        <v>#DIV/0!</v>
      </c>
      <c r="K25" s="8"/>
      <c r="L25" s="8"/>
    </row>
    <row r="26" spans="1:12" x14ac:dyDescent="0.3">
      <c r="A26" s="6" t="s">
        <v>49</v>
      </c>
      <c r="B26" s="7">
        <f>B25+1</f>
        <v>25</v>
      </c>
      <c r="C26" s="7">
        <v>3</v>
      </c>
      <c r="D26" s="7">
        <v>2025</v>
      </c>
      <c r="E26" s="8">
        <f>'Mar-25'!C29</f>
        <v>0</v>
      </c>
      <c r="F26" s="9" t="e">
        <f>'Mar-25'!D29/'Mar-25'!C29</f>
        <v>#DIV/0!</v>
      </c>
      <c r="G26" s="8">
        <f>'Mar-25'!P29</f>
        <v>0</v>
      </c>
      <c r="H26" s="9" t="e">
        <f>'Mar-25'!Q29/'Mar-25'!P29</f>
        <v>#DIV/0!</v>
      </c>
      <c r="I26" s="8">
        <f>'Mar-25'!I29*0.00454609</f>
        <v>0</v>
      </c>
      <c r="J26" s="10" t="e">
        <f>'Mar-25'!J29/Total!I26</f>
        <v>#DIV/0!</v>
      </c>
      <c r="K26" s="8"/>
      <c r="L26" s="8"/>
    </row>
    <row r="27" spans="1:12" x14ac:dyDescent="0.3">
      <c r="A27" s="6" t="s">
        <v>49</v>
      </c>
      <c r="B27" s="7">
        <f t="shared" si="0"/>
        <v>26</v>
      </c>
      <c r="C27" s="7">
        <v>3</v>
      </c>
      <c r="D27" s="7">
        <v>2025</v>
      </c>
      <c r="E27" s="8">
        <f>'Mar-25'!C30</f>
        <v>0</v>
      </c>
      <c r="F27" s="9" t="e">
        <f>'Mar-25'!D30/'Mar-25'!C30</f>
        <v>#DIV/0!</v>
      </c>
      <c r="G27" s="8">
        <f>'Mar-25'!P30</f>
        <v>0</v>
      </c>
      <c r="H27" s="9" t="e">
        <f>'Mar-25'!Q30/'Mar-25'!P30</f>
        <v>#DIV/0!</v>
      </c>
      <c r="I27" s="8">
        <f>'Mar-25'!I30*0.00454609</f>
        <v>0</v>
      </c>
      <c r="J27" s="10" t="e">
        <f>'Mar-25'!J30/Total!I27</f>
        <v>#DIV/0!</v>
      </c>
      <c r="K27" s="8"/>
      <c r="L27" s="8"/>
    </row>
    <row r="28" spans="1:12" x14ac:dyDescent="0.3">
      <c r="A28" s="6" t="s">
        <v>49</v>
      </c>
      <c r="B28" s="7">
        <f t="shared" si="0"/>
        <v>27</v>
      </c>
      <c r="C28" s="7">
        <v>3</v>
      </c>
      <c r="D28" s="7">
        <v>2025</v>
      </c>
      <c r="E28" s="8">
        <f>'Mar-25'!C31</f>
        <v>0</v>
      </c>
      <c r="F28" s="9" t="e">
        <f>'Mar-25'!D31/'Mar-25'!C31</f>
        <v>#DIV/0!</v>
      </c>
      <c r="G28" s="8">
        <f>'Mar-25'!P31</f>
        <v>0</v>
      </c>
      <c r="H28" s="9" t="e">
        <f>'Mar-25'!Q31/'Mar-25'!P31</f>
        <v>#DIV/0!</v>
      </c>
      <c r="I28" s="8">
        <f>'Mar-25'!I31*0.00454609</f>
        <v>0</v>
      </c>
      <c r="J28" s="10" t="e">
        <f>'Mar-25'!J31/Total!I28</f>
        <v>#DIV/0!</v>
      </c>
      <c r="K28" s="8"/>
      <c r="L28" s="8"/>
    </row>
    <row r="29" spans="1:12" x14ac:dyDescent="0.3">
      <c r="A29" s="6" t="s">
        <v>49</v>
      </c>
      <c r="B29" s="7">
        <f t="shared" si="0"/>
        <v>28</v>
      </c>
      <c r="C29" s="7">
        <v>3</v>
      </c>
      <c r="D29" s="7">
        <v>2025</v>
      </c>
      <c r="E29" s="8">
        <f>'Mar-25'!C32</f>
        <v>0</v>
      </c>
      <c r="F29" s="9" t="e">
        <f>'Mar-25'!D32/'Mar-25'!C32</f>
        <v>#DIV/0!</v>
      </c>
      <c r="G29" s="8">
        <f>'Mar-25'!P32</f>
        <v>0</v>
      </c>
      <c r="H29" s="9" t="e">
        <f>'Mar-25'!Q32/'Mar-25'!P32</f>
        <v>#DIV/0!</v>
      </c>
      <c r="I29" s="8">
        <f>'Mar-25'!I32*0.00454609</f>
        <v>0</v>
      </c>
      <c r="J29" s="10" t="e">
        <f>'Mar-25'!J32/Total!I29</f>
        <v>#DIV/0!</v>
      </c>
      <c r="K29" s="8"/>
      <c r="L29" s="8"/>
    </row>
    <row r="30" spans="1:12" x14ac:dyDescent="0.3">
      <c r="A30" s="6" t="s">
        <v>49</v>
      </c>
      <c r="B30" s="7">
        <f t="shared" si="0"/>
        <v>29</v>
      </c>
      <c r="C30" s="7">
        <v>3</v>
      </c>
      <c r="D30" s="7">
        <v>2025</v>
      </c>
      <c r="E30" s="8">
        <f>'Mar-25'!C33</f>
        <v>0</v>
      </c>
      <c r="F30" s="9" t="e">
        <f>'Mar-25'!D33/'Mar-25'!C33</f>
        <v>#DIV/0!</v>
      </c>
      <c r="G30" s="8">
        <f>'Mar-25'!P33</f>
        <v>0</v>
      </c>
      <c r="H30" s="9" t="e">
        <f>'Mar-25'!Q33/'Mar-25'!P33</f>
        <v>#DIV/0!</v>
      </c>
      <c r="I30" s="8">
        <f>'Mar-25'!I33*0.00454609</f>
        <v>0</v>
      </c>
      <c r="J30" s="10" t="e">
        <f>'Mar-25'!J33/Total!I30</f>
        <v>#DIV/0!</v>
      </c>
      <c r="K30" s="8"/>
      <c r="L30" s="8"/>
    </row>
    <row r="31" spans="1:12" x14ac:dyDescent="0.3">
      <c r="A31" s="6" t="s">
        <v>49</v>
      </c>
      <c r="B31" s="7">
        <f t="shared" si="0"/>
        <v>30</v>
      </c>
      <c r="C31" s="7">
        <v>3</v>
      </c>
      <c r="D31" s="7">
        <v>2025</v>
      </c>
      <c r="E31" s="8">
        <f>'Mar-25'!C34</f>
        <v>0</v>
      </c>
      <c r="F31" s="9" t="e">
        <f>'Mar-25'!D34/'Mar-25'!C34</f>
        <v>#DIV/0!</v>
      </c>
      <c r="G31" s="8">
        <f>'Mar-25'!P34</f>
        <v>0</v>
      </c>
      <c r="H31" s="9" t="e">
        <f>'Mar-25'!Q34/'Mar-25'!P34</f>
        <v>#DIV/0!</v>
      </c>
      <c r="I31" s="8">
        <f>'Mar-25'!I34*0.00454609</f>
        <v>0</v>
      </c>
      <c r="J31" s="10" t="e">
        <f>'Mar-25'!J34/Total!I31</f>
        <v>#DIV/0!</v>
      </c>
      <c r="K31" s="8"/>
      <c r="L31" s="8"/>
    </row>
    <row r="32" spans="1:12" x14ac:dyDescent="0.3">
      <c r="A32" s="6" t="s">
        <v>49</v>
      </c>
      <c r="B32" s="7">
        <f t="shared" si="0"/>
        <v>31</v>
      </c>
      <c r="C32" s="7">
        <v>3</v>
      </c>
      <c r="D32" s="7">
        <v>2025</v>
      </c>
      <c r="E32" s="8">
        <f>'Mar-25'!C35</f>
        <v>0</v>
      </c>
      <c r="F32" s="9" t="e">
        <f>'Mar-25'!D35/'Mar-25'!C35</f>
        <v>#DIV/0!</v>
      </c>
      <c r="G32" s="8">
        <f>'Mar-25'!P35</f>
        <v>0</v>
      </c>
      <c r="H32" s="9" t="e">
        <f>'Mar-25'!Q35/'Mar-25'!P35</f>
        <v>#DIV/0!</v>
      </c>
      <c r="I32" s="8">
        <f>'Mar-25'!I35*0.00454609</f>
        <v>0</v>
      </c>
      <c r="J32" s="10" t="e">
        <f>'Mar-25'!J35/Total!I32</f>
        <v>#DIV/0!</v>
      </c>
      <c r="K32" s="8"/>
      <c r="L32" s="8"/>
    </row>
    <row r="33" spans="7:7" x14ac:dyDescent="0.3">
      <c r="G3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095F-0997-438A-AAF5-2E77518AB87A}">
  <dimension ref="A1:V49"/>
  <sheetViews>
    <sheetView topLeftCell="G1" zoomScale="85" zoomScaleNormal="85" workbookViewId="0">
      <selection activeCell="D5" sqref="D5"/>
    </sheetView>
  </sheetViews>
  <sheetFormatPr defaultRowHeight="14.4" x14ac:dyDescent="0.3"/>
  <cols>
    <col min="1" max="1" width="14.6640625" style="18" bestFit="1" customWidth="1"/>
    <col min="2" max="2" width="13.88671875" style="18" customWidth="1"/>
    <col min="3" max="3" width="13.44140625" style="18" customWidth="1"/>
    <col min="4" max="4" width="17.6640625" style="18" customWidth="1"/>
    <col min="5" max="5" width="18.5546875" style="18" customWidth="1"/>
    <col min="6" max="6" width="20.6640625" style="18" customWidth="1"/>
    <col min="7" max="7" width="15.109375" style="18" customWidth="1"/>
    <col min="8" max="8" width="14.33203125" style="18" customWidth="1"/>
    <col min="9" max="9" width="14.88671875" style="18" customWidth="1"/>
    <col min="10" max="10" width="13.6640625" style="18" customWidth="1"/>
    <col min="11" max="12" width="19.88671875" style="18" bestFit="1" customWidth="1"/>
    <col min="13" max="13" width="13.6640625" style="18" customWidth="1"/>
    <col min="14" max="14" width="19.44140625" style="18" customWidth="1"/>
    <col min="15" max="15" width="12.33203125" style="18" customWidth="1"/>
    <col min="16" max="16" width="14.109375" style="18" customWidth="1"/>
    <col min="17" max="17" width="12.44140625" style="18" customWidth="1"/>
    <col min="18" max="18" width="16.5546875" style="18" customWidth="1"/>
    <col min="19" max="19" width="19.109375" style="18" bestFit="1" customWidth="1"/>
    <col min="20" max="20" width="16.6640625" style="18" customWidth="1"/>
    <col min="21" max="16384" width="8.88671875" style="18"/>
  </cols>
  <sheetData>
    <row r="1" spans="1:22" ht="46.8" thickBot="1" x14ac:dyDescent="0.35">
      <c r="A1" s="15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2" ht="21" customHeight="1" x14ac:dyDescent="0.3">
      <c r="A2" s="19" t="s">
        <v>1</v>
      </c>
      <c r="B2" s="20" t="s">
        <v>13</v>
      </c>
      <c r="C2" s="21"/>
      <c r="D2" s="21"/>
      <c r="E2" s="21"/>
      <c r="F2" s="21"/>
      <c r="G2" s="22"/>
      <c r="H2" s="23" t="s">
        <v>14</v>
      </c>
      <c r="I2" s="24"/>
      <c r="J2" s="24"/>
      <c r="K2" s="24"/>
      <c r="L2" s="24"/>
      <c r="M2" s="25"/>
      <c r="N2" s="26" t="s">
        <v>15</v>
      </c>
      <c r="O2" s="27"/>
      <c r="P2" s="27"/>
      <c r="Q2" s="27"/>
      <c r="R2" s="27"/>
      <c r="S2" s="27"/>
      <c r="T2" s="28"/>
    </row>
    <row r="3" spans="1:22" ht="15.75" customHeight="1" thickBot="1" x14ac:dyDescent="0.35">
      <c r="A3" s="29"/>
      <c r="B3" s="30"/>
      <c r="C3" s="31"/>
      <c r="D3" s="31"/>
      <c r="E3" s="31"/>
      <c r="F3" s="31"/>
      <c r="G3" s="32"/>
      <c r="H3" s="33"/>
      <c r="I3" s="34"/>
      <c r="J3" s="34"/>
      <c r="K3" s="34"/>
      <c r="L3" s="34"/>
      <c r="M3" s="35"/>
      <c r="N3" s="36"/>
      <c r="O3" s="37"/>
      <c r="P3" s="37"/>
      <c r="Q3" s="37"/>
      <c r="R3" s="37"/>
      <c r="S3" s="37"/>
      <c r="T3" s="38"/>
    </row>
    <row r="4" spans="1:22" ht="43.8" thickBot="1" x14ac:dyDescent="0.35">
      <c r="A4" s="39"/>
      <c r="B4" s="40" t="s">
        <v>16</v>
      </c>
      <c r="C4" s="41" t="s">
        <v>17</v>
      </c>
      <c r="D4" s="41" t="s">
        <v>18</v>
      </c>
      <c r="E4" s="42" t="s">
        <v>19</v>
      </c>
      <c r="F4" s="43" t="s">
        <v>20</v>
      </c>
      <c r="G4" s="41" t="s">
        <v>21</v>
      </c>
      <c r="H4" s="44" t="s">
        <v>16</v>
      </c>
      <c r="I4" s="45" t="s">
        <v>22</v>
      </c>
      <c r="J4" s="45" t="s">
        <v>18</v>
      </c>
      <c r="K4" s="46" t="s">
        <v>23</v>
      </c>
      <c r="L4" s="47" t="s">
        <v>20</v>
      </c>
      <c r="M4" s="45" t="s">
        <v>24</v>
      </c>
      <c r="N4" s="48" t="s">
        <v>16</v>
      </c>
      <c r="O4" s="49" t="s">
        <v>25</v>
      </c>
      <c r="P4" s="49" t="s">
        <v>26</v>
      </c>
      <c r="Q4" s="49" t="s">
        <v>18</v>
      </c>
      <c r="R4" s="49" t="s">
        <v>23</v>
      </c>
      <c r="S4" s="50" t="s">
        <v>20</v>
      </c>
      <c r="T4" s="49" t="s">
        <v>27</v>
      </c>
      <c r="U4" s="51"/>
      <c r="V4" s="51"/>
    </row>
    <row r="5" spans="1:22" ht="15" thickBot="1" x14ac:dyDescent="0.35">
      <c r="A5" s="52">
        <v>45717</v>
      </c>
      <c r="B5" s="53">
        <v>3614.83</v>
      </c>
      <c r="C5" s="54">
        <v>8160</v>
      </c>
      <c r="D5" s="55">
        <f>C5*0.44</f>
        <v>3590.4</v>
      </c>
      <c r="E5" s="56">
        <f>B5-D5</f>
        <v>24.429999999999836</v>
      </c>
      <c r="F5" s="57">
        <f t="shared" ref="F5:F14" si="0">3756.77-D5</f>
        <v>166.36999999999989</v>
      </c>
      <c r="G5" s="54">
        <v>8640</v>
      </c>
      <c r="H5" s="58">
        <v>1121.9000000000001</v>
      </c>
      <c r="I5" s="59">
        <v>19053</v>
      </c>
      <c r="J5" s="60">
        <f t="shared" ref="J5:J36" si="1">I5*0.06</f>
        <v>1143.18</v>
      </c>
      <c r="K5" s="60">
        <f>H5-J5</f>
        <v>-21.279999999999973</v>
      </c>
      <c r="L5" s="61">
        <f t="shared" ref="L5:L14" si="2">1076.83-J5</f>
        <v>-66.350000000000136</v>
      </c>
      <c r="M5" s="59">
        <v>16863</v>
      </c>
      <c r="N5" s="62">
        <v>1223</v>
      </c>
      <c r="O5" s="63"/>
      <c r="P5" s="63">
        <v>631</v>
      </c>
      <c r="Q5" s="63">
        <f t="shared" ref="Q5:Q36" si="3">P5*1.84</f>
        <v>1161.04</v>
      </c>
      <c r="R5" s="64">
        <f>N5-Q5</f>
        <v>61.960000000000036</v>
      </c>
      <c r="S5" s="65">
        <f t="shared" ref="S5:S14" si="4">1241.93-Q5</f>
        <v>80.8900000000001</v>
      </c>
      <c r="T5" s="63">
        <v>534</v>
      </c>
    </row>
    <row r="6" spans="1:22" ht="15" thickBot="1" x14ac:dyDescent="0.35">
      <c r="A6" s="52">
        <v>45718</v>
      </c>
      <c r="B6" s="53">
        <v>3614.83</v>
      </c>
      <c r="C6" s="54">
        <v>8160</v>
      </c>
      <c r="D6" s="55">
        <f t="shared" ref="D6:D36" si="5">C6*0.44</f>
        <v>3590.4</v>
      </c>
      <c r="E6" s="56">
        <f t="shared" ref="E6:E14" si="6">B6-D6</f>
        <v>24.429999999999836</v>
      </c>
      <c r="F6" s="57">
        <f t="shared" si="0"/>
        <v>166.36999999999989</v>
      </c>
      <c r="G6" s="54">
        <v>7680</v>
      </c>
      <c r="H6" s="58">
        <v>1121.9000000000001</v>
      </c>
      <c r="I6" s="59">
        <v>18396</v>
      </c>
      <c r="J6" s="60">
        <f t="shared" si="1"/>
        <v>1103.76</v>
      </c>
      <c r="K6" s="60">
        <f t="shared" ref="K6:K14" si="7">H6-J6</f>
        <v>18.1400000000001</v>
      </c>
      <c r="L6" s="61">
        <f t="shared" si="2"/>
        <v>-26.930000000000064</v>
      </c>
      <c r="M6" s="59">
        <v>16863</v>
      </c>
      <c r="N6" s="62">
        <v>1223</v>
      </c>
      <c r="O6" s="66"/>
      <c r="P6" s="66">
        <v>688</v>
      </c>
      <c r="Q6" s="63">
        <f t="shared" si="3"/>
        <v>1265.92</v>
      </c>
      <c r="R6" s="64">
        <f t="shared" ref="R6:R14" si="8">N6-Q6</f>
        <v>-42.920000000000073</v>
      </c>
      <c r="S6" s="65">
        <f t="shared" si="4"/>
        <v>-23.990000000000009</v>
      </c>
      <c r="T6" s="66">
        <v>542</v>
      </c>
    </row>
    <row r="7" spans="1:22" ht="15" thickBot="1" x14ac:dyDescent="0.35">
      <c r="A7" s="52">
        <v>45719</v>
      </c>
      <c r="B7" s="53">
        <v>3614.83</v>
      </c>
      <c r="C7" s="54">
        <v>8160</v>
      </c>
      <c r="D7" s="55">
        <f t="shared" si="5"/>
        <v>3590.4</v>
      </c>
      <c r="E7" s="56">
        <f t="shared" si="6"/>
        <v>24.429999999999836</v>
      </c>
      <c r="F7" s="57">
        <f t="shared" si="0"/>
        <v>166.36999999999989</v>
      </c>
      <c r="G7" s="54">
        <v>8640</v>
      </c>
      <c r="H7" s="58">
        <v>1121.9000000000001</v>
      </c>
      <c r="I7" s="59">
        <v>17739</v>
      </c>
      <c r="J7" s="60">
        <f t="shared" si="1"/>
        <v>1064.3399999999999</v>
      </c>
      <c r="K7" s="60">
        <f t="shared" si="7"/>
        <v>57.560000000000173</v>
      </c>
      <c r="L7" s="61">
        <f t="shared" si="2"/>
        <v>12.490000000000009</v>
      </c>
      <c r="M7" s="59">
        <v>16637</v>
      </c>
      <c r="N7" s="62">
        <v>1223</v>
      </c>
      <c r="O7" s="66"/>
      <c r="P7" s="66">
        <v>636</v>
      </c>
      <c r="Q7" s="63">
        <f t="shared" si="3"/>
        <v>1170.24</v>
      </c>
      <c r="R7" s="64">
        <f t="shared" si="8"/>
        <v>52.759999999999991</v>
      </c>
      <c r="S7" s="65">
        <f t="shared" si="4"/>
        <v>71.690000000000055</v>
      </c>
      <c r="T7" s="66">
        <v>507</v>
      </c>
    </row>
    <row r="8" spans="1:22" ht="15" thickBot="1" x14ac:dyDescent="0.35">
      <c r="A8" s="52">
        <v>45720</v>
      </c>
      <c r="B8" s="53">
        <v>3614.83</v>
      </c>
      <c r="C8" s="54">
        <v>8640</v>
      </c>
      <c r="D8" s="55">
        <f t="shared" si="5"/>
        <v>3801.6</v>
      </c>
      <c r="E8" s="56">
        <f t="shared" si="6"/>
        <v>-186.76999999999998</v>
      </c>
      <c r="F8" s="57">
        <f t="shared" si="0"/>
        <v>-44.829999999999927</v>
      </c>
      <c r="G8" s="54">
        <v>9120</v>
      </c>
      <c r="H8" s="58">
        <v>1121.9000000000001</v>
      </c>
      <c r="I8" s="59">
        <v>17958</v>
      </c>
      <c r="J8" s="60">
        <f t="shared" si="1"/>
        <v>1077.48</v>
      </c>
      <c r="K8" s="60">
        <f t="shared" si="7"/>
        <v>44.420000000000073</v>
      </c>
      <c r="L8" s="61">
        <f t="shared" si="2"/>
        <v>-0.65000000000009095</v>
      </c>
      <c r="M8" s="59">
        <v>16651</v>
      </c>
      <c r="N8" s="62">
        <v>1223</v>
      </c>
      <c r="O8" s="66"/>
      <c r="P8" s="66">
        <v>601</v>
      </c>
      <c r="Q8" s="63">
        <f t="shared" si="3"/>
        <v>1105.8400000000001</v>
      </c>
      <c r="R8" s="64">
        <f t="shared" si="8"/>
        <v>117.15999999999985</v>
      </c>
      <c r="S8" s="65">
        <f t="shared" si="4"/>
        <v>136.08999999999992</v>
      </c>
      <c r="T8" s="66">
        <v>455</v>
      </c>
    </row>
    <row r="9" spans="1:22" ht="15" thickBot="1" x14ac:dyDescent="0.35">
      <c r="A9" s="52">
        <v>45721</v>
      </c>
      <c r="B9" s="53">
        <v>3614.83</v>
      </c>
      <c r="C9" s="54">
        <v>8160</v>
      </c>
      <c r="D9" s="55">
        <f t="shared" si="5"/>
        <v>3590.4</v>
      </c>
      <c r="E9" s="56">
        <f t="shared" si="6"/>
        <v>24.429999999999836</v>
      </c>
      <c r="F9" s="57">
        <f t="shared" si="0"/>
        <v>166.36999999999989</v>
      </c>
      <c r="G9" s="54">
        <v>8640</v>
      </c>
      <c r="H9" s="58">
        <v>1121.9000000000001</v>
      </c>
      <c r="I9" s="59">
        <v>15830</v>
      </c>
      <c r="J9" s="60">
        <f t="shared" si="1"/>
        <v>949.8</v>
      </c>
      <c r="K9" s="60">
        <f t="shared" si="7"/>
        <v>172.10000000000014</v>
      </c>
      <c r="L9" s="61">
        <f t="shared" si="2"/>
        <v>127.02999999999997</v>
      </c>
      <c r="M9" s="59">
        <v>16206</v>
      </c>
      <c r="N9" s="62">
        <v>1223</v>
      </c>
      <c r="O9" s="66"/>
      <c r="P9" s="66">
        <v>626</v>
      </c>
      <c r="Q9" s="63">
        <f t="shared" si="3"/>
        <v>1151.8400000000001</v>
      </c>
      <c r="R9" s="64">
        <f t="shared" si="8"/>
        <v>71.159999999999854</v>
      </c>
      <c r="S9" s="65">
        <f t="shared" si="4"/>
        <v>90.089999999999918</v>
      </c>
      <c r="T9" s="66">
        <v>526</v>
      </c>
    </row>
    <row r="10" spans="1:22" ht="15" thickBot="1" x14ac:dyDescent="0.35">
      <c r="A10" s="52">
        <v>45722</v>
      </c>
      <c r="B10" s="53">
        <v>3614.83</v>
      </c>
      <c r="C10" s="54">
        <v>9600</v>
      </c>
      <c r="D10" s="55">
        <f t="shared" si="5"/>
        <v>4224</v>
      </c>
      <c r="E10" s="56">
        <f t="shared" si="6"/>
        <v>-609.17000000000007</v>
      </c>
      <c r="F10" s="57">
        <f t="shared" si="0"/>
        <v>-467.23</v>
      </c>
      <c r="G10" s="54">
        <v>9120</v>
      </c>
      <c r="H10" s="58">
        <v>1121.9000000000001</v>
      </c>
      <c r="I10" s="59">
        <v>10950</v>
      </c>
      <c r="J10" s="60">
        <f t="shared" si="1"/>
        <v>657</v>
      </c>
      <c r="K10" s="60">
        <f t="shared" si="7"/>
        <v>464.90000000000009</v>
      </c>
      <c r="L10" s="61">
        <f t="shared" si="2"/>
        <v>419.82999999999993</v>
      </c>
      <c r="M10" s="59">
        <v>17082</v>
      </c>
      <c r="N10" s="62">
        <v>1223</v>
      </c>
      <c r="O10" s="66"/>
      <c r="P10" s="66">
        <v>634</v>
      </c>
      <c r="Q10" s="63">
        <f t="shared" si="3"/>
        <v>1166.56</v>
      </c>
      <c r="R10" s="64">
        <f t="shared" si="8"/>
        <v>56.440000000000055</v>
      </c>
      <c r="S10" s="65">
        <f t="shared" si="4"/>
        <v>75.370000000000118</v>
      </c>
      <c r="T10" s="66">
        <v>488</v>
      </c>
    </row>
    <row r="11" spans="1:22" ht="15" thickBot="1" x14ac:dyDescent="0.35">
      <c r="A11" s="52">
        <v>45723</v>
      </c>
      <c r="B11" s="53">
        <v>3614.83</v>
      </c>
      <c r="C11" s="54">
        <v>9120</v>
      </c>
      <c r="D11" s="55">
        <f t="shared" si="5"/>
        <v>4012.8</v>
      </c>
      <c r="E11" s="56">
        <f t="shared" si="6"/>
        <v>-397.97000000000025</v>
      </c>
      <c r="F11" s="57">
        <f t="shared" si="0"/>
        <v>-256.0300000000002</v>
      </c>
      <c r="G11" s="54">
        <v>8160</v>
      </c>
      <c r="H11" s="58">
        <v>1121.9000000000001</v>
      </c>
      <c r="I11" s="59">
        <v>14673</v>
      </c>
      <c r="J11" s="60">
        <f t="shared" si="1"/>
        <v>880.38</v>
      </c>
      <c r="K11" s="60">
        <f t="shared" si="7"/>
        <v>241.5200000000001</v>
      </c>
      <c r="L11" s="61">
        <f t="shared" si="2"/>
        <v>196.44999999999993</v>
      </c>
      <c r="M11" s="59">
        <v>16425</v>
      </c>
      <c r="N11" s="62">
        <v>1223</v>
      </c>
      <c r="O11" s="66"/>
      <c r="P11" s="66">
        <v>639</v>
      </c>
      <c r="Q11" s="63">
        <f t="shared" si="3"/>
        <v>1175.76</v>
      </c>
      <c r="R11" s="64">
        <f t="shared" si="8"/>
        <v>47.240000000000009</v>
      </c>
      <c r="S11" s="65">
        <f t="shared" si="4"/>
        <v>66.170000000000073</v>
      </c>
      <c r="T11" s="66">
        <v>518</v>
      </c>
    </row>
    <row r="12" spans="1:22" ht="15" thickBot="1" x14ac:dyDescent="0.35">
      <c r="A12" s="52">
        <v>45724</v>
      </c>
      <c r="B12" s="53">
        <v>3614.83</v>
      </c>
      <c r="C12" s="54">
        <v>9120</v>
      </c>
      <c r="D12" s="55">
        <f t="shared" si="5"/>
        <v>4012.8</v>
      </c>
      <c r="E12" s="56">
        <f t="shared" si="6"/>
        <v>-397.97000000000025</v>
      </c>
      <c r="F12" s="57">
        <f t="shared" si="0"/>
        <v>-256.0300000000002</v>
      </c>
      <c r="G12" s="54">
        <v>9600</v>
      </c>
      <c r="H12" s="58">
        <v>1121.9000000000001</v>
      </c>
      <c r="I12" s="59">
        <v>23214</v>
      </c>
      <c r="J12" s="60">
        <f t="shared" si="1"/>
        <v>1392.84</v>
      </c>
      <c r="K12" s="60">
        <f t="shared" si="7"/>
        <v>-270.93999999999983</v>
      </c>
      <c r="L12" s="61">
        <f t="shared" si="2"/>
        <v>-316.01</v>
      </c>
      <c r="M12" s="59">
        <v>17739</v>
      </c>
      <c r="N12" s="62">
        <v>1223</v>
      </c>
      <c r="O12" s="66"/>
      <c r="P12" s="66">
        <v>629</v>
      </c>
      <c r="Q12" s="63">
        <f t="shared" si="3"/>
        <v>1157.3600000000001</v>
      </c>
      <c r="R12" s="64">
        <f t="shared" si="8"/>
        <v>65.639999999999873</v>
      </c>
      <c r="S12" s="65">
        <f t="shared" si="4"/>
        <v>84.569999999999936</v>
      </c>
      <c r="T12" s="66">
        <v>503</v>
      </c>
    </row>
    <row r="13" spans="1:22" ht="15" thickBot="1" x14ac:dyDescent="0.35">
      <c r="A13" s="52">
        <v>45725</v>
      </c>
      <c r="B13" s="53">
        <v>3614.83</v>
      </c>
      <c r="C13" s="54">
        <v>9600</v>
      </c>
      <c r="D13" s="55">
        <f t="shared" si="5"/>
        <v>4224</v>
      </c>
      <c r="E13" s="56">
        <f t="shared" si="6"/>
        <v>-609.17000000000007</v>
      </c>
      <c r="F13" s="57">
        <f t="shared" si="0"/>
        <v>-467.23</v>
      </c>
      <c r="G13" s="54">
        <v>7680</v>
      </c>
      <c r="H13" s="58">
        <v>1121.9000000000001</v>
      </c>
      <c r="I13" s="59">
        <v>16863</v>
      </c>
      <c r="J13" s="60">
        <f t="shared" si="1"/>
        <v>1011.78</v>
      </c>
      <c r="K13" s="60">
        <f t="shared" si="7"/>
        <v>110.12000000000012</v>
      </c>
      <c r="L13" s="61">
        <f t="shared" si="2"/>
        <v>65.049999999999955</v>
      </c>
      <c r="M13" s="59">
        <v>17958</v>
      </c>
      <c r="N13" s="62">
        <v>1223</v>
      </c>
      <c r="O13" s="66"/>
      <c r="P13" s="66">
        <v>677</v>
      </c>
      <c r="Q13" s="63">
        <f t="shared" si="3"/>
        <v>1245.68</v>
      </c>
      <c r="R13" s="64">
        <f t="shared" si="8"/>
        <v>-22.680000000000064</v>
      </c>
      <c r="S13" s="65">
        <f t="shared" si="4"/>
        <v>-3.75</v>
      </c>
      <c r="T13" s="66">
        <v>514</v>
      </c>
    </row>
    <row r="14" spans="1:22" x14ac:dyDescent="0.3">
      <c r="A14" s="52">
        <v>45726</v>
      </c>
      <c r="B14" s="53">
        <v>3614.83</v>
      </c>
      <c r="C14" s="54">
        <v>8640</v>
      </c>
      <c r="D14" s="55">
        <f t="shared" si="5"/>
        <v>3801.6</v>
      </c>
      <c r="E14" s="56">
        <f t="shared" si="6"/>
        <v>-186.76999999999998</v>
      </c>
      <c r="F14" s="57">
        <f t="shared" si="0"/>
        <v>-44.829999999999927</v>
      </c>
      <c r="G14" s="54">
        <v>9600</v>
      </c>
      <c r="H14" s="58">
        <v>1121.9000000000001</v>
      </c>
      <c r="I14" s="59">
        <v>15987</v>
      </c>
      <c r="J14" s="60">
        <f t="shared" si="1"/>
        <v>959.21999999999991</v>
      </c>
      <c r="K14" s="60">
        <f t="shared" si="7"/>
        <v>162.68000000000018</v>
      </c>
      <c r="L14" s="61">
        <f t="shared" si="2"/>
        <v>117.61000000000001</v>
      </c>
      <c r="M14" s="59">
        <v>16644</v>
      </c>
      <c r="N14" s="62">
        <v>1223</v>
      </c>
      <c r="O14" s="66"/>
      <c r="P14" s="66">
        <v>561</v>
      </c>
      <c r="Q14" s="63">
        <f t="shared" si="3"/>
        <v>1032.24</v>
      </c>
      <c r="R14" s="64">
        <f t="shared" si="8"/>
        <v>190.76</v>
      </c>
      <c r="S14" s="65">
        <f t="shared" si="4"/>
        <v>209.69000000000005</v>
      </c>
      <c r="T14" s="66">
        <v>483</v>
      </c>
    </row>
    <row r="15" spans="1:22" x14ac:dyDescent="0.3">
      <c r="A15" s="52">
        <v>45727</v>
      </c>
      <c r="B15" s="53">
        <v>3614.83</v>
      </c>
      <c r="C15" s="54"/>
      <c r="D15" s="55">
        <f t="shared" si="5"/>
        <v>0</v>
      </c>
      <c r="E15" s="56"/>
      <c r="F15" s="57"/>
      <c r="G15" s="54">
        <v>8640</v>
      </c>
      <c r="H15" s="58">
        <v>1121.9000000000001</v>
      </c>
      <c r="I15" s="67"/>
      <c r="J15" s="60">
        <f t="shared" si="1"/>
        <v>0</v>
      </c>
      <c r="K15" s="60"/>
      <c r="L15" s="61"/>
      <c r="M15" s="67">
        <v>15111</v>
      </c>
      <c r="N15" s="62">
        <v>1223</v>
      </c>
      <c r="O15" s="66"/>
      <c r="P15" s="66"/>
      <c r="Q15" s="63">
        <f t="shared" si="3"/>
        <v>0</v>
      </c>
      <c r="R15" s="66"/>
      <c r="S15" s="65"/>
      <c r="T15" s="66">
        <v>472</v>
      </c>
    </row>
    <row r="16" spans="1:22" x14ac:dyDescent="0.3">
      <c r="A16" s="52">
        <v>45728</v>
      </c>
      <c r="B16" s="53">
        <v>3614.83</v>
      </c>
      <c r="C16" s="54"/>
      <c r="D16" s="55">
        <f t="shared" si="5"/>
        <v>0</v>
      </c>
      <c r="E16" s="56"/>
      <c r="F16" s="57"/>
      <c r="G16" s="54">
        <v>9120</v>
      </c>
      <c r="H16" s="58">
        <v>1121.9000000000001</v>
      </c>
      <c r="I16" s="67"/>
      <c r="J16" s="60">
        <f t="shared" si="1"/>
        <v>0</v>
      </c>
      <c r="K16" s="60"/>
      <c r="L16" s="61"/>
      <c r="M16" s="67">
        <v>22557</v>
      </c>
      <c r="N16" s="62">
        <v>1223</v>
      </c>
      <c r="O16" s="66"/>
      <c r="P16" s="66"/>
      <c r="Q16" s="63">
        <f t="shared" si="3"/>
        <v>0</v>
      </c>
      <c r="R16" s="66"/>
      <c r="S16" s="65"/>
      <c r="T16" s="66">
        <v>515</v>
      </c>
    </row>
    <row r="17" spans="1:20" x14ac:dyDescent="0.3">
      <c r="A17" s="52">
        <v>45729</v>
      </c>
      <c r="B17" s="53">
        <v>3614.83</v>
      </c>
      <c r="C17" s="54"/>
      <c r="D17" s="55">
        <f t="shared" si="5"/>
        <v>0</v>
      </c>
      <c r="E17" s="56"/>
      <c r="F17" s="57"/>
      <c r="G17" s="54">
        <v>8640</v>
      </c>
      <c r="H17" s="58">
        <v>1121.9000000000001</v>
      </c>
      <c r="I17" s="67"/>
      <c r="J17" s="60">
        <f t="shared" si="1"/>
        <v>0</v>
      </c>
      <c r="K17" s="60" t="s">
        <v>28</v>
      </c>
      <c r="L17" s="61"/>
      <c r="M17" s="67">
        <v>14235</v>
      </c>
      <c r="N17" s="62">
        <v>1223</v>
      </c>
      <c r="O17" s="66"/>
      <c r="P17" s="66"/>
      <c r="Q17" s="63">
        <f t="shared" si="3"/>
        <v>0</v>
      </c>
      <c r="R17" s="66"/>
      <c r="S17" s="65"/>
      <c r="T17" s="66">
        <v>495</v>
      </c>
    </row>
    <row r="18" spans="1:20" x14ac:dyDescent="0.3">
      <c r="A18" s="52">
        <v>45730</v>
      </c>
      <c r="B18" s="53">
        <v>3614.83</v>
      </c>
      <c r="C18" s="54"/>
      <c r="D18" s="55">
        <f t="shared" si="5"/>
        <v>0</v>
      </c>
      <c r="E18" s="56"/>
      <c r="F18" s="57"/>
      <c r="G18" s="54">
        <v>9120</v>
      </c>
      <c r="H18" s="58">
        <v>1121.9000000000001</v>
      </c>
      <c r="I18" s="67"/>
      <c r="J18" s="60">
        <f t="shared" si="1"/>
        <v>0</v>
      </c>
      <c r="K18" s="60"/>
      <c r="L18" s="61"/>
      <c r="M18" s="67">
        <v>9417</v>
      </c>
      <c r="N18" s="62">
        <v>1223</v>
      </c>
      <c r="O18" s="66"/>
      <c r="P18" s="66"/>
      <c r="Q18" s="63">
        <f t="shared" si="3"/>
        <v>0</v>
      </c>
      <c r="R18" s="66"/>
      <c r="S18" s="65"/>
      <c r="T18" s="66">
        <v>495</v>
      </c>
    </row>
    <row r="19" spans="1:20" x14ac:dyDescent="0.3">
      <c r="A19" s="52">
        <v>45731</v>
      </c>
      <c r="B19" s="53">
        <v>3614.83</v>
      </c>
      <c r="C19" s="54"/>
      <c r="D19" s="55">
        <f t="shared" si="5"/>
        <v>0</v>
      </c>
      <c r="E19" s="56"/>
      <c r="F19" s="57"/>
      <c r="G19" s="54">
        <v>9120</v>
      </c>
      <c r="H19" s="58">
        <v>1121.9000000000001</v>
      </c>
      <c r="I19" s="67"/>
      <c r="J19" s="60">
        <f t="shared" si="1"/>
        <v>0</v>
      </c>
      <c r="K19" s="60"/>
      <c r="L19" s="61"/>
      <c r="M19" s="67">
        <v>14016</v>
      </c>
      <c r="N19" s="62">
        <v>1223</v>
      </c>
      <c r="O19" s="66"/>
      <c r="P19" s="66"/>
      <c r="Q19" s="63">
        <f t="shared" si="3"/>
        <v>0</v>
      </c>
      <c r="R19" s="66"/>
      <c r="S19" s="65"/>
      <c r="T19" s="66">
        <v>495</v>
      </c>
    </row>
    <row r="20" spans="1:20" x14ac:dyDescent="0.3">
      <c r="A20" s="52">
        <v>45732</v>
      </c>
      <c r="B20" s="53">
        <v>3614.83</v>
      </c>
      <c r="C20" s="54"/>
      <c r="D20" s="55">
        <f t="shared" si="5"/>
        <v>0</v>
      </c>
      <c r="E20" s="56"/>
      <c r="F20" s="57"/>
      <c r="G20" s="54">
        <v>9600</v>
      </c>
      <c r="H20" s="58">
        <v>1121.9000000000001</v>
      </c>
      <c r="I20" s="67"/>
      <c r="J20" s="60">
        <f t="shared" si="1"/>
        <v>0</v>
      </c>
      <c r="K20" s="60"/>
      <c r="L20" s="61"/>
      <c r="M20" s="67">
        <v>17739</v>
      </c>
      <c r="N20" s="62">
        <v>1223</v>
      </c>
      <c r="O20" s="66"/>
      <c r="P20" s="66"/>
      <c r="Q20" s="63">
        <f t="shared" si="3"/>
        <v>0</v>
      </c>
      <c r="R20" s="66"/>
      <c r="S20" s="65"/>
      <c r="T20" s="66">
        <v>490</v>
      </c>
    </row>
    <row r="21" spans="1:20" x14ac:dyDescent="0.3">
      <c r="A21" s="52">
        <v>45733</v>
      </c>
      <c r="B21" s="53">
        <v>3614.83</v>
      </c>
      <c r="C21" s="54"/>
      <c r="D21" s="55">
        <f t="shared" si="5"/>
        <v>0</v>
      </c>
      <c r="E21" s="56"/>
      <c r="F21" s="57"/>
      <c r="G21" s="54">
        <v>9120</v>
      </c>
      <c r="H21" s="58">
        <v>1121.9000000000001</v>
      </c>
      <c r="I21" s="67"/>
      <c r="J21" s="60">
        <f t="shared" si="1"/>
        <v>0</v>
      </c>
      <c r="K21" s="60"/>
      <c r="L21" s="61"/>
      <c r="M21" s="67">
        <v>15111</v>
      </c>
      <c r="N21" s="62">
        <v>1223</v>
      </c>
      <c r="O21" s="66"/>
      <c r="P21" s="66"/>
      <c r="Q21" s="63">
        <f t="shared" si="3"/>
        <v>0</v>
      </c>
      <c r="R21" s="66"/>
      <c r="S21" s="65"/>
      <c r="T21" s="66">
        <v>452</v>
      </c>
    </row>
    <row r="22" spans="1:20" x14ac:dyDescent="0.3">
      <c r="A22" s="52">
        <v>45734</v>
      </c>
      <c r="B22" s="53">
        <v>3614.83</v>
      </c>
      <c r="C22" s="54"/>
      <c r="D22" s="55">
        <f t="shared" si="5"/>
        <v>0</v>
      </c>
      <c r="E22" s="56"/>
      <c r="F22" s="57"/>
      <c r="G22" s="54">
        <v>9600</v>
      </c>
      <c r="H22" s="58">
        <v>1121.9000000000001</v>
      </c>
      <c r="I22" s="67"/>
      <c r="J22" s="60">
        <f t="shared" si="1"/>
        <v>0</v>
      </c>
      <c r="K22" s="60"/>
      <c r="L22" s="61"/>
      <c r="M22" s="67">
        <v>14673</v>
      </c>
      <c r="N22" s="62">
        <v>1223</v>
      </c>
      <c r="O22" s="66"/>
      <c r="P22" s="66"/>
      <c r="Q22" s="63">
        <f t="shared" si="3"/>
        <v>0</v>
      </c>
      <c r="R22" s="66"/>
      <c r="S22" s="65"/>
      <c r="T22" s="66">
        <v>490</v>
      </c>
    </row>
    <row r="23" spans="1:20" x14ac:dyDescent="0.3">
      <c r="A23" s="52">
        <v>45735</v>
      </c>
      <c r="B23" s="53">
        <v>3614.83</v>
      </c>
      <c r="C23" s="54"/>
      <c r="D23" s="55">
        <f t="shared" si="5"/>
        <v>0</v>
      </c>
      <c r="E23" s="56"/>
      <c r="F23" s="57"/>
      <c r="G23" s="54">
        <v>9120</v>
      </c>
      <c r="H23" s="58">
        <v>1121.9000000000001</v>
      </c>
      <c r="I23" s="67"/>
      <c r="J23" s="60">
        <f t="shared" si="1"/>
        <v>0</v>
      </c>
      <c r="K23" s="60"/>
      <c r="L23" s="61"/>
      <c r="M23" s="67">
        <v>14892</v>
      </c>
      <c r="N23" s="62">
        <v>1223</v>
      </c>
      <c r="O23" s="66"/>
      <c r="P23" s="66"/>
      <c r="Q23" s="63">
        <f t="shared" si="3"/>
        <v>0</v>
      </c>
      <c r="R23" s="66"/>
      <c r="S23" s="65"/>
      <c r="T23" s="66">
        <v>455</v>
      </c>
    </row>
    <row r="24" spans="1:20" x14ac:dyDescent="0.3">
      <c r="A24" s="52">
        <v>45736</v>
      </c>
      <c r="B24" s="53">
        <v>3614.83</v>
      </c>
      <c r="C24" s="54"/>
      <c r="D24" s="55">
        <f t="shared" si="5"/>
        <v>0</v>
      </c>
      <c r="E24" s="56"/>
      <c r="F24" s="57"/>
      <c r="G24" s="54">
        <v>9120</v>
      </c>
      <c r="H24" s="58">
        <v>1121.9000000000001</v>
      </c>
      <c r="I24" s="67"/>
      <c r="J24" s="60">
        <f t="shared" si="1"/>
        <v>0</v>
      </c>
      <c r="K24" s="60"/>
      <c r="L24" s="61"/>
      <c r="M24" s="67">
        <v>6789</v>
      </c>
      <c r="N24" s="62">
        <v>1223</v>
      </c>
      <c r="O24" s="66"/>
      <c r="P24" s="66"/>
      <c r="Q24" s="63">
        <f t="shared" si="3"/>
        <v>0</v>
      </c>
      <c r="R24" s="66"/>
      <c r="S24" s="65"/>
      <c r="T24" s="66">
        <v>480</v>
      </c>
    </row>
    <row r="25" spans="1:20" x14ac:dyDescent="0.3">
      <c r="A25" s="52">
        <v>45737</v>
      </c>
      <c r="B25" s="53">
        <v>3614.83</v>
      </c>
      <c r="C25" s="54"/>
      <c r="D25" s="55">
        <f t="shared" si="5"/>
        <v>0</v>
      </c>
      <c r="E25" s="56"/>
      <c r="F25" s="57"/>
      <c r="G25" s="54">
        <v>9600</v>
      </c>
      <c r="H25" s="58">
        <v>1121.9000000000001</v>
      </c>
      <c r="I25" s="67"/>
      <c r="J25" s="60">
        <f t="shared" si="1"/>
        <v>0</v>
      </c>
      <c r="K25" s="60"/>
      <c r="L25" s="61"/>
      <c r="M25" s="67">
        <v>15111</v>
      </c>
      <c r="N25" s="62">
        <v>1223</v>
      </c>
      <c r="O25" s="66"/>
      <c r="P25" s="66"/>
      <c r="Q25" s="63">
        <f t="shared" si="3"/>
        <v>0</v>
      </c>
      <c r="R25" s="66"/>
      <c r="S25" s="65"/>
      <c r="T25" s="66">
        <v>482</v>
      </c>
    </row>
    <row r="26" spans="1:20" x14ac:dyDescent="0.3">
      <c r="A26" s="52">
        <v>45738</v>
      </c>
      <c r="B26" s="53">
        <v>3614.83</v>
      </c>
      <c r="C26" s="54"/>
      <c r="D26" s="55">
        <f t="shared" si="5"/>
        <v>0</v>
      </c>
      <c r="E26" s="56"/>
      <c r="F26" s="57"/>
      <c r="G26" s="54">
        <v>9120</v>
      </c>
      <c r="H26" s="58">
        <v>1121.9000000000001</v>
      </c>
      <c r="I26" s="67"/>
      <c r="J26" s="60">
        <f t="shared" si="1"/>
        <v>0</v>
      </c>
      <c r="K26" s="60"/>
      <c r="L26" s="61"/>
      <c r="M26" s="67">
        <v>16425</v>
      </c>
      <c r="N26" s="62">
        <v>1223</v>
      </c>
      <c r="O26" s="66"/>
      <c r="P26" s="66"/>
      <c r="Q26" s="63">
        <f t="shared" si="3"/>
        <v>0</v>
      </c>
      <c r="R26" s="66"/>
      <c r="S26" s="65"/>
      <c r="T26" s="66">
        <v>480</v>
      </c>
    </row>
    <row r="27" spans="1:20" x14ac:dyDescent="0.3">
      <c r="A27" s="52">
        <v>45739</v>
      </c>
      <c r="B27" s="53">
        <v>3614.83</v>
      </c>
      <c r="C27" s="54"/>
      <c r="D27" s="55">
        <f t="shared" si="5"/>
        <v>0</v>
      </c>
      <c r="E27" s="56"/>
      <c r="F27" s="57"/>
      <c r="G27" s="54">
        <v>8640</v>
      </c>
      <c r="H27" s="58">
        <v>1121.9000000000001</v>
      </c>
      <c r="I27" s="67"/>
      <c r="J27" s="60">
        <f t="shared" si="1"/>
        <v>0</v>
      </c>
      <c r="K27" s="60"/>
      <c r="L27" s="61"/>
      <c r="M27" s="67">
        <v>17739</v>
      </c>
      <c r="N27" s="62">
        <v>1223</v>
      </c>
      <c r="O27" s="66"/>
      <c r="P27" s="66"/>
      <c r="Q27" s="63">
        <f t="shared" si="3"/>
        <v>0</v>
      </c>
      <c r="R27" s="66"/>
      <c r="S27" s="65"/>
      <c r="T27" s="66">
        <v>504</v>
      </c>
    </row>
    <row r="28" spans="1:20" x14ac:dyDescent="0.3">
      <c r="A28" s="52">
        <v>45740</v>
      </c>
      <c r="B28" s="53">
        <v>3614.83</v>
      </c>
      <c r="C28" s="54"/>
      <c r="D28" s="55">
        <f t="shared" si="5"/>
        <v>0</v>
      </c>
      <c r="E28" s="56"/>
      <c r="F28" s="57"/>
      <c r="G28" s="54">
        <v>9600</v>
      </c>
      <c r="H28" s="58">
        <v>1121.9000000000001</v>
      </c>
      <c r="I28" s="67"/>
      <c r="J28" s="60">
        <f t="shared" si="1"/>
        <v>0</v>
      </c>
      <c r="K28" s="60"/>
      <c r="L28" s="61"/>
      <c r="M28" s="67">
        <v>17520</v>
      </c>
      <c r="N28" s="62">
        <v>1223</v>
      </c>
      <c r="O28" s="66"/>
      <c r="P28" s="66"/>
      <c r="Q28" s="63">
        <f t="shared" si="3"/>
        <v>0</v>
      </c>
      <c r="R28" s="66"/>
      <c r="S28" s="65"/>
      <c r="T28" s="66">
        <v>507</v>
      </c>
    </row>
    <row r="29" spans="1:20" x14ac:dyDescent="0.3">
      <c r="A29" s="52">
        <v>45741</v>
      </c>
      <c r="B29" s="53">
        <v>3614.83</v>
      </c>
      <c r="C29" s="54"/>
      <c r="D29" s="55">
        <f t="shared" si="5"/>
        <v>0</v>
      </c>
      <c r="E29" s="56"/>
      <c r="F29" s="57"/>
      <c r="G29" s="54">
        <v>9120</v>
      </c>
      <c r="H29" s="58">
        <v>1121.9000000000001</v>
      </c>
      <c r="I29" s="67"/>
      <c r="J29" s="60">
        <f t="shared" si="1"/>
        <v>0</v>
      </c>
      <c r="K29" s="60"/>
      <c r="L29" s="61"/>
      <c r="M29" s="67">
        <v>17082</v>
      </c>
      <c r="N29" s="62">
        <v>1223</v>
      </c>
      <c r="O29" s="66"/>
      <c r="P29" s="66"/>
      <c r="Q29" s="63">
        <f t="shared" si="3"/>
        <v>0</v>
      </c>
      <c r="R29" s="66"/>
      <c r="S29" s="65"/>
      <c r="T29" s="66">
        <v>385</v>
      </c>
    </row>
    <row r="30" spans="1:20" x14ac:dyDescent="0.3">
      <c r="A30" s="52">
        <v>45742</v>
      </c>
      <c r="B30" s="53">
        <v>3614.83</v>
      </c>
      <c r="C30" s="54"/>
      <c r="D30" s="55">
        <f t="shared" si="5"/>
        <v>0</v>
      </c>
      <c r="E30" s="56"/>
      <c r="F30" s="57"/>
      <c r="G30" s="54">
        <v>9600</v>
      </c>
      <c r="H30" s="58">
        <v>1121.9000000000001</v>
      </c>
      <c r="I30" s="67"/>
      <c r="J30" s="60">
        <f t="shared" si="1"/>
        <v>0</v>
      </c>
      <c r="K30" s="60"/>
      <c r="L30" s="61"/>
      <c r="M30" s="67">
        <v>16644</v>
      </c>
      <c r="N30" s="62">
        <v>1223</v>
      </c>
      <c r="O30" s="66"/>
      <c r="P30" s="66"/>
      <c r="Q30" s="63">
        <f t="shared" si="3"/>
        <v>0</v>
      </c>
      <c r="R30" s="66"/>
      <c r="S30" s="65"/>
      <c r="T30" s="66">
        <v>471</v>
      </c>
    </row>
    <row r="31" spans="1:20" x14ac:dyDescent="0.3">
      <c r="A31" s="52">
        <v>45743</v>
      </c>
      <c r="B31" s="53">
        <v>3614.83</v>
      </c>
      <c r="C31" s="54"/>
      <c r="D31" s="55">
        <f t="shared" si="5"/>
        <v>0</v>
      </c>
      <c r="E31" s="56"/>
      <c r="F31" s="57"/>
      <c r="G31" s="54">
        <v>8640</v>
      </c>
      <c r="H31" s="58">
        <v>1121.9000000000001</v>
      </c>
      <c r="I31" s="67"/>
      <c r="J31" s="60">
        <f t="shared" si="1"/>
        <v>0</v>
      </c>
      <c r="K31" s="60"/>
      <c r="L31" s="61"/>
      <c r="M31" s="67">
        <v>17301</v>
      </c>
      <c r="N31" s="62">
        <v>1223</v>
      </c>
      <c r="O31" s="66"/>
      <c r="P31" s="66"/>
      <c r="Q31" s="63">
        <f t="shared" si="3"/>
        <v>0</v>
      </c>
      <c r="R31" s="66"/>
      <c r="S31" s="65"/>
      <c r="T31" s="66">
        <v>476</v>
      </c>
    </row>
    <row r="32" spans="1:20" x14ac:dyDescent="0.3">
      <c r="A32" s="52">
        <v>45744</v>
      </c>
      <c r="B32" s="53">
        <v>3614.83</v>
      </c>
      <c r="C32" s="54"/>
      <c r="D32" s="55">
        <f t="shared" si="5"/>
        <v>0</v>
      </c>
      <c r="E32" s="56"/>
      <c r="F32" s="57"/>
      <c r="G32" s="54">
        <v>8640</v>
      </c>
      <c r="H32" s="58">
        <v>1121.9000000000001</v>
      </c>
      <c r="I32" s="67"/>
      <c r="J32" s="60">
        <f t="shared" si="1"/>
        <v>0</v>
      </c>
      <c r="K32" s="60"/>
      <c r="L32" s="61"/>
      <c r="M32" s="67">
        <v>17082</v>
      </c>
      <c r="N32" s="62">
        <v>1223</v>
      </c>
      <c r="O32" s="66"/>
      <c r="P32" s="66"/>
      <c r="Q32" s="63">
        <f t="shared" si="3"/>
        <v>0</v>
      </c>
      <c r="R32" s="66"/>
      <c r="S32" s="65"/>
      <c r="T32" s="66">
        <v>496</v>
      </c>
    </row>
    <row r="33" spans="1:20" x14ac:dyDescent="0.3">
      <c r="A33" s="52">
        <v>45745</v>
      </c>
      <c r="B33" s="53">
        <v>3614.83</v>
      </c>
      <c r="C33" s="54"/>
      <c r="D33" s="55">
        <f t="shared" si="5"/>
        <v>0</v>
      </c>
      <c r="E33" s="56"/>
      <c r="F33" s="57"/>
      <c r="G33" s="54">
        <v>9600</v>
      </c>
      <c r="H33" s="58">
        <v>1121.9000000000001</v>
      </c>
      <c r="I33" s="68"/>
      <c r="J33" s="60">
        <f t="shared" si="1"/>
        <v>0</v>
      </c>
      <c r="K33" s="60"/>
      <c r="L33" s="61"/>
      <c r="M33" s="68">
        <v>15987</v>
      </c>
      <c r="N33" s="62">
        <v>1223</v>
      </c>
      <c r="O33" s="66"/>
      <c r="P33" s="69"/>
      <c r="Q33" s="63">
        <f t="shared" si="3"/>
        <v>0</v>
      </c>
      <c r="R33" s="66"/>
      <c r="S33" s="65"/>
      <c r="T33" s="69">
        <v>601</v>
      </c>
    </row>
    <row r="34" spans="1:20" x14ac:dyDescent="0.3">
      <c r="A34" s="52">
        <v>45746</v>
      </c>
      <c r="B34" s="53">
        <v>3614.83</v>
      </c>
      <c r="C34" s="54"/>
      <c r="D34" s="55">
        <f t="shared" si="5"/>
        <v>0</v>
      </c>
      <c r="E34" s="56"/>
      <c r="F34" s="57"/>
      <c r="G34" s="54">
        <v>8640</v>
      </c>
      <c r="H34" s="58">
        <v>1121.9000000000001</v>
      </c>
      <c r="I34" s="68"/>
      <c r="J34" s="60">
        <f t="shared" si="1"/>
        <v>0</v>
      </c>
      <c r="K34" s="60"/>
      <c r="L34" s="61"/>
      <c r="M34" s="68">
        <v>16644</v>
      </c>
      <c r="N34" s="62">
        <v>1223</v>
      </c>
      <c r="O34" s="69"/>
      <c r="P34" s="69"/>
      <c r="Q34" s="63">
        <f t="shared" si="3"/>
        <v>0</v>
      </c>
      <c r="R34" s="66"/>
      <c r="S34" s="65"/>
      <c r="T34" s="69">
        <v>589</v>
      </c>
    </row>
    <row r="35" spans="1:20" x14ac:dyDescent="0.3">
      <c r="A35" s="52">
        <v>45747</v>
      </c>
      <c r="B35" s="53">
        <v>3614.83</v>
      </c>
      <c r="C35" s="70"/>
      <c r="D35" s="55">
        <f t="shared" si="5"/>
        <v>0</v>
      </c>
      <c r="E35" s="56"/>
      <c r="F35" s="57"/>
      <c r="G35" s="70">
        <v>9120</v>
      </c>
      <c r="H35" s="58">
        <v>1121.9000000000001</v>
      </c>
      <c r="I35" s="68"/>
      <c r="J35" s="60">
        <f t="shared" si="1"/>
        <v>0</v>
      </c>
      <c r="K35" s="60"/>
      <c r="L35" s="61"/>
      <c r="M35" s="68">
        <v>17082</v>
      </c>
      <c r="N35" s="62">
        <v>1223</v>
      </c>
      <c r="O35" s="69"/>
      <c r="P35" s="69"/>
      <c r="Q35" s="63">
        <f t="shared" si="3"/>
        <v>0</v>
      </c>
      <c r="R35" s="66"/>
      <c r="S35" s="65"/>
      <c r="T35" s="69">
        <v>619</v>
      </c>
    </row>
    <row r="36" spans="1:20" ht="15" thickBot="1" x14ac:dyDescent="0.35">
      <c r="A36" s="71"/>
      <c r="B36" s="72"/>
      <c r="C36" s="73">
        <f>SUM(C5:C35)</f>
        <v>87360</v>
      </c>
      <c r="D36" s="55">
        <f t="shared" si="5"/>
        <v>38438.400000000001</v>
      </c>
      <c r="E36" s="74"/>
      <c r="F36" s="74"/>
      <c r="G36" s="73">
        <f>SUM(G5:G35)</f>
        <v>278400</v>
      </c>
      <c r="H36" s="75"/>
      <c r="I36" s="56">
        <f>SUM(I5:I35)</f>
        <v>170663</v>
      </c>
      <c r="J36" s="60">
        <f t="shared" si="1"/>
        <v>10239.779999999999</v>
      </c>
      <c r="K36" s="60"/>
      <c r="L36" s="76"/>
      <c r="M36" s="77">
        <f>SUM(M5:M35)</f>
        <v>498225</v>
      </c>
      <c r="N36" s="66"/>
      <c r="O36" s="69"/>
      <c r="P36" s="56">
        <f>SUM(P5:P35)</f>
        <v>6322</v>
      </c>
      <c r="Q36" s="63">
        <f t="shared" si="3"/>
        <v>11632.480000000001</v>
      </c>
      <c r="R36" s="66"/>
      <c r="S36" s="78"/>
      <c r="T36" s="56">
        <f>SUM(T5:T35)</f>
        <v>15519</v>
      </c>
    </row>
    <row r="37" spans="1:20" ht="24" thickBot="1" x14ac:dyDescent="0.35">
      <c r="A37" s="79"/>
      <c r="B37" s="80" t="s">
        <v>29</v>
      </c>
      <c r="C37" s="81"/>
      <c r="D37" s="81"/>
      <c r="E37" s="82">
        <f>SUM(E5:E35)</f>
        <v>-2290.1000000000013</v>
      </c>
      <c r="F37" s="83">
        <f>SUM(F5:F35)</f>
        <v>-870.70000000000073</v>
      </c>
      <c r="G37" s="84"/>
      <c r="H37" s="85" t="s">
        <v>30</v>
      </c>
      <c r="I37" s="86"/>
      <c r="J37" s="87"/>
      <c r="K37" s="88">
        <f>SUM(K5:K35)</f>
        <v>979.22000000000116</v>
      </c>
      <c r="L37" s="88">
        <f>SUM(L5:L35)</f>
        <v>528.51999999999953</v>
      </c>
      <c r="M37" s="89"/>
      <c r="N37" s="90" t="s">
        <v>31</v>
      </c>
      <c r="O37" s="91"/>
      <c r="P37" s="91"/>
      <c r="Q37" s="92"/>
      <c r="R37" s="93">
        <f>SUM(R5:R35)</f>
        <v>597.51999999999953</v>
      </c>
      <c r="S37" s="94">
        <f>SUM(S5:S35)</f>
        <v>786.82000000000016</v>
      </c>
      <c r="T37" s="95"/>
    </row>
    <row r="38" spans="1:20" ht="28.8" x14ac:dyDescent="0.55000000000000004">
      <c r="A38" s="96"/>
      <c r="B38" s="97"/>
      <c r="C38" s="96">
        <v>136578</v>
      </c>
      <c r="D38" s="97">
        <f>SUM(D5:D35)</f>
        <v>38438.400000000001</v>
      </c>
      <c r="E38" s="98"/>
      <c r="F38" s="97"/>
      <c r="G38" s="97"/>
      <c r="H38" s="96"/>
      <c r="I38" s="96">
        <f>SUM(I5:I35)</f>
        <v>170663</v>
      </c>
      <c r="J38" s="96">
        <f>SUM(J5:J35)</f>
        <v>10239.780000000001</v>
      </c>
      <c r="K38" s="99"/>
      <c r="L38" s="96"/>
      <c r="M38" s="100"/>
      <c r="N38" s="96"/>
      <c r="P38" s="18">
        <f>SUM(P5:P35)</f>
        <v>6322</v>
      </c>
      <c r="Q38" s="78">
        <f>SUM(Q5:Q35)</f>
        <v>11632.480000000001</v>
      </c>
      <c r="R38" s="101"/>
    </row>
    <row r="39" spans="1:20" ht="28.8" x14ac:dyDescent="0.55000000000000004">
      <c r="C39" s="102" t="s">
        <v>32</v>
      </c>
      <c r="D39" s="103" t="s">
        <v>33</v>
      </c>
      <c r="E39" s="101"/>
      <c r="F39" s="104"/>
      <c r="I39" s="18">
        <f>I38/220</f>
        <v>775.7409090909091</v>
      </c>
      <c r="K39" s="105"/>
      <c r="L39" s="101"/>
    </row>
    <row r="40" spans="1:20" ht="18.600000000000001" thickBot="1" x14ac:dyDescent="0.4">
      <c r="C40" s="102"/>
      <c r="D40" s="103" t="s">
        <v>34</v>
      </c>
      <c r="H40" s="18" t="s">
        <v>35</v>
      </c>
    </row>
    <row r="41" spans="1:20" ht="16.8" thickTop="1" thickBot="1" x14ac:dyDescent="0.35">
      <c r="A41" s="106" t="s">
        <v>36</v>
      </c>
      <c r="B41" s="107"/>
      <c r="I41" s="108" t="s">
        <v>37</v>
      </c>
      <c r="J41" s="108"/>
      <c r="P41" s="109" t="s">
        <v>15</v>
      </c>
      <c r="Q41" s="110" t="s">
        <v>38</v>
      </c>
    </row>
    <row r="42" spans="1:20" ht="19.2" thickTop="1" thickBot="1" x14ac:dyDescent="0.4">
      <c r="A42" s="111" t="s">
        <v>39</v>
      </c>
      <c r="B42" s="112">
        <f>SUM(C5:C35)</f>
        <v>87360</v>
      </c>
      <c r="I42" s="111" t="s">
        <v>39</v>
      </c>
      <c r="J42" s="112">
        <f>SUM(I5:I35)</f>
        <v>170663</v>
      </c>
      <c r="K42" s="113" t="s">
        <v>40</v>
      </c>
      <c r="L42" s="114"/>
      <c r="M42" s="115"/>
      <c r="P42" s="111" t="s">
        <v>39</v>
      </c>
      <c r="Q42" s="112">
        <f>SUM(P5:P33)</f>
        <v>6322</v>
      </c>
    </row>
    <row r="43" spans="1:20" ht="18.600000000000001" thickTop="1" x14ac:dyDescent="0.35">
      <c r="A43" s="116" t="s">
        <v>41</v>
      </c>
      <c r="B43" s="117">
        <v>8709.67</v>
      </c>
      <c r="I43" s="116" t="s">
        <v>41</v>
      </c>
      <c r="J43" s="117">
        <v>17032.25</v>
      </c>
      <c r="K43" s="118"/>
      <c r="L43" s="119" t="s">
        <v>0</v>
      </c>
      <c r="M43" s="120" t="s">
        <v>42</v>
      </c>
      <c r="N43" s="120"/>
      <c r="P43" s="116" t="s">
        <v>41</v>
      </c>
      <c r="Q43" s="117">
        <v>709.67</v>
      </c>
    </row>
    <row r="44" spans="1:20" ht="18" x14ac:dyDescent="0.35">
      <c r="A44" s="121" t="s">
        <v>43</v>
      </c>
      <c r="B44" s="122">
        <f>B43*10</f>
        <v>87096.7</v>
      </c>
      <c r="I44" s="121" t="s">
        <v>43</v>
      </c>
      <c r="J44" s="122">
        <f>J43*10</f>
        <v>170322.5</v>
      </c>
      <c r="K44" s="123" t="s">
        <v>44</v>
      </c>
      <c r="L44" s="124">
        <v>0.754</v>
      </c>
      <c r="M44" s="125">
        <v>0.83</v>
      </c>
      <c r="N44" s="126"/>
      <c r="P44" s="121" t="s">
        <v>43</v>
      </c>
      <c r="Q44" s="122">
        <f>Q43*10</f>
        <v>7096.7</v>
      </c>
    </row>
    <row r="45" spans="1:20" ht="18" x14ac:dyDescent="0.35">
      <c r="A45" s="121" t="s">
        <v>45</v>
      </c>
      <c r="B45" s="122">
        <f>B44-B42</f>
        <v>-263.30000000000291</v>
      </c>
      <c r="I45" s="121" t="s">
        <v>45</v>
      </c>
      <c r="J45" s="122">
        <f>J44-J42</f>
        <v>-340.5</v>
      </c>
      <c r="K45" s="123" t="s">
        <v>46</v>
      </c>
      <c r="L45" s="124">
        <v>0.82199999999999995</v>
      </c>
      <c r="M45" s="124"/>
      <c r="N45" s="126"/>
      <c r="P45" s="127" t="s">
        <v>45</v>
      </c>
      <c r="Q45" s="122">
        <f>Q44-Q42</f>
        <v>774.69999999999982</v>
      </c>
    </row>
    <row r="46" spans="1:20" ht="18" x14ac:dyDescent="0.35">
      <c r="K46" s="123" t="s">
        <v>36</v>
      </c>
      <c r="L46" s="128">
        <f>F37</f>
        <v>-870.70000000000073</v>
      </c>
      <c r="M46" s="129">
        <f>E37</f>
        <v>-2290.1000000000013</v>
      </c>
      <c r="N46" s="130"/>
    </row>
    <row r="47" spans="1:20" ht="18" x14ac:dyDescent="0.35">
      <c r="K47" s="123" t="s">
        <v>47</v>
      </c>
      <c r="L47" s="128">
        <f>L37</f>
        <v>528.51999999999953</v>
      </c>
      <c r="M47" s="129">
        <f>K37</f>
        <v>979.22000000000116</v>
      </c>
      <c r="N47" s="130"/>
    </row>
    <row r="48" spans="1:20" ht="18.600000000000001" thickBot="1" x14ac:dyDescent="0.4">
      <c r="K48" s="131" t="s">
        <v>15</v>
      </c>
      <c r="L48" s="132">
        <f>S37</f>
        <v>786.82000000000016</v>
      </c>
      <c r="M48" s="133">
        <f>R37</f>
        <v>597.51999999999953</v>
      </c>
      <c r="N48" s="130"/>
    </row>
    <row r="49" spans="11:14" ht="18.600000000000001" thickBot="1" x14ac:dyDescent="0.4">
      <c r="K49" s="134" t="s">
        <v>48</v>
      </c>
      <c r="L49" s="135">
        <f>SUM(L46:L48)</f>
        <v>444.63999999999896</v>
      </c>
      <c r="M49" s="136">
        <f>SUM(M46:M48)</f>
        <v>-713.36000000000058</v>
      </c>
      <c r="N49" s="130"/>
    </row>
  </sheetData>
  <mergeCells count="13">
    <mergeCell ref="K42:M42"/>
    <mergeCell ref="B37:D37"/>
    <mergeCell ref="H37:J37"/>
    <mergeCell ref="N37:Q37"/>
    <mergeCell ref="C39:C40"/>
    <mergeCell ref="A41:B41"/>
    <mergeCell ref="I41:J41"/>
    <mergeCell ref="A1:T1"/>
    <mergeCell ref="A2:A4"/>
    <mergeCell ref="B2:G3"/>
    <mergeCell ref="H2:M3"/>
    <mergeCell ref="N2:T3"/>
    <mergeCell ref="U4:V4"/>
  </mergeCells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Mar-25</vt:lpstr>
    </vt:vector>
  </TitlesOfParts>
  <Manager/>
  <Company>Rotana Hotels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Joe Alkhoury</cp:lastModifiedBy>
  <cp:revision/>
  <dcterms:created xsi:type="dcterms:W3CDTF">2006-04-11T08:27:10Z</dcterms:created>
  <dcterms:modified xsi:type="dcterms:W3CDTF">2025-03-16T11:02:34Z</dcterms:modified>
  <cp:category/>
  <cp:contentStatus/>
</cp:coreProperties>
</file>