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5/"/>
    </mc:Choice>
  </mc:AlternateContent>
  <xr:revisionPtr revIDLastSave="427" documentId="8_{8847650D-614C-4264-8C87-30D8B5EB4252}" xr6:coauthVersionLast="47" xr6:coauthVersionMax="47" xr10:uidLastSave="{AB5D093E-B85E-44B9-A75C-605B7B410D40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LPG!$A$5:$C$5</definedName>
    <definedName name="_xlnm.Print_Area" localSheetId="3">LPG!$A$1:$C$40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G2" i="2"/>
  <c r="E2" i="2"/>
  <c r="C4" i="6" l="1"/>
  <c r="C35" i="6" l="1"/>
  <c r="AF15" i="5" l="1"/>
  <c r="AG15" i="5"/>
  <c r="AH15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21" i="3" l="1"/>
  <c r="AG21" i="3"/>
  <c r="AH21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16" i="5" l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sharedStrings.xml><?xml version="1.0" encoding="utf-8"?>
<sst xmlns="http://schemas.openxmlformats.org/spreadsheetml/2006/main" count="126" uniqueCount="90">
  <si>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</si>
  <si>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</si>
  <si>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</si>
  <si>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</si>
  <si>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</si>
  <si>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</si>
  <si>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</si>
  <si>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</si>
  <si>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</si>
  <si>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</si>
  <si>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</si>
  <si>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</si>
  <si>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</si>
  <si>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</si>
  <si>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</si>
  <si>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</si>
  <si>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</si>
  <si>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</si>
  <si>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</si>
  <si>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</si>
  <si>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</si>
  <si>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</si>
  <si>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</si>
  <si>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</si>
  <si>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</si>
  <si>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</si>
  <si>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</si>
  <si>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</si>
  <si>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</si>
  <si>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</si>
  <si>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</si>
  <si>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</si>
  <si>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</si>
  <si>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</si>
  <si>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</si>
  <si>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</si>
  <si>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</si>
  <si>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</si>
  <si>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</si>
  <si>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</si>
  <si>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</si>
  <si>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</si>
  <si>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</si>
  <si>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</si>
  <si>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</si>
  <si>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</si>
  <si>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</si>
  <si>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</si>
  <si>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</si>
  <si>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</si>
  <si>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</si>
  <si>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</si>
  <si>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</si>
  <si>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</si>
  <si>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</si>
  <si>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</si>
  <si>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</si>
  <si>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</si>
  <si>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</si>
  <si>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</si>
  <si>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</si>
  <si>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</si>
  <si>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</si>
  <si>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</si>
  <si>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</si>
  <si>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</si>
  <si>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</si>
  <si>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</si>
  <si>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</si>
  <si>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</si>
  <si>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</si>
  <si>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</si>
  <si>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</si>
  <si>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</si>
  <si>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</si>
  <si>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 xml:space="preserve">                                       </t>
  </si>
  <si>
    <t>TOTAL Consumption</t>
  </si>
  <si>
    <t>DAILY GAS METER READINGS &amp; CONSUMPTION (Liters) January 2025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</si>
  <si>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JANUARY  2024</t>
    </r>
  </si>
  <si>
    <t>DAILY ELECTRICITY METER READINGS &amp; CONSUMPTION JANUARY 2025</t>
  </si>
  <si>
    <t>29</t>
  </si>
  <si>
    <t>30</t>
  </si>
  <si>
    <t>31</t>
  </si>
  <si>
    <t>Occupied Room &amp; Number of Guest - January 2025</t>
  </si>
  <si>
    <t>Occupied</t>
  </si>
  <si>
    <t># Guest</t>
  </si>
  <si>
    <t>Date</t>
  </si>
  <si>
    <t>TOTAL MTD</t>
  </si>
  <si>
    <t>From Technical Report</t>
  </si>
  <si>
    <t>From technical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</si>
</sst>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0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164" fontId="2" fillId="0" borderId="0" xfId="0" applyNumberFormat="1" applyFont="1"/>
    <xf numFmtId="3" fontId="16" fillId="11" borderId="0" xfId="0" applyNumberFormat="1" applyFont="1" applyFill="1" applyAlignment="1">
      <alignment horizontal="center" vertical="center"/>
    </xf>
    <xf numFmtId="165" fontId="27" fillId="12" borderId="0" xfId="0" applyNumberFormat="1" applyFont="1" applyFill="1" applyAlignment="1">
      <alignment horizontal="center" vertical="center" wrapText="1"/>
    </xf>
    <xf numFmtId="164" fontId="2" fillId="9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I3" sqref="I3:I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1</v>
      </c>
      <c r="D2" s="10">
        <v>2025</v>
      </c>
      <c r="E2" s="4">
        <f>Electricity!E23/31</f>
        <v>29637.903225806451</v>
      </c>
      <c r="F2" s="11">
        <v>0.2</v>
      </c>
      <c r="G2" s="4">
        <f>LPG!C36/31</f>
        <v>2641.2903225806454</v>
      </c>
      <c r="H2" s="11">
        <v>1.64</v>
      </c>
      <c r="I2" s="4">
        <f>Water!E17/31</f>
        <v>291.3741935483871</v>
      </c>
      <c r="J2" s="11">
        <v>7.84</v>
      </c>
      <c r="K2" s="4">
        <f>'Occupied &amp; No. of Guest'!B3</f>
        <v>450</v>
      </c>
      <c r="L2" s="4">
        <f>'Occupied &amp; No. of Guest'!C3</f>
        <v>859</v>
      </c>
    </row>
    <row r="3" spans="1:12" x14ac:dyDescent="0.25">
      <c r="A3" s="9" t="s">
        <v>52</v>
      </c>
      <c r="B3" s="10">
        <f>B2+1</f>
        <v>2</v>
      </c>
      <c r="C3" s="10">
        <v>1</v>
      </c>
      <c r="D3" s="10">
        <v>2025</v>
      </c>
      <c r="E3" s="4">
        <v>29637.903225806451</v>
      </c>
      <c r="F3" s="11">
        <v>0.2</v>
      </c>
      <c r="G3" s="4">
        <v>2641.2903225806454</v>
      </c>
      <c r="H3" s="11">
        <v>1.64</v>
      </c>
      <c r="I3" s="4">
        <v>291.3741935483871</v>
      </c>
      <c r="J3" s="11">
        <v>7.84</v>
      </c>
      <c r="K3" s="4">
        <f>'Occupied &amp; No. of Guest'!B4</f>
        <v>456</v>
      </c>
      <c r="L3" s="4">
        <f>'Occupied &amp; No. of Guest'!C4</f>
        <v>864</v>
      </c>
    </row>
    <row r="4" spans="1:12" x14ac:dyDescent="0.25">
      <c r="A4" s="9" t="s">
        <v>52</v>
      </c>
      <c r="B4" s="10">
        <f t="shared" ref="B4:B32" si="0">B3+1</f>
        <v>3</v>
      </c>
      <c r="C4" s="10">
        <v>1</v>
      </c>
      <c r="D4" s="10">
        <v>2025</v>
      </c>
      <c r="E4" s="4">
        <v>29637.903225806451</v>
      </c>
      <c r="F4" s="11">
        <v>0.2</v>
      </c>
      <c r="G4" s="4">
        <v>2641.2903225806454</v>
      </c>
      <c r="H4" s="11">
        <v>1.64</v>
      </c>
      <c r="I4" s="4">
        <v>291.3741935483871</v>
      </c>
      <c r="J4" s="11">
        <v>7.84</v>
      </c>
      <c r="K4" s="4">
        <f>'Occupied &amp; No. of Guest'!B5</f>
        <v>416</v>
      </c>
      <c r="L4" s="4">
        <f>'Occupied &amp; No. of Guest'!C5</f>
        <v>759</v>
      </c>
    </row>
    <row r="5" spans="1:12" x14ac:dyDescent="0.25">
      <c r="A5" s="9" t="s">
        <v>52</v>
      </c>
      <c r="B5" s="10">
        <f t="shared" si="0"/>
        <v>4</v>
      </c>
      <c r="C5" s="10">
        <v>1</v>
      </c>
      <c r="D5" s="10">
        <v>2025</v>
      </c>
      <c r="E5" s="4">
        <v>29637.903225806451</v>
      </c>
      <c r="F5" s="11">
        <v>0.2</v>
      </c>
      <c r="G5" s="4">
        <v>2641.2903225806454</v>
      </c>
      <c r="H5" s="11">
        <v>1.64</v>
      </c>
      <c r="I5" s="4">
        <v>291.3741935483871</v>
      </c>
      <c r="J5" s="11">
        <v>7.84</v>
      </c>
      <c r="K5" s="4">
        <f>'Occupied &amp; No. of Guest'!B6</f>
        <v>334</v>
      </c>
      <c r="L5" s="4">
        <f>'Occupied &amp; No. of Guest'!C6</f>
        <v>571</v>
      </c>
    </row>
    <row r="6" spans="1:12" x14ac:dyDescent="0.25">
      <c r="A6" s="9" t="s">
        <v>52</v>
      </c>
      <c r="B6" s="10">
        <f t="shared" si="0"/>
        <v>5</v>
      </c>
      <c r="C6" s="10">
        <v>1</v>
      </c>
      <c r="D6" s="10">
        <v>2025</v>
      </c>
      <c r="E6" s="4">
        <v>29637.903225806451</v>
      </c>
      <c r="F6" s="11">
        <v>0.2</v>
      </c>
      <c r="G6" s="4">
        <v>2641.2903225806454</v>
      </c>
      <c r="H6" s="11">
        <v>1.64</v>
      </c>
      <c r="I6" s="4">
        <v>291.3741935483871</v>
      </c>
      <c r="J6" s="11">
        <v>7.84</v>
      </c>
      <c r="K6" s="4">
        <f>'Occupied &amp; No. of Guest'!B7</f>
        <v>344</v>
      </c>
      <c r="L6" s="4">
        <f>'Occupied &amp; No. of Guest'!C7</f>
        <v>533</v>
      </c>
    </row>
    <row r="7" spans="1:12" x14ac:dyDescent="0.25">
      <c r="A7" s="9" t="s">
        <v>52</v>
      </c>
      <c r="B7" s="10">
        <f t="shared" si="0"/>
        <v>6</v>
      </c>
      <c r="C7" s="10">
        <v>1</v>
      </c>
      <c r="D7" s="10">
        <v>2025</v>
      </c>
      <c r="E7" s="4">
        <v>29637.903225806451</v>
      </c>
      <c r="F7" s="11">
        <v>0.2</v>
      </c>
      <c r="G7" s="4">
        <v>2641.2903225806454</v>
      </c>
      <c r="H7" s="11">
        <v>1.64</v>
      </c>
      <c r="I7" s="4">
        <v>291.3741935483871</v>
      </c>
      <c r="J7" s="11">
        <v>7.84</v>
      </c>
      <c r="K7" s="4">
        <f>'Occupied &amp; No. of Guest'!B8</f>
        <v>367</v>
      </c>
      <c r="L7" s="4">
        <f>'Occupied &amp; No. of Guest'!C8</f>
        <v>554</v>
      </c>
    </row>
    <row r="8" spans="1:12" x14ac:dyDescent="0.25">
      <c r="A8" s="9" t="s">
        <v>52</v>
      </c>
      <c r="B8" s="10">
        <f t="shared" si="0"/>
        <v>7</v>
      </c>
      <c r="C8" s="10">
        <v>1</v>
      </c>
      <c r="D8" s="10">
        <v>2025</v>
      </c>
      <c r="E8" s="4">
        <v>29637.903225806451</v>
      </c>
      <c r="F8" s="11">
        <v>0.2</v>
      </c>
      <c r="G8" s="4">
        <v>2641.2903225806454</v>
      </c>
      <c r="H8" s="11">
        <v>1.64</v>
      </c>
      <c r="I8" s="4">
        <v>291.3741935483871</v>
      </c>
      <c r="J8" s="11">
        <v>7.84</v>
      </c>
      <c r="K8" s="4">
        <f>'Occupied &amp; No. of Guest'!B9</f>
        <v>375</v>
      </c>
      <c r="L8" s="4">
        <f>'Occupied &amp; No. of Guest'!C9</f>
        <v>580</v>
      </c>
    </row>
    <row r="9" spans="1:12" x14ac:dyDescent="0.25">
      <c r="A9" s="9" t="s">
        <v>52</v>
      </c>
      <c r="B9" s="10">
        <f t="shared" si="0"/>
        <v>8</v>
      </c>
      <c r="C9" s="10">
        <v>1</v>
      </c>
      <c r="D9" s="10">
        <v>2025</v>
      </c>
      <c r="E9" s="4">
        <v>29637.903225806451</v>
      </c>
      <c r="F9" s="11">
        <v>0.2</v>
      </c>
      <c r="G9" s="4">
        <v>2641.2903225806454</v>
      </c>
      <c r="H9" s="11">
        <v>1.64</v>
      </c>
      <c r="I9" s="4">
        <v>291.3741935483871</v>
      </c>
      <c r="J9" s="11">
        <v>7.84</v>
      </c>
      <c r="K9" s="4">
        <f>'Occupied &amp; No. of Guest'!B10</f>
        <v>438</v>
      </c>
      <c r="L9" s="4">
        <f>'Occupied &amp; No. of Guest'!C10</f>
        <v>708</v>
      </c>
    </row>
    <row r="10" spans="1:12" x14ac:dyDescent="0.25">
      <c r="A10" s="9" t="s">
        <v>52</v>
      </c>
      <c r="B10" s="10">
        <f t="shared" si="0"/>
        <v>9</v>
      </c>
      <c r="C10" s="10">
        <v>1</v>
      </c>
      <c r="D10" s="10">
        <v>2025</v>
      </c>
      <c r="E10" s="4">
        <v>29637.903225806451</v>
      </c>
      <c r="F10" s="11">
        <v>0.2</v>
      </c>
      <c r="G10" s="4">
        <v>2641.2903225806454</v>
      </c>
      <c r="H10" s="11">
        <v>1.64</v>
      </c>
      <c r="I10" s="4">
        <v>291.3741935483871</v>
      </c>
      <c r="J10" s="11">
        <v>7.84</v>
      </c>
      <c r="K10" s="4">
        <f>'Occupied &amp; No. of Guest'!B11</f>
        <v>476</v>
      </c>
      <c r="L10" s="4">
        <f>'Occupied &amp; No. of Guest'!C11</f>
        <v>806</v>
      </c>
    </row>
    <row r="11" spans="1:12" x14ac:dyDescent="0.25">
      <c r="A11" s="9" t="s">
        <v>52</v>
      </c>
      <c r="B11" s="10">
        <f t="shared" si="0"/>
        <v>10</v>
      </c>
      <c r="C11" s="10">
        <v>1</v>
      </c>
      <c r="D11" s="10">
        <v>2025</v>
      </c>
      <c r="E11" s="4">
        <v>29637.903225806451</v>
      </c>
      <c r="F11" s="11">
        <v>0.2</v>
      </c>
      <c r="G11" s="4">
        <v>2641.2903225806454</v>
      </c>
      <c r="H11" s="11">
        <v>1.64</v>
      </c>
      <c r="I11" s="4">
        <v>291.3741935483871</v>
      </c>
      <c r="J11" s="11">
        <v>7.84</v>
      </c>
      <c r="K11" s="4">
        <f>'Occupied &amp; No. of Guest'!B12</f>
        <v>415</v>
      </c>
      <c r="L11" s="4">
        <f>'Occupied &amp; No. of Guest'!C12</f>
        <v>637</v>
      </c>
    </row>
    <row r="12" spans="1:12" x14ac:dyDescent="0.25">
      <c r="A12" s="9" t="s">
        <v>52</v>
      </c>
      <c r="B12" s="10">
        <f t="shared" si="0"/>
        <v>11</v>
      </c>
      <c r="C12" s="10">
        <v>1</v>
      </c>
      <c r="D12" s="10">
        <v>2025</v>
      </c>
      <c r="E12" s="4">
        <v>29637.903225806451</v>
      </c>
      <c r="F12" s="11">
        <v>0.2</v>
      </c>
      <c r="G12" s="4">
        <v>2641.2903225806454</v>
      </c>
      <c r="H12" s="11">
        <v>1.64</v>
      </c>
      <c r="I12" s="4">
        <v>291.3741935483871</v>
      </c>
      <c r="J12" s="11">
        <v>7.84</v>
      </c>
      <c r="K12" s="4">
        <f>'Occupied &amp; No. of Guest'!B13</f>
        <v>435</v>
      </c>
      <c r="L12" s="4">
        <f>'Occupied &amp; No. of Guest'!C13</f>
        <v>724</v>
      </c>
    </row>
    <row r="13" spans="1:12" x14ac:dyDescent="0.25">
      <c r="A13" s="9" t="s">
        <v>52</v>
      </c>
      <c r="B13" s="10">
        <f t="shared" si="0"/>
        <v>12</v>
      </c>
      <c r="C13" s="10">
        <v>1</v>
      </c>
      <c r="D13" s="10">
        <v>2025</v>
      </c>
      <c r="E13" s="4">
        <v>29637.903225806451</v>
      </c>
      <c r="F13" s="11">
        <v>0.2</v>
      </c>
      <c r="G13" s="4">
        <v>2641.2903225806454</v>
      </c>
      <c r="H13" s="11">
        <v>1.64</v>
      </c>
      <c r="I13" s="4">
        <v>291.3741935483871</v>
      </c>
      <c r="J13" s="11">
        <v>7.84</v>
      </c>
      <c r="K13" s="4">
        <f>'Occupied &amp; No. of Guest'!B14</f>
        <v>439</v>
      </c>
      <c r="L13" s="4">
        <f>'Occupied &amp; No. of Guest'!C14</f>
        <v>648</v>
      </c>
    </row>
    <row r="14" spans="1:12" x14ac:dyDescent="0.25">
      <c r="A14" s="9" t="s">
        <v>52</v>
      </c>
      <c r="B14" s="10">
        <f t="shared" si="0"/>
        <v>13</v>
      </c>
      <c r="C14" s="10">
        <v>1</v>
      </c>
      <c r="D14" s="10">
        <v>2025</v>
      </c>
      <c r="E14" s="4">
        <v>29637.903225806451</v>
      </c>
      <c r="F14" s="11">
        <v>0.2</v>
      </c>
      <c r="G14" s="4">
        <v>2641.2903225806454</v>
      </c>
      <c r="H14" s="11">
        <v>1.64</v>
      </c>
      <c r="I14" s="4">
        <v>291.3741935483871</v>
      </c>
      <c r="J14" s="11">
        <v>7.84</v>
      </c>
      <c r="K14" s="4">
        <f>'Occupied &amp; No. of Guest'!B15</f>
        <v>480</v>
      </c>
      <c r="L14" s="4">
        <f>'Occupied &amp; No. of Guest'!C15</f>
        <v>558</v>
      </c>
    </row>
    <row r="15" spans="1:12" x14ac:dyDescent="0.25">
      <c r="A15" s="9" t="s">
        <v>52</v>
      </c>
      <c r="B15" s="10">
        <f t="shared" si="0"/>
        <v>14</v>
      </c>
      <c r="C15" s="10">
        <v>1</v>
      </c>
      <c r="D15" s="10">
        <v>2025</v>
      </c>
      <c r="E15" s="4">
        <v>29637.903225806451</v>
      </c>
      <c r="F15" s="11">
        <v>0.2</v>
      </c>
      <c r="G15" s="4">
        <v>2641.2903225806454</v>
      </c>
      <c r="H15" s="11">
        <v>1.64</v>
      </c>
      <c r="I15" s="4">
        <v>291.3741935483871</v>
      </c>
      <c r="J15" s="11">
        <v>7.84</v>
      </c>
      <c r="K15" s="4">
        <f>'Occupied &amp; No. of Guest'!B16</f>
        <v>480</v>
      </c>
      <c r="L15" s="4">
        <f>'Occupied &amp; No. of Guest'!C16</f>
        <v>581</v>
      </c>
    </row>
    <row r="16" spans="1:12" x14ac:dyDescent="0.25">
      <c r="A16" s="9" t="s">
        <v>52</v>
      </c>
      <c r="B16" s="10">
        <f t="shared" si="0"/>
        <v>15</v>
      </c>
      <c r="C16" s="10">
        <v>1</v>
      </c>
      <c r="D16" s="10">
        <v>2025</v>
      </c>
      <c r="E16" s="4">
        <v>29637.903225806451</v>
      </c>
      <c r="F16" s="11">
        <v>0.2</v>
      </c>
      <c r="G16" s="4">
        <v>2641.2903225806454</v>
      </c>
      <c r="H16" s="11">
        <v>1.64</v>
      </c>
      <c r="I16" s="4">
        <v>291.3741935483871</v>
      </c>
      <c r="J16" s="11">
        <v>7.84</v>
      </c>
      <c r="K16" s="4">
        <f>'Occupied &amp; No. of Guest'!B17</f>
        <v>447</v>
      </c>
      <c r="L16" s="4">
        <f>'Occupied &amp; No. of Guest'!C17</f>
        <v>529</v>
      </c>
    </row>
    <row r="17" spans="1:12" x14ac:dyDescent="0.25">
      <c r="A17" s="9" t="s">
        <v>52</v>
      </c>
      <c r="B17" s="10">
        <f t="shared" si="0"/>
        <v>16</v>
      </c>
      <c r="C17" s="10">
        <v>1</v>
      </c>
      <c r="D17" s="10">
        <v>2025</v>
      </c>
      <c r="E17" s="4">
        <v>29637.903225806451</v>
      </c>
      <c r="F17" s="11">
        <v>0.2</v>
      </c>
      <c r="G17" s="4">
        <v>2641.2903225806454</v>
      </c>
      <c r="H17" s="11">
        <v>1.64</v>
      </c>
      <c r="I17" s="4">
        <v>291.3741935483871</v>
      </c>
      <c r="J17" s="11">
        <v>7.84</v>
      </c>
      <c r="K17" s="4">
        <f>'Occupied &amp; No. of Guest'!B18</f>
        <v>362</v>
      </c>
      <c r="L17" s="4">
        <f>'Occupied &amp; No. of Guest'!C18</f>
        <v>510</v>
      </c>
    </row>
    <row r="18" spans="1:12" x14ac:dyDescent="0.25">
      <c r="A18" s="9" t="s">
        <v>52</v>
      </c>
      <c r="B18" s="10">
        <f t="shared" si="0"/>
        <v>17</v>
      </c>
      <c r="C18" s="10">
        <v>1</v>
      </c>
      <c r="D18" s="10">
        <v>2025</v>
      </c>
      <c r="E18" s="4">
        <v>29637.903225806451</v>
      </c>
      <c r="F18" s="11">
        <v>0.2</v>
      </c>
      <c r="G18" s="4">
        <v>2641.2903225806454</v>
      </c>
      <c r="H18" s="11">
        <v>1.64</v>
      </c>
      <c r="I18" s="4">
        <v>291.3741935483871</v>
      </c>
      <c r="J18" s="11">
        <v>7.84</v>
      </c>
      <c r="K18" s="4">
        <f>'Occupied &amp; No. of Guest'!B19</f>
        <v>366</v>
      </c>
      <c r="L18" s="4">
        <f>'Occupied &amp; No. of Guest'!C19</f>
        <v>526</v>
      </c>
    </row>
    <row r="19" spans="1:12" x14ac:dyDescent="0.25">
      <c r="A19" s="9" t="s">
        <v>52</v>
      </c>
      <c r="B19" s="10">
        <f t="shared" si="0"/>
        <v>18</v>
      </c>
      <c r="C19" s="10">
        <v>1</v>
      </c>
      <c r="D19" s="10">
        <v>2025</v>
      </c>
      <c r="E19" s="4">
        <v>29637.903225806451</v>
      </c>
      <c r="F19" s="11">
        <v>0.2</v>
      </c>
      <c r="G19" s="4">
        <v>2641.2903225806454</v>
      </c>
      <c r="H19" s="11">
        <v>1.64</v>
      </c>
      <c r="I19" s="4">
        <v>291.3741935483871</v>
      </c>
      <c r="J19" s="11">
        <v>7.84</v>
      </c>
      <c r="K19" s="4">
        <f>'Occupied &amp; No. of Guest'!B20</f>
        <v>442</v>
      </c>
      <c r="L19" s="4">
        <f>'Occupied &amp; No. of Guest'!C20</f>
        <v>693</v>
      </c>
    </row>
    <row r="20" spans="1:12" x14ac:dyDescent="0.25">
      <c r="A20" s="9" t="s">
        <v>52</v>
      </c>
      <c r="B20" s="10">
        <f t="shared" si="0"/>
        <v>19</v>
      </c>
      <c r="C20" s="10">
        <v>1</v>
      </c>
      <c r="D20" s="10">
        <v>2025</v>
      </c>
      <c r="E20" s="4">
        <v>29637.903225806451</v>
      </c>
      <c r="F20" s="11">
        <v>0.2</v>
      </c>
      <c r="G20" s="4">
        <v>2641.2903225806454</v>
      </c>
      <c r="H20" s="11">
        <v>1.64</v>
      </c>
      <c r="I20" s="4">
        <v>291.3741935483871</v>
      </c>
      <c r="J20" s="11">
        <v>7.84</v>
      </c>
      <c r="K20" s="4">
        <f>'Occupied &amp; No. of Guest'!B21</f>
        <v>456</v>
      </c>
      <c r="L20" s="4">
        <f>'Occupied &amp; No. of Guest'!C21</f>
        <v>699</v>
      </c>
    </row>
    <row r="21" spans="1:12" x14ac:dyDescent="0.25">
      <c r="A21" s="9" t="s">
        <v>52</v>
      </c>
      <c r="B21" s="10">
        <f t="shared" si="0"/>
        <v>20</v>
      </c>
      <c r="C21" s="10">
        <v>1</v>
      </c>
      <c r="D21" s="10">
        <v>2025</v>
      </c>
      <c r="E21" s="4">
        <v>29637.903225806451</v>
      </c>
      <c r="F21" s="11">
        <v>0.2</v>
      </c>
      <c r="G21" s="4">
        <v>2641.2903225806454</v>
      </c>
      <c r="H21" s="11">
        <v>1.64</v>
      </c>
      <c r="I21" s="4">
        <v>291.3741935483871</v>
      </c>
      <c r="J21" s="11">
        <v>7.84</v>
      </c>
      <c r="K21" s="4">
        <f>'Occupied &amp; No. of Guest'!B22</f>
        <v>486</v>
      </c>
      <c r="L21" s="4">
        <f>'Occupied &amp; No. of Guest'!C22</f>
        <v>728</v>
      </c>
    </row>
    <row r="22" spans="1:12" x14ac:dyDescent="0.25">
      <c r="A22" s="9" t="s">
        <v>52</v>
      </c>
      <c r="B22" s="10">
        <f t="shared" si="0"/>
        <v>21</v>
      </c>
      <c r="C22" s="10">
        <v>1</v>
      </c>
      <c r="D22" s="10">
        <v>2025</v>
      </c>
      <c r="E22" s="4">
        <v>29637.903225806451</v>
      </c>
      <c r="F22" s="11">
        <v>0.2</v>
      </c>
      <c r="G22" s="4">
        <v>2641.2903225806454</v>
      </c>
      <c r="H22" s="11">
        <v>1.64</v>
      </c>
      <c r="I22" s="4">
        <v>291.3741935483871</v>
      </c>
      <c r="J22" s="11">
        <v>7.84</v>
      </c>
      <c r="K22" s="4">
        <f>'Occupied &amp; No. of Guest'!B23</f>
        <v>458</v>
      </c>
      <c r="L22" s="4">
        <f>'Occupied &amp; No. of Guest'!C23</f>
        <v>640</v>
      </c>
    </row>
    <row r="23" spans="1:12" x14ac:dyDescent="0.25">
      <c r="A23" s="9" t="s">
        <v>52</v>
      </c>
      <c r="B23" s="10">
        <f t="shared" si="0"/>
        <v>22</v>
      </c>
      <c r="C23" s="10">
        <v>1</v>
      </c>
      <c r="D23" s="10">
        <v>2025</v>
      </c>
      <c r="E23" s="4">
        <v>29637.903225806451</v>
      </c>
      <c r="F23" s="11">
        <v>0.2</v>
      </c>
      <c r="G23" s="4">
        <v>2641.2903225806454</v>
      </c>
      <c r="H23" s="11">
        <v>1.64</v>
      </c>
      <c r="I23" s="4">
        <v>291.3741935483871</v>
      </c>
      <c r="J23" s="11">
        <v>7.84</v>
      </c>
      <c r="K23" s="4">
        <f>'Occupied &amp; No. of Guest'!B24</f>
        <v>416</v>
      </c>
      <c r="L23" s="4">
        <f>'Occupied &amp; No. of Guest'!C24</f>
        <v>616</v>
      </c>
    </row>
    <row r="24" spans="1:12" x14ac:dyDescent="0.25">
      <c r="A24" s="9" t="s">
        <v>52</v>
      </c>
      <c r="B24" s="10">
        <f t="shared" si="0"/>
        <v>23</v>
      </c>
      <c r="C24" s="10">
        <v>1</v>
      </c>
      <c r="D24" s="10">
        <v>2025</v>
      </c>
      <c r="E24" s="4">
        <v>29637.903225806451</v>
      </c>
      <c r="F24" s="11">
        <v>0.2</v>
      </c>
      <c r="G24" s="4">
        <v>2641.2903225806454</v>
      </c>
      <c r="H24" s="11">
        <v>1.64</v>
      </c>
      <c r="I24" s="4">
        <v>291.3741935483871</v>
      </c>
      <c r="J24" s="11">
        <v>7.84</v>
      </c>
      <c r="K24" s="4">
        <f>'Occupied &amp; No. of Guest'!B25</f>
        <v>383</v>
      </c>
      <c r="L24" s="4">
        <f>'Occupied &amp; No. of Guest'!C25</f>
        <v>573</v>
      </c>
    </row>
    <row r="25" spans="1:12" x14ac:dyDescent="0.25">
      <c r="A25" s="9" t="s">
        <v>52</v>
      </c>
      <c r="B25" s="10">
        <f t="shared" si="0"/>
        <v>24</v>
      </c>
      <c r="C25" s="10">
        <v>1</v>
      </c>
      <c r="D25" s="10">
        <v>2025</v>
      </c>
      <c r="E25" s="4">
        <v>29637.903225806451</v>
      </c>
      <c r="F25" s="11">
        <v>0.2</v>
      </c>
      <c r="G25" s="4">
        <v>2641.2903225806454</v>
      </c>
      <c r="H25" s="11">
        <v>1.64</v>
      </c>
      <c r="I25" s="4">
        <v>291.3741935483871</v>
      </c>
      <c r="J25" s="11">
        <v>7.84</v>
      </c>
      <c r="K25" s="4">
        <f>'Occupied &amp; No. of Guest'!B26</f>
        <v>437</v>
      </c>
      <c r="L25" s="4">
        <f>'Occupied &amp; No. of Guest'!C26</f>
        <v>656</v>
      </c>
    </row>
    <row r="26" spans="1:12" x14ac:dyDescent="0.25">
      <c r="A26" s="9" t="s">
        <v>52</v>
      </c>
      <c r="B26" s="10">
        <f>B25+1</f>
        <v>25</v>
      </c>
      <c r="C26" s="10">
        <v>1</v>
      </c>
      <c r="D26" s="10">
        <v>2025</v>
      </c>
      <c r="E26" s="4">
        <v>29637.903225806451</v>
      </c>
      <c r="F26" s="11">
        <v>0.2</v>
      </c>
      <c r="G26" s="4">
        <v>2641.2903225806454</v>
      </c>
      <c r="H26" s="11">
        <v>1.64</v>
      </c>
      <c r="I26" s="4">
        <v>291.3741935483871</v>
      </c>
      <c r="J26" s="11">
        <v>7.84</v>
      </c>
      <c r="K26" s="4">
        <f>'Occupied &amp; No. of Guest'!B27</f>
        <v>376</v>
      </c>
      <c r="L26" s="4">
        <f>'Occupied &amp; No. of Guest'!C27</f>
        <v>572</v>
      </c>
    </row>
    <row r="27" spans="1:12" x14ac:dyDescent="0.25">
      <c r="A27" s="9" t="s">
        <v>52</v>
      </c>
      <c r="B27" s="10">
        <f t="shared" si="0"/>
        <v>26</v>
      </c>
      <c r="C27" s="10">
        <v>1</v>
      </c>
      <c r="D27" s="10">
        <v>2025</v>
      </c>
      <c r="E27" s="4">
        <v>29637.903225806451</v>
      </c>
      <c r="F27" s="11">
        <v>0.2</v>
      </c>
      <c r="G27" s="4">
        <v>2641.2903225806454</v>
      </c>
      <c r="H27" s="11">
        <v>1.64</v>
      </c>
      <c r="I27" s="4">
        <v>291.3741935483871</v>
      </c>
      <c r="J27" s="11">
        <v>7.84</v>
      </c>
      <c r="K27" s="4">
        <f>'Occupied &amp; No. of Guest'!B28</f>
        <v>381</v>
      </c>
      <c r="L27" s="4">
        <f>'Occupied &amp; No. of Guest'!C28</f>
        <v>573</v>
      </c>
    </row>
    <row r="28" spans="1:12" x14ac:dyDescent="0.25">
      <c r="A28" s="9" t="s">
        <v>52</v>
      </c>
      <c r="B28" s="10">
        <f t="shared" si="0"/>
        <v>27</v>
      </c>
      <c r="C28" s="10">
        <v>1</v>
      </c>
      <c r="D28" s="10">
        <v>2025</v>
      </c>
      <c r="E28" s="4">
        <v>29637.903225806451</v>
      </c>
      <c r="F28" s="11">
        <v>0.2</v>
      </c>
      <c r="G28" s="4">
        <v>2641.2903225806454</v>
      </c>
      <c r="H28" s="11">
        <v>1.64</v>
      </c>
      <c r="I28" s="4">
        <v>291.3741935483871</v>
      </c>
      <c r="J28" s="11">
        <v>7.84</v>
      </c>
      <c r="K28" s="4">
        <f>'Occupied &amp; No. of Guest'!B29</f>
        <v>417</v>
      </c>
      <c r="L28" s="4">
        <f>'Occupied &amp; No. of Guest'!C29</f>
        <v>619</v>
      </c>
    </row>
    <row r="29" spans="1:12" x14ac:dyDescent="0.25">
      <c r="A29" s="9" t="s">
        <v>52</v>
      </c>
      <c r="B29" s="10">
        <f t="shared" si="0"/>
        <v>28</v>
      </c>
      <c r="C29" s="10">
        <v>1</v>
      </c>
      <c r="D29" s="10">
        <v>2025</v>
      </c>
      <c r="E29" s="4">
        <v>29637.903225806451</v>
      </c>
      <c r="F29" s="11">
        <v>0.2</v>
      </c>
      <c r="G29" s="4">
        <v>2641.2903225806454</v>
      </c>
      <c r="H29" s="11">
        <v>1.64</v>
      </c>
      <c r="I29" s="4">
        <v>291.3741935483871</v>
      </c>
      <c r="J29" s="11">
        <v>7.84</v>
      </c>
      <c r="K29" s="4">
        <f>'Occupied &amp; No. of Guest'!B30</f>
        <v>462</v>
      </c>
      <c r="L29" s="4">
        <f>'Occupied &amp; No. of Guest'!C30</f>
        <v>688</v>
      </c>
    </row>
    <row r="30" spans="1:12" x14ac:dyDescent="0.25">
      <c r="A30" s="9" t="s">
        <v>52</v>
      </c>
      <c r="B30" s="10">
        <f t="shared" si="0"/>
        <v>29</v>
      </c>
      <c r="C30" s="10">
        <v>1</v>
      </c>
      <c r="D30" s="10">
        <v>2025</v>
      </c>
      <c r="E30" s="4">
        <v>29637.903225806451</v>
      </c>
      <c r="F30" s="11">
        <v>0.2</v>
      </c>
      <c r="G30" s="4">
        <v>2641.2903225806454</v>
      </c>
      <c r="H30" s="11">
        <v>1.64</v>
      </c>
      <c r="I30" s="4">
        <v>291.3741935483871</v>
      </c>
      <c r="J30" s="11">
        <v>7.84</v>
      </c>
      <c r="K30" s="4">
        <f>'Occupied &amp; No. of Guest'!B31</f>
        <v>476</v>
      </c>
      <c r="L30" s="4">
        <f>'Occupied &amp; No. of Guest'!C31</f>
        <v>726</v>
      </c>
    </row>
    <row r="31" spans="1:12" x14ac:dyDescent="0.25">
      <c r="A31" s="9" t="s">
        <v>52</v>
      </c>
      <c r="B31" s="10">
        <f t="shared" si="0"/>
        <v>30</v>
      </c>
      <c r="C31" s="10">
        <v>1</v>
      </c>
      <c r="D31" s="10">
        <v>2025</v>
      </c>
      <c r="E31" s="4">
        <v>29637.903225806451</v>
      </c>
      <c r="F31" s="11">
        <v>0.2</v>
      </c>
      <c r="G31" s="4">
        <v>2641.2903225806454</v>
      </c>
      <c r="H31" s="11">
        <v>1.64</v>
      </c>
      <c r="I31" s="4">
        <v>291.3741935483871</v>
      </c>
      <c r="J31" s="11">
        <v>7.84</v>
      </c>
      <c r="K31" s="4">
        <f>'Occupied &amp; No. of Guest'!B32</f>
        <v>488</v>
      </c>
      <c r="L31" s="4">
        <f>'Occupied &amp; No. of Guest'!C32</f>
        <v>733</v>
      </c>
    </row>
    <row r="32" spans="1:12" x14ac:dyDescent="0.25">
      <c r="A32" s="9" t="s">
        <v>52</v>
      </c>
      <c r="B32" s="10">
        <f t="shared" si="0"/>
        <v>31</v>
      </c>
      <c r="C32" s="10">
        <v>1</v>
      </c>
      <c r="D32" s="10">
        <v>2025</v>
      </c>
      <c r="E32" s="4">
        <v>29637.903225806451</v>
      </c>
      <c r="F32" s="11">
        <v>0.2</v>
      </c>
      <c r="G32" s="4">
        <v>2641.2903225806454</v>
      </c>
      <c r="H32" s="11">
        <v>1.64</v>
      </c>
      <c r="I32" s="4">
        <v>291.3741935483871</v>
      </c>
      <c r="J32" s="11">
        <v>7.84</v>
      </c>
      <c r="K32" s="4">
        <f>'Occupied &amp; No. of Guest'!B33</f>
        <v>433</v>
      </c>
      <c r="L32" s="4">
        <f>'Occupied &amp; No. of Guest'!C33</f>
        <v>680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3"/>
  <sheetViews>
    <sheetView zoomScale="115" zoomScaleNormal="115" zoomScaleSheetLayoutView="85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E23" sqref="E23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66" t="s">
        <v>79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spans="1:67" s="14" customFormat="1" ht="29.25" customHeight="1" thickBot="1" x14ac:dyDescent="0.3"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68">
        <v>1</v>
      </c>
      <c r="B5" s="20" t="s">
        <v>14</v>
      </c>
      <c r="C5" s="70" t="s">
        <v>15</v>
      </c>
      <c r="D5" s="21">
        <v>14794812</v>
      </c>
      <c r="E5" s="21">
        <v>14817373</v>
      </c>
      <c r="F5" s="21">
        <v>14839869</v>
      </c>
      <c r="G5" s="21">
        <v>14862135</v>
      </c>
      <c r="H5" s="21">
        <v>14884573</v>
      </c>
      <c r="I5" s="21">
        <v>14906377</v>
      </c>
      <c r="J5" s="21">
        <v>14928513</v>
      </c>
      <c r="K5" s="21">
        <v>14950295</v>
      </c>
      <c r="L5" s="21">
        <v>14971847</v>
      </c>
      <c r="M5" s="21">
        <v>14993825</v>
      </c>
      <c r="N5" s="21">
        <v>15016158</v>
      </c>
      <c r="O5" s="21">
        <v>15038167</v>
      </c>
      <c r="P5" s="21">
        <v>15059827</v>
      </c>
      <c r="Q5" s="21">
        <v>15082106</v>
      </c>
      <c r="R5" s="21">
        <v>15104625</v>
      </c>
      <c r="S5" s="21">
        <v>15126627</v>
      </c>
      <c r="T5" s="21">
        <v>15148471</v>
      </c>
      <c r="U5" s="21">
        <v>15170324</v>
      </c>
      <c r="V5" s="21">
        <v>15192335</v>
      </c>
      <c r="W5" s="21">
        <v>15213711</v>
      </c>
      <c r="X5" s="21">
        <v>15236423</v>
      </c>
      <c r="Y5" s="21">
        <v>15259132</v>
      </c>
      <c r="Z5" s="21">
        <v>15281054</v>
      </c>
      <c r="AA5" s="21">
        <v>15302082</v>
      </c>
      <c r="AB5" s="21">
        <v>15324239</v>
      </c>
      <c r="AC5" s="21">
        <v>15346554</v>
      </c>
      <c r="AD5" s="21">
        <v>15368935</v>
      </c>
      <c r="AE5" s="21">
        <v>15390133</v>
      </c>
      <c r="AF5" s="21">
        <v>15411593</v>
      </c>
      <c r="AG5" s="21">
        <v>15433309</v>
      </c>
      <c r="AH5" s="21">
        <v>15455766</v>
      </c>
      <c r="AI5" s="21">
        <v>15478484</v>
      </c>
    </row>
    <row r="6" spans="1:67" s="24" customFormat="1" ht="21.75" customHeight="1" thickBot="1" x14ac:dyDescent="0.25">
      <c r="A6" s="69"/>
      <c r="B6" s="22"/>
      <c r="C6" s="71"/>
      <c r="D6" s="23"/>
      <c r="E6" s="23">
        <f t="shared" ref="E6:AI6" si="0">E5-D5</f>
        <v>22561</v>
      </c>
      <c r="F6" s="23">
        <f t="shared" si="0"/>
        <v>22496</v>
      </c>
      <c r="G6" s="23">
        <f t="shared" si="0"/>
        <v>22266</v>
      </c>
      <c r="H6" s="23">
        <f t="shared" si="0"/>
        <v>22438</v>
      </c>
      <c r="I6" s="23">
        <f t="shared" si="0"/>
        <v>21804</v>
      </c>
      <c r="J6" s="23">
        <f t="shared" si="0"/>
        <v>22136</v>
      </c>
      <c r="K6" s="23">
        <f>K5-J5</f>
        <v>21782</v>
      </c>
      <c r="L6" s="23">
        <f t="shared" si="0"/>
        <v>21552</v>
      </c>
      <c r="M6" s="23">
        <f t="shared" si="0"/>
        <v>21978</v>
      </c>
      <c r="N6" s="23">
        <f t="shared" si="0"/>
        <v>22333</v>
      </c>
      <c r="O6" s="23">
        <f t="shared" si="0"/>
        <v>22009</v>
      </c>
      <c r="P6" s="23">
        <f t="shared" si="0"/>
        <v>21660</v>
      </c>
      <c r="Q6" s="23">
        <f t="shared" si="0"/>
        <v>22279</v>
      </c>
      <c r="R6" s="23">
        <f t="shared" si="0"/>
        <v>22519</v>
      </c>
      <c r="S6" s="23">
        <f t="shared" si="0"/>
        <v>22002</v>
      </c>
      <c r="T6" s="23">
        <f t="shared" si="0"/>
        <v>21844</v>
      </c>
      <c r="U6" s="23">
        <f t="shared" si="0"/>
        <v>21853</v>
      </c>
      <c r="V6" s="23">
        <f t="shared" si="0"/>
        <v>22011</v>
      </c>
      <c r="W6" s="23">
        <f t="shared" si="0"/>
        <v>21376</v>
      </c>
      <c r="X6" s="23">
        <f t="shared" si="0"/>
        <v>22712</v>
      </c>
      <c r="Y6" s="23">
        <f t="shared" si="0"/>
        <v>22709</v>
      </c>
      <c r="Z6" s="23">
        <f t="shared" si="0"/>
        <v>21922</v>
      </c>
      <c r="AA6" s="23">
        <f t="shared" si="0"/>
        <v>21028</v>
      </c>
      <c r="AB6" s="23">
        <f t="shared" si="0"/>
        <v>22157</v>
      </c>
      <c r="AC6" s="23">
        <f t="shared" si="0"/>
        <v>22315</v>
      </c>
      <c r="AD6" s="23">
        <f t="shared" si="0"/>
        <v>22381</v>
      </c>
      <c r="AE6" s="23">
        <f t="shared" si="0"/>
        <v>21198</v>
      </c>
      <c r="AF6" s="23">
        <f t="shared" si="0"/>
        <v>21460</v>
      </c>
      <c r="AG6" s="23">
        <f t="shared" si="0"/>
        <v>21716</v>
      </c>
      <c r="AH6" s="23">
        <f t="shared" si="0"/>
        <v>22457</v>
      </c>
      <c r="AI6" s="23">
        <f t="shared" si="0"/>
        <v>22718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72">
        <v>2</v>
      </c>
      <c r="B7" s="25" t="s">
        <v>16</v>
      </c>
      <c r="C7" s="74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25">
      <c r="A8" s="73"/>
      <c r="B8" s="22"/>
      <c r="C8" s="71"/>
      <c r="D8" s="23"/>
      <c r="E8" s="23">
        <f t="shared" ref="E8:AI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>
        <f t="shared" si="1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9">
        <v>3</v>
      </c>
      <c r="B9" s="36" t="s">
        <v>53</v>
      </c>
      <c r="C9" s="81" t="s">
        <v>54</v>
      </c>
      <c r="D9" s="21">
        <v>16219487</v>
      </c>
      <c r="E9" s="21">
        <v>16238355</v>
      </c>
      <c r="F9" s="21">
        <v>16255736</v>
      </c>
      <c r="G9" s="21">
        <v>16273075</v>
      </c>
      <c r="H9" s="21">
        <v>16290036</v>
      </c>
      <c r="I9" s="21">
        <v>16307071</v>
      </c>
      <c r="J9" s="21">
        <v>16323088</v>
      </c>
      <c r="K9" s="21">
        <v>16338953</v>
      </c>
      <c r="L9" s="21">
        <v>16346309</v>
      </c>
      <c r="M9" s="21">
        <v>16348338</v>
      </c>
      <c r="N9" s="21">
        <v>16350456</v>
      </c>
      <c r="O9" s="21">
        <v>16352602</v>
      </c>
      <c r="P9" s="21">
        <v>16354498</v>
      </c>
      <c r="Q9" s="21">
        <v>16355213</v>
      </c>
      <c r="R9" s="21">
        <v>16355612</v>
      </c>
      <c r="S9" s="21">
        <v>16356007</v>
      </c>
      <c r="T9" s="21">
        <v>16356428</v>
      </c>
      <c r="U9" s="21">
        <v>16365026</v>
      </c>
      <c r="V9" s="21">
        <v>16379425</v>
      </c>
      <c r="W9" s="21">
        <v>16395240</v>
      </c>
      <c r="X9" s="21">
        <v>16412239</v>
      </c>
      <c r="Y9" s="21">
        <v>16429714</v>
      </c>
      <c r="Z9" s="21">
        <v>16446925</v>
      </c>
      <c r="AA9" s="21">
        <v>16463980</v>
      </c>
      <c r="AB9" s="21">
        <v>16480881</v>
      </c>
      <c r="AC9" s="21">
        <v>16498186</v>
      </c>
      <c r="AD9" s="21">
        <v>16515628</v>
      </c>
      <c r="AE9" s="21">
        <v>16534303</v>
      </c>
      <c r="AF9" s="21">
        <v>16553255</v>
      </c>
      <c r="AG9" s="21">
        <v>16571108</v>
      </c>
      <c r="AH9" s="21">
        <v>16588964</v>
      </c>
      <c r="AI9" s="21">
        <v>16606503</v>
      </c>
    </row>
    <row r="10" spans="1:67" s="24" customFormat="1" ht="21.75" customHeight="1" thickBot="1" x14ac:dyDescent="0.25">
      <c r="A10" s="80"/>
      <c r="B10" s="37"/>
      <c r="C10" s="78"/>
      <c r="D10" s="23"/>
      <c r="E10" s="23">
        <f t="shared" ref="E10:AI10" si="2">E9-D9</f>
        <v>18868</v>
      </c>
      <c r="F10" s="23">
        <f t="shared" si="2"/>
        <v>17381</v>
      </c>
      <c r="G10" s="23">
        <f t="shared" si="2"/>
        <v>17339</v>
      </c>
      <c r="H10" s="23">
        <f t="shared" si="2"/>
        <v>16961</v>
      </c>
      <c r="I10" s="23">
        <f t="shared" si="2"/>
        <v>17035</v>
      </c>
      <c r="J10" s="23">
        <f>J9-I9</f>
        <v>16017</v>
      </c>
      <c r="K10" s="23">
        <f t="shared" si="2"/>
        <v>15865</v>
      </c>
      <c r="L10" s="23">
        <f t="shared" si="2"/>
        <v>7356</v>
      </c>
      <c r="M10" s="23">
        <f t="shared" si="2"/>
        <v>2029</v>
      </c>
      <c r="N10" s="23">
        <f t="shared" si="2"/>
        <v>2118</v>
      </c>
      <c r="O10" s="23">
        <f t="shared" si="2"/>
        <v>2146</v>
      </c>
      <c r="P10" s="23">
        <f t="shared" si="2"/>
        <v>1896</v>
      </c>
      <c r="Q10" s="23">
        <f t="shared" si="2"/>
        <v>715</v>
      </c>
      <c r="R10" s="23">
        <f t="shared" si="2"/>
        <v>399</v>
      </c>
      <c r="S10" s="23">
        <f t="shared" si="2"/>
        <v>395</v>
      </c>
      <c r="T10" s="23">
        <f t="shared" si="2"/>
        <v>421</v>
      </c>
      <c r="U10" s="23">
        <f t="shared" si="2"/>
        <v>8598</v>
      </c>
      <c r="V10" s="23">
        <f t="shared" si="2"/>
        <v>14399</v>
      </c>
      <c r="W10" s="23">
        <f t="shared" si="2"/>
        <v>15815</v>
      </c>
      <c r="X10" s="23">
        <f t="shared" si="2"/>
        <v>16999</v>
      </c>
      <c r="Y10" s="23">
        <f t="shared" si="2"/>
        <v>17475</v>
      </c>
      <c r="Z10" s="23">
        <f t="shared" si="2"/>
        <v>17211</v>
      </c>
      <c r="AA10" s="23">
        <f t="shared" si="2"/>
        <v>17055</v>
      </c>
      <c r="AB10" s="23">
        <f t="shared" si="2"/>
        <v>16901</v>
      </c>
      <c r="AC10" s="23">
        <f t="shared" si="2"/>
        <v>17305</v>
      </c>
      <c r="AD10" s="23">
        <f t="shared" si="2"/>
        <v>17442</v>
      </c>
      <c r="AE10" s="23">
        <f t="shared" si="2"/>
        <v>18675</v>
      </c>
      <c r="AF10" s="23">
        <f t="shared" si="2"/>
        <v>18952</v>
      </c>
      <c r="AG10" s="23">
        <f t="shared" si="2"/>
        <v>17853</v>
      </c>
      <c r="AH10" s="23">
        <f t="shared" si="2"/>
        <v>17856</v>
      </c>
      <c r="AI10" s="23">
        <f t="shared" si="2"/>
        <v>17539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5">
        <v>4</v>
      </c>
      <c r="B11" s="36" t="s">
        <v>55</v>
      </c>
      <c r="C11" s="81" t="s">
        <v>56</v>
      </c>
      <c r="D11" s="21">
        <v>10658765</v>
      </c>
      <c r="E11" s="21">
        <v>10659852</v>
      </c>
      <c r="F11" s="21">
        <v>10660851</v>
      </c>
      <c r="G11" s="21">
        <v>10661787</v>
      </c>
      <c r="H11" s="21">
        <v>10662707</v>
      </c>
      <c r="I11" s="21">
        <v>10663621</v>
      </c>
      <c r="J11" s="21">
        <v>10666003</v>
      </c>
      <c r="K11" s="21">
        <v>10669073</v>
      </c>
      <c r="L11" s="21">
        <v>10681061</v>
      </c>
      <c r="M11" s="21">
        <v>10698735</v>
      </c>
      <c r="N11" s="21">
        <v>10716736</v>
      </c>
      <c r="O11" s="21">
        <v>10734401</v>
      </c>
      <c r="P11" s="21">
        <v>10752859</v>
      </c>
      <c r="Q11" s="21">
        <v>10772520</v>
      </c>
      <c r="R11" s="21">
        <v>10790711</v>
      </c>
      <c r="S11" s="21">
        <v>10808809</v>
      </c>
      <c r="T11" s="21">
        <v>10827990</v>
      </c>
      <c r="U11" s="21">
        <v>10838223</v>
      </c>
      <c r="V11" s="21">
        <v>10842111</v>
      </c>
      <c r="W11" s="21">
        <v>10844334</v>
      </c>
      <c r="X11" s="21">
        <v>10845667</v>
      </c>
      <c r="Y11" s="21">
        <v>10846596</v>
      </c>
      <c r="Z11" s="21">
        <v>10847507</v>
      </c>
      <c r="AA11" s="21">
        <v>10848420</v>
      </c>
      <c r="AB11" s="21">
        <v>10849336</v>
      </c>
      <c r="AC11" s="21">
        <v>10850254</v>
      </c>
      <c r="AD11" s="21">
        <v>10851187</v>
      </c>
      <c r="AE11" s="21">
        <v>10852206</v>
      </c>
      <c r="AF11" s="21">
        <v>10853256</v>
      </c>
      <c r="AG11" s="21">
        <v>10854248</v>
      </c>
      <c r="AH11" s="21">
        <v>10855308</v>
      </c>
      <c r="AI11" s="21">
        <v>10856222</v>
      </c>
    </row>
    <row r="12" spans="1:67" s="38" customFormat="1" ht="21.75" customHeight="1" thickBot="1" x14ac:dyDescent="0.25">
      <c r="A12" s="76"/>
      <c r="B12" s="37"/>
      <c r="C12" s="78"/>
      <c r="D12" s="23"/>
      <c r="E12" s="23">
        <f t="shared" ref="E12:AI12" si="3">E11-D11</f>
        <v>1087</v>
      </c>
      <c r="F12" s="23">
        <f t="shared" si="3"/>
        <v>999</v>
      </c>
      <c r="G12" s="23">
        <f t="shared" si="3"/>
        <v>936</v>
      </c>
      <c r="H12" s="23">
        <f t="shared" si="3"/>
        <v>920</v>
      </c>
      <c r="I12" s="23">
        <f t="shared" si="3"/>
        <v>914</v>
      </c>
      <c r="J12" s="23">
        <f>J11-I11</f>
        <v>2382</v>
      </c>
      <c r="K12" s="23">
        <f t="shared" si="3"/>
        <v>3070</v>
      </c>
      <c r="L12" s="23">
        <f t="shared" si="3"/>
        <v>11988</v>
      </c>
      <c r="M12" s="23">
        <f t="shared" si="3"/>
        <v>17674</v>
      </c>
      <c r="N12" s="23">
        <f t="shared" si="3"/>
        <v>18001</v>
      </c>
      <c r="O12" s="23">
        <f t="shared" si="3"/>
        <v>17665</v>
      </c>
      <c r="P12" s="23">
        <f t="shared" si="3"/>
        <v>18458</v>
      </c>
      <c r="Q12" s="23">
        <f t="shared" si="3"/>
        <v>19661</v>
      </c>
      <c r="R12" s="23">
        <f t="shared" si="3"/>
        <v>18191</v>
      </c>
      <c r="S12" s="23">
        <f t="shared" si="3"/>
        <v>18098</v>
      </c>
      <c r="T12" s="23">
        <f t="shared" si="3"/>
        <v>19181</v>
      </c>
      <c r="U12" s="23">
        <f t="shared" si="3"/>
        <v>10233</v>
      </c>
      <c r="V12" s="23">
        <f t="shared" si="3"/>
        <v>3888</v>
      </c>
      <c r="W12" s="23">
        <f t="shared" si="3"/>
        <v>2223</v>
      </c>
      <c r="X12" s="23">
        <f t="shared" si="3"/>
        <v>1333</v>
      </c>
      <c r="Y12" s="23">
        <f t="shared" si="3"/>
        <v>929</v>
      </c>
      <c r="Z12" s="23">
        <f t="shared" si="3"/>
        <v>911</v>
      </c>
      <c r="AA12" s="23">
        <f t="shared" si="3"/>
        <v>913</v>
      </c>
      <c r="AB12" s="23">
        <f t="shared" si="3"/>
        <v>916</v>
      </c>
      <c r="AC12" s="23">
        <f t="shared" si="3"/>
        <v>918</v>
      </c>
      <c r="AD12" s="23">
        <f t="shared" si="3"/>
        <v>933</v>
      </c>
      <c r="AE12" s="23">
        <f t="shared" si="3"/>
        <v>1019</v>
      </c>
      <c r="AF12" s="23">
        <f t="shared" si="3"/>
        <v>1050</v>
      </c>
      <c r="AG12" s="23">
        <f t="shared" si="3"/>
        <v>992</v>
      </c>
      <c r="AH12" s="23">
        <f t="shared" si="3"/>
        <v>1060</v>
      </c>
      <c r="AI12" s="23">
        <f t="shared" si="3"/>
        <v>914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9">
        <v>7</v>
      </c>
      <c r="B13" s="39" t="s">
        <v>57</v>
      </c>
      <c r="C13" s="77" t="s">
        <v>58</v>
      </c>
      <c r="D13" s="40">
        <v>3377</v>
      </c>
      <c r="E13" s="40">
        <v>3377</v>
      </c>
      <c r="F13" s="40">
        <v>3377</v>
      </c>
      <c r="G13" s="40">
        <v>3377</v>
      </c>
      <c r="H13" s="40">
        <v>3377</v>
      </c>
      <c r="I13" s="40">
        <v>3377</v>
      </c>
      <c r="J13" s="40">
        <v>3377</v>
      </c>
      <c r="K13" s="40">
        <v>3377</v>
      </c>
      <c r="L13" s="40">
        <v>3377</v>
      </c>
      <c r="M13" s="40">
        <v>3377</v>
      </c>
      <c r="N13" s="40">
        <v>3377</v>
      </c>
      <c r="O13" s="40">
        <v>3393</v>
      </c>
      <c r="P13" s="40">
        <v>3393</v>
      </c>
      <c r="Q13" s="40">
        <v>3393</v>
      </c>
      <c r="R13" s="40">
        <v>3393</v>
      </c>
      <c r="S13" s="40">
        <v>3393</v>
      </c>
      <c r="T13" s="40">
        <v>3393</v>
      </c>
      <c r="U13" s="40">
        <v>3393</v>
      </c>
      <c r="V13" s="40">
        <v>3393</v>
      </c>
      <c r="W13" s="40">
        <v>3393</v>
      </c>
      <c r="X13" s="40">
        <v>3393</v>
      </c>
      <c r="Y13" s="40">
        <v>3393</v>
      </c>
      <c r="Z13" s="40">
        <v>3393</v>
      </c>
      <c r="AA13" s="40">
        <v>3393</v>
      </c>
      <c r="AB13" s="40">
        <v>3393</v>
      </c>
      <c r="AC13" s="40">
        <v>3399</v>
      </c>
      <c r="AD13" s="40">
        <v>3399</v>
      </c>
      <c r="AE13" s="40">
        <v>3399</v>
      </c>
      <c r="AF13" s="40">
        <v>3399</v>
      </c>
      <c r="AG13" s="40">
        <v>3399</v>
      </c>
      <c r="AH13" s="40">
        <v>3399</v>
      </c>
      <c r="AI13" s="40">
        <v>3399</v>
      </c>
    </row>
    <row r="14" spans="1:67" s="24" customFormat="1" ht="21.75" customHeight="1" thickBot="1" x14ac:dyDescent="0.25">
      <c r="A14" s="80"/>
      <c r="B14" s="41"/>
      <c r="C14" s="78"/>
      <c r="D14" s="42"/>
      <c r="E14" s="42">
        <f t="shared" ref="E14:AI14" si="4">E13-D13</f>
        <v>0</v>
      </c>
      <c r="F14" s="42">
        <f t="shared" si="4"/>
        <v>0</v>
      </c>
      <c r="G14" s="42"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0</v>
      </c>
      <c r="O14" s="42">
        <f t="shared" si="4"/>
        <v>16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0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0</v>
      </c>
      <c r="AC14" s="42">
        <f t="shared" si="4"/>
        <v>6</v>
      </c>
      <c r="AD14" s="42">
        <f t="shared" si="4"/>
        <v>0</v>
      </c>
      <c r="AE14" s="42">
        <f t="shared" si="4"/>
        <v>0</v>
      </c>
      <c r="AF14" s="42">
        <f t="shared" si="4"/>
        <v>0</v>
      </c>
      <c r="AG14" s="42">
        <f t="shared" si="4"/>
        <v>0</v>
      </c>
      <c r="AH14" s="42">
        <f t="shared" si="4"/>
        <v>0</v>
      </c>
      <c r="AI14" s="42">
        <f t="shared" si="4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5">
        <v>8</v>
      </c>
      <c r="B15" s="39" t="s">
        <v>59</v>
      </c>
      <c r="C15" s="77" t="s">
        <v>60</v>
      </c>
      <c r="D15" s="40">
        <v>497</v>
      </c>
      <c r="E15" s="40">
        <v>497</v>
      </c>
      <c r="F15" s="40">
        <v>497</v>
      </c>
      <c r="G15" s="40">
        <v>497</v>
      </c>
      <c r="H15" s="40">
        <v>497</v>
      </c>
      <c r="I15" s="40">
        <v>497</v>
      </c>
      <c r="J15" s="40">
        <v>497</v>
      </c>
      <c r="K15" s="40">
        <v>497</v>
      </c>
      <c r="L15" s="40">
        <v>497</v>
      </c>
      <c r="M15" s="40">
        <v>497</v>
      </c>
      <c r="N15" s="40">
        <v>497</v>
      </c>
      <c r="O15" s="40">
        <v>501</v>
      </c>
      <c r="P15" s="40">
        <v>501</v>
      </c>
      <c r="Q15" s="40">
        <v>501</v>
      </c>
      <c r="R15" s="40">
        <v>501</v>
      </c>
      <c r="S15" s="40">
        <v>501</v>
      </c>
      <c r="T15" s="40">
        <v>501</v>
      </c>
      <c r="U15" s="40">
        <v>505</v>
      </c>
      <c r="V15" s="40">
        <v>505</v>
      </c>
      <c r="W15" s="40">
        <v>505</v>
      </c>
      <c r="X15" s="40">
        <v>505</v>
      </c>
      <c r="Y15" s="40">
        <v>505</v>
      </c>
      <c r="Z15" s="40">
        <v>505</v>
      </c>
      <c r="AA15" s="40">
        <v>505</v>
      </c>
      <c r="AB15" s="40">
        <v>505</v>
      </c>
      <c r="AC15" s="40">
        <v>506</v>
      </c>
      <c r="AD15" s="40">
        <v>506</v>
      </c>
      <c r="AE15" s="40">
        <v>506</v>
      </c>
      <c r="AF15" s="40">
        <v>506</v>
      </c>
      <c r="AG15" s="40">
        <v>506</v>
      </c>
      <c r="AH15" s="40">
        <v>506</v>
      </c>
      <c r="AI15" s="40">
        <v>506</v>
      </c>
    </row>
    <row r="16" spans="1:67" s="24" customFormat="1" ht="21.75" customHeight="1" thickBot="1" x14ac:dyDescent="0.25">
      <c r="A16" s="76"/>
      <c r="B16" s="41"/>
      <c r="C16" s="78"/>
      <c r="D16" s="42"/>
      <c r="E16" s="42">
        <f t="shared" ref="E16:AI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4</v>
      </c>
      <c r="P16" s="42">
        <f t="shared" si="5"/>
        <v>0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0</v>
      </c>
      <c r="U16" s="42">
        <f t="shared" si="5"/>
        <v>4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1</v>
      </c>
      <c r="AD16" s="42">
        <f t="shared" si="5"/>
        <v>0</v>
      </c>
      <c r="AE16" s="42">
        <f t="shared" si="5"/>
        <v>0</v>
      </c>
      <c r="AF16" s="42">
        <f t="shared" si="5"/>
        <v>0</v>
      </c>
      <c r="AG16" s="42">
        <f t="shared" si="5"/>
        <v>0</v>
      </c>
      <c r="AH16" s="42">
        <f t="shared" si="5"/>
        <v>0</v>
      </c>
      <c r="AI16" s="42">
        <f t="shared" si="5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5">
        <v>13</v>
      </c>
      <c r="B17" s="39" t="s">
        <v>61</v>
      </c>
      <c r="C17" s="77" t="s">
        <v>62</v>
      </c>
      <c r="D17" s="40">
        <v>1466327</v>
      </c>
      <c r="E17" s="40">
        <v>1466610</v>
      </c>
      <c r="F17" s="40">
        <v>1466888</v>
      </c>
      <c r="G17" s="40">
        <v>1467152</v>
      </c>
      <c r="H17" s="40">
        <v>1467405</v>
      </c>
      <c r="I17" s="40">
        <v>1467669</v>
      </c>
      <c r="J17" s="40">
        <v>1467931</v>
      </c>
      <c r="K17" s="40">
        <v>1468209</v>
      </c>
      <c r="L17" s="40">
        <v>1468486</v>
      </c>
      <c r="M17" s="40">
        <v>1468753</v>
      </c>
      <c r="N17" s="40">
        <v>1469023</v>
      </c>
      <c r="O17" s="40">
        <v>1469304</v>
      </c>
      <c r="P17" s="40">
        <v>1469586</v>
      </c>
      <c r="Q17" s="40">
        <v>1469861</v>
      </c>
      <c r="R17" s="40">
        <v>1470154</v>
      </c>
      <c r="S17" s="40">
        <v>1470436</v>
      </c>
      <c r="T17" s="40">
        <v>1470708</v>
      </c>
      <c r="U17" s="40">
        <v>1470975</v>
      </c>
      <c r="V17" s="40">
        <v>1471240</v>
      </c>
      <c r="W17" s="40">
        <v>1471515</v>
      </c>
      <c r="X17" s="40">
        <v>1471791</v>
      </c>
      <c r="Y17" s="40">
        <v>1472073</v>
      </c>
      <c r="Z17" s="40">
        <v>1472350</v>
      </c>
      <c r="AA17" s="40">
        <v>1472621</v>
      </c>
      <c r="AB17" s="40">
        <v>1472886</v>
      </c>
      <c r="AC17" s="40">
        <v>1473177</v>
      </c>
      <c r="AD17" s="40">
        <v>1473439</v>
      </c>
      <c r="AE17" s="40">
        <v>1473693</v>
      </c>
      <c r="AF17" s="40">
        <v>1473969</v>
      </c>
      <c r="AG17" s="40">
        <v>1474231</v>
      </c>
      <c r="AH17" s="40">
        <v>1474514</v>
      </c>
      <c r="AI17" s="40">
        <v>1474788</v>
      </c>
    </row>
    <row r="18" spans="1:35" ht="21.75" customHeight="1" thickBot="1" x14ac:dyDescent="0.25">
      <c r="A18" s="83"/>
      <c r="B18" s="43"/>
      <c r="C18" s="84"/>
      <c r="D18" s="42"/>
      <c r="E18" s="42">
        <f t="shared" ref="E18:AI18" si="6">E17-D17</f>
        <v>283</v>
      </c>
      <c r="F18" s="42">
        <f t="shared" si="6"/>
        <v>278</v>
      </c>
      <c r="G18" s="42">
        <f t="shared" si="6"/>
        <v>264</v>
      </c>
      <c r="H18" s="42">
        <f t="shared" si="6"/>
        <v>253</v>
      </c>
      <c r="I18" s="42">
        <f t="shared" si="6"/>
        <v>264</v>
      </c>
      <c r="J18" s="42">
        <f t="shared" si="6"/>
        <v>262</v>
      </c>
      <c r="K18" s="42">
        <f t="shared" si="6"/>
        <v>278</v>
      </c>
      <c r="L18" s="42">
        <f t="shared" si="6"/>
        <v>277</v>
      </c>
      <c r="M18" s="42">
        <f t="shared" si="6"/>
        <v>267</v>
      </c>
      <c r="N18" s="42">
        <f t="shared" si="6"/>
        <v>270</v>
      </c>
      <c r="O18" s="42">
        <f t="shared" si="6"/>
        <v>281</v>
      </c>
      <c r="P18" s="42">
        <f t="shared" si="6"/>
        <v>282</v>
      </c>
      <c r="Q18" s="42">
        <f t="shared" si="6"/>
        <v>275</v>
      </c>
      <c r="R18" s="42">
        <f t="shared" si="6"/>
        <v>293</v>
      </c>
      <c r="S18" s="42">
        <f t="shared" si="6"/>
        <v>282</v>
      </c>
      <c r="T18" s="42">
        <f t="shared" si="6"/>
        <v>272</v>
      </c>
      <c r="U18" s="42">
        <f t="shared" si="6"/>
        <v>267</v>
      </c>
      <c r="V18" s="42">
        <f t="shared" si="6"/>
        <v>265</v>
      </c>
      <c r="W18" s="42">
        <f t="shared" si="6"/>
        <v>275</v>
      </c>
      <c r="X18" s="42">
        <f t="shared" si="6"/>
        <v>276</v>
      </c>
      <c r="Y18" s="42">
        <f t="shared" si="6"/>
        <v>282</v>
      </c>
      <c r="Z18" s="42">
        <f t="shared" si="6"/>
        <v>277</v>
      </c>
      <c r="AA18" s="42">
        <f t="shared" si="6"/>
        <v>271</v>
      </c>
      <c r="AB18" s="42">
        <f t="shared" si="6"/>
        <v>265</v>
      </c>
      <c r="AC18" s="42">
        <f t="shared" si="6"/>
        <v>291</v>
      </c>
      <c r="AD18" s="42">
        <f t="shared" si="6"/>
        <v>262</v>
      </c>
      <c r="AE18" s="42">
        <f t="shared" si="6"/>
        <v>254</v>
      </c>
      <c r="AF18" s="42">
        <f t="shared" si="6"/>
        <v>276</v>
      </c>
      <c r="AG18" s="42">
        <f t="shared" si="6"/>
        <v>262</v>
      </c>
      <c r="AH18" s="42">
        <f t="shared" si="6"/>
        <v>283</v>
      </c>
      <c r="AI18" s="42">
        <f t="shared" si="6"/>
        <v>274</v>
      </c>
    </row>
    <row r="19" spans="1:35" ht="21.75" customHeight="1" x14ac:dyDescent="0.2">
      <c r="A19" s="85">
        <v>14</v>
      </c>
      <c r="B19" s="39" t="s">
        <v>63</v>
      </c>
      <c r="C19" s="77" t="s">
        <v>64</v>
      </c>
      <c r="D19" s="40">
        <v>387496</v>
      </c>
      <c r="E19" s="40">
        <v>387540</v>
      </c>
      <c r="F19" s="40">
        <v>387581</v>
      </c>
      <c r="G19" s="40">
        <v>387623</v>
      </c>
      <c r="H19" s="40">
        <v>387668</v>
      </c>
      <c r="I19" s="40">
        <v>387707</v>
      </c>
      <c r="J19" s="40">
        <v>387749</v>
      </c>
      <c r="K19" s="40">
        <v>387795</v>
      </c>
      <c r="L19" s="40">
        <v>387836</v>
      </c>
      <c r="M19" s="40">
        <v>387878</v>
      </c>
      <c r="N19" s="40">
        <v>387921</v>
      </c>
      <c r="O19" s="40">
        <v>387966</v>
      </c>
      <c r="P19" s="40">
        <v>388005</v>
      </c>
      <c r="Q19" s="40">
        <v>388046</v>
      </c>
      <c r="R19" s="40">
        <v>388088</v>
      </c>
      <c r="S19" s="40">
        <v>388134</v>
      </c>
      <c r="T19" s="40">
        <v>388178</v>
      </c>
      <c r="U19" s="40">
        <v>388220</v>
      </c>
      <c r="V19" s="40">
        <v>388259</v>
      </c>
      <c r="W19" s="40">
        <v>388294</v>
      </c>
      <c r="X19" s="40">
        <v>388337</v>
      </c>
      <c r="Y19" s="40">
        <v>388378</v>
      </c>
      <c r="Z19" s="40">
        <v>388418</v>
      </c>
      <c r="AA19" s="40">
        <v>388460</v>
      </c>
      <c r="AB19" s="40">
        <v>388501</v>
      </c>
      <c r="AC19" s="40">
        <v>388541</v>
      </c>
      <c r="AD19" s="40">
        <v>388586</v>
      </c>
      <c r="AE19" s="40">
        <v>388631</v>
      </c>
      <c r="AF19" s="40">
        <v>388674</v>
      </c>
      <c r="AG19" s="40">
        <v>388719</v>
      </c>
      <c r="AH19" s="40">
        <v>388764</v>
      </c>
      <c r="AI19" s="40">
        <v>388808</v>
      </c>
    </row>
    <row r="20" spans="1:35" ht="21.75" customHeight="1" thickBot="1" x14ac:dyDescent="0.25">
      <c r="A20" s="80"/>
      <c r="B20" s="43"/>
      <c r="C20" s="84"/>
      <c r="D20" s="42"/>
      <c r="E20" s="42">
        <f>E19-D19</f>
        <v>44</v>
      </c>
      <c r="F20" s="42">
        <f t="shared" ref="F20:AI20" si="7">F19-E19</f>
        <v>41</v>
      </c>
      <c r="G20" s="42">
        <f t="shared" si="7"/>
        <v>42</v>
      </c>
      <c r="H20" s="42">
        <f t="shared" si="7"/>
        <v>45</v>
      </c>
      <c r="I20" s="42">
        <f t="shared" si="7"/>
        <v>39</v>
      </c>
      <c r="J20" s="42">
        <f t="shared" si="7"/>
        <v>42</v>
      </c>
      <c r="K20" s="42">
        <f t="shared" si="7"/>
        <v>46</v>
      </c>
      <c r="L20" s="42">
        <f t="shared" si="7"/>
        <v>41</v>
      </c>
      <c r="M20" s="42">
        <f t="shared" si="7"/>
        <v>42</v>
      </c>
      <c r="N20" s="42">
        <f t="shared" si="7"/>
        <v>43</v>
      </c>
      <c r="O20" s="42">
        <f t="shared" si="7"/>
        <v>45</v>
      </c>
      <c r="P20" s="42">
        <f t="shared" si="7"/>
        <v>39</v>
      </c>
      <c r="Q20" s="42">
        <f t="shared" si="7"/>
        <v>41</v>
      </c>
      <c r="R20" s="42">
        <f t="shared" si="7"/>
        <v>42</v>
      </c>
      <c r="S20" s="42">
        <f t="shared" si="7"/>
        <v>46</v>
      </c>
      <c r="T20" s="42">
        <f t="shared" si="7"/>
        <v>44</v>
      </c>
      <c r="U20" s="42">
        <f t="shared" si="7"/>
        <v>42</v>
      </c>
      <c r="V20" s="42">
        <f t="shared" si="7"/>
        <v>39</v>
      </c>
      <c r="W20" s="42">
        <f t="shared" si="7"/>
        <v>35</v>
      </c>
      <c r="X20" s="42">
        <f t="shared" si="7"/>
        <v>43</v>
      </c>
      <c r="Y20" s="42">
        <f t="shared" si="7"/>
        <v>41</v>
      </c>
      <c r="Z20" s="42">
        <f t="shared" si="7"/>
        <v>40</v>
      </c>
      <c r="AA20" s="42">
        <f t="shared" si="7"/>
        <v>42</v>
      </c>
      <c r="AB20" s="42">
        <f t="shared" si="7"/>
        <v>41</v>
      </c>
      <c r="AC20" s="42">
        <f t="shared" si="7"/>
        <v>40</v>
      </c>
      <c r="AD20" s="42">
        <f t="shared" si="7"/>
        <v>45</v>
      </c>
      <c r="AE20" s="42">
        <f t="shared" si="7"/>
        <v>45</v>
      </c>
      <c r="AF20" s="42">
        <f t="shared" si="7"/>
        <v>43</v>
      </c>
      <c r="AG20" s="42">
        <f t="shared" si="7"/>
        <v>45</v>
      </c>
      <c r="AH20" s="42">
        <f t="shared" si="7"/>
        <v>45</v>
      </c>
      <c r="AI20" s="42">
        <f t="shared" si="7"/>
        <v>44</v>
      </c>
    </row>
    <row r="21" spans="1:35" ht="27" customHeight="1" x14ac:dyDescent="0.3">
      <c r="B21" s="86" t="s">
        <v>65</v>
      </c>
      <c r="C21" s="86"/>
      <c r="D21" s="44"/>
      <c r="E21" s="61">
        <f>((E6+E8)+((E10+E12)*40%)+(E14+E16+E18+E20))</f>
        <v>30870</v>
      </c>
      <c r="F21" s="61">
        <f t="shared" ref="F21:AI21" si="8">((F6+F8)+((F10+F12)*40%)+(F14+F16+F18+F20))</f>
        <v>30167</v>
      </c>
      <c r="G21" s="61">
        <f t="shared" si="8"/>
        <v>29882</v>
      </c>
      <c r="H21" s="61">
        <f t="shared" si="8"/>
        <v>29888.400000000001</v>
      </c>
      <c r="I21" s="61">
        <f t="shared" si="8"/>
        <v>29286.6</v>
      </c>
      <c r="J21" s="61">
        <f t="shared" si="8"/>
        <v>29799.599999999999</v>
      </c>
      <c r="K21" s="61">
        <f t="shared" si="8"/>
        <v>29680</v>
      </c>
      <c r="L21" s="61">
        <f t="shared" si="8"/>
        <v>29607.599999999999</v>
      </c>
      <c r="M21" s="61">
        <f t="shared" si="8"/>
        <v>30168.2</v>
      </c>
      <c r="N21" s="61">
        <f t="shared" si="8"/>
        <v>30693.599999999999</v>
      </c>
      <c r="O21" s="61">
        <f t="shared" si="8"/>
        <v>30279.4</v>
      </c>
      <c r="P21" s="61">
        <f t="shared" si="8"/>
        <v>30122.6</v>
      </c>
      <c r="Q21" s="61">
        <f t="shared" si="8"/>
        <v>30745.4</v>
      </c>
      <c r="R21" s="61">
        <f t="shared" si="8"/>
        <v>30290</v>
      </c>
      <c r="S21" s="61">
        <f t="shared" si="8"/>
        <v>29727.200000000001</v>
      </c>
      <c r="T21" s="61">
        <f t="shared" si="8"/>
        <v>30000.799999999999</v>
      </c>
      <c r="U21" s="61">
        <f t="shared" si="8"/>
        <v>29698.400000000001</v>
      </c>
      <c r="V21" s="61">
        <f t="shared" si="8"/>
        <v>29629.8</v>
      </c>
      <c r="W21" s="61">
        <f t="shared" si="8"/>
        <v>28901.200000000001</v>
      </c>
      <c r="X21" s="61">
        <f t="shared" si="8"/>
        <v>30363.8</v>
      </c>
      <c r="Y21" s="61">
        <f t="shared" si="8"/>
        <v>30393.599999999999</v>
      </c>
      <c r="Z21" s="61">
        <f t="shared" si="8"/>
        <v>29487.8</v>
      </c>
      <c r="AA21" s="61">
        <f t="shared" si="8"/>
        <v>28528.2</v>
      </c>
      <c r="AB21" s="61">
        <f t="shared" si="8"/>
        <v>29589.8</v>
      </c>
      <c r="AC21" s="61">
        <f t="shared" si="8"/>
        <v>29942.2</v>
      </c>
      <c r="AD21" s="61">
        <f t="shared" si="8"/>
        <v>30038</v>
      </c>
      <c r="AE21" s="61">
        <f t="shared" si="8"/>
        <v>29374.6</v>
      </c>
      <c r="AF21" s="61">
        <f t="shared" si="8"/>
        <v>29779.8</v>
      </c>
      <c r="AG21" s="61">
        <f t="shared" si="8"/>
        <v>29561</v>
      </c>
      <c r="AH21" s="61">
        <f t="shared" si="8"/>
        <v>30351.4</v>
      </c>
      <c r="AI21" s="61">
        <f t="shared" si="8"/>
        <v>30417.200000000001</v>
      </c>
    </row>
    <row r="22" spans="1:35" ht="27" customHeight="1" x14ac:dyDescent="0.3">
      <c r="B22" s="82" t="s">
        <v>66</v>
      </c>
      <c r="C22" s="82"/>
      <c r="D22" s="44"/>
      <c r="E22" s="61">
        <f>SUM(E21:AI21)</f>
        <v>927265.20000000007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:35" ht="27" customHeight="1" x14ac:dyDescent="0.2">
      <c r="B23" s="26" t="s">
        <v>88</v>
      </c>
      <c r="E23" s="14">
        <v>918775</v>
      </c>
    </row>
  </sheetData>
  <mergeCells count="20">
    <mergeCell ref="B22:C22"/>
    <mergeCell ref="A17:A18"/>
    <mergeCell ref="C17:C18"/>
    <mergeCell ref="A19:A20"/>
    <mergeCell ref="C19:C20"/>
    <mergeCell ref="B21:C21"/>
    <mergeCell ref="A15:A16"/>
    <mergeCell ref="C15:C16"/>
    <mergeCell ref="A9:A10"/>
    <mergeCell ref="C9:C10"/>
    <mergeCell ref="A11:A12"/>
    <mergeCell ref="C11:C12"/>
    <mergeCell ref="A13:A14"/>
    <mergeCell ref="C13:C14"/>
    <mergeCell ref="A2:AI2"/>
    <mergeCell ref="C3:AI3"/>
    <mergeCell ref="A5:A6"/>
    <mergeCell ref="C5:C6"/>
    <mergeCell ref="A7:A8"/>
    <mergeCell ref="C7:C8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17" sqref="E17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9" t="s">
        <v>78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80</v>
      </c>
      <c r="AH4" s="29" t="s">
        <v>81</v>
      </c>
      <c r="AI4" s="29" t="s">
        <v>82</v>
      </c>
    </row>
    <row r="5" spans="1:42" s="8" customFormat="1" ht="40.5" customHeight="1" thickBot="1" x14ac:dyDescent="0.3">
      <c r="A5" s="92" t="s">
        <v>20</v>
      </c>
      <c r="B5" s="27" t="s">
        <v>48</v>
      </c>
      <c r="C5" s="94" t="s">
        <v>49</v>
      </c>
      <c r="D5" s="31">
        <v>178247</v>
      </c>
      <c r="E5" s="31">
        <v>178587.2</v>
      </c>
      <c r="F5" s="31">
        <v>178882</v>
      </c>
      <c r="G5" s="31">
        <v>179157</v>
      </c>
      <c r="H5" s="31">
        <v>179434</v>
      </c>
      <c r="I5" s="31">
        <v>179675</v>
      </c>
      <c r="J5" s="31">
        <v>179898</v>
      </c>
      <c r="K5" s="31">
        <v>180131</v>
      </c>
      <c r="L5" s="31">
        <v>180380</v>
      </c>
      <c r="M5" s="31">
        <v>180641</v>
      </c>
      <c r="N5" s="31">
        <v>180921</v>
      </c>
      <c r="O5" s="31">
        <v>181189</v>
      </c>
      <c r="P5" s="31">
        <v>181449</v>
      </c>
      <c r="Q5" s="31">
        <v>181723</v>
      </c>
      <c r="R5" s="31">
        <v>181981</v>
      </c>
      <c r="S5" s="31">
        <v>182209</v>
      </c>
      <c r="T5" s="31">
        <v>182433</v>
      </c>
      <c r="U5" s="31">
        <v>182671</v>
      </c>
      <c r="V5" s="31">
        <v>182913</v>
      </c>
      <c r="W5" s="31">
        <v>183145</v>
      </c>
      <c r="X5" s="31">
        <v>183404</v>
      </c>
      <c r="Y5" s="31">
        <v>183709</v>
      </c>
      <c r="Z5" s="31">
        <v>183934</v>
      </c>
      <c r="AA5" s="31">
        <v>184153</v>
      </c>
      <c r="AB5" s="31">
        <v>184431</v>
      </c>
      <c r="AC5" s="31">
        <v>184680</v>
      </c>
      <c r="AD5" s="31">
        <v>184912</v>
      </c>
      <c r="AE5" s="31">
        <v>185155</v>
      </c>
      <c r="AF5" s="31">
        <v>185418</v>
      </c>
      <c r="AG5" s="31">
        <v>185719</v>
      </c>
      <c r="AH5" s="31">
        <v>186000</v>
      </c>
      <c r="AI5" s="31">
        <v>186372</v>
      </c>
    </row>
    <row r="6" spans="1:42" s="34" customFormat="1" ht="25.7" customHeight="1" thickBot="1" x14ac:dyDescent="0.3">
      <c r="A6" s="93"/>
      <c r="B6" s="32"/>
      <c r="C6" s="94"/>
      <c r="D6" s="33"/>
      <c r="E6" s="33">
        <f>E5-D5</f>
        <v>340.20000000001164</v>
      </c>
      <c r="F6" s="33">
        <f t="shared" ref="F6:AI6" si="0">F5-E5</f>
        <v>294.79999999998836</v>
      </c>
      <c r="G6" s="33">
        <f t="shared" si="0"/>
        <v>275</v>
      </c>
      <c r="H6" s="33">
        <f t="shared" si="0"/>
        <v>277</v>
      </c>
      <c r="I6" s="33">
        <f t="shared" si="0"/>
        <v>241</v>
      </c>
      <c r="J6" s="33">
        <f t="shared" si="0"/>
        <v>223</v>
      </c>
      <c r="K6" s="33">
        <f t="shared" si="0"/>
        <v>233</v>
      </c>
      <c r="L6" s="33">
        <f t="shared" si="0"/>
        <v>249</v>
      </c>
      <c r="M6" s="33">
        <f t="shared" si="0"/>
        <v>261</v>
      </c>
      <c r="N6" s="33">
        <f t="shared" si="0"/>
        <v>280</v>
      </c>
      <c r="O6" s="33">
        <f t="shared" si="0"/>
        <v>268</v>
      </c>
      <c r="P6" s="33">
        <f t="shared" si="0"/>
        <v>260</v>
      </c>
      <c r="Q6" s="33">
        <f t="shared" si="0"/>
        <v>274</v>
      </c>
      <c r="R6" s="33">
        <f t="shared" si="0"/>
        <v>258</v>
      </c>
      <c r="S6" s="33">
        <f t="shared" si="0"/>
        <v>228</v>
      </c>
      <c r="T6" s="33">
        <f t="shared" si="0"/>
        <v>224</v>
      </c>
      <c r="U6" s="33">
        <f>U5-T5</f>
        <v>238</v>
      </c>
      <c r="V6" s="33">
        <f t="shared" si="0"/>
        <v>242</v>
      </c>
      <c r="W6" s="33">
        <f t="shared" si="0"/>
        <v>232</v>
      </c>
      <c r="X6" s="33">
        <f t="shared" si="0"/>
        <v>259</v>
      </c>
      <c r="Y6" s="33">
        <f t="shared" si="0"/>
        <v>305</v>
      </c>
      <c r="Z6" s="33">
        <f t="shared" si="0"/>
        <v>225</v>
      </c>
      <c r="AA6" s="33">
        <f t="shared" si="0"/>
        <v>219</v>
      </c>
      <c r="AB6" s="33">
        <f t="shared" si="0"/>
        <v>278</v>
      </c>
      <c r="AC6" s="33">
        <f t="shared" si="0"/>
        <v>249</v>
      </c>
      <c r="AD6" s="33">
        <f t="shared" si="0"/>
        <v>232</v>
      </c>
      <c r="AE6" s="33">
        <f t="shared" si="0"/>
        <v>243</v>
      </c>
      <c r="AF6" s="33">
        <f t="shared" si="0"/>
        <v>263</v>
      </c>
      <c r="AG6" s="33">
        <f t="shared" si="0"/>
        <v>301</v>
      </c>
      <c r="AH6" s="33">
        <f t="shared" si="0"/>
        <v>281</v>
      </c>
      <c r="AI6" s="33">
        <f t="shared" si="0"/>
        <v>372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92" t="s">
        <v>22</v>
      </c>
      <c r="B7" s="49" t="s">
        <v>69</v>
      </c>
      <c r="C7" s="94" t="s">
        <v>70</v>
      </c>
      <c r="D7" s="31">
        <v>409169.8</v>
      </c>
      <c r="E7" s="31">
        <v>409182.8</v>
      </c>
      <c r="F7" s="31">
        <v>409201</v>
      </c>
      <c r="G7" s="31">
        <v>409217</v>
      </c>
      <c r="H7" s="31">
        <v>409230.2</v>
      </c>
      <c r="I7" s="31">
        <v>409246.8</v>
      </c>
      <c r="J7" s="31">
        <v>409257.9</v>
      </c>
      <c r="K7" s="31">
        <v>409269.2</v>
      </c>
      <c r="L7" s="31">
        <v>409280.5</v>
      </c>
      <c r="M7" s="31">
        <v>409289.7</v>
      </c>
      <c r="N7" s="31">
        <v>409307</v>
      </c>
      <c r="O7" s="31">
        <v>409327.4</v>
      </c>
      <c r="P7" s="31">
        <v>409346.9</v>
      </c>
      <c r="Q7" s="31">
        <v>409361.4</v>
      </c>
      <c r="R7" s="31">
        <v>409378.1</v>
      </c>
      <c r="S7" s="31">
        <v>409389.8</v>
      </c>
      <c r="T7" s="31">
        <v>409403.1</v>
      </c>
      <c r="U7" s="31">
        <v>409418.6</v>
      </c>
      <c r="V7" s="31">
        <v>409429.4</v>
      </c>
      <c r="W7" s="31">
        <v>409438.9</v>
      </c>
      <c r="X7" s="31">
        <v>409449.1</v>
      </c>
      <c r="Y7" s="31">
        <v>409461.2</v>
      </c>
      <c r="Z7" s="31">
        <v>409477.5</v>
      </c>
      <c r="AA7" s="31">
        <v>409492.2</v>
      </c>
      <c r="AB7" s="31">
        <v>409504.5</v>
      </c>
      <c r="AC7" s="31">
        <v>409513.4</v>
      </c>
      <c r="AD7" s="31">
        <v>409522.2</v>
      </c>
      <c r="AE7" s="31">
        <v>409537.3</v>
      </c>
      <c r="AF7" s="31">
        <v>409550.9</v>
      </c>
      <c r="AG7" s="31">
        <v>409565.1</v>
      </c>
      <c r="AH7" s="31">
        <v>409582.1</v>
      </c>
      <c r="AI7" s="31">
        <v>409608.6</v>
      </c>
    </row>
    <row r="8" spans="1:42" s="34" customFormat="1" ht="25.7" customHeight="1" thickBot="1" x14ac:dyDescent="0.3">
      <c r="A8" s="93"/>
      <c r="B8" s="47"/>
      <c r="C8" s="94"/>
      <c r="D8" s="33"/>
      <c r="E8" s="33">
        <f>E7-D7</f>
        <v>13</v>
      </c>
      <c r="F8" s="33">
        <f t="shared" ref="F8:AI8" si="1">F7-E7</f>
        <v>18.200000000011642</v>
      </c>
      <c r="G8" s="33">
        <f t="shared" si="1"/>
        <v>16</v>
      </c>
      <c r="H8" s="33">
        <f t="shared" si="1"/>
        <v>13.200000000011642</v>
      </c>
      <c r="I8" s="33">
        <f t="shared" si="1"/>
        <v>16.599999999976717</v>
      </c>
      <c r="J8" s="33">
        <f t="shared" si="1"/>
        <v>11.100000000034925</v>
      </c>
      <c r="K8" s="33">
        <f t="shared" si="1"/>
        <v>11.299999999988358</v>
      </c>
      <c r="L8" s="33">
        <f t="shared" si="1"/>
        <v>11.299999999988358</v>
      </c>
      <c r="M8" s="33">
        <f t="shared" si="1"/>
        <v>9.2000000000116415</v>
      </c>
      <c r="N8" s="33">
        <f t="shared" si="1"/>
        <v>17.299999999988358</v>
      </c>
      <c r="O8" s="33">
        <f t="shared" si="1"/>
        <v>20.400000000023283</v>
      </c>
      <c r="P8" s="33">
        <f t="shared" si="1"/>
        <v>19.5</v>
      </c>
      <c r="Q8" s="33">
        <f t="shared" si="1"/>
        <v>14.5</v>
      </c>
      <c r="R8" s="33">
        <f t="shared" si="1"/>
        <v>16.699999999953434</v>
      </c>
      <c r="S8" s="33">
        <f t="shared" si="1"/>
        <v>11.700000000011642</v>
      </c>
      <c r="T8" s="33">
        <f t="shared" si="1"/>
        <v>13.299999999988358</v>
      </c>
      <c r="U8" s="33">
        <f t="shared" si="1"/>
        <v>15.5</v>
      </c>
      <c r="V8" s="33">
        <f t="shared" si="1"/>
        <v>10.800000000046566</v>
      </c>
      <c r="W8" s="33">
        <f t="shared" si="1"/>
        <v>9.5</v>
      </c>
      <c r="X8" s="33">
        <f t="shared" si="1"/>
        <v>10.199999999953434</v>
      </c>
      <c r="Y8" s="33">
        <f>Y7-X7</f>
        <v>12.100000000034925</v>
      </c>
      <c r="Z8" s="33">
        <f t="shared" si="1"/>
        <v>16.299999999988358</v>
      </c>
      <c r="AA8" s="33">
        <f t="shared" si="1"/>
        <v>14.700000000011642</v>
      </c>
      <c r="AB8" s="33">
        <f t="shared" si="1"/>
        <v>12.299999999988358</v>
      </c>
      <c r="AC8" s="33">
        <f t="shared" si="1"/>
        <v>8.9000000000232831</v>
      </c>
      <c r="AD8" s="33">
        <f t="shared" si="1"/>
        <v>8.7999999999883585</v>
      </c>
      <c r="AE8" s="33">
        <f t="shared" si="1"/>
        <v>15.099999999976717</v>
      </c>
      <c r="AF8" s="33">
        <f t="shared" si="1"/>
        <v>13.600000000034925</v>
      </c>
      <c r="AG8" s="33">
        <f t="shared" si="1"/>
        <v>14.199999999953434</v>
      </c>
      <c r="AH8" s="33">
        <f t="shared" si="1"/>
        <v>17</v>
      </c>
      <c r="AI8" s="33">
        <f t="shared" si="1"/>
        <v>26.5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92">
        <v>4</v>
      </c>
      <c r="B9" s="46" t="s">
        <v>67</v>
      </c>
      <c r="C9" s="94" t="s">
        <v>68</v>
      </c>
      <c r="D9" s="31">
        <v>29483</v>
      </c>
      <c r="E9" s="31">
        <v>29486</v>
      </c>
      <c r="F9" s="31">
        <v>29598</v>
      </c>
      <c r="G9" s="31">
        <v>29683</v>
      </c>
      <c r="H9" s="31">
        <v>29694</v>
      </c>
      <c r="I9" s="31">
        <v>29801</v>
      </c>
      <c r="J9" s="31">
        <v>29801</v>
      </c>
      <c r="K9" s="31">
        <v>29801</v>
      </c>
      <c r="L9" s="31">
        <v>29801</v>
      </c>
      <c r="M9" s="31">
        <v>29801</v>
      </c>
      <c r="N9" s="31">
        <v>29862</v>
      </c>
      <c r="O9" s="31">
        <v>30003</v>
      </c>
      <c r="P9" s="31">
        <v>30108</v>
      </c>
      <c r="Q9" s="31">
        <v>30184</v>
      </c>
      <c r="R9" s="31">
        <v>30255</v>
      </c>
      <c r="S9" s="31">
        <v>30273</v>
      </c>
      <c r="T9" s="31">
        <v>30323</v>
      </c>
      <c r="U9" s="31">
        <v>30407</v>
      </c>
      <c r="V9" s="31">
        <v>30425</v>
      </c>
      <c r="W9" s="31">
        <v>30434</v>
      </c>
      <c r="X9" s="31">
        <v>30435</v>
      </c>
      <c r="Y9" s="31">
        <v>30485</v>
      </c>
      <c r="Z9" s="31">
        <v>30578</v>
      </c>
      <c r="AA9" s="31">
        <v>30663</v>
      </c>
      <c r="AB9" s="31">
        <v>30716</v>
      </c>
      <c r="AC9" s="31">
        <v>30716</v>
      </c>
      <c r="AD9" s="31">
        <v>30716</v>
      </c>
      <c r="AE9" s="31">
        <v>30788</v>
      </c>
      <c r="AF9" s="31">
        <v>30858</v>
      </c>
      <c r="AG9" s="31">
        <v>30933</v>
      </c>
      <c r="AH9" s="31">
        <v>30993</v>
      </c>
      <c r="AI9" s="31">
        <v>31050</v>
      </c>
    </row>
    <row r="10" spans="1:42" s="34" customFormat="1" ht="25.7" customHeight="1" thickBot="1" x14ac:dyDescent="0.3">
      <c r="A10" s="93"/>
      <c r="B10" s="47"/>
      <c r="C10" s="94"/>
      <c r="D10" s="33"/>
      <c r="E10" s="33">
        <f t="shared" ref="E10:AI10" si="2">E9-D9</f>
        <v>3</v>
      </c>
      <c r="F10" s="33">
        <f t="shared" si="2"/>
        <v>112</v>
      </c>
      <c r="G10" s="33">
        <f t="shared" si="2"/>
        <v>85</v>
      </c>
      <c r="H10" s="33">
        <f t="shared" si="2"/>
        <v>11</v>
      </c>
      <c r="I10" s="33">
        <f t="shared" si="2"/>
        <v>107</v>
      </c>
      <c r="J10" s="33">
        <f t="shared" si="2"/>
        <v>0</v>
      </c>
      <c r="K10" s="33">
        <f t="shared" si="2"/>
        <v>0</v>
      </c>
      <c r="L10" s="33">
        <f t="shared" si="2"/>
        <v>0</v>
      </c>
      <c r="M10" s="33">
        <f t="shared" si="2"/>
        <v>0</v>
      </c>
      <c r="N10" s="33">
        <f t="shared" si="2"/>
        <v>61</v>
      </c>
      <c r="O10" s="33">
        <f t="shared" si="2"/>
        <v>141</v>
      </c>
      <c r="P10" s="33">
        <f t="shared" si="2"/>
        <v>105</v>
      </c>
      <c r="Q10" s="33">
        <f t="shared" si="2"/>
        <v>76</v>
      </c>
      <c r="R10" s="33">
        <f t="shared" si="2"/>
        <v>71</v>
      </c>
      <c r="S10" s="33">
        <f t="shared" si="2"/>
        <v>18</v>
      </c>
      <c r="T10" s="33">
        <f t="shared" si="2"/>
        <v>50</v>
      </c>
      <c r="U10" s="33">
        <f t="shared" si="2"/>
        <v>84</v>
      </c>
      <c r="V10" s="33">
        <f t="shared" si="2"/>
        <v>18</v>
      </c>
      <c r="W10" s="33">
        <f t="shared" si="2"/>
        <v>9</v>
      </c>
      <c r="X10" s="33">
        <f t="shared" si="2"/>
        <v>1</v>
      </c>
      <c r="Y10" s="33">
        <f t="shared" si="2"/>
        <v>50</v>
      </c>
      <c r="Z10" s="33">
        <f t="shared" si="2"/>
        <v>93</v>
      </c>
      <c r="AA10" s="33">
        <f t="shared" si="2"/>
        <v>85</v>
      </c>
      <c r="AB10" s="33">
        <f t="shared" si="2"/>
        <v>53</v>
      </c>
      <c r="AC10" s="33">
        <f t="shared" si="2"/>
        <v>0</v>
      </c>
      <c r="AD10" s="33">
        <f t="shared" si="2"/>
        <v>0</v>
      </c>
      <c r="AE10" s="33">
        <f t="shared" si="2"/>
        <v>72</v>
      </c>
      <c r="AF10" s="33">
        <f t="shared" si="2"/>
        <v>70</v>
      </c>
      <c r="AG10" s="33">
        <f t="shared" si="2"/>
        <v>75</v>
      </c>
      <c r="AH10" s="33">
        <f t="shared" si="2"/>
        <v>60</v>
      </c>
      <c r="AI10" s="33">
        <f t="shared" si="2"/>
        <v>57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95">
        <v>5</v>
      </c>
      <c r="B11" s="27">
        <v>68864837</v>
      </c>
      <c r="C11" s="94" t="s">
        <v>74</v>
      </c>
      <c r="D11" s="31">
        <v>2412.2449999999999</v>
      </c>
      <c r="E11" s="31">
        <v>2413.317</v>
      </c>
      <c r="F11" s="31">
        <v>2415.114</v>
      </c>
      <c r="G11" s="31">
        <v>2416.7350000000001</v>
      </c>
      <c r="H11" s="31">
        <v>2418.4050000000002</v>
      </c>
      <c r="I11" s="31">
        <v>2419.877</v>
      </c>
      <c r="J11" s="31">
        <v>2420.6709999999998</v>
      </c>
      <c r="K11" s="31">
        <v>2421.5830000000001</v>
      </c>
      <c r="L11" s="31">
        <v>2422.5610000000001</v>
      </c>
      <c r="M11" s="31">
        <v>2423.8020000000001</v>
      </c>
      <c r="N11" s="31">
        <v>2425.1010000000001</v>
      </c>
      <c r="O11" s="31">
        <v>2426.2130000000002</v>
      </c>
      <c r="P11" s="31">
        <v>2427.1750000000002</v>
      </c>
      <c r="Q11" s="31">
        <v>2430.6799999999998</v>
      </c>
      <c r="R11" s="31">
        <v>2431.9250000000002</v>
      </c>
      <c r="S11" s="31">
        <v>2433.4830000000002</v>
      </c>
      <c r="T11" s="31">
        <v>2435.2570000000001</v>
      </c>
      <c r="U11" s="31">
        <v>2436.317</v>
      </c>
      <c r="V11" s="31">
        <v>2437.4459999999999</v>
      </c>
      <c r="W11" s="31">
        <v>2439.2710000000002</v>
      </c>
      <c r="X11" s="31">
        <v>2441.0459999999998</v>
      </c>
      <c r="Y11" s="31">
        <v>2442.4789999999998</v>
      </c>
      <c r="Z11" s="31">
        <v>2443.6170000000002</v>
      </c>
      <c r="AA11" s="31">
        <v>2444.9830000000002</v>
      </c>
      <c r="AB11" s="31">
        <v>2446.0360000000001</v>
      </c>
      <c r="AC11" s="31">
        <v>2447.9479999999999</v>
      </c>
      <c r="AD11" s="31">
        <v>2449.5529999999999</v>
      </c>
      <c r="AE11" s="31">
        <v>2450.2840000000001</v>
      </c>
      <c r="AF11" s="31">
        <v>2451.7020000000002</v>
      </c>
      <c r="AG11" s="31">
        <v>2453.8270000000002</v>
      </c>
      <c r="AH11" s="31">
        <v>2456.489</v>
      </c>
      <c r="AI11" s="31">
        <v>2457.694</v>
      </c>
    </row>
    <row r="12" spans="1:42" s="8" customFormat="1" ht="25.7" customHeight="1" thickBot="1" x14ac:dyDescent="0.3">
      <c r="A12" s="96"/>
      <c r="B12" s="48"/>
      <c r="C12" s="94"/>
      <c r="D12" s="33"/>
      <c r="E12" s="33">
        <f>E11-D11</f>
        <v>1.0720000000001164</v>
      </c>
      <c r="F12" s="33">
        <f t="shared" ref="F12:AI12" si="3">F11-E11</f>
        <v>1.7970000000000255</v>
      </c>
      <c r="G12" s="33">
        <f t="shared" si="3"/>
        <v>1.6210000000000946</v>
      </c>
      <c r="H12" s="33">
        <f t="shared" si="3"/>
        <v>1.6700000000000728</v>
      </c>
      <c r="I12" s="33">
        <f t="shared" si="3"/>
        <v>1.4719999999997526</v>
      </c>
      <c r="J12" s="33">
        <f t="shared" si="3"/>
        <v>0.79399999999986903</v>
      </c>
      <c r="K12" s="33">
        <f t="shared" si="3"/>
        <v>0.91200000000026193</v>
      </c>
      <c r="L12" s="33">
        <f t="shared" si="3"/>
        <v>0.97800000000006548</v>
      </c>
      <c r="M12" s="33">
        <f t="shared" si="3"/>
        <v>1.2409999999999854</v>
      </c>
      <c r="N12" s="33">
        <f t="shared" si="3"/>
        <v>1.2989999999999782</v>
      </c>
      <c r="O12" s="33">
        <f t="shared" si="3"/>
        <v>1.11200000000008</v>
      </c>
      <c r="P12" s="33">
        <f t="shared" si="3"/>
        <v>0.96199999999998909</v>
      </c>
      <c r="Q12" s="33">
        <f t="shared" si="3"/>
        <v>3.5049999999996544</v>
      </c>
      <c r="R12" s="33">
        <f t="shared" si="3"/>
        <v>1.2450000000003456</v>
      </c>
      <c r="S12" s="33">
        <f t="shared" si="3"/>
        <v>1.5579999999999927</v>
      </c>
      <c r="T12" s="33">
        <f t="shared" si="3"/>
        <v>1.7739999999998872</v>
      </c>
      <c r="U12" s="33">
        <f t="shared" si="3"/>
        <v>1.0599999999999454</v>
      </c>
      <c r="V12" s="33">
        <f t="shared" si="3"/>
        <v>1.1289999999999054</v>
      </c>
      <c r="W12" s="33">
        <f t="shared" si="3"/>
        <v>1.8250000000002728</v>
      </c>
      <c r="X12" s="33">
        <f t="shared" si="3"/>
        <v>1.7749999999996362</v>
      </c>
      <c r="Y12" s="33">
        <f t="shared" si="3"/>
        <v>1.4329999999999927</v>
      </c>
      <c r="Z12" s="33">
        <f t="shared" si="3"/>
        <v>1.1380000000003747</v>
      </c>
      <c r="AA12" s="33">
        <f t="shared" si="3"/>
        <v>1.3659999999999854</v>
      </c>
      <c r="AB12" s="33">
        <f t="shared" si="3"/>
        <v>1.0529999999998836</v>
      </c>
      <c r="AC12" s="33">
        <f t="shared" si="3"/>
        <v>1.9119999999998072</v>
      </c>
      <c r="AD12" s="33">
        <f t="shared" si="3"/>
        <v>1.6050000000000182</v>
      </c>
      <c r="AE12" s="33">
        <f t="shared" si="3"/>
        <v>0.73100000000022192</v>
      </c>
      <c r="AF12" s="33">
        <f t="shared" si="3"/>
        <v>1.4180000000001201</v>
      </c>
      <c r="AG12" s="33">
        <f t="shared" si="3"/>
        <v>2.125</v>
      </c>
      <c r="AH12" s="33">
        <f t="shared" si="3"/>
        <v>2.6619999999998072</v>
      </c>
      <c r="AI12" s="33">
        <f t="shared" si="3"/>
        <v>1.2049999999999272</v>
      </c>
    </row>
    <row r="13" spans="1:42" s="8" customFormat="1" ht="25.7" customHeight="1" thickBot="1" x14ac:dyDescent="0.3">
      <c r="A13" s="95">
        <v>6</v>
      </c>
      <c r="B13" s="27">
        <v>65296485</v>
      </c>
      <c r="C13" s="94" t="s">
        <v>73</v>
      </c>
      <c r="D13" s="31">
        <v>3054.42</v>
      </c>
      <c r="E13" s="31">
        <v>3061.0430000000001</v>
      </c>
      <c r="F13" s="31">
        <v>3061.9870000000001</v>
      </c>
      <c r="G13" s="31">
        <v>3063.1610000000001</v>
      </c>
      <c r="H13" s="31">
        <v>3063.8609999999999</v>
      </c>
      <c r="I13" s="31">
        <v>3068.1</v>
      </c>
      <c r="J13" s="31">
        <v>3070.0990000000002</v>
      </c>
      <c r="K13" s="31">
        <v>3071.2539999999999</v>
      </c>
      <c r="L13" s="31">
        <v>3071.7469999999998</v>
      </c>
      <c r="M13" s="31">
        <v>3072.7060000000001</v>
      </c>
      <c r="N13" s="31">
        <v>3073.5639999999999</v>
      </c>
      <c r="O13" s="31">
        <v>3074.5970000000002</v>
      </c>
      <c r="P13" s="31">
        <v>3075.9639999999999</v>
      </c>
      <c r="Q13" s="31">
        <v>3077.3270000000002</v>
      </c>
      <c r="R13" s="31">
        <v>3077.75</v>
      </c>
      <c r="S13" s="31">
        <v>3079.3290000000002</v>
      </c>
      <c r="T13" s="31">
        <v>3079.93</v>
      </c>
      <c r="U13" s="31">
        <v>3083.759</v>
      </c>
      <c r="V13" s="31">
        <v>3084.335</v>
      </c>
      <c r="W13" s="31">
        <v>3085.0949999999998</v>
      </c>
      <c r="X13" s="31">
        <v>3085.3249999999998</v>
      </c>
      <c r="Y13" s="31">
        <v>3085.7959999999998</v>
      </c>
      <c r="Z13" s="31">
        <v>3086.7570000000001</v>
      </c>
      <c r="AA13" s="31">
        <v>3087.357</v>
      </c>
      <c r="AB13" s="31">
        <v>3088.3760000000002</v>
      </c>
      <c r="AC13" s="31">
        <v>3089.4859999999999</v>
      </c>
      <c r="AD13" s="31">
        <v>3090.3159999999998</v>
      </c>
      <c r="AE13" s="31">
        <v>3091.3110000000001</v>
      </c>
      <c r="AF13" s="31">
        <v>3092.3</v>
      </c>
      <c r="AG13" s="31">
        <v>3092.873</v>
      </c>
      <c r="AH13" s="31">
        <v>3093.4360000000001</v>
      </c>
      <c r="AI13" s="31">
        <v>3094.069</v>
      </c>
    </row>
    <row r="14" spans="1:42" s="8" customFormat="1" ht="25.7" customHeight="1" thickBot="1" x14ac:dyDescent="0.3">
      <c r="A14" s="96"/>
      <c r="B14" s="48"/>
      <c r="C14" s="94"/>
      <c r="D14" s="33"/>
      <c r="E14" s="33">
        <f>E13-D13</f>
        <v>6.6230000000000473</v>
      </c>
      <c r="F14" s="33">
        <f t="shared" ref="F14:AI14" si="4">F13-E13</f>
        <v>0.94399999999995998</v>
      </c>
      <c r="G14" s="33">
        <f t="shared" si="4"/>
        <v>1.1739999999999782</v>
      </c>
      <c r="H14" s="33">
        <f t="shared" si="4"/>
        <v>0.6999999999998181</v>
      </c>
      <c r="I14" s="33">
        <f t="shared" si="4"/>
        <v>4.2390000000000327</v>
      </c>
      <c r="J14" s="33">
        <f t="shared" si="4"/>
        <v>1.999000000000251</v>
      </c>
      <c r="K14" s="33">
        <f t="shared" si="4"/>
        <v>1.1549999999997453</v>
      </c>
      <c r="L14" s="33">
        <f t="shared" si="4"/>
        <v>0.49299999999993815</v>
      </c>
      <c r="M14" s="33">
        <f t="shared" si="4"/>
        <v>0.9590000000002874</v>
      </c>
      <c r="N14" s="33">
        <f t="shared" si="4"/>
        <v>0.85799999999971988</v>
      </c>
      <c r="O14" s="33">
        <f t="shared" si="4"/>
        <v>1.0330000000003565</v>
      </c>
      <c r="P14" s="33">
        <f t="shared" si="4"/>
        <v>1.3669999999997344</v>
      </c>
      <c r="Q14" s="33">
        <f t="shared" si="4"/>
        <v>1.3630000000002838</v>
      </c>
      <c r="R14" s="33">
        <f t="shared" si="4"/>
        <v>0.42299999999977445</v>
      </c>
      <c r="S14" s="33">
        <f t="shared" si="4"/>
        <v>1.5790000000001783</v>
      </c>
      <c r="T14" s="33">
        <f t="shared" si="4"/>
        <v>0.60099999999965803</v>
      </c>
      <c r="U14" s="33">
        <f t="shared" si="4"/>
        <v>3.8290000000001783</v>
      </c>
      <c r="V14" s="33">
        <f t="shared" si="4"/>
        <v>0.57600000000002183</v>
      </c>
      <c r="W14" s="33">
        <f t="shared" si="4"/>
        <v>0.75999999999976353</v>
      </c>
      <c r="X14" s="33">
        <f t="shared" si="4"/>
        <v>0.23000000000001819</v>
      </c>
      <c r="Y14" s="33">
        <f t="shared" si="4"/>
        <v>0.47100000000000364</v>
      </c>
      <c r="Z14" s="33">
        <f t="shared" si="4"/>
        <v>0.96100000000024011</v>
      </c>
      <c r="AA14" s="33">
        <f t="shared" si="4"/>
        <v>0.59999999999990905</v>
      </c>
      <c r="AB14" s="33">
        <f t="shared" si="4"/>
        <v>1.0190000000002328</v>
      </c>
      <c r="AC14" s="33">
        <f t="shared" si="4"/>
        <v>1.1099999999996726</v>
      </c>
      <c r="AD14" s="33">
        <f t="shared" si="4"/>
        <v>0.82999999999992724</v>
      </c>
      <c r="AE14" s="33">
        <f t="shared" si="4"/>
        <v>0.99500000000034561</v>
      </c>
      <c r="AF14" s="33">
        <f t="shared" si="4"/>
        <v>0.98900000000003274</v>
      </c>
      <c r="AG14" s="33">
        <f t="shared" si="4"/>
        <v>0.57299999999986539</v>
      </c>
      <c r="AH14" s="33">
        <f t="shared" si="4"/>
        <v>0.56300000000010186</v>
      </c>
      <c r="AI14" s="33">
        <f t="shared" si="4"/>
        <v>0.63299999999981083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8" t="s">
        <v>71</v>
      </c>
      <c r="C15" s="88"/>
      <c r="D15" s="50"/>
      <c r="E15" s="58">
        <f>E6+((E8*45%)+(E10*45%)+(E12+E14))</f>
        <v>355.09500000001179</v>
      </c>
      <c r="F15" s="58">
        <f t="shared" ref="F15:AI15" si="5">F6+((F8*45%)+(F10*45%)+(F12+F14))</f>
        <v>356.13099999999361</v>
      </c>
      <c r="G15" s="58">
        <f t="shared" si="5"/>
        <v>323.24500000000006</v>
      </c>
      <c r="H15" s="58">
        <f t="shared" si="5"/>
        <v>290.26000000000511</v>
      </c>
      <c r="I15" s="58">
        <f t="shared" si="5"/>
        <v>302.33099999998933</v>
      </c>
      <c r="J15" s="58">
        <f t="shared" si="5"/>
        <v>230.78800000001584</v>
      </c>
      <c r="K15" s="58">
        <f t="shared" si="5"/>
        <v>240.15199999999476</v>
      </c>
      <c r="L15" s="58">
        <f t="shared" si="5"/>
        <v>255.55599999999475</v>
      </c>
      <c r="M15" s="58">
        <f t="shared" si="5"/>
        <v>267.34000000000549</v>
      </c>
      <c r="N15" s="58">
        <f t="shared" si="5"/>
        <v>317.39199999999448</v>
      </c>
      <c r="O15" s="58">
        <f t="shared" si="5"/>
        <v>342.77500000001089</v>
      </c>
      <c r="P15" s="58">
        <f t="shared" si="5"/>
        <v>318.3539999999997</v>
      </c>
      <c r="Q15" s="58">
        <f t="shared" si="5"/>
        <v>319.59299999999996</v>
      </c>
      <c r="R15" s="58">
        <f t="shared" si="5"/>
        <v>299.13299999997918</v>
      </c>
      <c r="S15" s="58">
        <f t="shared" si="5"/>
        <v>244.50200000000541</v>
      </c>
      <c r="T15" s="58">
        <f t="shared" si="5"/>
        <v>254.8599999999943</v>
      </c>
      <c r="U15" s="58">
        <f t="shared" si="5"/>
        <v>287.6640000000001</v>
      </c>
      <c r="V15" s="58">
        <f t="shared" si="5"/>
        <v>256.66500000002088</v>
      </c>
      <c r="W15" s="58">
        <f t="shared" si="5"/>
        <v>242.91000000000003</v>
      </c>
      <c r="X15" s="58">
        <f t="shared" si="5"/>
        <v>266.0449999999787</v>
      </c>
      <c r="Y15" s="58">
        <f t="shared" si="5"/>
        <v>334.84900000001574</v>
      </c>
      <c r="Z15" s="58">
        <f t="shared" si="5"/>
        <v>276.28399999999539</v>
      </c>
      <c r="AA15" s="58">
        <f t="shared" si="5"/>
        <v>265.83100000000513</v>
      </c>
      <c r="AB15" s="58">
        <f t="shared" si="5"/>
        <v>309.45699999999488</v>
      </c>
      <c r="AC15" s="58">
        <f t="shared" si="5"/>
        <v>256.02700000000993</v>
      </c>
      <c r="AD15" s="58">
        <f t="shared" si="5"/>
        <v>238.3949999999947</v>
      </c>
      <c r="AE15" s="58">
        <f t="shared" si="5"/>
        <v>283.9209999999901</v>
      </c>
      <c r="AF15" s="58">
        <f t="shared" si="5"/>
        <v>303.02700000001585</v>
      </c>
      <c r="AG15" s="58">
        <f t="shared" si="5"/>
        <v>343.83799999997893</v>
      </c>
      <c r="AH15" s="58">
        <f t="shared" si="5"/>
        <v>318.87499999999989</v>
      </c>
      <c r="AI15" s="58">
        <f t="shared" si="5"/>
        <v>411.41299999999973</v>
      </c>
    </row>
    <row r="16" spans="1:42" ht="33" customHeight="1" x14ac:dyDescent="0.25">
      <c r="B16" s="87" t="s">
        <v>72</v>
      </c>
      <c r="C16" s="87"/>
      <c r="D16" s="50"/>
      <c r="E16" s="58">
        <f>SUM(E15:AI15)</f>
        <v>9112.7079999999951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17" spans="2:5" ht="70.5" customHeight="1" x14ac:dyDescent="0.25">
      <c r="B17" s="8" t="s">
        <v>89</v>
      </c>
      <c r="E17" s="8">
        <v>9032.6</v>
      </c>
    </row>
    <row r="21" spans="2:5" s="2" customFormat="1" ht="70.5" customHeight="1" x14ac:dyDescent="0.25"/>
    <row r="22" spans="2:5" s="2" customFormat="1" ht="70.5" customHeight="1" x14ac:dyDescent="0.25"/>
    <row r="23" spans="2:5" s="2" customFormat="1" ht="70.5" customHeight="1" x14ac:dyDescent="0.25"/>
    <row r="24" spans="2:5" s="2" customFormat="1" ht="70.5" customHeight="1" x14ac:dyDescent="0.25"/>
    <row r="25" spans="2:5" s="2" customFormat="1" ht="70.5" customHeight="1" x14ac:dyDescent="0.25"/>
    <row r="26" spans="2:5" s="2" customFormat="1" ht="70.5" customHeight="1" x14ac:dyDescent="0.25"/>
    <row r="27" spans="2:5" s="2" customFormat="1" ht="70.5" customHeight="1" x14ac:dyDescent="0.25"/>
    <row r="28" spans="2:5" s="2" customFormat="1" ht="70.5" customHeight="1" x14ac:dyDescent="0.25"/>
    <row r="29" spans="2:5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8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41"/>
  <sheetViews>
    <sheetView zoomScaleNormal="100" workbookViewId="0">
      <pane ySplit="5" topLeftCell="A29" activePane="bottomLeft" state="frozen"/>
      <selection pane="bottomLeft" activeCell="B36" sqref="B36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</cols>
  <sheetData>
    <row r="1" spans="1:7" ht="50.25" customHeight="1" x14ac:dyDescent="0.25">
      <c r="A1" s="97" t="s">
        <v>77</v>
      </c>
      <c r="B1" s="97"/>
      <c r="C1" s="97"/>
    </row>
    <row r="3" spans="1:7" ht="48" x14ac:dyDescent="0.25">
      <c r="A3" s="51" t="s">
        <v>19</v>
      </c>
      <c r="B3" s="52">
        <v>81880</v>
      </c>
      <c r="C3" s="53"/>
    </row>
    <row r="4" spans="1:7" x14ac:dyDescent="0.25">
      <c r="A4" s="54">
        <v>1</v>
      </c>
      <c r="B4" s="52"/>
      <c r="C4" s="53">
        <f>B3/31</f>
        <v>2641.2903225806454</v>
      </c>
    </row>
    <row r="5" spans="1:7" x14ac:dyDescent="0.25">
      <c r="A5" s="54">
        <v>2</v>
      </c>
      <c r="B5" s="52"/>
      <c r="C5" s="53">
        <v>2641.2903225806454</v>
      </c>
    </row>
    <row r="6" spans="1:7" ht="28.5" customHeight="1" x14ac:dyDescent="0.25">
      <c r="A6" s="55">
        <v>3</v>
      </c>
      <c r="B6" s="52"/>
      <c r="C6" s="53">
        <v>2641.2903225806454</v>
      </c>
    </row>
    <row r="7" spans="1:7" ht="28.5" customHeight="1" x14ac:dyDescent="0.25">
      <c r="A7" s="54">
        <v>4</v>
      </c>
      <c r="B7" s="52"/>
      <c r="C7" s="53">
        <v>2641.2903225806454</v>
      </c>
    </row>
    <row r="8" spans="1:7" ht="28.5" customHeight="1" x14ac:dyDescent="0.25">
      <c r="A8" s="54">
        <v>5</v>
      </c>
      <c r="B8" s="52"/>
      <c r="C8" s="53">
        <v>2641.2903225806454</v>
      </c>
    </row>
    <row r="9" spans="1:7" ht="28.5" customHeight="1" x14ac:dyDescent="0.25">
      <c r="A9" s="54">
        <v>6</v>
      </c>
      <c r="B9" s="52"/>
      <c r="C9" s="53">
        <v>2641.2903225806454</v>
      </c>
    </row>
    <row r="10" spans="1:7" ht="28.5" customHeight="1" x14ac:dyDescent="0.25">
      <c r="A10" s="54">
        <v>7</v>
      </c>
      <c r="B10" s="52"/>
      <c r="C10" s="53">
        <v>2641.2903225806454</v>
      </c>
    </row>
    <row r="11" spans="1:7" ht="28.5" customHeight="1" x14ac:dyDescent="0.25">
      <c r="A11" s="54">
        <v>8</v>
      </c>
      <c r="B11" s="52"/>
      <c r="C11" s="53">
        <v>2641.2903225806454</v>
      </c>
      <c r="G11" t="s">
        <v>75</v>
      </c>
    </row>
    <row r="12" spans="1:7" ht="28.5" customHeight="1" x14ac:dyDescent="0.25">
      <c r="A12" s="54">
        <v>9</v>
      </c>
      <c r="B12" s="52"/>
      <c r="C12" s="53">
        <v>2641.2903225806454</v>
      </c>
    </row>
    <row r="13" spans="1:7" ht="28.5" customHeight="1" x14ac:dyDescent="0.25">
      <c r="A13" s="54">
        <v>10</v>
      </c>
      <c r="B13" s="52"/>
      <c r="C13" s="53">
        <v>2641.2903225806454</v>
      </c>
    </row>
    <row r="14" spans="1:7" ht="28.5" customHeight="1" x14ac:dyDescent="0.25">
      <c r="A14" s="54">
        <v>11</v>
      </c>
      <c r="B14" s="52"/>
      <c r="C14" s="53">
        <v>2641.2903225806454</v>
      </c>
    </row>
    <row r="15" spans="1:7" ht="28.5" customHeight="1" x14ac:dyDescent="0.25">
      <c r="A15" s="54">
        <v>12</v>
      </c>
      <c r="B15" s="52"/>
      <c r="C15" s="53">
        <v>2641.2903225806454</v>
      </c>
    </row>
    <row r="16" spans="1:7" ht="28.5" customHeight="1" x14ac:dyDescent="0.25">
      <c r="A16" s="54">
        <v>13</v>
      </c>
      <c r="B16" s="52"/>
      <c r="C16" s="53">
        <v>2641.2903225806454</v>
      </c>
    </row>
    <row r="17" spans="1:4" ht="28.5" customHeight="1" x14ac:dyDescent="0.25">
      <c r="A17" s="54">
        <v>14</v>
      </c>
      <c r="B17" s="52"/>
      <c r="C17" s="53">
        <v>2641.2903225806454</v>
      </c>
    </row>
    <row r="18" spans="1:4" ht="28.5" customHeight="1" x14ac:dyDescent="0.25">
      <c r="A18" s="54">
        <v>15</v>
      </c>
      <c r="B18" s="52"/>
      <c r="C18" s="53">
        <v>2641.2903225806454</v>
      </c>
    </row>
    <row r="19" spans="1:4" ht="28.5" customHeight="1" x14ac:dyDescent="0.25">
      <c r="A19" s="54">
        <v>16</v>
      </c>
      <c r="B19" s="52"/>
      <c r="C19" s="53">
        <v>2641.2903225806454</v>
      </c>
    </row>
    <row r="20" spans="1:4" ht="28.5" customHeight="1" x14ac:dyDescent="0.25">
      <c r="A20" s="54">
        <v>17</v>
      </c>
      <c r="B20" s="52"/>
      <c r="C20" s="53">
        <v>2641.2903225806454</v>
      </c>
    </row>
    <row r="21" spans="1:4" ht="28.5" customHeight="1" x14ac:dyDescent="0.25">
      <c r="A21" s="54">
        <v>18</v>
      </c>
      <c r="B21" s="52"/>
      <c r="C21" s="53">
        <v>2641.2903225806454</v>
      </c>
    </row>
    <row r="22" spans="1:4" ht="28.5" customHeight="1" x14ac:dyDescent="0.25">
      <c r="A22" s="54">
        <v>19</v>
      </c>
      <c r="B22" s="52"/>
      <c r="C22" s="53">
        <v>2641.2903225806454</v>
      </c>
    </row>
    <row r="23" spans="1:4" ht="28.5" customHeight="1" x14ac:dyDescent="0.25">
      <c r="A23" s="54">
        <v>20</v>
      </c>
      <c r="B23" s="52"/>
      <c r="C23" s="53">
        <v>2641.2903225806454</v>
      </c>
    </row>
    <row r="24" spans="1:4" ht="28.5" customHeight="1" x14ac:dyDescent="0.25">
      <c r="A24" s="54">
        <v>21</v>
      </c>
      <c r="B24" s="52"/>
      <c r="C24" s="53">
        <v>2641.2903225806454</v>
      </c>
    </row>
    <row r="25" spans="1:4" ht="28.5" customHeight="1" x14ac:dyDescent="0.25">
      <c r="A25" s="54">
        <v>22</v>
      </c>
      <c r="B25" s="52"/>
      <c r="C25" s="53">
        <v>2641.2903225806454</v>
      </c>
    </row>
    <row r="26" spans="1:4" ht="28.5" customHeight="1" x14ac:dyDescent="0.25">
      <c r="A26" s="54">
        <v>23</v>
      </c>
      <c r="B26" s="52"/>
      <c r="C26" s="53">
        <v>2641.2903225806454</v>
      </c>
    </row>
    <row r="27" spans="1:4" ht="28.5" customHeight="1" x14ac:dyDescent="0.25">
      <c r="A27" s="54">
        <v>24</v>
      </c>
      <c r="B27" s="52"/>
      <c r="C27" s="53">
        <v>2641.2903225806454</v>
      </c>
    </row>
    <row r="28" spans="1:4" ht="28.5" customHeight="1" x14ac:dyDescent="0.25">
      <c r="A28" s="54">
        <v>25</v>
      </c>
      <c r="B28" s="52"/>
      <c r="C28" s="53">
        <v>2641.2903225806454</v>
      </c>
    </row>
    <row r="29" spans="1:4" ht="28.5" customHeight="1" x14ac:dyDescent="0.25">
      <c r="A29" s="54">
        <v>26</v>
      </c>
      <c r="B29" s="52"/>
      <c r="C29" s="53">
        <v>2641.2903225806454</v>
      </c>
    </row>
    <row r="30" spans="1:4" ht="28.5" customHeight="1" x14ac:dyDescent="0.25">
      <c r="A30" s="54">
        <v>27</v>
      </c>
      <c r="B30" s="52"/>
      <c r="C30" s="53">
        <v>2641.2903225806454</v>
      </c>
      <c r="D30" s="56"/>
    </row>
    <row r="31" spans="1:4" ht="28.5" customHeight="1" x14ac:dyDescent="0.25">
      <c r="A31" s="54">
        <v>28</v>
      </c>
      <c r="B31" s="52"/>
      <c r="C31" s="53">
        <v>2641.2903225806454</v>
      </c>
      <c r="D31" s="56"/>
    </row>
    <row r="32" spans="1:4" ht="28.5" customHeight="1" x14ac:dyDescent="0.25">
      <c r="A32" s="54">
        <v>29</v>
      </c>
      <c r="B32" s="52"/>
      <c r="C32" s="53">
        <v>2641.2903225806454</v>
      </c>
    </row>
    <row r="33" spans="1:3" ht="28.5" customHeight="1" x14ac:dyDescent="0.25">
      <c r="A33" s="54">
        <v>30</v>
      </c>
      <c r="B33" s="52"/>
      <c r="C33" s="53">
        <v>2641.2903225806454</v>
      </c>
    </row>
    <row r="34" spans="1:3" ht="28.5" customHeight="1" x14ac:dyDescent="0.25">
      <c r="A34" s="54">
        <v>31</v>
      </c>
      <c r="B34" s="52"/>
      <c r="C34" s="53">
        <v>2641.2903225806454</v>
      </c>
    </row>
    <row r="35" spans="1:3" ht="28.5" customHeight="1" x14ac:dyDescent="0.25">
      <c r="A35" s="98" t="s">
        <v>76</v>
      </c>
      <c r="B35" s="98"/>
      <c r="C35" s="57">
        <f>SUM(C4:C34)</f>
        <v>81880.000000000029</v>
      </c>
    </row>
    <row r="36" spans="1:3" ht="28.5" customHeight="1" x14ac:dyDescent="0.25">
      <c r="A36" t="s">
        <v>88</v>
      </c>
      <c r="C36">
        <v>81880</v>
      </c>
    </row>
    <row r="39" spans="1:3" x14ac:dyDescent="0.25">
      <c r="C39" s="60"/>
    </row>
    <row r="40" spans="1:3" x14ac:dyDescent="0.25">
      <c r="C40" s="60"/>
    </row>
    <row r="41" spans="1:3" ht="47.25" customHeight="1" x14ac:dyDescent="0.25">
      <c r="C41" s="59"/>
    </row>
  </sheetData>
  <mergeCells count="2">
    <mergeCell ref="A1:C1"/>
    <mergeCell ref="A35:B35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3" workbookViewId="0">
      <selection activeCell="C33" sqref="C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99" t="s">
        <v>83</v>
      </c>
      <c r="B1" s="99"/>
      <c r="C1" s="99"/>
    </row>
    <row r="2" spans="1:3" ht="24.95" customHeight="1" x14ac:dyDescent="0.25">
      <c r="A2" s="62" t="s">
        <v>86</v>
      </c>
      <c r="B2" s="62" t="s">
        <v>84</v>
      </c>
      <c r="C2" s="62" t="s">
        <v>85</v>
      </c>
    </row>
    <row r="3" spans="1:3" ht="24.95" customHeight="1" x14ac:dyDescent="0.25">
      <c r="A3" s="63">
        <v>45658</v>
      </c>
      <c r="B3" s="64">
        <v>450</v>
      </c>
      <c r="C3" s="64">
        <v>859</v>
      </c>
    </row>
    <row r="4" spans="1:3" ht="24.95" customHeight="1" x14ac:dyDescent="0.25">
      <c r="A4" s="63">
        <v>45659</v>
      </c>
      <c r="B4" s="64">
        <v>456</v>
      </c>
      <c r="C4" s="64">
        <v>864</v>
      </c>
    </row>
    <row r="5" spans="1:3" ht="24.95" customHeight="1" x14ac:dyDescent="0.25">
      <c r="A5" s="63">
        <v>45660</v>
      </c>
      <c r="B5" s="64">
        <v>416</v>
      </c>
      <c r="C5" s="64">
        <v>759</v>
      </c>
    </row>
    <row r="6" spans="1:3" ht="24.95" customHeight="1" x14ac:dyDescent="0.25">
      <c r="A6" s="63">
        <v>45661</v>
      </c>
      <c r="B6" s="64">
        <v>334</v>
      </c>
      <c r="C6" s="64">
        <v>571</v>
      </c>
    </row>
    <row r="7" spans="1:3" ht="24.95" customHeight="1" x14ac:dyDescent="0.25">
      <c r="A7" s="63">
        <v>45662</v>
      </c>
      <c r="B7" s="64">
        <v>344</v>
      </c>
      <c r="C7" s="64">
        <v>533</v>
      </c>
    </row>
    <row r="8" spans="1:3" ht="24.95" customHeight="1" x14ac:dyDescent="0.25">
      <c r="A8" s="63">
        <v>45663</v>
      </c>
      <c r="B8" s="64">
        <v>367</v>
      </c>
      <c r="C8" s="64">
        <v>554</v>
      </c>
    </row>
    <row r="9" spans="1:3" ht="24.95" customHeight="1" x14ac:dyDescent="0.25">
      <c r="A9" s="63">
        <v>45664</v>
      </c>
      <c r="B9" s="64">
        <v>375</v>
      </c>
      <c r="C9" s="64">
        <v>580</v>
      </c>
    </row>
    <row r="10" spans="1:3" ht="24.95" customHeight="1" x14ac:dyDescent="0.25">
      <c r="A10" s="63">
        <v>45665</v>
      </c>
      <c r="B10" s="64">
        <v>438</v>
      </c>
      <c r="C10" s="64">
        <v>708</v>
      </c>
    </row>
    <row r="11" spans="1:3" ht="24.95" customHeight="1" x14ac:dyDescent="0.25">
      <c r="A11" s="63">
        <v>45666</v>
      </c>
      <c r="B11" s="64">
        <v>476</v>
      </c>
      <c r="C11" s="64">
        <v>806</v>
      </c>
    </row>
    <row r="12" spans="1:3" ht="24.95" customHeight="1" x14ac:dyDescent="0.25">
      <c r="A12" s="63">
        <v>45667</v>
      </c>
      <c r="B12" s="64">
        <v>415</v>
      </c>
      <c r="C12" s="64">
        <v>637</v>
      </c>
    </row>
    <row r="13" spans="1:3" ht="24.95" customHeight="1" x14ac:dyDescent="0.25">
      <c r="A13" s="63">
        <v>45668</v>
      </c>
      <c r="B13" s="64">
        <v>435</v>
      </c>
      <c r="C13" s="64">
        <v>724</v>
      </c>
    </row>
    <row r="14" spans="1:3" ht="24.95" customHeight="1" x14ac:dyDescent="0.25">
      <c r="A14" s="63">
        <v>45669</v>
      </c>
      <c r="B14" s="64">
        <v>439</v>
      </c>
      <c r="C14" s="64">
        <v>648</v>
      </c>
    </row>
    <row r="15" spans="1:3" ht="24.95" customHeight="1" x14ac:dyDescent="0.25">
      <c r="A15" s="63">
        <v>45670</v>
      </c>
      <c r="B15" s="64">
        <v>480</v>
      </c>
      <c r="C15" s="64">
        <v>558</v>
      </c>
    </row>
    <row r="16" spans="1:3" ht="24.95" customHeight="1" x14ac:dyDescent="0.25">
      <c r="A16" s="63">
        <v>45671</v>
      </c>
      <c r="B16" s="64">
        <v>480</v>
      </c>
      <c r="C16" s="64">
        <v>581</v>
      </c>
    </row>
    <row r="17" spans="1:3" ht="24.95" customHeight="1" x14ac:dyDescent="0.25">
      <c r="A17" s="63">
        <v>45672</v>
      </c>
      <c r="B17" s="64">
        <v>447</v>
      </c>
      <c r="C17" s="64">
        <v>529</v>
      </c>
    </row>
    <row r="18" spans="1:3" ht="24.95" customHeight="1" x14ac:dyDescent="0.25">
      <c r="A18" s="63">
        <v>45673</v>
      </c>
      <c r="B18" s="64">
        <v>362</v>
      </c>
      <c r="C18" s="64">
        <v>510</v>
      </c>
    </row>
    <row r="19" spans="1:3" ht="24.95" customHeight="1" x14ac:dyDescent="0.25">
      <c r="A19" s="63">
        <v>45674</v>
      </c>
      <c r="B19" s="64">
        <v>366</v>
      </c>
      <c r="C19" s="64">
        <v>526</v>
      </c>
    </row>
    <row r="20" spans="1:3" ht="24.95" customHeight="1" x14ac:dyDescent="0.25">
      <c r="A20" s="63">
        <v>45675</v>
      </c>
      <c r="B20" s="64">
        <v>442</v>
      </c>
      <c r="C20" s="64">
        <v>693</v>
      </c>
    </row>
    <row r="21" spans="1:3" ht="24.95" customHeight="1" x14ac:dyDescent="0.25">
      <c r="A21" s="63">
        <v>45676</v>
      </c>
      <c r="B21" s="64">
        <v>456</v>
      </c>
      <c r="C21" s="64">
        <v>699</v>
      </c>
    </row>
    <row r="22" spans="1:3" ht="24.95" customHeight="1" x14ac:dyDescent="0.25">
      <c r="A22" s="63">
        <v>45677</v>
      </c>
      <c r="B22" s="64">
        <v>486</v>
      </c>
      <c r="C22" s="64">
        <v>728</v>
      </c>
    </row>
    <row r="23" spans="1:3" ht="24.95" customHeight="1" x14ac:dyDescent="0.25">
      <c r="A23" s="63">
        <v>45678</v>
      </c>
      <c r="B23" s="64">
        <v>458</v>
      </c>
      <c r="C23" s="64">
        <v>640</v>
      </c>
    </row>
    <row r="24" spans="1:3" ht="24.95" customHeight="1" x14ac:dyDescent="0.25">
      <c r="A24" s="63">
        <v>45679</v>
      </c>
      <c r="B24" s="64">
        <v>416</v>
      </c>
      <c r="C24" s="64">
        <v>616</v>
      </c>
    </row>
    <row r="25" spans="1:3" ht="24.95" customHeight="1" x14ac:dyDescent="0.25">
      <c r="A25" s="63">
        <v>45680</v>
      </c>
      <c r="B25" s="64">
        <v>383</v>
      </c>
      <c r="C25" s="64">
        <v>573</v>
      </c>
    </row>
    <row r="26" spans="1:3" ht="24.95" customHeight="1" x14ac:dyDescent="0.25">
      <c r="A26" s="63">
        <v>45681</v>
      </c>
      <c r="B26" s="64">
        <v>437</v>
      </c>
      <c r="C26" s="64">
        <v>656</v>
      </c>
    </row>
    <row r="27" spans="1:3" ht="24.95" customHeight="1" x14ac:dyDescent="0.25">
      <c r="A27" s="63">
        <v>45682</v>
      </c>
      <c r="B27" s="64">
        <v>376</v>
      </c>
      <c r="C27" s="64">
        <v>572</v>
      </c>
    </row>
    <row r="28" spans="1:3" ht="24.95" customHeight="1" x14ac:dyDescent="0.25">
      <c r="A28" s="63">
        <v>45683</v>
      </c>
      <c r="B28" s="64">
        <v>381</v>
      </c>
      <c r="C28" s="64">
        <v>573</v>
      </c>
    </row>
    <row r="29" spans="1:3" ht="24.95" customHeight="1" x14ac:dyDescent="0.25">
      <c r="A29" s="63">
        <v>45684</v>
      </c>
      <c r="B29" s="64">
        <v>417</v>
      </c>
      <c r="C29" s="64">
        <v>619</v>
      </c>
    </row>
    <row r="30" spans="1:3" ht="24.95" customHeight="1" x14ac:dyDescent="0.25">
      <c r="A30" s="63">
        <v>45685</v>
      </c>
      <c r="B30" s="64">
        <v>462</v>
      </c>
      <c r="C30" s="64">
        <v>688</v>
      </c>
    </row>
    <row r="31" spans="1:3" ht="24.95" customHeight="1" x14ac:dyDescent="0.25">
      <c r="A31" s="63">
        <v>45686</v>
      </c>
      <c r="B31" s="64">
        <v>476</v>
      </c>
      <c r="C31" s="64">
        <v>726</v>
      </c>
    </row>
    <row r="32" spans="1:3" ht="24.95" customHeight="1" x14ac:dyDescent="0.25">
      <c r="A32" s="63">
        <v>45687</v>
      </c>
      <c r="B32" s="64">
        <v>488</v>
      </c>
      <c r="C32" s="64">
        <v>733</v>
      </c>
    </row>
    <row r="33" spans="1:3" ht="24.95" customHeight="1" x14ac:dyDescent="0.25">
      <c r="A33" s="63">
        <v>45688</v>
      </c>
      <c r="B33" s="64">
        <v>433</v>
      </c>
      <c r="C33" s="64">
        <v>680</v>
      </c>
    </row>
    <row r="34" spans="1:3" ht="30.75" customHeight="1" x14ac:dyDescent="0.25">
      <c r="A34" s="62" t="s">
        <v>87</v>
      </c>
      <c r="B34" s="65">
        <f>SUM(B3:B33)</f>
        <v>13191</v>
      </c>
      <c r="C34" s="65">
        <f>SUM(C3:C33)</f>
        <v>20143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2025-06-23T11:21:42Z</dcterms:modified>
</cp:coreProperties>
</file>