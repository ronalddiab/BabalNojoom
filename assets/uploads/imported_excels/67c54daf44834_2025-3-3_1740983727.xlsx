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defaultThemeVersion="124226"/>
  <xr:revisionPtr revIDLastSave="0" documentId="13_ncr:1_{038445C0-203F-414B-87B3-BF3D6CE24CA7}" xr6:coauthVersionLast="47" xr6:coauthVersionMax="47" xr10:uidLastSave="{00000000-0000-0000-0000-000000000000}"/>
  <bookViews>
    <workbookView xWindow="-24120" yWindow="1335" windowWidth="24240" windowHeight="13140" xr2:uid="{00000000-000D-0000-FFFF-FFFF00000000}"/>
  </bookViews>
  <sheets>
    <sheet name="Total" sheetId="4" r:id="rId1"/>
    <sheet name="Submetering" sheetId="5" r:id="rId2"/>
    <sheet name="Feb 2025" sheetId="13" r:id="rId3"/>
  </sheets>
  <definedNames>
    <definedName name="_xlnm.Print_Area" localSheetId="2">'Feb 2025'!$A$1:$AD$41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2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2" i="5"/>
  <c r="B55" i="13"/>
  <c r="G55" i="13" s="1"/>
  <c r="L55" i="13" s="1"/>
  <c r="B54" i="13"/>
  <c r="G54" i="13" s="1"/>
  <c r="L54" i="13" s="1"/>
  <c r="G53" i="13"/>
  <c r="L53" i="13" s="1"/>
  <c r="B53" i="13"/>
  <c r="B52" i="13"/>
  <c r="G52" i="13" s="1"/>
  <c r="L52" i="13" s="1"/>
  <c r="B47" i="13"/>
  <c r="G47" i="13" s="1"/>
  <c r="R47" i="13" s="1"/>
  <c r="B46" i="13"/>
  <c r="G46" i="13" s="1"/>
  <c r="R46" i="13" s="1"/>
  <c r="B45" i="13"/>
  <c r="G45" i="13" s="1"/>
  <c r="R45" i="13" s="1"/>
  <c r="B44" i="13"/>
  <c r="G44" i="13" s="1"/>
  <c r="R44" i="13" s="1"/>
  <c r="I42" i="13"/>
  <c r="V41" i="13"/>
  <c r="T41" i="13"/>
  <c r="O41" i="13"/>
  <c r="M41" i="13"/>
  <c r="J41" i="13"/>
  <c r="G41" i="13"/>
  <c r="AG40" i="13"/>
  <c r="Z40" i="13" s="1"/>
  <c r="X40" i="13"/>
  <c r="V40" i="13"/>
  <c r="T40" i="13"/>
  <c r="R40" i="13"/>
  <c r="O40" i="13"/>
  <c r="L40" i="13"/>
  <c r="M40" i="13" s="1"/>
  <c r="J40" i="13"/>
  <c r="D40" i="13"/>
  <c r="G40" i="13" s="1"/>
  <c r="V39" i="13"/>
  <c r="O39" i="13"/>
  <c r="J39" i="13"/>
  <c r="AG38" i="13"/>
  <c r="Z38" i="13"/>
  <c r="V38" i="13"/>
  <c r="T38" i="13"/>
  <c r="O38" i="13"/>
  <c r="M38" i="13"/>
  <c r="J38" i="13"/>
  <c r="G38" i="13"/>
  <c r="AG37" i="13"/>
  <c r="Z37" i="13"/>
  <c r="V37" i="13"/>
  <c r="T37" i="13"/>
  <c r="O37" i="13"/>
  <c r="M37" i="13"/>
  <c r="J37" i="13"/>
  <c r="G37" i="13"/>
  <c r="AG36" i="13"/>
  <c r="AG41" i="13" s="1"/>
  <c r="Z41" i="13" s="1"/>
  <c r="V36" i="13"/>
  <c r="O36" i="13"/>
  <c r="J36" i="13"/>
  <c r="AG35" i="13"/>
  <c r="AF33" i="13"/>
  <c r="AE33" i="13"/>
  <c r="AY32" i="13"/>
  <c r="AZ32" i="13" s="1"/>
  <c r="AV32" i="13"/>
  <c r="AW32" i="13" s="1"/>
  <c r="AS32" i="13"/>
  <c r="AT32" i="13" s="1"/>
  <c r="AQ32" i="13"/>
  <c r="AP32" i="13"/>
  <c r="AM32" i="13"/>
  <c r="AN32" i="13" s="1"/>
  <c r="AJ32" i="13"/>
  <c r="AK32" i="13" s="1"/>
  <c r="AH32" i="13"/>
  <c r="AD32" i="13"/>
  <c r="AC32" i="13"/>
  <c r="Z32" i="13"/>
  <c r="W32" i="13"/>
  <c r="X32" i="13" s="1"/>
  <c r="Y32" i="13" s="1"/>
  <c r="AA32" i="13" s="1"/>
  <c r="S32" i="13"/>
  <c r="T32" i="13" s="1"/>
  <c r="U32" i="13" s="1"/>
  <c r="P32" i="13"/>
  <c r="N32" i="13"/>
  <c r="Q32" i="13" s="1"/>
  <c r="L32" i="13"/>
  <c r="K32" i="13"/>
  <c r="H32" i="13"/>
  <c r="I32" i="13" s="1"/>
  <c r="G32" i="13"/>
  <c r="E32" i="13"/>
  <c r="C32" i="13"/>
  <c r="AZ31" i="13"/>
  <c r="AY31" i="13"/>
  <c r="AW31" i="13"/>
  <c r="AV31" i="13"/>
  <c r="AT31" i="13"/>
  <c r="AS31" i="13"/>
  <c r="AQ31" i="13"/>
  <c r="AP31" i="13"/>
  <c r="AN31" i="13"/>
  <c r="AM31" i="13"/>
  <c r="AK31" i="13"/>
  <c r="AJ31" i="13"/>
  <c r="AH31" i="13"/>
  <c r="AC31" i="13"/>
  <c r="AD31" i="13" s="1"/>
  <c r="Z31" i="13"/>
  <c r="Y31" i="13"/>
  <c r="AA31" i="13" s="1"/>
  <c r="X31" i="13"/>
  <c r="W31" i="13"/>
  <c r="T31" i="13"/>
  <c r="U31" i="13" s="1"/>
  <c r="S31" i="13"/>
  <c r="P31" i="13"/>
  <c r="N31" i="13"/>
  <c r="L31" i="13"/>
  <c r="K31" i="13"/>
  <c r="G31" i="13"/>
  <c r="E31" i="13"/>
  <c r="C31" i="13"/>
  <c r="H31" i="13" s="1"/>
  <c r="I31" i="13" s="1"/>
  <c r="AY30" i="13"/>
  <c r="AZ30" i="13" s="1"/>
  <c r="AV30" i="13"/>
  <c r="AW30" i="13" s="1"/>
  <c r="AT30" i="13"/>
  <c r="AS30" i="13"/>
  <c r="AP30" i="13"/>
  <c r="AQ30" i="13" s="1"/>
  <c r="AM30" i="13"/>
  <c r="AN30" i="13" s="1"/>
  <c r="AJ30" i="13"/>
  <c r="AK30" i="13" s="1"/>
  <c r="AH30" i="13"/>
  <c r="AD30" i="13"/>
  <c r="AC30" i="13"/>
  <c r="Z30" i="13"/>
  <c r="W30" i="13"/>
  <c r="X30" i="13" s="1"/>
  <c r="Y30" i="13" s="1"/>
  <c r="T30" i="13"/>
  <c r="U30" i="13" s="1"/>
  <c r="S30" i="13"/>
  <c r="P30" i="13"/>
  <c r="N30" i="13"/>
  <c r="Q30" i="13" s="1"/>
  <c r="K30" i="13"/>
  <c r="L30" i="13" s="1"/>
  <c r="G30" i="13"/>
  <c r="E30" i="13"/>
  <c r="C30" i="13"/>
  <c r="H30" i="13" s="1"/>
  <c r="I30" i="13" s="1"/>
  <c r="AZ29" i="13"/>
  <c r="AY29" i="13"/>
  <c r="AV29" i="13"/>
  <c r="AW29" i="13" s="1"/>
  <c r="AT29" i="13"/>
  <c r="AS29" i="13"/>
  <c r="AP29" i="13"/>
  <c r="AQ29" i="13" s="1"/>
  <c r="AN29" i="13"/>
  <c r="AM29" i="13"/>
  <c r="AJ29" i="13"/>
  <c r="AK29" i="13" s="1"/>
  <c r="AH29" i="13"/>
  <c r="AC29" i="13"/>
  <c r="AD29" i="13" s="1"/>
  <c r="Z29" i="13"/>
  <c r="W29" i="13"/>
  <c r="X29" i="13" s="1"/>
  <c r="Y29" i="13" s="1"/>
  <c r="AA29" i="13" s="1"/>
  <c r="S29" i="13"/>
  <c r="T29" i="13" s="1"/>
  <c r="U29" i="13" s="1"/>
  <c r="P29" i="13"/>
  <c r="Q29" i="13" s="1"/>
  <c r="N29" i="13"/>
  <c r="L29" i="13"/>
  <c r="K29" i="13"/>
  <c r="G29" i="13"/>
  <c r="E29" i="13"/>
  <c r="C29" i="13"/>
  <c r="AY28" i="13"/>
  <c r="AZ28" i="13" s="1"/>
  <c r="AV28" i="13"/>
  <c r="AW28" i="13" s="1"/>
  <c r="AS28" i="13"/>
  <c r="AT28" i="13" s="1"/>
  <c r="AQ28" i="13"/>
  <c r="AP28" i="13"/>
  <c r="AM28" i="13"/>
  <c r="AN28" i="13" s="1"/>
  <c r="AJ28" i="13"/>
  <c r="AK28" i="13" s="1"/>
  <c r="AH28" i="13"/>
  <c r="AD28" i="13"/>
  <c r="AC28" i="13"/>
  <c r="Z28" i="13"/>
  <c r="W28" i="13"/>
  <c r="X28" i="13" s="1"/>
  <c r="Y28" i="13" s="1"/>
  <c r="AA28" i="13" s="1"/>
  <c r="S28" i="13"/>
  <c r="T28" i="13" s="1"/>
  <c r="U28" i="13" s="1"/>
  <c r="P28" i="13"/>
  <c r="N28" i="13"/>
  <c r="Q28" i="13" s="1"/>
  <c r="L28" i="13"/>
  <c r="K28" i="13"/>
  <c r="H28" i="13"/>
  <c r="I28" i="13" s="1"/>
  <c r="G28" i="13"/>
  <c r="E28" i="13"/>
  <c r="C28" i="13"/>
  <c r="AZ27" i="13"/>
  <c r="AY27" i="13"/>
  <c r="AW27" i="13"/>
  <c r="AV27" i="13"/>
  <c r="AT27" i="13"/>
  <c r="AS27" i="13"/>
  <c r="AQ27" i="13"/>
  <c r="AP27" i="13"/>
  <c r="AN27" i="13"/>
  <c r="AM27" i="13"/>
  <c r="AK27" i="13"/>
  <c r="AJ27" i="13"/>
  <c r="AH27" i="13"/>
  <c r="AC27" i="13"/>
  <c r="AD27" i="13" s="1"/>
  <c r="Z27" i="13"/>
  <c r="Y27" i="13"/>
  <c r="AA27" i="13" s="1"/>
  <c r="X27" i="13"/>
  <c r="W27" i="13"/>
  <c r="T27" i="13"/>
  <c r="U27" i="13" s="1"/>
  <c r="S27" i="13"/>
  <c r="P27" i="13"/>
  <c r="N27" i="13"/>
  <c r="L27" i="13"/>
  <c r="K27" i="13"/>
  <c r="G27" i="13"/>
  <c r="E27" i="13"/>
  <c r="C27" i="13"/>
  <c r="H27" i="13" s="1"/>
  <c r="I27" i="13" s="1"/>
  <c r="AY26" i="13"/>
  <c r="AZ26" i="13" s="1"/>
  <c r="AV26" i="13"/>
  <c r="AW26" i="13" s="1"/>
  <c r="AT26" i="13"/>
  <c r="AS26" i="13"/>
  <c r="AP26" i="13"/>
  <c r="AQ26" i="13" s="1"/>
  <c r="AM26" i="13"/>
  <c r="AN26" i="13" s="1"/>
  <c r="AJ26" i="13"/>
  <c r="AK26" i="13" s="1"/>
  <c r="AH26" i="13"/>
  <c r="AD26" i="13"/>
  <c r="AC26" i="13"/>
  <c r="Z26" i="13"/>
  <c r="W26" i="13"/>
  <c r="X26" i="13" s="1"/>
  <c r="Y26" i="13" s="1"/>
  <c r="AA26" i="13" s="1"/>
  <c r="T26" i="13"/>
  <c r="U26" i="13" s="1"/>
  <c r="S26" i="13"/>
  <c r="P26" i="13"/>
  <c r="N26" i="13"/>
  <c r="Q26" i="13" s="1"/>
  <c r="K26" i="13"/>
  <c r="L26" i="13" s="1"/>
  <c r="G26" i="13"/>
  <c r="E26" i="13"/>
  <c r="C26" i="13"/>
  <c r="H26" i="13" s="1"/>
  <c r="I26" i="13" s="1"/>
  <c r="AZ25" i="13"/>
  <c r="AY25" i="13"/>
  <c r="AV25" i="13"/>
  <c r="AW25" i="13" s="1"/>
  <c r="AT25" i="13"/>
  <c r="AS25" i="13"/>
  <c r="AP25" i="13"/>
  <c r="AQ25" i="13" s="1"/>
  <c r="AN25" i="13"/>
  <c r="AM25" i="13"/>
  <c r="AJ25" i="13"/>
  <c r="AK25" i="13" s="1"/>
  <c r="AH25" i="13"/>
  <c r="AC25" i="13"/>
  <c r="AD25" i="13" s="1"/>
  <c r="Z25" i="13"/>
  <c r="W25" i="13"/>
  <c r="X25" i="13" s="1"/>
  <c r="Y25" i="13" s="1"/>
  <c r="AA25" i="13" s="1"/>
  <c r="S25" i="13"/>
  <c r="T25" i="13" s="1"/>
  <c r="U25" i="13" s="1"/>
  <c r="P25" i="13"/>
  <c r="Q25" i="13" s="1"/>
  <c r="N25" i="13"/>
  <c r="L25" i="13"/>
  <c r="K25" i="13"/>
  <c r="G25" i="13"/>
  <c r="E25" i="13"/>
  <c r="C25" i="13"/>
  <c r="AY24" i="13"/>
  <c r="AZ24" i="13" s="1"/>
  <c r="AV24" i="13"/>
  <c r="AW24" i="13" s="1"/>
  <c r="AS24" i="13"/>
  <c r="AT24" i="13" s="1"/>
  <c r="AQ24" i="13"/>
  <c r="AP24" i="13"/>
  <c r="AM24" i="13"/>
  <c r="AN24" i="13" s="1"/>
  <c r="AJ24" i="13"/>
  <c r="AK24" i="13" s="1"/>
  <c r="AH24" i="13"/>
  <c r="AD24" i="13"/>
  <c r="AC24" i="13"/>
  <c r="AA24" i="13"/>
  <c r="Z24" i="13"/>
  <c r="W24" i="13"/>
  <c r="X24" i="13" s="1"/>
  <c r="Y24" i="13" s="1"/>
  <c r="S24" i="13"/>
  <c r="T24" i="13" s="1"/>
  <c r="U24" i="13" s="1"/>
  <c r="P24" i="13"/>
  <c r="N24" i="13"/>
  <c r="Q24" i="13" s="1"/>
  <c r="L24" i="13"/>
  <c r="K24" i="13"/>
  <c r="H24" i="13"/>
  <c r="I24" i="13" s="1"/>
  <c r="G24" i="13"/>
  <c r="E24" i="13"/>
  <c r="C24" i="13"/>
  <c r="AZ23" i="13"/>
  <c r="AY23" i="13"/>
  <c r="AW23" i="13"/>
  <c r="AV23" i="13"/>
  <c r="AT23" i="13"/>
  <c r="AS23" i="13"/>
  <c r="AQ23" i="13"/>
  <c r="AP23" i="13"/>
  <c r="AN23" i="13"/>
  <c r="AM23" i="13"/>
  <c r="AK23" i="13"/>
  <c r="AJ23" i="13"/>
  <c r="AH23" i="13"/>
  <c r="AC23" i="13"/>
  <c r="AD23" i="13" s="1"/>
  <c r="Z23" i="13"/>
  <c r="Y23" i="13"/>
  <c r="AA23" i="13" s="1"/>
  <c r="X23" i="13"/>
  <c r="W23" i="13"/>
  <c r="T23" i="13"/>
  <c r="U23" i="13" s="1"/>
  <c r="S23" i="13"/>
  <c r="P23" i="13"/>
  <c r="N23" i="13"/>
  <c r="L23" i="13"/>
  <c r="K23" i="13"/>
  <c r="G23" i="13"/>
  <c r="E23" i="13"/>
  <c r="C23" i="13"/>
  <c r="AY22" i="13"/>
  <c r="AZ22" i="13" s="1"/>
  <c r="AV22" i="13"/>
  <c r="AW22" i="13" s="1"/>
  <c r="AT22" i="13"/>
  <c r="AS22" i="13"/>
  <c r="AP22" i="13"/>
  <c r="AQ22" i="13" s="1"/>
  <c r="AM22" i="13"/>
  <c r="AN22" i="13" s="1"/>
  <c r="AJ22" i="13"/>
  <c r="AK22" i="13" s="1"/>
  <c r="AH22" i="13"/>
  <c r="AD22" i="13"/>
  <c r="AC22" i="13"/>
  <c r="Z22" i="13"/>
  <c r="W22" i="13"/>
  <c r="X22" i="13" s="1"/>
  <c r="Y22" i="13" s="1"/>
  <c r="T22" i="13"/>
  <c r="U22" i="13" s="1"/>
  <c r="S22" i="13"/>
  <c r="P22" i="13"/>
  <c r="N22" i="13"/>
  <c r="Q22" i="13" s="1"/>
  <c r="K22" i="13"/>
  <c r="L22" i="13" s="1"/>
  <c r="G22" i="13"/>
  <c r="E22" i="13"/>
  <c r="C22" i="13"/>
  <c r="H22" i="13" s="1"/>
  <c r="I22" i="13" s="1"/>
  <c r="AZ21" i="13"/>
  <c r="AY21" i="13"/>
  <c r="AV21" i="13"/>
  <c r="AW21" i="13" s="1"/>
  <c r="AT21" i="13"/>
  <c r="AS21" i="13"/>
  <c r="AP21" i="13"/>
  <c r="AQ21" i="13" s="1"/>
  <c r="AN21" i="13"/>
  <c r="AM21" i="13"/>
  <c r="AJ21" i="13"/>
  <c r="AK21" i="13" s="1"/>
  <c r="AH21" i="13"/>
  <c r="AC21" i="13"/>
  <c r="AD21" i="13" s="1"/>
  <c r="Z21" i="13"/>
  <c r="W21" i="13"/>
  <c r="X21" i="13" s="1"/>
  <c r="Y21" i="13" s="1"/>
  <c r="AA21" i="13" s="1"/>
  <c r="S21" i="13"/>
  <c r="T21" i="13" s="1"/>
  <c r="U21" i="13" s="1"/>
  <c r="P21" i="13"/>
  <c r="Q21" i="13" s="1"/>
  <c r="N21" i="13"/>
  <c r="L21" i="13"/>
  <c r="K21" i="13"/>
  <c r="G21" i="13"/>
  <c r="E21" i="13"/>
  <c r="C21" i="13"/>
  <c r="AY20" i="13"/>
  <c r="AZ20" i="13" s="1"/>
  <c r="AV20" i="13"/>
  <c r="AW20" i="13" s="1"/>
  <c r="AS20" i="13"/>
  <c r="AT20" i="13" s="1"/>
  <c r="AQ20" i="13"/>
  <c r="AP20" i="13"/>
  <c r="AM20" i="13"/>
  <c r="AN20" i="13" s="1"/>
  <c r="AJ20" i="13"/>
  <c r="AK20" i="13" s="1"/>
  <c r="AH20" i="13"/>
  <c r="AD20" i="13"/>
  <c r="AC20" i="13"/>
  <c r="AA20" i="13"/>
  <c r="Z20" i="13"/>
  <c r="W20" i="13"/>
  <c r="X20" i="13" s="1"/>
  <c r="Y20" i="13" s="1"/>
  <c r="T20" i="13"/>
  <c r="U20" i="13" s="1"/>
  <c r="S20" i="13"/>
  <c r="Q20" i="13"/>
  <c r="P20" i="13"/>
  <c r="N20" i="13"/>
  <c r="K20" i="13"/>
  <c r="L20" i="13" s="1"/>
  <c r="G20" i="13"/>
  <c r="E20" i="13"/>
  <c r="H20" i="13" s="1"/>
  <c r="I20" i="13" s="1"/>
  <c r="C20" i="13"/>
  <c r="AZ19" i="13"/>
  <c r="AY19" i="13"/>
  <c r="AW19" i="13"/>
  <c r="AV19" i="13"/>
  <c r="AT19" i="13"/>
  <c r="AS19" i="13"/>
  <c r="AQ19" i="13"/>
  <c r="AP19" i="13"/>
  <c r="AN19" i="13"/>
  <c r="AM19" i="13"/>
  <c r="AK19" i="13"/>
  <c r="AJ19" i="13"/>
  <c r="AH19" i="13"/>
  <c r="AC19" i="13"/>
  <c r="AD19" i="13" s="1"/>
  <c r="Z19" i="13"/>
  <c r="X19" i="13"/>
  <c r="Y19" i="13" s="1"/>
  <c r="W19" i="13"/>
  <c r="S19" i="13"/>
  <c r="T19" i="13" s="1"/>
  <c r="U19" i="13" s="1"/>
  <c r="P19" i="13"/>
  <c r="Q19" i="13" s="1"/>
  <c r="N19" i="13"/>
  <c r="L19" i="13"/>
  <c r="K19" i="13"/>
  <c r="G19" i="13"/>
  <c r="E19" i="13"/>
  <c r="C19" i="13"/>
  <c r="AY18" i="13"/>
  <c r="AZ18" i="13" s="1"/>
  <c r="AV18" i="13"/>
  <c r="AW18" i="13" s="1"/>
  <c r="AS18" i="13"/>
  <c r="AT18" i="13" s="1"/>
  <c r="AP18" i="13"/>
  <c r="AQ18" i="13" s="1"/>
  <c r="AM18" i="13"/>
  <c r="AN18" i="13" s="1"/>
  <c r="AK18" i="13"/>
  <c r="AJ18" i="13"/>
  <c r="AH18" i="13"/>
  <c r="AC18" i="13"/>
  <c r="AD18" i="13" s="1"/>
  <c r="Z18" i="13"/>
  <c r="X18" i="13"/>
  <c r="Y18" i="13" s="1"/>
  <c r="AA18" i="13" s="1"/>
  <c r="W18" i="13"/>
  <c r="T18" i="13"/>
  <c r="U18" i="13" s="1"/>
  <c r="S18" i="13"/>
  <c r="Q18" i="13"/>
  <c r="P18" i="13"/>
  <c r="N18" i="13"/>
  <c r="K18" i="13"/>
  <c r="L18" i="13" s="1"/>
  <c r="G18" i="13"/>
  <c r="H18" i="13" s="1"/>
  <c r="I18" i="13" s="1"/>
  <c r="E18" i="13"/>
  <c r="C18" i="13"/>
  <c r="AY17" i="13"/>
  <c r="AZ17" i="13" s="1"/>
  <c r="AW17" i="13"/>
  <c r="AV17" i="13"/>
  <c r="AS17" i="13"/>
  <c r="AT17" i="13" s="1"/>
  <c r="AQ17" i="13"/>
  <c r="AP17" i="13"/>
  <c r="AM17" i="13"/>
  <c r="AN17" i="13" s="1"/>
  <c r="AK17" i="13"/>
  <c r="AJ17" i="13"/>
  <c r="AH17" i="13"/>
  <c r="AD17" i="13"/>
  <c r="AC17" i="13"/>
  <c r="Z17" i="13"/>
  <c r="X17" i="13"/>
  <c r="Y17" i="13" s="1"/>
  <c r="AA17" i="13" s="1"/>
  <c r="W17" i="13"/>
  <c r="S17" i="13"/>
  <c r="T17" i="13" s="1"/>
  <c r="U17" i="13" s="1"/>
  <c r="P17" i="13"/>
  <c r="N17" i="13"/>
  <c r="Q17" i="13" s="1"/>
  <c r="L17" i="13"/>
  <c r="K17" i="13"/>
  <c r="H17" i="13"/>
  <c r="I17" i="13" s="1"/>
  <c r="G17" i="13"/>
  <c r="E17" i="13"/>
  <c r="C17" i="13"/>
  <c r="AZ16" i="13"/>
  <c r="AY16" i="13"/>
  <c r="AV16" i="13"/>
  <c r="AW16" i="13" s="1"/>
  <c r="AS16" i="13"/>
  <c r="AT16" i="13" s="1"/>
  <c r="AP16" i="13"/>
  <c r="AQ16" i="13" s="1"/>
  <c r="AN16" i="13"/>
  <c r="AM16" i="13"/>
  <c r="AJ16" i="13"/>
  <c r="AK16" i="13" s="1"/>
  <c r="AH16" i="13"/>
  <c r="AD16" i="13"/>
  <c r="AC16" i="13"/>
  <c r="AA16" i="13"/>
  <c r="Z16" i="13"/>
  <c r="Y16" i="13"/>
  <c r="W16" i="13"/>
  <c r="X16" i="13" s="1"/>
  <c r="U16" i="13"/>
  <c r="T16" i="13"/>
  <c r="S16" i="13"/>
  <c r="P16" i="13"/>
  <c r="N16" i="13"/>
  <c r="Q16" i="13" s="1"/>
  <c r="K16" i="13"/>
  <c r="L16" i="13" s="1"/>
  <c r="H16" i="13"/>
  <c r="I16" i="13" s="1"/>
  <c r="G16" i="13"/>
  <c r="E16" i="13"/>
  <c r="C16" i="13"/>
  <c r="AZ15" i="13"/>
  <c r="AY15" i="13"/>
  <c r="AW15" i="13"/>
  <c r="AV15" i="13"/>
  <c r="AT15" i="13"/>
  <c r="AS15" i="13"/>
  <c r="AQ15" i="13"/>
  <c r="AP15" i="13"/>
  <c r="AN15" i="13"/>
  <c r="AM15" i="13"/>
  <c r="AK15" i="13"/>
  <c r="AJ15" i="13"/>
  <c r="AH15" i="13"/>
  <c r="AC15" i="13"/>
  <c r="AD15" i="13" s="1"/>
  <c r="Z15" i="13"/>
  <c r="X15" i="13"/>
  <c r="Y15" i="13" s="1"/>
  <c r="AA15" i="13" s="1"/>
  <c r="W15" i="13"/>
  <c r="U15" i="13"/>
  <c r="S15" i="13"/>
  <c r="T15" i="13" s="1"/>
  <c r="Q15" i="13"/>
  <c r="P15" i="13"/>
  <c r="N15" i="13"/>
  <c r="K15" i="13"/>
  <c r="L15" i="13" s="1"/>
  <c r="G15" i="13"/>
  <c r="E15" i="13"/>
  <c r="C15" i="13"/>
  <c r="H15" i="13" s="1"/>
  <c r="I15" i="13" s="1"/>
  <c r="AY14" i="13"/>
  <c r="AZ14" i="13" s="1"/>
  <c r="AW14" i="13"/>
  <c r="AV14" i="13"/>
  <c r="AS14" i="13"/>
  <c r="AT14" i="13" s="1"/>
  <c r="AP14" i="13"/>
  <c r="AQ14" i="13" s="1"/>
  <c r="AM14" i="13"/>
  <c r="AN14" i="13" s="1"/>
  <c r="AK14" i="13"/>
  <c r="AJ14" i="13"/>
  <c r="AH14" i="13"/>
  <c r="AC14" i="13"/>
  <c r="AD14" i="13" s="1"/>
  <c r="Z14" i="13"/>
  <c r="X14" i="13"/>
  <c r="Y14" i="13" s="1"/>
  <c r="AA14" i="13" s="1"/>
  <c r="W14" i="13"/>
  <c r="T14" i="13"/>
  <c r="U14" i="13" s="1"/>
  <c r="S14" i="13"/>
  <c r="Q14" i="13"/>
  <c r="P14" i="13"/>
  <c r="N14" i="13"/>
  <c r="K14" i="13"/>
  <c r="L14" i="13" s="1"/>
  <c r="G14" i="13"/>
  <c r="H14" i="13" s="1"/>
  <c r="I14" i="13" s="1"/>
  <c r="E14" i="13"/>
  <c r="C14" i="13"/>
  <c r="AY13" i="13"/>
  <c r="AZ13" i="13" s="1"/>
  <c r="AW13" i="13"/>
  <c r="AV13" i="13"/>
  <c r="AS13" i="13"/>
  <c r="AT13" i="13" s="1"/>
  <c r="AQ13" i="13"/>
  <c r="AP13" i="13"/>
  <c r="AM13" i="13"/>
  <c r="AN13" i="13" s="1"/>
  <c r="AK13" i="13"/>
  <c r="AJ13" i="13"/>
  <c r="AH13" i="13"/>
  <c r="AD13" i="13"/>
  <c r="AC13" i="13"/>
  <c r="Z13" i="13"/>
  <c r="X13" i="13"/>
  <c r="Y13" i="13" s="1"/>
  <c r="AA13" i="13" s="1"/>
  <c r="W13" i="13"/>
  <c r="S13" i="13"/>
  <c r="T13" i="13" s="1"/>
  <c r="U13" i="13" s="1"/>
  <c r="P13" i="13"/>
  <c r="N13" i="13"/>
  <c r="Q13" i="13" s="1"/>
  <c r="L13" i="13"/>
  <c r="K13" i="13"/>
  <c r="H13" i="13"/>
  <c r="I13" i="13" s="1"/>
  <c r="G13" i="13"/>
  <c r="E13" i="13"/>
  <c r="C13" i="13"/>
  <c r="AZ12" i="13"/>
  <c r="AY12" i="13"/>
  <c r="AV12" i="13"/>
  <c r="AW12" i="13" s="1"/>
  <c r="AS12" i="13"/>
  <c r="AT12" i="13" s="1"/>
  <c r="AP12" i="13"/>
  <c r="AQ12" i="13" s="1"/>
  <c r="AN12" i="13"/>
  <c r="AM12" i="13"/>
  <c r="AJ12" i="13"/>
  <c r="AK12" i="13" s="1"/>
  <c r="AH12" i="13"/>
  <c r="AD12" i="13"/>
  <c r="AC12" i="13"/>
  <c r="AA12" i="13"/>
  <c r="Z12" i="13"/>
  <c r="Y12" i="13"/>
  <c r="W12" i="13"/>
  <c r="X12" i="13" s="1"/>
  <c r="S12" i="13"/>
  <c r="T12" i="13" s="1"/>
  <c r="U12" i="13" s="1"/>
  <c r="P12" i="13"/>
  <c r="N12" i="13"/>
  <c r="Q12" i="13" s="1"/>
  <c r="L12" i="13"/>
  <c r="K12" i="13"/>
  <c r="G12" i="13"/>
  <c r="E12" i="13"/>
  <c r="C12" i="13"/>
  <c r="H12" i="13" s="1"/>
  <c r="I12" i="13" s="1"/>
  <c r="AY11" i="13"/>
  <c r="AZ11" i="13" s="1"/>
  <c r="AV11" i="13"/>
  <c r="AW11" i="13" s="1"/>
  <c r="AS11" i="13"/>
  <c r="AT11" i="13" s="1"/>
  <c r="AP11" i="13"/>
  <c r="AQ11" i="13" s="1"/>
  <c r="AM11" i="13"/>
  <c r="AN11" i="13" s="1"/>
  <c r="AJ11" i="13"/>
  <c r="AK11" i="13" s="1"/>
  <c r="AH11" i="13"/>
  <c r="AD11" i="13"/>
  <c r="AC11" i="13"/>
  <c r="Z11" i="13"/>
  <c r="W11" i="13"/>
  <c r="X11" i="13" s="1"/>
  <c r="Y11" i="13" s="1"/>
  <c r="AA11" i="13" s="1"/>
  <c r="T11" i="13"/>
  <c r="U11" i="13" s="1"/>
  <c r="S11" i="13"/>
  <c r="Q11" i="13"/>
  <c r="P11" i="13"/>
  <c r="N11" i="13"/>
  <c r="K11" i="13"/>
  <c r="L11" i="13" s="1"/>
  <c r="G11" i="13"/>
  <c r="E11" i="13"/>
  <c r="H11" i="13" s="1"/>
  <c r="I11" i="13" s="1"/>
  <c r="C11" i="13"/>
  <c r="AZ10" i="13"/>
  <c r="AY10" i="13"/>
  <c r="AW10" i="13"/>
  <c r="AV10" i="13"/>
  <c r="AT10" i="13"/>
  <c r="AS10" i="13"/>
  <c r="AQ10" i="13"/>
  <c r="AP10" i="13"/>
  <c r="AN10" i="13"/>
  <c r="AM10" i="13"/>
  <c r="AK10" i="13"/>
  <c r="AJ10" i="13"/>
  <c r="AH10" i="13"/>
  <c r="AC10" i="13"/>
  <c r="AD10" i="13" s="1"/>
  <c r="Z10" i="13"/>
  <c r="X10" i="13"/>
  <c r="Y10" i="13" s="1"/>
  <c r="AA10" i="13" s="1"/>
  <c r="W10" i="13"/>
  <c r="S10" i="13"/>
  <c r="T10" i="13" s="1"/>
  <c r="U10" i="13" s="1"/>
  <c r="P10" i="13"/>
  <c r="Q10" i="13" s="1"/>
  <c r="N10" i="13"/>
  <c r="L10" i="13"/>
  <c r="K10" i="13"/>
  <c r="G10" i="13"/>
  <c r="E10" i="13"/>
  <c r="C10" i="13"/>
  <c r="H10" i="13" s="1"/>
  <c r="I10" i="13" s="1"/>
  <c r="AY9" i="13"/>
  <c r="AZ9" i="13" s="1"/>
  <c r="AV9" i="13"/>
  <c r="AW9" i="13" s="1"/>
  <c r="AS9" i="13"/>
  <c r="AT9" i="13" s="1"/>
  <c r="AP9" i="13"/>
  <c r="AQ9" i="13" s="1"/>
  <c r="AM9" i="13"/>
  <c r="AN9" i="13" s="1"/>
  <c r="AJ9" i="13"/>
  <c r="AK9" i="13" s="1"/>
  <c r="AH9" i="13"/>
  <c r="AD9" i="13"/>
  <c r="AC9" i="13"/>
  <c r="Z9" i="13"/>
  <c r="W9" i="13"/>
  <c r="X9" i="13" s="1"/>
  <c r="Y9" i="13" s="1"/>
  <c r="AA9" i="13" s="1"/>
  <c r="T9" i="13"/>
  <c r="U9" i="13" s="1"/>
  <c r="S9" i="13"/>
  <c r="P9" i="13"/>
  <c r="N9" i="13"/>
  <c r="Q9" i="13" s="1"/>
  <c r="K9" i="13"/>
  <c r="L9" i="13" s="1"/>
  <c r="H9" i="13"/>
  <c r="I9" i="13" s="1"/>
  <c r="G9" i="13"/>
  <c r="E9" i="13"/>
  <c r="C9" i="13"/>
  <c r="AZ8" i="13"/>
  <c r="AY8" i="13"/>
  <c r="AW8" i="13"/>
  <c r="AV8" i="13"/>
  <c r="AT8" i="13"/>
  <c r="AS8" i="13"/>
  <c r="AQ8" i="13"/>
  <c r="AP8" i="13"/>
  <c r="AN8" i="13"/>
  <c r="AM8" i="13"/>
  <c r="AK8" i="13"/>
  <c r="AJ8" i="13"/>
  <c r="AH8" i="13"/>
  <c r="AC8" i="13"/>
  <c r="AD8" i="13" s="1"/>
  <c r="Z8" i="13"/>
  <c r="X8" i="13"/>
  <c r="Y8" i="13" s="1"/>
  <c r="AA8" i="13" s="1"/>
  <c r="W8" i="13"/>
  <c r="S8" i="13"/>
  <c r="T8" i="13" s="1"/>
  <c r="U8" i="13" s="1"/>
  <c r="P8" i="13"/>
  <c r="N8" i="13"/>
  <c r="Q8" i="13" s="1"/>
  <c r="L8" i="13"/>
  <c r="K8" i="13"/>
  <c r="G8" i="13"/>
  <c r="E8" i="13"/>
  <c r="C8" i="13"/>
  <c r="H8" i="13" s="1"/>
  <c r="I8" i="13" s="1"/>
  <c r="AY7" i="13"/>
  <c r="AZ7" i="13" s="1"/>
  <c r="AV7" i="13"/>
  <c r="AW7" i="13" s="1"/>
  <c r="AS7" i="13"/>
  <c r="AT7" i="13" s="1"/>
  <c r="AP7" i="13"/>
  <c r="AQ7" i="13" s="1"/>
  <c r="AM7" i="13"/>
  <c r="AN7" i="13" s="1"/>
  <c r="AJ7" i="13"/>
  <c r="AK7" i="13" s="1"/>
  <c r="AH7" i="13"/>
  <c r="AD7" i="13"/>
  <c r="AC7" i="13"/>
  <c r="Z7" i="13"/>
  <c r="W7" i="13"/>
  <c r="X7" i="13" s="1"/>
  <c r="Y7" i="13" s="1"/>
  <c r="AA7" i="13" s="1"/>
  <c r="T7" i="13"/>
  <c r="U7" i="13" s="1"/>
  <c r="S7" i="13"/>
  <c r="Q7" i="13"/>
  <c r="P7" i="13"/>
  <c r="N7" i="13"/>
  <c r="K7" i="13"/>
  <c r="L7" i="13" s="1"/>
  <c r="G7" i="13"/>
  <c r="E7" i="13"/>
  <c r="H7" i="13" s="1"/>
  <c r="I7" i="13" s="1"/>
  <c r="C7" i="13"/>
  <c r="AZ6" i="13"/>
  <c r="AY6" i="13"/>
  <c r="AW6" i="13"/>
  <c r="AV6" i="13"/>
  <c r="AT6" i="13"/>
  <c r="AT33" i="13" s="1"/>
  <c r="AS6" i="13"/>
  <c r="AQ6" i="13"/>
  <c r="AP6" i="13"/>
  <c r="AN6" i="13"/>
  <c r="AM6" i="13"/>
  <c r="AM33" i="13" s="1"/>
  <c r="AK6" i="13"/>
  <c r="AJ6" i="13"/>
  <c r="AH6" i="13"/>
  <c r="AC6" i="13"/>
  <c r="AC33" i="13" s="1"/>
  <c r="AD36" i="13" s="1"/>
  <c r="Z6" i="13"/>
  <c r="X6" i="13"/>
  <c r="W6" i="13"/>
  <c r="S6" i="13"/>
  <c r="S33" i="13" s="1"/>
  <c r="P6" i="13"/>
  <c r="N6" i="13"/>
  <c r="L6" i="13"/>
  <c r="K6" i="13"/>
  <c r="G6" i="13"/>
  <c r="G33" i="13" s="1"/>
  <c r="E6" i="13"/>
  <c r="C6" i="13"/>
  <c r="C33" i="13" s="1"/>
  <c r="AZ5" i="13"/>
  <c r="AW5" i="13"/>
  <c r="AT5" i="13"/>
  <c r="AQ5" i="13"/>
  <c r="AN5" i="13"/>
  <c r="AK5" i="13"/>
  <c r="AD5" i="13"/>
  <c r="Z5" i="13"/>
  <c r="Y5" i="13"/>
  <c r="X5" i="13"/>
  <c r="U5" i="13"/>
  <c r="T5" i="13"/>
  <c r="Q5" i="13"/>
  <c r="L5" i="13"/>
  <c r="I5" i="13"/>
  <c r="H5" i="13"/>
  <c r="X33" i="13" l="1"/>
  <c r="Z36" i="13" s="1"/>
  <c r="AK33" i="13"/>
  <c r="AE36" i="13"/>
  <c r="AB45" i="13"/>
  <c r="T33" i="13"/>
  <c r="T36" i="13" s="1"/>
  <c r="Z33" i="13"/>
  <c r="AN33" i="13"/>
  <c r="AZ33" i="13"/>
  <c r="H6" i="13"/>
  <c r="I6" i="13" s="1"/>
  <c r="N33" i="13"/>
  <c r="T6" i="13"/>
  <c r="U6" i="13" s="1"/>
  <c r="Y6" i="13"/>
  <c r="AA6" i="13" s="1"/>
  <c r="AD6" i="13"/>
  <c r="AD33" i="13" s="1"/>
  <c r="AS33" i="13"/>
  <c r="AY33" i="13"/>
  <c r="AA19" i="13"/>
  <c r="AA22" i="13"/>
  <c r="H23" i="13"/>
  <c r="I23" i="13" s="1"/>
  <c r="H19" i="13"/>
  <c r="I19" i="13" s="1"/>
  <c r="Y33" i="13"/>
  <c r="AW33" i="13"/>
  <c r="U33" i="13"/>
  <c r="AA5" i="13"/>
  <c r="AQ33" i="13"/>
  <c r="P33" i="13"/>
  <c r="AH33" i="13"/>
  <c r="E33" i="13"/>
  <c r="K33" i="13"/>
  <c r="Q6" i="13"/>
  <c r="Q33" i="13" s="1"/>
  <c r="W33" i="13"/>
  <c r="AJ33" i="13"/>
  <c r="AP33" i="13"/>
  <c r="AV33" i="13"/>
  <c r="AA30" i="13"/>
  <c r="H21" i="13"/>
  <c r="I21" i="13" s="1"/>
  <c r="Q23" i="13"/>
  <c r="H25" i="13"/>
  <c r="I25" i="13" s="1"/>
  <c r="Q27" i="13"/>
  <c r="H29" i="13"/>
  <c r="I29" i="13" s="1"/>
  <c r="Q31" i="13"/>
  <c r="AB46" i="13"/>
  <c r="AB47" i="13"/>
  <c r="AB44" i="13"/>
  <c r="R48" i="13"/>
  <c r="L56" i="13"/>
  <c r="B48" i="13"/>
  <c r="B56" i="13"/>
  <c r="L33" i="13" l="1"/>
  <c r="M36" i="13"/>
  <c r="AB48" i="13"/>
  <c r="H33" i="13"/>
  <c r="I33" i="13" s="1"/>
  <c r="AA33" i="13"/>
  <c r="L46" i="13"/>
  <c r="Z54" i="13" s="1"/>
  <c r="W46" i="13"/>
  <c r="R36" i="13"/>
  <c r="R39" i="13" s="1"/>
  <c r="T39" i="13" s="1"/>
  <c r="R54" i="13" l="1"/>
  <c r="W54" i="13" s="1"/>
  <c r="AF46" i="13"/>
  <c r="Y46" i="13"/>
  <c r="L44" i="13"/>
  <c r="Z52" i="13" s="1"/>
  <c r="W44" i="13"/>
  <c r="D36" i="13"/>
  <c r="W45" i="13"/>
  <c r="L45" i="13"/>
  <c r="Z53" i="13" s="1"/>
  <c r="L36" i="13"/>
  <c r="L39" i="13" s="1"/>
  <c r="M39" i="13" s="1"/>
  <c r="AD54" i="13"/>
  <c r="AA54" i="13"/>
  <c r="AE54" i="13" s="1"/>
  <c r="W47" i="13"/>
  <c r="L47" i="13"/>
  <c r="Z55" i="13" s="1"/>
  <c r="X36" i="13"/>
  <c r="X39" i="13" s="1"/>
  <c r="AG39" i="13" s="1"/>
  <c r="Z39" i="13" s="1"/>
  <c r="G36" i="13" l="1"/>
  <c r="D39" i="13"/>
  <c r="G39" i="13" s="1"/>
  <c r="AH46" i="13"/>
  <c r="AG46" i="13"/>
  <c r="AA55" i="13"/>
  <c r="AE55" i="13" s="1"/>
  <c r="AD55" i="13"/>
  <c r="AF44" i="13"/>
  <c r="W48" i="13"/>
  <c r="R52" i="13"/>
  <c r="Y44" i="13"/>
  <c r="AF47" i="13"/>
  <c r="R55" i="13"/>
  <c r="W55" i="13" s="1"/>
  <c r="Y47" i="13"/>
  <c r="AD53" i="13"/>
  <c r="AA53" i="13"/>
  <c r="AE53" i="13" s="1"/>
  <c r="Z56" i="13"/>
  <c r="AD52" i="13"/>
  <c r="AD56" i="13" s="1"/>
  <c r="AA52" i="13"/>
  <c r="R53" i="13"/>
  <c r="W53" i="13" s="1"/>
  <c r="AF45" i="13"/>
  <c r="Y45" i="13"/>
  <c r="AH45" i="13" l="1"/>
  <c r="AG45" i="13"/>
  <c r="X49" i="13"/>
  <c r="B49" i="13" s="1"/>
  <c r="Y48" i="13"/>
  <c r="AH47" i="13"/>
  <c r="AG47" i="13"/>
  <c r="AF48" i="13"/>
  <c r="AH44" i="13"/>
  <c r="AG44" i="13"/>
  <c r="AA56" i="13"/>
  <c r="AE52" i="13"/>
  <c r="AE56" i="13" s="1"/>
  <c r="R56" i="13"/>
  <c r="X57" i="13" s="1"/>
  <c r="B57" i="13" s="1"/>
  <c r="W52" i="13"/>
  <c r="W56" i="13" s="1"/>
  <c r="AF49" i="13" l="1"/>
  <c r="AG48" i="13"/>
  <c r="E2" i="4" l="1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2" i="4"/>
  <c r="I3" i="4" l="1"/>
  <c r="I4" i="4"/>
  <c r="I5" i="4"/>
  <c r="I6" i="4"/>
  <c r="I7" i="4"/>
  <c r="I24" i="4"/>
  <c r="I25" i="4"/>
  <c r="I26" i="4"/>
  <c r="I27" i="4"/>
  <c r="I28" i="4"/>
  <c r="I29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E28" i="4" l="1"/>
  <c r="E6" i="4"/>
  <c r="E4" i="4"/>
  <c r="E26" i="4"/>
  <c r="E5" i="4"/>
  <c r="E25" i="4"/>
  <c r="E29" i="4"/>
  <c r="E24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<sst xmlns="http://schemas.openxmlformats.org/spreadsheetml/2006/main" count="249" uniqueCount="108">
  <si>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</si>
  <si>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</si>
  <si>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</si>
  <si>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</si>
  <si>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</si>
  <si>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</si>
  <si>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</si>
  <si>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</si>
  <si>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</si>
  <si>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</si>
  <si>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</si>
  <si>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</si>
  <si>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</si>
  <si>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</si>
  <si>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</si>
  <si>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</si>
  <si>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</si>
  <si>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</si>
  <si>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</si>
  <si>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</si>
  <si>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</si>
  <si>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</si>
  <si>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</si>
  <si>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</si>
  <si>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</si>
  <si>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</si>
  <si>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</si>
  <si>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</si>
  <si>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</si>
  <si>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</si>
  <si>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</si>
  <si>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</si>
  <si>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</si>
  <si>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</si>
  <si>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</si>
  <si>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</si>
  <si>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</si>
  <si>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</si>
  <si>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</si>
  <si>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</si>
  <si>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</si>
  <si>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</si>
  <si>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</si>
  <si>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</si>
  <si>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</si>
  <si>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</si>
  <si>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</si>
  <si>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</si>
  <si>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</si>
  <si>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</si>
  <si>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</si>
  <si>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</si>
  <si>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</si>
  <si>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</si>
  <si>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</si>
  <si>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</si>
  <si>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</si>
  <si>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</si>
  <si>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</si>
  <si>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</si>
  <si>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</si>
  <si>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</si>
  <si>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</si>
  <si>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</si>
  <si>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</si>
  <si>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</si>
  <si>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</si>
  <si>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</si>
  <si>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</si>
  <si>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</si>
  <si>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</si>
  <si>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</si>
  <si>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</si>
  <si>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</si>
  <si>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</si>
  <si>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</si>
  <si>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</si>
  <si>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</si>
  <si>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</si>
  <si>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</si>
  <si>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</si>
  <si>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</si>
  <si>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</si>
  <si>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</si>
  <si>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</si>
  <si>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</si>
  <si>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</si>
  <si>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</si>
  <si>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</si>
  <si>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</si>
  <si>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</si>
  <si>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(Actual 2024 YTD)</t>
  </si>
  <si>
    <t>ETS Energy Bulk Meter Reading</t>
  </si>
  <si>
    <t>ETS Cons.
Ton Hours</t>
  </si>
  <si>
    <t>Blue Sky tower Chilled water</t>
  </si>
  <si>
    <t>Cons. MWH</t>
  </si>
  <si>
    <t>ETS Cons.
MWH</t>
  </si>
  <si>
    <t>CHW Fixed Charges YTD 2025</t>
  </si>
  <si>
    <t>CHW Consumption Charges (Budgeted 2025 MTD)</t>
  </si>
  <si>
    <t>CHW Consumption Charges (Actual 2024 MTD)</t>
  </si>
  <si>
    <t>Actual YTD 2025</t>
  </si>
  <si>
    <t>CHW Consumption Charges (Actual 2025 YTD)</t>
  </si>
  <si>
    <t>Budget YTD 2025</t>
  </si>
  <si>
    <t>CHW Consumption Charges (Budgeted 2025 YTD)</t>
  </si>
  <si>
    <t>PEARL ROTANA CAPITAL CENTRE UTILITIES CONSUMPTION - FEBRUARY 2025</t>
  </si>
  <si>
    <t>Actual February 2025</t>
  </si>
  <si>
    <t>Budget February 2025</t>
  </si>
  <si>
    <t>Actual February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</si>
</sst>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  <numFmt numFmtId="170" formatCode="0.0000"/>
    <numFmt numFmtId="171" formatCode="0_);[Red]\(0\)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4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3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5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1" fontId="34" fillId="0" borderId="15" xfId="0" applyNumberFormat="1" applyFont="1" applyBorder="1" applyAlignment="1">
      <alignment horizontal="center" vertical="center" wrapText="1"/>
    </xf>
    <xf numFmtId="169" fontId="33" fillId="0" borderId="15" xfId="0" applyNumberFormat="1" applyFont="1" applyBorder="1" applyAlignment="1">
      <alignment horizontal="center" vertical="center" wrapText="1"/>
    </xf>
    <xf numFmtId="1" fontId="31" fillId="0" borderId="1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38" xfId="18" applyFont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4" fontId="22" fillId="6" borderId="23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5" xfId="0" applyFont="1" applyBorder="1" applyAlignment="1">
      <alignment vertical="center"/>
    </xf>
    <xf numFmtId="165" fontId="17" fillId="0" borderId="36" xfId="18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164" fontId="17" fillId="0" borderId="38" xfId="18" applyFont="1" applyBorder="1" applyAlignment="1">
      <alignment vertical="center"/>
    </xf>
    <xf numFmtId="166" fontId="19" fillId="0" borderId="36" xfId="20" applyNumberFormat="1" applyFont="1" applyBorder="1" applyAlignment="1">
      <alignment horizontal="center" vertical="center"/>
    </xf>
    <xf numFmtId="166" fontId="19" fillId="0" borderId="38" xfId="20" applyNumberFormat="1" applyFont="1" applyBorder="1" applyAlignment="1">
      <alignment horizontal="center" vertical="center"/>
    </xf>
    <xf numFmtId="4" fontId="18" fillId="0" borderId="36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44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4" fontId="2" fillId="0" borderId="41" xfId="0" applyNumberFormat="1" applyFont="1" applyBorder="1" applyAlignment="1">
      <alignment horizontal="center" vertical="center"/>
    </xf>
    <xf numFmtId="4" fontId="2" fillId="0" borderId="42" xfId="0" applyNumberFormat="1" applyFont="1" applyBorder="1" applyAlignment="1">
      <alignment horizontal="center" vertical="center"/>
    </xf>
    <xf numFmtId="164" fontId="3" fillId="0" borderId="28" xfId="18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" fontId="3" fillId="0" borderId="31" xfId="18" applyNumberFormat="1" applyFont="1" applyBorder="1" applyAlignment="1">
      <alignment horizontal="center" vertical="center"/>
    </xf>
    <xf numFmtId="3" fontId="3" fillId="0" borderId="31" xfId="0" applyNumberFormat="1" applyFont="1" applyBorder="1" applyAlignment="1">
      <alignment horizontal="center" vertical="center"/>
    </xf>
    <xf numFmtId="10" fontId="2" fillId="0" borderId="3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164" fontId="3" fillId="0" borderId="32" xfId="18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25" fillId="0" borderId="23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6" xfId="0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1" fontId="25" fillId="0" borderId="46" xfId="0" applyNumberFormat="1" applyFont="1" applyBorder="1" applyAlignment="1">
      <alignment horizontal="center" vertical="center"/>
    </xf>
    <xf numFmtId="164" fontId="3" fillId="0" borderId="56" xfId="18" applyFont="1" applyBorder="1" applyAlignment="1">
      <alignment horizontal="center" vertical="center"/>
    </xf>
    <xf numFmtId="164" fontId="3" fillId="0" borderId="47" xfId="18" applyFont="1" applyBorder="1" applyAlignment="1">
      <alignment horizontal="center" vertical="center"/>
    </xf>
    <xf numFmtId="3" fontId="3" fillId="0" borderId="46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43" fontId="18" fillId="0" borderId="43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vertical="center"/>
    </xf>
    <xf numFmtId="164" fontId="3" fillId="0" borderId="24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59" xfId="0" applyFont="1" applyBorder="1"/>
    <xf numFmtId="1" fontId="8" fillId="0" borderId="59" xfId="0" applyNumberFormat="1" applyFont="1" applyBorder="1"/>
    <xf numFmtId="3" fontId="8" fillId="0" borderId="59" xfId="0" applyNumberFormat="1" applyFont="1" applyBorder="1"/>
    <xf numFmtId="3" fontId="8" fillId="6" borderId="59" xfId="0" applyNumberFormat="1" applyFont="1" applyFill="1" applyBorder="1"/>
    <xf numFmtId="3" fontId="0" fillId="0" borderId="59" xfId="0" applyNumberFormat="1" applyBorder="1"/>
    <xf numFmtId="2" fontId="19" fillId="0" borderId="36" xfId="20" applyNumberFormat="1" applyFont="1" applyBorder="1" applyAlignment="1">
      <alignment horizontal="right" vertical="center"/>
    </xf>
    <xf numFmtId="166" fontId="19" fillId="0" borderId="36" xfId="20" applyNumberFormat="1" applyFont="1" applyBorder="1" applyAlignment="1">
      <alignment horizontal="right" vertical="center"/>
    </xf>
    <xf numFmtId="166" fontId="19" fillId="0" borderId="38" xfId="20" applyNumberFormat="1" applyFont="1" applyBorder="1" applyAlignment="1">
      <alignment horizontal="right" vertical="center"/>
    </xf>
    <xf numFmtId="4" fontId="8" fillId="8" borderId="59" xfId="0" applyNumberFormat="1" applyFont="1" applyFill="1" applyBorder="1"/>
    <xf numFmtId="164" fontId="17" fillId="0" borderId="36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3" xfId="18" applyFont="1" applyBorder="1" applyAlignment="1">
      <alignment vertical="center"/>
    </xf>
    <xf numFmtId="167" fontId="15" fillId="0" borderId="23" xfId="18" applyNumberFormat="1" applyFont="1" applyBorder="1" applyAlignment="1">
      <alignment horizontal="center" vertical="center"/>
    </xf>
    <xf numFmtId="167" fontId="21" fillId="0" borderId="36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164" fontId="17" fillId="0" borderId="40" xfId="18" applyFont="1" applyBorder="1" applyAlignment="1">
      <alignment vertical="center"/>
    </xf>
    <xf numFmtId="167" fontId="15" fillId="0" borderId="40" xfId="18" applyNumberFormat="1" applyFont="1" applyBorder="1" applyAlignment="1">
      <alignment horizontal="center" vertical="center"/>
    </xf>
    <xf numFmtId="167" fontId="21" fillId="0" borderId="38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2" fillId="0" borderId="73" xfId="0" applyFont="1" applyBorder="1" applyAlignment="1">
      <alignment vertical="center"/>
    </xf>
    <xf numFmtId="14" fontId="2" fillId="0" borderId="11" xfId="0" applyNumberFormat="1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78" xfId="0" applyBorder="1"/>
    <xf numFmtId="0" fontId="8" fillId="0" borderId="77" xfId="0" applyFont="1" applyBorder="1"/>
    <xf numFmtId="0" fontId="8" fillId="0" borderId="76" xfId="0" applyFont="1" applyBorder="1"/>
    <xf numFmtId="0" fontId="8" fillId="0" borderId="79" xfId="0" applyFont="1" applyBorder="1"/>
    <xf numFmtId="0" fontId="8" fillId="0" borderId="80" xfId="0" applyFont="1" applyBorder="1"/>
    <xf numFmtId="0" fontId="0" fillId="0" borderId="83" xfId="0" applyBorder="1"/>
    <xf numFmtId="4" fontId="8" fillId="8" borderId="62" xfId="0" applyNumberFormat="1" applyFont="1" applyFill="1" applyBorder="1"/>
    <xf numFmtId="0" fontId="0" fillId="0" borderId="81" xfId="0" applyBorder="1"/>
    <xf numFmtId="0" fontId="0" fillId="0" borderId="82" xfId="0" applyBorder="1"/>
    <xf numFmtId="43" fontId="18" fillId="0" borderId="61" xfId="0" applyNumberFormat="1" applyFont="1" applyBorder="1" applyAlignment="1">
      <alignment horizontal="center" vertical="center"/>
    </xf>
    <xf numFmtId="170" fontId="36" fillId="0" borderId="0" xfId="0" applyNumberFormat="1" applyFont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66" xfId="1" applyFont="1" applyBorder="1" applyAlignment="1">
      <alignment horizontal="center" vertical="center"/>
    </xf>
    <xf numFmtId="1" fontId="0" fillId="0" borderId="63" xfId="1" applyNumberFormat="1" applyFon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9" fontId="0" fillId="0" borderId="22" xfId="1" applyFont="1" applyBorder="1" applyAlignment="1">
      <alignment horizontal="center" vertical="center"/>
    </xf>
    <xf numFmtId="1" fontId="0" fillId="0" borderId="29" xfId="1" applyNumberFormat="1" applyFont="1" applyBorder="1" applyAlignment="1">
      <alignment horizontal="center" vertical="center"/>
    </xf>
    <xf numFmtId="9" fontId="26" fillId="0" borderId="22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9" fontId="0" fillId="6" borderId="22" xfId="0" applyNumberForma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1" fontId="0" fillId="6" borderId="29" xfId="0" applyNumberFormat="1" applyFill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1" fontId="2" fillId="0" borderId="88" xfId="0" applyNumberFormat="1" applyFont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0" fontId="0" fillId="6" borderId="91" xfId="0" applyFill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164" fontId="3" fillId="0" borderId="30" xfId="18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92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0" fontId="18" fillId="0" borderId="35" xfId="0" applyNumberFormat="1" applyFont="1" applyBorder="1" applyAlignment="1">
      <alignment horizontal="center" vertical="center"/>
    </xf>
    <xf numFmtId="171" fontId="18" fillId="0" borderId="36" xfId="0" applyNumberFormat="1" applyFont="1" applyBorder="1" applyAlignment="1">
      <alignment horizontal="center" vertical="center"/>
    </xf>
    <xf numFmtId="40" fontId="18" fillId="0" borderId="37" xfId="0" applyNumberFormat="1" applyFont="1" applyBorder="1" applyAlignment="1">
      <alignment horizontal="center" vertical="center"/>
    </xf>
    <xf numFmtId="171" fontId="18" fillId="0" borderId="38" xfId="0" applyNumberFormat="1" applyFont="1" applyBorder="1" applyAlignment="1">
      <alignment horizontal="center" vertical="center"/>
    </xf>
    <xf numFmtId="0" fontId="2" fillId="0" borderId="92" xfId="0" applyFont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8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5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6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4" fontId="28" fillId="6" borderId="64" xfId="0" applyNumberFormat="1" applyFont="1" applyFill="1" applyBorder="1" applyAlignment="1">
      <alignment horizontal="center" vertical="center"/>
    </xf>
    <xf numFmtId="14" fontId="29" fillId="6" borderId="15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2" fillId="5" borderId="84" xfId="0" applyFont="1" applyFill="1" applyBorder="1" applyAlignment="1">
      <alignment horizontal="center" vertical="center" wrapText="1"/>
    </xf>
    <xf numFmtId="0" fontId="2" fillId="5" borderId="8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8" xfId="0" applyFont="1" applyFill="1" applyBorder="1" applyAlignment="1">
      <alignment horizontal="center" vertical="center" wrapText="1"/>
    </xf>
    <xf numFmtId="0" fontId="8" fillId="0" borderId="74" xfId="0" applyFont="1" applyBorder="1" applyAlignment="1">
      <alignment horizontal="left"/>
    </xf>
    <xf numFmtId="0" fontId="8" fillId="0" borderId="75" xfId="0" applyFont="1" applyBorder="1" applyAlignment="1">
      <alignment horizontal="left"/>
    </xf>
    <xf numFmtId="0" fontId="8" fillId="0" borderId="62" xfId="0" applyFont="1" applyBorder="1" applyAlignment="1">
      <alignment horizontal="left"/>
    </xf>
    <xf numFmtId="0" fontId="8" fillId="6" borderId="22" xfId="0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4" fontId="22" fillId="6" borderId="23" xfId="0" applyNumberFormat="1" applyFont="1" applyFill="1" applyBorder="1" applyAlignment="1">
      <alignment horizontal="center" vertical="center"/>
    </xf>
    <xf numFmtId="3" fontId="8" fillId="6" borderId="23" xfId="0" applyNumberFormat="1" applyFont="1" applyFill="1" applyBorder="1" applyAlignment="1">
      <alignment horizontal="center" vertical="center"/>
    </xf>
    <xf numFmtId="3" fontId="8" fillId="6" borderId="24" xfId="0" applyNumberFormat="1" applyFont="1" applyFill="1" applyBorder="1" applyAlignment="1">
      <alignment horizontal="center" vertical="center"/>
    </xf>
    <xf numFmtId="4" fontId="22" fillId="6" borderId="23" xfId="18" applyNumberFormat="1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 vertical="center"/>
    </xf>
    <xf numFmtId="0" fontId="23" fillId="7" borderId="20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4" fontId="8" fillId="6" borderId="23" xfId="0" applyNumberFormat="1" applyFont="1" applyFill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3" fontId="8" fillId="6" borderId="28" xfId="0" applyNumberFormat="1" applyFont="1" applyFill="1" applyBorder="1" applyAlignment="1">
      <alignment horizontal="center" vertical="center"/>
    </xf>
    <xf numFmtId="3" fontId="8" fillId="6" borderId="50" xfId="0" applyNumberFormat="1" applyFont="1" applyFill="1" applyBorder="1" applyAlignment="1">
      <alignment horizontal="center" vertical="center"/>
    </xf>
    <xf numFmtId="3" fontId="8" fillId="6" borderId="51" xfId="0" applyNumberFormat="1" applyFont="1" applyFill="1" applyBorder="1" applyAlignment="1">
      <alignment horizontal="center" vertical="center"/>
    </xf>
    <xf numFmtId="0" fontId="8" fillId="6" borderId="60" xfId="0" applyFont="1" applyFill="1" applyBorder="1" applyAlignment="1">
      <alignment horizontal="left" vertical="center"/>
    </xf>
    <xf numFmtId="0" fontId="8" fillId="6" borderId="50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8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14" fontId="16" fillId="0" borderId="33" xfId="0" applyNumberFormat="1" applyFont="1" applyBorder="1" applyAlignment="1">
      <alignment horizontal="center" vertical="center"/>
    </xf>
    <xf numFmtId="14" fontId="16" fillId="0" borderId="39" xfId="0" applyNumberFormat="1" applyFont="1" applyBorder="1" applyAlignment="1">
      <alignment horizontal="center" vertical="center"/>
    </xf>
    <xf numFmtId="14" fontId="16" fillId="0" borderId="34" xfId="0" applyNumberFormat="1" applyFont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15" fillId="0" borderId="35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164" fontId="19" fillId="0" borderId="28" xfId="18" applyFont="1" applyBorder="1" applyAlignment="1">
      <alignment horizontal="center" vertical="center"/>
    </xf>
    <xf numFmtId="164" fontId="19" fillId="0" borderId="45" xfId="18" applyFont="1" applyBorder="1" applyAlignment="1">
      <alignment horizontal="center" vertical="center"/>
    </xf>
    <xf numFmtId="164" fontId="17" fillId="0" borderId="23" xfId="18" applyFont="1" applyBorder="1" applyAlignment="1">
      <alignment horizontal="center" vertical="center"/>
    </xf>
    <xf numFmtId="164" fontId="17" fillId="0" borderId="36" xfId="18" applyFont="1" applyBorder="1" applyAlignment="1">
      <alignment horizontal="center" vertical="center"/>
    </xf>
    <xf numFmtId="0" fontId="15" fillId="0" borderId="37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164" fontId="19" fillId="0" borderId="53" xfId="18" applyFont="1" applyBorder="1" applyAlignment="1">
      <alignment horizontal="center" vertical="center"/>
    </xf>
    <xf numFmtId="164" fontId="19" fillId="0" borderId="54" xfId="18" applyFont="1" applyBorder="1" applyAlignment="1">
      <alignment horizontal="center" vertical="center"/>
    </xf>
    <xf numFmtId="164" fontId="17" fillId="0" borderId="40" xfId="18" applyFont="1" applyBorder="1" applyAlignment="1">
      <alignment horizontal="center" vertical="center"/>
    </xf>
    <xf numFmtId="164" fontId="17" fillId="0" borderId="38" xfId="18" applyFont="1" applyBorder="1" applyAlignment="1">
      <alignment horizontal="center" vertical="center"/>
    </xf>
    <xf numFmtId="3" fontId="18" fillId="0" borderId="0" xfId="0" applyNumberFormat="1" applyFont="1" applyAlignment="1">
      <alignment horizontal="right"/>
    </xf>
    <xf numFmtId="0" fontId="30" fillId="0" borderId="0" xfId="0" applyFont="1" applyAlignment="1">
      <alignment horizontal="left" vertical="center"/>
    </xf>
    <xf numFmtId="164" fontId="19" fillId="0" borderId="23" xfId="18" applyFont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40" fontId="17" fillId="0" borderId="23" xfId="18" applyNumberFormat="1" applyFont="1" applyBorder="1" applyAlignment="1">
      <alignment horizontal="right" vertical="center"/>
    </xf>
    <xf numFmtId="40" fontId="17" fillId="0" borderId="36" xfId="18" applyNumberFormat="1" applyFont="1" applyBorder="1" applyAlignment="1">
      <alignment horizontal="right" vertical="center"/>
    </xf>
    <xf numFmtId="164" fontId="19" fillId="0" borderId="40" xfId="18" applyFont="1" applyBorder="1" applyAlignment="1">
      <alignment horizontal="center" vertical="center"/>
    </xf>
    <xf numFmtId="164" fontId="19" fillId="0" borderId="38" xfId="18" applyFont="1" applyBorder="1" applyAlignment="1">
      <alignment horizontal="center" vertical="center"/>
    </xf>
    <xf numFmtId="40" fontId="17" fillId="0" borderId="40" xfId="18" applyNumberFormat="1" applyFont="1" applyBorder="1" applyAlignment="1">
      <alignment horizontal="right" vertical="center"/>
    </xf>
    <xf numFmtId="40" fontId="17" fillId="0" borderId="38" xfId="18" applyNumberFormat="1" applyFont="1" applyBorder="1" applyAlignment="1">
      <alignment horizontal="right" vertical="center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29"/>
  <sheetViews>
    <sheetView tabSelected="1" topLeftCell="A9" workbookViewId="0">
      <selection activeCell="H32" sqref="H32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67</v>
      </c>
      <c r="B1" s="27" t="s">
        <v>68</v>
      </c>
      <c r="C1" s="28" t="s">
        <v>69</v>
      </c>
      <c r="D1" s="29" t="s">
        <v>70</v>
      </c>
      <c r="E1" s="30" t="s">
        <v>71</v>
      </c>
      <c r="F1" s="31" t="s">
        <v>72</v>
      </c>
      <c r="G1" s="30" t="s">
        <v>88</v>
      </c>
      <c r="H1" s="31" t="s">
        <v>89</v>
      </c>
      <c r="I1" s="32" t="s">
        <v>86</v>
      </c>
      <c r="J1" s="33" t="s">
        <v>87</v>
      </c>
      <c r="K1" s="34" t="s">
        <v>73</v>
      </c>
      <c r="L1" s="35" t="s">
        <v>74</v>
      </c>
      <c r="M1" s="36" t="s">
        <v>75</v>
      </c>
      <c r="N1" s="30" t="s">
        <v>76</v>
      </c>
    </row>
    <row r="2" spans="1:15" x14ac:dyDescent="0.25">
      <c r="A2" s="26" t="s">
        <v>77</v>
      </c>
      <c r="B2" s="2">
        <v>1</v>
      </c>
      <c r="C2" s="16">
        <v>2</v>
      </c>
      <c r="D2" s="2">
        <v>2025</v>
      </c>
      <c r="E2" s="9">
        <f>Submetering!E2+Submetering!F2+Submetering!G2</f>
        <v>16024</v>
      </c>
      <c r="F2" s="17">
        <v>0.2</v>
      </c>
      <c r="G2" s="9">
        <f>'Feb 2025'!T5</f>
        <v>32.726700000000001</v>
      </c>
      <c r="H2" s="18">
        <v>17.62</v>
      </c>
      <c r="I2" s="9">
        <f>Submetering!H2</f>
        <v>129</v>
      </c>
      <c r="J2" s="17">
        <v>7.84</v>
      </c>
      <c r="K2" s="19">
        <f>'Feb 2025'!X5</f>
        <v>5118.2100000000009</v>
      </c>
      <c r="L2" s="168">
        <v>0.34489999999999998</v>
      </c>
      <c r="M2" s="9">
        <f>Submetering!N2</f>
        <v>286.99650000000003</v>
      </c>
      <c r="N2" s="2">
        <f>Submetering!O2</f>
        <v>440</v>
      </c>
      <c r="O2" s="15"/>
    </row>
    <row r="3" spans="1:15" x14ac:dyDescent="0.25">
      <c r="A3" s="26" t="s">
        <v>77</v>
      </c>
      <c r="B3" s="2">
        <f t="shared" ref="B3:B29" si="0">B2+1</f>
        <v>2</v>
      </c>
      <c r="C3" s="16">
        <v>2</v>
      </c>
      <c r="D3" s="2">
        <v>2025</v>
      </c>
      <c r="E3" s="9">
        <f>Submetering!E3+Submetering!F3+Submetering!G3</f>
        <v>16172</v>
      </c>
      <c r="F3" s="17">
        <v>0.2</v>
      </c>
      <c r="G3" s="9">
        <f>'Feb 2025'!T6</f>
        <v>32.726700000000001</v>
      </c>
      <c r="H3" s="18">
        <v>17.62</v>
      </c>
      <c r="I3" s="9">
        <f>Submetering!H3</f>
        <v>109</v>
      </c>
      <c r="J3" s="17">
        <v>7.84</v>
      </c>
      <c r="K3" s="19">
        <f>'Feb 2025'!X6</f>
        <v>5971.2450000000008</v>
      </c>
      <c r="L3" s="168">
        <v>0.34489999999999998</v>
      </c>
      <c r="M3" s="9">
        <f>Submetering!N3</f>
        <v>269.98649999999998</v>
      </c>
      <c r="N3" s="2">
        <f>Submetering!O3</f>
        <v>392</v>
      </c>
      <c r="O3" s="15"/>
    </row>
    <row r="4" spans="1:15" x14ac:dyDescent="0.25">
      <c r="A4" s="26" t="s">
        <v>77</v>
      </c>
      <c r="B4" s="2">
        <f t="shared" si="0"/>
        <v>3</v>
      </c>
      <c r="C4" s="16">
        <v>2</v>
      </c>
      <c r="D4" s="2">
        <v>2025</v>
      </c>
      <c r="E4" s="9">
        <f>Submetering!E4+Submetering!F4+Submetering!G4</f>
        <v>16310</v>
      </c>
      <c r="F4" s="17">
        <v>0.2</v>
      </c>
      <c r="G4" s="9">
        <f>'Feb 2025'!T7</f>
        <v>32.726700000000001</v>
      </c>
      <c r="H4" s="18">
        <v>17.62</v>
      </c>
      <c r="I4" s="9">
        <f>Submetering!H4</f>
        <v>105</v>
      </c>
      <c r="J4" s="17">
        <v>7.84</v>
      </c>
      <c r="K4" s="19">
        <f>'Feb 2025'!X7</f>
        <v>6255.59</v>
      </c>
      <c r="L4" s="168">
        <v>0.34489999999999998</v>
      </c>
      <c r="M4" s="9">
        <f>Submetering!N4</f>
        <v>290.99699999999996</v>
      </c>
      <c r="N4" s="2">
        <f>Submetering!O4</f>
        <v>393</v>
      </c>
      <c r="O4" s="15"/>
    </row>
    <row r="5" spans="1:15" x14ac:dyDescent="0.25">
      <c r="A5" s="26" t="s">
        <v>77</v>
      </c>
      <c r="B5" s="2">
        <f t="shared" si="0"/>
        <v>4</v>
      </c>
      <c r="C5" s="16">
        <v>2</v>
      </c>
      <c r="D5" s="2">
        <v>2025</v>
      </c>
      <c r="E5" s="9">
        <f>Submetering!E5+Submetering!F5+Submetering!G5</f>
        <v>16309</v>
      </c>
      <c r="F5" s="17">
        <v>0.2</v>
      </c>
      <c r="G5" s="9">
        <f>'Feb 2025'!T8</f>
        <v>29.559600000000003</v>
      </c>
      <c r="H5" s="18">
        <v>17.62</v>
      </c>
      <c r="I5" s="9">
        <f>Submetering!H5</f>
        <v>108</v>
      </c>
      <c r="J5" s="17">
        <v>7.84</v>
      </c>
      <c r="K5" s="19">
        <f>'Feb 2025'!X8</f>
        <v>5686.9000000000005</v>
      </c>
      <c r="L5" s="168">
        <v>0.34489999999999998</v>
      </c>
      <c r="M5" s="9">
        <f>Submetering!N5</f>
        <v>306.99900000000002</v>
      </c>
      <c r="N5" s="2">
        <f>Submetering!O5</f>
        <v>428</v>
      </c>
      <c r="O5" s="15"/>
    </row>
    <row r="6" spans="1:15" x14ac:dyDescent="0.25">
      <c r="A6" s="26" t="s">
        <v>77</v>
      </c>
      <c r="B6" s="2">
        <f t="shared" si="0"/>
        <v>5</v>
      </c>
      <c r="C6" s="16">
        <v>2</v>
      </c>
      <c r="D6" s="2">
        <v>2025</v>
      </c>
      <c r="E6" s="9">
        <f>Submetering!E6+Submetering!F6+Submetering!G6</f>
        <v>16141</v>
      </c>
      <c r="F6" s="17">
        <v>0.2</v>
      </c>
      <c r="G6" s="9">
        <f>'Feb 2025'!T9</f>
        <v>33.782400000000003</v>
      </c>
      <c r="H6" s="18">
        <v>17.62</v>
      </c>
      <c r="I6" s="9">
        <f>Submetering!H6</f>
        <v>111</v>
      </c>
      <c r="J6" s="17">
        <v>7.84</v>
      </c>
      <c r="K6" s="19">
        <f>'Feb 2025'!X9</f>
        <v>5402.5550000000003</v>
      </c>
      <c r="L6" s="168">
        <v>0.34489999999999998</v>
      </c>
      <c r="M6" s="9">
        <f>Submetering!N6</f>
        <v>312.00749999999999</v>
      </c>
      <c r="N6" s="2">
        <f>Submetering!O6</f>
        <v>448</v>
      </c>
      <c r="O6" s="15"/>
    </row>
    <row r="7" spans="1:15" x14ac:dyDescent="0.25">
      <c r="A7" s="26" t="s">
        <v>77</v>
      </c>
      <c r="B7" s="2">
        <f t="shared" si="0"/>
        <v>6</v>
      </c>
      <c r="C7" s="16">
        <v>2</v>
      </c>
      <c r="D7" s="2">
        <v>2025</v>
      </c>
      <c r="E7" s="9">
        <f>Submetering!E7+Submetering!F7+Submetering!G7</f>
        <v>16229</v>
      </c>
      <c r="F7" s="17">
        <v>0.2</v>
      </c>
      <c r="G7" s="9">
        <f>'Feb 2025'!T10</f>
        <v>35.893800000000006</v>
      </c>
      <c r="H7" s="18">
        <v>17.62</v>
      </c>
      <c r="I7" s="9">
        <f>Submetering!H7</f>
        <v>106</v>
      </c>
      <c r="J7" s="17">
        <v>7.84</v>
      </c>
      <c r="K7" s="19">
        <f>'Feb 2025'!X10</f>
        <v>5686.9000000000005</v>
      </c>
      <c r="L7" s="168">
        <v>0.34489999999999998</v>
      </c>
      <c r="M7" s="9">
        <f>Submetering!N7</f>
        <v>308.00700000000001</v>
      </c>
      <c r="N7" s="2">
        <f>Submetering!O7</f>
        <v>437</v>
      </c>
      <c r="O7" s="15"/>
    </row>
    <row r="8" spans="1:15" x14ac:dyDescent="0.25">
      <c r="A8" s="26" t="s">
        <v>77</v>
      </c>
      <c r="B8" s="2">
        <f t="shared" si="0"/>
        <v>7</v>
      </c>
      <c r="C8" s="16">
        <v>2</v>
      </c>
      <c r="D8" s="2">
        <v>2025</v>
      </c>
      <c r="E8" s="9">
        <f>Submetering!E8+Submetering!F8+Submetering!G8</f>
        <v>15978</v>
      </c>
      <c r="F8" s="17">
        <v>0.2</v>
      </c>
      <c r="G8" s="9">
        <f>'Feb 2025'!T11</f>
        <v>33.782400000000003</v>
      </c>
      <c r="H8" s="18">
        <v>17.62</v>
      </c>
      <c r="I8" s="9">
        <f>Submetering!H8</f>
        <v>121</v>
      </c>
      <c r="J8" s="17">
        <v>7.84</v>
      </c>
      <c r="K8" s="19">
        <f>'Feb 2025'!X11</f>
        <v>5402.5550000000003</v>
      </c>
      <c r="L8" s="168">
        <v>0.34489999999999998</v>
      </c>
      <c r="M8" s="9">
        <f>Submetering!N8</f>
        <v>304.00649999999996</v>
      </c>
      <c r="N8" s="2">
        <f>Submetering!O8</f>
        <v>467</v>
      </c>
      <c r="O8" s="15"/>
    </row>
    <row r="9" spans="1:15" x14ac:dyDescent="0.25">
      <c r="A9" s="26" t="s">
        <v>77</v>
      </c>
      <c r="B9" s="2">
        <f t="shared" si="0"/>
        <v>8</v>
      </c>
      <c r="C9" s="16">
        <v>2</v>
      </c>
      <c r="D9" s="2">
        <v>2025</v>
      </c>
      <c r="E9" s="9">
        <f>Submetering!E9+Submetering!F9+Submetering!G9</f>
        <v>15978</v>
      </c>
      <c r="F9" s="17">
        <v>0.2</v>
      </c>
      <c r="G9" s="9">
        <f>'Feb 2025'!T12</f>
        <v>34.838100000000004</v>
      </c>
      <c r="H9" s="18">
        <v>17.62</v>
      </c>
      <c r="I9" s="9">
        <f>Submetering!H9</f>
        <v>115</v>
      </c>
      <c r="J9" s="17">
        <v>7.84</v>
      </c>
      <c r="K9" s="19">
        <f>'Feb 2025'!X12</f>
        <v>5686.9000000000005</v>
      </c>
      <c r="L9" s="168">
        <v>0.34489999999999998</v>
      </c>
      <c r="M9" s="9">
        <f>Submetering!N9</f>
        <v>298.99799999999999</v>
      </c>
      <c r="N9" s="2">
        <f>Submetering!O9</f>
        <v>452</v>
      </c>
      <c r="O9" s="15"/>
    </row>
    <row r="10" spans="1:15" x14ac:dyDescent="0.25">
      <c r="A10" s="26" t="s">
        <v>77</v>
      </c>
      <c r="B10" s="2">
        <f t="shared" si="0"/>
        <v>9</v>
      </c>
      <c r="C10" s="16">
        <v>2</v>
      </c>
      <c r="D10" s="2">
        <v>2025</v>
      </c>
      <c r="E10" s="9">
        <f>Submetering!E10+Submetering!F10+Submetering!G10</f>
        <v>15993</v>
      </c>
      <c r="F10" s="17">
        <v>0.2</v>
      </c>
      <c r="G10" s="9">
        <f>'Feb 2025'!T13</f>
        <v>33.782400000000003</v>
      </c>
      <c r="H10" s="18">
        <v>17.62</v>
      </c>
      <c r="I10" s="9">
        <f>Submetering!H10</f>
        <v>107</v>
      </c>
      <c r="J10" s="17">
        <v>7.84</v>
      </c>
      <c r="K10" s="19">
        <f>'Feb 2025'!X13</f>
        <v>5402.5550000000003</v>
      </c>
      <c r="L10" s="168">
        <v>0.34489999999999998</v>
      </c>
      <c r="M10" s="9">
        <f>Submetering!N10</f>
        <v>258.99299999999999</v>
      </c>
      <c r="N10" s="2">
        <f>Submetering!O10</f>
        <v>346</v>
      </c>
      <c r="O10" s="15"/>
    </row>
    <row r="11" spans="1:15" x14ac:dyDescent="0.25">
      <c r="A11" s="26" t="s">
        <v>77</v>
      </c>
      <c r="B11" s="2">
        <f t="shared" si="0"/>
        <v>10</v>
      </c>
      <c r="C11" s="16">
        <v>2</v>
      </c>
      <c r="D11" s="2">
        <v>2025</v>
      </c>
      <c r="E11" s="9">
        <f>Submetering!E11+Submetering!F11+Submetering!G11</f>
        <v>15654</v>
      </c>
      <c r="F11" s="17">
        <v>0.2</v>
      </c>
      <c r="G11" s="9">
        <f>'Feb 2025'!T14</f>
        <v>32.726700000000001</v>
      </c>
      <c r="H11" s="18">
        <v>17.62</v>
      </c>
      <c r="I11" s="9">
        <f>Submetering!H11</f>
        <v>110</v>
      </c>
      <c r="J11" s="17">
        <v>7.84</v>
      </c>
      <c r="K11" s="19">
        <f>'Feb 2025'!X14</f>
        <v>4833.8650000000007</v>
      </c>
      <c r="L11" s="168">
        <v>0.34489999999999998</v>
      </c>
      <c r="M11" s="9">
        <f>Submetering!N11</f>
        <v>297.01349999999996</v>
      </c>
      <c r="N11" s="2">
        <f>Submetering!O11</f>
        <v>405</v>
      </c>
      <c r="O11" s="15"/>
    </row>
    <row r="12" spans="1:15" x14ac:dyDescent="0.25">
      <c r="A12" s="26" t="s">
        <v>77</v>
      </c>
      <c r="B12" s="2">
        <f t="shared" si="0"/>
        <v>11</v>
      </c>
      <c r="C12" s="16">
        <v>2</v>
      </c>
      <c r="D12" s="2">
        <v>2025</v>
      </c>
      <c r="E12" s="9">
        <f>Submetering!E12+Submetering!F12+Submetering!G12</f>
        <v>15443</v>
      </c>
      <c r="F12" s="17">
        <v>0.2</v>
      </c>
      <c r="G12" s="9">
        <f>'Feb 2025'!T15</f>
        <v>32.726700000000001</v>
      </c>
      <c r="H12" s="18">
        <v>17.62</v>
      </c>
      <c r="I12" s="9">
        <f>Submetering!H12</f>
        <v>111</v>
      </c>
      <c r="J12" s="17">
        <v>7.84</v>
      </c>
      <c r="K12" s="19">
        <f>'Feb 2025'!X15</f>
        <v>5118.2100000000009</v>
      </c>
      <c r="L12" s="168">
        <v>0.34489999999999998</v>
      </c>
      <c r="M12" s="9">
        <f>Submetering!N12</f>
        <v>293.98950000000002</v>
      </c>
      <c r="N12" s="2">
        <f>Submetering!O12</f>
        <v>387</v>
      </c>
      <c r="O12" s="15"/>
    </row>
    <row r="13" spans="1:15" x14ac:dyDescent="0.25">
      <c r="A13" s="26" t="s">
        <v>77</v>
      </c>
      <c r="B13" s="2">
        <f t="shared" si="0"/>
        <v>12</v>
      </c>
      <c r="C13" s="16">
        <v>2</v>
      </c>
      <c r="D13" s="2">
        <v>2025</v>
      </c>
      <c r="E13" s="9">
        <f>Submetering!E13+Submetering!F13+Submetering!G13</f>
        <v>15403</v>
      </c>
      <c r="F13" s="17">
        <v>0.2</v>
      </c>
      <c r="G13" s="9">
        <f>'Feb 2025'!T16</f>
        <v>31.671000000000003</v>
      </c>
      <c r="H13" s="18">
        <v>17.62</v>
      </c>
      <c r="I13" s="9">
        <f>Submetering!H13</f>
        <v>95</v>
      </c>
      <c r="J13" s="17">
        <v>7.84</v>
      </c>
      <c r="K13" s="19">
        <f>'Feb 2025'!X16</f>
        <v>5971.2450000000008</v>
      </c>
      <c r="L13" s="168">
        <v>0.34489999999999998</v>
      </c>
      <c r="M13" s="9">
        <f>Submetering!N13</f>
        <v>301.01400000000001</v>
      </c>
      <c r="N13" s="2">
        <f>Submetering!O13</f>
        <v>385</v>
      </c>
      <c r="O13" s="15"/>
    </row>
    <row r="14" spans="1:15" x14ac:dyDescent="0.25">
      <c r="A14" s="26" t="s">
        <v>77</v>
      </c>
      <c r="B14" s="2">
        <f t="shared" si="0"/>
        <v>13</v>
      </c>
      <c r="C14" s="16">
        <v>2</v>
      </c>
      <c r="D14" s="2">
        <v>2025</v>
      </c>
      <c r="E14" s="9">
        <f>Submetering!E14+Submetering!F14+Submetering!G14</f>
        <v>15191</v>
      </c>
      <c r="F14" s="17">
        <v>0.2</v>
      </c>
      <c r="G14" s="9">
        <f>'Feb 2025'!T17</f>
        <v>34.838100000000004</v>
      </c>
      <c r="H14" s="18">
        <v>17.62</v>
      </c>
      <c r="I14" s="9">
        <f>Submetering!H14</f>
        <v>107</v>
      </c>
      <c r="J14" s="17">
        <v>7.84</v>
      </c>
      <c r="K14" s="19">
        <f>'Feb 2025'!X17</f>
        <v>5971.2450000000008</v>
      </c>
      <c r="L14" s="168">
        <v>0.34489999999999998</v>
      </c>
      <c r="M14" s="9">
        <f>Submetering!N14</f>
        <v>315</v>
      </c>
      <c r="N14" s="2">
        <f>Submetering!O14</f>
        <v>421</v>
      </c>
      <c r="O14" s="15"/>
    </row>
    <row r="15" spans="1:15" x14ac:dyDescent="0.25">
      <c r="A15" s="26" t="s">
        <v>77</v>
      </c>
      <c r="B15" s="2">
        <f t="shared" si="0"/>
        <v>14</v>
      </c>
      <c r="C15" s="16">
        <v>2</v>
      </c>
      <c r="D15" s="2">
        <v>2025</v>
      </c>
      <c r="E15" s="9">
        <f>Submetering!E15+Submetering!F15+Submetering!G15</f>
        <v>15605</v>
      </c>
      <c r="F15" s="17">
        <v>0.2</v>
      </c>
      <c r="G15" s="9">
        <f>'Feb 2025'!T18</f>
        <v>35.893800000000006</v>
      </c>
      <c r="H15" s="18">
        <v>17.62</v>
      </c>
      <c r="I15" s="9">
        <f>Submetering!H15</f>
        <v>112</v>
      </c>
      <c r="J15" s="17">
        <v>7.84</v>
      </c>
      <c r="K15" s="19">
        <f>'Feb 2025'!X18</f>
        <v>6255.59</v>
      </c>
      <c r="L15" s="168">
        <v>0.34489999999999998</v>
      </c>
      <c r="M15" s="9">
        <f>Submetering!N15</f>
        <v>297.99</v>
      </c>
      <c r="N15" s="2">
        <f>Submetering!O15</f>
        <v>431</v>
      </c>
      <c r="O15" s="15"/>
    </row>
    <row r="16" spans="1:15" x14ac:dyDescent="0.25">
      <c r="A16" s="26" t="s">
        <v>77</v>
      </c>
      <c r="B16" s="2">
        <f t="shared" si="0"/>
        <v>15</v>
      </c>
      <c r="C16" s="16">
        <v>2</v>
      </c>
      <c r="D16" s="2">
        <v>2025</v>
      </c>
      <c r="E16" s="9">
        <f>Submetering!E16+Submetering!F16+Submetering!G16</f>
        <v>14904</v>
      </c>
      <c r="F16" s="17">
        <v>0.2</v>
      </c>
      <c r="G16" s="9">
        <f>'Feb 2025'!T19</f>
        <v>32.726700000000001</v>
      </c>
      <c r="H16" s="18">
        <v>17.62</v>
      </c>
      <c r="I16" s="9">
        <f>Submetering!H16</f>
        <v>106</v>
      </c>
      <c r="J16" s="17">
        <v>7.84</v>
      </c>
      <c r="K16" s="19">
        <f>'Feb 2025'!X19</f>
        <v>5971.2450000000008</v>
      </c>
      <c r="L16" s="168">
        <v>0.34489999999999998</v>
      </c>
      <c r="M16" s="9">
        <f>Submetering!N16</f>
        <v>304.00649999999996</v>
      </c>
      <c r="N16" s="2">
        <f>Submetering!O16</f>
        <v>415</v>
      </c>
      <c r="O16" s="15"/>
    </row>
    <row r="17" spans="1:15" x14ac:dyDescent="0.25">
      <c r="A17" s="26" t="s">
        <v>77</v>
      </c>
      <c r="B17" s="2">
        <f t="shared" si="0"/>
        <v>16</v>
      </c>
      <c r="C17" s="16">
        <v>2</v>
      </c>
      <c r="D17" s="2">
        <v>2025</v>
      </c>
      <c r="E17" s="9">
        <f>Submetering!E17+Submetering!F17+Submetering!G17</f>
        <v>15456</v>
      </c>
      <c r="F17" s="17">
        <v>0.2</v>
      </c>
      <c r="G17" s="9">
        <f>'Feb 2025'!T20</f>
        <v>38.005200000000002</v>
      </c>
      <c r="H17" s="18">
        <v>17.62</v>
      </c>
      <c r="I17" s="9">
        <f>Submetering!H17</f>
        <v>95</v>
      </c>
      <c r="J17" s="17">
        <v>7.84</v>
      </c>
      <c r="K17" s="19">
        <f>'Feb 2025'!X20</f>
        <v>6255.59</v>
      </c>
      <c r="L17" s="168">
        <v>0.34489999999999998</v>
      </c>
      <c r="M17" s="9">
        <f>Submetering!N17</f>
        <v>274.995</v>
      </c>
      <c r="N17" s="2">
        <f>Submetering!O17</f>
        <v>298</v>
      </c>
      <c r="O17" s="15"/>
    </row>
    <row r="18" spans="1:15" x14ac:dyDescent="0.25">
      <c r="A18" s="26" t="s">
        <v>77</v>
      </c>
      <c r="B18" s="2">
        <f t="shared" si="0"/>
        <v>17</v>
      </c>
      <c r="C18" s="16">
        <v>2</v>
      </c>
      <c r="D18" s="2">
        <v>2025</v>
      </c>
      <c r="E18" s="9">
        <f>Submetering!E18+Submetering!F18+Submetering!G18</f>
        <v>15523</v>
      </c>
      <c r="F18" s="17">
        <v>0.2</v>
      </c>
      <c r="G18" s="9">
        <f>'Feb 2025'!T21</f>
        <v>41.1723</v>
      </c>
      <c r="H18" s="18">
        <v>17.62</v>
      </c>
      <c r="I18" s="9">
        <f>Submetering!H18</f>
        <v>108</v>
      </c>
      <c r="J18" s="17">
        <v>7.84</v>
      </c>
      <c r="K18" s="19">
        <f>'Feb 2025'!X21</f>
        <v>6255.59</v>
      </c>
      <c r="L18" s="168">
        <v>0.34489999999999998</v>
      </c>
      <c r="M18" s="9">
        <f>Submetering!N18</f>
        <v>315</v>
      </c>
      <c r="N18" s="2">
        <f>Submetering!O18</f>
        <v>341</v>
      </c>
      <c r="O18" s="15"/>
    </row>
    <row r="19" spans="1:15" x14ac:dyDescent="0.25">
      <c r="A19" s="26" t="s">
        <v>77</v>
      </c>
      <c r="B19" s="2">
        <f t="shared" si="0"/>
        <v>18</v>
      </c>
      <c r="C19" s="16">
        <v>2</v>
      </c>
      <c r="D19" s="2">
        <v>2025</v>
      </c>
      <c r="E19" s="9">
        <f>Submetering!E19+Submetering!F19+Submetering!G19</f>
        <v>15541</v>
      </c>
      <c r="F19" s="17">
        <v>0.2</v>
      </c>
      <c r="G19" s="9">
        <f>'Feb 2025'!T22</f>
        <v>42.228000000000002</v>
      </c>
      <c r="H19" s="18">
        <v>17.62</v>
      </c>
      <c r="I19" s="9">
        <f>Submetering!H19</f>
        <v>91</v>
      </c>
      <c r="J19" s="17">
        <v>7.84</v>
      </c>
      <c r="K19" s="19">
        <f>'Feb 2025'!X22</f>
        <v>6255.59</v>
      </c>
      <c r="L19" s="168">
        <v>0.34489999999999998</v>
      </c>
      <c r="M19" s="9">
        <f>Submetering!N19</f>
        <v>315</v>
      </c>
      <c r="N19" s="2">
        <f>Submetering!O19</f>
        <v>338</v>
      </c>
      <c r="O19" s="15"/>
    </row>
    <row r="20" spans="1:15" x14ac:dyDescent="0.25">
      <c r="A20" s="26" t="s">
        <v>77</v>
      </c>
      <c r="B20" s="2">
        <f t="shared" si="0"/>
        <v>19</v>
      </c>
      <c r="C20" s="16">
        <v>2</v>
      </c>
      <c r="D20" s="2">
        <v>2025</v>
      </c>
      <c r="E20" s="9">
        <f>Submetering!E20+Submetering!F20+Submetering!G20</f>
        <v>16036</v>
      </c>
      <c r="F20" s="17">
        <v>0.2</v>
      </c>
      <c r="G20" s="9">
        <f>'Feb 2025'!T23</f>
        <v>42.228000000000002</v>
      </c>
      <c r="H20" s="18">
        <v>17.62</v>
      </c>
      <c r="I20" s="9">
        <f>Submetering!H20</f>
        <v>98</v>
      </c>
      <c r="J20" s="17">
        <v>7.84</v>
      </c>
      <c r="K20" s="19">
        <f>'Feb 2025'!X23</f>
        <v>5971.2450000000008</v>
      </c>
      <c r="L20" s="168">
        <v>0.34489999999999998</v>
      </c>
      <c r="M20" s="9">
        <f>Submetering!N20</f>
        <v>313.99200000000002</v>
      </c>
      <c r="N20" s="2">
        <f>Submetering!O20</f>
        <v>342</v>
      </c>
      <c r="O20" s="15"/>
    </row>
    <row r="21" spans="1:15" x14ac:dyDescent="0.25">
      <c r="A21" s="26" t="s">
        <v>77</v>
      </c>
      <c r="B21" s="2">
        <f t="shared" si="0"/>
        <v>20</v>
      </c>
      <c r="C21" s="16">
        <v>2</v>
      </c>
      <c r="D21" s="2">
        <v>2025</v>
      </c>
      <c r="E21" s="9">
        <f>Submetering!E21+Submetering!F21+Submetering!G21</f>
        <v>15372</v>
      </c>
      <c r="F21" s="17">
        <v>0.2</v>
      </c>
      <c r="G21" s="9">
        <f>'Feb 2025'!T24</f>
        <v>46.450800000000001</v>
      </c>
      <c r="H21" s="18">
        <v>17.62</v>
      </c>
      <c r="I21" s="9">
        <f>Submetering!H21</f>
        <v>105</v>
      </c>
      <c r="J21" s="17">
        <v>7.84</v>
      </c>
      <c r="K21" s="19">
        <f>'Feb 2025'!X24</f>
        <v>5686.9000000000005</v>
      </c>
      <c r="L21" s="168">
        <v>0.34489999999999998</v>
      </c>
      <c r="M21" s="9">
        <f>Submetering!N21</f>
        <v>284.00399999999996</v>
      </c>
      <c r="N21" s="2">
        <f>Submetering!O21</f>
        <v>320</v>
      </c>
      <c r="O21" s="15"/>
    </row>
    <row r="22" spans="1:15" x14ac:dyDescent="0.25">
      <c r="A22" s="26" t="s">
        <v>77</v>
      </c>
      <c r="B22" s="2">
        <f t="shared" si="0"/>
        <v>21</v>
      </c>
      <c r="C22" s="16">
        <v>2</v>
      </c>
      <c r="D22" s="2">
        <v>2025</v>
      </c>
      <c r="E22" s="9">
        <f>Submetering!E22+Submetering!F22+Submetering!G22</f>
        <v>15492</v>
      </c>
      <c r="F22" s="17">
        <v>0.2</v>
      </c>
      <c r="G22" s="9">
        <f>'Feb 2025'!T25</f>
        <v>36.9495</v>
      </c>
      <c r="H22" s="18">
        <v>17.62</v>
      </c>
      <c r="I22" s="9">
        <f>Submetering!H22</f>
        <v>91</v>
      </c>
      <c r="J22" s="17">
        <v>7.84</v>
      </c>
      <c r="K22" s="19">
        <f>'Feb 2025'!X25</f>
        <v>7392.9700000000012</v>
      </c>
      <c r="L22" s="168">
        <v>0.34489999999999998</v>
      </c>
      <c r="M22" s="9">
        <f>Submetering!N22</f>
        <v>272.0025</v>
      </c>
      <c r="N22" s="2">
        <f>Submetering!O22</f>
        <v>354</v>
      </c>
      <c r="O22" s="15"/>
    </row>
    <row r="23" spans="1:15" x14ac:dyDescent="0.25">
      <c r="A23" s="26" t="s">
        <v>77</v>
      </c>
      <c r="B23" s="2">
        <f t="shared" si="0"/>
        <v>22</v>
      </c>
      <c r="C23" s="16">
        <v>2</v>
      </c>
      <c r="D23" s="2">
        <v>2025</v>
      </c>
      <c r="E23" s="9">
        <f>Submetering!E23+Submetering!F23+Submetering!G23</f>
        <v>15716</v>
      </c>
      <c r="F23" s="17">
        <v>0.2</v>
      </c>
      <c r="G23" s="9">
        <f>'Feb 2025'!T26</f>
        <v>34.838100000000004</v>
      </c>
      <c r="H23" s="18">
        <v>17.62</v>
      </c>
      <c r="I23" s="9">
        <f>Submetering!H23</f>
        <v>109</v>
      </c>
      <c r="J23" s="17">
        <v>7.84</v>
      </c>
      <c r="K23" s="19">
        <f>'Feb 2025'!X26</f>
        <v>7108.6250000000009</v>
      </c>
      <c r="L23" s="168">
        <v>0.34489999999999998</v>
      </c>
      <c r="M23" s="9">
        <f>Submetering!N23</f>
        <v>242.0145</v>
      </c>
      <c r="N23" s="2">
        <f>Submetering!O23</f>
        <v>336</v>
      </c>
      <c r="O23" s="15"/>
    </row>
    <row r="24" spans="1:15" x14ac:dyDescent="0.25">
      <c r="A24" s="26" t="s">
        <v>77</v>
      </c>
      <c r="B24" s="2">
        <f t="shared" si="0"/>
        <v>23</v>
      </c>
      <c r="C24" s="16">
        <v>2</v>
      </c>
      <c r="D24" s="2">
        <v>2025</v>
      </c>
      <c r="E24" s="9">
        <f>Submetering!E24+Submetering!F24+Submetering!G24</f>
        <v>15486</v>
      </c>
      <c r="F24" s="17">
        <v>0.2</v>
      </c>
      <c r="G24" s="9">
        <f>'Feb 2025'!T27</f>
        <v>32.726700000000001</v>
      </c>
      <c r="H24" s="18">
        <v>17.62</v>
      </c>
      <c r="I24" s="9">
        <f>Submetering!H24</f>
        <v>97</v>
      </c>
      <c r="J24" s="17">
        <v>7.84</v>
      </c>
      <c r="K24" s="19">
        <f>'Feb 2025'!X27</f>
        <v>7961.6600000000008</v>
      </c>
      <c r="L24" s="168">
        <v>0.34489999999999998</v>
      </c>
      <c r="M24" s="9">
        <f>Submetering!N24</f>
        <v>233.00550000000001</v>
      </c>
      <c r="N24" s="2">
        <f>Submetering!O24</f>
        <v>311</v>
      </c>
      <c r="O24" s="15"/>
    </row>
    <row r="25" spans="1:15" x14ac:dyDescent="0.25">
      <c r="A25" s="26" t="s">
        <v>77</v>
      </c>
      <c r="B25" s="2">
        <f t="shared" si="0"/>
        <v>24</v>
      </c>
      <c r="C25" s="16">
        <v>2</v>
      </c>
      <c r="D25" s="2">
        <v>2025</v>
      </c>
      <c r="E25" s="9">
        <f>Submetering!E25+Submetering!F25+Submetering!G25</f>
        <v>15655</v>
      </c>
      <c r="F25" s="17">
        <v>0.2</v>
      </c>
      <c r="G25" s="9">
        <f>'Feb 2025'!T28</f>
        <v>30.615300000000001</v>
      </c>
      <c r="H25" s="18">
        <v>17.62</v>
      </c>
      <c r="I25" s="9">
        <f>Submetering!H25</f>
        <v>103</v>
      </c>
      <c r="J25" s="17">
        <v>7.84</v>
      </c>
      <c r="K25" s="19">
        <f>'Feb 2025'!X28</f>
        <v>7392.9700000000012</v>
      </c>
      <c r="L25" s="168">
        <v>0.34489999999999998</v>
      </c>
      <c r="M25" s="9">
        <f>Submetering!N25</f>
        <v>252</v>
      </c>
      <c r="N25" s="2">
        <f>Submetering!O25</f>
        <v>317</v>
      </c>
      <c r="O25" s="15"/>
    </row>
    <row r="26" spans="1:15" x14ac:dyDescent="0.25">
      <c r="A26" s="26" t="s">
        <v>77</v>
      </c>
      <c r="B26" s="2">
        <f t="shared" si="0"/>
        <v>25</v>
      </c>
      <c r="C26" s="16">
        <v>2</v>
      </c>
      <c r="D26" s="2">
        <v>2025</v>
      </c>
      <c r="E26" s="9">
        <f>Submetering!E26+Submetering!F26+Submetering!G26</f>
        <v>16213</v>
      </c>
      <c r="F26" s="17">
        <v>0.2</v>
      </c>
      <c r="G26" s="9">
        <f>'Feb 2025'!T29</f>
        <v>32.726700000000001</v>
      </c>
      <c r="H26" s="18">
        <v>17.62</v>
      </c>
      <c r="I26" s="9">
        <f>Submetering!H26</f>
        <v>86</v>
      </c>
      <c r="J26" s="17">
        <v>7.84</v>
      </c>
      <c r="K26" s="19">
        <f>'Feb 2025'!X29</f>
        <v>6255.59</v>
      </c>
      <c r="L26" s="168">
        <v>0.34489999999999998</v>
      </c>
      <c r="M26" s="9">
        <f>Submetering!N26</f>
        <v>292.005</v>
      </c>
      <c r="N26" s="2">
        <f>Submetering!O26</f>
        <v>364</v>
      </c>
      <c r="O26" s="15"/>
    </row>
    <row r="27" spans="1:15" x14ac:dyDescent="0.25">
      <c r="A27" s="26" t="s">
        <v>77</v>
      </c>
      <c r="B27" s="2">
        <f t="shared" si="0"/>
        <v>26</v>
      </c>
      <c r="C27" s="16">
        <v>2</v>
      </c>
      <c r="D27" s="2">
        <v>2025</v>
      </c>
      <c r="E27" s="9">
        <f>Submetering!E27+Submetering!F27+Submetering!G27</f>
        <v>15881</v>
      </c>
      <c r="F27" s="17">
        <v>0.2</v>
      </c>
      <c r="G27" s="9">
        <f>'Feb 2025'!T30</f>
        <v>32.726700000000001</v>
      </c>
      <c r="H27" s="18">
        <v>17.62</v>
      </c>
      <c r="I27" s="9">
        <f>Submetering!H27</f>
        <v>109</v>
      </c>
      <c r="J27" s="17">
        <v>7.84</v>
      </c>
      <c r="K27" s="19">
        <f>'Feb 2025'!X30</f>
        <v>4833.8650000000007</v>
      </c>
      <c r="L27" s="168">
        <v>0.34489999999999998</v>
      </c>
      <c r="M27" s="9">
        <f>Submetering!N27</f>
        <v>298.99799999999999</v>
      </c>
      <c r="N27" s="2">
        <f>Submetering!O27</f>
        <v>380</v>
      </c>
      <c r="O27" s="15"/>
    </row>
    <row r="28" spans="1:15" x14ac:dyDescent="0.25">
      <c r="A28" s="26" t="s">
        <v>77</v>
      </c>
      <c r="B28" s="2">
        <f t="shared" si="0"/>
        <v>27</v>
      </c>
      <c r="C28" s="16">
        <v>2</v>
      </c>
      <c r="D28" s="2">
        <v>2025</v>
      </c>
      <c r="E28" s="9">
        <f>Submetering!E28+Submetering!F28+Submetering!G28</f>
        <v>15637</v>
      </c>
      <c r="F28" s="17">
        <v>0.2</v>
      </c>
      <c r="G28" s="9">
        <f>'Feb 2025'!T31</f>
        <v>31.671000000000003</v>
      </c>
      <c r="H28" s="18">
        <v>17.62</v>
      </c>
      <c r="I28" s="9">
        <f>Submetering!H28</f>
        <v>98</v>
      </c>
      <c r="J28" s="17">
        <v>7.84</v>
      </c>
      <c r="K28" s="19">
        <f>'Feb 2025'!X31</f>
        <v>4833.8650000000007</v>
      </c>
      <c r="L28" s="168">
        <v>0.34489999999999998</v>
      </c>
      <c r="M28" s="9">
        <f>Submetering!N28</f>
        <v>250.99199999999999</v>
      </c>
      <c r="N28" s="2">
        <f>Submetering!O28</f>
        <v>316</v>
      </c>
      <c r="O28" s="15"/>
    </row>
    <row r="29" spans="1:15" x14ac:dyDescent="0.25">
      <c r="A29" s="26" t="s">
        <v>77</v>
      </c>
      <c r="B29" s="2">
        <f t="shared" si="0"/>
        <v>28</v>
      </c>
      <c r="C29" s="16">
        <v>2</v>
      </c>
      <c r="D29" s="2">
        <v>2025</v>
      </c>
      <c r="E29" s="9">
        <f>Submetering!E29+Submetering!F29+Submetering!G29</f>
        <v>15433</v>
      </c>
      <c r="F29" s="17">
        <v>0.2</v>
      </c>
      <c r="G29" s="9">
        <f>'Feb 2025'!T32</f>
        <v>33.782400000000003</v>
      </c>
      <c r="H29" s="18">
        <v>17.62</v>
      </c>
      <c r="I29" s="9">
        <f>Submetering!H29</f>
        <v>91</v>
      </c>
      <c r="J29" s="17">
        <v>7.84</v>
      </c>
      <c r="K29" s="19">
        <f>'Feb 2025'!X32</f>
        <v>5118.2100000000009</v>
      </c>
      <c r="L29" s="168">
        <v>0.34489999999999998</v>
      </c>
      <c r="M29" s="9">
        <f>Submetering!N29</f>
        <v>159.98850000000002</v>
      </c>
      <c r="N29" s="2">
        <f>Submetering!O29</f>
        <v>205</v>
      </c>
      <c r="O29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29"/>
  <sheetViews>
    <sheetView workbookViewId="0">
      <selection activeCell="N16" sqref="N16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67</v>
      </c>
      <c r="B1" s="15" t="s">
        <v>68</v>
      </c>
      <c r="C1" s="21" t="s">
        <v>69</v>
      </c>
      <c r="D1" s="15" t="s">
        <v>70</v>
      </c>
      <c r="E1" s="22" t="s">
        <v>78</v>
      </c>
      <c r="F1" s="23" t="s">
        <v>79</v>
      </c>
      <c r="G1" s="22" t="s">
        <v>80</v>
      </c>
      <c r="H1" s="22" t="s">
        <v>81</v>
      </c>
      <c r="I1" s="23" t="s">
        <v>82</v>
      </c>
      <c r="J1" s="23" t="s">
        <v>83</v>
      </c>
      <c r="K1" s="24" t="s">
        <v>2</v>
      </c>
      <c r="L1" s="24" t="s">
        <v>84</v>
      </c>
      <c r="M1" s="22" t="s">
        <v>85</v>
      </c>
      <c r="N1" s="24" t="s">
        <v>75</v>
      </c>
      <c r="O1" s="22" t="s">
        <v>76</v>
      </c>
    </row>
    <row r="2" spans="1:15" x14ac:dyDescent="0.25">
      <c r="A2" s="26" t="s">
        <v>77</v>
      </c>
      <c r="B2" s="2">
        <v>1</v>
      </c>
      <c r="C2" s="16">
        <v>2</v>
      </c>
      <c r="D2" s="2">
        <v>2025</v>
      </c>
      <c r="E2" s="9">
        <f>'Feb 2025'!C5</f>
        <v>7911</v>
      </c>
      <c r="F2" s="9">
        <f>'Feb 2025'!E5</f>
        <v>7968</v>
      </c>
      <c r="G2" s="9">
        <f>'Feb 2025'!G5</f>
        <v>145</v>
      </c>
      <c r="H2" s="9">
        <f>'Feb 2025'!K5</f>
        <v>129</v>
      </c>
      <c r="I2" s="9">
        <f>'Feb 2025'!N5</f>
        <v>19</v>
      </c>
      <c r="J2" s="9">
        <f>'Feb 2025'!P5</f>
        <v>13</v>
      </c>
      <c r="K2" s="9">
        <f>'Feb 2025'!X5</f>
        <v>5118.2100000000009</v>
      </c>
      <c r="L2" s="9">
        <f>'Feb 2025'!AC5</f>
        <v>5258</v>
      </c>
      <c r="M2" s="9">
        <f>'Feb 2025'!AS5</f>
        <v>10</v>
      </c>
      <c r="N2" s="9">
        <f>'Feb 2025'!AE5*315</f>
        <v>286.99650000000003</v>
      </c>
      <c r="O2" s="139">
        <f>'Feb 2025'!AF5</f>
        <v>440</v>
      </c>
    </row>
    <row r="3" spans="1:15" x14ac:dyDescent="0.25">
      <c r="A3" s="26" t="s">
        <v>77</v>
      </c>
      <c r="B3" s="2">
        <f t="shared" ref="B3:B29" si="0">B2+1</f>
        <v>2</v>
      </c>
      <c r="C3" s="16">
        <v>2</v>
      </c>
      <c r="D3" s="2">
        <v>2025</v>
      </c>
      <c r="E3" s="9">
        <f>'Feb 2025'!C6</f>
        <v>7945</v>
      </c>
      <c r="F3" s="9">
        <f>'Feb 2025'!E6</f>
        <v>8083</v>
      </c>
      <c r="G3" s="9">
        <f>'Feb 2025'!G6</f>
        <v>144</v>
      </c>
      <c r="H3" s="9">
        <f>'Feb 2025'!K6</f>
        <v>109</v>
      </c>
      <c r="I3" s="9">
        <f>'Feb 2025'!N6</f>
        <v>19</v>
      </c>
      <c r="J3" s="9">
        <f>'Feb 2025'!P6</f>
        <v>14</v>
      </c>
      <c r="K3" s="9">
        <f>'Feb 2025'!X6</f>
        <v>5971.2450000000008</v>
      </c>
      <c r="L3" s="9">
        <f>'Feb 2025'!AC6</f>
        <v>5297</v>
      </c>
      <c r="M3" s="9">
        <f>'Feb 2025'!AS6</f>
        <v>10</v>
      </c>
      <c r="N3" s="9">
        <f>'Feb 2025'!AE6*315</f>
        <v>269.98649999999998</v>
      </c>
      <c r="O3" s="139">
        <f>'Feb 2025'!AF6</f>
        <v>392</v>
      </c>
    </row>
    <row r="4" spans="1:15" x14ac:dyDescent="0.25">
      <c r="A4" s="26" t="s">
        <v>77</v>
      </c>
      <c r="B4" s="2">
        <f t="shared" si="0"/>
        <v>3</v>
      </c>
      <c r="C4" s="16">
        <v>2</v>
      </c>
      <c r="D4" s="2">
        <v>2025</v>
      </c>
      <c r="E4" s="9">
        <f>'Feb 2025'!C7</f>
        <v>7935</v>
      </c>
      <c r="F4" s="9">
        <f>'Feb 2025'!E7</f>
        <v>8237</v>
      </c>
      <c r="G4" s="9">
        <f>'Feb 2025'!G7</f>
        <v>138</v>
      </c>
      <c r="H4" s="9">
        <f>'Feb 2025'!K7</f>
        <v>105</v>
      </c>
      <c r="I4" s="9">
        <f>'Feb 2025'!N7</f>
        <v>18</v>
      </c>
      <c r="J4" s="9">
        <f>'Feb 2025'!P7</f>
        <v>14</v>
      </c>
      <c r="K4" s="9">
        <f>'Feb 2025'!X7</f>
        <v>6255.59</v>
      </c>
      <c r="L4" s="9">
        <f>'Feb 2025'!AC7</f>
        <v>5469</v>
      </c>
      <c r="M4" s="9">
        <f>'Feb 2025'!AS7</f>
        <v>8</v>
      </c>
      <c r="N4" s="9">
        <f>'Feb 2025'!AE7*315</f>
        <v>290.99699999999996</v>
      </c>
      <c r="O4" s="139">
        <f>'Feb 2025'!AF7</f>
        <v>393</v>
      </c>
    </row>
    <row r="5" spans="1:15" x14ac:dyDescent="0.25">
      <c r="A5" s="26" t="s">
        <v>77</v>
      </c>
      <c r="B5" s="2">
        <f t="shared" si="0"/>
        <v>4</v>
      </c>
      <c r="C5" s="16">
        <v>2</v>
      </c>
      <c r="D5" s="2">
        <v>2025</v>
      </c>
      <c r="E5" s="9">
        <f>'Feb 2025'!C8</f>
        <v>7931</v>
      </c>
      <c r="F5" s="9">
        <f>'Feb 2025'!E8</f>
        <v>8235</v>
      </c>
      <c r="G5" s="9">
        <f>'Feb 2025'!G8</f>
        <v>143</v>
      </c>
      <c r="H5" s="9">
        <f>'Feb 2025'!K8</f>
        <v>108</v>
      </c>
      <c r="I5" s="9">
        <f>'Feb 2025'!N8</f>
        <v>19</v>
      </c>
      <c r="J5" s="9">
        <f>'Feb 2025'!P8</f>
        <v>11</v>
      </c>
      <c r="K5" s="9">
        <f>'Feb 2025'!X8</f>
        <v>5686.9000000000005</v>
      </c>
      <c r="L5" s="9">
        <f>'Feb 2025'!AC8</f>
        <v>5523</v>
      </c>
      <c r="M5" s="9">
        <f>'Feb 2025'!AS8</f>
        <v>10</v>
      </c>
      <c r="N5" s="9">
        <f>'Feb 2025'!AE8*315</f>
        <v>306.99900000000002</v>
      </c>
      <c r="O5" s="139">
        <f>'Feb 2025'!AF8</f>
        <v>428</v>
      </c>
    </row>
    <row r="6" spans="1:15" x14ac:dyDescent="0.25">
      <c r="A6" s="26" t="s">
        <v>77</v>
      </c>
      <c r="B6" s="2">
        <f t="shared" si="0"/>
        <v>5</v>
      </c>
      <c r="C6" s="16">
        <v>2</v>
      </c>
      <c r="D6" s="2">
        <v>2025</v>
      </c>
      <c r="E6" s="9">
        <f>'Feb 2025'!C9</f>
        <v>7829</v>
      </c>
      <c r="F6" s="9">
        <f>'Feb 2025'!E9</f>
        <v>8169</v>
      </c>
      <c r="G6" s="9">
        <f>'Feb 2025'!G9</f>
        <v>143</v>
      </c>
      <c r="H6" s="9">
        <f>'Feb 2025'!K9</f>
        <v>111</v>
      </c>
      <c r="I6" s="9">
        <f>'Feb 2025'!N9</f>
        <v>18</v>
      </c>
      <c r="J6" s="9">
        <f>'Feb 2025'!P9</f>
        <v>14</v>
      </c>
      <c r="K6" s="9">
        <f>'Feb 2025'!X9</f>
        <v>5402.5550000000003</v>
      </c>
      <c r="L6" s="9">
        <f>'Feb 2025'!AC9</f>
        <v>5442</v>
      </c>
      <c r="M6" s="9">
        <f>'Feb 2025'!AS9</f>
        <v>11</v>
      </c>
      <c r="N6" s="9">
        <f>'Feb 2025'!AE9*315</f>
        <v>312.00749999999999</v>
      </c>
      <c r="O6" s="139">
        <f>'Feb 2025'!AF9</f>
        <v>448</v>
      </c>
    </row>
    <row r="7" spans="1:15" x14ac:dyDescent="0.25">
      <c r="A7" s="26" t="s">
        <v>77</v>
      </c>
      <c r="B7" s="2">
        <f t="shared" si="0"/>
        <v>6</v>
      </c>
      <c r="C7" s="16">
        <v>2</v>
      </c>
      <c r="D7" s="2">
        <v>2025</v>
      </c>
      <c r="E7" s="9">
        <f>'Feb 2025'!C10</f>
        <v>7877</v>
      </c>
      <c r="F7" s="9">
        <f>'Feb 2025'!E10</f>
        <v>8204</v>
      </c>
      <c r="G7" s="9">
        <f>'Feb 2025'!G10</f>
        <v>148</v>
      </c>
      <c r="H7" s="9">
        <f>'Feb 2025'!K10</f>
        <v>106</v>
      </c>
      <c r="I7" s="9">
        <f>'Feb 2025'!N10</f>
        <v>19</v>
      </c>
      <c r="J7" s="9">
        <f>'Feb 2025'!P10</f>
        <v>16</v>
      </c>
      <c r="K7" s="9">
        <f>'Feb 2025'!X10</f>
        <v>5686.9000000000005</v>
      </c>
      <c r="L7" s="9">
        <f>'Feb 2025'!AC10</f>
        <v>5573</v>
      </c>
      <c r="M7" s="9">
        <f>'Feb 2025'!AS10</f>
        <v>10</v>
      </c>
      <c r="N7" s="9">
        <f>'Feb 2025'!AE10*315</f>
        <v>308.00700000000001</v>
      </c>
      <c r="O7" s="139">
        <f>'Feb 2025'!AF10</f>
        <v>437</v>
      </c>
    </row>
    <row r="8" spans="1:15" x14ac:dyDescent="0.25">
      <c r="A8" s="26" t="s">
        <v>77</v>
      </c>
      <c r="B8" s="2">
        <f t="shared" si="0"/>
        <v>7</v>
      </c>
      <c r="C8" s="16">
        <v>2</v>
      </c>
      <c r="D8" s="2">
        <v>2025</v>
      </c>
      <c r="E8" s="9">
        <f>'Feb 2025'!C11</f>
        <v>7802</v>
      </c>
      <c r="F8" s="9">
        <f>'Feb 2025'!E11</f>
        <v>8030</v>
      </c>
      <c r="G8" s="9">
        <f>'Feb 2025'!G11</f>
        <v>146</v>
      </c>
      <c r="H8" s="9">
        <f>'Feb 2025'!K11</f>
        <v>121</v>
      </c>
      <c r="I8" s="9">
        <f>'Feb 2025'!N11</f>
        <v>19</v>
      </c>
      <c r="J8" s="9">
        <f>'Feb 2025'!P11</f>
        <v>14</v>
      </c>
      <c r="K8" s="9">
        <f>'Feb 2025'!X11</f>
        <v>5402.5550000000003</v>
      </c>
      <c r="L8" s="9">
        <f>'Feb 2025'!AC11</f>
        <v>5849</v>
      </c>
      <c r="M8" s="9">
        <f>'Feb 2025'!AS11</f>
        <v>7</v>
      </c>
      <c r="N8" s="9">
        <f>'Feb 2025'!AE11*315</f>
        <v>304.00649999999996</v>
      </c>
      <c r="O8" s="139">
        <f>'Feb 2025'!AF11</f>
        <v>467</v>
      </c>
    </row>
    <row r="9" spans="1:15" x14ac:dyDescent="0.25">
      <c r="A9" s="26" t="s">
        <v>77</v>
      </c>
      <c r="B9" s="2">
        <f t="shared" si="0"/>
        <v>8</v>
      </c>
      <c r="C9" s="16">
        <v>2</v>
      </c>
      <c r="D9" s="2">
        <v>2025</v>
      </c>
      <c r="E9" s="9">
        <f>'Feb 2025'!C12</f>
        <v>7902</v>
      </c>
      <c r="F9" s="9">
        <f>'Feb 2025'!E12</f>
        <v>7953</v>
      </c>
      <c r="G9" s="9">
        <f>'Feb 2025'!G12</f>
        <v>123</v>
      </c>
      <c r="H9" s="9">
        <f>'Feb 2025'!K12</f>
        <v>115</v>
      </c>
      <c r="I9" s="9">
        <f>'Feb 2025'!N12</f>
        <v>20</v>
      </c>
      <c r="J9" s="9">
        <f>'Feb 2025'!P12</f>
        <v>14</v>
      </c>
      <c r="K9" s="9">
        <f>'Feb 2025'!X12</f>
        <v>5686.9000000000005</v>
      </c>
      <c r="L9" s="9">
        <f>'Feb 2025'!AC12</f>
        <v>5650</v>
      </c>
      <c r="M9" s="9">
        <f>'Feb 2025'!AS12</f>
        <v>13</v>
      </c>
      <c r="N9" s="9">
        <f>'Feb 2025'!AE12*315</f>
        <v>298.99799999999999</v>
      </c>
      <c r="O9" s="139">
        <f>'Feb 2025'!AF12</f>
        <v>452</v>
      </c>
    </row>
    <row r="10" spans="1:15" x14ac:dyDescent="0.25">
      <c r="A10" s="26" t="s">
        <v>77</v>
      </c>
      <c r="B10" s="2">
        <f t="shared" si="0"/>
        <v>9</v>
      </c>
      <c r="C10" s="16">
        <v>2</v>
      </c>
      <c r="D10" s="2">
        <v>2025</v>
      </c>
      <c r="E10" s="9">
        <f>'Feb 2025'!C13</f>
        <v>7905</v>
      </c>
      <c r="F10" s="9">
        <f>'Feb 2025'!E13</f>
        <v>7952</v>
      </c>
      <c r="G10" s="9">
        <f>'Feb 2025'!G13</f>
        <v>136</v>
      </c>
      <c r="H10" s="9">
        <f>'Feb 2025'!K13</f>
        <v>107</v>
      </c>
      <c r="I10" s="9">
        <f>'Feb 2025'!N13</f>
        <v>19</v>
      </c>
      <c r="J10" s="9">
        <f>'Feb 2025'!P13</f>
        <v>15</v>
      </c>
      <c r="K10" s="9">
        <f>'Feb 2025'!X13</f>
        <v>5402.5550000000003</v>
      </c>
      <c r="L10" s="9">
        <f>'Feb 2025'!AC13</f>
        <v>5185</v>
      </c>
      <c r="M10" s="9">
        <f>'Feb 2025'!AS13</f>
        <v>4</v>
      </c>
      <c r="N10" s="9">
        <f>'Feb 2025'!AE13*315</f>
        <v>258.99299999999999</v>
      </c>
      <c r="O10" s="139">
        <f>'Feb 2025'!AF13</f>
        <v>346</v>
      </c>
    </row>
    <row r="11" spans="1:15" x14ac:dyDescent="0.25">
      <c r="A11" s="26" t="s">
        <v>77</v>
      </c>
      <c r="B11" s="2">
        <f t="shared" si="0"/>
        <v>10</v>
      </c>
      <c r="C11" s="16">
        <v>2</v>
      </c>
      <c r="D11" s="2">
        <v>2025</v>
      </c>
      <c r="E11" s="9">
        <f>'Feb 2025'!C14</f>
        <v>7754</v>
      </c>
      <c r="F11" s="9">
        <f>'Feb 2025'!E14</f>
        <v>7770</v>
      </c>
      <c r="G11" s="9">
        <f>'Feb 2025'!G14</f>
        <v>130</v>
      </c>
      <c r="H11" s="9">
        <f>'Feb 2025'!K14</f>
        <v>110</v>
      </c>
      <c r="I11" s="9">
        <f>'Feb 2025'!N14</f>
        <v>18</v>
      </c>
      <c r="J11" s="9">
        <f>'Feb 2025'!P14</f>
        <v>14</v>
      </c>
      <c r="K11" s="9">
        <f>'Feb 2025'!X14</f>
        <v>4833.8650000000007</v>
      </c>
      <c r="L11" s="9">
        <f>'Feb 2025'!AC14</f>
        <v>5215</v>
      </c>
      <c r="M11" s="9">
        <f>'Feb 2025'!AS14</f>
        <v>8</v>
      </c>
      <c r="N11" s="9">
        <f>'Feb 2025'!AE14*315</f>
        <v>297.01349999999996</v>
      </c>
      <c r="O11" s="139">
        <f>'Feb 2025'!AF14</f>
        <v>405</v>
      </c>
    </row>
    <row r="12" spans="1:15" x14ac:dyDescent="0.25">
      <c r="A12" s="26" t="s">
        <v>77</v>
      </c>
      <c r="B12" s="2">
        <f t="shared" si="0"/>
        <v>11</v>
      </c>
      <c r="C12" s="16">
        <v>2</v>
      </c>
      <c r="D12" s="2">
        <v>2025</v>
      </c>
      <c r="E12" s="9">
        <f>'Feb 2025'!C15</f>
        <v>7746</v>
      </c>
      <c r="F12" s="9">
        <f>'Feb 2025'!E15</f>
        <v>7568</v>
      </c>
      <c r="G12" s="9">
        <f>'Feb 2025'!G15</f>
        <v>129</v>
      </c>
      <c r="H12" s="9">
        <f>'Feb 2025'!K15</f>
        <v>111</v>
      </c>
      <c r="I12" s="9">
        <f>'Feb 2025'!N15</f>
        <v>18</v>
      </c>
      <c r="J12" s="9">
        <f>'Feb 2025'!P15</f>
        <v>14</v>
      </c>
      <c r="K12" s="9">
        <f>'Feb 2025'!X15</f>
        <v>5118.2100000000009</v>
      </c>
      <c r="L12" s="9">
        <f>'Feb 2025'!AC15</f>
        <v>5521</v>
      </c>
      <c r="M12" s="9">
        <f>'Feb 2025'!AS15</f>
        <v>8</v>
      </c>
      <c r="N12" s="9">
        <f>'Feb 2025'!AE15*315</f>
        <v>293.98950000000002</v>
      </c>
      <c r="O12" s="139">
        <f>'Feb 2025'!AF15</f>
        <v>387</v>
      </c>
    </row>
    <row r="13" spans="1:15" x14ac:dyDescent="0.25">
      <c r="A13" s="26" t="s">
        <v>77</v>
      </c>
      <c r="B13" s="2">
        <f t="shared" si="0"/>
        <v>12</v>
      </c>
      <c r="C13" s="16">
        <v>2</v>
      </c>
      <c r="D13" s="2">
        <v>2025</v>
      </c>
      <c r="E13" s="9">
        <f>'Feb 2025'!C16</f>
        <v>7677</v>
      </c>
      <c r="F13" s="9">
        <f>'Feb 2025'!E16</f>
        <v>7589</v>
      </c>
      <c r="G13" s="9">
        <f>'Feb 2025'!G16</f>
        <v>137</v>
      </c>
      <c r="H13" s="9">
        <f>'Feb 2025'!K16</f>
        <v>95</v>
      </c>
      <c r="I13" s="9">
        <f>'Feb 2025'!N16</f>
        <v>18</v>
      </c>
      <c r="J13" s="9">
        <f>'Feb 2025'!P16</f>
        <v>13</v>
      </c>
      <c r="K13" s="9">
        <f>'Feb 2025'!X16</f>
        <v>5971.2450000000008</v>
      </c>
      <c r="L13" s="9">
        <f>'Feb 2025'!AC16</f>
        <v>6213</v>
      </c>
      <c r="M13" s="9">
        <f>'Feb 2025'!AS16</f>
        <v>11</v>
      </c>
      <c r="N13" s="9">
        <f>'Feb 2025'!AE16*315</f>
        <v>301.01400000000001</v>
      </c>
      <c r="O13" s="139">
        <f>'Feb 2025'!AF16</f>
        <v>385</v>
      </c>
    </row>
    <row r="14" spans="1:15" x14ac:dyDescent="0.25">
      <c r="A14" s="26" t="s">
        <v>77</v>
      </c>
      <c r="B14" s="2">
        <f t="shared" si="0"/>
        <v>13</v>
      </c>
      <c r="C14" s="16">
        <v>2</v>
      </c>
      <c r="D14" s="2">
        <v>2025</v>
      </c>
      <c r="E14" s="9">
        <f>'Feb 2025'!C17</f>
        <v>7582</v>
      </c>
      <c r="F14" s="9">
        <f>'Feb 2025'!E17</f>
        <v>7470</v>
      </c>
      <c r="G14" s="9">
        <f>'Feb 2025'!G17</f>
        <v>139</v>
      </c>
      <c r="H14" s="9">
        <f>'Feb 2025'!K17</f>
        <v>107</v>
      </c>
      <c r="I14" s="9">
        <f>'Feb 2025'!N17</f>
        <v>19</v>
      </c>
      <c r="J14" s="9">
        <f>'Feb 2025'!P17</f>
        <v>14</v>
      </c>
      <c r="K14" s="9">
        <f>'Feb 2025'!X17</f>
        <v>5971.2450000000008</v>
      </c>
      <c r="L14" s="9">
        <f>'Feb 2025'!AC17</f>
        <v>6748</v>
      </c>
      <c r="M14" s="9">
        <f>'Feb 2025'!AS17</f>
        <v>8</v>
      </c>
      <c r="N14" s="9">
        <f>'Feb 2025'!AE17*315</f>
        <v>315</v>
      </c>
      <c r="O14" s="139">
        <f>'Feb 2025'!AF17</f>
        <v>421</v>
      </c>
    </row>
    <row r="15" spans="1:15" x14ac:dyDescent="0.25">
      <c r="A15" s="26" t="s">
        <v>77</v>
      </c>
      <c r="B15" s="2">
        <f t="shared" si="0"/>
        <v>14</v>
      </c>
      <c r="C15" s="16">
        <v>2</v>
      </c>
      <c r="D15" s="2">
        <v>2025</v>
      </c>
      <c r="E15" s="9">
        <f>'Feb 2025'!C18</f>
        <v>7796</v>
      </c>
      <c r="F15" s="9">
        <f>'Feb 2025'!E18</f>
        <v>7682</v>
      </c>
      <c r="G15" s="9">
        <f>'Feb 2025'!G18</f>
        <v>127</v>
      </c>
      <c r="H15" s="9">
        <f>'Feb 2025'!K18</f>
        <v>112</v>
      </c>
      <c r="I15" s="9">
        <f>'Feb 2025'!N18</f>
        <v>20</v>
      </c>
      <c r="J15" s="9">
        <f>'Feb 2025'!P18</f>
        <v>14</v>
      </c>
      <c r="K15" s="9">
        <f>'Feb 2025'!X18</f>
        <v>6255.59</v>
      </c>
      <c r="L15" s="9">
        <f>'Feb 2025'!AC18</f>
        <v>7135</v>
      </c>
      <c r="M15" s="9">
        <f>'Feb 2025'!AS18</f>
        <v>7</v>
      </c>
      <c r="N15" s="9">
        <f>'Feb 2025'!AE18*315</f>
        <v>297.99</v>
      </c>
      <c r="O15" s="139">
        <f>'Feb 2025'!AF18</f>
        <v>431</v>
      </c>
    </row>
    <row r="16" spans="1:15" x14ac:dyDescent="0.25">
      <c r="A16" s="26" t="s">
        <v>77</v>
      </c>
      <c r="B16" s="2">
        <f t="shared" si="0"/>
        <v>15</v>
      </c>
      <c r="C16" s="16">
        <v>2</v>
      </c>
      <c r="D16" s="2">
        <v>2025</v>
      </c>
      <c r="E16" s="9">
        <f>'Feb 2025'!C19</f>
        <v>7400</v>
      </c>
      <c r="F16" s="9">
        <f>'Feb 2025'!E19</f>
        <v>7380</v>
      </c>
      <c r="G16" s="9">
        <f>'Feb 2025'!G19</f>
        <v>124</v>
      </c>
      <c r="H16" s="9">
        <f>'Feb 2025'!K19</f>
        <v>106</v>
      </c>
      <c r="I16" s="9">
        <f>'Feb 2025'!N19</f>
        <v>20</v>
      </c>
      <c r="J16" s="9">
        <f>'Feb 2025'!P19</f>
        <v>13</v>
      </c>
      <c r="K16" s="9">
        <f>'Feb 2025'!X19</f>
        <v>5971.2450000000008</v>
      </c>
      <c r="L16" s="9">
        <f>'Feb 2025'!AC19</f>
        <v>6509</v>
      </c>
      <c r="M16" s="9">
        <f>'Feb 2025'!AS19</f>
        <v>5</v>
      </c>
      <c r="N16" s="9">
        <f>'Feb 2025'!AE19*315</f>
        <v>304.00649999999996</v>
      </c>
      <c r="O16" s="139">
        <f>'Feb 2025'!AF19</f>
        <v>415</v>
      </c>
    </row>
    <row r="17" spans="1:15" x14ac:dyDescent="0.25">
      <c r="A17" s="26" t="s">
        <v>77</v>
      </c>
      <c r="B17" s="2">
        <f t="shared" si="0"/>
        <v>16</v>
      </c>
      <c r="C17" s="16">
        <v>2</v>
      </c>
      <c r="D17" s="2">
        <v>2025</v>
      </c>
      <c r="E17" s="9">
        <f>'Feb 2025'!C20</f>
        <v>7787</v>
      </c>
      <c r="F17" s="9">
        <f>'Feb 2025'!E20</f>
        <v>7545</v>
      </c>
      <c r="G17" s="9">
        <f>'Feb 2025'!G20</f>
        <v>124</v>
      </c>
      <c r="H17" s="9">
        <f>'Feb 2025'!K20</f>
        <v>95</v>
      </c>
      <c r="I17" s="9">
        <f>'Feb 2025'!N20</f>
        <v>23</v>
      </c>
      <c r="J17" s="9">
        <f>'Feb 2025'!P20</f>
        <v>14</v>
      </c>
      <c r="K17" s="9">
        <f>'Feb 2025'!X20</f>
        <v>6255.59</v>
      </c>
      <c r="L17" s="9">
        <f>'Feb 2025'!AC20</f>
        <v>6588</v>
      </c>
      <c r="M17" s="9">
        <f>'Feb 2025'!AS20</f>
        <v>5</v>
      </c>
      <c r="N17" s="9">
        <f>'Feb 2025'!AE20*315</f>
        <v>274.995</v>
      </c>
      <c r="O17" s="139">
        <f>'Feb 2025'!AF20</f>
        <v>298</v>
      </c>
    </row>
    <row r="18" spans="1:15" x14ac:dyDescent="0.25">
      <c r="A18" s="26" t="s">
        <v>77</v>
      </c>
      <c r="B18" s="2">
        <f t="shared" si="0"/>
        <v>17</v>
      </c>
      <c r="C18" s="16">
        <v>2</v>
      </c>
      <c r="D18" s="2">
        <v>2025</v>
      </c>
      <c r="E18" s="9">
        <f>'Feb 2025'!C21</f>
        <v>7803</v>
      </c>
      <c r="F18" s="9">
        <f>'Feb 2025'!E21</f>
        <v>7594</v>
      </c>
      <c r="G18" s="9">
        <f>'Feb 2025'!G21</f>
        <v>126</v>
      </c>
      <c r="H18" s="9">
        <f>'Feb 2025'!K21</f>
        <v>108</v>
      </c>
      <c r="I18" s="9">
        <f>'Feb 2025'!N21</f>
        <v>25</v>
      </c>
      <c r="J18" s="9">
        <f>'Feb 2025'!P21</f>
        <v>16</v>
      </c>
      <c r="K18" s="9">
        <f>'Feb 2025'!X21</f>
        <v>6255.59</v>
      </c>
      <c r="L18" s="9">
        <f>'Feb 2025'!AC21</f>
        <v>6716</v>
      </c>
      <c r="M18" s="9">
        <f>'Feb 2025'!AS21</f>
        <v>5</v>
      </c>
      <c r="N18" s="9">
        <f>'Feb 2025'!AE21*315</f>
        <v>315</v>
      </c>
      <c r="O18" s="139">
        <f>'Feb 2025'!AF21</f>
        <v>341</v>
      </c>
    </row>
    <row r="19" spans="1:15" x14ac:dyDescent="0.25">
      <c r="A19" s="26" t="s">
        <v>77</v>
      </c>
      <c r="B19" s="2">
        <f t="shared" si="0"/>
        <v>18</v>
      </c>
      <c r="C19" s="16">
        <v>2</v>
      </c>
      <c r="D19" s="2">
        <v>2025</v>
      </c>
      <c r="E19" s="9">
        <f>'Feb 2025'!C22</f>
        <v>7680</v>
      </c>
      <c r="F19" s="9">
        <f>'Feb 2025'!E22</f>
        <v>7738</v>
      </c>
      <c r="G19" s="9">
        <f>'Feb 2025'!G22</f>
        <v>123</v>
      </c>
      <c r="H19" s="9">
        <f>'Feb 2025'!K22</f>
        <v>91</v>
      </c>
      <c r="I19" s="9">
        <f>'Feb 2025'!N22</f>
        <v>24</v>
      </c>
      <c r="J19" s="9">
        <f>'Feb 2025'!P22</f>
        <v>16</v>
      </c>
      <c r="K19" s="9">
        <f>'Feb 2025'!X22</f>
        <v>6255.59</v>
      </c>
      <c r="L19" s="9">
        <f>'Feb 2025'!AC22</f>
        <v>6907</v>
      </c>
      <c r="M19" s="9">
        <f>'Feb 2025'!AS22</f>
        <v>5</v>
      </c>
      <c r="N19" s="9">
        <f>'Feb 2025'!AE22*315</f>
        <v>315</v>
      </c>
      <c r="O19" s="139">
        <f>'Feb 2025'!AF22</f>
        <v>338</v>
      </c>
    </row>
    <row r="20" spans="1:15" x14ac:dyDescent="0.25">
      <c r="A20" s="26" t="s">
        <v>77</v>
      </c>
      <c r="B20" s="2">
        <f t="shared" si="0"/>
        <v>19</v>
      </c>
      <c r="C20" s="16">
        <v>2</v>
      </c>
      <c r="D20" s="2">
        <v>2025</v>
      </c>
      <c r="E20" s="9">
        <f>'Feb 2025'!C23</f>
        <v>8045</v>
      </c>
      <c r="F20" s="9">
        <f>'Feb 2025'!E23</f>
        <v>7858</v>
      </c>
      <c r="G20" s="9">
        <f>'Feb 2025'!G23</f>
        <v>133</v>
      </c>
      <c r="H20" s="9">
        <f>'Feb 2025'!K23</f>
        <v>98</v>
      </c>
      <c r="I20" s="9">
        <f>'Feb 2025'!N23</f>
        <v>27</v>
      </c>
      <c r="J20" s="9">
        <f>'Feb 2025'!P23</f>
        <v>15</v>
      </c>
      <c r="K20" s="9">
        <f>'Feb 2025'!X23</f>
        <v>5971.2450000000008</v>
      </c>
      <c r="L20" s="9">
        <f>'Feb 2025'!AC23</f>
        <v>6727</v>
      </c>
      <c r="M20" s="9">
        <f>'Feb 2025'!AS23</f>
        <v>7</v>
      </c>
      <c r="N20" s="9">
        <f>'Feb 2025'!AE23*315</f>
        <v>313.99200000000002</v>
      </c>
      <c r="O20" s="139">
        <f>'Feb 2025'!AF23</f>
        <v>342</v>
      </c>
    </row>
    <row r="21" spans="1:15" x14ac:dyDescent="0.25">
      <c r="A21" s="26" t="s">
        <v>77</v>
      </c>
      <c r="B21" s="2">
        <f t="shared" si="0"/>
        <v>20</v>
      </c>
      <c r="C21" s="16">
        <v>2</v>
      </c>
      <c r="D21" s="2">
        <v>2025</v>
      </c>
      <c r="E21" s="9">
        <f>'Feb 2025'!C24</f>
        <v>7771</v>
      </c>
      <c r="F21" s="9">
        <f>'Feb 2025'!E24</f>
        <v>7471</v>
      </c>
      <c r="G21" s="9">
        <f>'Feb 2025'!G24</f>
        <v>130</v>
      </c>
      <c r="H21" s="9">
        <f>'Feb 2025'!K24</f>
        <v>105</v>
      </c>
      <c r="I21" s="9">
        <f>'Feb 2025'!N24</f>
        <v>26</v>
      </c>
      <c r="J21" s="9">
        <f>'Feb 2025'!P24</f>
        <v>18</v>
      </c>
      <c r="K21" s="9">
        <f>'Feb 2025'!X24</f>
        <v>5686.9000000000005</v>
      </c>
      <c r="L21" s="9">
        <f>'Feb 2025'!AC24</f>
        <v>6548</v>
      </c>
      <c r="M21" s="9">
        <f>'Feb 2025'!AS24</f>
        <v>6</v>
      </c>
      <c r="N21" s="9">
        <f>'Feb 2025'!AE24*315</f>
        <v>284.00399999999996</v>
      </c>
      <c r="O21" s="139">
        <f>'Feb 2025'!AF24</f>
        <v>320</v>
      </c>
    </row>
    <row r="22" spans="1:15" x14ac:dyDescent="0.25">
      <c r="A22" s="26" t="s">
        <v>77</v>
      </c>
      <c r="B22" s="2">
        <f t="shared" si="0"/>
        <v>21</v>
      </c>
      <c r="C22" s="16">
        <v>2</v>
      </c>
      <c r="D22" s="2">
        <v>2025</v>
      </c>
      <c r="E22" s="9">
        <f>'Feb 2025'!C25</f>
        <v>7843</v>
      </c>
      <c r="F22" s="9">
        <f>'Feb 2025'!E25</f>
        <v>7514</v>
      </c>
      <c r="G22" s="9">
        <f>'Feb 2025'!G25</f>
        <v>135</v>
      </c>
      <c r="H22" s="9">
        <f>'Feb 2025'!K25</f>
        <v>91</v>
      </c>
      <c r="I22" s="9">
        <f>'Feb 2025'!N25</f>
        <v>24</v>
      </c>
      <c r="J22" s="9">
        <f>'Feb 2025'!P25</f>
        <v>12</v>
      </c>
      <c r="K22" s="9">
        <f>'Feb 2025'!X25</f>
        <v>7392.9700000000012</v>
      </c>
      <c r="L22" s="9">
        <f>'Feb 2025'!AC25</f>
        <v>7414</v>
      </c>
      <c r="M22" s="9">
        <f>'Feb 2025'!AS25</f>
        <v>5</v>
      </c>
      <c r="N22" s="9">
        <f>'Feb 2025'!AE25*315</f>
        <v>272.0025</v>
      </c>
      <c r="O22" s="139">
        <f>'Feb 2025'!AF25</f>
        <v>354</v>
      </c>
    </row>
    <row r="23" spans="1:15" x14ac:dyDescent="0.25">
      <c r="A23" s="26" t="s">
        <v>77</v>
      </c>
      <c r="B23" s="2">
        <f t="shared" si="0"/>
        <v>22</v>
      </c>
      <c r="C23" s="16">
        <v>2</v>
      </c>
      <c r="D23" s="2">
        <v>2025</v>
      </c>
      <c r="E23" s="9">
        <f>'Feb 2025'!C26</f>
        <v>8053</v>
      </c>
      <c r="F23" s="9">
        <f>'Feb 2025'!E26</f>
        <v>7538</v>
      </c>
      <c r="G23" s="9">
        <f>'Feb 2025'!G26</f>
        <v>125</v>
      </c>
      <c r="H23" s="9">
        <f>'Feb 2025'!K26</f>
        <v>109</v>
      </c>
      <c r="I23" s="9">
        <f>'Feb 2025'!N26</f>
        <v>21</v>
      </c>
      <c r="J23" s="9">
        <f>'Feb 2025'!P26</f>
        <v>13</v>
      </c>
      <c r="K23" s="9">
        <f>'Feb 2025'!X26</f>
        <v>7108.6250000000009</v>
      </c>
      <c r="L23" s="9">
        <f>'Feb 2025'!AC26</f>
        <v>7500</v>
      </c>
      <c r="M23" s="9">
        <f>'Feb 2025'!AS26</f>
        <v>4</v>
      </c>
      <c r="N23" s="9">
        <f>'Feb 2025'!AE26*315</f>
        <v>242.0145</v>
      </c>
      <c r="O23" s="139">
        <f>'Feb 2025'!AF26</f>
        <v>336</v>
      </c>
    </row>
    <row r="24" spans="1:15" x14ac:dyDescent="0.25">
      <c r="A24" s="26" t="s">
        <v>77</v>
      </c>
      <c r="B24" s="2">
        <f t="shared" si="0"/>
        <v>23</v>
      </c>
      <c r="C24" s="16">
        <v>2</v>
      </c>
      <c r="D24" s="2">
        <v>2025</v>
      </c>
      <c r="E24" s="9">
        <f>'Feb 2025'!C27</f>
        <v>7797</v>
      </c>
      <c r="F24" s="9">
        <f>'Feb 2025'!E27</f>
        <v>7570</v>
      </c>
      <c r="G24" s="9">
        <f>'Feb 2025'!G27</f>
        <v>119</v>
      </c>
      <c r="H24" s="9">
        <f>'Feb 2025'!K27</f>
        <v>97</v>
      </c>
      <c r="I24" s="9">
        <f>'Feb 2025'!N27</f>
        <v>19</v>
      </c>
      <c r="J24" s="9">
        <f>'Feb 2025'!P27</f>
        <v>13</v>
      </c>
      <c r="K24" s="9">
        <f>'Feb 2025'!X27</f>
        <v>7961.6600000000008</v>
      </c>
      <c r="L24" s="9">
        <f>'Feb 2025'!AC27</f>
        <v>7317</v>
      </c>
      <c r="M24" s="9">
        <f>'Feb 2025'!AS27</f>
        <v>5</v>
      </c>
      <c r="N24" s="9">
        <f>'Feb 2025'!AE27*315</f>
        <v>233.00550000000001</v>
      </c>
      <c r="O24" s="139">
        <f>'Feb 2025'!AF27</f>
        <v>311</v>
      </c>
    </row>
    <row r="25" spans="1:15" x14ac:dyDescent="0.25">
      <c r="A25" s="26" t="s">
        <v>77</v>
      </c>
      <c r="B25" s="2">
        <f t="shared" si="0"/>
        <v>24</v>
      </c>
      <c r="C25" s="16">
        <v>2</v>
      </c>
      <c r="D25" s="2">
        <v>2025</v>
      </c>
      <c r="E25" s="9">
        <f>'Feb 2025'!C28</f>
        <v>7978</v>
      </c>
      <c r="F25" s="9">
        <f>'Feb 2025'!E28</f>
        <v>7558</v>
      </c>
      <c r="G25" s="9">
        <f>'Feb 2025'!G28</f>
        <v>119</v>
      </c>
      <c r="H25" s="9">
        <f>'Feb 2025'!K28</f>
        <v>103</v>
      </c>
      <c r="I25" s="9">
        <f>'Feb 2025'!N28</f>
        <v>18</v>
      </c>
      <c r="J25" s="9">
        <f>'Feb 2025'!P28</f>
        <v>11</v>
      </c>
      <c r="K25" s="9">
        <f>'Feb 2025'!X28</f>
        <v>7392.9700000000012</v>
      </c>
      <c r="L25" s="9">
        <f>'Feb 2025'!AC28</f>
        <v>7462</v>
      </c>
      <c r="M25" s="9">
        <f>'Feb 2025'!AS28</f>
        <v>5</v>
      </c>
      <c r="N25" s="9">
        <f>'Feb 2025'!AE28*315</f>
        <v>252</v>
      </c>
      <c r="O25" s="139">
        <f>'Feb 2025'!AF28</f>
        <v>317</v>
      </c>
    </row>
    <row r="26" spans="1:15" x14ac:dyDescent="0.25">
      <c r="A26" s="26" t="s">
        <v>77</v>
      </c>
      <c r="B26" s="2">
        <f t="shared" si="0"/>
        <v>25</v>
      </c>
      <c r="C26" s="16">
        <v>2</v>
      </c>
      <c r="D26" s="2">
        <v>2025</v>
      </c>
      <c r="E26" s="9">
        <f>'Feb 2025'!C29</f>
        <v>8152</v>
      </c>
      <c r="F26" s="9">
        <f>'Feb 2025'!E29</f>
        <v>7933</v>
      </c>
      <c r="G26" s="9">
        <f>'Feb 2025'!G29</f>
        <v>128</v>
      </c>
      <c r="H26" s="9">
        <f>'Feb 2025'!K29</f>
        <v>86</v>
      </c>
      <c r="I26" s="9">
        <f>'Feb 2025'!N29</f>
        <v>18</v>
      </c>
      <c r="J26" s="9">
        <f>'Feb 2025'!P29</f>
        <v>14</v>
      </c>
      <c r="K26" s="9">
        <f>'Feb 2025'!X29</f>
        <v>6255.59</v>
      </c>
      <c r="L26" s="9">
        <f>'Feb 2025'!AC29</f>
        <v>6393</v>
      </c>
      <c r="M26" s="9">
        <f>'Feb 2025'!AS29</f>
        <v>9</v>
      </c>
      <c r="N26" s="9">
        <f>'Feb 2025'!AE29*315</f>
        <v>292.005</v>
      </c>
      <c r="O26" s="139">
        <f>'Feb 2025'!AF29</f>
        <v>364</v>
      </c>
    </row>
    <row r="27" spans="1:15" x14ac:dyDescent="0.25">
      <c r="A27" s="26" t="s">
        <v>77</v>
      </c>
      <c r="B27" s="2">
        <f t="shared" si="0"/>
        <v>26</v>
      </c>
      <c r="C27" s="16">
        <v>2</v>
      </c>
      <c r="D27" s="2">
        <v>2025</v>
      </c>
      <c r="E27" s="9">
        <f>'Feb 2025'!C30</f>
        <v>7903</v>
      </c>
      <c r="F27" s="9">
        <f>'Feb 2025'!E30</f>
        <v>7854</v>
      </c>
      <c r="G27" s="9">
        <f>'Feb 2025'!G30</f>
        <v>124</v>
      </c>
      <c r="H27" s="9">
        <f>'Feb 2025'!K30</f>
        <v>109</v>
      </c>
      <c r="I27" s="9">
        <f>'Feb 2025'!N30</f>
        <v>19</v>
      </c>
      <c r="J27" s="9">
        <f>'Feb 2025'!P30</f>
        <v>14</v>
      </c>
      <c r="K27" s="9">
        <f>'Feb 2025'!X30</f>
        <v>4833.8650000000007</v>
      </c>
      <c r="L27" s="9">
        <f>'Feb 2025'!AC30</f>
        <v>5166</v>
      </c>
      <c r="M27" s="9">
        <f>'Feb 2025'!AS30</f>
        <v>2</v>
      </c>
      <c r="N27" s="9">
        <f>'Feb 2025'!AE30*315</f>
        <v>298.99799999999999</v>
      </c>
      <c r="O27" s="139">
        <f>'Feb 2025'!AF30</f>
        <v>380</v>
      </c>
    </row>
    <row r="28" spans="1:15" x14ac:dyDescent="0.25">
      <c r="A28" s="26" t="s">
        <v>77</v>
      </c>
      <c r="B28" s="2">
        <f t="shared" si="0"/>
        <v>27</v>
      </c>
      <c r="C28" s="16">
        <v>2</v>
      </c>
      <c r="D28" s="2">
        <v>2025</v>
      </c>
      <c r="E28" s="9">
        <f>'Feb 2025'!C31</f>
        <v>7840</v>
      </c>
      <c r="F28" s="9">
        <f>'Feb 2025'!E31</f>
        <v>7682</v>
      </c>
      <c r="G28" s="9">
        <f>'Feb 2025'!G31</f>
        <v>115</v>
      </c>
      <c r="H28" s="9">
        <f>'Feb 2025'!K31</f>
        <v>98</v>
      </c>
      <c r="I28" s="9">
        <f>'Feb 2025'!N31</f>
        <v>17</v>
      </c>
      <c r="J28" s="9">
        <f>'Feb 2025'!P31</f>
        <v>14</v>
      </c>
      <c r="K28" s="9">
        <f>'Feb 2025'!X31</f>
        <v>4833.8650000000007</v>
      </c>
      <c r="L28" s="9">
        <f>'Feb 2025'!AC31</f>
        <v>5200</v>
      </c>
      <c r="M28" s="9">
        <f>'Feb 2025'!AS31</f>
        <v>4</v>
      </c>
      <c r="N28" s="9">
        <f>'Feb 2025'!AE31*315</f>
        <v>250.99199999999999</v>
      </c>
      <c r="O28" s="139">
        <f>'Feb 2025'!AF31</f>
        <v>316</v>
      </c>
    </row>
    <row r="29" spans="1:15" x14ac:dyDescent="0.25">
      <c r="A29" s="26" t="s">
        <v>77</v>
      </c>
      <c r="B29" s="2">
        <f t="shared" si="0"/>
        <v>28</v>
      </c>
      <c r="C29" s="16">
        <v>2</v>
      </c>
      <c r="D29" s="2">
        <v>2025</v>
      </c>
      <c r="E29" s="9">
        <f>'Feb 2025'!C32</f>
        <v>7685</v>
      </c>
      <c r="F29" s="9">
        <f>'Feb 2025'!E32</f>
        <v>7627</v>
      </c>
      <c r="G29" s="9">
        <f>'Feb 2025'!G32</f>
        <v>121</v>
      </c>
      <c r="H29" s="9">
        <f>'Feb 2025'!K32</f>
        <v>91</v>
      </c>
      <c r="I29" s="9">
        <f>'Feb 2025'!N32</f>
        <v>21</v>
      </c>
      <c r="J29" s="9">
        <f>'Feb 2025'!P32</f>
        <v>12</v>
      </c>
      <c r="K29" s="9">
        <f>'Feb 2025'!X32</f>
        <v>5118.2100000000009</v>
      </c>
      <c r="L29" s="9">
        <f>'Feb 2025'!AC32</f>
        <v>5187</v>
      </c>
      <c r="M29" s="9">
        <f>'Feb 2025'!AS32</f>
        <v>5</v>
      </c>
      <c r="N29" s="9">
        <f>'Feb 2025'!AE32*315</f>
        <v>159.98850000000002</v>
      </c>
      <c r="O29" s="139">
        <f>'Feb 2025'!AF32</f>
        <v>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3DFB-B1BD-4D4A-94D7-C654E32528E6}">
  <sheetPr>
    <pageSetUpPr fitToPage="1"/>
  </sheetPr>
  <dimension ref="A1:FI74"/>
  <sheetViews>
    <sheetView view="pageBreakPreview" zoomScale="80" zoomScaleNormal="80" zoomScaleSheetLayoutView="80" workbookViewId="0">
      <pane ySplit="4" topLeftCell="A5" activePane="bottomLeft" state="frozen"/>
      <selection pane="bottomLeft" activeCell="H20" sqref="H20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52" s="4" customFormat="1" ht="24.95" customHeight="1" thickBot="1" x14ac:dyDescent="0.3">
      <c r="A1" s="209" t="s">
        <v>104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148"/>
      <c r="AG1" s="148"/>
      <c r="AH1" s="148"/>
    </row>
    <row r="2" spans="1:52" s="6" customFormat="1" ht="24.95" customHeight="1" thickBot="1" x14ac:dyDescent="0.35">
      <c r="A2" s="211" t="s">
        <v>0</v>
      </c>
      <c r="B2" s="214" t="s">
        <v>3</v>
      </c>
      <c r="C2" s="215"/>
      <c r="D2" s="215"/>
      <c r="E2" s="215"/>
      <c r="F2" s="215"/>
      <c r="G2" s="215"/>
      <c r="H2" s="215"/>
      <c r="I2" s="216"/>
      <c r="J2" s="217" t="s">
        <v>4</v>
      </c>
      <c r="K2" s="218"/>
      <c r="L2" s="218"/>
      <c r="M2" s="219" t="s">
        <v>49</v>
      </c>
      <c r="N2" s="220"/>
      <c r="O2" s="220"/>
      <c r="P2" s="220"/>
      <c r="Q2" s="220"/>
      <c r="R2" s="220"/>
      <c r="S2" s="220"/>
      <c r="T2" s="220"/>
      <c r="U2" s="221"/>
      <c r="V2" s="222" t="s">
        <v>2</v>
      </c>
      <c r="W2" s="223"/>
      <c r="X2" s="223"/>
      <c r="Y2" s="223"/>
      <c r="Z2" s="223"/>
      <c r="AA2" s="223"/>
      <c r="AB2" s="223"/>
      <c r="AC2" s="223"/>
      <c r="AD2" s="224"/>
      <c r="AE2" s="225" t="s">
        <v>17</v>
      </c>
      <c r="AF2" s="226"/>
      <c r="AG2" s="225" t="s">
        <v>55</v>
      </c>
      <c r="AH2" s="235"/>
      <c r="AI2" s="235"/>
      <c r="AJ2" s="235"/>
      <c r="AK2" s="235"/>
      <c r="AL2" s="235"/>
      <c r="AM2" s="235"/>
      <c r="AN2" s="235"/>
      <c r="AO2" s="235"/>
      <c r="AP2" s="235"/>
      <c r="AQ2" s="235"/>
      <c r="AR2" s="235"/>
      <c r="AS2" s="235"/>
      <c r="AT2" s="235"/>
      <c r="AU2" s="235"/>
      <c r="AV2" s="235"/>
      <c r="AW2" s="235"/>
      <c r="AX2" s="235"/>
      <c r="AY2" s="235"/>
      <c r="AZ2" s="226"/>
    </row>
    <row r="3" spans="1:52" s="5" customFormat="1" ht="36.75" customHeight="1" x14ac:dyDescent="0.25">
      <c r="A3" s="212"/>
      <c r="B3" s="236" t="s">
        <v>36</v>
      </c>
      <c r="C3" s="237"/>
      <c r="D3" s="238" t="s">
        <v>37</v>
      </c>
      <c r="E3" s="239"/>
      <c r="F3" s="238" t="s">
        <v>38</v>
      </c>
      <c r="G3" s="239"/>
      <c r="H3" s="237" t="s">
        <v>20</v>
      </c>
      <c r="I3" s="241" t="s">
        <v>7</v>
      </c>
      <c r="J3" s="243" t="s">
        <v>21</v>
      </c>
      <c r="K3" s="245" t="s">
        <v>22</v>
      </c>
      <c r="L3" s="247" t="s">
        <v>6</v>
      </c>
      <c r="M3" s="249" t="s">
        <v>34</v>
      </c>
      <c r="N3" s="227"/>
      <c r="O3" s="227" t="s">
        <v>35</v>
      </c>
      <c r="P3" s="227"/>
      <c r="Q3" s="227" t="s">
        <v>39</v>
      </c>
      <c r="R3" s="227" t="s">
        <v>32</v>
      </c>
      <c r="S3" s="227" t="s">
        <v>33</v>
      </c>
      <c r="T3" s="272" t="s">
        <v>18</v>
      </c>
      <c r="U3" s="229" t="s">
        <v>31</v>
      </c>
      <c r="V3" s="231" t="s">
        <v>23</v>
      </c>
      <c r="W3" s="233" t="s">
        <v>8</v>
      </c>
      <c r="X3" s="233" t="s">
        <v>9</v>
      </c>
      <c r="Y3" s="233" t="s">
        <v>10</v>
      </c>
      <c r="Z3" s="233" t="s">
        <v>11</v>
      </c>
      <c r="AA3" s="233" t="s">
        <v>12</v>
      </c>
      <c r="AB3" s="233" t="s">
        <v>92</v>
      </c>
      <c r="AC3" s="233" t="s">
        <v>93</v>
      </c>
      <c r="AD3" s="270" t="s">
        <v>96</v>
      </c>
      <c r="AE3" s="266" t="s">
        <v>59</v>
      </c>
      <c r="AF3" s="268" t="s">
        <v>19</v>
      </c>
      <c r="AG3" s="251" t="s">
        <v>94</v>
      </c>
      <c r="AH3" s="252"/>
      <c r="AI3" s="250" t="s">
        <v>60</v>
      </c>
      <c r="AJ3" s="251"/>
      <c r="AK3" s="252"/>
      <c r="AL3" s="253" t="s">
        <v>61</v>
      </c>
      <c r="AM3" s="251"/>
      <c r="AN3" s="252"/>
      <c r="AO3" s="250" t="s">
        <v>62</v>
      </c>
      <c r="AP3" s="251"/>
      <c r="AQ3" s="252"/>
      <c r="AR3" s="250" t="s">
        <v>63</v>
      </c>
      <c r="AS3" s="251"/>
      <c r="AT3" s="252"/>
      <c r="AU3" s="250" t="s">
        <v>65</v>
      </c>
      <c r="AV3" s="251"/>
      <c r="AW3" s="252"/>
      <c r="AX3" s="251" t="s">
        <v>64</v>
      </c>
      <c r="AY3" s="251"/>
      <c r="AZ3" s="252"/>
    </row>
    <row r="4" spans="1:52" s="5" customFormat="1" ht="36.75" customHeight="1" thickBot="1" x14ac:dyDescent="0.3">
      <c r="A4" s="213"/>
      <c r="B4" s="104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05" t="s">
        <v>5</v>
      </c>
      <c r="H4" s="240"/>
      <c r="I4" s="242"/>
      <c r="J4" s="244"/>
      <c r="K4" s="246"/>
      <c r="L4" s="248"/>
      <c r="M4" s="106" t="s">
        <v>1</v>
      </c>
      <c r="N4" s="46" t="s">
        <v>5</v>
      </c>
      <c r="O4" s="46" t="s">
        <v>1</v>
      </c>
      <c r="P4" s="46" t="s">
        <v>5</v>
      </c>
      <c r="Q4" s="228"/>
      <c r="R4" s="228"/>
      <c r="S4" s="228"/>
      <c r="T4" s="273"/>
      <c r="U4" s="230"/>
      <c r="V4" s="232"/>
      <c r="W4" s="234"/>
      <c r="X4" s="234"/>
      <c r="Y4" s="234"/>
      <c r="Z4" s="234"/>
      <c r="AA4" s="234"/>
      <c r="AB4" s="234"/>
      <c r="AC4" s="234"/>
      <c r="AD4" s="271"/>
      <c r="AE4" s="267"/>
      <c r="AF4" s="269"/>
      <c r="AG4" s="154" t="s">
        <v>57</v>
      </c>
      <c r="AH4" s="153" t="s">
        <v>95</v>
      </c>
      <c r="AI4" s="152" t="s">
        <v>57</v>
      </c>
      <c r="AJ4" s="153" t="s">
        <v>58</v>
      </c>
      <c r="AK4" s="142" t="s">
        <v>13</v>
      </c>
      <c r="AL4" s="153" t="s">
        <v>57</v>
      </c>
      <c r="AM4" s="153" t="s">
        <v>58</v>
      </c>
      <c r="AN4" s="142" t="s">
        <v>13</v>
      </c>
      <c r="AO4" s="152" t="s">
        <v>57</v>
      </c>
      <c r="AP4" s="153" t="s">
        <v>58</v>
      </c>
      <c r="AQ4" s="142" t="s">
        <v>13</v>
      </c>
      <c r="AR4" s="152" t="s">
        <v>57</v>
      </c>
      <c r="AS4" s="153" t="s">
        <v>56</v>
      </c>
      <c r="AT4" s="142" t="s">
        <v>13</v>
      </c>
      <c r="AU4" s="152" t="s">
        <v>57</v>
      </c>
      <c r="AV4" s="153" t="s">
        <v>56</v>
      </c>
      <c r="AW4" s="142" t="s">
        <v>13</v>
      </c>
      <c r="AX4" s="154" t="s">
        <v>57</v>
      </c>
      <c r="AY4" s="153" t="s">
        <v>56</v>
      </c>
      <c r="AZ4" s="142" t="s">
        <v>13</v>
      </c>
    </row>
    <row r="5" spans="1:52" s="3" customFormat="1" ht="27.95" customHeight="1" x14ac:dyDescent="0.25">
      <c r="A5" s="98">
        <v>45689</v>
      </c>
      <c r="B5" s="91">
        <v>21261749</v>
      </c>
      <c r="C5" s="97">
        <v>7911</v>
      </c>
      <c r="D5" s="89">
        <v>21956026</v>
      </c>
      <c r="E5" s="97">
        <v>7968</v>
      </c>
      <c r="F5" s="89">
        <v>488706</v>
      </c>
      <c r="G5" s="97">
        <v>145</v>
      </c>
      <c r="H5" s="99">
        <f t="shared" ref="H5:H32" si="0">C5+E5+G5</f>
        <v>16024</v>
      </c>
      <c r="I5" s="100">
        <f t="shared" ref="I5:I32" si="1">H5*0.2</f>
        <v>3204.8</v>
      </c>
      <c r="J5" s="91">
        <v>109213</v>
      </c>
      <c r="K5" s="97">
        <v>129</v>
      </c>
      <c r="L5" s="101">
        <f t="shared" ref="L5:L32" si="2">K5*7.84</f>
        <v>1011.36</v>
      </c>
      <c r="M5" s="88">
        <v>41274</v>
      </c>
      <c r="N5" s="97">
        <v>19</v>
      </c>
      <c r="O5" s="89">
        <v>24741</v>
      </c>
      <c r="P5" s="102">
        <v>13</v>
      </c>
      <c r="Q5" s="92">
        <f>N5+P5</f>
        <v>32</v>
      </c>
      <c r="R5" s="93">
        <v>61984</v>
      </c>
      <c r="S5" s="102">
        <v>31</v>
      </c>
      <c r="T5" s="102">
        <f>S5*1.0557</f>
        <v>32.726700000000001</v>
      </c>
      <c r="U5" s="101">
        <f>IF(ISBLANK(M5),"0",T5*11.05+232.14)</f>
        <v>593.77003500000001</v>
      </c>
      <c r="V5" s="185">
        <v>77300</v>
      </c>
      <c r="W5" s="138">
        <v>18</v>
      </c>
      <c r="X5" s="186">
        <f>IF(ISBLANK(V5),"0 ",W5*284.345)</f>
        <v>5118.2100000000009</v>
      </c>
      <c r="Y5" s="186">
        <f>X5*0.3449</f>
        <v>1765.2706290000003</v>
      </c>
      <c r="Z5" s="186">
        <f>IF(ISBLANK(V5),"0",1570*1608.73/12/28*0.65)</f>
        <v>4886.0385863095235</v>
      </c>
      <c r="AA5" s="187">
        <f>Y5+Z5</f>
        <v>6651.309215309524</v>
      </c>
      <c r="AB5" s="93">
        <v>978653</v>
      </c>
      <c r="AC5" s="188">
        <v>5258</v>
      </c>
      <c r="AD5" s="189">
        <f>IF(ISBLANK(V5),"0 ",AC5/284.345)</f>
        <v>18.491621094093443</v>
      </c>
      <c r="AE5" s="172">
        <v>0.91110000000000002</v>
      </c>
      <c r="AF5" s="103">
        <v>440</v>
      </c>
      <c r="AG5" s="173">
        <v>20784</v>
      </c>
      <c r="AH5" s="190">
        <v>3</v>
      </c>
      <c r="AI5" s="88">
        <v>14928561</v>
      </c>
      <c r="AJ5" s="138">
        <v>4451</v>
      </c>
      <c r="AK5" s="151">
        <f>AJ5*0.2</f>
        <v>890.2</v>
      </c>
      <c r="AL5" s="88">
        <v>6839125</v>
      </c>
      <c r="AM5" s="138">
        <v>2082</v>
      </c>
      <c r="AN5" s="151">
        <f>AM5*0.2</f>
        <v>416.40000000000003</v>
      </c>
      <c r="AO5" s="91">
        <v>242885</v>
      </c>
      <c r="AP5" s="97">
        <v>281</v>
      </c>
      <c r="AQ5" s="94">
        <f>AP5*0.2</f>
        <v>56.2</v>
      </c>
      <c r="AR5" s="91">
        <v>8631</v>
      </c>
      <c r="AS5" s="97">
        <v>10</v>
      </c>
      <c r="AT5" s="139">
        <f>AS5*7.84</f>
        <v>78.400000000000006</v>
      </c>
      <c r="AU5" s="88">
        <v>3285</v>
      </c>
      <c r="AV5" s="97">
        <v>1</v>
      </c>
      <c r="AW5" s="103">
        <f>AV5*7.84</f>
        <v>7.84</v>
      </c>
      <c r="AX5" s="145">
        <v>154</v>
      </c>
      <c r="AY5" s="97">
        <v>1</v>
      </c>
      <c r="AZ5" s="103">
        <f>AY5*7.84</f>
        <v>7.84</v>
      </c>
    </row>
    <row r="6" spans="1:52" s="3" customFormat="1" ht="27.95" customHeight="1" x14ac:dyDescent="0.25">
      <c r="A6" s="98">
        <v>45690</v>
      </c>
      <c r="B6" s="91">
        <v>21269694</v>
      </c>
      <c r="C6" s="89">
        <f t="shared" ref="C6:C32" si="3">IF(ISBLANK(B6),"0",B6-B5)</f>
        <v>7945</v>
      </c>
      <c r="D6" s="89">
        <v>21964109</v>
      </c>
      <c r="E6" s="89">
        <f t="shared" ref="E6:E32" si="4">IF(ISBLANK(D6),"0",D6-D5)</f>
        <v>8083</v>
      </c>
      <c r="F6" s="89">
        <v>488850</v>
      </c>
      <c r="G6" s="89">
        <f>IF(ISBLANK(F6),"0",F6-F5)</f>
        <v>144</v>
      </c>
      <c r="H6" s="90">
        <f t="shared" si="0"/>
        <v>16172</v>
      </c>
      <c r="I6" s="109">
        <f t="shared" si="1"/>
        <v>3234.4</v>
      </c>
      <c r="J6" s="91">
        <v>109322</v>
      </c>
      <c r="K6" s="89">
        <f>IF(ISBLANK(J6),"0",J6-J5)</f>
        <v>109</v>
      </c>
      <c r="L6" s="75">
        <f t="shared" si="2"/>
        <v>854.56</v>
      </c>
      <c r="M6" s="88">
        <v>41293</v>
      </c>
      <c r="N6" s="89">
        <f>IF(ISBLANK(M6),"0",M6-M5)</f>
        <v>19</v>
      </c>
      <c r="O6" s="89">
        <v>24755</v>
      </c>
      <c r="P6" s="92">
        <f>IF(ISBLANK(O6),"0",O6-O5)</f>
        <v>14</v>
      </c>
      <c r="Q6" s="92">
        <f t="shared" ref="Q6:Q32" si="5">N6+P6</f>
        <v>33</v>
      </c>
      <c r="R6" s="93">
        <v>62015</v>
      </c>
      <c r="S6" s="92">
        <f>IF(ISBLANK(R6),"0",R6-R5)</f>
        <v>31</v>
      </c>
      <c r="T6" s="102">
        <f t="shared" ref="T6:T32" si="6">S6*1.0557</f>
        <v>32.726700000000001</v>
      </c>
      <c r="U6" s="101">
        <f t="shared" ref="U6:U32" si="7">IF(ISBLANK(M6),"0",T6*11.05+232.14)</f>
        <v>593.77003500000001</v>
      </c>
      <c r="V6" s="143">
        <v>77321</v>
      </c>
      <c r="W6" s="191">
        <f>IF(ISBLANK(V6),"0",V6-V5)</f>
        <v>21</v>
      </c>
      <c r="X6" s="192">
        <f>IF(ISBLANK(V6),"0 ",W6*284.345)</f>
        <v>5971.2450000000008</v>
      </c>
      <c r="Y6" s="193">
        <f t="shared" ref="Y6:Y32" si="8">X6*0.3449</f>
        <v>2059.4824005</v>
      </c>
      <c r="Z6" s="193">
        <f>IF(ISBLANK(V6),"0",1570*1608.73/12/28*0.65)</f>
        <v>4886.0385863095235</v>
      </c>
      <c r="AA6" s="194">
        <f t="shared" ref="AA6:AA32" si="9">Y6+Z6</f>
        <v>6945.5209868095235</v>
      </c>
      <c r="AB6" s="93">
        <v>983950</v>
      </c>
      <c r="AC6" s="93">
        <f t="shared" ref="AC6:AC32" si="10">IF(ISBLANK(AB6),"0 ",AB6-AB5)</f>
        <v>5297</v>
      </c>
      <c r="AD6" s="195">
        <f t="shared" ref="AD6:AD32" si="11">IF(ISBLANK(V6),"0 ",AC6/284.345)</f>
        <v>18.62877842058063</v>
      </c>
      <c r="AE6" s="174">
        <v>0.85709999999999997</v>
      </c>
      <c r="AF6" s="94">
        <v>392</v>
      </c>
      <c r="AG6" s="175">
        <v>20788</v>
      </c>
      <c r="AH6" s="140">
        <f>IF(ISBLANK(V6),"0 ",AG6-AG5)</f>
        <v>4</v>
      </c>
      <c r="AI6" s="88">
        <v>14933193</v>
      </c>
      <c r="AJ6" s="89">
        <f>IF(ISBLANK(AI6),"0",AI6-AI5)</f>
        <v>4632</v>
      </c>
      <c r="AK6" s="94">
        <f>AJ6*0.2</f>
        <v>926.40000000000009</v>
      </c>
      <c r="AL6" s="88">
        <v>6841223</v>
      </c>
      <c r="AM6" s="89">
        <f>IF(ISBLANK(AL6),"0",AL6-AL5)</f>
        <v>2098</v>
      </c>
      <c r="AN6" s="94">
        <f>AM6*0.2</f>
        <v>419.6</v>
      </c>
      <c r="AO6" s="91">
        <v>243391</v>
      </c>
      <c r="AP6" s="89">
        <f>IF(ISBLANK(AO6),"0",AO6-AO5)</f>
        <v>506</v>
      </c>
      <c r="AQ6" s="94">
        <f>AP6*0.2</f>
        <v>101.2</v>
      </c>
      <c r="AR6" s="91">
        <v>8641</v>
      </c>
      <c r="AS6" s="89">
        <f>IF(ISBLANK(AR6),"0",AR6-AR5)</f>
        <v>10</v>
      </c>
      <c r="AT6" s="140">
        <f>AS6*7.84</f>
        <v>78.400000000000006</v>
      </c>
      <c r="AU6" s="88">
        <v>3286</v>
      </c>
      <c r="AV6" s="89">
        <f>IF(ISBLANK(AU6),"0",AU6-AU5)</f>
        <v>1</v>
      </c>
      <c r="AW6" s="94">
        <f t="shared" ref="AW6:AW32" si="12">AV6*7.84</f>
        <v>7.84</v>
      </c>
      <c r="AX6" s="88">
        <v>155</v>
      </c>
      <c r="AY6" s="89">
        <f>IF(ISBLANK(AX6),"0",AX6-AX5)</f>
        <v>1</v>
      </c>
      <c r="AZ6" s="94">
        <f>AY6*7.84</f>
        <v>7.84</v>
      </c>
    </row>
    <row r="7" spans="1:52" s="3" customFormat="1" ht="27.95" customHeight="1" x14ac:dyDescent="0.25">
      <c r="A7" s="98">
        <v>45691</v>
      </c>
      <c r="B7" s="91">
        <v>21277629</v>
      </c>
      <c r="C7" s="89">
        <f t="shared" si="3"/>
        <v>7935</v>
      </c>
      <c r="D7" s="89">
        <v>21972346</v>
      </c>
      <c r="E7" s="89">
        <f t="shared" si="4"/>
        <v>8237</v>
      </c>
      <c r="F7" s="89">
        <v>488988</v>
      </c>
      <c r="G7" s="89">
        <f t="shared" ref="G7:G32" si="13">IF(ISBLANK(F7),"0",F7-F6)</f>
        <v>138</v>
      </c>
      <c r="H7" s="90">
        <f t="shared" si="0"/>
        <v>16310</v>
      </c>
      <c r="I7" s="109">
        <f t="shared" si="1"/>
        <v>3262</v>
      </c>
      <c r="J7" s="91">
        <v>109427</v>
      </c>
      <c r="K7" s="89">
        <f t="shared" ref="K7:K32" si="14">IF(ISBLANK(J7),"0",J7-J6)</f>
        <v>105</v>
      </c>
      <c r="L7" s="75">
        <f t="shared" si="2"/>
        <v>823.19999999999993</v>
      </c>
      <c r="M7" s="88">
        <v>41311</v>
      </c>
      <c r="N7" s="89">
        <f t="shared" ref="N7:N32" si="15">IF(ISBLANK(M7),"0",M7-M6)</f>
        <v>18</v>
      </c>
      <c r="O7" s="89">
        <v>24769</v>
      </c>
      <c r="P7" s="92">
        <f t="shared" ref="P7:P32" si="16">IF(ISBLANK(O7),"0",O7-O6)</f>
        <v>14</v>
      </c>
      <c r="Q7" s="92">
        <f t="shared" si="5"/>
        <v>32</v>
      </c>
      <c r="R7" s="93">
        <v>62046</v>
      </c>
      <c r="S7" s="92">
        <f t="shared" ref="S7:S32" si="17">IF(ISBLANK(R7),"0",R7-R6)</f>
        <v>31</v>
      </c>
      <c r="T7" s="102">
        <f t="shared" si="6"/>
        <v>32.726700000000001</v>
      </c>
      <c r="U7" s="101">
        <f t="shared" si="7"/>
        <v>593.77003500000001</v>
      </c>
      <c r="V7" s="143">
        <v>77343</v>
      </c>
      <c r="W7" s="191">
        <f t="shared" ref="W7:W32" si="18">IF(ISBLANK(V7),"0",V7-V6)</f>
        <v>22</v>
      </c>
      <c r="X7" s="192">
        <f t="shared" ref="X7:X32" si="19">IF(ISBLANK(V7),"0 ",W7*284.345)</f>
        <v>6255.59</v>
      </c>
      <c r="Y7" s="193">
        <f t="shared" si="8"/>
        <v>2157.552991</v>
      </c>
      <c r="Z7" s="193">
        <f t="shared" ref="Z7:Z32" si="20">IF(ISBLANK(V7),"0",1570*1608.73/12/28*0.65)</f>
        <v>4886.0385863095235</v>
      </c>
      <c r="AA7" s="194">
        <f t="shared" si="9"/>
        <v>7043.5915773095239</v>
      </c>
      <c r="AB7" s="93">
        <v>989419</v>
      </c>
      <c r="AC7" s="93">
        <f t="shared" si="10"/>
        <v>5469</v>
      </c>
      <c r="AD7" s="195">
        <f t="shared" si="11"/>
        <v>19.23367739893439</v>
      </c>
      <c r="AE7" s="174">
        <v>0.92379999999999995</v>
      </c>
      <c r="AF7" s="94">
        <v>393</v>
      </c>
      <c r="AG7" s="175">
        <v>20792</v>
      </c>
      <c r="AH7" s="140">
        <f t="shared" ref="AH7:AH32" si="21">IF(ISBLANK(V7),"0 ",AG7-AG6)</f>
        <v>4</v>
      </c>
      <c r="AI7" s="88">
        <v>14938713</v>
      </c>
      <c r="AJ7" s="89">
        <f t="shared" ref="AJ7:AJ32" si="22">IF(ISBLANK(AI7),"0",AI7-AI6)</f>
        <v>5520</v>
      </c>
      <c r="AK7" s="94">
        <f t="shared" ref="AK7:AK32" si="23">AJ7*0.2</f>
        <v>1104</v>
      </c>
      <c r="AL7" s="88">
        <v>6843451</v>
      </c>
      <c r="AM7" s="89">
        <f t="shared" ref="AM7:AM32" si="24">IF(ISBLANK(AL7),"0",AL7-AL6)</f>
        <v>2228</v>
      </c>
      <c r="AN7" s="94">
        <f t="shared" ref="AN7:AN32" si="25">AM7*0.2</f>
        <v>445.6</v>
      </c>
      <c r="AO7" s="91">
        <v>243962</v>
      </c>
      <c r="AP7" s="89">
        <f t="shared" ref="AP7:AP32" si="26">IF(ISBLANK(AO7),"0",AO7-AO6)</f>
        <v>571</v>
      </c>
      <c r="AQ7" s="94">
        <f t="shared" ref="AQ7:AQ32" si="27">AP7*0.2</f>
        <v>114.2</v>
      </c>
      <c r="AR7" s="91">
        <v>8649</v>
      </c>
      <c r="AS7" s="89">
        <f t="shared" ref="AS7:AS32" si="28">IF(ISBLANK(AR7),"0",AR7-AR6)</f>
        <v>8</v>
      </c>
      <c r="AT7" s="140">
        <f t="shared" ref="AT7:AT32" si="29">AS7*7.84</f>
        <v>62.72</v>
      </c>
      <c r="AU7" s="88">
        <v>3287</v>
      </c>
      <c r="AV7" s="89">
        <f t="shared" ref="AV7:AV32" si="30">IF(ISBLANK(AU7),"0",AU7-AU6)</f>
        <v>1</v>
      </c>
      <c r="AW7" s="94">
        <f t="shared" si="12"/>
        <v>7.84</v>
      </c>
      <c r="AX7" s="88">
        <v>156</v>
      </c>
      <c r="AY7" s="89">
        <f t="shared" ref="AY7:AY32" si="31">IF(ISBLANK(AX7),"0",AX7-AX6)</f>
        <v>1</v>
      </c>
      <c r="AZ7" s="94">
        <f t="shared" ref="AZ7:AZ32" si="32">AY7*7.84</f>
        <v>7.84</v>
      </c>
    </row>
    <row r="8" spans="1:52" s="3" customFormat="1" ht="27.95" customHeight="1" x14ac:dyDescent="0.25">
      <c r="A8" s="98">
        <v>45692</v>
      </c>
      <c r="B8" s="91">
        <v>21285560</v>
      </c>
      <c r="C8" s="89">
        <f t="shared" si="3"/>
        <v>7931</v>
      </c>
      <c r="D8" s="89">
        <v>21980581</v>
      </c>
      <c r="E8" s="89">
        <f t="shared" si="4"/>
        <v>8235</v>
      </c>
      <c r="F8" s="89">
        <v>489131</v>
      </c>
      <c r="G8" s="89">
        <f t="shared" si="13"/>
        <v>143</v>
      </c>
      <c r="H8" s="90">
        <f t="shared" si="0"/>
        <v>16309</v>
      </c>
      <c r="I8" s="109">
        <f t="shared" si="1"/>
        <v>3261.8</v>
      </c>
      <c r="J8" s="91">
        <v>109535</v>
      </c>
      <c r="K8" s="89">
        <f t="shared" si="14"/>
        <v>108</v>
      </c>
      <c r="L8" s="75">
        <f t="shared" si="2"/>
        <v>846.72</v>
      </c>
      <c r="M8" s="88">
        <v>41330</v>
      </c>
      <c r="N8" s="89">
        <f t="shared" si="15"/>
        <v>19</v>
      </c>
      <c r="O8" s="89">
        <v>24780</v>
      </c>
      <c r="P8" s="92">
        <f t="shared" si="16"/>
        <v>11</v>
      </c>
      <c r="Q8" s="92">
        <f t="shared" si="5"/>
        <v>30</v>
      </c>
      <c r="R8" s="93">
        <v>62074</v>
      </c>
      <c r="S8" s="92">
        <f t="shared" si="17"/>
        <v>28</v>
      </c>
      <c r="T8" s="102">
        <f t="shared" si="6"/>
        <v>29.559600000000003</v>
      </c>
      <c r="U8" s="101">
        <f t="shared" si="7"/>
        <v>558.77358000000004</v>
      </c>
      <c r="V8" s="143">
        <v>77363</v>
      </c>
      <c r="W8" s="191">
        <f t="shared" si="18"/>
        <v>20</v>
      </c>
      <c r="X8" s="192">
        <f t="shared" si="19"/>
        <v>5686.9000000000005</v>
      </c>
      <c r="Y8" s="193">
        <f t="shared" si="8"/>
        <v>1961.4118100000001</v>
      </c>
      <c r="Z8" s="193">
        <f t="shared" si="20"/>
        <v>4886.0385863095235</v>
      </c>
      <c r="AA8" s="194">
        <f t="shared" si="9"/>
        <v>6847.4503963095231</v>
      </c>
      <c r="AB8" s="93">
        <v>994942</v>
      </c>
      <c r="AC8" s="93">
        <f t="shared" si="10"/>
        <v>5523</v>
      </c>
      <c r="AD8" s="195">
        <f t="shared" si="11"/>
        <v>19.42358754330127</v>
      </c>
      <c r="AE8" s="176">
        <v>0.97460000000000002</v>
      </c>
      <c r="AF8" s="94">
        <v>428</v>
      </c>
      <c r="AG8" s="177">
        <v>20796</v>
      </c>
      <c r="AH8" s="140">
        <f t="shared" si="21"/>
        <v>4</v>
      </c>
      <c r="AI8" s="88">
        <v>14944241</v>
      </c>
      <c r="AJ8" s="89">
        <f t="shared" si="22"/>
        <v>5528</v>
      </c>
      <c r="AK8" s="94">
        <f t="shared" si="23"/>
        <v>1105.6000000000001</v>
      </c>
      <c r="AL8" s="88">
        <v>6845663</v>
      </c>
      <c r="AM8" s="89">
        <f t="shared" si="24"/>
        <v>2212</v>
      </c>
      <c r="AN8" s="94">
        <f t="shared" si="25"/>
        <v>442.40000000000003</v>
      </c>
      <c r="AO8" s="91">
        <v>244551</v>
      </c>
      <c r="AP8" s="89">
        <f t="shared" si="26"/>
        <v>589</v>
      </c>
      <c r="AQ8" s="94">
        <f t="shared" si="27"/>
        <v>117.80000000000001</v>
      </c>
      <c r="AR8" s="91">
        <v>8659</v>
      </c>
      <c r="AS8" s="89">
        <f t="shared" si="28"/>
        <v>10</v>
      </c>
      <c r="AT8" s="140">
        <f t="shared" si="29"/>
        <v>78.400000000000006</v>
      </c>
      <c r="AU8" s="88">
        <v>3288</v>
      </c>
      <c r="AV8" s="89">
        <f t="shared" si="30"/>
        <v>1</v>
      </c>
      <c r="AW8" s="94">
        <f t="shared" si="12"/>
        <v>7.84</v>
      </c>
      <c r="AX8" s="88">
        <v>157</v>
      </c>
      <c r="AY8" s="89">
        <f t="shared" si="31"/>
        <v>1</v>
      </c>
      <c r="AZ8" s="94">
        <f t="shared" si="32"/>
        <v>7.84</v>
      </c>
    </row>
    <row r="9" spans="1:52" s="3" customFormat="1" ht="27.95" customHeight="1" x14ac:dyDescent="0.25">
      <c r="A9" s="98">
        <v>45693</v>
      </c>
      <c r="B9" s="91">
        <v>21293389</v>
      </c>
      <c r="C9" s="89">
        <f t="shared" si="3"/>
        <v>7829</v>
      </c>
      <c r="D9" s="89">
        <v>21988750</v>
      </c>
      <c r="E9" s="89">
        <f t="shared" si="4"/>
        <v>8169</v>
      </c>
      <c r="F9" s="89">
        <v>489274</v>
      </c>
      <c r="G9" s="89">
        <f t="shared" si="13"/>
        <v>143</v>
      </c>
      <c r="H9" s="90">
        <f t="shared" si="0"/>
        <v>16141</v>
      </c>
      <c r="I9" s="109">
        <f t="shared" si="1"/>
        <v>3228.2000000000003</v>
      </c>
      <c r="J9" s="91">
        <v>109646</v>
      </c>
      <c r="K9" s="89">
        <f t="shared" si="14"/>
        <v>111</v>
      </c>
      <c r="L9" s="75">
        <f t="shared" si="2"/>
        <v>870.24</v>
      </c>
      <c r="M9" s="88">
        <v>41348</v>
      </c>
      <c r="N9" s="89">
        <f t="shared" si="15"/>
        <v>18</v>
      </c>
      <c r="O9" s="89">
        <v>24794</v>
      </c>
      <c r="P9" s="92">
        <f t="shared" si="16"/>
        <v>14</v>
      </c>
      <c r="Q9" s="92">
        <f t="shared" si="5"/>
        <v>32</v>
      </c>
      <c r="R9" s="93">
        <v>62106</v>
      </c>
      <c r="S9" s="92">
        <f t="shared" si="17"/>
        <v>32</v>
      </c>
      <c r="T9" s="102">
        <f t="shared" si="6"/>
        <v>33.782400000000003</v>
      </c>
      <c r="U9" s="101">
        <f t="shared" si="7"/>
        <v>605.43552</v>
      </c>
      <c r="V9" s="143">
        <v>77382</v>
      </c>
      <c r="W9" s="191">
        <f t="shared" si="18"/>
        <v>19</v>
      </c>
      <c r="X9" s="192">
        <f t="shared" si="19"/>
        <v>5402.5550000000003</v>
      </c>
      <c r="Y9" s="193">
        <f t="shared" si="8"/>
        <v>1863.3412195000001</v>
      </c>
      <c r="Z9" s="193">
        <f t="shared" si="20"/>
        <v>4886.0385863095235</v>
      </c>
      <c r="AA9" s="194">
        <f t="shared" si="9"/>
        <v>6749.3798058095235</v>
      </c>
      <c r="AB9" s="93">
        <v>1000384</v>
      </c>
      <c r="AC9" s="93">
        <f t="shared" si="10"/>
        <v>5442</v>
      </c>
      <c r="AD9" s="195">
        <f t="shared" si="11"/>
        <v>19.138722326750951</v>
      </c>
      <c r="AE9" s="174">
        <v>0.99050000000000005</v>
      </c>
      <c r="AF9" s="94">
        <v>448</v>
      </c>
      <c r="AG9" s="175">
        <v>20800</v>
      </c>
      <c r="AH9" s="140">
        <f t="shared" si="21"/>
        <v>4</v>
      </c>
      <c r="AI9" s="88">
        <v>14949793</v>
      </c>
      <c r="AJ9" s="89">
        <f t="shared" si="22"/>
        <v>5552</v>
      </c>
      <c r="AK9" s="94">
        <f t="shared" si="23"/>
        <v>1110.4000000000001</v>
      </c>
      <c r="AL9" s="88">
        <v>6847903</v>
      </c>
      <c r="AM9" s="89">
        <f t="shared" si="24"/>
        <v>2240</v>
      </c>
      <c r="AN9" s="94">
        <f t="shared" si="25"/>
        <v>448</v>
      </c>
      <c r="AO9" s="91">
        <v>245124</v>
      </c>
      <c r="AP9" s="89">
        <f t="shared" si="26"/>
        <v>573</v>
      </c>
      <c r="AQ9" s="94">
        <f t="shared" si="27"/>
        <v>114.60000000000001</v>
      </c>
      <c r="AR9" s="91">
        <v>8670</v>
      </c>
      <c r="AS9" s="89">
        <f t="shared" si="28"/>
        <v>11</v>
      </c>
      <c r="AT9" s="140">
        <f t="shared" si="29"/>
        <v>86.24</v>
      </c>
      <c r="AU9" s="88">
        <v>3290</v>
      </c>
      <c r="AV9" s="89">
        <f t="shared" si="30"/>
        <v>2</v>
      </c>
      <c r="AW9" s="94">
        <f t="shared" si="12"/>
        <v>15.68</v>
      </c>
      <c r="AX9" s="88">
        <v>158</v>
      </c>
      <c r="AY9" s="89">
        <f t="shared" si="31"/>
        <v>1</v>
      </c>
      <c r="AZ9" s="94">
        <f t="shared" si="32"/>
        <v>7.84</v>
      </c>
    </row>
    <row r="10" spans="1:52" s="3" customFormat="1" ht="27.95" customHeight="1" x14ac:dyDescent="0.25">
      <c r="A10" s="98">
        <v>45694</v>
      </c>
      <c r="B10" s="91">
        <v>21301266</v>
      </c>
      <c r="C10" s="89">
        <f t="shared" si="3"/>
        <v>7877</v>
      </c>
      <c r="D10" s="89">
        <v>21996954</v>
      </c>
      <c r="E10" s="89">
        <f>IF(ISBLANK(D10),"0",D10-D9)</f>
        <v>8204</v>
      </c>
      <c r="F10" s="89">
        <v>489422</v>
      </c>
      <c r="G10" s="89">
        <f>IF(ISBLANK(F10),"0",F10-F9)</f>
        <v>148</v>
      </c>
      <c r="H10" s="90">
        <f t="shared" si="0"/>
        <v>16229</v>
      </c>
      <c r="I10" s="109">
        <f t="shared" si="1"/>
        <v>3245.8</v>
      </c>
      <c r="J10" s="91">
        <v>109752</v>
      </c>
      <c r="K10" s="89">
        <f t="shared" si="14"/>
        <v>106</v>
      </c>
      <c r="L10" s="75">
        <f t="shared" si="2"/>
        <v>831.04</v>
      </c>
      <c r="M10" s="88">
        <v>41367</v>
      </c>
      <c r="N10" s="89">
        <f>IF(ISBLANK(M10),"0",M10-M9)</f>
        <v>19</v>
      </c>
      <c r="O10" s="89">
        <v>24810</v>
      </c>
      <c r="P10" s="92">
        <f t="shared" si="16"/>
        <v>16</v>
      </c>
      <c r="Q10" s="92">
        <f t="shared" si="5"/>
        <v>35</v>
      </c>
      <c r="R10" s="93">
        <v>62140</v>
      </c>
      <c r="S10" s="92">
        <f t="shared" si="17"/>
        <v>34</v>
      </c>
      <c r="T10" s="102">
        <f t="shared" si="6"/>
        <v>35.893800000000006</v>
      </c>
      <c r="U10" s="101">
        <f t="shared" si="7"/>
        <v>628.76649000000009</v>
      </c>
      <c r="V10" s="143">
        <v>77402</v>
      </c>
      <c r="W10" s="191">
        <f t="shared" si="18"/>
        <v>20</v>
      </c>
      <c r="X10" s="192">
        <f t="shared" si="19"/>
        <v>5686.9000000000005</v>
      </c>
      <c r="Y10" s="193">
        <f t="shared" si="8"/>
        <v>1961.4118100000001</v>
      </c>
      <c r="Z10" s="193">
        <f t="shared" si="20"/>
        <v>4886.0385863095235</v>
      </c>
      <c r="AA10" s="194">
        <f t="shared" si="9"/>
        <v>6847.4503963095231</v>
      </c>
      <c r="AB10" s="93">
        <v>1005957</v>
      </c>
      <c r="AC10" s="93">
        <f t="shared" si="10"/>
        <v>5573</v>
      </c>
      <c r="AD10" s="195">
        <f t="shared" si="11"/>
        <v>19.599430269566898</v>
      </c>
      <c r="AE10" s="174">
        <v>0.9778</v>
      </c>
      <c r="AF10" s="94">
        <v>437</v>
      </c>
      <c r="AG10" s="175">
        <v>20804</v>
      </c>
      <c r="AH10" s="140">
        <f t="shared" si="21"/>
        <v>4</v>
      </c>
      <c r="AI10" s="88">
        <v>14955336</v>
      </c>
      <c r="AJ10" s="89">
        <f t="shared" si="22"/>
        <v>5543</v>
      </c>
      <c r="AK10" s="94">
        <f t="shared" si="23"/>
        <v>1108.6000000000001</v>
      </c>
      <c r="AL10" s="88">
        <v>6850104</v>
      </c>
      <c r="AM10" s="89">
        <f t="shared" si="24"/>
        <v>2201</v>
      </c>
      <c r="AN10" s="94">
        <f t="shared" si="25"/>
        <v>440.20000000000005</v>
      </c>
      <c r="AO10" s="91">
        <v>245595</v>
      </c>
      <c r="AP10" s="89">
        <f t="shared" si="26"/>
        <v>471</v>
      </c>
      <c r="AQ10" s="94">
        <f t="shared" si="27"/>
        <v>94.2</v>
      </c>
      <c r="AR10" s="91">
        <v>8680</v>
      </c>
      <c r="AS10" s="89">
        <f t="shared" si="28"/>
        <v>10</v>
      </c>
      <c r="AT10" s="140">
        <f t="shared" si="29"/>
        <v>78.400000000000006</v>
      </c>
      <c r="AU10" s="88">
        <v>3292</v>
      </c>
      <c r="AV10" s="89">
        <f t="shared" si="30"/>
        <v>2</v>
      </c>
      <c r="AW10" s="94">
        <f t="shared" si="12"/>
        <v>15.68</v>
      </c>
      <c r="AX10" s="88">
        <v>159</v>
      </c>
      <c r="AY10" s="89">
        <f t="shared" si="31"/>
        <v>1</v>
      </c>
      <c r="AZ10" s="94">
        <f t="shared" si="32"/>
        <v>7.84</v>
      </c>
    </row>
    <row r="11" spans="1:52" s="3" customFormat="1" ht="27.95" customHeight="1" x14ac:dyDescent="0.25">
      <c r="A11" s="98">
        <v>45695</v>
      </c>
      <c r="B11" s="91">
        <v>21309068</v>
      </c>
      <c r="C11" s="89">
        <f t="shared" si="3"/>
        <v>7802</v>
      </c>
      <c r="D11" s="89">
        <v>22004984</v>
      </c>
      <c r="E11" s="89">
        <f t="shared" si="4"/>
        <v>8030</v>
      </c>
      <c r="F11" s="89">
        <v>489568</v>
      </c>
      <c r="G11" s="89">
        <f t="shared" si="13"/>
        <v>146</v>
      </c>
      <c r="H11" s="90">
        <f t="shared" si="0"/>
        <v>15978</v>
      </c>
      <c r="I11" s="109">
        <f t="shared" si="1"/>
        <v>3195.6000000000004</v>
      </c>
      <c r="J11" s="91">
        <v>109873</v>
      </c>
      <c r="K11" s="89">
        <f t="shared" si="14"/>
        <v>121</v>
      </c>
      <c r="L11" s="75">
        <f t="shared" si="2"/>
        <v>948.64</v>
      </c>
      <c r="M11" s="88">
        <v>41386</v>
      </c>
      <c r="N11" s="89">
        <f t="shared" si="15"/>
        <v>19</v>
      </c>
      <c r="O11" s="89">
        <v>24824</v>
      </c>
      <c r="P11" s="92">
        <f t="shared" si="16"/>
        <v>14</v>
      </c>
      <c r="Q11" s="92">
        <f t="shared" si="5"/>
        <v>33</v>
      </c>
      <c r="R11" s="93">
        <v>62172</v>
      </c>
      <c r="S11" s="92">
        <f t="shared" si="17"/>
        <v>32</v>
      </c>
      <c r="T11" s="102">
        <f t="shared" si="6"/>
        <v>33.782400000000003</v>
      </c>
      <c r="U11" s="101">
        <f t="shared" si="7"/>
        <v>605.43552</v>
      </c>
      <c r="V11" s="143">
        <v>77421</v>
      </c>
      <c r="W11" s="191">
        <f t="shared" si="18"/>
        <v>19</v>
      </c>
      <c r="X11" s="192">
        <f t="shared" si="19"/>
        <v>5402.5550000000003</v>
      </c>
      <c r="Y11" s="193">
        <f t="shared" si="8"/>
        <v>1863.3412195000001</v>
      </c>
      <c r="Z11" s="193">
        <f t="shared" si="20"/>
        <v>4886.0385863095235</v>
      </c>
      <c r="AA11" s="194">
        <f t="shared" si="9"/>
        <v>6749.3798058095235</v>
      </c>
      <c r="AB11" s="93">
        <v>1011806</v>
      </c>
      <c r="AC11" s="93">
        <f t="shared" si="10"/>
        <v>5849</v>
      </c>
      <c r="AD11" s="195">
        <f t="shared" si="11"/>
        <v>20.570082118553163</v>
      </c>
      <c r="AE11" s="174">
        <v>0.96509999999999996</v>
      </c>
      <c r="AF11" s="94">
        <v>467</v>
      </c>
      <c r="AG11" s="175">
        <v>20808</v>
      </c>
      <c r="AH11" s="140">
        <f t="shared" si="21"/>
        <v>4</v>
      </c>
      <c r="AI11" s="88">
        <v>14960751</v>
      </c>
      <c r="AJ11" s="89">
        <f t="shared" si="22"/>
        <v>5415</v>
      </c>
      <c r="AK11" s="94">
        <f t="shared" si="23"/>
        <v>1083</v>
      </c>
      <c r="AL11" s="88">
        <v>6852353</v>
      </c>
      <c r="AM11" s="89">
        <f t="shared" si="24"/>
        <v>2249</v>
      </c>
      <c r="AN11" s="94">
        <f t="shared" si="25"/>
        <v>449.8</v>
      </c>
      <c r="AO11" s="91">
        <v>245958</v>
      </c>
      <c r="AP11" s="89">
        <f t="shared" si="26"/>
        <v>363</v>
      </c>
      <c r="AQ11" s="94">
        <f t="shared" si="27"/>
        <v>72.600000000000009</v>
      </c>
      <c r="AR11" s="91">
        <v>8687</v>
      </c>
      <c r="AS11" s="89">
        <f t="shared" si="28"/>
        <v>7</v>
      </c>
      <c r="AT11" s="140">
        <f t="shared" si="29"/>
        <v>54.879999999999995</v>
      </c>
      <c r="AU11" s="88">
        <v>3294</v>
      </c>
      <c r="AV11" s="89">
        <f t="shared" si="30"/>
        <v>2</v>
      </c>
      <c r="AW11" s="94">
        <f t="shared" si="12"/>
        <v>15.68</v>
      </c>
      <c r="AX11" s="88">
        <v>160</v>
      </c>
      <c r="AY11" s="89">
        <f t="shared" si="31"/>
        <v>1</v>
      </c>
      <c r="AZ11" s="94">
        <f t="shared" si="32"/>
        <v>7.84</v>
      </c>
    </row>
    <row r="12" spans="1:52" s="3" customFormat="1" ht="27.95" customHeight="1" x14ac:dyDescent="0.25">
      <c r="A12" s="98">
        <v>45696</v>
      </c>
      <c r="B12" s="91">
        <v>21316970</v>
      </c>
      <c r="C12" s="89">
        <f t="shared" si="3"/>
        <v>7902</v>
      </c>
      <c r="D12" s="89">
        <v>22012937</v>
      </c>
      <c r="E12" s="89">
        <f t="shared" si="4"/>
        <v>7953</v>
      </c>
      <c r="F12" s="89">
        <v>489691</v>
      </c>
      <c r="G12" s="89">
        <f t="shared" si="13"/>
        <v>123</v>
      </c>
      <c r="H12" s="90">
        <f t="shared" si="0"/>
        <v>15978</v>
      </c>
      <c r="I12" s="109">
        <f t="shared" si="1"/>
        <v>3195.6000000000004</v>
      </c>
      <c r="J12" s="91">
        <v>109988</v>
      </c>
      <c r="K12" s="89">
        <f t="shared" si="14"/>
        <v>115</v>
      </c>
      <c r="L12" s="75">
        <f t="shared" si="2"/>
        <v>901.6</v>
      </c>
      <c r="M12" s="88">
        <v>41406</v>
      </c>
      <c r="N12" s="89">
        <f t="shared" si="15"/>
        <v>20</v>
      </c>
      <c r="O12" s="89">
        <v>24838</v>
      </c>
      <c r="P12" s="92">
        <f t="shared" si="16"/>
        <v>14</v>
      </c>
      <c r="Q12" s="92">
        <f t="shared" si="5"/>
        <v>34</v>
      </c>
      <c r="R12" s="93">
        <v>62205</v>
      </c>
      <c r="S12" s="92">
        <f t="shared" si="17"/>
        <v>33</v>
      </c>
      <c r="T12" s="102">
        <f t="shared" si="6"/>
        <v>34.838100000000004</v>
      </c>
      <c r="U12" s="101">
        <f t="shared" si="7"/>
        <v>617.10100499999999</v>
      </c>
      <c r="V12" s="143">
        <v>77441</v>
      </c>
      <c r="W12" s="191">
        <f t="shared" si="18"/>
        <v>20</v>
      </c>
      <c r="X12" s="192">
        <f t="shared" si="19"/>
        <v>5686.9000000000005</v>
      </c>
      <c r="Y12" s="193">
        <f t="shared" si="8"/>
        <v>1961.4118100000001</v>
      </c>
      <c r="Z12" s="193">
        <f t="shared" si="20"/>
        <v>4886.0385863095235</v>
      </c>
      <c r="AA12" s="194">
        <f t="shared" si="9"/>
        <v>6847.4503963095231</v>
      </c>
      <c r="AB12" s="93">
        <v>1017456</v>
      </c>
      <c r="AC12" s="93">
        <f t="shared" si="10"/>
        <v>5650</v>
      </c>
      <c r="AD12" s="195">
        <f t="shared" si="11"/>
        <v>19.870228068015965</v>
      </c>
      <c r="AE12" s="178">
        <v>0.94920000000000004</v>
      </c>
      <c r="AF12" s="94">
        <v>452</v>
      </c>
      <c r="AG12" s="179">
        <v>20811</v>
      </c>
      <c r="AH12" s="140">
        <f t="shared" si="21"/>
        <v>3</v>
      </c>
      <c r="AI12" s="88">
        <v>14965240</v>
      </c>
      <c r="AJ12" s="89">
        <f t="shared" si="22"/>
        <v>4489</v>
      </c>
      <c r="AK12" s="94">
        <f t="shared" si="23"/>
        <v>897.80000000000007</v>
      </c>
      <c r="AL12" s="88">
        <v>6854468</v>
      </c>
      <c r="AM12" s="89">
        <f t="shared" si="24"/>
        <v>2115</v>
      </c>
      <c r="AN12" s="94">
        <f t="shared" si="25"/>
        <v>423</v>
      </c>
      <c r="AO12" s="91">
        <v>246210</v>
      </c>
      <c r="AP12" s="89">
        <f t="shared" si="26"/>
        <v>252</v>
      </c>
      <c r="AQ12" s="94">
        <f t="shared" si="27"/>
        <v>50.400000000000006</v>
      </c>
      <c r="AR12" s="91">
        <v>8700</v>
      </c>
      <c r="AS12" s="89">
        <f t="shared" si="28"/>
        <v>13</v>
      </c>
      <c r="AT12" s="140">
        <f t="shared" si="29"/>
        <v>101.92</v>
      </c>
      <c r="AU12" s="88">
        <v>3295</v>
      </c>
      <c r="AV12" s="89">
        <f t="shared" si="30"/>
        <v>1</v>
      </c>
      <c r="AW12" s="94">
        <f t="shared" si="12"/>
        <v>7.84</v>
      </c>
      <c r="AX12" s="88">
        <v>161</v>
      </c>
      <c r="AY12" s="89">
        <f t="shared" si="31"/>
        <v>1</v>
      </c>
      <c r="AZ12" s="94">
        <f t="shared" si="32"/>
        <v>7.84</v>
      </c>
    </row>
    <row r="13" spans="1:52" s="3" customFormat="1" ht="27.95" customHeight="1" x14ac:dyDescent="0.25">
      <c r="A13" s="98">
        <v>45697</v>
      </c>
      <c r="B13" s="91">
        <v>21324875</v>
      </c>
      <c r="C13" s="89">
        <f t="shared" si="3"/>
        <v>7905</v>
      </c>
      <c r="D13" s="89">
        <v>22020889</v>
      </c>
      <c r="E13" s="89">
        <f t="shared" si="4"/>
        <v>7952</v>
      </c>
      <c r="F13" s="89">
        <v>489827</v>
      </c>
      <c r="G13" s="89">
        <f t="shared" si="13"/>
        <v>136</v>
      </c>
      <c r="H13" s="90">
        <f t="shared" si="0"/>
        <v>15993</v>
      </c>
      <c r="I13" s="109">
        <f t="shared" si="1"/>
        <v>3198.6000000000004</v>
      </c>
      <c r="J13" s="91">
        <v>110095</v>
      </c>
      <c r="K13" s="89">
        <f t="shared" si="14"/>
        <v>107</v>
      </c>
      <c r="L13" s="75">
        <f t="shared" si="2"/>
        <v>838.88</v>
      </c>
      <c r="M13" s="88">
        <v>41425</v>
      </c>
      <c r="N13" s="89">
        <f t="shared" si="15"/>
        <v>19</v>
      </c>
      <c r="O13" s="89">
        <v>24853</v>
      </c>
      <c r="P13" s="92">
        <f t="shared" si="16"/>
        <v>15</v>
      </c>
      <c r="Q13" s="92">
        <f t="shared" si="5"/>
        <v>34</v>
      </c>
      <c r="R13" s="93">
        <v>62237</v>
      </c>
      <c r="S13" s="92">
        <f t="shared" si="17"/>
        <v>32</v>
      </c>
      <c r="T13" s="102">
        <f t="shared" si="6"/>
        <v>33.782400000000003</v>
      </c>
      <c r="U13" s="101">
        <f t="shared" si="7"/>
        <v>605.43552</v>
      </c>
      <c r="V13" s="143">
        <v>77460</v>
      </c>
      <c r="W13" s="191">
        <f t="shared" si="18"/>
        <v>19</v>
      </c>
      <c r="X13" s="192">
        <f t="shared" si="19"/>
        <v>5402.5550000000003</v>
      </c>
      <c r="Y13" s="193">
        <f t="shared" si="8"/>
        <v>1863.3412195000001</v>
      </c>
      <c r="Z13" s="193">
        <f t="shared" si="20"/>
        <v>4886.0385863095235</v>
      </c>
      <c r="AA13" s="194">
        <f t="shared" si="9"/>
        <v>6749.3798058095235</v>
      </c>
      <c r="AB13" s="93">
        <v>1022641</v>
      </c>
      <c r="AC13" s="93">
        <f t="shared" si="10"/>
        <v>5185</v>
      </c>
      <c r="AD13" s="195">
        <f t="shared" si="11"/>
        <v>18.234890713745624</v>
      </c>
      <c r="AE13" s="174">
        <v>0.82220000000000004</v>
      </c>
      <c r="AF13" s="94">
        <v>346</v>
      </c>
      <c r="AG13" s="175">
        <v>20814</v>
      </c>
      <c r="AH13" s="140">
        <f t="shared" si="21"/>
        <v>3</v>
      </c>
      <c r="AI13" s="88">
        <v>14969706</v>
      </c>
      <c r="AJ13" s="89">
        <f t="shared" si="22"/>
        <v>4466</v>
      </c>
      <c r="AK13" s="94">
        <f t="shared" si="23"/>
        <v>893.2</v>
      </c>
      <c r="AL13" s="88">
        <v>6856572</v>
      </c>
      <c r="AM13" s="89">
        <f t="shared" si="24"/>
        <v>2104</v>
      </c>
      <c r="AN13" s="94">
        <f t="shared" si="25"/>
        <v>420.8</v>
      </c>
      <c r="AO13" s="91">
        <v>246458</v>
      </c>
      <c r="AP13" s="89">
        <f t="shared" si="26"/>
        <v>248</v>
      </c>
      <c r="AQ13" s="94">
        <f t="shared" si="27"/>
        <v>49.6</v>
      </c>
      <c r="AR13" s="91">
        <v>8704</v>
      </c>
      <c r="AS13" s="89">
        <f t="shared" si="28"/>
        <v>4</v>
      </c>
      <c r="AT13" s="140">
        <f t="shared" si="29"/>
        <v>31.36</v>
      </c>
      <c r="AU13" s="88">
        <v>3296</v>
      </c>
      <c r="AV13" s="89">
        <f t="shared" si="30"/>
        <v>1</v>
      </c>
      <c r="AW13" s="94">
        <f t="shared" si="12"/>
        <v>7.84</v>
      </c>
      <c r="AX13" s="88">
        <v>162</v>
      </c>
      <c r="AY13" s="89">
        <f t="shared" si="31"/>
        <v>1</v>
      </c>
      <c r="AZ13" s="94">
        <f t="shared" si="32"/>
        <v>7.84</v>
      </c>
    </row>
    <row r="14" spans="1:52" s="3" customFormat="1" ht="27.95" customHeight="1" x14ac:dyDescent="0.25">
      <c r="A14" s="98">
        <v>45698</v>
      </c>
      <c r="B14" s="91">
        <v>21332629</v>
      </c>
      <c r="C14" s="89">
        <f t="shared" si="3"/>
        <v>7754</v>
      </c>
      <c r="D14" s="89">
        <v>22028659</v>
      </c>
      <c r="E14" s="89">
        <f t="shared" si="4"/>
        <v>7770</v>
      </c>
      <c r="F14" s="89">
        <v>489957</v>
      </c>
      <c r="G14" s="89">
        <f t="shared" si="13"/>
        <v>130</v>
      </c>
      <c r="H14" s="90">
        <f t="shared" si="0"/>
        <v>15654</v>
      </c>
      <c r="I14" s="109">
        <f t="shared" si="1"/>
        <v>3130.8</v>
      </c>
      <c r="J14" s="91">
        <v>110205</v>
      </c>
      <c r="K14" s="89">
        <f t="shared" si="14"/>
        <v>110</v>
      </c>
      <c r="L14" s="75">
        <f t="shared" si="2"/>
        <v>862.4</v>
      </c>
      <c r="M14" s="88">
        <v>41443</v>
      </c>
      <c r="N14" s="89">
        <f t="shared" si="15"/>
        <v>18</v>
      </c>
      <c r="O14" s="89">
        <v>24867</v>
      </c>
      <c r="P14" s="92">
        <f t="shared" si="16"/>
        <v>14</v>
      </c>
      <c r="Q14" s="92">
        <f t="shared" si="5"/>
        <v>32</v>
      </c>
      <c r="R14" s="93">
        <v>62268</v>
      </c>
      <c r="S14" s="92">
        <f t="shared" si="17"/>
        <v>31</v>
      </c>
      <c r="T14" s="102">
        <f t="shared" si="6"/>
        <v>32.726700000000001</v>
      </c>
      <c r="U14" s="101">
        <f t="shared" si="7"/>
        <v>593.77003500000001</v>
      </c>
      <c r="V14" s="143">
        <v>77477</v>
      </c>
      <c r="W14" s="191">
        <f t="shared" si="18"/>
        <v>17</v>
      </c>
      <c r="X14" s="192">
        <f t="shared" si="19"/>
        <v>4833.8650000000007</v>
      </c>
      <c r="Y14" s="193">
        <f t="shared" si="8"/>
        <v>1667.2000385000001</v>
      </c>
      <c r="Z14" s="193">
        <f t="shared" si="20"/>
        <v>4886.0385863095235</v>
      </c>
      <c r="AA14" s="194">
        <f t="shared" si="9"/>
        <v>6553.2386248095236</v>
      </c>
      <c r="AB14" s="93">
        <v>1027856</v>
      </c>
      <c r="AC14" s="93">
        <f t="shared" si="10"/>
        <v>5215</v>
      </c>
      <c r="AD14" s="195">
        <f t="shared" si="11"/>
        <v>18.340396349504999</v>
      </c>
      <c r="AE14" s="174">
        <v>0.94289999999999996</v>
      </c>
      <c r="AF14" s="94">
        <v>405</v>
      </c>
      <c r="AG14" s="175">
        <v>20818</v>
      </c>
      <c r="AH14" s="140">
        <f t="shared" si="21"/>
        <v>4</v>
      </c>
      <c r="AI14" s="88">
        <v>14975077</v>
      </c>
      <c r="AJ14" s="89">
        <f t="shared" si="22"/>
        <v>5371</v>
      </c>
      <c r="AK14" s="94">
        <f t="shared" si="23"/>
        <v>1074.2</v>
      </c>
      <c r="AL14" s="88">
        <v>6858800</v>
      </c>
      <c r="AM14" s="89">
        <f t="shared" si="24"/>
        <v>2228</v>
      </c>
      <c r="AN14" s="94">
        <f t="shared" si="25"/>
        <v>445.6</v>
      </c>
      <c r="AO14" s="91">
        <v>246681</v>
      </c>
      <c r="AP14" s="89">
        <f t="shared" si="26"/>
        <v>223</v>
      </c>
      <c r="AQ14" s="94">
        <f t="shared" si="27"/>
        <v>44.6</v>
      </c>
      <c r="AR14" s="91">
        <v>8712</v>
      </c>
      <c r="AS14" s="89">
        <f t="shared" si="28"/>
        <v>8</v>
      </c>
      <c r="AT14" s="140">
        <f t="shared" si="29"/>
        <v>62.72</v>
      </c>
      <c r="AU14" s="88">
        <v>3297</v>
      </c>
      <c r="AV14" s="89">
        <f t="shared" si="30"/>
        <v>1</v>
      </c>
      <c r="AW14" s="94">
        <f t="shared" si="12"/>
        <v>7.84</v>
      </c>
      <c r="AX14" s="88">
        <v>163</v>
      </c>
      <c r="AY14" s="89">
        <f t="shared" si="31"/>
        <v>1</v>
      </c>
      <c r="AZ14" s="94">
        <f t="shared" si="32"/>
        <v>7.84</v>
      </c>
    </row>
    <row r="15" spans="1:52" s="3" customFormat="1" ht="27.95" customHeight="1" x14ac:dyDescent="0.25">
      <c r="A15" s="98">
        <v>45699</v>
      </c>
      <c r="B15" s="91">
        <v>21340375</v>
      </c>
      <c r="C15" s="89">
        <f t="shared" si="3"/>
        <v>7746</v>
      </c>
      <c r="D15" s="89">
        <v>22036227</v>
      </c>
      <c r="E15" s="89">
        <f t="shared" si="4"/>
        <v>7568</v>
      </c>
      <c r="F15" s="89">
        <v>490086</v>
      </c>
      <c r="G15" s="89">
        <f t="shared" si="13"/>
        <v>129</v>
      </c>
      <c r="H15" s="90">
        <f t="shared" si="0"/>
        <v>15443</v>
      </c>
      <c r="I15" s="109">
        <f t="shared" si="1"/>
        <v>3088.6000000000004</v>
      </c>
      <c r="J15" s="91">
        <v>110316</v>
      </c>
      <c r="K15" s="89">
        <f t="shared" si="14"/>
        <v>111</v>
      </c>
      <c r="L15" s="75">
        <f t="shared" si="2"/>
        <v>870.24</v>
      </c>
      <c r="M15" s="88">
        <v>41461</v>
      </c>
      <c r="N15" s="89">
        <f t="shared" si="15"/>
        <v>18</v>
      </c>
      <c r="O15" s="89">
        <v>24881</v>
      </c>
      <c r="P15" s="92">
        <f t="shared" si="16"/>
        <v>14</v>
      </c>
      <c r="Q15" s="92">
        <f t="shared" si="5"/>
        <v>32</v>
      </c>
      <c r="R15" s="93">
        <v>62299</v>
      </c>
      <c r="S15" s="92">
        <f t="shared" si="17"/>
        <v>31</v>
      </c>
      <c r="T15" s="102">
        <f t="shared" si="6"/>
        <v>32.726700000000001</v>
      </c>
      <c r="U15" s="101">
        <f t="shared" si="7"/>
        <v>593.77003500000001</v>
      </c>
      <c r="V15" s="143">
        <v>77495</v>
      </c>
      <c r="W15" s="191">
        <f t="shared" si="18"/>
        <v>18</v>
      </c>
      <c r="X15" s="192">
        <f t="shared" si="19"/>
        <v>5118.2100000000009</v>
      </c>
      <c r="Y15" s="193">
        <f t="shared" si="8"/>
        <v>1765.2706290000003</v>
      </c>
      <c r="Z15" s="193">
        <f t="shared" si="20"/>
        <v>4886.0385863095235</v>
      </c>
      <c r="AA15" s="194">
        <f t="shared" si="9"/>
        <v>6651.309215309524</v>
      </c>
      <c r="AB15" s="93">
        <v>1033377</v>
      </c>
      <c r="AC15" s="93">
        <f t="shared" si="10"/>
        <v>5521</v>
      </c>
      <c r="AD15" s="195">
        <f t="shared" si="11"/>
        <v>19.416553834250646</v>
      </c>
      <c r="AE15" s="174">
        <v>0.93330000000000002</v>
      </c>
      <c r="AF15" s="94">
        <v>387</v>
      </c>
      <c r="AG15" s="175">
        <v>20822</v>
      </c>
      <c r="AH15" s="140">
        <f t="shared" si="21"/>
        <v>4</v>
      </c>
      <c r="AI15" s="88">
        <v>14980579</v>
      </c>
      <c r="AJ15" s="89">
        <f t="shared" si="22"/>
        <v>5502</v>
      </c>
      <c r="AK15" s="94">
        <f t="shared" si="23"/>
        <v>1100.4000000000001</v>
      </c>
      <c r="AL15" s="88">
        <v>6861058</v>
      </c>
      <c r="AM15" s="89">
        <f t="shared" si="24"/>
        <v>2258</v>
      </c>
      <c r="AN15" s="94">
        <f t="shared" si="25"/>
        <v>451.6</v>
      </c>
      <c r="AO15" s="91">
        <v>246878</v>
      </c>
      <c r="AP15" s="89">
        <f t="shared" si="26"/>
        <v>197</v>
      </c>
      <c r="AQ15" s="94">
        <f t="shared" si="27"/>
        <v>39.400000000000006</v>
      </c>
      <c r="AR15" s="91">
        <v>8720</v>
      </c>
      <c r="AS15" s="89">
        <f t="shared" si="28"/>
        <v>8</v>
      </c>
      <c r="AT15" s="140">
        <f t="shared" si="29"/>
        <v>62.72</v>
      </c>
      <c r="AU15" s="88">
        <v>3298</v>
      </c>
      <c r="AV15" s="89">
        <f t="shared" si="30"/>
        <v>1</v>
      </c>
      <c r="AW15" s="94">
        <f t="shared" si="12"/>
        <v>7.84</v>
      </c>
      <c r="AX15" s="88">
        <v>164</v>
      </c>
      <c r="AY15" s="89">
        <f t="shared" si="31"/>
        <v>1</v>
      </c>
      <c r="AZ15" s="94">
        <f t="shared" si="32"/>
        <v>7.84</v>
      </c>
    </row>
    <row r="16" spans="1:52" s="3" customFormat="1" ht="27.95" customHeight="1" x14ac:dyDescent="0.25">
      <c r="A16" s="98">
        <v>45700</v>
      </c>
      <c r="B16" s="91">
        <v>21348052</v>
      </c>
      <c r="C16" s="89">
        <f t="shared" si="3"/>
        <v>7677</v>
      </c>
      <c r="D16" s="89">
        <v>22043816</v>
      </c>
      <c r="E16" s="89">
        <f t="shared" si="4"/>
        <v>7589</v>
      </c>
      <c r="F16" s="89">
        <v>490223</v>
      </c>
      <c r="G16" s="89">
        <f t="shared" si="13"/>
        <v>137</v>
      </c>
      <c r="H16" s="90">
        <f t="shared" si="0"/>
        <v>15403</v>
      </c>
      <c r="I16" s="109">
        <f t="shared" si="1"/>
        <v>3080.6000000000004</v>
      </c>
      <c r="J16" s="91">
        <v>110411</v>
      </c>
      <c r="K16" s="89">
        <f t="shared" si="14"/>
        <v>95</v>
      </c>
      <c r="L16" s="75">
        <f t="shared" si="2"/>
        <v>744.8</v>
      </c>
      <c r="M16" s="88">
        <v>41479</v>
      </c>
      <c r="N16" s="89">
        <f t="shared" si="15"/>
        <v>18</v>
      </c>
      <c r="O16" s="89">
        <v>24894</v>
      </c>
      <c r="P16" s="92">
        <f t="shared" si="16"/>
        <v>13</v>
      </c>
      <c r="Q16" s="92">
        <f t="shared" si="5"/>
        <v>31</v>
      </c>
      <c r="R16" s="93">
        <v>62329</v>
      </c>
      <c r="S16" s="92">
        <f t="shared" si="17"/>
        <v>30</v>
      </c>
      <c r="T16" s="102">
        <f t="shared" si="6"/>
        <v>31.671000000000003</v>
      </c>
      <c r="U16" s="101">
        <f t="shared" si="7"/>
        <v>582.10455000000002</v>
      </c>
      <c r="V16" s="143">
        <v>77516</v>
      </c>
      <c r="W16" s="191">
        <f t="shared" si="18"/>
        <v>21</v>
      </c>
      <c r="X16" s="192">
        <f t="shared" si="19"/>
        <v>5971.2450000000008</v>
      </c>
      <c r="Y16" s="193">
        <f t="shared" si="8"/>
        <v>2059.4824005</v>
      </c>
      <c r="Z16" s="193">
        <f t="shared" si="20"/>
        <v>4886.0385863095235</v>
      </c>
      <c r="AA16" s="194">
        <f t="shared" si="9"/>
        <v>6945.5209868095235</v>
      </c>
      <c r="AB16" s="93">
        <v>1039590</v>
      </c>
      <c r="AC16" s="93">
        <f t="shared" si="10"/>
        <v>6213</v>
      </c>
      <c r="AD16" s="195">
        <f t="shared" si="11"/>
        <v>21.850217165766935</v>
      </c>
      <c r="AE16" s="174">
        <v>0.9556</v>
      </c>
      <c r="AF16" s="94">
        <v>385</v>
      </c>
      <c r="AG16" s="175">
        <v>20827</v>
      </c>
      <c r="AH16" s="140">
        <f t="shared" si="21"/>
        <v>5</v>
      </c>
      <c r="AI16" s="88">
        <v>14986040</v>
      </c>
      <c r="AJ16" s="89">
        <f t="shared" si="22"/>
        <v>5461</v>
      </c>
      <c r="AK16" s="94">
        <f t="shared" si="23"/>
        <v>1092.2</v>
      </c>
      <c r="AL16" s="88">
        <v>6863276</v>
      </c>
      <c r="AM16" s="89">
        <f t="shared" si="24"/>
        <v>2218</v>
      </c>
      <c r="AN16" s="94">
        <f t="shared" si="25"/>
        <v>443.6</v>
      </c>
      <c r="AO16" s="91">
        <v>247093</v>
      </c>
      <c r="AP16" s="89">
        <f t="shared" si="26"/>
        <v>215</v>
      </c>
      <c r="AQ16" s="94">
        <f t="shared" si="27"/>
        <v>43</v>
      </c>
      <c r="AR16" s="91">
        <v>8731</v>
      </c>
      <c r="AS16" s="89">
        <f t="shared" si="28"/>
        <v>11</v>
      </c>
      <c r="AT16" s="140">
        <f t="shared" si="29"/>
        <v>86.24</v>
      </c>
      <c r="AU16" s="88">
        <v>3299</v>
      </c>
      <c r="AV16" s="89">
        <f t="shared" si="30"/>
        <v>1</v>
      </c>
      <c r="AW16" s="94">
        <f t="shared" si="12"/>
        <v>7.84</v>
      </c>
      <c r="AX16" s="88">
        <v>165</v>
      </c>
      <c r="AY16" s="89">
        <f t="shared" si="31"/>
        <v>1</v>
      </c>
      <c r="AZ16" s="94">
        <f t="shared" si="32"/>
        <v>7.84</v>
      </c>
    </row>
    <row r="17" spans="1:52" s="3" customFormat="1" ht="27.95" customHeight="1" x14ac:dyDescent="0.25">
      <c r="A17" s="98">
        <v>45701</v>
      </c>
      <c r="B17" s="91">
        <v>21355634</v>
      </c>
      <c r="C17" s="89">
        <f t="shared" si="3"/>
        <v>7582</v>
      </c>
      <c r="D17" s="89">
        <v>22051286</v>
      </c>
      <c r="E17" s="89">
        <f t="shared" si="4"/>
        <v>7470</v>
      </c>
      <c r="F17" s="89">
        <v>490362</v>
      </c>
      <c r="G17" s="89">
        <f t="shared" si="13"/>
        <v>139</v>
      </c>
      <c r="H17" s="90">
        <f t="shared" si="0"/>
        <v>15191</v>
      </c>
      <c r="I17" s="109">
        <f t="shared" si="1"/>
        <v>3038.2000000000003</v>
      </c>
      <c r="J17" s="91">
        <v>110518</v>
      </c>
      <c r="K17" s="89">
        <f t="shared" si="14"/>
        <v>107</v>
      </c>
      <c r="L17" s="75">
        <f t="shared" si="2"/>
        <v>838.88</v>
      </c>
      <c r="M17" s="88">
        <v>41498</v>
      </c>
      <c r="N17" s="89">
        <f t="shared" si="15"/>
        <v>19</v>
      </c>
      <c r="O17" s="89">
        <v>24908</v>
      </c>
      <c r="P17" s="92">
        <f t="shared" si="16"/>
        <v>14</v>
      </c>
      <c r="Q17" s="92">
        <f t="shared" si="5"/>
        <v>33</v>
      </c>
      <c r="R17" s="93">
        <v>62362</v>
      </c>
      <c r="S17" s="92">
        <f t="shared" si="17"/>
        <v>33</v>
      </c>
      <c r="T17" s="102">
        <f t="shared" si="6"/>
        <v>34.838100000000004</v>
      </c>
      <c r="U17" s="101">
        <f t="shared" si="7"/>
        <v>617.10100499999999</v>
      </c>
      <c r="V17" s="143">
        <v>77537</v>
      </c>
      <c r="W17" s="191">
        <f t="shared" si="18"/>
        <v>21</v>
      </c>
      <c r="X17" s="192">
        <f t="shared" si="19"/>
        <v>5971.2450000000008</v>
      </c>
      <c r="Y17" s="193">
        <f t="shared" si="8"/>
        <v>2059.4824005</v>
      </c>
      <c r="Z17" s="193">
        <f t="shared" si="20"/>
        <v>4886.0385863095235</v>
      </c>
      <c r="AA17" s="194">
        <f t="shared" si="9"/>
        <v>6945.5209868095235</v>
      </c>
      <c r="AB17" s="93">
        <v>1046338</v>
      </c>
      <c r="AC17" s="93">
        <f t="shared" si="10"/>
        <v>6748</v>
      </c>
      <c r="AD17" s="195">
        <f t="shared" si="11"/>
        <v>23.731734336809154</v>
      </c>
      <c r="AE17" s="178">
        <v>1</v>
      </c>
      <c r="AF17" s="94">
        <v>421</v>
      </c>
      <c r="AG17" s="179">
        <v>20832</v>
      </c>
      <c r="AH17" s="140">
        <f t="shared" si="21"/>
        <v>5</v>
      </c>
      <c r="AI17" s="88">
        <v>14991491</v>
      </c>
      <c r="AJ17" s="89">
        <f t="shared" si="22"/>
        <v>5451</v>
      </c>
      <c r="AK17" s="94">
        <f t="shared" si="23"/>
        <v>1090.2</v>
      </c>
      <c r="AL17" s="88">
        <v>6865500</v>
      </c>
      <c r="AM17" s="89">
        <f t="shared" si="24"/>
        <v>2224</v>
      </c>
      <c r="AN17" s="94">
        <f t="shared" si="25"/>
        <v>444.8</v>
      </c>
      <c r="AO17" s="91">
        <v>247291</v>
      </c>
      <c r="AP17" s="89">
        <f t="shared" si="26"/>
        <v>198</v>
      </c>
      <c r="AQ17" s="94">
        <f t="shared" si="27"/>
        <v>39.6</v>
      </c>
      <c r="AR17" s="91">
        <v>8739</v>
      </c>
      <c r="AS17" s="89">
        <f t="shared" si="28"/>
        <v>8</v>
      </c>
      <c r="AT17" s="140">
        <f t="shared" si="29"/>
        <v>62.72</v>
      </c>
      <c r="AU17" s="88">
        <v>3300</v>
      </c>
      <c r="AV17" s="89">
        <f t="shared" si="30"/>
        <v>1</v>
      </c>
      <c r="AW17" s="94">
        <f t="shared" si="12"/>
        <v>7.84</v>
      </c>
      <c r="AX17" s="88">
        <v>166</v>
      </c>
      <c r="AY17" s="89">
        <f t="shared" si="31"/>
        <v>1</v>
      </c>
      <c r="AZ17" s="94">
        <f t="shared" si="32"/>
        <v>7.84</v>
      </c>
    </row>
    <row r="18" spans="1:52" s="3" customFormat="1" ht="27.95" customHeight="1" x14ac:dyDescent="0.25">
      <c r="A18" s="98">
        <v>45702</v>
      </c>
      <c r="B18" s="91">
        <v>21363430</v>
      </c>
      <c r="C18" s="89">
        <f t="shared" si="3"/>
        <v>7796</v>
      </c>
      <c r="D18" s="89">
        <v>22058968</v>
      </c>
      <c r="E18" s="89">
        <f t="shared" si="4"/>
        <v>7682</v>
      </c>
      <c r="F18" s="89">
        <v>490489</v>
      </c>
      <c r="G18" s="89">
        <f t="shared" si="13"/>
        <v>127</v>
      </c>
      <c r="H18" s="90">
        <f t="shared" si="0"/>
        <v>15605</v>
      </c>
      <c r="I18" s="109">
        <f t="shared" si="1"/>
        <v>3121</v>
      </c>
      <c r="J18" s="91">
        <v>110630</v>
      </c>
      <c r="K18" s="89">
        <f t="shared" si="14"/>
        <v>112</v>
      </c>
      <c r="L18" s="75">
        <f t="shared" si="2"/>
        <v>878.07999999999993</v>
      </c>
      <c r="M18" s="88">
        <v>41518</v>
      </c>
      <c r="N18" s="89">
        <f t="shared" si="15"/>
        <v>20</v>
      </c>
      <c r="O18" s="89">
        <v>24922</v>
      </c>
      <c r="P18" s="92">
        <f t="shared" si="16"/>
        <v>14</v>
      </c>
      <c r="Q18" s="92">
        <f t="shared" si="5"/>
        <v>34</v>
      </c>
      <c r="R18" s="93">
        <v>62396</v>
      </c>
      <c r="S18" s="92">
        <f t="shared" si="17"/>
        <v>34</v>
      </c>
      <c r="T18" s="102">
        <f t="shared" si="6"/>
        <v>35.893800000000006</v>
      </c>
      <c r="U18" s="101">
        <f t="shared" si="7"/>
        <v>628.76649000000009</v>
      </c>
      <c r="V18" s="143">
        <v>77559</v>
      </c>
      <c r="W18" s="191">
        <f t="shared" si="18"/>
        <v>22</v>
      </c>
      <c r="X18" s="192">
        <f t="shared" si="19"/>
        <v>6255.59</v>
      </c>
      <c r="Y18" s="193">
        <f t="shared" si="8"/>
        <v>2157.552991</v>
      </c>
      <c r="Z18" s="193">
        <f t="shared" si="20"/>
        <v>4886.0385863095235</v>
      </c>
      <c r="AA18" s="194">
        <f t="shared" si="9"/>
        <v>7043.5915773095239</v>
      </c>
      <c r="AB18" s="93">
        <v>1053473</v>
      </c>
      <c r="AC18" s="93">
        <f t="shared" si="10"/>
        <v>7135</v>
      </c>
      <c r="AD18" s="195">
        <f t="shared" si="11"/>
        <v>25.092757038105116</v>
      </c>
      <c r="AE18" s="174">
        <v>0.94599999999999995</v>
      </c>
      <c r="AF18" s="94">
        <v>431</v>
      </c>
      <c r="AG18" s="175">
        <v>20837</v>
      </c>
      <c r="AH18" s="140">
        <f t="shared" si="21"/>
        <v>5</v>
      </c>
      <c r="AI18" s="88">
        <v>14996955</v>
      </c>
      <c r="AJ18" s="89">
        <f t="shared" si="22"/>
        <v>5464</v>
      </c>
      <c r="AK18" s="94">
        <f t="shared" si="23"/>
        <v>1092.8</v>
      </c>
      <c r="AL18" s="88">
        <v>6867776</v>
      </c>
      <c r="AM18" s="89">
        <f t="shared" si="24"/>
        <v>2276</v>
      </c>
      <c r="AN18" s="94">
        <f t="shared" si="25"/>
        <v>455.20000000000005</v>
      </c>
      <c r="AO18" s="91">
        <v>247451</v>
      </c>
      <c r="AP18" s="89">
        <f t="shared" si="26"/>
        <v>160</v>
      </c>
      <c r="AQ18" s="94">
        <f t="shared" si="27"/>
        <v>32</v>
      </c>
      <c r="AR18" s="91">
        <v>8746</v>
      </c>
      <c r="AS18" s="89">
        <f t="shared" si="28"/>
        <v>7</v>
      </c>
      <c r="AT18" s="140">
        <f t="shared" si="29"/>
        <v>54.879999999999995</v>
      </c>
      <c r="AU18" s="88">
        <v>3303</v>
      </c>
      <c r="AV18" s="89">
        <f t="shared" si="30"/>
        <v>3</v>
      </c>
      <c r="AW18" s="94">
        <f t="shared" si="12"/>
        <v>23.52</v>
      </c>
      <c r="AX18" s="88">
        <v>167</v>
      </c>
      <c r="AY18" s="89">
        <f t="shared" si="31"/>
        <v>1</v>
      </c>
      <c r="AZ18" s="94">
        <f t="shared" si="32"/>
        <v>7.84</v>
      </c>
    </row>
    <row r="19" spans="1:52" s="3" customFormat="1" ht="27.95" customHeight="1" x14ac:dyDescent="0.25">
      <c r="A19" s="98">
        <v>45703</v>
      </c>
      <c r="B19" s="91">
        <v>21370830</v>
      </c>
      <c r="C19" s="89">
        <f t="shared" si="3"/>
        <v>7400</v>
      </c>
      <c r="D19" s="89">
        <v>22066348</v>
      </c>
      <c r="E19" s="89">
        <f t="shared" si="4"/>
        <v>7380</v>
      </c>
      <c r="F19" s="89">
        <v>490613</v>
      </c>
      <c r="G19" s="89">
        <f t="shared" si="13"/>
        <v>124</v>
      </c>
      <c r="H19" s="90">
        <f t="shared" si="0"/>
        <v>14904</v>
      </c>
      <c r="I19" s="109">
        <f t="shared" si="1"/>
        <v>2980.8</v>
      </c>
      <c r="J19" s="91">
        <v>110736</v>
      </c>
      <c r="K19" s="89">
        <f t="shared" si="14"/>
        <v>106</v>
      </c>
      <c r="L19" s="75">
        <f t="shared" si="2"/>
        <v>831.04</v>
      </c>
      <c r="M19" s="88">
        <v>41538</v>
      </c>
      <c r="N19" s="89">
        <f t="shared" si="15"/>
        <v>20</v>
      </c>
      <c r="O19" s="89">
        <v>24935</v>
      </c>
      <c r="P19" s="92">
        <f t="shared" si="16"/>
        <v>13</v>
      </c>
      <c r="Q19" s="92">
        <f t="shared" si="5"/>
        <v>33</v>
      </c>
      <c r="R19" s="93">
        <v>62427</v>
      </c>
      <c r="S19" s="92">
        <f t="shared" si="17"/>
        <v>31</v>
      </c>
      <c r="T19" s="102">
        <f t="shared" si="6"/>
        <v>32.726700000000001</v>
      </c>
      <c r="U19" s="101">
        <f t="shared" si="7"/>
        <v>593.77003500000001</v>
      </c>
      <c r="V19" s="143">
        <v>77580</v>
      </c>
      <c r="W19" s="191">
        <f t="shared" si="18"/>
        <v>21</v>
      </c>
      <c r="X19" s="192">
        <f t="shared" si="19"/>
        <v>5971.2450000000008</v>
      </c>
      <c r="Y19" s="193">
        <f t="shared" si="8"/>
        <v>2059.4824005</v>
      </c>
      <c r="Z19" s="193">
        <f t="shared" si="20"/>
        <v>4886.0385863095235</v>
      </c>
      <c r="AA19" s="194">
        <f t="shared" si="9"/>
        <v>6945.5209868095235</v>
      </c>
      <c r="AB19" s="93">
        <v>1059982</v>
      </c>
      <c r="AC19" s="93">
        <f t="shared" si="10"/>
        <v>6509</v>
      </c>
      <c r="AD19" s="195">
        <f t="shared" si="11"/>
        <v>22.891206105259453</v>
      </c>
      <c r="AE19" s="174">
        <v>0.96509999999999996</v>
      </c>
      <c r="AF19" s="94">
        <v>415</v>
      </c>
      <c r="AG19" s="175">
        <v>20842</v>
      </c>
      <c r="AH19" s="140">
        <f t="shared" si="21"/>
        <v>5</v>
      </c>
      <c r="AI19" s="88">
        <v>15001565</v>
      </c>
      <c r="AJ19" s="89">
        <f t="shared" si="22"/>
        <v>4610</v>
      </c>
      <c r="AK19" s="94">
        <f t="shared" si="23"/>
        <v>922</v>
      </c>
      <c r="AL19" s="88">
        <v>6869873</v>
      </c>
      <c r="AM19" s="89">
        <f t="shared" si="24"/>
        <v>2097</v>
      </c>
      <c r="AN19" s="94">
        <f t="shared" si="25"/>
        <v>419.40000000000003</v>
      </c>
      <c r="AO19" s="91">
        <v>247593</v>
      </c>
      <c r="AP19" s="89">
        <f t="shared" si="26"/>
        <v>142</v>
      </c>
      <c r="AQ19" s="94">
        <f t="shared" si="27"/>
        <v>28.400000000000002</v>
      </c>
      <c r="AR19" s="91">
        <v>8751</v>
      </c>
      <c r="AS19" s="89">
        <f t="shared" si="28"/>
        <v>5</v>
      </c>
      <c r="AT19" s="140">
        <f t="shared" si="29"/>
        <v>39.200000000000003</v>
      </c>
      <c r="AU19" s="88">
        <v>3304</v>
      </c>
      <c r="AV19" s="89">
        <f t="shared" si="30"/>
        <v>1</v>
      </c>
      <c r="AW19" s="94">
        <f t="shared" si="12"/>
        <v>7.84</v>
      </c>
      <c r="AX19" s="88">
        <v>168</v>
      </c>
      <c r="AY19" s="89">
        <f t="shared" si="31"/>
        <v>1</v>
      </c>
      <c r="AZ19" s="94">
        <f t="shared" si="32"/>
        <v>7.84</v>
      </c>
    </row>
    <row r="20" spans="1:52" s="3" customFormat="1" ht="27.95" customHeight="1" x14ac:dyDescent="0.25">
      <c r="A20" s="98">
        <v>45704</v>
      </c>
      <c r="B20" s="91">
        <v>21378617</v>
      </c>
      <c r="C20" s="89">
        <f t="shared" si="3"/>
        <v>7787</v>
      </c>
      <c r="D20" s="89">
        <v>22073893</v>
      </c>
      <c r="E20" s="89">
        <f t="shared" si="4"/>
        <v>7545</v>
      </c>
      <c r="F20" s="89">
        <v>490737</v>
      </c>
      <c r="G20" s="89">
        <f t="shared" si="13"/>
        <v>124</v>
      </c>
      <c r="H20" s="90">
        <f t="shared" si="0"/>
        <v>15456</v>
      </c>
      <c r="I20" s="109">
        <f t="shared" si="1"/>
        <v>3091.2000000000003</v>
      </c>
      <c r="J20" s="91">
        <v>110831</v>
      </c>
      <c r="K20" s="89">
        <f t="shared" si="14"/>
        <v>95</v>
      </c>
      <c r="L20" s="75">
        <f t="shared" si="2"/>
        <v>744.8</v>
      </c>
      <c r="M20" s="88">
        <v>41561</v>
      </c>
      <c r="N20" s="89">
        <f t="shared" si="15"/>
        <v>23</v>
      </c>
      <c r="O20" s="89">
        <v>24949</v>
      </c>
      <c r="P20" s="92">
        <f t="shared" si="16"/>
        <v>14</v>
      </c>
      <c r="Q20" s="92">
        <f t="shared" si="5"/>
        <v>37</v>
      </c>
      <c r="R20" s="93">
        <v>62463</v>
      </c>
      <c r="S20" s="92">
        <f t="shared" si="17"/>
        <v>36</v>
      </c>
      <c r="T20" s="102">
        <f t="shared" si="6"/>
        <v>38.005200000000002</v>
      </c>
      <c r="U20" s="101">
        <f t="shared" si="7"/>
        <v>652.09745999999996</v>
      </c>
      <c r="V20" s="143">
        <v>77602</v>
      </c>
      <c r="W20" s="191">
        <f t="shared" si="18"/>
        <v>22</v>
      </c>
      <c r="X20" s="192">
        <f t="shared" si="19"/>
        <v>6255.59</v>
      </c>
      <c r="Y20" s="193">
        <f t="shared" si="8"/>
        <v>2157.552991</v>
      </c>
      <c r="Z20" s="193">
        <f t="shared" si="20"/>
        <v>4886.0385863095235</v>
      </c>
      <c r="AA20" s="194">
        <f t="shared" si="9"/>
        <v>7043.5915773095239</v>
      </c>
      <c r="AB20" s="93">
        <v>1066570</v>
      </c>
      <c r="AC20" s="93">
        <f t="shared" si="10"/>
        <v>6588</v>
      </c>
      <c r="AD20" s="195">
        <f t="shared" si="11"/>
        <v>23.169037612759148</v>
      </c>
      <c r="AE20" s="174">
        <v>0.873</v>
      </c>
      <c r="AF20" s="94">
        <v>298</v>
      </c>
      <c r="AG20" s="175">
        <v>20846</v>
      </c>
      <c r="AH20" s="140">
        <f t="shared" si="21"/>
        <v>4</v>
      </c>
      <c r="AI20" s="88">
        <v>15006196</v>
      </c>
      <c r="AJ20" s="89">
        <f t="shared" si="22"/>
        <v>4631</v>
      </c>
      <c r="AK20" s="94">
        <f t="shared" si="23"/>
        <v>926.2</v>
      </c>
      <c r="AL20" s="88">
        <v>6872047</v>
      </c>
      <c r="AM20" s="89">
        <f t="shared" si="24"/>
        <v>2174</v>
      </c>
      <c r="AN20" s="94">
        <f t="shared" si="25"/>
        <v>434.8</v>
      </c>
      <c r="AO20" s="91">
        <v>247729</v>
      </c>
      <c r="AP20" s="89">
        <f t="shared" si="26"/>
        <v>136</v>
      </c>
      <c r="AQ20" s="94">
        <f t="shared" si="27"/>
        <v>27.200000000000003</v>
      </c>
      <c r="AR20" s="91">
        <v>8756</v>
      </c>
      <c r="AS20" s="89">
        <f t="shared" si="28"/>
        <v>5</v>
      </c>
      <c r="AT20" s="140">
        <f t="shared" si="29"/>
        <v>39.200000000000003</v>
      </c>
      <c r="AU20" s="88">
        <v>3305</v>
      </c>
      <c r="AV20" s="89">
        <f t="shared" si="30"/>
        <v>1</v>
      </c>
      <c r="AW20" s="94">
        <f t="shared" si="12"/>
        <v>7.84</v>
      </c>
      <c r="AX20" s="88">
        <v>169</v>
      </c>
      <c r="AY20" s="89">
        <f t="shared" si="31"/>
        <v>1</v>
      </c>
      <c r="AZ20" s="94">
        <f t="shared" si="32"/>
        <v>7.84</v>
      </c>
    </row>
    <row r="21" spans="1:52" s="3" customFormat="1" ht="27.95" customHeight="1" x14ac:dyDescent="0.25">
      <c r="A21" s="98">
        <v>45705</v>
      </c>
      <c r="B21" s="91">
        <v>21386420</v>
      </c>
      <c r="C21" s="89">
        <f t="shared" si="3"/>
        <v>7803</v>
      </c>
      <c r="D21" s="89">
        <v>22081487</v>
      </c>
      <c r="E21" s="89">
        <f t="shared" si="4"/>
        <v>7594</v>
      </c>
      <c r="F21" s="89">
        <v>490863</v>
      </c>
      <c r="G21" s="89">
        <f t="shared" si="13"/>
        <v>126</v>
      </c>
      <c r="H21" s="90">
        <f t="shared" si="0"/>
        <v>15523</v>
      </c>
      <c r="I21" s="109">
        <f t="shared" si="1"/>
        <v>3104.6000000000004</v>
      </c>
      <c r="J21" s="91">
        <v>110939</v>
      </c>
      <c r="K21" s="89">
        <f t="shared" si="14"/>
        <v>108</v>
      </c>
      <c r="L21" s="75">
        <f t="shared" si="2"/>
        <v>846.72</v>
      </c>
      <c r="M21" s="88">
        <v>41586</v>
      </c>
      <c r="N21" s="89">
        <f t="shared" si="15"/>
        <v>25</v>
      </c>
      <c r="O21" s="89">
        <v>24965</v>
      </c>
      <c r="P21" s="92">
        <f t="shared" si="16"/>
        <v>16</v>
      </c>
      <c r="Q21" s="92">
        <f t="shared" si="5"/>
        <v>41</v>
      </c>
      <c r="R21" s="93">
        <v>62502</v>
      </c>
      <c r="S21" s="92">
        <f t="shared" si="17"/>
        <v>39</v>
      </c>
      <c r="T21" s="102">
        <f t="shared" si="6"/>
        <v>41.1723</v>
      </c>
      <c r="U21" s="101">
        <f t="shared" si="7"/>
        <v>687.09391500000004</v>
      </c>
      <c r="V21" s="143">
        <v>77624</v>
      </c>
      <c r="W21" s="191">
        <f t="shared" si="18"/>
        <v>22</v>
      </c>
      <c r="X21" s="192">
        <f t="shared" si="19"/>
        <v>6255.59</v>
      </c>
      <c r="Y21" s="193">
        <f t="shared" si="8"/>
        <v>2157.552991</v>
      </c>
      <c r="Z21" s="193">
        <f t="shared" si="20"/>
        <v>4886.0385863095235</v>
      </c>
      <c r="AA21" s="194">
        <f t="shared" si="9"/>
        <v>7043.5915773095239</v>
      </c>
      <c r="AB21" s="93">
        <v>1073286</v>
      </c>
      <c r="AC21" s="93">
        <f t="shared" si="10"/>
        <v>6716</v>
      </c>
      <c r="AD21" s="195">
        <f t="shared" si="11"/>
        <v>23.619194991999155</v>
      </c>
      <c r="AE21" s="174">
        <v>1</v>
      </c>
      <c r="AF21" s="94">
        <v>341</v>
      </c>
      <c r="AG21" s="175">
        <v>20851</v>
      </c>
      <c r="AH21" s="140">
        <f t="shared" si="21"/>
        <v>5</v>
      </c>
      <c r="AI21" s="88">
        <v>15011628</v>
      </c>
      <c r="AJ21" s="89">
        <f t="shared" si="22"/>
        <v>5432</v>
      </c>
      <c r="AK21" s="94">
        <f t="shared" si="23"/>
        <v>1086.4000000000001</v>
      </c>
      <c r="AL21" s="88">
        <v>6874280</v>
      </c>
      <c r="AM21" s="89">
        <f t="shared" si="24"/>
        <v>2233</v>
      </c>
      <c r="AN21" s="94">
        <f t="shared" si="25"/>
        <v>446.6</v>
      </c>
      <c r="AO21" s="91">
        <v>247872</v>
      </c>
      <c r="AP21" s="89">
        <f t="shared" si="26"/>
        <v>143</v>
      </c>
      <c r="AQ21" s="94">
        <f t="shared" si="27"/>
        <v>28.6</v>
      </c>
      <c r="AR21" s="91">
        <v>8761</v>
      </c>
      <c r="AS21" s="89">
        <f t="shared" si="28"/>
        <v>5</v>
      </c>
      <c r="AT21" s="140">
        <f t="shared" si="29"/>
        <v>39.200000000000003</v>
      </c>
      <c r="AU21" s="88">
        <v>3306</v>
      </c>
      <c r="AV21" s="89">
        <f t="shared" si="30"/>
        <v>1</v>
      </c>
      <c r="AW21" s="94">
        <f t="shared" si="12"/>
        <v>7.84</v>
      </c>
      <c r="AX21" s="88">
        <v>170</v>
      </c>
      <c r="AY21" s="89">
        <f t="shared" si="31"/>
        <v>1</v>
      </c>
      <c r="AZ21" s="94">
        <f t="shared" si="32"/>
        <v>7.84</v>
      </c>
    </row>
    <row r="22" spans="1:52" s="3" customFormat="1" ht="27.95" customHeight="1" x14ac:dyDescent="0.25">
      <c r="A22" s="98">
        <v>45706</v>
      </c>
      <c r="B22" s="91">
        <v>21394100</v>
      </c>
      <c r="C22" s="89">
        <f t="shared" si="3"/>
        <v>7680</v>
      </c>
      <c r="D22" s="89">
        <v>22089225</v>
      </c>
      <c r="E22" s="89">
        <f t="shared" si="4"/>
        <v>7738</v>
      </c>
      <c r="F22" s="89">
        <v>490986</v>
      </c>
      <c r="G22" s="89">
        <f t="shared" si="13"/>
        <v>123</v>
      </c>
      <c r="H22" s="90">
        <f t="shared" si="0"/>
        <v>15541</v>
      </c>
      <c r="I22" s="109">
        <f t="shared" si="1"/>
        <v>3108.2000000000003</v>
      </c>
      <c r="J22" s="91">
        <v>111030</v>
      </c>
      <c r="K22" s="89">
        <f t="shared" si="14"/>
        <v>91</v>
      </c>
      <c r="L22" s="75">
        <f t="shared" si="2"/>
        <v>713.43999999999994</v>
      </c>
      <c r="M22" s="88">
        <v>41610</v>
      </c>
      <c r="N22" s="89">
        <f t="shared" si="15"/>
        <v>24</v>
      </c>
      <c r="O22" s="89">
        <v>24981</v>
      </c>
      <c r="P22" s="92">
        <f t="shared" si="16"/>
        <v>16</v>
      </c>
      <c r="Q22" s="92">
        <f t="shared" si="5"/>
        <v>40</v>
      </c>
      <c r="R22" s="93">
        <v>62542</v>
      </c>
      <c r="S22" s="92">
        <f t="shared" si="17"/>
        <v>40</v>
      </c>
      <c r="T22" s="102">
        <f t="shared" si="6"/>
        <v>42.228000000000002</v>
      </c>
      <c r="U22" s="101">
        <f t="shared" si="7"/>
        <v>698.75940000000003</v>
      </c>
      <c r="V22" s="143">
        <v>77646</v>
      </c>
      <c r="W22" s="191">
        <f t="shared" si="18"/>
        <v>22</v>
      </c>
      <c r="X22" s="192">
        <f t="shared" si="19"/>
        <v>6255.59</v>
      </c>
      <c r="Y22" s="193">
        <f t="shared" si="8"/>
        <v>2157.552991</v>
      </c>
      <c r="Z22" s="193">
        <f t="shared" si="20"/>
        <v>4886.0385863095235</v>
      </c>
      <c r="AA22" s="194">
        <f t="shared" si="9"/>
        <v>7043.5915773095239</v>
      </c>
      <c r="AB22" s="93">
        <v>1080193</v>
      </c>
      <c r="AC22" s="93">
        <f t="shared" si="10"/>
        <v>6907</v>
      </c>
      <c r="AD22" s="195">
        <f t="shared" si="11"/>
        <v>24.290914206333852</v>
      </c>
      <c r="AE22" s="174">
        <v>1</v>
      </c>
      <c r="AF22" s="94">
        <v>338</v>
      </c>
      <c r="AG22" s="175">
        <v>20856</v>
      </c>
      <c r="AH22" s="140">
        <f t="shared" si="21"/>
        <v>5</v>
      </c>
      <c r="AI22" s="88">
        <v>15017038</v>
      </c>
      <c r="AJ22" s="89">
        <f t="shared" si="22"/>
        <v>5410</v>
      </c>
      <c r="AK22" s="94">
        <f t="shared" si="23"/>
        <v>1082</v>
      </c>
      <c r="AL22" s="88">
        <v>6876499</v>
      </c>
      <c r="AM22" s="89">
        <f t="shared" si="24"/>
        <v>2219</v>
      </c>
      <c r="AN22" s="94">
        <f t="shared" si="25"/>
        <v>443.8</v>
      </c>
      <c r="AO22" s="91">
        <v>248008</v>
      </c>
      <c r="AP22" s="89">
        <f t="shared" si="26"/>
        <v>136</v>
      </c>
      <c r="AQ22" s="94">
        <f t="shared" si="27"/>
        <v>27.200000000000003</v>
      </c>
      <c r="AR22" s="91">
        <v>8766</v>
      </c>
      <c r="AS22" s="89">
        <f t="shared" si="28"/>
        <v>5</v>
      </c>
      <c r="AT22" s="140">
        <f t="shared" si="29"/>
        <v>39.200000000000003</v>
      </c>
      <c r="AU22" s="88">
        <v>3307</v>
      </c>
      <c r="AV22" s="89">
        <f t="shared" si="30"/>
        <v>1</v>
      </c>
      <c r="AW22" s="94">
        <f t="shared" si="12"/>
        <v>7.84</v>
      </c>
      <c r="AX22" s="88">
        <v>171</v>
      </c>
      <c r="AY22" s="89">
        <f t="shared" si="31"/>
        <v>1</v>
      </c>
      <c r="AZ22" s="94">
        <f t="shared" si="32"/>
        <v>7.84</v>
      </c>
    </row>
    <row r="23" spans="1:52" s="3" customFormat="1" ht="27.95" customHeight="1" x14ac:dyDescent="0.25">
      <c r="A23" s="98">
        <v>45707</v>
      </c>
      <c r="B23" s="91">
        <v>21402145</v>
      </c>
      <c r="C23" s="89">
        <f t="shared" si="3"/>
        <v>8045</v>
      </c>
      <c r="D23" s="89">
        <v>22097083</v>
      </c>
      <c r="E23" s="89">
        <f t="shared" si="4"/>
        <v>7858</v>
      </c>
      <c r="F23" s="89">
        <v>491119</v>
      </c>
      <c r="G23" s="89">
        <f t="shared" si="13"/>
        <v>133</v>
      </c>
      <c r="H23" s="90">
        <f t="shared" si="0"/>
        <v>16036</v>
      </c>
      <c r="I23" s="109">
        <f t="shared" si="1"/>
        <v>3207.2000000000003</v>
      </c>
      <c r="J23" s="91">
        <v>111128</v>
      </c>
      <c r="K23" s="89">
        <f t="shared" si="14"/>
        <v>98</v>
      </c>
      <c r="L23" s="75">
        <f t="shared" si="2"/>
        <v>768.31999999999994</v>
      </c>
      <c r="M23" s="88">
        <v>41637</v>
      </c>
      <c r="N23" s="89">
        <f t="shared" si="15"/>
        <v>27</v>
      </c>
      <c r="O23" s="89">
        <v>24996</v>
      </c>
      <c r="P23" s="92">
        <f t="shared" si="16"/>
        <v>15</v>
      </c>
      <c r="Q23" s="92">
        <f t="shared" si="5"/>
        <v>42</v>
      </c>
      <c r="R23" s="93">
        <v>62582</v>
      </c>
      <c r="S23" s="92">
        <f t="shared" si="17"/>
        <v>40</v>
      </c>
      <c r="T23" s="102">
        <f t="shared" si="6"/>
        <v>42.228000000000002</v>
      </c>
      <c r="U23" s="101">
        <f t="shared" si="7"/>
        <v>698.75940000000003</v>
      </c>
      <c r="V23" s="143">
        <v>77667</v>
      </c>
      <c r="W23" s="191">
        <f t="shared" si="18"/>
        <v>21</v>
      </c>
      <c r="X23" s="192">
        <f t="shared" si="19"/>
        <v>5971.2450000000008</v>
      </c>
      <c r="Y23" s="193">
        <f t="shared" si="8"/>
        <v>2059.4824005</v>
      </c>
      <c r="Z23" s="193">
        <f t="shared" si="20"/>
        <v>4886.0385863095235</v>
      </c>
      <c r="AA23" s="194">
        <f t="shared" si="9"/>
        <v>6945.5209868095235</v>
      </c>
      <c r="AB23" s="93">
        <v>1086920</v>
      </c>
      <c r="AC23" s="93">
        <f t="shared" si="10"/>
        <v>6727</v>
      </c>
      <c r="AD23" s="195">
        <f t="shared" si="11"/>
        <v>23.657880391777592</v>
      </c>
      <c r="AE23" s="174">
        <v>0.99680000000000002</v>
      </c>
      <c r="AF23" s="94">
        <v>342</v>
      </c>
      <c r="AG23" s="175">
        <v>20861</v>
      </c>
      <c r="AH23" s="140">
        <f t="shared" si="21"/>
        <v>5</v>
      </c>
      <c r="AI23" s="88">
        <v>15022669</v>
      </c>
      <c r="AJ23" s="89">
        <f t="shared" si="22"/>
        <v>5631</v>
      </c>
      <c r="AK23" s="94">
        <f t="shared" si="23"/>
        <v>1126.2</v>
      </c>
      <c r="AL23" s="88">
        <v>6878800</v>
      </c>
      <c r="AM23" s="89">
        <f t="shared" si="24"/>
        <v>2301</v>
      </c>
      <c r="AN23" s="94">
        <f t="shared" si="25"/>
        <v>460.20000000000005</v>
      </c>
      <c r="AO23" s="91">
        <v>248146</v>
      </c>
      <c r="AP23" s="89">
        <f t="shared" si="26"/>
        <v>138</v>
      </c>
      <c r="AQ23" s="94">
        <f t="shared" si="27"/>
        <v>27.6</v>
      </c>
      <c r="AR23" s="91">
        <v>8773</v>
      </c>
      <c r="AS23" s="89">
        <f t="shared" si="28"/>
        <v>7</v>
      </c>
      <c r="AT23" s="140">
        <f t="shared" si="29"/>
        <v>54.879999999999995</v>
      </c>
      <c r="AU23" s="88">
        <v>3308</v>
      </c>
      <c r="AV23" s="89">
        <f t="shared" si="30"/>
        <v>1</v>
      </c>
      <c r="AW23" s="94">
        <f t="shared" si="12"/>
        <v>7.84</v>
      </c>
      <c r="AX23" s="88">
        <v>172</v>
      </c>
      <c r="AY23" s="89">
        <f t="shared" si="31"/>
        <v>1</v>
      </c>
      <c r="AZ23" s="94">
        <f t="shared" si="32"/>
        <v>7.84</v>
      </c>
    </row>
    <row r="24" spans="1:52" s="3" customFormat="1" ht="27.95" customHeight="1" x14ac:dyDescent="0.25">
      <c r="A24" s="98">
        <v>45708</v>
      </c>
      <c r="B24" s="91">
        <v>21409916</v>
      </c>
      <c r="C24" s="89">
        <f t="shared" si="3"/>
        <v>7771</v>
      </c>
      <c r="D24" s="89">
        <v>22104554</v>
      </c>
      <c r="E24" s="89">
        <f t="shared" si="4"/>
        <v>7471</v>
      </c>
      <c r="F24" s="89">
        <v>491249</v>
      </c>
      <c r="G24" s="89">
        <f t="shared" si="13"/>
        <v>130</v>
      </c>
      <c r="H24" s="90">
        <f t="shared" si="0"/>
        <v>15372</v>
      </c>
      <c r="I24" s="109">
        <f t="shared" si="1"/>
        <v>3074.4</v>
      </c>
      <c r="J24" s="91">
        <v>111233</v>
      </c>
      <c r="K24" s="89">
        <f t="shared" si="14"/>
        <v>105</v>
      </c>
      <c r="L24" s="75">
        <f t="shared" si="2"/>
        <v>823.19999999999993</v>
      </c>
      <c r="M24" s="88">
        <v>41663</v>
      </c>
      <c r="N24" s="89">
        <f t="shared" si="15"/>
        <v>26</v>
      </c>
      <c r="O24" s="89">
        <v>25014</v>
      </c>
      <c r="P24" s="92">
        <f t="shared" si="16"/>
        <v>18</v>
      </c>
      <c r="Q24" s="92">
        <f t="shared" si="5"/>
        <v>44</v>
      </c>
      <c r="R24" s="93">
        <v>62626</v>
      </c>
      <c r="S24" s="92">
        <f t="shared" si="17"/>
        <v>44</v>
      </c>
      <c r="T24" s="102">
        <f t="shared" si="6"/>
        <v>46.450800000000001</v>
      </c>
      <c r="U24" s="101">
        <f t="shared" si="7"/>
        <v>745.42133999999999</v>
      </c>
      <c r="V24" s="143">
        <v>77687</v>
      </c>
      <c r="W24" s="191">
        <f t="shared" si="18"/>
        <v>20</v>
      </c>
      <c r="X24" s="192">
        <f t="shared" si="19"/>
        <v>5686.9000000000005</v>
      </c>
      <c r="Y24" s="193">
        <f t="shared" si="8"/>
        <v>1961.4118100000001</v>
      </c>
      <c r="Z24" s="193">
        <f t="shared" si="20"/>
        <v>4886.0385863095235</v>
      </c>
      <c r="AA24" s="194">
        <f t="shared" si="9"/>
        <v>6847.4503963095231</v>
      </c>
      <c r="AB24" s="93">
        <v>1093468</v>
      </c>
      <c r="AC24" s="93">
        <f t="shared" si="10"/>
        <v>6548</v>
      </c>
      <c r="AD24" s="195">
        <f t="shared" si="11"/>
        <v>23.028363431746644</v>
      </c>
      <c r="AE24" s="174">
        <v>0.90159999999999996</v>
      </c>
      <c r="AF24" s="94">
        <v>320</v>
      </c>
      <c r="AG24" s="175">
        <v>20865</v>
      </c>
      <c r="AH24" s="140">
        <f t="shared" si="21"/>
        <v>4</v>
      </c>
      <c r="AI24" s="88">
        <v>15028097</v>
      </c>
      <c r="AJ24" s="89">
        <f t="shared" si="22"/>
        <v>5428</v>
      </c>
      <c r="AK24" s="94">
        <f t="shared" si="23"/>
        <v>1085.6000000000001</v>
      </c>
      <c r="AL24" s="88">
        <v>6881015</v>
      </c>
      <c r="AM24" s="89">
        <f t="shared" si="24"/>
        <v>2215</v>
      </c>
      <c r="AN24" s="94">
        <f t="shared" si="25"/>
        <v>443</v>
      </c>
      <c r="AO24" s="91">
        <v>248292</v>
      </c>
      <c r="AP24" s="89">
        <f t="shared" si="26"/>
        <v>146</v>
      </c>
      <c r="AQ24" s="94">
        <f t="shared" si="27"/>
        <v>29.200000000000003</v>
      </c>
      <c r="AR24" s="144">
        <v>8779</v>
      </c>
      <c r="AS24" s="89">
        <f t="shared" si="28"/>
        <v>6</v>
      </c>
      <c r="AT24" s="140">
        <f t="shared" si="29"/>
        <v>47.04</v>
      </c>
      <c r="AU24" s="143">
        <v>3310</v>
      </c>
      <c r="AV24" s="89">
        <f t="shared" si="30"/>
        <v>2</v>
      </c>
      <c r="AW24" s="94">
        <f t="shared" si="12"/>
        <v>15.68</v>
      </c>
      <c r="AX24" s="88">
        <v>173</v>
      </c>
      <c r="AY24" s="89">
        <f t="shared" si="31"/>
        <v>1</v>
      </c>
      <c r="AZ24" s="94">
        <f t="shared" si="32"/>
        <v>7.84</v>
      </c>
    </row>
    <row r="25" spans="1:52" s="7" customFormat="1" ht="27.95" customHeight="1" x14ac:dyDescent="0.25">
      <c r="A25" s="98">
        <v>45709</v>
      </c>
      <c r="B25" s="91">
        <v>21417759</v>
      </c>
      <c r="C25" s="89">
        <f t="shared" si="3"/>
        <v>7843</v>
      </c>
      <c r="D25" s="89">
        <v>22112068</v>
      </c>
      <c r="E25" s="89">
        <f t="shared" si="4"/>
        <v>7514</v>
      </c>
      <c r="F25" s="89">
        <v>491384</v>
      </c>
      <c r="G25" s="89">
        <f t="shared" si="13"/>
        <v>135</v>
      </c>
      <c r="H25" s="90">
        <f t="shared" si="0"/>
        <v>15492</v>
      </c>
      <c r="I25" s="109">
        <f t="shared" si="1"/>
        <v>3098.4</v>
      </c>
      <c r="J25" s="91">
        <v>111324</v>
      </c>
      <c r="K25" s="89">
        <f t="shared" si="14"/>
        <v>91</v>
      </c>
      <c r="L25" s="75">
        <f t="shared" si="2"/>
        <v>713.43999999999994</v>
      </c>
      <c r="M25" s="88">
        <v>41687</v>
      </c>
      <c r="N25" s="89">
        <f t="shared" si="15"/>
        <v>24</v>
      </c>
      <c r="O25" s="89">
        <v>25026</v>
      </c>
      <c r="P25" s="92">
        <f t="shared" si="16"/>
        <v>12</v>
      </c>
      <c r="Q25" s="92">
        <f t="shared" si="5"/>
        <v>36</v>
      </c>
      <c r="R25" s="93">
        <v>62661</v>
      </c>
      <c r="S25" s="92">
        <f t="shared" si="17"/>
        <v>35</v>
      </c>
      <c r="T25" s="102">
        <f t="shared" si="6"/>
        <v>36.9495</v>
      </c>
      <c r="U25" s="101">
        <f t="shared" si="7"/>
        <v>640.43197499999997</v>
      </c>
      <c r="V25" s="143">
        <v>77713</v>
      </c>
      <c r="W25" s="191">
        <f t="shared" si="18"/>
        <v>26</v>
      </c>
      <c r="X25" s="192">
        <f t="shared" si="19"/>
        <v>7392.9700000000012</v>
      </c>
      <c r="Y25" s="193">
        <f t="shared" si="8"/>
        <v>2549.8353530000004</v>
      </c>
      <c r="Z25" s="193">
        <f t="shared" si="20"/>
        <v>4886.0385863095235</v>
      </c>
      <c r="AA25" s="194">
        <f t="shared" si="9"/>
        <v>7435.8739393095238</v>
      </c>
      <c r="AB25" s="93">
        <v>1100882</v>
      </c>
      <c r="AC25" s="93">
        <f t="shared" si="10"/>
        <v>7414</v>
      </c>
      <c r="AD25" s="195">
        <f t="shared" si="11"/>
        <v>26.073959450667321</v>
      </c>
      <c r="AE25" s="180">
        <v>0.86350000000000005</v>
      </c>
      <c r="AF25" s="181">
        <v>354</v>
      </c>
      <c r="AG25" s="182">
        <v>20871</v>
      </c>
      <c r="AH25" s="140">
        <f t="shared" si="21"/>
        <v>6</v>
      </c>
      <c r="AI25" s="143">
        <v>15033446</v>
      </c>
      <c r="AJ25" s="89">
        <f t="shared" si="22"/>
        <v>5349</v>
      </c>
      <c r="AK25" s="94">
        <f t="shared" si="23"/>
        <v>1069.8</v>
      </c>
      <c r="AL25" s="143">
        <v>6883210</v>
      </c>
      <c r="AM25" s="89">
        <f t="shared" si="24"/>
        <v>2195</v>
      </c>
      <c r="AN25" s="94">
        <f t="shared" si="25"/>
        <v>439</v>
      </c>
      <c r="AO25" s="144">
        <v>248595</v>
      </c>
      <c r="AP25" s="89">
        <f t="shared" si="26"/>
        <v>303</v>
      </c>
      <c r="AQ25" s="94">
        <f t="shared" si="27"/>
        <v>60.6</v>
      </c>
      <c r="AR25" s="91">
        <v>8784</v>
      </c>
      <c r="AS25" s="89">
        <f t="shared" si="28"/>
        <v>5</v>
      </c>
      <c r="AT25" s="140">
        <f t="shared" si="29"/>
        <v>39.200000000000003</v>
      </c>
      <c r="AU25" s="88">
        <v>3311</v>
      </c>
      <c r="AV25" s="89">
        <f t="shared" si="30"/>
        <v>1</v>
      </c>
      <c r="AW25" s="94">
        <f t="shared" si="12"/>
        <v>7.84</v>
      </c>
      <c r="AX25" s="143">
        <v>174</v>
      </c>
      <c r="AY25" s="89">
        <f t="shared" si="31"/>
        <v>1</v>
      </c>
      <c r="AZ25" s="94">
        <f t="shared" si="32"/>
        <v>7.84</v>
      </c>
    </row>
    <row r="26" spans="1:52" s="3" customFormat="1" ht="27.95" customHeight="1" x14ac:dyDescent="0.25">
      <c r="A26" s="98">
        <v>45710</v>
      </c>
      <c r="B26" s="91">
        <v>21425812</v>
      </c>
      <c r="C26" s="89">
        <f t="shared" si="3"/>
        <v>8053</v>
      </c>
      <c r="D26" s="89">
        <v>22119606</v>
      </c>
      <c r="E26" s="89">
        <f t="shared" si="4"/>
        <v>7538</v>
      </c>
      <c r="F26" s="89">
        <v>491509</v>
      </c>
      <c r="G26" s="89">
        <f t="shared" si="13"/>
        <v>125</v>
      </c>
      <c r="H26" s="90">
        <f t="shared" si="0"/>
        <v>15716</v>
      </c>
      <c r="I26" s="109">
        <f t="shared" si="1"/>
        <v>3143.2000000000003</v>
      </c>
      <c r="J26" s="91">
        <v>111433</v>
      </c>
      <c r="K26" s="89">
        <f t="shared" si="14"/>
        <v>109</v>
      </c>
      <c r="L26" s="75">
        <f t="shared" si="2"/>
        <v>854.56</v>
      </c>
      <c r="M26" s="88">
        <v>41708</v>
      </c>
      <c r="N26" s="89">
        <f t="shared" si="15"/>
        <v>21</v>
      </c>
      <c r="O26" s="89">
        <v>25039</v>
      </c>
      <c r="P26" s="92">
        <f t="shared" si="16"/>
        <v>13</v>
      </c>
      <c r="Q26" s="92">
        <f t="shared" si="5"/>
        <v>34</v>
      </c>
      <c r="R26" s="93">
        <v>62694</v>
      </c>
      <c r="S26" s="92">
        <f t="shared" si="17"/>
        <v>33</v>
      </c>
      <c r="T26" s="102">
        <f t="shared" si="6"/>
        <v>34.838100000000004</v>
      </c>
      <c r="U26" s="101">
        <f t="shared" si="7"/>
        <v>617.10100499999999</v>
      </c>
      <c r="V26" s="143">
        <v>77738</v>
      </c>
      <c r="W26" s="191">
        <f t="shared" si="18"/>
        <v>25</v>
      </c>
      <c r="X26" s="192">
        <f t="shared" si="19"/>
        <v>7108.6250000000009</v>
      </c>
      <c r="Y26" s="193">
        <f t="shared" si="8"/>
        <v>2451.7647625000004</v>
      </c>
      <c r="Z26" s="193">
        <f t="shared" si="20"/>
        <v>4886.0385863095235</v>
      </c>
      <c r="AA26" s="194">
        <f t="shared" si="9"/>
        <v>7337.8033488095243</v>
      </c>
      <c r="AB26" s="93">
        <v>1108382</v>
      </c>
      <c r="AC26" s="93">
        <f t="shared" si="10"/>
        <v>7500</v>
      </c>
      <c r="AD26" s="195">
        <f t="shared" si="11"/>
        <v>26.3764089398442</v>
      </c>
      <c r="AE26" s="174">
        <v>0.76829999999999998</v>
      </c>
      <c r="AF26" s="94">
        <v>336</v>
      </c>
      <c r="AG26" s="175">
        <v>20875</v>
      </c>
      <c r="AH26" s="140">
        <f t="shared" si="21"/>
        <v>4</v>
      </c>
      <c r="AI26" s="88">
        <v>15037948</v>
      </c>
      <c r="AJ26" s="89">
        <f t="shared" si="22"/>
        <v>4502</v>
      </c>
      <c r="AK26" s="94">
        <f t="shared" si="23"/>
        <v>900.40000000000009</v>
      </c>
      <c r="AL26" s="88">
        <v>6885306</v>
      </c>
      <c r="AM26" s="89">
        <f t="shared" si="24"/>
        <v>2096</v>
      </c>
      <c r="AN26" s="94">
        <f t="shared" si="25"/>
        <v>419.20000000000005</v>
      </c>
      <c r="AO26" s="91">
        <v>248963</v>
      </c>
      <c r="AP26" s="89">
        <f t="shared" si="26"/>
        <v>368</v>
      </c>
      <c r="AQ26" s="94">
        <f t="shared" si="27"/>
        <v>73.600000000000009</v>
      </c>
      <c r="AR26" s="91">
        <v>8788</v>
      </c>
      <c r="AS26" s="89">
        <f t="shared" si="28"/>
        <v>4</v>
      </c>
      <c r="AT26" s="140">
        <f t="shared" si="29"/>
        <v>31.36</v>
      </c>
      <c r="AU26" s="88">
        <v>3311</v>
      </c>
      <c r="AV26" s="89">
        <f t="shared" si="30"/>
        <v>0</v>
      </c>
      <c r="AW26" s="94">
        <f t="shared" si="12"/>
        <v>0</v>
      </c>
      <c r="AX26" s="88">
        <v>175</v>
      </c>
      <c r="AY26" s="89">
        <f t="shared" si="31"/>
        <v>1</v>
      </c>
      <c r="AZ26" s="94">
        <f t="shared" si="32"/>
        <v>7.84</v>
      </c>
    </row>
    <row r="27" spans="1:52" s="3" customFormat="1" ht="27.95" customHeight="1" x14ac:dyDescent="0.25">
      <c r="A27" s="98">
        <v>45711</v>
      </c>
      <c r="B27" s="91">
        <v>21433609</v>
      </c>
      <c r="C27" s="89">
        <f t="shared" si="3"/>
        <v>7797</v>
      </c>
      <c r="D27" s="89">
        <v>22127176</v>
      </c>
      <c r="E27" s="89">
        <f t="shared" si="4"/>
        <v>7570</v>
      </c>
      <c r="F27" s="89">
        <v>491628</v>
      </c>
      <c r="G27" s="89">
        <f>IF(ISBLANK(F27),"0",F27-F26)</f>
        <v>119</v>
      </c>
      <c r="H27" s="90">
        <f t="shared" si="0"/>
        <v>15486</v>
      </c>
      <c r="I27" s="109">
        <f t="shared" si="1"/>
        <v>3097.2000000000003</v>
      </c>
      <c r="J27" s="91">
        <v>111530</v>
      </c>
      <c r="K27" s="89">
        <f>IF(ISBLANK(J27),"0",J27-J26)</f>
        <v>97</v>
      </c>
      <c r="L27" s="75">
        <f t="shared" si="2"/>
        <v>760.48</v>
      </c>
      <c r="M27" s="88">
        <v>41727</v>
      </c>
      <c r="N27" s="89">
        <f t="shared" si="15"/>
        <v>19</v>
      </c>
      <c r="O27" s="89">
        <v>25052</v>
      </c>
      <c r="P27" s="92">
        <f t="shared" si="16"/>
        <v>13</v>
      </c>
      <c r="Q27" s="92">
        <f t="shared" si="5"/>
        <v>32</v>
      </c>
      <c r="R27" s="93">
        <v>62725</v>
      </c>
      <c r="S27" s="92">
        <f t="shared" si="17"/>
        <v>31</v>
      </c>
      <c r="T27" s="102">
        <f t="shared" si="6"/>
        <v>32.726700000000001</v>
      </c>
      <c r="U27" s="101">
        <f t="shared" si="7"/>
        <v>593.77003500000001</v>
      </c>
      <c r="V27" s="143">
        <v>77766</v>
      </c>
      <c r="W27" s="191">
        <f t="shared" si="18"/>
        <v>28</v>
      </c>
      <c r="X27" s="192">
        <f t="shared" si="19"/>
        <v>7961.6600000000008</v>
      </c>
      <c r="Y27" s="193">
        <f t="shared" si="8"/>
        <v>2745.9765340000004</v>
      </c>
      <c r="Z27" s="193">
        <f t="shared" si="20"/>
        <v>4886.0385863095235</v>
      </c>
      <c r="AA27" s="194">
        <f t="shared" si="9"/>
        <v>7632.0151203095238</v>
      </c>
      <c r="AB27" s="93">
        <v>1115699</v>
      </c>
      <c r="AC27" s="93">
        <f t="shared" si="10"/>
        <v>7317</v>
      </c>
      <c r="AD27" s="195">
        <f t="shared" si="11"/>
        <v>25.732824561712004</v>
      </c>
      <c r="AE27" s="174">
        <v>0.73970000000000002</v>
      </c>
      <c r="AF27" s="94">
        <v>311</v>
      </c>
      <c r="AG27" s="175">
        <v>20880</v>
      </c>
      <c r="AH27" s="140">
        <f t="shared" si="21"/>
        <v>5</v>
      </c>
      <c r="AI27" s="88">
        <v>15042375</v>
      </c>
      <c r="AJ27" s="89">
        <f t="shared" si="22"/>
        <v>4427</v>
      </c>
      <c r="AK27" s="94">
        <f t="shared" si="23"/>
        <v>885.40000000000009</v>
      </c>
      <c r="AL27" s="88">
        <v>6887364</v>
      </c>
      <c r="AM27" s="89">
        <f t="shared" si="24"/>
        <v>2058</v>
      </c>
      <c r="AN27" s="94">
        <f t="shared" si="25"/>
        <v>411.6</v>
      </c>
      <c r="AO27" s="91">
        <v>249361</v>
      </c>
      <c r="AP27" s="89">
        <f t="shared" si="26"/>
        <v>398</v>
      </c>
      <c r="AQ27" s="94">
        <f t="shared" si="27"/>
        <v>79.600000000000009</v>
      </c>
      <c r="AR27" s="91">
        <v>8793</v>
      </c>
      <c r="AS27" s="89">
        <f t="shared" si="28"/>
        <v>5</v>
      </c>
      <c r="AT27" s="140">
        <f t="shared" si="29"/>
        <v>39.200000000000003</v>
      </c>
      <c r="AU27" s="88">
        <v>3313</v>
      </c>
      <c r="AV27" s="89">
        <f t="shared" si="30"/>
        <v>2</v>
      </c>
      <c r="AW27" s="94">
        <f t="shared" si="12"/>
        <v>15.68</v>
      </c>
      <c r="AX27" s="88">
        <v>176</v>
      </c>
      <c r="AY27" s="89">
        <f t="shared" si="31"/>
        <v>1</v>
      </c>
      <c r="AZ27" s="94">
        <f t="shared" si="32"/>
        <v>7.84</v>
      </c>
    </row>
    <row r="28" spans="1:52" s="3" customFormat="1" ht="27.95" customHeight="1" x14ac:dyDescent="0.25">
      <c r="A28" s="98">
        <v>45712</v>
      </c>
      <c r="B28" s="91">
        <v>21441587</v>
      </c>
      <c r="C28" s="89">
        <f t="shared" si="3"/>
        <v>7978</v>
      </c>
      <c r="D28" s="89">
        <v>22134734</v>
      </c>
      <c r="E28" s="89">
        <f t="shared" si="4"/>
        <v>7558</v>
      </c>
      <c r="F28" s="89">
        <v>491747</v>
      </c>
      <c r="G28" s="89">
        <f t="shared" si="13"/>
        <v>119</v>
      </c>
      <c r="H28" s="90">
        <f t="shared" si="0"/>
        <v>15655</v>
      </c>
      <c r="I28" s="109">
        <f t="shared" si="1"/>
        <v>3131</v>
      </c>
      <c r="J28" s="91">
        <v>111633</v>
      </c>
      <c r="K28" s="89">
        <f t="shared" si="14"/>
        <v>103</v>
      </c>
      <c r="L28" s="75">
        <f t="shared" si="2"/>
        <v>807.52</v>
      </c>
      <c r="M28" s="88">
        <v>41745</v>
      </c>
      <c r="N28" s="89">
        <f t="shared" si="15"/>
        <v>18</v>
      </c>
      <c r="O28" s="89">
        <v>25063</v>
      </c>
      <c r="P28" s="92">
        <f t="shared" si="16"/>
        <v>11</v>
      </c>
      <c r="Q28" s="92">
        <f t="shared" si="5"/>
        <v>29</v>
      </c>
      <c r="R28" s="93">
        <v>62754</v>
      </c>
      <c r="S28" s="92">
        <f t="shared" si="17"/>
        <v>29</v>
      </c>
      <c r="T28" s="102">
        <f t="shared" si="6"/>
        <v>30.615300000000001</v>
      </c>
      <c r="U28" s="101">
        <f t="shared" si="7"/>
        <v>570.43906500000003</v>
      </c>
      <c r="V28" s="143">
        <v>77792</v>
      </c>
      <c r="W28" s="191">
        <f t="shared" si="18"/>
        <v>26</v>
      </c>
      <c r="X28" s="192">
        <f t="shared" si="19"/>
        <v>7392.9700000000012</v>
      </c>
      <c r="Y28" s="193">
        <f t="shared" si="8"/>
        <v>2549.8353530000004</v>
      </c>
      <c r="Z28" s="193">
        <f t="shared" si="20"/>
        <v>4886.0385863095235</v>
      </c>
      <c r="AA28" s="194">
        <f t="shared" si="9"/>
        <v>7435.8739393095238</v>
      </c>
      <c r="AB28" s="93">
        <v>1123161</v>
      </c>
      <c r="AC28" s="93">
        <f t="shared" si="10"/>
        <v>7462</v>
      </c>
      <c r="AD28" s="195">
        <f t="shared" si="11"/>
        <v>26.242768467882325</v>
      </c>
      <c r="AE28" s="174">
        <v>0.8</v>
      </c>
      <c r="AF28" s="94">
        <v>317</v>
      </c>
      <c r="AG28" s="175">
        <v>20885</v>
      </c>
      <c r="AH28" s="140">
        <f t="shared" si="21"/>
        <v>5</v>
      </c>
      <c r="AI28" s="88">
        <v>15047861</v>
      </c>
      <c r="AJ28" s="89">
        <f t="shared" si="22"/>
        <v>5486</v>
      </c>
      <c r="AK28" s="94">
        <f t="shared" si="23"/>
        <v>1097.2</v>
      </c>
      <c r="AL28" s="88">
        <v>6889592</v>
      </c>
      <c r="AM28" s="89">
        <f t="shared" si="24"/>
        <v>2228</v>
      </c>
      <c r="AN28" s="94">
        <f t="shared" si="25"/>
        <v>445.6</v>
      </c>
      <c r="AO28" s="91">
        <v>249638</v>
      </c>
      <c r="AP28" s="89">
        <f t="shared" si="26"/>
        <v>277</v>
      </c>
      <c r="AQ28" s="94">
        <f t="shared" si="27"/>
        <v>55.400000000000006</v>
      </c>
      <c r="AR28" s="91">
        <v>8798</v>
      </c>
      <c r="AS28" s="89">
        <f t="shared" si="28"/>
        <v>5</v>
      </c>
      <c r="AT28" s="140">
        <f t="shared" si="29"/>
        <v>39.200000000000003</v>
      </c>
      <c r="AU28" s="88">
        <v>3314</v>
      </c>
      <c r="AV28" s="89">
        <f t="shared" si="30"/>
        <v>1</v>
      </c>
      <c r="AW28" s="94">
        <f t="shared" si="12"/>
        <v>7.84</v>
      </c>
      <c r="AX28" s="88">
        <v>177</v>
      </c>
      <c r="AY28" s="89">
        <f t="shared" si="31"/>
        <v>1</v>
      </c>
      <c r="AZ28" s="94">
        <f t="shared" si="32"/>
        <v>7.84</v>
      </c>
    </row>
    <row r="29" spans="1:52" s="3" customFormat="1" ht="27.95" customHeight="1" x14ac:dyDescent="0.25">
      <c r="A29" s="98">
        <v>45713</v>
      </c>
      <c r="B29" s="91">
        <v>21449739</v>
      </c>
      <c r="C29" s="89">
        <f t="shared" si="3"/>
        <v>8152</v>
      </c>
      <c r="D29" s="89">
        <v>22142667</v>
      </c>
      <c r="E29" s="89">
        <f t="shared" si="4"/>
        <v>7933</v>
      </c>
      <c r="F29" s="89">
        <v>491875</v>
      </c>
      <c r="G29" s="89">
        <f t="shared" si="13"/>
        <v>128</v>
      </c>
      <c r="H29" s="90">
        <f t="shared" si="0"/>
        <v>16213</v>
      </c>
      <c r="I29" s="109">
        <f t="shared" si="1"/>
        <v>3242.6000000000004</v>
      </c>
      <c r="J29" s="91">
        <v>111719</v>
      </c>
      <c r="K29" s="89">
        <f t="shared" si="14"/>
        <v>86</v>
      </c>
      <c r="L29" s="75">
        <f t="shared" si="2"/>
        <v>674.24</v>
      </c>
      <c r="M29" s="88">
        <v>41763</v>
      </c>
      <c r="N29" s="89">
        <f t="shared" si="15"/>
        <v>18</v>
      </c>
      <c r="O29" s="89">
        <v>25077</v>
      </c>
      <c r="P29" s="92">
        <f t="shared" si="16"/>
        <v>14</v>
      </c>
      <c r="Q29" s="92">
        <f t="shared" si="5"/>
        <v>32</v>
      </c>
      <c r="R29" s="93">
        <v>62785</v>
      </c>
      <c r="S29" s="92">
        <f t="shared" si="17"/>
        <v>31</v>
      </c>
      <c r="T29" s="102">
        <f t="shared" si="6"/>
        <v>32.726700000000001</v>
      </c>
      <c r="U29" s="101">
        <f t="shared" si="7"/>
        <v>593.77003500000001</v>
      </c>
      <c r="V29" s="143">
        <v>77814</v>
      </c>
      <c r="W29" s="191">
        <f t="shared" si="18"/>
        <v>22</v>
      </c>
      <c r="X29" s="192">
        <f t="shared" si="19"/>
        <v>6255.59</v>
      </c>
      <c r="Y29" s="193">
        <f t="shared" si="8"/>
        <v>2157.552991</v>
      </c>
      <c r="Z29" s="193">
        <f t="shared" si="20"/>
        <v>4886.0385863095235</v>
      </c>
      <c r="AA29" s="194">
        <f t="shared" si="9"/>
        <v>7043.5915773095239</v>
      </c>
      <c r="AB29" s="93">
        <v>1129554</v>
      </c>
      <c r="AC29" s="93">
        <f t="shared" si="10"/>
        <v>6393</v>
      </c>
      <c r="AD29" s="195">
        <f t="shared" si="11"/>
        <v>22.483250980323195</v>
      </c>
      <c r="AE29" s="174">
        <v>0.92700000000000005</v>
      </c>
      <c r="AF29" s="94">
        <v>364</v>
      </c>
      <c r="AG29" s="175">
        <v>20890</v>
      </c>
      <c r="AH29" s="140">
        <f t="shared" si="21"/>
        <v>5</v>
      </c>
      <c r="AI29" s="88">
        <v>15053373</v>
      </c>
      <c r="AJ29" s="89">
        <f t="shared" si="22"/>
        <v>5512</v>
      </c>
      <c r="AK29" s="94">
        <f t="shared" si="23"/>
        <v>1102.4000000000001</v>
      </c>
      <c r="AL29" s="88">
        <v>6891836</v>
      </c>
      <c r="AM29" s="89">
        <f t="shared" si="24"/>
        <v>2244</v>
      </c>
      <c r="AN29" s="94">
        <f t="shared" si="25"/>
        <v>448.8</v>
      </c>
      <c r="AO29" s="91">
        <v>249915</v>
      </c>
      <c r="AP29" s="89">
        <f t="shared" si="26"/>
        <v>277</v>
      </c>
      <c r="AQ29" s="94">
        <f t="shared" si="27"/>
        <v>55.400000000000006</v>
      </c>
      <c r="AR29" s="91">
        <v>8807</v>
      </c>
      <c r="AS29" s="89">
        <f t="shared" si="28"/>
        <v>9</v>
      </c>
      <c r="AT29" s="140">
        <f t="shared" si="29"/>
        <v>70.56</v>
      </c>
      <c r="AU29" s="88">
        <v>3315</v>
      </c>
      <c r="AV29" s="89">
        <f t="shared" si="30"/>
        <v>1</v>
      </c>
      <c r="AW29" s="94">
        <f t="shared" si="12"/>
        <v>7.84</v>
      </c>
      <c r="AX29" s="88">
        <v>178</v>
      </c>
      <c r="AY29" s="89">
        <f t="shared" si="31"/>
        <v>1</v>
      </c>
      <c r="AZ29" s="94">
        <f t="shared" si="32"/>
        <v>7.84</v>
      </c>
    </row>
    <row r="30" spans="1:52" s="3" customFormat="1" ht="27.95" customHeight="1" x14ac:dyDescent="0.25">
      <c r="A30" s="98">
        <v>45714</v>
      </c>
      <c r="B30" s="91">
        <v>21457642</v>
      </c>
      <c r="C30" s="89">
        <f t="shared" si="3"/>
        <v>7903</v>
      </c>
      <c r="D30" s="89">
        <v>22150521</v>
      </c>
      <c r="E30" s="89">
        <f t="shared" si="4"/>
        <v>7854</v>
      </c>
      <c r="F30" s="89">
        <v>491999</v>
      </c>
      <c r="G30" s="89">
        <f t="shared" si="13"/>
        <v>124</v>
      </c>
      <c r="H30" s="90">
        <f t="shared" si="0"/>
        <v>15881</v>
      </c>
      <c r="I30" s="109">
        <f t="shared" si="1"/>
        <v>3176.2000000000003</v>
      </c>
      <c r="J30" s="91">
        <v>111828</v>
      </c>
      <c r="K30" s="89">
        <f t="shared" si="14"/>
        <v>109</v>
      </c>
      <c r="L30" s="75">
        <f t="shared" si="2"/>
        <v>854.56</v>
      </c>
      <c r="M30" s="88">
        <v>41782</v>
      </c>
      <c r="N30" s="89">
        <f t="shared" si="15"/>
        <v>19</v>
      </c>
      <c r="O30" s="89">
        <v>25091</v>
      </c>
      <c r="P30" s="92">
        <f t="shared" si="16"/>
        <v>14</v>
      </c>
      <c r="Q30" s="92">
        <f t="shared" si="5"/>
        <v>33</v>
      </c>
      <c r="R30" s="93">
        <v>62816</v>
      </c>
      <c r="S30" s="92">
        <f t="shared" si="17"/>
        <v>31</v>
      </c>
      <c r="T30" s="102">
        <f t="shared" si="6"/>
        <v>32.726700000000001</v>
      </c>
      <c r="U30" s="101">
        <f t="shared" si="7"/>
        <v>593.77003500000001</v>
      </c>
      <c r="V30" s="143">
        <v>77831</v>
      </c>
      <c r="W30" s="191">
        <f t="shared" si="18"/>
        <v>17</v>
      </c>
      <c r="X30" s="192">
        <f t="shared" si="19"/>
        <v>4833.8650000000007</v>
      </c>
      <c r="Y30" s="193">
        <f t="shared" si="8"/>
        <v>1667.2000385000001</v>
      </c>
      <c r="Z30" s="193">
        <f t="shared" si="20"/>
        <v>4886.0385863095235</v>
      </c>
      <c r="AA30" s="194">
        <f t="shared" si="9"/>
        <v>6553.2386248095236</v>
      </c>
      <c r="AB30" s="93">
        <v>1134720</v>
      </c>
      <c r="AC30" s="93">
        <f t="shared" si="10"/>
        <v>5166</v>
      </c>
      <c r="AD30" s="195">
        <f t="shared" si="11"/>
        <v>18.168070477764687</v>
      </c>
      <c r="AE30" s="174">
        <v>0.94920000000000004</v>
      </c>
      <c r="AF30" s="94">
        <v>380</v>
      </c>
      <c r="AG30" s="175">
        <v>20894</v>
      </c>
      <c r="AH30" s="140">
        <f t="shared" si="21"/>
        <v>4</v>
      </c>
      <c r="AI30" s="88">
        <v>15058775</v>
      </c>
      <c r="AJ30" s="89">
        <f t="shared" si="22"/>
        <v>5402</v>
      </c>
      <c r="AK30" s="94">
        <f t="shared" si="23"/>
        <v>1080.4000000000001</v>
      </c>
      <c r="AL30" s="88">
        <v>6894045</v>
      </c>
      <c r="AM30" s="89">
        <f t="shared" si="24"/>
        <v>2209</v>
      </c>
      <c r="AN30" s="94">
        <f t="shared" si="25"/>
        <v>441.8</v>
      </c>
      <c r="AO30" s="91">
        <v>250143</v>
      </c>
      <c r="AP30" s="89">
        <f t="shared" si="26"/>
        <v>228</v>
      </c>
      <c r="AQ30" s="94">
        <f t="shared" si="27"/>
        <v>45.6</v>
      </c>
      <c r="AR30" s="91">
        <v>8809</v>
      </c>
      <c r="AS30" s="89">
        <f t="shared" si="28"/>
        <v>2</v>
      </c>
      <c r="AT30" s="140">
        <f t="shared" si="29"/>
        <v>15.68</v>
      </c>
      <c r="AU30" s="88">
        <v>3317</v>
      </c>
      <c r="AV30" s="89">
        <f t="shared" si="30"/>
        <v>2</v>
      </c>
      <c r="AW30" s="94">
        <f t="shared" si="12"/>
        <v>15.68</v>
      </c>
      <c r="AX30" s="88">
        <v>179</v>
      </c>
      <c r="AY30" s="89">
        <f t="shared" si="31"/>
        <v>1</v>
      </c>
      <c r="AZ30" s="94">
        <f t="shared" si="32"/>
        <v>7.84</v>
      </c>
    </row>
    <row r="31" spans="1:52" s="3" customFormat="1" ht="27.95" customHeight="1" x14ac:dyDescent="0.25">
      <c r="A31" s="98">
        <v>45715</v>
      </c>
      <c r="B31" s="91">
        <v>21465482</v>
      </c>
      <c r="C31" s="89">
        <f t="shared" si="3"/>
        <v>7840</v>
      </c>
      <c r="D31" s="89">
        <v>22158203</v>
      </c>
      <c r="E31" s="89">
        <f t="shared" si="4"/>
        <v>7682</v>
      </c>
      <c r="F31" s="89">
        <v>492114</v>
      </c>
      <c r="G31" s="89">
        <f t="shared" si="13"/>
        <v>115</v>
      </c>
      <c r="H31" s="90">
        <f t="shared" si="0"/>
        <v>15637</v>
      </c>
      <c r="I31" s="109">
        <f t="shared" si="1"/>
        <v>3127.4</v>
      </c>
      <c r="J31" s="91">
        <v>111926</v>
      </c>
      <c r="K31" s="89">
        <f t="shared" si="14"/>
        <v>98</v>
      </c>
      <c r="L31" s="75">
        <f t="shared" si="2"/>
        <v>768.31999999999994</v>
      </c>
      <c r="M31" s="88">
        <v>41799</v>
      </c>
      <c r="N31" s="89">
        <f t="shared" si="15"/>
        <v>17</v>
      </c>
      <c r="O31" s="89">
        <v>25105</v>
      </c>
      <c r="P31" s="92">
        <f t="shared" si="16"/>
        <v>14</v>
      </c>
      <c r="Q31" s="92">
        <f t="shared" si="5"/>
        <v>31</v>
      </c>
      <c r="R31" s="93">
        <v>62846</v>
      </c>
      <c r="S31" s="92">
        <f t="shared" si="17"/>
        <v>30</v>
      </c>
      <c r="T31" s="102">
        <f t="shared" si="6"/>
        <v>31.671000000000003</v>
      </c>
      <c r="U31" s="101">
        <f t="shared" si="7"/>
        <v>582.10455000000002</v>
      </c>
      <c r="V31" s="143">
        <v>77848</v>
      </c>
      <c r="W31" s="191">
        <f t="shared" si="18"/>
        <v>17</v>
      </c>
      <c r="X31" s="192">
        <f t="shared" si="19"/>
        <v>4833.8650000000007</v>
      </c>
      <c r="Y31" s="193">
        <f t="shared" si="8"/>
        <v>1667.2000385000001</v>
      </c>
      <c r="Z31" s="193">
        <f t="shared" si="20"/>
        <v>4886.0385863095235</v>
      </c>
      <c r="AA31" s="194">
        <f t="shared" si="9"/>
        <v>6553.2386248095236</v>
      </c>
      <c r="AB31" s="93">
        <v>1139920</v>
      </c>
      <c r="AC31" s="93">
        <f t="shared" si="10"/>
        <v>5200</v>
      </c>
      <c r="AD31" s="195">
        <f t="shared" si="11"/>
        <v>18.287643531625314</v>
      </c>
      <c r="AE31" s="174">
        <v>0.79679999999999995</v>
      </c>
      <c r="AF31" s="94">
        <v>316</v>
      </c>
      <c r="AG31" s="175">
        <v>20896</v>
      </c>
      <c r="AH31" s="140">
        <f t="shared" si="21"/>
        <v>2</v>
      </c>
      <c r="AI31" s="88">
        <v>15064176</v>
      </c>
      <c r="AJ31" s="89">
        <f t="shared" si="22"/>
        <v>5401</v>
      </c>
      <c r="AK31" s="94">
        <f t="shared" si="23"/>
        <v>1080.2</v>
      </c>
      <c r="AL31" s="88">
        <v>6896218</v>
      </c>
      <c r="AM31" s="89">
        <f t="shared" si="24"/>
        <v>2173</v>
      </c>
      <c r="AN31" s="94">
        <f t="shared" si="25"/>
        <v>434.6</v>
      </c>
      <c r="AO31" s="91">
        <v>250376</v>
      </c>
      <c r="AP31" s="89">
        <f t="shared" si="26"/>
        <v>233</v>
      </c>
      <c r="AQ31" s="94">
        <f t="shared" si="27"/>
        <v>46.6</v>
      </c>
      <c r="AR31" s="91">
        <v>8813</v>
      </c>
      <c r="AS31" s="89">
        <f t="shared" si="28"/>
        <v>4</v>
      </c>
      <c r="AT31" s="140">
        <f t="shared" si="29"/>
        <v>31.36</v>
      </c>
      <c r="AU31" s="88">
        <v>3318</v>
      </c>
      <c r="AV31" s="89">
        <f t="shared" si="30"/>
        <v>1</v>
      </c>
      <c r="AW31" s="94">
        <f t="shared" si="12"/>
        <v>7.84</v>
      </c>
      <c r="AX31" s="88">
        <v>180</v>
      </c>
      <c r="AY31" s="89">
        <f t="shared" si="31"/>
        <v>1</v>
      </c>
      <c r="AZ31" s="94">
        <f t="shared" si="32"/>
        <v>7.84</v>
      </c>
    </row>
    <row r="32" spans="1:52" s="3" customFormat="1" ht="27.95" customHeight="1" thickBot="1" x14ac:dyDescent="0.3">
      <c r="A32" s="98">
        <v>45716</v>
      </c>
      <c r="B32" s="91">
        <v>21473167</v>
      </c>
      <c r="C32" s="89">
        <f t="shared" si="3"/>
        <v>7685</v>
      </c>
      <c r="D32" s="89">
        <v>22165830</v>
      </c>
      <c r="E32" s="89">
        <f t="shared" si="4"/>
        <v>7627</v>
      </c>
      <c r="F32" s="89">
        <v>492235</v>
      </c>
      <c r="G32" s="89">
        <f t="shared" si="13"/>
        <v>121</v>
      </c>
      <c r="H32" s="90">
        <f t="shared" si="0"/>
        <v>15433</v>
      </c>
      <c r="I32" s="109">
        <f t="shared" si="1"/>
        <v>3086.6000000000004</v>
      </c>
      <c r="J32" s="91">
        <v>112017</v>
      </c>
      <c r="K32" s="89">
        <f t="shared" si="14"/>
        <v>91</v>
      </c>
      <c r="L32" s="75">
        <f t="shared" si="2"/>
        <v>713.43999999999994</v>
      </c>
      <c r="M32" s="88">
        <v>41820</v>
      </c>
      <c r="N32" s="89">
        <f t="shared" si="15"/>
        <v>21</v>
      </c>
      <c r="O32" s="89">
        <v>25117</v>
      </c>
      <c r="P32" s="92">
        <f t="shared" si="16"/>
        <v>12</v>
      </c>
      <c r="Q32" s="92">
        <f t="shared" si="5"/>
        <v>33</v>
      </c>
      <c r="R32" s="93">
        <v>62878</v>
      </c>
      <c r="S32" s="92">
        <f t="shared" si="17"/>
        <v>32</v>
      </c>
      <c r="T32" s="102">
        <f t="shared" si="6"/>
        <v>33.782400000000003</v>
      </c>
      <c r="U32" s="101">
        <f t="shared" si="7"/>
        <v>605.43552</v>
      </c>
      <c r="V32" s="196">
        <v>77866</v>
      </c>
      <c r="W32" s="191">
        <f t="shared" si="18"/>
        <v>18</v>
      </c>
      <c r="X32" s="192">
        <f t="shared" si="19"/>
        <v>5118.2100000000009</v>
      </c>
      <c r="Y32" s="193">
        <f t="shared" si="8"/>
        <v>1765.2706290000003</v>
      </c>
      <c r="Z32" s="193">
        <f t="shared" si="20"/>
        <v>4886.0385863095235</v>
      </c>
      <c r="AA32" s="194">
        <f t="shared" si="9"/>
        <v>6651.309215309524</v>
      </c>
      <c r="AB32" s="93">
        <v>1145107</v>
      </c>
      <c r="AC32" s="93">
        <f t="shared" si="10"/>
        <v>5187</v>
      </c>
      <c r="AD32" s="195">
        <f t="shared" si="11"/>
        <v>18.241924422796249</v>
      </c>
      <c r="AE32" s="174">
        <v>0.50790000000000002</v>
      </c>
      <c r="AF32" s="94">
        <v>205</v>
      </c>
      <c r="AG32" s="175">
        <v>20899</v>
      </c>
      <c r="AH32" s="140">
        <f t="shared" si="21"/>
        <v>3</v>
      </c>
      <c r="AI32" s="88">
        <v>15069447</v>
      </c>
      <c r="AJ32" s="89">
        <f t="shared" si="22"/>
        <v>5271</v>
      </c>
      <c r="AK32" s="94">
        <f t="shared" si="23"/>
        <v>1054.2</v>
      </c>
      <c r="AL32" s="88">
        <v>6898346</v>
      </c>
      <c r="AM32" s="89">
        <f t="shared" si="24"/>
        <v>2128</v>
      </c>
      <c r="AN32" s="94">
        <f t="shared" si="25"/>
        <v>425.6</v>
      </c>
      <c r="AO32" s="91">
        <v>250605</v>
      </c>
      <c r="AP32" s="89">
        <f t="shared" si="26"/>
        <v>229</v>
      </c>
      <c r="AQ32" s="94">
        <f t="shared" si="27"/>
        <v>45.800000000000004</v>
      </c>
      <c r="AR32" s="91">
        <v>8818</v>
      </c>
      <c r="AS32" s="89">
        <f t="shared" si="28"/>
        <v>5</v>
      </c>
      <c r="AT32" s="140">
        <f t="shared" si="29"/>
        <v>39.200000000000003</v>
      </c>
      <c r="AU32" s="88">
        <v>3321</v>
      </c>
      <c r="AV32" s="89">
        <f t="shared" si="30"/>
        <v>3</v>
      </c>
      <c r="AW32" s="94">
        <f t="shared" si="12"/>
        <v>23.52</v>
      </c>
      <c r="AX32" s="88">
        <v>180</v>
      </c>
      <c r="AY32" s="89">
        <f t="shared" si="31"/>
        <v>0</v>
      </c>
      <c r="AZ32" s="94">
        <f t="shared" si="32"/>
        <v>0</v>
      </c>
    </row>
    <row r="33" spans="1:165" s="12" customFormat="1" ht="27.95" customHeight="1" thickBot="1" x14ac:dyDescent="0.3">
      <c r="A33" s="156"/>
      <c r="B33" s="76"/>
      <c r="C33" s="77">
        <f>SUM(C5:C32)</f>
        <v>219329</v>
      </c>
      <c r="D33" s="77"/>
      <c r="E33" s="77">
        <f>SUM(E5:E32)</f>
        <v>217772</v>
      </c>
      <c r="F33" s="78"/>
      <c r="G33" s="77">
        <f>SUM(G5:G32)</f>
        <v>3674</v>
      </c>
      <c r="H33" s="79">
        <f>SUM(H5:H32)</f>
        <v>440775</v>
      </c>
      <c r="I33" s="87">
        <f>H33*0.2</f>
        <v>88155</v>
      </c>
      <c r="J33" s="76"/>
      <c r="K33" s="77">
        <f>SUM(K5:K32)</f>
        <v>2933</v>
      </c>
      <c r="L33" s="87">
        <f>K33*7.84</f>
        <v>22994.720000000001</v>
      </c>
      <c r="M33" s="76"/>
      <c r="N33" s="79">
        <f>SUM(N5:N32)</f>
        <v>565</v>
      </c>
      <c r="O33" s="80"/>
      <c r="P33" s="79">
        <f>SUM(P5:P32)</f>
        <v>389</v>
      </c>
      <c r="Q33" s="79">
        <f>SUM(Q5:Q32)</f>
        <v>954</v>
      </c>
      <c r="R33" s="80"/>
      <c r="S33" s="80">
        <f>SUM(S5:S32)</f>
        <v>925</v>
      </c>
      <c r="T33" s="108">
        <f>SUM(T5:T32)</f>
        <v>976.52250000000015</v>
      </c>
      <c r="U33" s="86">
        <f>SUM(U5:U32)</f>
        <v>17290.493625000003</v>
      </c>
      <c r="V33" s="208"/>
      <c r="W33" s="76">
        <f>SUM(W5:W32)</f>
        <v>584</v>
      </c>
      <c r="X33" s="197">
        <f>SUM(X5:X32)</f>
        <v>166057.47999999992</v>
      </c>
      <c r="Y33" s="198">
        <f>SUM(Y5:Y32)</f>
        <v>57273.224851999992</v>
      </c>
      <c r="Z33" s="199">
        <f>SUM(Z5:Z32)</f>
        <v>136809.08041666672</v>
      </c>
      <c r="AA33" s="200">
        <f>SUM(AA5:AA32)</f>
        <v>194082.30526866668</v>
      </c>
      <c r="AB33" s="201"/>
      <c r="AC33" s="202">
        <f>SUM(AC5:AC32)</f>
        <v>171712</v>
      </c>
      <c r="AD33" s="203">
        <f>SUM(AD5:AD32)</f>
        <v>603.8861242504704</v>
      </c>
      <c r="AE33" s="81">
        <f>AVERAGE(AE5:AE32)</f>
        <v>0.90136071428571429</v>
      </c>
      <c r="AF33" s="183">
        <f>SUM(AF5:AF32)</f>
        <v>10469</v>
      </c>
      <c r="AG33" s="184"/>
      <c r="AH33" s="141">
        <f>SUM(AH5:AH32)</f>
        <v>118</v>
      </c>
      <c r="AI33" s="76"/>
      <c r="AJ33" s="146">
        <f>SUM(AJ5:AJ32)</f>
        <v>145337</v>
      </c>
      <c r="AK33" s="147">
        <f>SUM(AK5:AK32)</f>
        <v>29067.400000000009</v>
      </c>
      <c r="AL33" s="76"/>
      <c r="AM33" s="146">
        <f>SUM(AM5:AM32)</f>
        <v>61303</v>
      </c>
      <c r="AN33" s="147">
        <f>SUM(AN5:AN32)</f>
        <v>12260.600000000002</v>
      </c>
      <c r="AO33" s="76"/>
      <c r="AP33" s="146">
        <f>SUM(AP5:AP32)</f>
        <v>8001</v>
      </c>
      <c r="AQ33" s="147">
        <f>SUM(AQ5:AQ32)</f>
        <v>1600.1999999999996</v>
      </c>
      <c r="AR33" s="76"/>
      <c r="AS33" s="146">
        <f>SUM(AS5:AS32)</f>
        <v>197</v>
      </c>
      <c r="AT33" s="147">
        <f>SUM(AT5:AT32)</f>
        <v>1544.4800000000002</v>
      </c>
      <c r="AU33" s="76"/>
      <c r="AV33" s="146">
        <f>SUM(AV5:AV32)</f>
        <v>37</v>
      </c>
      <c r="AW33" s="147">
        <f>SUM(AW5:AW32)</f>
        <v>290.08000000000004</v>
      </c>
      <c r="AX33" s="76"/>
      <c r="AY33" s="146">
        <f>SUM(AY5:AY32)</f>
        <v>27</v>
      </c>
      <c r="AZ33" s="147">
        <f>SUM(AZ5:AZ32)</f>
        <v>211.68000000000006</v>
      </c>
    </row>
    <row r="34" spans="1:165" s="8" customFormat="1" ht="22.5" customHeight="1" thickBot="1" x14ac:dyDescent="0.3">
      <c r="A34" s="254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6"/>
      <c r="V34" s="257" t="s">
        <v>24</v>
      </c>
      <c r="W34" s="258"/>
      <c r="X34" s="258"/>
      <c r="Y34" s="258"/>
      <c r="Z34" s="258"/>
      <c r="AA34" s="258"/>
      <c r="AB34" s="259"/>
      <c r="AC34" s="111"/>
      <c r="AD34" s="95"/>
      <c r="AE34" s="95"/>
      <c r="AF34" s="96"/>
      <c r="AG34" s="96"/>
      <c r="AH34" s="96"/>
    </row>
    <row r="35" spans="1:165" ht="27.95" customHeight="1" x14ac:dyDescent="0.25">
      <c r="A35" s="155"/>
      <c r="B35" s="260" t="s">
        <v>3</v>
      </c>
      <c r="C35" s="261"/>
      <c r="D35" s="261" t="s">
        <v>13</v>
      </c>
      <c r="E35" s="261"/>
      <c r="F35" s="261"/>
      <c r="G35" s="261" t="s">
        <v>14</v>
      </c>
      <c r="H35" s="261"/>
      <c r="I35" s="262"/>
      <c r="J35" s="263" t="s">
        <v>4</v>
      </c>
      <c r="K35" s="264"/>
      <c r="L35" s="45" t="s">
        <v>13</v>
      </c>
      <c r="M35" s="264" t="s">
        <v>48</v>
      </c>
      <c r="N35" s="265"/>
      <c r="O35" s="283" t="s">
        <v>25</v>
      </c>
      <c r="P35" s="284"/>
      <c r="Q35" s="284"/>
      <c r="R35" s="284" t="s">
        <v>13</v>
      </c>
      <c r="S35" s="284"/>
      <c r="T35" s="284" t="s">
        <v>48</v>
      </c>
      <c r="U35" s="285"/>
      <c r="V35" s="286" t="s">
        <v>15</v>
      </c>
      <c r="W35" s="287"/>
      <c r="X35" s="287" t="s">
        <v>13</v>
      </c>
      <c r="Y35" s="287"/>
      <c r="Z35" s="287" t="s">
        <v>16</v>
      </c>
      <c r="AA35" s="287"/>
      <c r="AB35" s="288"/>
      <c r="AC35" s="114"/>
      <c r="AD35" s="165"/>
      <c r="AE35" s="165"/>
      <c r="AF35"/>
      <c r="AG35" s="164">
        <f>136809.08*2</f>
        <v>273618.15999999997</v>
      </c>
      <c r="AH35" s="274" t="s">
        <v>97</v>
      </c>
      <c r="AI35" s="275"/>
      <c r="AJ35" s="275"/>
      <c r="AK35" s="276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</row>
    <row r="36" spans="1:165" s="11" customFormat="1" ht="27.95" customHeight="1" x14ac:dyDescent="0.25">
      <c r="A36" s="96"/>
      <c r="B36" s="277" t="s">
        <v>105</v>
      </c>
      <c r="C36" s="278"/>
      <c r="D36" s="279">
        <f>I33</f>
        <v>88155</v>
      </c>
      <c r="E36" s="279"/>
      <c r="F36" s="279"/>
      <c r="G36" s="280">
        <f t="shared" ref="G36:G41" si="33">D36/0.2</f>
        <v>440775</v>
      </c>
      <c r="H36" s="280"/>
      <c r="I36" s="281"/>
      <c r="J36" s="277" t="str">
        <f t="shared" ref="J36:J41" si="34">B36</f>
        <v>Actual February 2025</v>
      </c>
      <c r="K36" s="278"/>
      <c r="L36" s="42">
        <f>L33</f>
        <v>22994.720000000001</v>
      </c>
      <c r="M36" s="280">
        <f>K33</f>
        <v>2933</v>
      </c>
      <c r="N36" s="281"/>
      <c r="O36" s="277" t="str">
        <f t="shared" ref="O36:O41" si="35">B36</f>
        <v>Actual February 2025</v>
      </c>
      <c r="P36" s="278"/>
      <c r="Q36" s="278"/>
      <c r="R36" s="282">
        <f>U33</f>
        <v>17290.493625000003</v>
      </c>
      <c r="S36" s="282"/>
      <c r="T36" s="280">
        <f>T33</f>
        <v>976.52250000000015</v>
      </c>
      <c r="U36" s="281"/>
      <c r="V36" s="277" t="str">
        <f t="shared" ref="V36:V41" si="36">B36</f>
        <v>Actual February 2025</v>
      </c>
      <c r="W36" s="278"/>
      <c r="X36" s="279">
        <f>AA33</f>
        <v>194082.30526866668</v>
      </c>
      <c r="Y36" s="279"/>
      <c r="Z36" s="280">
        <f>X33</f>
        <v>166057.47999999992</v>
      </c>
      <c r="AA36" s="280"/>
      <c r="AB36" s="281"/>
      <c r="AC36" s="112"/>
      <c r="AD36" s="115">
        <f>AC33</f>
        <v>171712</v>
      </c>
      <c r="AE36" s="116">
        <f>AD36-X33</f>
        <v>5654.5200000000768</v>
      </c>
      <c r="AF36" s="166"/>
      <c r="AG36" s="123">
        <f>131547.55*2</f>
        <v>263095.09999999998</v>
      </c>
      <c r="AH36" s="274" t="s">
        <v>90</v>
      </c>
      <c r="AI36" s="275"/>
      <c r="AJ36" s="275"/>
      <c r="AK36" s="276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</row>
    <row r="37" spans="1:165" s="11" customFormat="1" ht="27.95" customHeight="1" x14ac:dyDescent="0.25">
      <c r="A37" s="96"/>
      <c r="B37" s="277" t="s">
        <v>106</v>
      </c>
      <c r="C37" s="278"/>
      <c r="D37" s="289">
        <v>85554</v>
      </c>
      <c r="E37" s="289"/>
      <c r="F37" s="289"/>
      <c r="G37" s="280">
        <f t="shared" si="33"/>
        <v>427770</v>
      </c>
      <c r="H37" s="280"/>
      <c r="I37" s="281"/>
      <c r="J37" s="277" t="str">
        <f t="shared" si="34"/>
        <v>Budget February 2025</v>
      </c>
      <c r="K37" s="278"/>
      <c r="L37" s="39">
        <v>25367.394853367299</v>
      </c>
      <c r="M37" s="280">
        <f>L37/7.84</f>
        <v>3235.6370986437882</v>
      </c>
      <c r="N37" s="281"/>
      <c r="O37" s="277" t="str">
        <f t="shared" si="35"/>
        <v>Budget February 2025</v>
      </c>
      <c r="P37" s="278"/>
      <c r="Q37" s="278"/>
      <c r="R37" s="290">
        <v>18197.499409344298</v>
      </c>
      <c r="S37" s="290"/>
      <c r="T37" s="280">
        <f>(R37-6500)/11.05</f>
        <v>1058.5972316148686</v>
      </c>
      <c r="U37" s="281"/>
      <c r="V37" s="277" t="str">
        <f t="shared" si="36"/>
        <v>Budget February 2025</v>
      </c>
      <c r="W37" s="278"/>
      <c r="X37" s="289">
        <v>188015.60777999999</v>
      </c>
      <c r="Y37" s="289"/>
      <c r="Z37" s="280">
        <f>AG37/0.3449</f>
        <v>148467.75233400989</v>
      </c>
      <c r="AA37" s="280"/>
      <c r="AB37" s="281"/>
      <c r="AC37" s="113"/>
      <c r="AD37" s="159"/>
      <c r="AE37" s="160"/>
      <c r="AF37" s="162"/>
      <c r="AG37" s="117">
        <f>X37-136809.08</f>
        <v>51206.527780000004</v>
      </c>
      <c r="AH37" s="274" t="s">
        <v>98</v>
      </c>
      <c r="AI37" s="275"/>
      <c r="AJ37" s="275"/>
      <c r="AK37" s="276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</row>
    <row r="38" spans="1:165" s="14" customFormat="1" ht="27.95" customHeight="1" x14ac:dyDescent="0.25">
      <c r="A38" s="110"/>
      <c r="B38" s="277" t="s">
        <v>107</v>
      </c>
      <c r="C38" s="278"/>
      <c r="D38" s="289">
        <v>84074.2</v>
      </c>
      <c r="E38" s="289"/>
      <c r="F38" s="289"/>
      <c r="G38" s="280">
        <f t="shared" si="33"/>
        <v>420370.99999999994</v>
      </c>
      <c r="H38" s="280"/>
      <c r="I38" s="281"/>
      <c r="J38" s="277" t="str">
        <f t="shared" si="34"/>
        <v>Actual February 2024</v>
      </c>
      <c r="K38" s="278"/>
      <c r="L38" s="39">
        <v>24100.16</v>
      </c>
      <c r="M38" s="280">
        <f>L38/7.84</f>
        <v>3074</v>
      </c>
      <c r="N38" s="281"/>
      <c r="O38" s="277" t="str">
        <f t="shared" si="35"/>
        <v>Actual February 2024</v>
      </c>
      <c r="P38" s="278"/>
      <c r="Q38" s="278"/>
      <c r="R38" s="290">
        <v>17738.75</v>
      </c>
      <c r="S38" s="290"/>
      <c r="T38" s="280">
        <f>(R38-6500)/11.05</f>
        <v>1017.0814479638009</v>
      </c>
      <c r="U38" s="281"/>
      <c r="V38" s="277" t="str">
        <f t="shared" si="36"/>
        <v>Actual February 2024</v>
      </c>
      <c r="W38" s="278"/>
      <c r="X38" s="289">
        <v>178112.55</v>
      </c>
      <c r="Y38" s="289"/>
      <c r="Z38" s="280">
        <f>AG38/0.3442</f>
        <v>135284.71818710052</v>
      </c>
      <c r="AA38" s="280"/>
      <c r="AB38" s="281"/>
      <c r="AC38" s="113"/>
      <c r="AD38" s="161"/>
      <c r="AE38" s="11"/>
      <c r="AF38" s="162"/>
      <c r="AG38" s="118">
        <f>X38-131547.55</f>
        <v>46565</v>
      </c>
      <c r="AH38" s="274" t="s">
        <v>99</v>
      </c>
      <c r="AI38" s="275"/>
      <c r="AJ38" s="275"/>
      <c r="AK38" s="276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" customHeight="1" x14ac:dyDescent="0.25">
      <c r="A39" s="96"/>
      <c r="B39" s="277" t="s">
        <v>100</v>
      </c>
      <c r="C39" s="278"/>
      <c r="D39" s="279">
        <f>D36+96923.6</f>
        <v>185078.6</v>
      </c>
      <c r="E39" s="279"/>
      <c r="F39" s="279"/>
      <c r="G39" s="280">
        <f t="shared" si="33"/>
        <v>925393</v>
      </c>
      <c r="H39" s="280"/>
      <c r="I39" s="281"/>
      <c r="J39" s="277" t="str">
        <f t="shared" si="34"/>
        <v>Actual YTD 2025</v>
      </c>
      <c r="K39" s="278"/>
      <c r="L39" s="42">
        <f>L36+24209.92</f>
        <v>47204.639999999999</v>
      </c>
      <c r="M39" s="280">
        <f>L39/7.84</f>
        <v>6021</v>
      </c>
      <c r="N39" s="281"/>
      <c r="O39" s="294" t="str">
        <f t="shared" si="35"/>
        <v>Actual YTD 2025</v>
      </c>
      <c r="P39" s="295"/>
      <c r="Q39" s="296"/>
      <c r="R39" s="282">
        <f>R36+17600.66</f>
        <v>34891.153625000006</v>
      </c>
      <c r="S39" s="282"/>
      <c r="T39" s="280">
        <f>(R39-6500)*2/11.05</f>
        <v>5138.6703393665166</v>
      </c>
      <c r="U39" s="281"/>
      <c r="V39" s="277" t="str">
        <f t="shared" si="36"/>
        <v>Actual YTD 2025</v>
      </c>
      <c r="W39" s="278"/>
      <c r="X39" s="279">
        <f>X36+192611.25</f>
        <v>386693.55526866671</v>
      </c>
      <c r="Y39" s="279"/>
      <c r="Z39" s="280">
        <f>AG39/0.3449</f>
        <v>327849.79782159103</v>
      </c>
      <c r="AA39" s="280"/>
      <c r="AB39" s="281"/>
      <c r="AC39" s="113"/>
      <c r="AD39" s="161"/>
      <c r="AF39" s="162"/>
      <c r="AG39" s="117">
        <f>X39-AG35</f>
        <v>113075.39526866673</v>
      </c>
      <c r="AH39" s="274" t="s">
        <v>101</v>
      </c>
      <c r="AI39" s="275"/>
      <c r="AJ39" s="275"/>
      <c r="AK39" s="276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1" customFormat="1" ht="27.95" customHeight="1" x14ac:dyDescent="0.25">
      <c r="A40" s="96"/>
      <c r="B40" s="277" t="s">
        <v>102</v>
      </c>
      <c r="C40" s="278"/>
      <c r="D40" s="289">
        <f>D37+93744</f>
        <v>179298</v>
      </c>
      <c r="E40" s="289"/>
      <c r="F40" s="289"/>
      <c r="G40" s="280">
        <f t="shared" si="33"/>
        <v>896490</v>
      </c>
      <c r="H40" s="280"/>
      <c r="I40" s="281"/>
      <c r="J40" s="277" t="str">
        <f t="shared" si="34"/>
        <v>Budget YTD 2025</v>
      </c>
      <c r="K40" s="278"/>
      <c r="L40" s="39">
        <f>L37+28575.5248678943</f>
        <v>53942.919721261598</v>
      </c>
      <c r="M40" s="280">
        <f>L40/7.84</f>
        <v>6880.4744542425506</v>
      </c>
      <c r="N40" s="281"/>
      <c r="O40" s="277" t="str">
        <f t="shared" si="35"/>
        <v>Budget YTD 2025</v>
      </c>
      <c r="P40" s="278"/>
      <c r="Q40" s="278"/>
      <c r="R40" s="290">
        <f>R37+19314.1163869365</f>
        <v>37511.615796280799</v>
      </c>
      <c r="S40" s="290"/>
      <c r="T40" s="280">
        <f>(R40-6500)*2/11.05</f>
        <v>5612.9621350734478</v>
      </c>
      <c r="U40" s="281"/>
      <c r="V40" s="277" t="str">
        <f t="shared" si="36"/>
        <v>Budget YTD 2025</v>
      </c>
      <c r="W40" s="278"/>
      <c r="X40" s="289">
        <f>X37+197611.7754</f>
        <v>385627.38318</v>
      </c>
      <c r="Y40" s="289"/>
      <c r="Z40" s="291">
        <f>AG40/0.3449</f>
        <v>324758.54792693543</v>
      </c>
      <c r="AA40" s="292"/>
      <c r="AB40" s="293"/>
      <c r="AC40" s="113"/>
      <c r="AD40" s="161"/>
      <c r="AF40" s="162"/>
      <c r="AG40" s="117">
        <f>X40-AG35</f>
        <v>112009.22318000003</v>
      </c>
      <c r="AH40" s="274" t="s">
        <v>103</v>
      </c>
      <c r="AI40" s="275"/>
      <c r="AJ40" s="275"/>
      <c r="AK40" s="276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1" customFormat="1" ht="27.95" customHeight="1" thickBot="1" x14ac:dyDescent="0.3">
      <c r="A41" s="85"/>
      <c r="B41" s="297" t="s">
        <v>66</v>
      </c>
      <c r="C41" s="298"/>
      <c r="D41" s="299">
        <v>172084.4</v>
      </c>
      <c r="E41" s="299"/>
      <c r="F41" s="299"/>
      <c r="G41" s="300">
        <f t="shared" si="33"/>
        <v>860421.99999999988</v>
      </c>
      <c r="H41" s="300"/>
      <c r="I41" s="301"/>
      <c r="J41" s="297" t="str">
        <f t="shared" si="34"/>
        <v>Actual YTD 2024</v>
      </c>
      <c r="K41" s="298"/>
      <c r="L41" s="43">
        <v>49086.239999999998</v>
      </c>
      <c r="M41" s="300">
        <f>L41/7.84</f>
        <v>6261</v>
      </c>
      <c r="N41" s="301"/>
      <c r="O41" s="297" t="str">
        <f t="shared" si="35"/>
        <v>Actual YTD 2024</v>
      </c>
      <c r="P41" s="298"/>
      <c r="Q41" s="298"/>
      <c r="R41" s="313">
        <v>35082.39</v>
      </c>
      <c r="S41" s="313"/>
      <c r="T41" s="300">
        <f>(R41-6500)*2/11.05</f>
        <v>5173.2832579185515</v>
      </c>
      <c r="U41" s="301"/>
      <c r="V41" s="297" t="str">
        <f t="shared" si="36"/>
        <v>Actual YTD 2024</v>
      </c>
      <c r="W41" s="298"/>
      <c r="X41" s="299">
        <v>363489.45</v>
      </c>
      <c r="Y41" s="299"/>
      <c r="Z41" s="300">
        <f>AG41/0.3442</f>
        <v>291674.46252178977</v>
      </c>
      <c r="AA41" s="300"/>
      <c r="AB41" s="301"/>
      <c r="AC41" s="113"/>
      <c r="AD41" s="161"/>
      <c r="AF41" s="162"/>
      <c r="AG41" s="119">
        <f>X41-AG36</f>
        <v>100394.35000000003</v>
      </c>
      <c r="AH41" s="274" t="s">
        <v>91</v>
      </c>
      <c r="AI41" s="275"/>
      <c r="AJ41" s="275"/>
      <c r="AK41" s="276"/>
      <c r="AL41" s="8"/>
      <c r="AM41" s="8"/>
      <c r="AN41" s="8"/>
      <c r="AO41" s="8"/>
      <c r="AP41" s="8"/>
    </row>
    <row r="42" spans="1:165" ht="27.95" customHeight="1" x14ac:dyDescent="0.25">
      <c r="G42" s="136"/>
      <c r="H42" s="136">
        <v>45689</v>
      </c>
      <c r="I42" s="82">
        <f ca="1">TODAY()</f>
        <v>45719</v>
      </c>
      <c r="J42" s="9">
        <v>28</v>
      </c>
      <c r="T42" s="2"/>
      <c r="U42" s="2"/>
      <c r="V42" s="2"/>
      <c r="W42" s="2"/>
      <c r="X42" s="2"/>
      <c r="Y42" s="2"/>
      <c r="AB42"/>
      <c r="AC42"/>
      <c r="AD42" s="163"/>
      <c r="AE42" s="163"/>
      <c r="AF42" s="163"/>
      <c r="AG42" s="158"/>
      <c r="AH42" s="158"/>
      <c r="AI42" s="157"/>
      <c r="AJ42" s="8"/>
      <c r="AK42" s="8"/>
      <c r="AL42" s="8"/>
      <c r="AM42" s="8"/>
      <c r="AN42" s="8"/>
      <c r="AO42" s="8"/>
      <c r="AP42" s="8"/>
      <c r="AQ42"/>
    </row>
    <row r="43" spans="1:165" ht="27.95" customHeight="1" x14ac:dyDescent="0.25">
      <c r="A43" s="302" t="s">
        <v>26</v>
      </c>
      <c r="B43" s="303"/>
      <c r="D43" s="304" t="s">
        <v>27</v>
      </c>
      <c r="E43" s="305"/>
      <c r="F43" s="305"/>
      <c r="G43" s="306"/>
      <c r="H43" s="48"/>
      <c r="I43" s="307" t="s">
        <v>28</v>
      </c>
      <c r="J43" s="308"/>
      <c r="K43" s="308"/>
      <c r="L43" s="309"/>
      <c r="M43" s="49"/>
      <c r="N43" s="304" t="s">
        <v>29</v>
      </c>
      <c r="O43" s="305"/>
      <c r="P43" s="305"/>
      <c r="Q43" s="305"/>
      <c r="R43" s="305"/>
      <c r="S43" s="306"/>
      <c r="T43" s="2"/>
      <c r="U43" s="304" t="s">
        <v>30</v>
      </c>
      <c r="V43" s="305"/>
      <c r="W43" s="305"/>
      <c r="X43" s="306"/>
      <c r="Y43"/>
      <c r="Z43" s="304" t="s">
        <v>50</v>
      </c>
      <c r="AA43" s="305"/>
      <c r="AB43" s="306"/>
      <c r="AC43"/>
      <c r="AD43" s="310" t="s">
        <v>51</v>
      </c>
      <c r="AE43" s="311"/>
      <c r="AF43" s="312"/>
      <c r="AG43" s="132" t="s">
        <v>52</v>
      </c>
      <c r="AH43" s="41" t="s">
        <v>53</v>
      </c>
      <c r="AI43" s="8"/>
      <c r="AJ43" s="8"/>
      <c r="AK43" s="8"/>
      <c r="AL43" s="8"/>
      <c r="AM43" s="8"/>
      <c r="AN43" s="8"/>
      <c r="AO43" s="8"/>
      <c r="AP43" s="8"/>
      <c r="AQ43"/>
    </row>
    <row r="44" spans="1:165" ht="27.95" customHeight="1" x14ac:dyDescent="0.25">
      <c r="A44" s="62" t="s">
        <v>3</v>
      </c>
      <c r="B44" s="63">
        <f>D37</f>
        <v>85554</v>
      </c>
      <c r="C44" s="10"/>
      <c r="D44" s="314" t="s">
        <v>3</v>
      </c>
      <c r="E44" s="315"/>
      <c r="F44" s="315"/>
      <c r="G44" s="40">
        <f>B44/28</f>
        <v>3055.5</v>
      </c>
      <c r="H44" s="137"/>
      <c r="I44" s="314" t="s">
        <v>3</v>
      </c>
      <c r="J44" s="315"/>
      <c r="K44" s="315"/>
      <c r="L44" s="120">
        <f>I33/J42</f>
        <v>3148.3928571428573</v>
      </c>
      <c r="M44" s="50"/>
      <c r="N44" s="314" t="s">
        <v>3</v>
      </c>
      <c r="O44" s="315"/>
      <c r="P44" s="315"/>
      <c r="Q44" s="315"/>
      <c r="R44" s="316">
        <f>G44*J42</f>
        <v>85554</v>
      </c>
      <c r="S44" s="317"/>
      <c r="T44" s="51"/>
      <c r="U44" s="314" t="s">
        <v>3</v>
      </c>
      <c r="V44" s="315"/>
      <c r="W44" s="318">
        <f>I33</f>
        <v>88155</v>
      </c>
      <c r="X44" s="319"/>
      <c r="Y44" s="52">
        <f>R44-W44</f>
        <v>-2601</v>
      </c>
      <c r="Z44" s="314" t="s">
        <v>3</v>
      </c>
      <c r="AA44" s="315"/>
      <c r="AB44" s="124">
        <f>R44+93744</f>
        <v>179298</v>
      </c>
      <c r="AC44"/>
      <c r="AD44" s="314" t="s">
        <v>3</v>
      </c>
      <c r="AE44" s="315"/>
      <c r="AF44" s="126">
        <f>W44+96923.6</f>
        <v>185078.6</v>
      </c>
      <c r="AG44" s="127">
        <f>AB44-AF44</f>
        <v>-5780.6000000000058</v>
      </c>
      <c r="AH44" s="128">
        <f>AF44-AB44</f>
        <v>5780.6000000000058</v>
      </c>
      <c r="AI44" s="8"/>
      <c r="AJ44" s="8"/>
      <c r="AK44" s="8"/>
      <c r="AL44" s="8"/>
      <c r="AM44" s="8"/>
      <c r="AN44" s="8"/>
      <c r="AO44" s="8"/>
      <c r="AP44" s="8"/>
      <c r="AQ44"/>
    </row>
    <row r="45" spans="1:165" ht="27.95" customHeight="1" x14ac:dyDescent="0.25">
      <c r="A45" s="62" t="s">
        <v>4</v>
      </c>
      <c r="B45" s="63">
        <f>L37</f>
        <v>25367.394853367299</v>
      </c>
      <c r="C45" s="10"/>
      <c r="D45" s="314" t="s">
        <v>4</v>
      </c>
      <c r="E45" s="315"/>
      <c r="F45" s="315"/>
      <c r="G45" s="40">
        <f>B45/28</f>
        <v>905.97838762026072</v>
      </c>
      <c r="H45" s="137"/>
      <c r="I45" s="314" t="s">
        <v>4</v>
      </c>
      <c r="J45" s="315"/>
      <c r="K45" s="315"/>
      <c r="L45" s="121">
        <f>L33/J42</f>
        <v>821.24</v>
      </c>
      <c r="M45" s="50"/>
      <c r="N45" s="314" t="s">
        <v>4</v>
      </c>
      <c r="O45" s="315"/>
      <c r="P45" s="315"/>
      <c r="Q45" s="315"/>
      <c r="R45" s="316">
        <f>G45*J42</f>
        <v>25367.394853367299</v>
      </c>
      <c r="S45" s="317"/>
      <c r="T45" s="51"/>
      <c r="U45" s="314" t="s">
        <v>4</v>
      </c>
      <c r="V45" s="315"/>
      <c r="W45" s="318">
        <f>L33</f>
        <v>22994.720000000001</v>
      </c>
      <c r="X45" s="319"/>
      <c r="Y45" s="52">
        <f>R45-W45</f>
        <v>2372.6748533672981</v>
      </c>
      <c r="Z45" s="314" t="s">
        <v>4</v>
      </c>
      <c r="AA45" s="315"/>
      <c r="AB45" s="124">
        <f>R45+28575.5248678943</f>
        <v>53942.919721261598</v>
      </c>
      <c r="AC45"/>
      <c r="AD45" s="314" t="s">
        <v>4</v>
      </c>
      <c r="AE45" s="315"/>
      <c r="AF45" s="126">
        <f>W45+24209.92</f>
        <v>47204.639999999999</v>
      </c>
      <c r="AG45" s="127">
        <f>AB45-AF45</f>
        <v>6738.2797212615988</v>
      </c>
      <c r="AH45" s="128">
        <f>AF45-AB45</f>
        <v>-6738.2797212615988</v>
      </c>
      <c r="AI45" s="169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62" t="s">
        <v>25</v>
      </c>
      <c r="B46" s="63">
        <f>R37</f>
        <v>18197.499409344298</v>
      </c>
      <c r="C46" s="10"/>
      <c r="D46" s="314" t="s">
        <v>25</v>
      </c>
      <c r="E46" s="315"/>
      <c r="F46" s="315"/>
      <c r="G46" s="40">
        <f>B46/28</f>
        <v>649.91069319086785</v>
      </c>
      <c r="H46" s="50"/>
      <c r="I46" s="314" t="s">
        <v>25</v>
      </c>
      <c r="J46" s="315"/>
      <c r="K46" s="315"/>
      <c r="L46" s="121">
        <f>U33/J42</f>
        <v>617.51762946428585</v>
      </c>
      <c r="M46" s="50"/>
      <c r="N46" s="314" t="s">
        <v>25</v>
      </c>
      <c r="O46" s="315"/>
      <c r="P46" s="315"/>
      <c r="Q46" s="315"/>
      <c r="R46" s="316">
        <f>G46*J42</f>
        <v>18197.499409344298</v>
      </c>
      <c r="S46" s="317"/>
      <c r="T46" s="51"/>
      <c r="U46" s="314" t="s">
        <v>25</v>
      </c>
      <c r="V46" s="315"/>
      <c r="W46" s="318">
        <f>U33</f>
        <v>17290.493625000003</v>
      </c>
      <c r="X46" s="319"/>
      <c r="Y46" s="52">
        <f>R46-W46</f>
        <v>907.00578434429553</v>
      </c>
      <c r="Z46" s="314" t="s">
        <v>25</v>
      </c>
      <c r="AA46" s="315"/>
      <c r="AB46" s="124">
        <f>R46+19314.1163869365</f>
        <v>37511.615796280799</v>
      </c>
      <c r="AC46"/>
      <c r="AD46" s="314" t="s">
        <v>25</v>
      </c>
      <c r="AE46" s="315"/>
      <c r="AF46" s="126">
        <f>W46+17600.66</f>
        <v>34891.153625000006</v>
      </c>
      <c r="AG46" s="127">
        <f>AB46-AF46</f>
        <v>2620.462171280793</v>
      </c>
      <c r="AH46" s="128">
        <f>AF46-AB46</f>
        <v>-2620.462171280793</v>
      </c>
      <c r="AI46" s="169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4" t="s">
        <v>15</v>
      </c>
      <c r="B47" s="65">
        <f>X37</f>
        <v>188015.60777999999</v>
      </c>
      <c r="C47" s="61"/>
      <c r="D47" s="320" t="s">
        <v>15</v>
      </c>
      <c r="E47" s="321"/>
      <c r="F47" s="321"/>
      <c r="G47" s="38">
        <f>B47/28</f>
        <v>6714.8431350000001</v>
      </c>
      <c r="H47" s="53"/>
      <c r="I47" s="320" t="s">
        <v>15</v>
      </c>
      <c r="J47" s="321"/>
      <c r="K47" s="321"/>
      <c r="L47" s="122">
        <f>AA33/J42</f>
        <v>6931.5109024523817</v>
      </c>
      <c r="M47" s="53"/>
      <c r="N47" s="320" t="s">
        <v>15</v>
      </c>
      <c r="O47" s="321"/>
      <c r="P47" s="321"/>
      <c r="Q47" s="321"/>
      <c r="R47" s="322">
        <f>G47*J42</f>
        <v>188015.60777999999</v>
      </c>
      <c r="S47" s="323"/>
      <c r="T47" s="51"/>
      <c r="U47" s="320" t="s">
        <v>15</v>
      </c>
      <c r="V47" s="321"/>
      <c r="W47" s="324">
        <f>AA33</f>
        <v>194082.30526866668</v>
      </c>
      <c r="X47" s="325"/>
      <c r="Y47" s="52">
        <f>R47-W47</f>
        <v>-6066.6974886666867</v>
      </c>
      <c r="Z47" s="320" t="s">
        <v>15</v>
      </c>
      <c r="AA47" s="321"/>
      <c r="AB47" s="65">
        <f>R47+197611.7754</f>
        <v>385627.38318</v>
      </c>
      <c r="AC47"/>
      <c r="AD47" s="320" t="s">
        <v>15</v>
      </c>
      <c r="AE47" s="321"/>
      <c r="AF47" s="133">
        <f>W47+192611.25</f>
        <v>386693.55526866671</v>
      </c>
      <c r="AG47" s="134">
        <f>AB47-AF47</f>
        <v>-1066.1720886667026</v>
      </c>
      <c r="AH47" s="135">
        <f>AF47-AB47</f>
        <v>1066.1720886667026</v>
      </c>
      <c r="AI47" s="169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B48" s="54">
        <f>SUM(B44:B47)</f>
        <v>317134.5020427116</v>
      </c>
      <c r="C48" s="10"/>
      <c r="D48" s="10"/>
      <c r="E48" s="10"/>
      <c r="F48" s="55"/>
      <c r="G48" s="55"/>
      <c r="H48" s="55"/>
      <c r="I48" s="55"/>
      <c r="J48" s="55"/>
      <c r="K48" s="55"/>
      <c r="L48" s="53"/>
      <c r="M48" s="53"/>
      <c r="N48" s="53"/>
      <c r="O48" s="53"/>
      <c r="P48" s="53"/>
      <c r="Q48" s="53"/>
      <c r="R48" s="326">
        <f>SUM(R44:S47)</f>
        <v>317134.5020427116</v>
      </c>
      <c r="S48" s="326"/>
      <c r="T48" s="56"/>
      <c r="U48" s="56"/>
      <c r="V48" s="56"/>
      <c r="W48" s="326">
        <f>SUM(W44:X47)</f>
        <v>322522.51889366668</v>
      </c>
      <c r="X48" s="326"/>
      <c r="Y48" s="52">
        <f>R48-W48</f>
        <v>-5388.0168509550858</v>
      </c>
      <c r="Z48" s="327"/>
      <c r="AA48" s="327" t="s">
        <v>54</v>
      </c>
      <c r="AB48" s="125">
        <f>SUM(AB44:AB47)</f>
        <v>656379.91869754239</v>
      </c>
      <c r="AD48" s="129"/>
      <c r="AF48" s="125">
        <f>SUM(AF44:AF47)</f>
        <v>653867.94889366673</v>
      </c>
      <c r="AG48" s="130">
        <f>AB48-AF48</f>
        <v>2511.9698038756615</v>
      </c>
      <c r="AH48" s="125"/>
      <c r="AI48" s="130"/>
      <c r="AJ48" s="130"/>
      <c r="AK48" s="130"/>
      <c r="AL48" s="131"/>
      <c r="AM48" s="131"/>
      <c r="AN48" s="131"/>
      <c r="AO48"/>
      <c r="AP48"/>
      <c r="AQ48"/>
    </row>
    <row r="49" spans="1:43" ht="27.95" customHeight="1" x14ac:dyDescent="0.25">
      <c r="B49" s="54">
        <f>B48*X49</f>
        <v>-5388.0168509550704</v>
      </c>
      <c r="C49" s="10"/>
      <c r="D49" s="10"/>
      <c r="E49" s="10"/>
      <c r="F49" s="10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1"/>
      <c r="U49" s="51"/>
      <c r="V49" s="51"/>
      <c r="W49" s="57"/>
      <c r="X49" s="58">
        <f>1-(W48/R48)</f>
        <v>-1.6989689914689299E-2</v>
      </c>
      <c r="Y49" s="59"/>
      <c r="Z49"/>
      <c r="AA49"/>
      <c r="AB49"/>
      <c r="AC49"/>
      <c r="AD49"/>
      <c r="AE49"/>
      <c r="AF49" s="58">
        <f>1-(AF48/AB48)</f>
        <v>3.8270058731537659E-3</v>
      </c>
      <c r="AG49"/>
      <c r="AH49"/>
      <c r="AI49"/>
      <c r="AJ49"/>
      <c r="AK49"/>
      <c r="AL49"/>
      <c r="AM49"/>
      <c r="AN49"/>
      <c r="AO49"/>
      <c r="AP49"/>
      <c r="AQ49"/>
    </row>
    <row r="50" spans="1:43" ht="27.95" customHeight="1" x14ac:dyDescent="0.25">
      <c r="B50" s="47"/>
      <c r="T50" s="2"/>
      <c r="U50" s="2"/>
      <c r="V50" s="2"/>
      <c r="W50" s="2"/>
      <c r="X50" s="2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</row>
    <row r="51" spans="1:43" ht="27.95" customHeight="1" x14ac:dyDescent="0.25">
      <c r="A51" s="302" t="s">
        <v>40</v>
      </c>
      <c r="B51" s="303"/>
      <c r="D51" s="304" t="s">
        <v>41</v>
      </c>
      <c r="E51" s="305"/>
      <c r="F51" s="305"/>
      <c r="G51" s="306"/>
      <c r="H51" s="48"/>
      <c r="I51" s="307" t="s">
        <v>42</v>
      </c>
      <c r="J51" s="308"/>
      <c r="K51" s="308"/>
      <c r="L51" s="309"/>
      <c r="M51" s="49"/>
      <c r="N51" s="304" t="s">
        <v>30</v>
      </c>
      <c r="O51" s="305"/>
      <c r="P51" s="305"/>
      <c r="Q51" s="305"/>
      <c r="R51" s="305"/>
      <c r="S51" s="306"/>
      <c r="T51" s="2"/>
      <c r="U51" s="304" t="s">
        <v>43</v>
      </c>
      <c r="V51" s="305"/>
      <c r="W51" s="305"/>
      <c r="X51" s="306"/>
      <c r="Y51"/>
      <c r="Z51" s="73" t="s">
        <v>44</v>
      </c>
      <c r="AA51" s="74" t="s">
        <v>45</v>
      </c>
      <c r="AB51"/>
      <c r="AC51"/>
      <c r="AD51" s="71" t="s">
        <v>47</v>
      </c>
      <c r="AE51" s="72" t="s">
        <v>46</v>
      </c>
      <c r="AF51" s="149"/>
      <c r="AG51" s="149"/>
      <c r="AH51" s="149"/>
      <c r="AI51"/>
      <c r="AJ51"/>
      <c r="AK51"/>
      <c r="AL51"/>
      <c r="AM51"/>
      <c r="AN51"/>
      <c r="AO51"/>
      <c r="AP51"/>
      <c r="AQ51"/>
    </row>
    <row r="52" spans="1:43" ht="27.95" customHeight="1" x14ac:dyDescent="0.25">
      <c r="A52" s="62" t="s">
        <v>3</v>
      </c>
      <c r="B52" s="63">
        <f>D38</f>
        <v>84074.2</v>
      </c>
      <c r="C52" s="10"/>
      <c r="D52" s="314" t="s">
        <v>3</v>
      </c>
      <c r="E52" s="315"/>
      <c r="F52" s="315"/>
      <c r="G52" s="40">
        <f>B52/28</f>
        <v>3002.65</v>
      </c>
      <c r="H52" s="50"/>
      <c r="I52" s="314" t="s">
        <v>3</v>
      </c>
      <c r="J52" s="315"/>
      <c r="K52" s="315"/>
      <c r="L52" s="66">
        <f>G52*J42</f>
        <v>84074.2</v>
      </c>
      <c r="M52" s="50"/>
      <c r="N52" s="314" t="s">
        <v>3</v>
      </c>
      <c r="O52" s="315"/>
      <c r="P52" s="315"/>
      <c r="Q52" s="315"/>
      <c r="R52" s="328">
        <f>W44</f>
        <v>88155</v>
      </c>
      <c r="S52" s="329"/>
      <c r="T52" s="51"/>
      <c r="U52" s="314" t="s">
        <v>3</v>
      </c>
      <c r="V52" s="315"/>
      <c r="W52" s="330">
        <f>L52-R52</f>
        <v>-4080.8000000000029</v>
      </c>
      <c r="X52" s="331"/>
      <c r="Y52" s="52"/>
      <c r="Z52" s="107">
        <f>L44*28</f>
        <v>88155</v>
      </c>
      <c r="AA52" s="70">
        <f>Z52+96923.6</f>
        <v>185078.6</v>
      </c>
      <c r="AB52" s="10"/>
      <c r="AC52" s="10"/>
      <c r="AD52" s="204">
        <f>D38-Z52</f>
        <v>-4080.8000000000029</v>
      </c>
      <c r="AE52" s="205">
        <f>D41-AA52</f>
        <v>-12994.200000000012</v>
      </c>
      <c r="AF52" s="150"/>
      <c r="AG52" s="150"/>
      <c r="AH52" s="150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A53" s="62" t="s">
        <v>4</v>
      </c>
      <c r="B53" s="63">
        <f>L38</f>
        <v>24100.16</v>
      </c>
      <c r="C53" s="10"/>
      <c r="D53" s="314" t="s">
        <v>4</v>
      </c>
      <c r="E53" s="315"/>
      <c r="F53" s="315"/>
      <c r="G53" s="40">
        <f>B53/28</f>
        <v>860.72</v>
      </c>
      <c r="H53" s="50"/>
      <c r="I53" s="314" t="s">
        <v>4</v>
      </c>
      <c r="J53" s="315"/>
      <c r="K53" s="315"/>
      <c r="L53" s="66">
        <f>G53*J42</f>
        <v>24100.16</v>
      </c>
      <c r="M53" s="50"/>
      <c r="N53" s="314" t="s">
        <v>4</v>
      </c>
      <c r="O53" s="315"/>
      <c r="P53" s="315"/>
      <c r="Q53" s="315"/>
      <c r="R53" s="328">
        <f>W45</f>
        <v>22994.720000000001</v>
      </c>
      <c r="S53" s="329"/>
      <c r="T53" s="51"/>
      <c r="U53" s="314" t="s">
        <v>4</v>
      </c>
      <c r="V53" s="315"/>
      <c r="W53" s="330">
        <f>L53-R53</f>
        <v>1105.4399999999987</v>
      </c>
      <c r="X53" s="331"/>
      <c r="Y53" s="52"/>
      <c r="Z53" s="107">
        <f>L45*28</f>
        <v>22994.720000000001</v>
      </c>
      <c r="AA53" s="68">
        <f>Z53+24209.92</f>
        <v>47204.639999999999</v>
      </c>
      <c r="AB53" s="10"/>
      <c r="AC53" s="10"/>
      <c r="AD53" s="204">
        <f>L38-Z53</f>
        <v>1105.4399999999987</v>
      </c>
      <c r="AE53" s="205">
        <f>L41-AA53</f>
        <v>1881.5999999999985</v>
      </c>
      <c r="AF53" s="150"/>
      <c r="AG53" s="150"/>
      <c r="AH53" s="150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62" t="s">
        <v>25</v>
      </c>
      <c r="B54" s="63">
        <f>R38</f>
        <v>17738.75</v>
      </c>
      <c r="C54" s="10"/>
      <c r="D54" s="314" t="s">
        <v>25</v>
      </c>
      <c r="E54" s="315"/>
      <c r="F54" s="315"/>
      <c r="G54" s="40">
        <f>B54/28</f>
        <v>633.52678571428567</v>
      </c>
      <c r="H54" s="50"/>
      <c r="I54" s="314" t="s">
        <v>25</v>
      </c>
      <c r="J54" s="315"/>
      <c r="K54" s="315"/>
      <c r="L54" s="66">
        <f>G54*J42</f>
        <v>17738.75</v>
      </c>
      <c r="M54" s="50"/>
      <c r="N54" s="314" t="s">
        <v>25</v>
      </c>
      <c r="O54" s="315"/>
      <c r="P54" s="315"/>
      <c r="Q54" s="315"/>
      <c r="R54" s="328">
        <f>W46</f>
        <v>17290.493625000003</v>
      </c>
      <c r="S54" s="329"/>
      <c r="T54" s="51"/>
      <c r="U54" s="314" t="s">
        <v>25</v>
      </c>
      <c r="V54" s="315"/>
      <c r="W54" s="330">
        <f>L54-R54</f>
        <v>448.25637499999721</v>
      </c>
      <c r="X54" s="331"/>
      <c r="Y54" s="52"/>
      <c r="Z54" s="107">
        <f>L46*28</f>
        <v>17290.493625000003</v>
      </c>
      <c r="AA54" s="68">
        <f>Z54+17600.66</f>
        <v>34891.153625000006</v>
      </c>
      <c r="AB54" s="10"/>
      <c r="AC54" s="10"/>
      <c r="AD54" s="204">
        <f>R38-Z54</f>
        <v>448.25637499999721</v>
      </c>
      <c r="AE54" s="205">
        <f>R41-AA54</f>
        <v>191.23637499999313</v>
      </c>
      <c r="AF54" s="150"/>
      <c r="AG54" s="150"/>
      <c r="AH54" s="150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4" t="s">
        <v>15</v>
      </c>
      <c r="B55" s="65">
        <f>X38</f>
        <v>178112.55</v>
      </c>
      <c r="C55" s="61"/>
      <c r="D55" s="320" t="s">
        <v>15</v>
      </c>
      <c r="E55" s="321"/>
      <c r="F55" s="321"/>
      <c r="G55" s="38">
        <f>B55/28</f>
        <v>6361.1624999999995</v>
      </c>
      <c r="H55" s="53"/>
      <c r="I55" s="320" t="s">
        <v>15</v>
      </c>
      <c r="J55" s="321"/>
      <c r="K55" s="321"/>
      <c r="L55" s="67">
        <f>G55*J42</f>
        <v>178112.55</v>
      </c>
      <c r="M55" s="53"/>
      <c r="N55" s="320" t="s">
        <v>15</v>
      </c>
      <c r="O55" s="321"/>
      <c r="P55" s="321"/>
      <c r="Q55" s="321"/>
      <c r="R55" s="332">
        <f>W47</f>
        <v>194082.30526866668</v>
      </c>
      <c r="S55" s="333"/>
      <c r="T55" s="51"/>
      <c r="U55" s="320" t="s">
        <v>15</v>
      </c>
      <c r="V55" s="321"/>
      <c r="W55" s="334">
        <f>L55-R55</f>
        <v>-15969.75526866669</v>
      </c>
      <c r="X55" s="335"/>
      <c r="Y55" s="52"/>
      <c r="Z55" s="107">
        <f>L47*28</f>
        <v>194082.30526866668</v>
      </c>
      <c r="AA55" s="68">
        <f>Z55+192611.25</f>
        <v>386693.55526866671</v>
      </c>
      <c r="AB55" s="10"/>
      <c r="AC55" s="10"/>
      <c r="AD55" s="204">
        <f>X38-Z55</f>
        <v>-15969.75526866669</v>
      </c>
      <c r="AE55" s="205">
        <f>X41-AA55</f>
        <v>-23204.105268666695</v>
      </c>
      <c r="AF55" s="150"/>
      <c r="AG55" s="150"/>
      <c r="AH55" s="150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10"/>
      <c r="B56" s="54">
        <f>SUM(B52:B55)</f>
        <v>304025.65999999997</v>
      </c>
      <c r="C56" s="10"/>
      <c r="D56" s="10"/>
      <c r="E56" s="10"/>
      <c r="F56" s="55"/>
      <c r="G56" s="55"/>
      <c r="H56" s="55"/>
      <c r="I56" s="55"/>
      <c r="J56" s="55"/>
      <c r="K56" s="55"/>
      <c r="L56" s="60">
        <f>SUM(L52:L55)</f>
        <v>304025.65999999997</v>
      </c>
      <c r="M56" s="53"/>
      <c r="N56" s="53"/>
      <c r="O56" s="53"/>
      <c r="P56" s="53"/>
      <c r="Q56" s="53"/>
      <c r="R56" s="326">
        <f>SUM(R52:S55)</f>
        <v>322522.51889366668</v>
      </c>
      <c r="S56" s="326"/>
      <c r="T56" s="56"/>
      <c r="U56" s="56"/>
      <c r="V56" s="56"/>
      <c r="W56" s="326">
        <f>SUM(W52:X55)</f>
        <v>-18496.858893666697</v>
      </c>
      <c r="X56" s="326"/>
      <c r="Y56" s="52"/>
      <c r="Z56" s="167">
        <f>SUM(Z52:Z55)</f>
        <v>322522.51889366668</v>
      </c>
      <c r="AA56" s="69">
        <f>SUM(AA52:AA55)</f>
        <v>653867.94889366673</v>
      </c>
      <c r="AB56" s="10"/>
      <c r="AC56" s="10"/>
      <c r="AD56" s="206">
        <f>SUM(AD52:AD55)</f>
        <v>-18496.858893666697</v>
      </c>
      <c r="AE56" s="207">
        <f>SUM(AE52:AE55)</f>
        <v>-34125.468893666715</v>
      </c>
      <c r="AF56" s="150"/>
      <c r="AG56" s="150"/>
      <c r="AH56" s="150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10"/>
      <c r="B57" s="54">
        <f>B56*X57</f>
        <v>-18496.858893666689</v>
      </c>
      <c r="C57" s="10"/>
      <c r="D57" s="10"/>
      <c r="E57" s="10"/>
      <c r="F57" s="10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1"/>
      <c r="U57" s="51"/>
      <c r="V57" s="51"/>
      <c r="W57" s="57"/>
      <c r="X57" s="58">
        <f>1-(R56/L56)</f>
        <v>-6.0839795212241921E-2</v>
      </c>
      <c r="Y57" s="59"/>
      <c r="Z57" s="10"/>
      <c r="AA57" s="10"/>
      <c r="AB57" s="10"/>
      <c r="AC57" s="10"/>
      <c r="AD57" s="10"/>
      <c r="AE57" s="10"/>
      <c r="AF57" s="10"/>
      <c r="AG57" s="10"/>
      <c r="AH57" s="10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10"/>
      <c r="B58" s="10"/>
      <c r="C58" s="10"/>
      <c r="D58" s="10"/>
      <c r="E58" s="10"/>
      <c r="F58" s="10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1"/>
      <c r="AA58" s="51"/>
      <c r="AB58" s="51"/>
      <c r="AC58" s="51"/>
      <c r="AD58" s="51"/>
      <c r="AE58" s="51"/>
      <c r="AF58" s="51"/>
      <c r="AG58" s="51"/>
      <c r="AH58" s="51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83"/>
      <c r="B59" s="170"/>
      <c r="C59" s="170"/>
      <c r="D59" s="170"/>
      <c r="E59" s="170"/>
      <c r="F59" s="170"/>
      <c r="G59" s="170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3"/>
      <c r="AA59" s="13"/>
      <c r="AB59" s="170"/>
      <c r="AC59" s="170"/>
      <c r="AD59" s="170"/>
      <c r="AE59" s="13"/>
      <c r="AF59" s="13"/>
      <c r="AG59" s="13"/>
      <c r="AH59" s="13"/>
      <c r="AI59"/>
      <c r="AJ59"/>
      <c r="AK59"/>
      <c r="AL59"/>
      <c r="AM59"/>
      <c r="AN59"/>
      <c r="AO59"/>
      <c r="AP59"/>
      <c r="AQ59"/>
    </row>
    <row r="60" spans="1:43" s="10" customFormat="1" ht="27.95" customHeight="1" x14ac:dyDescent="0.2">
      <c r="A60" s="84"/>
      <c r="B60" s="13"/>
      <c r="C60" s="13"/>
      <c r="D60" s="13"/>
      <c r="E60" s="13"/>
      <c r="F60" s="13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13"/>
      <c r="AA60" s="13"/>
      <c r="AB60" s="13"/>
      <c r="AC60" s="13"/>
      <c r="AD60" s="13"/>
      <c r="AE60" s="13"/>
      <c r="AF60" s="13"/>
      <c r="AG60" s="13"/>
      <c r="AH60" s="13"/>
    </row>
    <row r="61" spans="1:43" s="10" customFormat="1" ht="27.95" customHeight="1" x14ac:dyDescent="0.2">
      <c r="A61" s="84"/>
      <c r="B61" s="13"/>
      <c r="C61" s="13"/>
      <c r="D61" s="13"/>
      <c r="E61" s="13"/>
      <c r="F61" s="13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13"/>
      <c r="AA61" s="13"/>
      <c r="AB61" s="13"/>
      <c r="AC61" s="13"/>
      <c r="AD61" s="13"/>
      <c r="AE61" s="13"/>
      <c r="AF61" s="13"/>
      <c r="AG61" s="13"/>
      <c r="AH61" s="13"/>
    </row>
    <row r="62" spans="1:43" s="10" customFormat="1" ht="27.95" customHeight="1" x14ac:dyDescent="0.2">
      <c r="A62" s="84"/>
      <c r="B62" s="13"/>
      <c r="C62" s="13"/>
      <c r="D62" s="13"/>
      <c r="E62" s="13"/>
      <c r="F62" s="13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43" s="10" customFormat="1" ht="27.95" customHeight="1" x14ac:dyDescent="0.2">
      <c r="A63" s="84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4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3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13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  <c r="AI66" s="51"/>
      <c r="AJ66" s="51"/>
      <c r="AK66" s="51"/>
      <c r="AL66" s="51"/>
      <c r="AM66" s="51"/>
      <c r="AN66" s="51"/>
      <c r="AO66" s="51"/>
      <c r="AP66" s="51"/>
      <c r="AQ66" s="51"/>
    </row>
    <row r="67" spans="1:43" s="13" customFormat="1" ht="27.95" customHeight="1" x14ac:dyDescent="0.25">
      <c r="A67"/>
      <c r="B67"/>
      <c r="C67"/>
      <c r="D67"/>
      <c r="E67"/>
      <c r="F67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  <c r="AA67" s="2"/>
      <c r="AB67" s="2"/>
      <c r="AC67" s="2"/>
      <c r="AD67" s="2"/>
      <c r="AE67" s="2"/>
      <c r="AF67" s="2"/>
      <c r="AG67" s="2"/>
      <c r="AH67" s="2"/>
    </row>
    <row r="68" spans="1:43" s="13" customFormat="1" ht="27.95" customHeight="1" x14ac:dyDescent="0.25">
      <c r="A68"/>
      <c r="B68"/>
      <c r="C68"/>
      <c r="D68"/>
      <c r="E68"/>
      <c r="F6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  <c r="AA68" s="2"/>
      <c r="AB68" s="2"/>
      <c r="AC68" s="2"/>
      <c r="AD68" s="2"/>
      <c r="AE68" s="2"/>
      <c r="AF68" s="2"/>
      <c r="AG68" s="2"/>
      <c r="AH68" s="2"/>
    </row>
    <row r="69" spans="1:43" s="13" customFormat="1" ht="27.95" customHeight="1" x14ac:dyDescent="0.25">
      <c r="A69"/>
      <c r="B69"/>
      <c r="C69"/>
      <c r="D69"/>
      <c r="E69"/>
      <c r="F6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</sheetData>
  <mergeCells count="200">
    <mergeCell ref="R56:S56"/>
    <mergeCell ref="W56:X56"/>
    <mergeCell ref="D55:F55"/>
    <mergeCell ref="I55:K55"/>
    <mergeCell ref="N55:Q55"/>
    <mergeCell ref="R55:S55"/>
    <mergeCell ref="U55:V55"/>
    <mergeCell ref="W55:X55"/>
    <mergeCell ref="D54:F54"/>
    <mergeCell ref="I54:K54"/>
    <mergeCell ref="N54:Q54"/>
    <mergeCell ref="R54:S54"/>
    <mergeCell ref="U54:V54"/>
    <mergeCell ref="W54:X54"/>
    <mergeCell ref="D53:F53"/>
    <mergeCell ref="I53:K53"/>
    <mergeCell ref="N53:Q53"/>
    <mergeCell ref="R53:S53"/>
    <mergeCell ref="U53:V53"/>
    <mergeCell ref="W53:X53"/>
    <mergeCell ref="D52:F52"/>
    <mergeCell ref="I52:K52"/>
    <mergeCell ref="N52:Q52"/>
    <mergeCell ref="R52:S52"/>
    <mergeCell ref="U52:V52"/>
    <mergeCell ref="W52:X52"/>
    <mergeCell ref="R48:S48"/>
    <mergeCell ref="W48:X48"/>
    <mergeCell ref="Z48:AA48"/>
    <mergeCell ref="A51:B51"/>
    <mergeCell ref="D51:G51"/>
    <mergeCell ref="I51:L51"/>
    <mergeCell ref="N51:S51"/>
    <mergeCell ref="U51:X51"/>
    <mergeCell ref="Z46:AA46"/>
    <mergeCell ref="AD46:AE46"/>
    <mergeCell ref="D47:F47"/>
    <mergeCell ref="I47:K47"/>
    <mergeCell ref="N47:Q47"/>
    <mergeCell ref="R47:S47"/>
    <mergeCell ref="U47:V47"/>
    <mergeCell ref="W47:X47"/>
    <mergeCell ref="Z47:AA47"/>
    <mergeCell ref="AD47:AE47"/>
    <mergeCell ref="D46:F46"/>
    <mergeCell ref="I46:K46"/>
    <mergeCell ref="N46:Q46"/>
    <mergeCell ref="R46:S46"/>
    <mergeCell ref="U46:V46"/>
    <mergeCell ref="W46:X46"/>
    <mergeCell ref="Z44:AA44"/>
    <mergeCell ref="AD44:AE44"/>
    <mergeCell ref="D45:F45"/>
    <mergeCell ref="I45:K45"/>
    <mergeCell ref="N45:Q45"/>
    <mergeCell ref="R45:S45"/>
    <mergeCell ref="U45:V45"/>
    <mergeCell ref="W45:X45"/>
    <mergeCell ref="Z45:AA45"/>
    <mergeCell ref="AD45:AE45"/>
    <mergeCell ref="D44:F44"/>
    <mergeCell ref="I44:K44"/>
    <mergeCell ref="N44:Q44"/>
    <mergeCell ref="R44:S44"/>
    <mergeCell ref="U44:V44"/>
    <mergeCell ref="W44:X44"/>
    <mergeCell ref="B41:C41"/>
    <mergeCell ref="D41:F41"/>
    <mergeCell ref="G41:I41"/>
    <mergeCell ref="J41:K41"/>
    <mergeCell ref="M41:N41"/>
    <mergeCell ref="AH41:AK41"/>
    <mergeCell ref="A43:B43"/>
    <mergeCell ref="D43:G43"/>
    <mergeCell ref="I43:L43"/>
    <mergeCell ref="N43:S43"/>
    <mergeCell ref="U43:X43"/>
    <mergeCell ref="Z43:AB43"/>
    <mergeCell ref="AD43:AF43"/>
    <mergeCell ref="O41:Q41"/>
    <mergeCell ref="R41:S41"/>
    <mergeCell ref="T41:U41"/>
    <mergeCell ref="V41:W41"/>
    <mergeCell ref="X41:Y41"/>
    <mergeCell ref="Z41:AB41"/>
    <mergeCell ref="X39:Y39"/>
    <mergeCell ref="Z39:AB39"/>
    <mergeCell ref="AH39:AK39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X40:Y40"/>
    <mergeCell ref="Z40:AB40"/>
    <mergeCell ref="AH40:AK40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X37:Y37"/>
    <mergeCell ref="Z37:AB37"/>
    <mergeCell ref="AH37:AK37"/>
    <mergeCell ref="B38:C38"/>
    <mergeCell ref="D38:F38"/>
    <mergeCell ref="G38:I38"/>
    <mergeCell ref="J38:K38"/>
    <mergeCell ref="M38:N38"/>
    <mergeCell ref="AH38:AK38"/>
    <mergeCell ref="O38:Q38"/>
    <mergeCell ref="R38:S38"/>
    <mergeCell ref="T38:U38"/>
    <mergeCell ref="V38:W38"/>
    <mergeCell ref="X38:Y38"/>
    <mergeCell ref="Z38:AB38"/>
    <mergeCell ref="B37:C37"/>
    <mergeCell ref="D37:F37"/>
    <mergeCell ref="G37:I37"/>
    <mergeCell ref="J37:K37"/>
    <mergeCell ref="M37:N37"/>
    <mergeCell ref="O37:Q37"/>
    <mergeCell ref="R37:S37"/>
    <mergeCell ref="T37:U37"/>
    <mergeCell ref="V37:W37"/>
    <mergeCell ref="AH35:AK35"/>
    <mergeCell ref="B36:C36"/>
    <mergeCell ref="D36:F36"/>
    <mergeCell ref="G36:I36"/>
    <mergeCell ref="J36:K36"/>
    <mergeCell ref="M36:N36"/>
    <mergeCell ref="O36:Q36"/>
    <mergeCell ref="R36:S36"/>
    <mergeCell ref="T36:U36"/>
    <mergeCell ref="V36:W36"/>
    <mergeCell ref="O35:Q35"/>
    <mergeCell ref="R35:S35"/>
    <mergeCell ref="T35:U35"/>
    <mergeCell ref="V35:W35"/>
    <mergeCell ref="X35:Y35"/>
    <mergeCell ref="Z35:AB35"/>
    <mergeCell ref="X36:Y36"/>
    <mergeCell ref="Z36:AB36"/>
    <mergeCell ref="AH36:AK36"/>
    <mergeCell ref="A34:U34"/>
    <mergeCell ref="V34:AB34"/>
    <mergeCell ref="B35:C35"/>
    <mergeCell ref="D35:F35"/>
    <mergeCell ref="G35:I35"/>
    <mergeCell ref="J35:K35"/>
    <mergeCell ref="M35:N35"/>
    <mergeCell ref="AE3:AE4"/>
    <mergeCell ref="AF3:AF4"/>
    <mergeCell ref="Y3:Y4"/>
    <mergeCell ref="Z3:Z4"/>
    <mergeCell ref="AA3:AA4"/>
    <mergeCell ref="AB3:AB4"/>
    <mergeCell ref="AC3:AC4"/>
    <mergeCell ref="AD3:AD4"/>
    <mergeCell ref="S3:S4"/>
    <mergeCell ref="T3:T4"/>
    <mergeCell ref="AG2:AZ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R3:AT3"/>
    <mergeCell ref="AU3:AW3"/>
    <mergeCell ref="AX3:AZ3"/>
    <mergeCell ref="AG3:AH3"/>
    <mergeCell ref="AI3:AK3"/>
    <mergeCell ref="AL3:AN3"/>
    <mergeCell ref="AO3:AQ3"/>
    <mergeCell ref="A1:AE1"/>
    <mergeCell ref="A2:A4"/>
    <mergeCell ref="B2:I2"/>
    <mergeCell ref="J2:L2"/>
    <mergeCell ref="M2:U2"/>
    <mergeCell ref="V2:AD2"/>
    <mergeCell ref="AE2:AF2"/>
    <mergeCell ref="O3:P3"/>
    <mergeCell ref="Q3:Q4"/>
    <mergeCell ref="R3:R4"/>
    <mergeCell ref="U3:U4"/>
    <mergeCell ref="V3:V4"/>
    <mergeCell ref="W3:W4"/>
    <mergeCell ref="X3:X4"/>
  </mergeCells>
  <conditionalFormatting sqref="I5:I32">
    <cfRule type="cellIs" dxfId="54" priority="32" operator="greaterThan">
      <formula>$G$44</formula>
    </cfRule>
    <cfRule type="cellIs" dxfId="53" priority="26" operator="greaterThan">
      <formula>$G$44</formula>
    </cfRule>
    <cfRule type="cellIs" dxfId="52" priority="25" operator="lessThan">
      <formula>$G$44</formula>
    </cfRule>
    <cfRule type="cellIs" dxfId="51" priority="31" operator="lessThan">
      <formula>$G$44</formula>
    </cfRule>
  </conditionalFormatting>
  <conditionalFormatting sqref="L5:L32">
    <cfRule type="cellIs" dxfId="50" priority="29" operator="lessThan">
      <formula>$G$45</formula>
    </cfRule>
    <cfRule type="cellIs" dxfId="49" priority="24" operator="greaterThan">
      <formula>$G$45</formula>
    </cfRule>
    <cfRule type="cellIs" dxfId="48" priority="23" operator="lessThan">
      <formula>$G$45</formula>
    </cfRule>
    <cfRule type="cellIs" dxfId="47" priority="30" operator="greaterThan">
      <formula>$G$45</formula>
    </cfRule>
  </conditionalFormatting>
  <conditionalFormatting sqref="L44">
    <cfRule type="cellIs" dxfId="46" priority="18" operator="greaterThan">
      <formula>$G$44</formula>
    </cfRule>
    <cfRule type="cellIs" dxfId="45" priority="39" operator="lessThan">
      <formula>$G$44</formula>
    </cfRule>
    <cfRule type="cellIs" dxfId="44" priority="49" operator="lessThan">
      <formula>$G$44</formula>
    </cfRule>
    <cfRule type="cellIs" dxfId="43" priority="17" operator="lessThan">
      <formula>$G$44</formula>
    </cfRule>
    <cfRule type="cellIs" dxfId="42" priority="55" operator="greaterThan">
      <formula>$G$44</formula>
    </cfRule>
    <cfRule type="cellIs" dxfId="41" priority="40" operator="greaterThan">
      <formula>$G$44</formula>
    </cfRule>
  </conditionalFormatting>
  <conditionalFormatting sqref="L45">
    <cfRule type="cellIs" dxfId="40" priority="38" operator="greaterThan">
      <formula>$G$45</formula>
    </cfRule>
    <cfRule type="cellIs" dxfId="39" priority="37" operator="lessThan">
      <formula>$G$45</formula>
    </cfRule>
    <cfRule type="cellIs" dxfId="38" priority="16" operator="greaterThan">
      <formula>$G$45</formula>
    </cfRule>
    <cfRule type="cellIs" dxfId="37" priority="13" operator="lessThan">
      <formula>$G$45</formula>
    </cfRule>
    <cfRule type="cellIs" dxfId="36" priority="48" operator="lessThan">
      <formula>$G$45</formula>
    </cfRule>
    <cfRule type="cellIs" dxfId="35" priority="54" operator="greaterThan">
      <formula>$G$45</formula>
    </cfRule>
  </conditionalFormatting>
  <conditionalFormatting sqref="L46">
    <cfRule type="cellIs" dxfId="34" priority="12" operator="lessThan">
      <formula>$G$46</formula>
    </cfRule>
    <cfRule type="cellIs" dxfId="33" priority="35" operator="lessThan">
      <formula>$G$46</formula>
    </cfRule>
    <cfRule type="cellIs" dxfId="32" priority="36" operator="greaterThan">
      <formula>$G$46</formula>
    </cfRule>
    <cfRule type="cellIs" dxfId="31" priority="47" operator="lessThan">
      <formula>$G$46</formula>
    </cfRule>
    <cfRule type="cellIs" dxfId="30" priority="15" operator="greaterThan">
      <formula>$G$46</formula>
    </cfRule>
    <cfRule type="cellIs" dxfId="29" priority="53" operator="greaterThan">
      <formula>$G$46</formula>
    </cfRule>
  </conditionalFormatting>
  <conditionalFormatting sqref="L47">
    <cfRule type="cellIs" dxfId="28" priority="33" operator="lessThan">
      <formula>$G$47</formula>
    </cfRule>
    <cfRule type="cellIs" dxfId="27" priority="34" operator="greaterThan">
      <formula>$G$47</formula>
    </cfRule>
    <cfRule type="cellIs" dxfId="26" priority="11" operator="lessThan">
      <formula>$G$47</formula>
    </cfRule>
    <cfRule type="cellIs" dxfId="25" priority="46" operator="lessThan">
      <formula>$G$47</formula>
    </cfRule>
    <cfRule type="cellIs" dxfId="24" priority="52" operator="greaterThan">
      <formula>$G$47</formula>
    </cfRule>
    <cfRule type="cellIs" dxfId="23" priority="14" operator="greaterThan">
      <formula>$G$47</formula>
    </cfRule>
  </conditionalFormatting>
  <conditionalFormatting sqref="L52">
    <cfRule type="cellIs" dxfId="22" priority="8" operator="greaterThan">
      <formula>$R$52</formula>
    </cfRule>
    <cfRule type="cellIs" dxfId="21" priority="4" operator="lessThan">
      <formula>$R$52</formula>
    </cfRule>
  </conditionalFormatting>
  <conditionalFormatting sqref="L53">
    <cfRule type="cellIs" dxfId="20" priority="3" operator="lessThan">
      <formula>$R$53</formula>
    </cfRule>
    <cfRule type="cellIs" dxfId="19" priority="7" operator="greaterThan">
      <formula>$R$53</formula>
    </cfRule>
  </conditionalFormatting>
  <conditionalFormatting sqref="L54">
    <cfRule type="cellIs" dxfId="18" priority="6" operator="greaterThan">
      <formula>$R$54</formula>
    </cfRule>
    <cfRule type="cellIs" dxfId="17" priority="2" operator="lessThan">
      <formula>$R$54</formula>
    </cfRule>
  </conditionalFormatting>
  <conditionalFormatting sqref="L55">
    <cfRule type="cellIs" dxfId="16" priority="5" operator="greaterThan">
      <formula>$R$55</formula>
    </cfRule>
    <cfRule type="cellIs" dxfId="15" priority="1" operator="lessThan">
      <formula>$R$55</formula>
    </cfRule>
  </conditionalFormatting>
  <conditionalFormatting sqref="U5:U32">
    <cfRule type="cellIs" dxfId="14" priority="20" operator="greaterThan">
      <formula>$G$46</formula>
    </cfRule>
    <cfRule type="cellIs" dxfId="13" priority="19" operator="lessThan">
      <formula>$G$46</formula>
    </cfRule>
  </conditionalFormatting>
  <conditionalFormatting sqref="W44:W47">
    <cfRule type="cellIs" dxfId="12" priority="51" operator="greaterThan">
      <formula>#REF!</formula>
    </cfRule>
  </conditionalFormatting>
  <conditionalFormatting sqref="W44:W55">
    <cfRule type="cellIs" dxfId="11" priority="43" operator="lessThan">
      <formula>#REF!</formula>
    </cfRule>
  </conditionalFormatting>
  <conditionalFormatting sqref="W45">
    <cfRule type="cellIs" dxfId="10" priority="50" operator="lessThan">
      <formula>#REF!</formula>
    </cfRule>
  </conditionalFormatting>
  <conditionalFormatting sqref="W52:W55">
    <cfRule type="cellIs" dxfId="9" priority="45" operator="greaterThan">
      <formula>#REF!</formula>
    </cfRule>
  </conditionalFormatting>
  <conditionalFormatting sqref="W53">
    <cfRule type="cellIs" dxfId="8" priority="44" operator="lessThan">
      <formula>#REF!</formula>
    </cfRule>
  </conditionalFormatting>
  <conditionalFormatting sqref="AA5:AA32">
    <cfRule type="cellIs" dxfId="7" priority="27" operator="lessThan">
      <formula>$G$47</formula>
    </cfRule>
    <cfRule type="cellIs" dxfId="6" priority="21" operator="lessThan">
      <formula>$G$47</formula>
    </cfRule>
    <cfRule type="cellIs" dxfId="5" priority="22" operator="greaterThan">
      <formula>$G$47</formula>
    </cfRule>
    <cfRule type="cellIs" dxfId="4" priority="28" operator="greaterThan">
      <formula>$G$47</formula>
    </cfRule>
  </conditionalFormatting>
  <conditionalFormatting sqref="AG48">
    <cfRule type="cellIs" dxfId="3" priority="10" operator="greaterThan">
      <formula>#REF!</formula>
    </cfRule>
    <cfRule type="cellIs" dxfId="2" priority="9" operator="lessThan">
      <formula>#REF!</formula>
    </cfRule>
  </conditionalFormatting>
  <conditionalFormatting sqref="AI48:AK48">
    <cfRule type="cellIs" dxfId="1" priority="41" operator="lessThan">
      <formula>#REF!</formula>
    </cfRule>
    <cfRule type="cellIs" dxfId="0" priority="42" operator="greaterThan">
      <formula>#REF!</formula>
    </cfRule>
  </conditionalFormatting>
  <dataValidations count="2">
    <dataValidation type="textLength" errorStyle="information" allowBlank="1" showInputMessage="1" showErrorMessage="1" error="XLBVal:5=35789.07_x000d__x000a_" sqref="L37" xr:uid="{9A279280-4D67-4B3B-8D65-728844E7B000}">
      <formula1>0</formula1>
      <formula2>300</formula2>
    </dataValidation>
    <dataValidation type="textLength" errorStyle="information" allowBlank="1" showInputMessage="1" showErrorMessage="1" error="XLBVal:5=31374.1_x000d__x000a_" sqref="L40" xr:uid="{7597AC90-616B-410D-902D-61232E6286FC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Feb 2025</vt:lpstr>
      <vt:lpstr>'Feb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2025-03-03T06:35:10Z</dcterms:modified>
</cp:coreProperties>
</file>