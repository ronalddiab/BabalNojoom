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0/"/>
    </mc:Choice>
  </mc:AlternateContent>
  <xr:revisionPtr revIDLastSave="774" documentId="8_{8847650D-614C-4264-8C87-30D8B5EB4252}" xr6:coauthVersionLast="47" xr6:coauthVersionMax="47" xr10:uidLastSave="{842FEAC5-20EF-43C8-B0B5-957ED0811467}"/>
  <bookViews>
    <workbookView xWindow="-108" yWindow="-108" windowWidth="23256" windowHeight="12456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AG15" i="5"/>
  <c r="C4" i="6" l="1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G21" i="3" s="1"/>
  <c r="E6" i="3"/>
  <c r="G30" i="2" l="1"/>
  <c r="G31" i="2"/>
  <c r="G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AF15" i="5" l="1"/>
  <c r="AF21" i="3" l="1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C35" i="6" l="1"/>
  <c r="AE15" i="5" l="1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E16" i="5" s="1"/>
  <c r="AE21" i="3"/>
  <c r="AD21" i="3"/>
  <c r="Y21" i="3"/>
  <c r="X21" i="3"/>
  <c r="T21" i="3"/>
  <c r="S21" i="3"/>
  <c r="R21" i="3"/>
  <c r="M21" i="3"/>
  <c r="L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1" i="3" l="1"/>
  <c r="W21" i="3"/>
  <c r="K21" i="3"/>
  <c r="O21" i="3"/>
  <c r="AA21" i="3"/>
  <c r="P21" i="3"/>
  <c r="AB21" i="3"/>
  <c r="E21" i="3"/>
  <c r="Q21" i="3"/>
  <c r="AC21" i="3"/>
  <c r="I2" i="2" a="1"/>
  <c r="I2" i="2" s="1"/>
  <c r="I21" i="3"/>
  <c r="U21" i="3"/>
  <c r="V21" i="3"/>
  <c r="N21" i="3"/>
  <c r="Z21" i="3"/>
  <c r="E2" i="2" l="1" a="1"/>
  <c r="E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<sst xmlns="http://schemas.openxmlformats.org/spreadsheetml/2006/main" count="121" uniqueCount="86">
  <si>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</si>
  <si>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</si>
  <si>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</si>
  <si>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</si>
  <si>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</si>
  <si>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</si>
  <si>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</si>
  <si>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</si>
  <si>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</si>
  <si>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</si>
  <si>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</si>
  <si>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</si>
  <si>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</si>
  <si>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</si>
  <si>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</si>
  <si>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</si>
  <si>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</si>
  <si>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</si>
  <si>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</si>
  <si>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</si>
  <si>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</si>
  <si>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</si>
  <si>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</si>
  <si>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</si>
  <si>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</si>
  <si>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</si>
  <si>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</si>
  <si>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</si>
  <si>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</si>
  <si>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</si>
  <si>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</si>
  <si>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</si>
  <si>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</si>
  <si>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</si>
  <si>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</si>
  <si>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</si>
  <si>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</si>
  <si>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</si>
  <si>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</si>
  <si>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</si>
  <si>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</si>
  <si>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</si>
  <si>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</si>
  <si>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</si>
  <si>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</si>
  <si>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</si>
  <si>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</si>
  <si>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</si>
  <si>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</si>
  <si>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</si>
  <si>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</si>
  <si>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</si>
  <si>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</si>
  <si>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</si>
  <si>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</si>
  <si>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</si>
  <si>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</si>
  <si>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</si>
  <si>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</si>
  <si>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</si>
  <si>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</si>
  <si>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</si>
  <si>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</si>
  <si>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</si>
  <si>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</si>
  <si>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</si>
  <si>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</si>
  <si>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</si>
  <si>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</si>
  <si>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</si>
  <si>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</si>
  <si>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</si>
  <si>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</si>
  <si>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</si>
  <si>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</si>
  <si>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</si>
  <si>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</si>
  <si>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</si>
  <si>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</si>
  <si>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</si>
  <si>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</si>
  <si>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DAILY ELECTRICITY METER READINGS &amp; CONSUMPTION FEBRUARY 2020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</si>
  <si>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FEBRUARY  2020</t>
    </r>
  </si>
  <si>
    <t>29</t>
  </si>
  <si>
    <t>DAILY GAS METER READINGS &amp; CONSUMPTION (Liters) February 2020</t>
  </si>
  <si>
    <t>Occupied Room &amp; Number of Guest - Februray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</si>
</sst>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4" fillId="11" borderId="0" xfId="0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3" fontId="2" fillId="0" borderId="0" xfId="0" applyNumberFormat="1" applyFont="1"/>
    <xf numFmtId="168" fontId="26" fillId="0" borderId="21" xfId="1" applyNumberFormat="1" applyFont="1" applyFill="1" applyBorder="1"/>
    <xf numFmtId="165" fontId="15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3"/>
  <sheetViews>
    <sheetView tabSelected="1" workbookViewId="0">
      <selection activeCell="H2" sqref="H2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3">
      <c r="A2" s="9" t="s">
        <v>12</v>
      </c>
      <c r="B2" s="10">
        <v>1</v>
      </c>
      <c r="C2" s="10">
        <v>2</v>
      </c>
      <c r="D2" s="10">
        <v>2020</v>
      </c>
      <c r="E2" s="4" cm="1">
        <f t="array" ref="E2:E30">TRANSPOSE(Electricity!E21:AG21)</f>
        <v>27338</v>
      </c>
      <c r="F2" s="11">
        <v>0.2</v>
      </c>
      <c r="G2" s="4">
        <f>LPG!C4</f>
        <v>2211.6244827586206</v>
      </c>
      <c r="H2" s="11">
        <v>1.5900039774165065</v>
      </c>
      <c r="I2" s="4" cm="1">
        <f t="array" ref="I2:I30">TRANSPOSE(Water!E15:AG15)</f>
        <v>381.76299999999736</v>
      </c>
      <c r="J2" s="11">
        <v>7.84</v>
      </c>
      <c r="K2" s="4">
        <f>'Occupied &amp; No. of Guest'!B3</f>
        <v>268</v>
      </c>
      <c r="L2" s="4">
        <f>'Occupied &amp; No. of Guest'!C3</f>
        <v>326</v>
      </c>
    </row>
    <row r="3" spans="1:12" x14ac:dyDescent="0.3">
      <c r="A3" s="9" t="s">
        <v>12</v>
      </c>
      <c r="B3" s="10">
        <f>B2+1</f>
        <v>2</v>
      </c>
      <c r="C3" s="10">
        <v>2</v>
      </c>
      <c r="D3" s="10">
        <v>2020</v>
      </c>
      <c r="E3" s="4">
        <v>27539</v>
      </c>
      <c r="F3" s="11">
        <v>0.2</v>
      </c>
      <c r="G3" s="4">
        <f>LPG!C5</f>
        <v>2211.6244827586206</v>
      </c>
      <c r="H3" s="11">
        <v>1.5900039774165065</v>
      </c>
      <c r="I3" s="4">
        <v>216.06000000001168</v>
      </c>
      <c r="J3" s="11">
        <v>7.84</v>
      </c>
      <c r="K3" s="4">
        <f>'Occupied &amp; No. of Guest'!B4</f>
        <v>254</v>
      </c>
      <c r="L3" s="4">
        <f>'Occupied &amp; No. of Guest'!C4</f>
        <v>306</v>
      </c>
    </row>
    <row r="4" spans="1:12" x14ac:dyDescent="0.3">
      <c r="A4" s="9" t="s">
        <v>12</v>
      </c>
      <c r="B4" s="10">
        <f t="shared" ref="B4:B32" si="0">B3+1</f>
        <v>3</v>
      </c>
      <c r="C4" s="10">
        <v>2</v>
      </c>
      <c r="D4" s="10">
        <v>2020</v>
      </c>
      <c r="E4" s="4">
        <v>27936</v>
      </c>
      <c r="F4" s="11">
        <v>0.2</v>
      </c>
      <c r="G4" s="4">
        <f>LPG!C6</f>
        <v>2211.6244827586206</v>
      </c>
      <c r="H4" s="11">
        <v>1.5900039774165065</v>
      </c>
      <c r="I4" s="4">
        <v>244.58999999997997</v>
      </c>
      <c r="J4" s="11">
        <v>7.84</v>
      </c>
      <c r="K4" s="4">
        <f>'Occupied &amp; No. of Guest'!B5</f>
        <v>386</v>
      </c>
      <c r="L4" s="4">
        <f>'Occupied &amp; No. of Guest'!C5</f>
        <v>466</v>
      </c>
    </row>
    <row r="5" spans="1:12" x14ac:dyDescent="0.3">
      <c r="A5" s="9" t="s">
        <v>12</v>
      </c>
      <c r="B5" s="10">
        <f t="shared" si="0"/>
        <v>4</v>
      </c>
      <c r="C5" s="10">
        <v>2</v>
      </c>
      <c r="D5" s="10">
        <v>2020</v>
      </c>
      <c r="E5" s="4">
        <v>29356</v>
      </c>
      <c r="F5" s="11">
        <v>0.2</v>
      </c>
      <c r="G5" s="4">
        <f>LPG!C7</f>
        <v>2211.6244827586206</v>
      </c>
      <c r="H5" s="11">
        <v>1.5900039774165065</v>
      </c>
      <c r="I5" s="4">
        <v>415.46300000001463</v>
      </c>
      <c r="J5" s="11">
        <v>7.84</v>
      </c>
      <c r="K5" s="4">
        <f>'Occupied &amp; No. of Guest'!B6</f>
        <v>433</v>
      </c>
      <c r="L5" s="4">
        <f>'Occupied &amp; No. of Guest'!C6</f>
        <v>531</v>
      </c>
    </row>
    <row r="6" spans="1:12" x14ac:dyDescent="0.3">
      <c r="A6" s="9" t="s">
        <v>12</v>
      </c>
      <c r="B6" s="10">
        <f t="shared" si="0"/>
        <v>5</v>
      </c>
      <c r="C6" s="10">
        <v>2</v>
      </c>
      <c r="D6" s="10">
        <v>2020</v>
      </c>
      <c r="E6" s="4">
        <v>26939</v>
      </c>
      <c r="F6" s="11">
        <v>0.2</v>
      </c>
      <c r="G6" s="4">
        <f>LPG!C8</f>
        <v>2211.6244827586206</v>
      </c>
      <c r="H6" s="11">
        <v>1.5900039774165065</v>
      </c>
      <c r="I6" s="4">
        <v>283.20399999998989</v>
      </c>
      <c r="J6" s="11">
        <v>7.84</v>
      </c>
      <c r="K6" s="4">
        <f>'Occupied &amp; No. of Guest'!B7</f>
        <v>412</v>
      </c>
      <c r="L6" s="4">
        <f>'Occupied &amp; No. of Guest'!C7</f>
        <v>496</v>
      </c>
    </row>
    <row r="7" spans="1:12" x14ac:dyDescent="0.3">
      <c r="A7" s="9" t="s">
        <v>12</v>
      </c>
      <c r="B7" s="10">
        <f t="shared" si="0"/>
        <v>6</v>
      </c>
      <c r="C7" s="10">
        <v>2</v>
      </c>
      <c r="D7" s="10">
        <v>2020</v>
      </c>
      <c r="E7" s="4">
        <v>30131</v>
      </c>
      <c r="F7" s="11">
        <v>0.2</v>
      </c>
      <c r="G7" s="4">
        <f>LPG!C9</f>
        <v>2211.6244827586206</v>
      </c>
      <c r="H7" s="11">
        <v>1.5900039774165065</v>
      </c>
      <c r="I7" s="4">
        <v>265.84600000001245</v>
      </c>
      <c r="J7" s="11">
        <v>7.84</v>
      </c>
      <c r="K7" s="4">
        <f>'Occupied &amp; No. of Guest'!B8</f>
        <v>297</v>
      </c>
      <c r="L7" s="4">
        <f>'Occupied &amp; No. of Guest'!C8</f>
        <v>382</v>
      </c>
    </row>
    <row r="8" spans="1:12" x14ac:dyDescent="0.3">
      <c r="A8" s="9" t="s">
        <v>12</v>
      </c>
      <c r="B8" s="10">
        <f t="shared" si="0"/>
        <v>7</v>
      </c>
      <c r="C8" s="10">
        <v>2</v>
      </c>
      <c r="D8" s="10">
        <v>2020</v>
      </c>
      <c r="E8" s="4">
        <v>30126</v>
      </c>
      <c r="F8" s="11">
        <v>0.2</v>
      </c>
      <c r="G8" s="4">
        <f>LPG!C10</f>
        <v>2211.6244827586206</v>
      </c>
      <c r="H8" s="11">
        <v>1.5900039774165065</v>
      </c>
      <c r="I8" s="4">
        <v>252.49799999999306</v>
      </c>
      <c r="J8" s="11">
        <v>7.84</v>
      </c>
      <c r="K8" s="4">
        <f>'Occupied &amp; No. of Guest'!B9</f>
        <v>328</v>
      </c>
      <c r="L8" s="4">
        <f>'Occupied &amp; No. of Guest'!C9</f>
        <v>417</v>
      </c>
    </row>
    <row r="9" spans="1:12" x14ac:dyDescent="0.3">
      <c r="A9" s="9" t="s">
        <v>12</v>
      </c>
      <c r="B9" s="10">
        <f t="shared" si="0"/>
        <v>8</v>
      </c>
      <c r="C9" s="10">
        <v>2</v>
      </c>
      <c r="D9" s="10">
        <v>2020</v>
      </c>
      <c r="E9" s="4">
        <v>30134</v>
      </c>
      <c r="F9" s="11">
        <v>0.2</v>
      </c>
      <c r="G9" s="4">
        <f>LPG!C11</f>
        <v>2211.6244827586206</v>
      </c>
      <c r="H9" s="11">
        <v>1.5900039774165065</v>
      </c>
      <c r="I9" s="4">
        <v>351.91500000000923</v>
      </c>
      <c r="J9" s="11">
        <v>7.84</v>
      </c>
      <c r="K9" s="4">
        <f>'Occupied &amp; No. of Guest'!B10</f>
        <v>354</v>
      </c>
      <c r="L9" s="4">
        <f>'Occupied &amp; No. of Guest'!C10</f>
        <v>413</v>
      </c>
    </row>
    <row r="10" spans="1:12" x14ac:dyDescent="0.3">
      <c r="A10" s="9" t="s">
        <v>12</v>
      </c>
      <c r="B10" s="10">
        <f t="shared" si="0"/>
        <v>9</v>
      </c>
      <c r="C10" s="10">
        <v>2</v>
      </c>
      <c r="D10" s="10">
        <v>2020</v>
      </c>
      <c r="E10" s="4">
        <v>30550</v>
      </c>
      <c r="F10" s="11">
        <v>0.2</v>
      </c>
      <c r="G10" s="4">
        <f>LPG!C12</f>
        <v>2211.6244827586206</v>
      </c>
      <c r="H10" s="11">
        <v>1.5900039774165065</v>
      </c>
      <c r="I10" s="4">
        <v>299.5039999999866</v>
      </c>
      <c r="J10" s="11">
        <v>7.84</v>
      </c>
      <c r="K10" s="4">
        <f>'Occupied &amp; No. of Guest'!B11</f>
        <v>344</v>
      </c>
      <c r="L10" s="4">
        <f>'Occupied &amp; No. of Guest'!C11</f>
        <v>411</v>
      </c>
    </row>
    <row r="11" spans="1:12" x14ac:dyDescent="0.3">
      <c r="A11" s="9" t="s">
        <v>12</v>
      </c>
      <c r="B11" s="10">
        <f t="shared" si="0"/>
        <v>10</v>
      </c>
      <c r="C11" s="10">
        <v>2</v>
      </c>
      <c r="D11" s="10">
        <v>2020</v>
      </c>
      <c r="E11" s="4">
        <v>30960</v>
      </c>
      <c r="F11" s="11">
        <v>0.2</v>
      </c>
      <c r="G11" s="4">
        <f>LPG!C13</f>
        <v>2211.6244827586206</v>
      </c>
      <c r="H11" s="11">
        <v>1.5900039774165065</v>
      </c>
      <c r="I11" s="4">
        <v>192.61299999999883</v>
      </c>
      <c r="J11" s="11">
        <v>7.84</v>
      </c>
      <c r="K11" s="4">
        <f>'Occupied &amp; No. of Guest'!B12</f>
        <v>363</v>
      </c>
      <c r="L11" s="4">
        <f>'Occupied &amp; No. of Guest'!C12</f>
        <v>430</v>
      </c>
    </row>
    <row r="12" spans="1:12" x14ac:dyDescent="0.3">
      <c r="A12" s="9" t="s">
        <v>12</v>
      </c>
      <c r="B12" s="10">
        <f t="shared" si="0"/>
        <v>11</v>
      </c>
      <c r="C12" s="10">
        <v>2</v>
      </c>
      <c r="D12" s="10">
        <v>2020</v>
      </c>
      <c r="E12" s="4">
        <v>29152</v>
      </c>
      <c r="F12" s="11">
        <v>0.2</v>
      </c>
      <c r="G12" s="4">
        <f>LPG!C14</f>
        <v>2211.6244827586206</v>
      </c>
      <c r="H12" s="11">
        <v>1.5900039774165065</v>
      </c>
      <c r="I12" s="4">
        <v>179.14300000001677</v>
      </c>
      <c r="J12" s="11">
        <v>7.84</v>
      </c>
      <c r="K12" s="4">
        <f>'Occupied &amp; No. of Guest'!B13</f>
        <v>396</v>
      </c>
      <c r="L12" s="4">
        <f>'Occupied &amp; No. of Guest'!C13</f>
        <v>470</v>
      </c>
    </row>
    <row r="13" spans="1:12" x14ac:dyDescent="0.3">
      <c r="A13" s="9" t="s">
        <v>12</v>
      </c>
      <c r="B13" s="10">
        <f t="shared" si="0"/>
        <v>12</v>
      </c>
      <c r="C13" s="10">
        <v>2</v>
      </c>
      <c r="D13" s="10">
        <v>2020</v>
      </c>
      <c r="E13" s="4">
        <v>28548</v>
      </c>
      <c r="F13" s="11">
        <v>0.2</v>
      </c>
      <c r="G13" s="4">
        <f>LPG!C15</f>
        <v>2211.6244827586206</v>
      </c>
      <c r="H13" s="11">
        <v>1.5900039774165065</v>
      </c>
      <c r="I13" s="4">
        <v>35.791000000001809</v>
      </c>
      <c r="J13" s="11">
        <v>7.84</v>
      </c>
      <c r="K13" s="4">
        <f>'Occupied &amp; No. of Guest'!B14</f>
        <v>345</v>
      </c>
      <c r="L13" s="4">
        <f>'Occupied &amp; No. of Guest'!C14</f>
        <v>424</v>
      </c>
    </row>
    <row r="14" spans="1:12" x14ac:dyDescent="0.3">
      <c r="A14" s="9" t="s">
        <v>12</v>
      </c>
      <c r="B14" s="10">
        <f t="shared" si="0"/>
        <v>13</v>
      </c>
      <c r="C14" s="10">
        <v>2</v>
      </c>
      <c r="D14" s="10">
        <v>2020</v>
      </c>
      <c r="E14" s="4">
        <v>26517</v>
      </c>
      <c r="F14" s="11">
        <v>0.2</v>
      </c>
      <c r="G14" s="4">
        <f>LPG!C16</f>
        <v>2211.6244827586206</v>
      </c>
      <c r="H14" s="11">
        <v>1.5900039774165065</v>
      </c>
      <c r="I14" s="4">
        <v>162.03499999998439</v>
      </c>
      <c r="J14" s="11">
        <v>7.84</v>
      </c>
      <c r="K14" s="4">
        <f>'Occupied &amp; No. of Guest'!B15</f>
        <v>260</v>
      </c>
      <c r="L14" s="4">
        <f>'Occupied &amp; No. of Guest'!C15</f>
        <v>303</v>
      </c>
    </row>
    <row r="15" spans="1:12" x14ac:dyDescent="0.3">
      <c r="A15" s="9" t="s">
        <v>12</v>
      </c>
      <c r="B15" s="10">
        <f t="shared" si="0"/>
        <v>14</v>
      </c>
      <c r="C15" s="10">
        <v>2</v>
      </c>
      <c r="D15" s="10">
        <v>2020</v>
      </c>
      <c r="E15" s="4">
        <v>30958</v>
      </c>
      <c r="F15" s="11">
        <v>0.2</v>
      </c>
      <c r="G15" s="4">
        <f>LPG!C17</f>
        <v>2211.6244827586206</v>
      </c>
      <c r="H15" s="11">
        <v>1.5900039774165065</v>
      </c>
      <c r="I15" s="4">
        <v>37.379000000022828</v>
      </c>
      <c r="J15" s="11">
        <v>7.84</v>
      </c>
      <c r="K15" s="4">
        <f>'Occupied &amp; No. of Guest'!B16</f>
        <v>228</v>
      </c>
      <c r="L15" s="4">
        <f>'Occupied &amp; No. of Guest'!C16</f>
        <v>275</v>
      </c>
    </row>
    <row r="16" spans="1:12" x14ac:dyDescent="0.3">
      <c r="A16" s="9" t="s">
        <v>12</v>
      </c>
      <c r="B16" s="10">
        <f t="shared" si="0"/>
        <v>15</v>
      </c>
      <c r="C16" s="10">
        <v>2</v>
      </c>
      <c r="D16" s="10">
        <v>2020</v>
      </c>
      <c r="E16" s="4">
        <v>29750</v>
      </c>
      <c r="F16" s="11">
        <v>0.2</v>
      </c>
      <c r="G16" s="4">
        <f>LPG!C18</f>
        <v>2211.6244827586206</v>
      </c>
      <c r="H16" s="11">
        <v>1.5900039774165065</v>
      </c>
      <c r="I16" s="4">
        <v>947.35799999997232</v>
      </c>
      <c r="J16" s="11">
        <v>7.84</v>
      </c>
      <c r="K16" s="4">
        <f>'Occupied &amp; No. of Guest'!B17</f>
        <v>260</v>
      </c>
      <c r="L16" s="4">
        <f>'Occupied &amp; No. of Guest'!C17</f>
        <v>297</v>
      </c>
    </row>
    <row r="17" spans="1:12" x14ac:dyDescent="0.3">
      <c r="A17" s="9" t="s">
        <v>12</v>
      </c>
      <c r="B17" s="10">
        <f t="shared" si="0"/>
        <v>16</v>
      </c>
      <c r="C17" s="10">
        <v>2</v>
      </c>
      <c r="D17" s="10">
        <v>2020</v>
      </c>
      <c r="E17" s="4">
        <v>30761</v>
      </c>
      <c r="F17" s="11">
        <v>0.2</v>
      </c>
      <c r="G17" s="4">
        <f>LPG!C19</f>
        <v>2211.6244827586206</v>
      </c>
      <c r="H17" s="11">
        <v>1.5900039774165065</v>
      </c>
      <c r="I17" s="4">
        <v>227.3570000000187</v>
      </c>
      <c r="J17" s="11">
        <v>7.84</v>
      </c>
      <c r="K17" s="4">
        <f>'Occupied &amp; No. of Guest'!B18</f>
        <v>300</v>
      </c>
      <c r="L17" s="4">
        <f>'Occupied &amp; No. of Guest'!C18</f>
        <v>353</v>
      </c>
    </row>
    <row r="18" spans="1:12" x14ac:dyDescent="0.3">
      <c r="A18" s="9" t="s">
        <v>12</v>
      </c>
      <c r="B18" s="10">
        <f t="shared" si="0"/>
        <v>17</v>
      </c>
      <c r="C18" s="10">
        <v>2</v>
      </c>
      <c r="D18" s="10">
        <v>2020</v>
      </c>
      <c r="E18" s="4">
        <v>29148</v>
      </c>
      <c r="F18" s="11">
        <v>0.2</v>
      </c>
      <c r="G18" s="4">
        <f>LPG!C20</f>
        <v>2211.6244827586206</v>
      </c>
      <c r="H18" s="11">
        <v>1.5900039774165065</v>
      </c>
      <c r="I18" s="4">
        <v>192.1299999999892</v>
      </c>
      <c r="J18" s="11">
        <v>7.84</v>
      </c>
      <c r="K18" s="4">
        <f>'Occupied &amp; No. of Guest'!B19</f>
        <v>329</v>
      </c>
      <c r="L18" s="4">
        <f>'Occupied &amp; No. of Guest'!C19</f>
        <v>395</v>
      </c>
    </row>
    <row r="19" spans="1:12" x14ac:dyDescent="0.3">
      <c r="A19" s="9" t="s">
        <v>12</v>
      </c>
      <c r="B19" s="10">
        <f t="shared" si="0"/>
        <v>18</v>
      </c>
      <c r="C19" s="10">
        <v>2</v>
      </c>
      <c r="D19" s="10">
        <v>2020</v>
      </c>
      <c r="E19" s="4">
        <v>32324</v>
      </c>
      <c r="F19" s="11">
        <v>0.2</v>
      </c>
      <c r="G19" s="4">
        <f>LPG!C21</f>
        <v>2211.6244827586206</v>
      </c>
      <c r="H19" s="11">
        <v>1.5900039774165065</v>
      </c>
      <c r="I19" s="4">
        <v>884.55599999999379</v>
      </c>
      <c r="J19" s="11">
        <v>7.84</v>
      </c>
      <c r="K19" s="4">
        <f>'Occupied &amp; No. of Guest'!B20</f>
        <v>344</v>
      </c>
      <c r="L19" s="4">
        <f>'Occupied &amp; No. of Guest'!C20</f>
        <v>414</v>
      </c>
    </row>
    <row r="20" spans="1:12" x14ac:dyDescent="0.3">
      <c r="A20" s="9" t="s">
        <v>12</v>
      </c>
      <c r="B20" s="10">
        <f t="shared" si="0"/>
        <v>19</v>
      </c>
      <c r="C20" s="10">
        <v>2</v>
      </c>
      <c r="D20" s="10">
        <v>2020</v>
      </c>
      <c r="E20" s="4">
        <v>31905</v>
      </c>
      <c r="F20" s="11">
        <v>0.2</v>
      </c>
      <c r="G20" s="4">
        <f>LPG!C22</f>
        <v>2211.6244827586206</v>
      </c>
      <c r="H20" s="11">
        <v>1.5900039774165065</v>
      </c>
      <c r="I20" s="4">
        <v>379.3610000000084</v>
      </c>
      <c r="J20" s="11">
        <v>7.84</v>
      </c>
      <c r="K20" s="4">
        <f>'Occupied &amp; No. of Guest'!B21</f>
        <v>354</v>
      </c>
      <c r="L20" s="4">
        <f>'Occupied &amp; No. of Guest'!C21</f>
        <v>437</v>
      </c>
    </row>
    <row r="21" spans="1:12" x14ac:dyDescent="0.3">
      <c r="A21" s="9" t="s">
        <v>12</v>
      </c>
      <c r="B21" s="10">
        <f t="shared" si="0"/>
        <v>20</v>
      </c>
      <c r="C21" s="10">
        <v>2</v>
      </c>
      <c r="D21" s="10">
        <v>2020</v>
      </c>
      <c r="E21" s="4">
        <v>32329</v>
      </c>
      <c r="F21" s="11">
        <v>0.2</v>
      </c>
      <c r="G21" s="4">
        <f>LPG!C23</f>
        <v>2211.6244827586206</v>
      </c>
      <c r="H21" s="11">
        <v>1.5900039774165065</v>
      </c>
      <c r="I21" s="4">
        <v>442.49199999999507</v>
      </c>
      <c r="J21" s="11">
        <v>7.84</v>
      </c>
      <c r="K21" s="4">
        <f>'Occupied &amp; No. of Guest'!B22</f>
        <v>366</v>
      </c>
      <c r="L21" s="4">
        <f>'Occupied &amp; No. of Guest'!C22</f>
        <v>491</v>
      </c>
    </row>
    <row r="22" spans="1:12" x14ac:dyDescent="0.3">
      <c r="A22" s="9" t="s">
        <v>12</v>
      </c>
      <c r="B22" s="10">
        <f t="shared" si="0"/>
        <v>21</v>
      </c>
      <c r="C22" s="10">
        <v>2</v>
      </c>
      <c r="D22" s="10">
        <v>2020</v>
      </c>
      <c r="E22" s="4">
        <v>32136</v>
      </c>
      <c r="F22" s="11">
        <v>0.2</v>
      </c>
      <c r="G22" s="4">
        <f>LPG!C24</f>
        <v>2211.6244827586206</v>
      </c>
      <c r="H22" s="11">
        <v>1.5900039774165065</v>
      </c>
      <c r="I22" s="4">
        <v>294.1040000000163</v>
      </c>
      <c r="J22" s="11">
        <v>7.84</v>
      </c>
      <c r="K22" s="4">
        <f>'Occupied &amp; No. of Guest'!B23</f>
        <v>266</v>
      </c>
      <c r="L22" s="4">
        <f>'Occupied &amp; No. of Guest'!C23</f>
        <v>349</v>
      </c>
    </row>
    <row r="23" spans="1:12" x14ac:dyDescent="0.3">
      <c r="A23" s="9" t="s">
        <v>12</v>
      </c>
      <c r="B23" s="10">
        <f t="shared" si="0"/>
        <v>22</v>
      </c>
      <c r="C23" s="10">
        <v>2</v>
      </c>
      <c r="D23" s="10">
        <v>2020</v>
      </c>
      <c r="E23" s="4">
        <v>33531</v>
      </c>
      <c r="F23" s="11">
        <v>0.2</v>
      </c>
      <c r="G23" s="4">
        <f>LPG!C25</f>
        <v>2211.6244827586206</v>
      </c>
      <c r="H23" s="11">
        <v>1.5900039774165065</v>
      </c>
      <c r="I23" s="4">
        <v>352.97899999998407</v>
      </c>
      <c r="J23" s="11">
        <v>7.84</v>
      </c>
      <c r="K23" s="4">
        <f>'Occupied &amp; No. of Guest'!B24</f>
        <v>479</v>
      </c>
      <c r="L23" s="4">
        <f>'Occupied &amp; No. of Guest'!C24</f>
        <v>757</v>
      </c>
    </row>
    <row r="24" spans="1:12" x14ac:dyDescent="0.3">
      <c r="A24" s="9" t="s">
        <v>12</v>
      </c>
      <c r="B24" s="10">
        <f t="shared" si="0"/>
        <v>23</v>
      </c>
      <c r="C24" s="10">
        <v>2</v>
      </c>
      <c r="D24" s="10">
        <v>2020</v>
      </c>
      <c r="E24" s="4">
        <v>34924</v>
      </c>
      <c r="F24" s="11">
        <v>0.2</v>
      </c>
      <c r="G24" s="4">
        <f>LPG!C26</f>
        <v>2211.6244827586206</v>
      </c>
      <c r="H24" s="11">
        <v>1.5900039774165065</v>
      </c>
      <c r="I24" s="4">
        <v>340.79100000000869</v>
      </c>
      <c r="J24" s="11">
        <v>7.84</v>
      </c>
      <c r="K24" s="4">
        <f>'Occupied &amp; No. of Guest'!B25</f>
        <v>479</v>
      </c>
      <c r="L24" s="4">
        <f>'Occupied &amp; No. of Guest'!C25</f>
        <v>746</v>
      </c>
    </row>
    <row r="25" spans="1:12" x14ac:dyDescent="0.3">
      <c r="A25" s="9" t="s">
        <v>12</v>
      </c>
      <c r="B25" s="10">
        <f t="shared" si="0"/>
        <v>24</v>
      </c>
      <c r="C25" s="10">
        <v>2</v>
      </c>
      <c r="D25" s="10">
        <v>2020</v>
      </c>
      <c r="E25" s="4">
        <v>33721</v>
      </c>
      <c r="F25" s="11">
        <v>0.2</v>
      </c>
      <c r="G25" s="4">
        <f>LPG!C27</f>
        <v>2211.6244827586206</v>
      </c>
      <c r="H25" s="11">
        <v>1.5900039774165065</v>
      </c>
      <c r="I25" s="4">
        <v>397.17599999999021</v>
      </c>
      <c r="J25" s="11">
        <v>7.84</v>
      </c>
      <c r="K25" s="4">
        <f>'Occupied &amp; No. of Guest'!B26</f>
        <v>480</v>
      </c>
      <c r="L25" s="4">
        <f>'Occupied &amp; No. of Guest'!C26</f>
        <v>743</v>
      </c>
    </row>
    <row r="26" spans="1:12" x14ac:dyDescent="0.3">
      <c r="A26" s="9" t="s">
        <v>12</v>
      </c>
      <c r="B26" s="10">
        <f>B25+1</f>
        <v>25</v>
      </c>
      <c r="C26" s="10">
        <v>2</v>
      </c>
      <c r="D26" s="10">
        <v>2020</v>
      </c>
      <c r="E26" s="4">
        <v>33739</v>
      </c>
      <c r="F26" s="11">
        <v>0.2</v>
      </c>
      <c r="G26" s="4">
        <f>LPG!C28</f>
        <v>2211.6244827586206</v>
      </c>
      <c r="H26" s="11">
        <v>1.5900039774165065</v>
      </c>
      <c r="I26" s="4">
        <v>322.17100000001483</v>
      </c>
      <c r="J26" s="11">
        <v>7.84</v>
      </c>
      <c r="K26" s="4">
        <f>'Occupied &amp; No. of Guest'!B27</f>
        <v>310</v>
      </c>
      <c r="L26" s="4">
        <f>'Occupied &amp; No. of Guest'!C27</f>
        <v>359</v>
      </c>
    </row>
    <row r="27" spans="1:12" x14ac:dyDescent="0.3">
      <c r="A27" s="9" t="s">
        <v>12</v>
      </c>
      <c r="B27" s="10">
        <f t="shared" si="0"/>
        <v>26</v>
      </c>
      <c r="C27" s="10">
        <v>2</v>
      </c>
      <c r="D27" s="10">
        <v>2020</v>
      </c>
      <c r="E27" s="4">
        <v>30727</v>
      </c>
      <c r="F27" s="11">
        <v>0.2</v>
      </c>
      <c r="G27" s="4">
        <f>LPG!C29</f>
        <v>2211.6244827586206</v>
      </c>
      <c r="H27" s="11">
        <v>1.5900039774165065</v>
      </c>
      <c r="I27" s="4">
        <v>250.46300000000303</v>
      </c>
      <c r="J27" s="11">
        <v>7.84</v>
      </c>
      <c r="K27" s="4">
        <f>'Occupied &amp; No. of Guest'!B28</f>
        <v>317</v>
      </c>
      <c r="L27" s="4">
        <f>'Occupied &amp; No. of Guest'!C28</f>
        <v>413</v>
      </c>
    </row>
    <row r="28" spans="1:12" x14ac:dyDescent="0.3">
      <c r="A28" s="9" t="s">
        <v>12</v>
      </c>
      <c r="B28" s="10">
        <f t="shared" si="0"/>
        <v>27</v>
      </c>
      <c r="C28" s="10">
        <v>2</v>
      </c>
      <c r="D28" s="10">
        <v>2020</v>
      </c>
      <c r="E28" s="4">
        <v>30528</v>
      </c>
      <c r="F28" s="11">
        <v>0.2</v>
      </c>
      <c r="G28" s="4">
        <f>LPG!C30</f>
        <v>2211.6244827586206</v>
      </c>
      <c r="H28" s="11">
        <v>1.5900039774165065</v>
      </c>
      <c r="I28" s="4">
        <v>481.34499999998263</v>
      </c>
      <c r="J28" s="11">
        <v>7.84</v>
      </c>
      <c r="K28" s="4">
        <f>'Occupied &amp; No. of Guest'!B29</f>
        <v>372</v>
      </c>
      <c r="L28" s="4">
        <f>'Occupied &amp; No. of Guest'!C29</f>
        <v>503</v>
      </c>
    </row>
    <row r="29" spans="1:12" x14ac:dyDescent="0.3">
      <c r="A29" s="9" t="s">
        <v>12</v>
      </c>
      <c r="B29" s="10">
        <f t="shared" si="0"/>
        <v>28</v>
      </c>
      <c r="C29" s="10">
        <v>2</v>
      </c>
      <c r="D29" s="10">
        <v>2020</v>
      </c>
      <c r="E29" s="4">
        <v>30128</v>
      </c>
      <c r="F29" s="11">
        <v>0.2</v>
      </c>
      <c r="G29" s="4">
        <f>LPG!C31</f>
        <v>2211.6244827586206</v>
      </c>
      <c r="H29" s="11">
        <v>1.5900039774165065</v>
      </c>
      <c r="I29" s="4">
        <v>290.484000000018</v>
      </c>
      <c r="J29" s="11">
        <v>7.84</v>
      </c>
      <c r="K29" s="4">
        <f>'Occupied &amp; No. of Guest'!B30</f>
        <v>384</v>
      </c>
      <c r="L29" s="4">
        <f>'Occupied &amp; No. of Guest'!C30</f>
        <v>518</v>
      </c>
    </row>
    <row r="30" spans="1:12" x14ac:dyDescent="0.3">
      <c r="A30" s="9" t="s">
        <v>12</v>
      </c>
      <c r="B30" s="10">
        <f t="shared" si="0"/>
        <v>29</v>
      </c>
      <c r="C30" s="10">
        <v>2</v>
      </c>
      <c r="D30" s="10">
        <v>2020</v>
      </c>
      <c r="E30" s="4">
        <v>29955</v>
      </c>
      <c r="F30" s="11">
        <v>0.2</v>
      </c>
      <c r="G30" s="4">
        <f>LPG!C32</f>
        <v>2211.6244827586206</v>
      </c>
      <c r="H30" s="11">
        <v>1.5900039774165065</v>
      </c>
      <c r="I30" s="4">
        <v>426.04499999999462</v>
      </c>
      <c r="J30" s="11">
        <v>7.84</v>
      </c>
      <c r="K30" s="4">
        <f>'Occupied &amp; No. of Guest'!B31</f>
        <v>393</v>
      </c>
      <c r="L30" s="4">
        <f>'Occupied &amp; No. of Guest'!C31</f>
        <v>485</v>
      </c>
    </row>
    <row r="31" spans="1:12" x14ac:dyDescent="0.3">
      <c r="A31" s="9" t="s">
        <v>12</v>
      </c>
      <c r="B31" s="10">
        <f t="shared" si="0"/>
        <v>30</v>
      </c>
      <c r="C31" s="10">
        <v>2</v>
      </c>
      <c r="D31" s="10">
        <v>2020</v>
      </c>
      <c r="E31" s="4"/>
      <c r="F31" s="11">
        <v>0.2</v>
      </c>
      <c r="G31" s="4">
        <f>LPG!C33</f>
        <v>0</v>
      </c>
      <c r="H31" s="11">
        <v>1.5900039774165065</v>
      </c>
      <c r="I31" s="4"/>
      <c r="J31" s="11">
        <v>7.84</v>
      </c>
      <c r="K31" s="4">
        <f>'Occupied &amp; No. of Guest'!B32</f>
        <v>0</v>
      </c>
      <c r="L31" s="4">
        <f>'Occupied &amp; No. of Guest'!C32</f>
        <v>0</v>
      </c>
    </row>
    <row r="32" spans="1:12" x14ac:dyDescent="0.3">
      <c r="A32" s="9" t="s">
        <v>12</v>
      </c>
      <c r="B32" s="10">
        <f t="shared" si="0"/>
        <v>31</v>
      </c>
      <c r="C32" s="10">
        <v>2</v>
      </c>
      <c r="D32" s="10">
        <v>2020</v>
      </c>
      <c r="E32" s="4"/>
      <c r="F32" s="11">
        <v>0.2</v>
      </c>
      <c r="G32" s="4">
        <f>LPG!C34</f>
        <v>0</v>
      </c>
      <c r="H32" s="11">
        <v>1.5900039774165065</v>
      </c>
      <c r="I32" s="4"/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 codeName="Sheet2">
    <pageSetUpPr fitToPage="1"/>
  </sheetPr>
  <dimension ref="A1:BM22"/>
  <sheetViews>
    <sheetView topLeftCell="A10" zoomScale="115" zoomScaleNormal="115" zoomScaleSheetLayoutView="85" workbookViewId="0">
      <selection activeCell="E22" sqref="E22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3" width="15" style="13" customWidth="1"/>
    <col min="34" max="16384" width="9.109375" style="13"/>
  </cols>
  <sheetData>
    <row r="1" spans="1:65" ht="29.25" customHeight="1" x14ac:dyDescent="0.3">
      <c r="B1" s="13"/>
      <c r="C1" s="14"/>
      <c r="D1" s="14"/>
      <c r="G1" s="14"/>
    </row>
    <row r="2" spans="1:65" s="14" customFormat="1" ht="29.25" customHeight="1" x14ac:dyDescent="0.3">
      <c r="A2" s="66" t="s">
        <v>81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65" s="14" customFormat="1" ht="29.25" customHeight="1" thickBot="1" x14ac:dyDescent="0.35"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</row>
    <row r="4" spans="1:65" ht="42" thickBot="1" x14ac:dyDescent="0.3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</row>
    <row r="5" spans="1:65" ht="26.25" customHeight="1" x14ac:dyDescent="0.3">
      <c r="A5" s="68">
        <v>1</v>
      </c>
      <c r="B5" s="20" t="s">
        <v>17</v>
      </c>
      <c r="C5" s="70" t="s">
        <v>18</v>
      </c>
      <c r="D5" s="21">
        <v>69927</v>
      </c>
      <c r="E5" s="21">
        <v>69948</v>
      </c>
      <c r="F5" s="21">
        <v>69970</v>
      </c>
      <c r="G5" s="21">
        <v>69992</v>
      </c>
      <c r="H5" s="21">
        <v>70015</v>
      </c>
      <c r="I5" s="21">
        <v>70036</v>
      </c>
      <c r="J5" s="21">
        <v>70059</v>
      </c>
      <c r="K5" s="21">
        <v>70082</v>
      </c>
      <c r="L5" s="21">
        <v>70105</v>
      </c>
      <c r="M5" s="21">
        <v>70128</v>
      </c>
      <c r="N5" s="21">
        <v>70151</v>
      </c>
      <c r="O5" s="21">
        <v>70173</v>
      </c>
      <c r="P5" s="21">
        <v>70196</v>
      </c>
      <c r="Q5" s="21">
        <v>70219</v>
      </c>
      <c r="R5" s="21">
        <v>70242</v>
      </c>
      <c r="S5" s="21">
        <v>70265</v>
      </c>
      <c r="T5" s="21">
        <v>70289</v>
      </c>
      <c r="U5" s="21">
        <v>70311</v>
      </c>
      <c r="V5" s="21">
        <v>70335</v>
      </c>
      <c r="W5" s="21">
        <v>70359</v>
      </c>
      <c r="X5" s="21">
        <v>70383</v>
      </c>
      <c r="Y5" s="21">
        <v>70406</v>
      </c>
      <c r="Z5" s="21">
        <v>70430</v>
      </c>
      <c r="AA5" s="21">
        <v>70453</v>
      </c>
      <c r="AB5" s="21">
        <v>70476</v>
      </c>
      <c r="AC5" s="21">
        <v>70499</v>
      </c>
      <c r="AD5" s="21">
        <v>70521</v>
      </c>
      <c r="AE5" s="21">
        <v>70544</v>
      </c>
      <c r="AF5" s="21">
        <v>70567</v>
      </c>
      <c r="AG5" s="21">
        <v>70589</v>
      </c>
    </row>
    <row r="6" spans="1:65" s="24" customFormat="1" ht="21.75" customHeight="1" x14ac:dyDescent="0.3">
      <c r="A6" s="69"/>
      <c r="B6" s="22"/>
      <c r="C6" s="71"/>
      <c r="D6" s="23"/>
      <c r="E6" s="23">
        <f>(E5-D5)*1000</f>
        <v>21000</v>
      </c>
      <c r="F6" s="23">
        <f t="shared" ref="F6:AG6" si="0">(F5-E5)*1000</f>
        <v>22000</v>
      </c>
      <c r="G6" s="23">
        <f t="shared" si="0"/>
        <v>22000</v>
      </c>
      <c r="H6" s="23">
        <f t="shared" si="0"/>
        <v>23000</v>
      </c>
      <c r="I6" s="23">
        <f t="shared" si="0"/>
        <v>21000</v>
      </c>
      <c r="J6" s="23">
        <f t="shared" si="0"/>
        <v>23000</v>
      </c>
      <c r="K6" s="23">
        <f t="shared" si="0"/>
        <v>23000</v>
      </c>
      <c r="L6" s="23">
        <f t="shared" si="0"/>
        <v>23000</v>
      </c>
      <c r="M6" s="23">
        <f t="shared" si="0"/>
        <v>23000</v>
      </c>
      <c r="N6" s="23">
        <f t="shared" si="0"/>
        <v>23000</v>
      </c>
      <c r="O6" s="23">
        <f t="shared" si="0"/>
        <v>22000</v>
      </c>
      <c r="P6" s="23">
        <f t="shared" si="0"/>
        <v>23000</v>
      </c>
      <c r="Q6" s="23">
        <f t="shared" si="0"/>
        <v>23000</v>
      </c>
      <c r="R6" s="23">
        <f t="shared" si="0"/>
        <v>23000</v>
      </c>
      <c r="S6" s="23">
        <f t="shared" si="0"/>
        <v>23000</v>
      </c>
      <c r="T6" s="23">
        <f t="shared" si="0"/>
        <v>24000</v>
      </c>
      <c r="U6" s="23">
        <f t="shared" si="0"/>
        <v>22000</v>
      </c>
      <c r="V6" s="23">
        <f t="shared" si="0"/>
        <v>24000</v>
      </c>
      <c r="W6" s="23">
        <f t="shared" si="0"/>
        <v>24000</v>
      </c>
      <c r="X6" s="23">
        <f t="shared" si="0"/>
        <v>24000</v>
      </c>
      <c r="Y6" s="23">
        <f t="shared" si="0"/>
        <v>23000</v>
      </c>
      <c r="Z6" s="23">
        <f t="shared" si="0"/>
        <v>24000</v>
      </c>
      <c r="AA6" s="23">
        <f t="shared" si="0"/>
        <v>23000</v>
      </c>
      <c r="AB6" s="23">
        <f t="shared" si="0"/>
        <v>23000</v>
      </c>
      <c r="AC6" s="23">
        <f t="shared" si="0"/>
        <v>23000</v>
      </c>
      <c r="AD6" s="23">
        <f t="shared" si="0"/>
        <v>22000</v>
      </c>
      <c r="AE6" s="23">
        <f t="shared" si="0"/>
        <v>23000</v>
      </c>
      <c r="AF6" s="23">
        <f t="shared" si="0"/>
        <v>23000</v>
      </c>
      <c r="AG6" s="23">
        <f t="shared" si="0"/>
        <v>22000</v>
      </c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</row>
    <row r="7" spans="1:65" ht="22.5" customHeight="1" x14ac:dyDescent="0.3">
      <c r="A7" s="72">
        <v>2</v>
      </c>
      <c r="B7" s="25" t="s">
        <v>19</v>
      </c>
      <c r="C7" s="74" t="s">
        <v>20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</row>
    <row r="8" spans="1:65" s="24" customFormat="1" ht="21.75" customHeight="1" x14ac:dyDescent="0.3">
      <c r="A8" s="73"/>
      <c r="B8" s="22"/>
      <c r="C8" s="71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</row>
    <row r="9" spans="1:65" ht="21.75" customHeight="1" x14ac:dyDescent="0.3">
      <c r="A9" s="79">
        <v>3</v>
      </c>
      <c r="B9" s="36" t="s">
        <v>21</v>
      </c>
      <c r="C9" s="81" t="s">
        <v>22</v>
      </c>
      <c r="D9" s="21">
        <v>85508</v>
      </c>
      <c r="E9" s="21">
        <v>85521</v>
      </c>
      <c r="F9" s="21">
        <v>85533</v>
      </c>
      <c r="G9" s="21">
        <v>85546</v>
      </c>
      <c r="H9" s="21">
        <v>85560</v>
      </c>
      <c r="I9" s="21">
        <v>85573</v>
      </c>
      <c r="J9" s="21">
        <v>85589</v>
      </c>
      <c r="K9" s="21">
        <v>85605</v>
      </c>
      <c r="L9" s="21">
        <v>85621</v>
      </c>
      <c r="M9" s="21">
        <v>85638</v>
      </c>
      <c r="N9" s="21">
        <v>85656</v>
      </c>
      <c r="O9" s="21">
        <v>85672</v>
      </c>
      <c r="P9" s="21">
        <v>85684</v>
      </c>
      <c r="Q9" s="21">
        <v>85691</v>
      </c>
      <c r="R9" s="21">
        <v>85710</v>
      </c>
      <c r="S9" s="21">
        <v>85725</v>
      </c>
      <c r="T9" s="21">
        <v>85741</v>
      </c>
      <c r="U9" s="21">
        <v>85757</v>
      </c>
      <c r="V9" s="21">
        <v>85774</v>
      </c>
      <c r="W9" s="21">
        <v>85790</v>
      </c>
      <c r="X9" s="21">
        <v>85808</v>
      </c>
      <c r="Y9" s="21">
        <v>85824</v>
      </c>
      <c r="Z9" s="21">
        <v>85843</v>
      </c>
      <c r="AA9" s="21">
        <v>85859</v>
      </c>
      <c r="AB9" s="21">
        <v>85866</v>
      </c>
      <c r="AC9" s="21">
        <v>85873</v>
      </c>
      <c r="AD9" s="21">
        <v>85876</v>
      </c>
      <c r="AE9" s="21">
        <v>85879</v>
      </c>
      <c r="AF9" s="21">
        <v>85881</v>
      </c>
      <c r="AG9" s="21">
        <v>85885</v>
      </c>
    </row>
    <row r="10" spans="1:65" s="24" customFormat="1" ht="21.75" customHeight="1" x14ac:dyDescent="0.3">
      <c r="A10" s="80"/>
      <c r="B10" s="37"/>
      <c r="C10" s="78"/>
      <c r="D10" s="23"/>
      <c r="E10" s="23">
        <f>(E9-D9)*1000</f>
        <v>13000</v>
      </c>
      <c r="F10" s="23">
        <f t="shared" ref="F10" si="29">(F9-E9)*1000</f>
        <v>12000</v>
      </c>
      <c r="G10" s="23">
        <f t="shared" ref="G10" si="30">(G9-F9)*1000</f>
        <v>13000</v>
      </c>
      <c r="H10" s="23">
        <f t="shared" ref="H10" si="31">(H9-G9)*1000</f>
        <v>14000</v>
      </c>
      <c r="I10" s="23">
        <f t="shared" ref="I10" si="32">(I9-H9)*1000</f>
        <v>13000</v>
      </c>
      <c r="J10" s="23">
        <f t="shared" ref="J10" si="33">(J9-I9)*1000</f>
        <v>16000</v>
      </c>
      <c r="K10" s="23">
        <f t="shared" ref="K10" si="34">(K9-J9)*1000</f>
        <v>16000</v>
      </c>
      <c r="L10" s="23">
        <f t="shared" ref="L10" si="35">(L9-K9)*1000</f>
        <v>16000</v>
      </c>
      <c r="M10" s="23">
        <f t="shared" ref="M10" si="36">(M9-L9)*1000</f>
        <v>17000</v>
      </c>
      <c r="N10" s="23">
        <f t="shared" ref="N10" si="37">(N9-M9)*1000</f>
        <v>18000</v>
      </c>
      <c r="O10" s="23">
        <f t="shared" ref="O10" si="38">(O9-N9)*1000</f>
        <v>16000</v>
      </c>
      <c r="P10" s="23">
        <f t="shared" ref="P10" si="39">(P9-O9)*1000</f>
        <v>12000</v>
      </c>
      <c r="Q10" s="23">
        <f t="shared" ref="Q10" si="40">(Q9-P9)*1000</f>
        <v>7000</v>
      </c>
      <c r="R10" s="23">
        <f t="shared" ref="R10" si="41">(R9-Q9)*1000</f>
        <v>19000</v>
      </c>
      <c r="S10" s="23">
        <f t="shared" ref="S10" si="42">(S9-R9)*1000</f>
        <v>15000</v>
      </c>
      <c r="T10" s="23">
        <f t="shared" ref="T10" si="43">(T9-S9)*1000</f>
        <v>16000</v>
      </c>
      <c r="U10" s="23">
        <f t="shared" ref="U10" si="44">(U9-T9)*1000</f>
        <v>16000</v>
      </c>
      <c r="V10" s="23">
        <f t="shared" ref="V10" si="45">(V9-U9)*1000</f>
        <v>17000</v>
      </c>
      <c r="W10" s="23">
        <f t="shared" ref="W10" si="46">(W9-V9)*1000</f>
        <v>16000</v>
      </c>
      <c r="X10" s="23">
        <f t="shared" ref="X10" si="47">(X9-W9)*1000</f>
        <v>18000</v>
      </c>
      <c r="Y10" s="23">
        <f t="shared" ref="Y10" si="48">(Y9-X9)*1000</f>
        <v>16000</v>
      </c>
      <c r="Z10" s="23">
        <f t="shared" ref="Z10" si="49">(Z9-Y9)*1000</f>
        <v>19000</v>
      </c>
      <c r="AA10" s="23">
        <f t="shared" ref="AA10" si="50">(AA9-Z9)*1000</f>
        <v>16000</v>
      </c>
      <c r="AB10" s="23">
        <f t="shared" ref="AB10" si="51">(AB9-AA9)*1000</f>
        <v>7000</v>
      </c>
      <c r="AC10" s="23">
        <f t="shared" ref="AC10" si="52">(AC9-AB9)*1000</f>
        <v>7000</v>
      </c>
      <c r="AD10" s="23">
        <f t="shared" ref="AD10" si="53">(AD9-AC9)*1000</f>
        <v>3000</v>
      </c>
      <c r="AE10" s="23">
        <f t="shared" ref="AE10" si="54">(AE9-AD9)*1000</f>
        <v>3000</v>
      </c>
      <c r="AF10" s="23">
        <f t="shared" ref="AF10" si="55">(AF9-AE9)*1000</f>
        <v>2000</v>
      </c>
      <c r="AG10" s="23">
        <f t="shared" ref="AG10" si="56">(AG9-AF9)*1000</f>
        <v>4000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</row>
    <row r="11" spans="1:65" ht="21.75" customHeight="1" x14ac:dyDescent="0.3">
      <c r="A11" s="75">
        <v>4</v>
      </c>
      <c r="B11" s="36" t="s">
        <v>23</v>
      </c>
      <c r="C11" s="81" t="s">
        <v>24</v>
      </c>
      <c r="D11" s="21">
        <v>70564</v>
      </c>
      <c r="E11" s="21">
        <v>70566</v>
      </c>
      <c r="F11" s="21">
        <v>70567</v>
      </c>
      <c r="G11" s="21">
        <v>70568</v>
      </c>
      <c r="H11" s="21">
        <v>70569</v>
      </c>
      <c r="I11" s="21">
        <v>70570</v>
      </c>
      <c r="J11" s="21">
        <v>70571</v>
      </c>
      <c r="K11" s="21">
        <v>70572</v>
      </c>
      <c r="L11" s="21">
        <v>70573</v>
      </c>
      <c r="M11" s="21">
        <v>70574</v>
      </c>
      <c r="N11" s="21">
        <v>70575</v>
      </c>
      <c r="O11" s="21">
        <v>70576</v>
      </c>
      <c r="P11" s="21">
        <v>70577</v>
      </c>
      <c r="Q11" s="21">
        <v>70578</v>
      </c>
      <c r="R11" s="21">
        <v>70578</v>
      </c>
      <c r="S11" s="21">
        <v>70579</v>
      </c>
      <c r="T11" s="21">
        <v>70579</v>
      </c>
      <c r="U11" s="21">
        <v>70580</v>
      </c>
      <c r="V11" s="21">
        <v>70583</v>
      </c>
      <c r="W11" s="21">
        <v>70586</v>
      </c>
      <c r="X11" s="21">
        <v>70588</v>
      </c>
      <c r="Y11" s="21">
        <v>70594</v>
      </c>
      <c r="Z11" s="21">
        <v>70598</v>
      </c>
      <c r="AA11" s="21">
        <v>70611</v>
      </c>
      <c r="AB11" s="21">
        <v>70630</v>
      </c>
      <c r="AC11" s="21">
        <v>70649</v>
      </c>
      <c r="AD11" s="21">
        <v>70667</v>
      </c>
      <c r="AE11" s="21">
        <v>70682</v>
      </c>
      <c r="AF11" s="21">
        <v>70697</v>
      </c>
      <c r="AG11" s="21">
        <v>70712</v>
      </c>
    </row>
    <row r="12" spans="1:65" s="38" customFormat="1" ht="21.75" customHeight="1" x14ac:dyDescent="0.3">
      <c r="A12" s="76"/>
      <c r="B12" s="37"/>
      <c r="C12" s="78"/>
      <c r="D12" s="23"/>
      <c r="E12" s="23">
        <f>(E11-D11)*1000</f>
        <v>2000</v>
      </c>
      <c r="F12" s="23">
        <f t="shared" ref="F12" si="57">(F11-E11)*1000</f>
        <v>1000</v>
      </c>
      <c r="G12" s="23">
        <f t="shared" ref="G12" si="58">(G11-F11)*1000</f>
        <v>1000</v>
      </c>
      <c r="H12" s="23">
        <f t="shared" ref="H12" si="59">(H11-G11)*1000</f>
        <v>1000</v>
      </c>
      <c r="I12" s="23">
        <f t="shared" ref="I12" si="60">(I11-H11)*1000</f>
        <v>1000</v>
      </c>
      <c r="J12" s="23">
        <f t="shared" ref="J12" si="61">(J11-I11)*1000</f>
        <v>1000</v>
      </c>
      <c r="K12" s="23">
        <f t="shared" ref="K12" si="62">(K11-J11)*1000</f>
        <v>1000</v>
      </c>
      <c r="L12" s="23">
        <f t="shared" ref="L12" si="63">(L11-K11)*1000</f>
        <v>1000</v>
      </c>
      <c r="M12" s="23">
        <f t="shared" ref="M12" si="64">(M11-L11)*1000</f>
        <v>1000</v>
      </c>
      <c r="N12" s="23">
        <f t="shared" ref="N12" si="65">(N11-M11)*1000</f>
        <v>1000</v>
      </c>
      <c r="O12" s="23">
        <f t="shared" ref="O12" si="66">(O11-N11)*1000</f>
        <v>1000</v>
      </c>
      <c r="P12" s="23">
        <f t="shared" ref="P12" si="67">(P11-O11)*1000</f>
        <v>1000</v>
      </c>
      <c r="Q12" s="23">
        <f t="shared" ref="Q12" si="68">(Q11-P11)*1000</f>
        <v>1000</v>
      </c>
      <c r="R12" s="23">
        <f t="shared" ref="R12" si="69">(R11-Q11)*1000</f>
        <v>0</v>
      </c>
      <c r="S12" s="23">
        <f t="shared" ref="S12" si="70">(S11-R11)*1000</f>
        <v>1000</v>
      </c>
      <c r="T12" s="23">
        <f t="shared" ref="T12" si="71">(T11-S11)*1000</f>
        <v>0</v>
      </c>
      <c r="U12" s="23">
        <f t="shared" ref="U12" si="72">(U11-T11)*1000</f>
        <v>1000</v>
      </c>
      <c r="V12" s="23">
        <f t="shared" ref="V12" si="73">(V11-U11)*1000</f>
        <v>3000</v>
      </c>
      <c r="W12" s="23">
        <f t="shared" ref="W12" si="74">(W11-V11)*1000</f>
        <v>3000</v>
      </c>
      <c r="X12" s="23">
        <f t="shared" ref="X12" si="75">(X11-W11)*1000</f>
        <v>2000</v>
      </c>
      <c r="Y12" s="23">
        <f t="shared" ref="Y12" si="76">(Y11-X11)*1000</f>
        <v>6000</v>
      </c>
      <c r="Z12" s="23">
        <f t="shared" ref="Z12" si="77">(Z11-Y11)*1000</f>
        <v>4000</v>
      </c>
      <c r="AA12" s="23">
        <f t="shared" ref="AA12" si="78">(AA11-Z11)*1000</f>
        <v>13000</v>
      </c>
      <c r="AB12" s="23">
        <f t="shared" ref="AB12" si="79">(AB11-AA11)*1000</f>
        <v>19000</v>
      </c>
      <c r="AC12" s="23">
        <f t="shared" ref="AC12" si="80">(AC11-AB11)*1000</f>
        <v>19000</v>
      </c>
      <c r="AD12" s="23">
        <f t="shared" ref="AD12" si="81">(AD11-AC11)*1000</f>
        <v>18000</v>
      </c>
      <c r="AE12" s="23">
        <f t="shared" ref="AE12" si="82">(AE11-AD11)*1000</f>
        <v>15000</v>
      </c>
      <c r="AF12" s="23">
        <f t="shared" ref="AF12" si="83">(AF11-AE11)*1000</f>
        <v>15000</v>
      </c>
      <c r="AG12" s="23">
        <f t="shared" ref="AG12" si="84">(AG11-AF11)*1000</f>
        <v>15000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</row>
    <row r="13" spans="1:65" ht="21.75" customHeight="1" x14ac:dyDescent="0.3">
      <c r="A13" s="79">
        <v>7</v>
      </c>
      <c r="B13" s="39" t="s">
        <v>25</v>
      </c>
      <c r="C13" s="77" t="s">
        <v>26</v>
      </c>
      <c r="D13" s="40">
        <v>2939</v>
      </c>
      <c r="E13" s="40">
        <v>2939</v>
      </c>
      <c r="F13" s="40">
        <v>2939</v>
      </c>
      <c r="G13" s="40">
        <v>2939</v>
      </c>
      <c r="H13" s="40">
        <v>2939</v>
      </c>
      <c r="I13" s="40">
        <v>2939</v>
      </c>
      <c r="J13" s="40">
        <v>2940</v>
      </c>
      <c r="K13" s="40">
        <v>2940</v>
      </c>
      <c r="L13" s="40">
        <v>2940</v>
      </c>
      <c r="M13" s="40">
        <v>2940</v>
      </c>
      <c r="N13" s="40">
        <v>2940</v>
      </c>
      <c r="O13" s="40">
        <v>2940</v>
      </c>
      <c r="P13" s="40">
        <v>2940</v>
      </c>
      <c r="Q13" s="40">
        <v>2940</v>
      </c>
      <c r="R13" s="40">
        <v>2940</v>
      </c>
      <c r="S13" s="40">
        <v>2940</v>
      </c>
      <c r="T13" s="40">
        <v>2940</v>
      </c>
      <c r="U13" s="40">
        <v>2941</v>
      </c>
      <c r="V13" s="40">
        <v>2941</v>
      </c>
      <c r="W13" s="40">
        <v>2941</v>
      </c>
      <c r="X13" s="40">
        <v>2941</v>
      </c>
      <c r="Y13" s="40">
        <v>2941</v>
      </c>
      <c r="Z13" s="40">
        <v>2941</v>
      </c>
      <c r="AA13" s="40">
        <v>2941</v>
      </c>
      <c r="AB13" s="40">
        <v>2941</v>
      </c>
      <c r="AC13" s="40">
        <v>2941</v>
      </c>
      <c r="AD13" s="40">
        <v>2941</v>
      </c>
      <c r="AE13" s="40">
        <v>2941</v>
      </c>
      <c r="AF13" s="40">
        <v>2941</v>
      </c>
      <c r="AG13" s="40">
        <v>2941</v>
      </c>
    </row>
    <row r="14" spans="1:65" s="24" customFormat="1" ht="21.75" customHeight="1" x14ac:dyDescent="0.3">
      <c r="A14" s="80"/>
      <c r="B14" s="41"/>
      <c r="C14" s="78"/>
      <c r="D14" s="42"/>
      <c r="E14" s="42">
        <f t="shared" ref="E14:AG14" si="85">E13-D13</f>
        <v>0</v>
      </c>
      <c r="F14" s="42">
        <f t="shared" si="85"/>
        <v>0</v>
      </c>
      <c r="G14" s="42">
        <f t="shared" si="85"/>
        <v>0</v>
      </c>
      <c r="H14" s="42">
        <f t="shared" si="85"/>
        <v>0</v>
      </c>
      <c r="I14" s="42">
        <f t="shared" si="85"/>
        <v>0</v>
      </c>
      <c r="J14" s="42">
        <f t="shared" si="85"/>
        <v>1</v>
      </c>
      <c r="K14" s="42">
        <f t="shared" si="85"/>
        <v>0</v>
      </c>
      <c r="L14" s="42">
        <f>L13-K13</f>
        <v>0</v>
      </c>
      <c r="M14" s="42">
        <f t="shared" si="85"/>
        <v>0</v>
      </c>
      <c r="N14" s="42">
        <f t="shared" si="85"/>
        <v>0</v>
      </c>
      <c r="O14" s="42">
        <f t="shared" si="85"/>
        <v>0</v>
      </c>
      <c r="P14" s="42">
        <f t="shared" si="85"/>
        <v>0</v>
      </c>
      <c r="Q14" s="42">
        <f t="shared" si="85"/>
        <v>0</v>
      </c>
      <c r="R14" s="42">
        <f t="shared" si="85"/>
        <v>0</v>
      </c>
      <c r="S14" s="42">
        <f t="shared" si="85"/>
        <v>0</v>
      </c>
      <c r="T14" s="42">
        <f t="shared" si="85"/>
        <v>0</v>
      </c>
      <c r="U14" s="42">
        <f t="shared" si="85"/>
        <v>1</v>
      </c>
      <c r="V14" s="42">
        <f t="shared" si="85"/>
        <v>0</v>
      </c>
      <c r="W14" s="42">
        <f t="shared" si="85"/>
        <v>0</v>
      </c>
      <c r="X14" s="42">
        <f t="shared" si="85"/>
        <v>0</v>
      </c>
      <c r="Y14" s="42">
        <f t="shared" si="85"/>
        <v>0</v>
      </c>
      <c r="Z14" s="42">
        <f t="shared" si="85"/>
        <v>0</v>
      </c>
      <c r="AA14" s="42">
        <f t="shared" si="85"/>
        <v>0</v>
      </c>
      <c r="AB14" s="42">
        <f t="shared" si="85"/>
        <v>0</v>
      </c>
      <c r="AC14" s="42">
        <f t="shared" si="85"/>
        <v>0</v>
      </c>
      <c r="AD14" s="42">
        <f t="shared" si="85"/>
        <v>0</v>
      </c>
      <c r="AE14" s="42">
        <f t="shared" si="85"/>
        <v>0</v>
      </c>
      <c r="AF14" s="42">
        <f t="shared" si="85"/>
        <v>0</v>
      </c>
      <c r="AG14" s="42">
        <f t="shared" si="85"/>
        <v>0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</row>
    <row r="15" spans="1:65" ht="21.75" customHeight="1" x14ac:dyDescent="0.3">
      <c r="A15" s="75">
        <v>8</v>
      </c>
      <c r="B15" s="39" t="s">
        <v>27</v>
      </c>
      <c r="C15" s="77" t="s">
        <v>28</v>
      </c>
      <c r="D15" s="40">
        <v>292</v>
      </c>
      <c r="E15" s="40">
        <v>292</v>
      </c>
      <c r="F15" s="40">
        <v>292</v>
      </c>
      <c r="G15" s="40">
        <v>292</v>
      </c>
      <c r="H15" s="40">
        <v>292</v>
      </c>
      <c r="I15" s="40">
        <v>292</v>
      </c>
      <c r="J15" s="40">
        <v>292</v>
      </c>
      <c r="K15" s="40">
        <v>292</v>
      </c>
      <c r="L15" s="40">
        <v>292</v>
      </c>
      <c r="M15" s="40">
        <v>293</v>
      </c>
      <c r="N15" s="40">
        <v>293</v>
      </c>
      <c r="O15" s="40">
        <v>294</v>
      </c>
      <c r="P15" s="40">
        <v>294</v>
      </c>
      <c r="Q15" s="40">
        <v>294</v>
      </c>
      <c r="R15" s="40">
        <v>294</v>
      </c>
      <c r="S15" s="40">
        <v>294</v>
      </c>
      <c r="T15" s="40">
        <v>294</v>
      </c>
      <c r="U15" s="40">
        <v>295</v>
      </c>
      <c r="V15" s="40">
        <v>295</v>
      </c>
      <c r="W15" s="40">
        <v>295</v>
      </c>
      <c r="X15" s="40">
        <v>295</v>
      </c>
      <c r="Y15" s="40">
        <v>295</v>
      </c>
      <c r="Z15" s="40">
        <v>295</v>
      </c>
      <c r="AA15" s="40">
        <v>295</v>
      </c>
      <c r="AB15" s="40">
        <v>295</v>
      </c>
      <c r="AC15" s="40">
        <v>295</v>
      </c>
      <c r="AD15" s="40">
        <v>295</v>
      </c>
      <c r="AE15" s="40">
        <v>295</v>
      </c>
      <c r="AF15" s="40">
        <v>295</v>
      </c>
      <c r="AG15" s="40">
        <v>295</v>
      </c>
    </row>
    <row r="16" spans="1:65" s="24" customFormat="1" ht="21.75" customHeight="1" x14ac:dyDescent="0.3">
      <c r="A16" s="76"/>
      <c r="B16" s="41"/>
      <c r="C16" s="78"/>
      <c r="D16" s="42"/>
      <c r="E16" s="42">
        <f t="shared" ref="E16:AG16" si="86">E15-D15</f>
        <v>0</v>
      </c>
      <c r="F16" s="42">
        <f t="shared" si="86"/>
        <v>0</v>
      </c>
      <c r="G16" s="42">
        <f t="shared" si="86"/>
        <v>0</v>
      </c>
      <c r="H16" s="42">
        <f t="shared" si="86"/>
        <v>0</v>
      </c>
      <c r="I16" s="42">
        <f t="shared" si="86"/>
        <v>0</v>
      </c>
      <c r="J16" s="42">
        <f t="shared" si="86"/>
        <v>0</v>
      </c>
      <c r="K16" s="42">
        <f t="shared" si="86"/>
        <v>0</v>
      </c>
      <c r="L16" s="42">
        <f t="shared" si="86"/>
        <v>0</v>
      </c>
      <c r="M16" s="42">
        <f t="shared" si="86"/>
        <v>1</v>
      </c>
      <c r="N16" s="42">
        <f t="shared" si="86"/>
        <v>0</v>
      </c>
      <c r="O16" s="42">
        <f t="shared" si="86"/>
        <v>1</v>
      </c>
      <c r="P16" s="42">
        <f t="shared" si="86"/>
        <v>0</v>
      </c>
      <c r="Q16" s="42">
        <f t="shared" si="86"/>
        <v>0</v>
      </c>
      <c r="R16" s="42">
        <f t="shared" si="86"/>
        <v>0</v>
      </c>
      <c r="S16" s="42">
        <f t="shared" si="86"/>
        <v>0</v>
      </c>
      <c r="T16" s="42">
        <f t="shared" si="86"/>
        <v>0</v>
      </c>
      <c r="U16" s="42">
        <f t="shared" si="86"/>
        <v>1</v>
      </c>
      <c r="V16" s="42">
        <f t="shared" si="86"/>
        <v>0</v>
      </c>
      <c r="W16" s="42">
        <f t="shared" si="86"/>
        <v>0</v>
      </c>
      <c r="X16" s="42">
        <f t="shared" si="86"/>
        <v>0</v>
      </c>
      <c r="Y16" s="42">
        <f t="shared" si="86"/>
        <v>0</v>
      </c>
      <c r="Z16" s="42">
        <f t="shared" si="86"/>
        <v>0</v>
      </c>
      <c r="AA16" s="42">
        <f t="shared" si="86"/>
        <v>0</v>
      </c>
      <c r="AB16" s="42">
        <f t="shared" si="86"/>
        <v>0</v>
      </c>
      <c r="AC16" s="42">
        <f t="shared" si="86"/>
        <v>0</v>
      </c>
      <c r="AD16" s="42">
        <f t="shared" si="86"/>
        <v>0</v>
      </c>
      <c r="AE16" s="42">
        <f t="shared" si="86"/>
        <v>0</v>
      </c>
      <c r="AF16" s="42">
        <f t="shared" si="86"/>
        <v>0</v>
      </c>
      <c r="AG16" s="42">
        <f t="shared" si="86"/>
        <v>0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</row>
    <row r="17" spans="1:33" ht="21.75" customHeight="1" x14ac:dyDescent="0.3">
      <c r="A17" s="75">
        <v>13</v>
      </c>
      <c r="B17" s="39" t="s">
        <v>29</v>
      </c>
      <c r="C17" s="77" t="s">
        <v>30</v>
      </c>
      <c r="D17" s="40">
        <v>1064938</v>
      </c>
      <c r="E17" s="40">
        <v>1065222</v>
      </c>
      <c r="F17" s="40">
        <v>1065507</v>
      </c>
      <c r="G17" s="40">
        <v>1065792</v>
      </c>
      <c r="H17" s="40">
        <v>1066094</v>
      </c>
      <c r="I17" s="40">
        <v>1066380</v>
      </c>
      <c r="J17" s="40">
        <v>1066658</v>
      </c>
      <c r="K17" s="40">
        <v>1066940</v>
      </c>
      <c r="L17" s="40">
        <v>1067232</v>
      </c>
      <c r="M17" s="40">
        <v>1067535</v>
      </c>
      <c r="N17" s="40">
        <v>1067849</v>
      </c>
      <c r="O17" s="40">
        <v>1068155</v>
      </c>
      <c r="P17" s="40">
        <v>1068461</v>
      </c>
      <c r="Q17" s="40">
        <v>1068740</v>
      </c>
      <c r="R17" s="40">
        <v>1069054</v>
      </c>
      <c r="S17" s="40">
        <v>1069360</v>
      </c>
      <c r="T17" s="40">
        <v>1069674</v>
      </c>
      <c r="U17" s="40">
        <v>1069974</v>
      </c>
      <c r="V17" s="40">
        <v>1070248</v>
      </c>
      <c r="W17" s="40">
        <v>1070504</v>
      </c>
      <c r="X17" s="40">
        <v>1070785</v>
      </c>
      <c r="Y17" s="40">
        <v>1071074</v>
      </c>
      <c r="Z17" s="40">
        <v>1071357</v>
      </c>
      <c r="AA17" s="40">
        <v>1071632</v>
      </c>
      <c r="AB17" s="40">
        <v>1071902</v>
      </c>
      <c r="AC17" s="40">
        <v>1072192</v>
      </c>
      <c r="AD17" s="40">
        <v>1072473</v>
      </c>
      <c r="AE17" s="40">
        <v>1072758</v>
      </c>
      <c r="AF17" s="40">
        <v>1073042</v>
      </c>
      <c r="AG17" s="40">
        <v>1073351</v>
      </c>
    </row>
    <row r="18" spans="1:33" ht="21.75" customHeight="1" x14ac:dyDescent="0.3">
      <c r="A18" s="83"/>
      <c r="B18" s="43"/>
      <c r="C18" s="84"/>
      <c r="D18" s="42"/>
      <c r="E18" s="42">
        <f t="shared" ref="E18:AG18" si="87">E17-D17</f>
        <v>284</v>
      </c>
      <c r="F18" s="42">
        <f t="shared" si="87"/>
        <v>285</v>
      </c>
      <c r="G18" s="42">
        <f t="shared" si="87"/>
        <v>285</v>
      </c>
      <c r="H18" s="42">
        <f t="shared" si="87"/>
        <v>302</v>
      </c>
      <c r="I18" s="42">
        <f t="shared" si="87"/>
        <v>286</v>
      </c>
      <c r="J18" s="42">
        <f t="shared" si="87"/>
        <v>278</v>
      </c>
      <c r="K18" s="42">
        <f t="shared" si="87"/>
        <v>282</v>
      </c>
      <c r="L18" s="42">
        <f t="shared" si="87"/>
        <v>292</v>
      </c>
      <c r="M18" s="42">
        <f t="shared" si="87"/>
        <v>303</v>
      </c>
      <c r="N18" s="42">
        <f t="shared" si="87"/>
        <v>314</v>
      </c>
      <c r="O18" s="42">
        <f t="shared" si="87"/>
        <v>306</v>
      </c>
      <c r="P18" s="42">
        <f t="shared" si="87"/>
        <v>306</v>
      </c>
      <c r="Q18" s="42">
        <f t="shared" si="87"/>
        <v>279</v>
      </c>
      <c r="R18" s="42">
        <f t="shared" si="87"/>
        <v>314</v>
      </c>
      <c r="S18" s="42">
        <f t="shared" si="87"/>
        <v>306</v>
      </c>
      <c r="T18" s="42">
        <f t="shared" si="87"/>
        <v>314</v>
      </c>
      <c r="U18" s="42">
        <f t="shared" si="87"/>
        <v>300</v>
      </c>
      <c r="V18" s="42">
        <f t="shared" si="87"/>
        <v>274</v>
      </c>
      <c r="W18" s="42">
        <f t="shared" si="87"/>
        <v>256</v>
      </c>
      <c r="X18" s="42">
        <f t="shared" si="87"/>
        <v>281</v>
      </c>
      <c r="Y18" s="42">
        <f t="shared" si="87"/>
        <v>289</v>
      </c>
      <c r="Z18" s="42">
        <f t="shared" si="87"/>
        <v>283</v>
      </c>
      <c r="AA18" s="42">
        <f t="shared" si="87"/>
        <v>275</v>
      </c>
      <c r="AB18" s="42">
        <f t="shared" si="87"/>
        <v>270</v>
      </c>
      <c r="AC18" s="42">
        <f t="shared" si="87"/>
        <v>290</v>
      </c>
      <c r="AD18" s="42">
        <f t="shared" si="87"/>
        <v>281</v>
      </c>
      <c r="AE18" s="42">
        <f t="shared" si="87"/>
        <v>285</v>
      </c>
      <c r="AF18" s="42">
        <f t="shared" si="87"/>
        <v>284</v>
      </c>
      <c r="AG18" s="42">
        <f t="shared" si="87"/>
        <v>309</v>
      </c>
    </row>
    <row r="19" spans="1:33" ht="21.75" customHeight="1" x14ac:dyDescent="0.3">
      <c r="A19" s="85">
        <v>14</v>
      </c>
      <c r="B19" s="39" t="s">
        <v>31</v>
      </c>
      <c r="C19" s="77" t="s">
        <v>32</v>
      </c>
      <c r="D19" s="40">
        <v>311125</v>
      </c>
      <c r="E19" s="40">
        <v>311179</v>
      </c>
      <c r="F19" s="40">
        <v>311233</v>
      </c>
      <c r="G19" s="40">
        <v>311284</v>
      </c>
      <c r="H19" s="40">
        <v>311338</v>
      </c>
      <c r="I19" s="40">
        <v>311391</v>
      </c>
      <c r="J19" s="40">
        <v>311443</v>
      </c>
      <c r="K19" s="40">
        <v>311487</v>
      </c>
      <c r="L19" s="40">
        <v>311529</v>
      </c>
      <c r="M19" s="40">
        <v>311575</v>
      </c>
      <c r="N19" s="40">
        <v>311621</v>
      </c>
      <c r="O19" s="40">
        <v>311666</v>
      </c>
      <c r="P19" s="40">
        <v>311708</v>
      </c>
      <c r="Q19" s="40">
        <v>311746</v>
      </c>
      <c r="R19" s="40">
        <v>311790</v>
      </c>
      <c r="S19" s="40">
        <v>311834</v>
      </c>
      <c r="T19" s="40">
        <v>311881</v>
      </c>
      <c r="U19" s="40">
        <v>311927</v>
      </c>
      <c r="V19" s="40">
        <v>311977</v>
      </c>
      <c r="W19" s="40">
        <v>312026</v>
      </c>
      <c r="X19" s="40">
        <v>312074</v>
      </c>
      <c r="Y19" s="40">
        <v>312121</v>
      </c>
      <c r="Z19" s="40">
        <v>312169</v>
      </c>
      <c r="AA19" s="40">
        <v>312218</v>
      </c>
      <c r="AB19" s="40">
        <v>312269</v>
      </c>
      <c r="AC19" s="40">
        <v>312318</v>
      </c>
      <c r="AD19" s="40">
        <v>312364</v>
      </c>
      <c r="AE19" s="40">
        <v>312407</v>
      </c>
      <c r="AF19" s="40">
        <v>312451</v>
      </c>
      <c r="AG19" s="40">
        <v>312497</v>
      </c>
    </row>
    <row r="20" spans="1:33" ht="21.75" customHeight="1" x14ac:dyDescent="0.3">
      <c r="A20" s="80"/>
      <c r="B20" s="43"/>
      <c r="C20" s="84"/>
      <c r="D20" s="42"/>
      <c r="E20" s="42">
        <f t="shared" ref="E20:AG20" si="88">E19-D19</f>
        <v>54</v>
      </c>
      <c r="F20" s="42">
        <f t="shared" si="88"/>
        <v>54</v>
      </c>
      <c r="G20" s="42">
        <f t="shared" si="88"/>
        <v>51</v>
      </c>
      <c r="H20" s="42">
        <f t="shared" si="88"/>
        <v>54</v>
      </c>
      <c r="I20" s="42">
        <f t="shared" si="88"/>
        <v>53</v>
      </c>
      <c r="J20" s="42">
        <f t="shared" si="88"/>
        <v>52</v>
      </c>
      <c r="K20" s="42">
        <f t="shared" si="88"/>
        <v>44</v>
      </c>
      <c r="L20" s="42">
        <f t="shared" si="88"/>
        <v>42</v>
      </c>
      <c r="M20" s="42">
        <f t="shared" si="88"/>
        <v>46</v>
      </c>
      <c r="N20" s="42">
        <f t="shared" si="88"/>
        <v>46</v>
      </c>
      <c r="O20" s="42">
        <f t="shared" si="88"/>
        <v>45</v>
      </c>
      <c r="P20" s="42">
        <f t="shared" si="88"/>
        <v>42</v>
      </c>
      <c r="Q20" s="42">
        <f t="shared" si="88"/>
        <v>38</v>
      </c>
      <c r="R20" s="42">
        <f t="shared" si="88"/>
        <v>44</v>
      </c>
      <c r="S20" s="42">
        <f t="shared" si="88"/>
        <v>44</v>
      </c>
      <c r="T20" s="42">
        <f t="shared" si="88"/>
        <v>47</v>
      </c>
      <c r="U20" s="42">
        <f t="shared" si="88"/>
        <v>46</v>
      </c>
      <c r="V20" s="42">
        <f t="shared" si="88"/>
        <v>50</v>
      </c>
      <c r="W20" s="42">
        <f t="shared" si="88"/>
        <v>49</v>
      </c>
      <c r="X20" s="42">
        <f t="shared" si="88"/>
        <v>48</v>
      </c>
      <c r="Y20" s="42">
        <f t="shared" si="88"/>
        <v>47</v>
      </c>
      <c r="Z20" s="42">
        <f t="shared" si="88"/>
        <v>48</v>
      </c>
      <c r="AA20" s="42">
        <f t="shared" si="88"/>
        <v>49</v>
      </c>
      <c r="AB20" s="42">
        <f t="shared" si="88"/>
        <v>51</v>
      </c>
      <c r="AC20" s="42">
        <f t="shared" si="88"/>
        <v>49</v>
      </c>
      <c r="AD20" s="42">
        <f t="shared" si="88"/>
        <v>46</v>
      </c>
      <c r="AE20" s="42">
        <f t="shared" si="88"/>
        <v>43</v>
      </c>
      <c r="AF20" s="42">
        <f t="shared" si="88"/>
        <v>44</v>
      </c>
      <c r="AG20" s="42">
        <f t="shared" si="88"/>
        <v>46</v>
      </c>
    </row>
    <row r="21" spans="1:33" ht="27" customHeight="1" x14ac:dyDescent="0.3">
      <c r="B21" s="86" t="s">
        <v>33</v>
      </c>
      <c r="C21" s="86"/>
      <c r="D21" s="44"/>
      <c r="E21" s="62">
        <f>((E6+E8)+((E10+E12)*40%)+(E14+E16+E18+E20))</f>
        <v>27338</v>
      </c>
      <c r="F21" s="62">
        <f t="shared" ref="F21:AG21" si="89">((F6+F8)+((F10+F12)*40%)+(F14+F16+F18+F20))</f>
        <v>27539</v>
      </c>
      <c r="G21" s="62">
        <f t="shared" si="89"/>
        <v>27936</v>
      </c>
      <c r="H21" s="62">
        <f t="shared" si="89"/>
        <v>29356</v>
      </c>
      <c r="I21" s="62">
        <f t="shared" si="89"/>
        <v>26939</v>
      </c>
      <c r="J21" s="62">
        <f t="shared" si="89"/>
        <v>30131</v>
      </c>
      <c r="K21" s="62">
        <f t="shared" si="89"/>
        <v>30126</v>
      </c>
      <c r="L21" s="62">
        <f t="shared" si="89"/>
        <v>30134</v>
      </c>
      <c r="M21" s="62">
        <f t="shared" si="89"/>
        <v>30550</v>
      </c>
      <c r="N21" s="62">
        <f t="shared" si="89"/>
        <v>30960</v>
      </c>
      <c r="O21" s="62">
        <f t="shared" si="89"/>
        <v>29152</v>
      </c>
      <c r="P21" s="62">
        <f t="shared" si="89"/>
        <v>28548</v>
      </c>
      <c r="Q21" s="62">
        <f t="shared" si="89"/>
        <v>26517</v>
      </c>
      <c r="R21" s="62">
        <f t="shared" si="89"/>
        <v>30958</v>
      </c>
      <c r="S21" s="62">
        <f t="shared" si="89"/>
        <v>29750</v>
      </c>
      <c r="T21" s="62">
        <f t="shared" si="89"/>
        <v>30761</v>
      </c>
      <c r="U21" s="62">
        <f t="shared" si="89"/>
        <v>29148</v>
      </c>
      <c r="V21" s="62">
        <f t="shared" si="89"/>
        <v>32324</v>
      </c>
      <c r="W21" s="62">
        <f t="shared" si="89"/>
        <v>31905</v>
      </c>
      <c r="X21" s="62">
        <f t="shared" si="89"/>
        <v>32329</v>
      </c>
      <c r="Y21" s="62">
        <f t="shared" si="89"/>
        <v>32136</v>
      </c>
      <c r="Z21" s="62">
        <f t="shared" si="89"/>
        <v>33531</v>
      </c>
      <c r="AA21" s="62">
        <f t="shared" si="89"/>
        <v>34924</v>
      </c>
      <c r="AB21" s="62">
        <f t="shared" si="89"/>
        <v>33721</v>
      </c>
      <c r="AC21" s="62">
        <f t="shared" si="89"/>
        <v>33739</v>
      </c>
      <c r="AD21" s="62">
        <f t="shared" si="89"/>
        <v>30727</v>
      </c>
      <c r="AE21" s="62">
        <f t="shared" si="89"/>
        <v>30528</v>
      </c>
      <c r="AF21" s="62">
        <f t="shared" si="89"/>
        <v>30128</v>
      </c>
      <c r="AG21" s="62">
        <f t="shared" si="89"/>
        <v>29955</v>
      </c>
    </row>
    <row r="22" spans="1:33" ht="27" customHeight="1" x14ac:dyDescent="0.3">
      <c r="B22" s="82" t="s">
        <v>34</v>
      </c>
      <c r="C22" s="82"/>
      <c r="D22" s="44"/>
      <c r="E22" s="62">
        <f>SUM(E21:AG21)</f>
        <v>881790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G2"/>
    <mergeCell ref="C3:AG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 codeName="Sheet3">
    <pageSetUpPr fitToPage="1"/>
  </sheetPr>
  <dimension ref="A2:AN29"/>
  <sheetViews>
    <sheetView topLeftCell="A5" zoomScale="115" zoomScaleNormal="115" workbookViewId="0">
      <selection activeCell="E16" sqref="E16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35" customWidth="1"/>
    <col min="4" max="6" width="10.109375" style="8" customWidth="1"/>
    <col min="7" max="33" width="10.109375" style="2" customWidth="1"/>
    <col min="34" max="16384" width="9.109375" style="2"/>
  </cols>
  <sheetData>
    <row r="2" spans="1:40" s="8" customFormat="1" ht="25.65" customHeight="1" x14ac:dyDescent="0.5">
      <c r="B2" s="89" t="s">
        <v>82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40" s="8" customFormat="1" ht="30" customHeight="1" thickBot="1" x14ac:dyDescent="0.35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</row>
    <row r="4" spans="1:40" s="30" customFormat="1" ht="57.75" customHeight="1" thickBot="1" x14ac:dyDescent="0.35">
      <c r="A4" s="15" t="s">
        <v>13</v>
      </c>
      <c r="B4" s="27" t="s">
        <v>35</v>
      </c>
      <c r="C4" s="27" t="s">
        <v>15</v>
      </c>
      <c r="D4" s="28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29" t="s">
        <v>83</v>
      </c>
    </row>
    <row r="5" spans="1:40" s="8" customFormat="1" ht="40.5" customHeight="1" x14ac:dyDescent="0.3">
      <c r="A5" s="92" t="s">
        <v>37</v>
      </c>
      <c r="B5" s="27" t="s">
        <v>65</v>
      </c>
      <c r="C5" s="94" t="s">
        <v>66</v>
      </c>
      <c r="D5" s="31">
        <v>133804.5</v>
      </c>
      <c r="E5" s="31">
        <v>134055.9</v>
      </c>
      <c r="F5" s="31">
        <v>134234.70000000001</v>
      </c>
      <c r="G5" s="31">
        <v>134434.29999999999</v>
      </c>
      <c r="H5" s="31">
        <v>134680.6</v>
      </c>
      <c r="I5" s="31">
        <v>134929.79999999999</v>
      </c>
      <c r="J5" s="31">
        <v>135140.6</v>
      </c>
      <c r="K5" s="31">
        <v>135352.4</v>
      </c>
      <c r="L5" s="31">
        <v>135566.1</v>
      </c>
      <c r="M5" s="31">
        <v>135809.4</v>
      </c>
      <c r="N5" s="31">
        <v>135894.9</v>
      </c>
      <c r="O5" s="31">
        <v>135895.1</v>
      </c>
      <c r="P5" s="31">
        <v>135895.70000000001</v>
      </c>
      <c r="Q5" s="31">
        <v>135895.9</v>
      </c>
      <c r="R5" s="31">
        <v>135896.20000000001</v>
      </c>
      <c r="S5" s="31">
        <v>136808.4</v>
      </c>
      <c r="T5" s="31">
        <v>136872.1</v>
      </c>
      <c r="U5" s="31">
        <v>136997</v>
      </c>
      <c r="V5" s="65">
        <v>137768.79999999999</v>
      </c>
      <c r="W5" s="31">
        <v>137972</v>
      </c>
      <c r="X5" s="31">
        <v>138214</v>
      </c>
      <c r="Y5" s="31">
        <v>138453.6</v>
      </c>
      <c r="Z5" s="31">
        <v>138659</v>
      </c>
      <c r="AA5" s="31">
        <v>138912</v>
      </c>
      <c r="AB5" s="31">
        <v>139120.79999999999</v>
      </c>
      <c r="AC5" s="31">
        <v>139354.1</v>
      </c>
      <c r="AD5" s="31">
        <v>139528.20000000001</v>
      </c>
      <c r="AE5" s="31">
        <v>139764.29999999999</v>
      </c>
      <c r="AF5" s="31">
        <v>139967.70000000001</v>
      </c>
      <c r="AG5" s="31">
        <v>140192.70000000001</v>
      </c>
    </row>
    <row r="6" spans="1:40" s="34" customFormat="1" ht="25.65" customHeight="1" x14ac:dyDescent="0.3">
      <c r="A6" s="93"/>
      <c r="B6" s="32"/>
      <c r="C6" s="94"/>
      <c r="D6" s="33"/>
      <c r="E6" s="33">
        <f t="shared" ref="E6:AG6" si="0">E5-D5</f>
        <v>251.39999999999418</v>
      </c>
      <c r="F6" s="33">
        <f t="shared" si="0"/>
        <v>178.80000000001746</v>
      </c>
      <c r="G6" s="33">
        <f t="shared" si="0"/>
        <v>199.59999999997672</v>
      </c>
      <c r="H6" s="33">
        <f t="shared" si="0"/>
        <v>246.30000000001746</v>
      </c>
      <c r="I6" s="33">
        <f t="shared" si="0"/>
        <v>249.19999999998254</v>
      </c>
      <c r="J6" s="33">
        <f t="shared" si="0"/>
        <v>210.80000000001746</v>
      </c>
      <c r="K6" s="33">
        <f t="shared" si="0"/>
        <v>211.79999999998836</v>
      </c>
      <c r="L6" s="33">
        <f t="shared" si="0"/>
        <v>213.70000000001164</v>
      </c>
      <c r="M6" s="33">
        <f t="shared" si="0"/>
        <v>243.29999999998836</v>
      </c>
      <c r="N6" s="33">
        <f t="shared" si="0"/>
        <v>85.5</v>
      </c>
      <c r="O6" s="33">
        <f t="shared" si="0"/>
        <v>0.20000000001164153</v>
      </c>
      <c r="P6" s="33">
        <f t="shared" si="0"/>
        <v>0.60000000000582077</v>
      </c>
      <c r="Q6" s="33">
        <f t="shared" si="0"/>
        <v>0.1999999999825377</v>
      </c>
      <c r="R6" s="33">
        <f t="shared" si="0"/>
        <v>0.3000000000174623</v>
      </c>
      <c r="S6" s="33">
        <f t="shared" si="0"/>
        <v>912.19999999998254</v>
      </c>
      <c r="T6" s="33">
        <f t="shared" si="0"/>
        <v>63.700000000011642</v>
      </c>
      <c r="U6" s="33">
        <f t="shared" si="0"/>
        <v>124.89999999999418</v>
      </c>
      <c r="V6" s="33">
        <f t="shared" si="0"/>
        <v>771.79999999998836</v>
      </c>
      <c r="W6" s="33">
        <f t="shared" si="0"/>
        <v>203.20000000001164</v>
      </c>
      <c r="X6" s="33">
        <f t="shared" si="0"/>
        <v>242</v>
      </c>
      <c r="Y6" s="33">
        <f t="shared" si="0"/>
        <v>239.60000000000582</v>
      </c>
      <c r="Z6" s="33">
        <f t="shared" si="0"/>
        <v>205.39999999999418</v>
      </c>
      <c r="AA6" s="33">
        <f t="shared" si="0"/>
        <v>253</v>
      </c>
      <c r="AB6" s="33">
        <f t="shared" si="0"/>
        <v>208.79999999998836</v>
      </c>
      <c r="AC6" s="33">
        <f t="shared" si="0"/>
        <v>233.30000000001746</v>
      </c>
      <c r="AD6" s="33">
        <f t="shared" si="0"/>
        <v>174.10000000000582</v>
      </c>
      <c r="AE6" s="33">
        <f t="shared" si="0"/>
        <v>236.09999999997672</v>
      </c>
      <c r="AF6" s="33">
        <f t="shared" si="0"/>
        <v>203.40000000002328</v>
      </c>
      <c r="AG6" s="33">
        <f t="shared" si="0"/>
        <v>225</v>
      </c>
      <c r="AH6" s="8"/>
      <c r="AI6" s="8"/>
      <c r="AJ6" s="8"/>
      <c r="AK6" s="8"/>
      <c r="AL6" s="8"/>
      <c r="AM6" s="8"/>
      <c r="AN6" s="8"/>
    </row>
    <row r="7" spans="1:40" s="8" customFormat="1" ht="39.75" customHeight="1" x14ac:dyDescent="0.3">
      <c r="A7" s="92" t="s">
        <v>39</v>
      </c>
      <c r="B7" s="49" t="s">
        <v>67</v>
      </c>
      <c r="C7" s="94" t="s">
        <v>68</v>
      </c>
      <c r="D7" s="31">
        <v>160108.4</v>
      </c>
      <c r="E7" s="31">
        <v>160283.5</v>
      </c>
      <c r="F7" s="31">
        <v>160357.29999999999</v>
      </c>
      <c r="G7" s="31">
        <v>160446.39999999999</v>
      </c>
      <c r="H7" s="31">
        <v>160665.29999999999</v>
      </c>
      <c r="I7" s="31">
        <v>160731.1</v>
      </c>
      <c r="J7" s="31">
        <v>160829.4</v>
      </c>
      <c r="K7" s="31">
        <v>160915.6</v>
      </c>
      <c r="L7" s="31">
        <v>161108</v>
      </c>
      <c r="M7" s="31">
        <v>161210.9</v>
      </c>
      <c r="N7" s="31">
        <v>161390.9</v>
      </c>
      <c r="O7" s="31">
        <v>161638.6</v>
      </c>
      <c r="P7" s="31">
        <v>161711.9</v>
      </c>
      <c r="Q7" s="31">
        <v>161918.5</v>
      </c>
      <c r="R7" s="31">
        <v>161994.70000000001</v>
      </c>
      <c r="S7" s="31">
        <v>162067.29999999999</v>
      </c>
      <c r="T7" s="31">
        <v>162269.6</v>
      </c>
      <c r="U7" s="31">
        <v>162349.4</v>
      </c>
      <c r="V7" s="65">
        <v>162529.60000000001</v>
      </c>
      <c r="W7" s="31">
        <v>162873</v>
      </c>
      <c r="X7" s="31">
        <v>163152.79999999999</v>
      </c>
      <c r="Y7" s="31">
        <v>163266.70000000001</v>
      </c>
      <c r="Z7" s="31">
        <v>163483.29999999999</v>
      </c>
      <c r="AA7" s="31">
        <v>163641.1</v>
      </c>
      <c r="AB7" s="31">
        <v>163913.70000000001</v>
      </c>
      <c r="AC7" s="31">
        <v>164073.1</v>
      </c>
      <c r="AD7" s="31">
        <v>164221.5</v>
      </c>
      <c r="AE7" s="31">
        <v>164588.70000000001</v>
      </c>
      <c r="AF7" s="31">
        <v>164772</v>
      </c>
      <c r="AG7" s="31">
        <v>165065.29999999999</v>
      </c>
    </row>
    <row r="8" spans="1:40" s="34" customFormat="1" ht="25.65" customHeight="1" x14ac:dyDescent="0.3">
      <c r="A8" s="93"/>
      <c r="B8" s="47"/>
      <c r="C8" s="94"/>
      <c r="D8" s="33"/>
      <c r="E8" s="33">
        <f t="shared" ref="E8:AG8" si="1">E7-D7</f>
        <v>175.10000000000582</v>
      </c>
      <c r="F8" s="33">
        <f t="shared" si="1"/>
        <v>73.799999999988358</v>
      </c>
      <c r="G8" s="33">
        <f t="shared" si="1"/>
        <v>89.100000000005821</v>
      </c>
      <c r="H8" s="33">
        <f t="shared" si="1"/>
        <v>218.89999999999418</v>
      </c>
      <c r="I8" s="33">
        <f t="shared" si="1"/>
        <v>65.800000000017462</v>
      </c>
      <c r="J8" s="33">
        <f t="shared" si="1"/>
        <v>98.299999999988358</v>
      </c>
      <c r="K8" s="33">
        <f t="shared" si="1"/>
        <v>86.200000000011642</v>
      </c>
      <c r="L8" s="33">
        <f t="shared" si="1"/>
        <v>192.39999999999418</v>
      </c>
      <c r="M8" s="33">
        <f t="shared" si="1"/>
        <v>102.89999999999418</v>
      </c>
      <c r="N8" s="33">
        <f t="shared" si="1"/>
        <v>180</v>
      </c>
      <c r="O8" s="33">
        <f t="shared" si="1"/>
        <v>247.70000000001164</v>
      </c>
      <c r="P8" s="33">
        <f t="shared" si="1"/>
        <v>73.299999999988358</v>
      </c>
      <c r="Q8" s="33">
        <f t="shared" si="1"/>
        <v>206.60000000000582</v>
      </c>
      <c r="R8" s="33">
        <f t="shared" si="1"/>
        <v>76.200000000011642</v>
      </c>
      <c r="S8" s="33">
        <f t="shared" si="1"/>
        <v>72.599999999976717</v>
      </c>
      <c r="T8" s="33">
        <f t="shared" si="1"/>
        <v>202.30000000001746</v>
      </c>
      <c r="U8" s="33">
        <f t="shared" si="1"/>
        <v>79.799999999988358</v>
      </c>
      <c r="V8" s="33">
        <f t="shared" si="1"/>
        <v>180.20000000001164</v>
      </c>
      <c r="W8" s="33">
        <f t="shared" si="1"/>
        <v>343.39999999999418</v>
      </c>
      <c r="X8" s="33">
        <f t="shared" si="1"/>
        <v>279.79999999998836</v>
      </c>
      <c r="Y8" s="33">
        <f t="shared" si="1"/>
        <v>113.90000000002328</v>
      </c>
      <c r="Z8" s="33">
        <f t="shared" si="1"/>
        <v>216.59999999997672</v>
      </c>
      <c r="AA8" s="33">
        <f t="shared" si="1"/>
        <v>157.80000000001746</v>
      </c>
      <c r="AB8" s="33">
        <f t="shared" si="1"/>
        <v>272.60000000000582</v>
      </c>
      <c r="AC8" s="33">
        <f t="shared" si="1"/>
        <v>159.39999999999418</v>
      </c>
      <c r="AD8" s="33">
        <f t="shared" si="1"/>
        <v>148.39999999999418</v>
      </c>
      <c r="AE8" s="33">
        <f t="shared" si="1"/>
        <v>367.20000000001164</v>
      </c>
      <c r="AF8" s="33">
        <f t="shared" si="1"/>
        <v>183.29999999998836</v>
      </c>
      <c r="AG8" s="33">
        <f t="shared" si="1"/>
        <v>293.29999999998836</v>
      </c>
      <c r="AH8" s="8"/>
      <c r="AI8" s="8"/>
      <c r="AJ8" s="8"/>
      <c r="AK8" s="8"/>
      <c r="AL8" s="8"/>
      <c r="AM8" s="8"/>
      <c r="AN8" s="8"/>
    </row>
    <row r="9" spans="1:40" s="8" customFormat="1" ht="25.65" customHeight="1" x14ac:dyDescent="0.3">
      <c r="A9" s="92">
        <v>4</v>
      </c>
      <c r="B9" s="46" t="s">
        <v>69</v>
      </c>
      <c r="C9" s="94" t="s">
        <v>70</v>
      </c>
      <c r="D9" s="31">
        <v>41860</v>
      </c>
      <c r="E9" s="31">
        <v>41967</v>
      </c>
      <c r="F9" s="31">
        <v>41968</v>
      </c>
      <c r="G9" s="31">
        <v>41974</v>
      </c>
      <c r="H9" s="31">
        <v>42126</v>
      </c>
      <c r="I9" s="31">
        <v>42127</v>
      </c>
      <c r="J9" s="31">
        <v>42145</v>
      </c>
      <c r="K9" s="31">
        <v>42145</v>
      </c>
      <c r="L9" s="31">
        <v>42255</v>
      </c>
      <c r="M9" s="31">
        <v>42258</v>
      </c>
      <c r="N9" s="31">
        <v>42310</v>
      </c>
      <c r="O9" s="31">
        <v>42449</v>
      </c>
      <c r="P9" s="31">
        <v>42450</v>
      </c>
      <c r="Q9" s="31">
        <v>42597</v>
      </c>
      <c r="R9" s="31">
        <v>42599</v>
      </c>
      <c r="S9" s="31">
        <v>42599</v>
      </c>
      <c r="T9" s="31">
        <v>42753</v>
      </c>
      <c r="U9" s="31">
        <v>42816</v>
      </c>
      <c r="V9" s="65">
        <v>42881</v>
      </c>
      <c r="W9" s="31">
        <v>42921</v>
      </c>
      <c r="X9" s="31">
        <v>43081</v>
      </c>
      <c r="Y9" s="31">
        <v>43082</v>
      </c>
      <c r="Z9" s="31">
        <v>43187</v>
      </c>
      <c r="AA9" s="31">
        <v>43217</v>
      </c>
      <c r="AB9" s="31">
        <v>43347</v>
      </c>
      <c r="AC9" s="31">
        <v>43379</v>
      </c>
      <c r="AD9" s="31">
        <v>43390</v>
      </c>
      <c r="AE9" s="31">
        <v>43563</v>
      </c>
      <c r="AF9" s="31">
        <v>43567</v>
      </c>
      <c r="AG9" s="31">
        <v>43714</v>
      </c>
    </row>
    <row r="10" spans="1:40" s="34" customFormat="1" ht="25.65" customHeight="1" x14ac:dyDescent="0.3">
      <c r="A10" s="93"/>
      <c r="B10" s="47"/>
      <c r="C10" s="94"/>
      <c r="D10" s="33"/>
      <c r="E10" s="33">
        <f t="shared" ref="E10:Y10" si="2">E9-D9</f>
        <v>107</v>
      </c>
      <c r="F10" s="33">
        <f t="shared" si="2"/>
        <v>1</v>
      </c>
      <c r="G10" s="33">
        <f t="shared" si="2"/>
        <v>6</v>
      </c>
      <c r="H10" s="33">
        <f t="shared" si="2"/>
        <v>152</v>
      </c>
      <c r="I10" s="33">
        <f t="shared" si="2"/>
        <v>1</v>
      </c>
      <c r="J10" s="33">
        <f t="shared" si="2"/>
        <v>18</v>
      </c>
      <c r="K10" s="33">
        <f t="shared" si="2"/>
        <v>0</v>
      </c>
      <c r="L10" s="33">
        <f t="shared" si="2"/>
        <v>110</v>
      </c>
      <c r="M10" s="33">
        <f t="shared" si="2"/>
        <v>3</v>
      </c>
      <c r="N10" s="33">
        <f t="shared" si="2"/>
        <v>52</v>
      </c>
      <c r="O10" s="33">
        <f t="shared" si="2"/>
        <v>139</v>
      </c>
      <c r="P10" s="33">
        <f t="shared" si="2"/>
        <v>1</v>
      </c>
      <c r="Q10" s="33">
        <f t="shared" si="2"/>
        <v>147</v>
      </c>
      <c r="R10" s="33">
        <f t="shared" si="2"/>
        <v>2</v>
      </c>
      <c r="S10" s="33">
        <f t="shared" si="2"/>
        <v>0</v>
      </c>
      <c r="T10" s="33">
        <f>T9-S9</f>
        <v>154</v>
      </c>
      <c r="U10" s="33">
        <f t="shared" si="2"/>
        <v>63</v>
      </c>
      <c r="V10" s="33">
        <f t="shared" si="2"/>
        <v>65</v>
      </c>
      <c r="W10" s="33">
        <f t="shared" si="2"/>
        <v>40</v>
      </c>
      <c r="X10" s="33">
        <f t="shared" si="2"/>
        <v>160</v>
      </c>
      <c r="Y10" s="33">
        <f t="shared" si="2"/>
        <v>1</v>
      </c>
      <c r="Z10" s="33">
        <f>Z9-Y9</f>
        <v>105</v>
      </c>
      <c r="AA10" s="33">
        <f t="shared" ref="AA10:AG10" si="3">AA9-Z9</f>
        <v>30</v>
      </c>
      <c r="AB10" s="33">
        <f t="shared" si="3"/>
        <v>130</v>
      </c>
      <c r="AC10" s="33">
        <f t="shared" si="3"/>
        <v>32</v>
      </c>
      <c r="AD10" s="33">
        <f t="shared" si="3"/>
        <v>11</v>
      </c>
      <c r="AE10" s="33">
        <f t="shared" si="3"/>
        <v>173</v>
      </c>
      <c r="AF10" s="33">
        <f t="shared" si="3"/>
        <v>4</v>
      </c>
      <c r="AG10" s="33">
        <f t="shared" si="3"/>
        <v>147</v>
      </c>
      <c r="AH10" s="8"/>
      <c r="AI10" s="8"/>
      <c r="AJ10" s="8"/>
      <c r="AK10" s="8"/>
      <c r="AL10" s="8"/>
      <c r="AM10" s="8"/>
      <c r="AN10" s="8"/>
    </row>
    <row r="11" spans="1:40" s="8" customFormat="1" ht="25.65" customHeight="1" x14ac:dyDescent="0.3">
      <c r="A11" s="95">
        <v>5</v>
      </c>
      <c r="B11" s="27">
        <v>68864837</v>
      </c>
      <c r="C11" s="94" t="s">
        <v>71</v>
      </c>
      <c r="D11" s="31">
        <v>4419.4679999999998</v>
      </c>
      <c r="E11" s="31">
        <v>4421.0870000000004</v>
      </c>
      <c r="F11" s="31">
        <v>4422.9260000000004</v>
      </c>
      <c r="G11" s="31">
        <v>4423.9560000000001</v>
      </c>
      <c r="H11" s="31">
        <v>4425.5510000000004</v>
      </c>
      <c r="I11" s="31">
        <v>4427.5540000000001</v>
      </c>
      <c r="J11" s="31">
        <v>4429.21</v>
      </c>
      <c r="K11" s="31">
        <v>4430.1499999999996</v>
      </c>
      <c r="L11" s="31">
        <v>4431.7020000000002</v>
      </c>
      <c r="M11" s="31">
        <v>4433.5690000000004</v>
      </c>
      <c r="N11" s="31">
        <v>4435.0889999999999</v>
      </c>
      <c r="O11" s="31">
        <v>4436.9359999999997</v>
      </c>
      <c r="P11" s="31">
        <v>4438.0370000000003</v>
      </c>
      <c r="Q11" s="31">
        <v>4439.7879999999996</v>
      </c>
      <c r="R11" s="31">
        <v>4440.9160000000002</v>
      </c>
      <c r="S11" s="31">
        <v>4442.7030000000004</v>
      </c>
      <c r="T11" s="31">
        <v>4444.3109999999997</v>
      </c>
      <c r="U11" s="31">
        <v>4445.8999999999996</v>
      </c>
      <c r="V11" s="65">
        <v>4447.3379999999997</v>
      </c>
      <c r="W11" s="31">
        <v>4449.8909999999996</v>
      </c>
      <c r="X11" s="31">
        <v>4451.3729999999996</v>
      </c>
      <c r="Y11" s="31">
        <v>4452.8779999999997</v>
      </c>
      <c r="Z11" s="31">
        <v>4454.6840000000002</v>
      </c>
      <c r="AA11" s="31">
        <v>4456.2700000000004</v>
      </c>
      <c r="AB11" s="31">
        <v>4457.4859999999999</v>
      </c>
      <c r="AC11" s="31">
        <v>4459.01</v>
      </c>
      <c r="AD11" s="31">
        <v>4460.9949999999999</v>
      </c>
      <c r="AE11" s="31">
        <v>4462.2610000000004</v>
      </c>
      <c r="AF11" s="31">
        <v>4464.085</v>
      </c>
      <c r="AG11" s="31">
        <v>4465.8720000000003</v>
      </c>
    </row>
    <row r="12" spans="1:40" s="8" customFormat="1" ht="25.65" customHeight="1" x14ac:dyDescent="0.3">
      <c r="A12" s="96"/>
      <c r="B12" s="48"/>
      <c r="C12" s="94"/>
      <c r="D12" s="33"/>
      <c r="E12" s="33">
        <f t="shared" ref="E12:AG12" si="4">E11-D11</f>
        <v>1.6190000000005966</v>
      </c>
      <c r="F12" s="33">
        <f t="shared" si="4"/>
        <v>1.8389999999999418</v>
      </c>
      <c r="G12" s="33">
        <f t="shared" si="4"/>
        <v>1.0299999999997453</v>
      </c>
      <c r="H12" s="33">
        <f t="shared" si="4"/>
        <v>1.5950000000002547</v>
      </c>
      <c r="I12" s="33">
        <f t="shared" si="4"/>
        <v>2.0029999999997017</v>
      </c>
      <c r="J12" s="33">
        <f t="shared" si="4"/>
        <v>1.6559999999999491</v>
      </c>
      <c r="K12" s="33">
        <f t="shared" si="4"/>
        <v>0.93999999999959982</v>
      </c>
      <c r="L12" s="33">
        <f t="shared" si="4"/>
        <v>1.5520000000005894</v>
      </c>
      <c r="M12" s="33">
        <f t="shared" si="4"/>
        <v>1.8670000000001892</v>
      </c>
      <c r="N12" s="33">
        <f t="shared" si="4"/>
        <v>1.5199999999995271</v>
      </c>
      <c r="O12" s="33">
        <f t="shared" si="4"/>
        <v>1.8469999999997526</v>
      </c>
      <c r="P12" s="33">
        <f t="shared" si="4"/>
        <v>1.1010000000005675</v>
      </c>
      <c r="Q12" s="33">
        <f t="shared" si="4"/>
        <v>1.7509999999992942</v>
      </c>
      <c r="R12" s="33">
        <f t="shared" si="4"/>
        <v>1.1280000000006112</v>
      </c>
      <c r="S12" s="33">
        <f t="shared" si="4"/>
        <v>1.7870000000002619</v>
      </c>
      <c r="T12" s="33">
        <f t="shared" si="4"/>
        <v>1.6079999999992651</v>
      </c>
      <c r="U12" s="33">
        <f t="shared" si="4"/>
        <v>1.5889999999999418</v>
      </c>
      <c r="V12" s="33">
        <f t="shared" si="4"/>
        <v>1.4380000000001019</v>
      </c>
      <c r="W12" s="33">
        <f t="shared" si="4"/>
        <v>2.5529999999998836</v>
      </c>
      <c r="X12" s="33">
        <f t="shared" si="4"/>
        <v>1.4819999999999709</v>
      </c>
      <c r="Y12" s="33">
        <f t="shared" si="4"/>
        <v>1.5050000000001091</v>
      </c>
      <c r="Z12" s="33">
        <f t="shared" si="4"/>
        <v>1.8060000000004948</v>
      </c>
      <c r="AA12" s="33">
        <f t="shared" si="4"/>
        <v>1.5860000000002401</v>
      </c>
      <c r="AB12" s="33">
        <f t="shared" si="4"/>
        <v>1.2159999999994398</v>
      </c>
      <c r="AC12" s="33">
        <f t="shared" si="4"/>
        <v>1.524000000000342</v>
      </c>
      <c r="AD12" s="33">
        <f t="shared" si="4"/>
        <v>1.9849999999996726</v>
      </c>
      <c r="AE12" s="33">
        <f t="shared" si="4"/>
        <v>1.2660000000005311</v>
      </c>
      <c r="AF12" s="33">
        <f t="shared" si="4"/>
        <v>1.8239999999996144</v>
      </c>
      <c r="AG12" s="33">
        <f t="shared" si="4"/>
        <v>1.7870000000002619</v>
      </c>
    </row>
    <row r="13" spans="1:40" s="8" customFormat="1" ht="25.65" customHeight="1" x14ac:dyDescent="0.3">
      <c r="A13" s="95">
        <v>6</v>
      </c>
      <c r="B13" s="27">
        <v>65296485</v>
      </c>
      <c r="C13" s="94" t="s">
        <v>72</v>
      </c>
      <c r="D13" s="31">
        <v>7660.7280000000001</v>
      </c>
      <c r="E13" s="31">
        <v>7662.527</v>
      </c>
      <c r="F13" s="31">
        <v>7664.2879999999996</v>
      </c>
      <c r="G13" s="31">
        <v>7665.4530000000004</v>
      </c>
      <c r="H13" s="31">
        <v>7666.116</v>
      </c>
      <c r="I13" s="31">
        <v>7668.0569999999998</v>
      </c>
      <c r="J13" s="31">
        <v>7669.1120000000001</v>
      </c>
      <c r="K13" s="31">
        <v>7670.08</v>
      </c>
      <c r="L13" s="31">
        <v>7670.6629999999996</v>
      </c>
      <c r="M13" s="31">
        <v>7677.3450000000003</v>
      </c>
      <c r="N13" s="31">
        <v>7678.5379999999996</v>
      </c>
      <c r="O13" s="31">
        <v>7681.6189999999997</v>
      </c>
      <c r="P13" s="31">
        <v>7682.2740000000003</v>
      </c>
      <c r="Q13" s="31">
        <v>7683.2380000000003</v>
      </c>
      <c r="R13" s="31">
        <v>7683.9989999999998</v>
      </c>
      <c r="S13" s="31">
        <v>7684.7</v>
      </c>
      <c r="T13" s="31">
        <v>7686.4139999999998</v>
      </c>
      <c r="U13" s="31">
        <v>7687.7950000000001</v>
      </c>
      <c r="V13" s="65">
        <v>7688.7730000000001</v>
      </c>
      <c r="W13" s="31">
        <v>7689.8509999999997</v>
      </c>
      <c r="X13" s="31">
        <v>7690.951</v>
      </c>
      <c r="Y13" s="31">
        <v>7692.2449999999999</v>
      </c>
      <c r="Z13" s="31">
        <v>7693.2979999999998</v>
      </c>
      <c r="AA13" s="31">
        <v>7694.9930000000004</v>
      </c>
      <c r="AB13" s="31">
        <v>7700.9830000000002</v>
      </c>
      <c r="AC13" s="31">
        <v>7702.2</v>
      </c>
      <c r="AD13" s="31">
        <v>7704.848</v>
      </c>
      <c r="AE13" s="31">
        <v>7705.7370000000001</v>
      </c>
      <c r="AF13" s="31">
        <v>7706.7120000000004</v>
      </c>
      <c r="AG13" s="31">
        <v>7707.835</v>
      </c>
    </row>
    <row r="14" spans="1:40" s="8" customFormat="1" ht="25.65" customHeight="1" x14ac:dyDescent="0.3">
      <c r="A14" s="96"/>
      <c r="B14" s="48"/>
      <c r="C14" s="94"/>
      <c r="D14" s="33"/>
      <c r="E14" s="33">
        <f t="shared" ref="E14:AG14" si="5">E13-D13</f>
        <v>1.7989999999999782</v>
      </c>
      <c r="F14" s="33">
        <f t="shared" si="5"/>
        <v>1.7609999999995125</v>
      </c>
      <c r="G14" s="33">
        <f t="shared" si="5"/>
        <v>1.1650000000008731</v>
      </c>
      <c r="H14" s="33">
        <f t="shared" si="5"/>
        <v>0.66299999999955617</v>
      </c>
      <c r="I14" s="33">
        <f t="shared" si="5"/>
        <v>1.9409999999998035</v>
      </c>
      <c r="J14" s="33">
        <f t="shared" si="5"/>
        <v>1.055000000000291</v>
      </c>
      <c r="K14" s="33">
        <f t="shared" si="5"/>
        <v>0.9679999999998472</v>
      </c>
      <c r="L14" s="33">
        <f t="shared" si="5"/>
        <v>0.58299999999962893</v>
      </c>
      <c r="M14" s="33">
        <f t="shared" si="5"/>
        <v>6.6820000000006985</v>
      </c>
      <c r="N14" s="33">
        <f t="shared" si="5"/>
        <v>1.1929999999993015</v>
      </c>
      <c r="O14" s="33">
        <f t="shared" si="5"/>
        <v>3.081000000000131</v>
      </c>
      <c r="P14" s="33">
        <f t="shared" si="5"/>
        <v>0.65500000000065484</v>
      </c>
      <c r="Q14" s="33">
        <f t="shared" si="5"/>
        <v>0.96399999999994179</v>
      </c>
      <c r="R14" s="33">
        <f t="shared" si="5"/>
        <v>0.76099999999951251</v>
      </c>
      <c r="S14" s="33">
        <f t="shared" si="5"/>
        <v>0.70100000000002183</v>
      </c>
      <c r="T14" s="33">
        <f t="shared" si="5"/>
        <v>1.7139999999999418</v>
      </c>
      <c r="U14" s="33">
        <f t="shared" si="5"/>
        <v>1.3810000000003129</v>
      </c>
      <c r="V14" s="33">
        <f t="shared" si="5"/>
        <v>0.97800000000006548</v>
      </c>
      <c r="W14" s="33">
        <f t="shared" si="5"/>
        <v>1.0779999999995198</v>
      </c>
      <c r="X14" s="33">
        <f t="shared" si="5"/>
        <v>1.1000000000003638</v>
      </c>
      <c r="Y14" s="33">
        <f t="shared" si="5"/>
        <v>1.293999999999869</v>
      </c>
      <c r="Z14" s="33">
        <f t="shared" si="5"/>
        <v>1.0529999999998836</v>
      </c>
      <c r="AA14" s="33">
        <f t="shared" si="5"/>
        <v>1.6950000000006185</v>
      </c>
      <c r="AB14" s="33">
        <f t="shared" si="5"/>
        <v>5.9899999999997817</v>
      </c>
      <c r="AC14" s="33">
        <f t="shared" si="5"/>
        <v>1.2169999999996435</v>
      </c>
      <c r="AD14" s="33">
        <f t="shared" si="5"/>
        <v>2.6480000000001382</v>
      </c>
      <c r="AE14" s="33">
        <f t="shared" si="5"/>
        <v>0.88900000000012369</v>
      </c>
      <c r="AF14" s="33">
        <f t="shared" si="5"/>
        <v>0.9750000000003638</v>
      </c>
      <c r="AG14" s="33">
        <f t="shared" si="5"/>
        <v>1.1229999999995925</v>
      </c>
      <c r="AH14" s="2"/>
      <c r="AI14" s="2"/>
      <c r="AJ14" s="2"/>
      <c r="AK14" s="2"/>
      <c r="AL14" s="2"/>
      <c r="AM14" s="2"/>
      <c r="AN14" s="2"/>
    </row>
    <row r="15" spans="1:40" ht="33" customHeight="1" x14ac:dyDescent="0.3">
      <c r="B15" s="88" t="s">
        <v>73</v>
      </c>
      <c r="C15" s="88"/>
      <c r="D15" s="50"/>
      <c r="E15" s="50">
        <f>E6+((E8*45%)+(E10*45%)+(E12+E14))</f>
        <v>381.76299999999736</v>
      </c>
      <c r="F15" s="50">
        <f t="shared" ref="F15:AG15" si="6">F6+((F8*45%)+(F10*45%)+(F12+F14))</f>
        <v>216.06000000001168</v>
      </c>
      <c r="G15" s="50">
        <f t="shared" si="6"/>
        <v>244.58999999997997</v>
      </c>
      <c r="H15" s="50">
        <f t="shared" si="6"/>
        <v>415.46300000001463</v>
      </c>
      <c r="I15" s="50">
        <f t="shared" si="6"/>
        <v>283.20399999998989</v>
      </c>
      <c r="J15" s="50">
        <f t="shared" si="6"/>
        <v>265.84600000001245</v>
      </c>
      <c r="K15" s="50">
        <f t="shared" si="6"/>
        <v>252.49799999999306</v>
      </c>
      <c r="L15" s="50">
        <f t="shared" si="6"/>
        <v>351.91500000000923</v>
      </c>
      <c r="M15" s="50">
        <f t="shared" si="6"/>
        <v>299.5039999999866</v>
      </c>
      <c r="N15" s="50">
        <f t="shared" si="6"/>
        <v>192.61299999999883</v>
      </c>
      <c r="O15" s="50">
        <f t="shared" si="6"/>
        <v>179.14300000001677</v>
      </c>
      <c r="P15" s="50">
        <f t="shared" si="6"/>
        <v>35.791000000001809</v>
      </c>
      <c r="Q15" s="50">
        <f t="shared" si="6"/>
        <v>162.03499999998439</v>
      </c>
      <c r="R15" s="50">
        <f t="shared" si="6"/>
        <v>37.379000000022828</v>
      </c>
      <c r="S15" s="50">
        <f t="shared" si="6"/>
        <v>947.35799999997232</v>
      </c>
      <c r="T15" s="50">
        <f t="shared" si="6"/>
        <v>227.3570000000187</v>
      </c>
      <c r="U15" s="50">
        <f t="shared" si="6"/>
        <v>192.1299999999892</v>
      </c>
      <c r="V15" s="50">
        <f t="shared" si="6"/>
        <v>884.55599999999379</v>
      </c>
      <c r="W15" s="50">
        <f t="shared" si="6"/>
        <v>379.3610000000084</v>
      </c>
      <c r="X15" s="50">
        <f t="shared" si="6"/>
        <v>442.49199999999507</v>
      </c>
      <c r="Y15" s="50">
        <f t="shared" si="6"/>
        <v>294.1040000000163</v>
      </c>
      <c r="Z15" s="50">
        <f t="shared" si="6"/>
        <v>352.97899999998407</v>
      </c>
      <c r="AA15" s="50">
        <f t="shared" si="6"/>
        <v>340.79100000000869</v>
      </c>
      <c r="AB15" s="50">
        <f t="shared" si="6"/>
        <v>397.17599999999021</v>
      </c>
      <c r="AC15" s="50">
        <f t="shared" si="6"/>
        <v>322.17100000001483</v>
      </c>
      <c r="AD15" s="50">
        <f t="shared" si="6"/>
        <v>250.46300000000303</v>
      </c>
      <c r="AE15" s="50">
        <f t="shared" si="6"/>
        <v>481.34499999998263</v>
      </c>
      <c r="AF15" s="50">
        <f t="shared" si="6"/>
        <v>290.484000000018</v>
      </c>
      <c r="AG15" s="50">
        <f t="shared" si="6"/>
        <v>426.04499999999462</v>
      </c>
    </row>
    <row r="16" spans="1:40" ht="33" customHeight="1" x14ac:dyDescent="0.3">
      <c r="B16" s="87" t="s">
        <v>74</v>
      </c>
      <c r="C16" s="87"/>
      <c r="D16" s="50"/>
      <c r="E16" s="57">
        <f>SUM(E15:AG15)</f>
        <v>9546.6160000000109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21" s="2" customFormat="1" ht="70.5" customHeight="1" x14ac:dyDescent="0.3"/>
    <row r="22" s="2" customFormat="1" ht="70.5" customHeight="1" x14ac:dyDescent="0.3"/>
    <row r="23" s="2" customFormat="1" ht="70.5" customHeight="1" x14ac:dyDescent="0.3"/>
    <row r="24" s="2" customFormat="1" ht="70.5" customHeight="1" x14ac:dyDescent="0.3"/>
    <row r="25" s="2" customFormat="1" ht="70.5" customHeight="1" x14ac:dyDescent="0.3"/>
    <row r="26" s="2" customFormat="1" ht="70.5" customHeight="1" x14ac:dyDescent="0.3"/>
    <row r="27" s="2" customFormat="1" ht="70.5" customHeight="1" x14ac:dyDescent="0.3"/>
    <row r="28" s="2" customFormat="1" ht="70.5" customHeight="1" x14ac:dyDescent="0.3"/>
    <row r="29" s="2" customFormat="1" ht="70.5" customHeight="1" x14ac:dyDescent="0.3"/>
  </sheetData>
  <mergeCells count="14">
    <mergeCell ref="B16:C16"/>
    <mergeCell ref="B15:C15"/>
    <mergeCell ref="B2:AG2"/>
    <mergeCell ref="B3:AG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 codeName="Sheet4">
    <pageSetUpPr fitToPage="1"/>
  </sheetPr>
  <dimension ref="A1:G35"/>
  <sheetViews>
    <sheetView zoomScaleNormal="100" workbookViewId="0">
      <pane ySplit="3" topLeftCell="A28" activePane="bottomLeft" state="frozen"/>
      <selection pane="bottomLeft" activeCell="C5" sqref="C5:C32"/>
    </sheetView>
  </sheetViews>
  <sheetFormatPr defaultRowHeight="14.4" x14ac:dyDescent="0.3"/>
  <cols>
    <col min="1" max="1" width="9.6640625" customWidth="1"/>
    <col min="2" max="2" width="10.6640625" customWidth="1"/>
    <col min="3" max="3" width="12.33203125" bestFit="1" customWidth="1"/>
  </cols>
  <sheetData>
    <row r="1" spans="1:7" ht="72" customHeight="1" x14ac:dyDescent="0.3">
      <c r="A1" s="97" t="s">
        <v>84</v>
      </c>
      <c r="B1" s="97"/>
      <c r="C1" s="97"/>
    </row>
    <row r="3" spans="1:7" ht="48" x14ac:dyDescent="0.3">
      <c r="A3" s="51" t="s">
        <v>36</v>
      </c>
      <c r="B3" s="52">
        <v>64137.11</v>
      </c>
      <c r="C3" s="53"/>
    </row>
    <row r="4" spans="1:7" ht="28.5" customHeight="1" x14ac:dyDescent="0.3">
      <c r="A4" s="54">
        <v>1</v>
      </c>
      <c r="B4" s="52"/>
      <c r="C4" s="53">
        <f>B3/29</f>
        <v>2211.6244827586206</v>
      </c>
    </row>
    <row r="5" spans="1:7" ht="28.5" customHeight="1" x14ac:dyDescent="0.3">
      <c r="A5" s="54">
        <v>2</v>
      </c>
      <c r="B5" s="52"/>
      <c r="C5" s="53">
        <v>2211.6244827586206</v>
      </c>
    </row>
    <row r="6" spans="1:7" ht="28.5" customHeight="1" x14ac:dyDescent="0.3">
      <c r="A6" s="55">
        <v>3</v>
      </c>
      <c r="B6" s="52"/>
      <c r="C6" s="53">
        <v>2211.6244827586206</v>
      </c>
    </row>
    <row r="7" spans="1:7" ht="28.5" customHeight="1" x14ac:dyDescent="0.3">
      <c r="A7" s="54">
        <v>4</v>
      </c>
      <c r="B7" s="52"/>
      <c r="C7" s="53">
        <v>2211.6244827586206</v>
      </c>
    </row>
    <row r="8" spans="1:7" ht="28.5" customHeight="1" x14ac:dyDescent="0.3">
      <c r="A8" s="54">
        <v>5</v>
      </c>
      <c r="B8" s="52"/>
      <c r="C8" s="53">
        <v>2211.6244827586206</v>
      </c>
    </row>
    <row r="9" spans="1:7" ht="28.5" customHeight="1" x14ac:dyDescent="0.3">
      <c r="A9" s="54">
        <v>6</v>
      </c>
      <c r="B9" s="52"/>
      <c r="C9" s="53">
        <v>2211.6244827586206</v>
      </c>
      <c r="G9" t="s">
        <v>75</v>
      </c>
    </row>
    <row r="10" spans="1:7" ht="28.5" customHeight="1" x14ac:dyDescent="0.3">
      <c r="A10" s="54">
        <v>7</v>
      </c>
      <c r="B10" s="52"/>
      <c r="C10" s="53">
        <v>2211.6244827586206</v>
      </c>
    </row>
    <row r="11" spans="1:7" ht="28.5" customHeight="1" x14ac:dyDescent="0.3">
      <c r="A11" s="54">
        <v>8</v>
      </c>
      <c r="B11" s="52"/>
      <c r="C11" s="53">
        <v>2211.6244827586206</v>
      </c>
    </row>
    <row r="12" spans="1:7" ht="28.5" customHeight="1" x14ac:dyDescent="0.3">
      <c r="A12" s="54">
        <v>9</v>
      </c>
      <c r="B12" s="52"/>
      <c r="C12" s="53">
        <v>2211.6244827586206</v>
      </c>
    </row>
    <row r="13" spans="1:7" ht="28.5" customHeight="1" x14ac:dyDescent="0.3">
      <c r="A13" s="54">
        <v>10</v>
      </c>
      <c r="B13" s="52"/>
      <c r="C13" s="53">
        <v>2211.6244827586206</v>
      </c>
    </row>
    <row r="14" spans="1:7" ht="28.5" customHeight="1" x14ac:dyDescent="0.3">
      <c r="A14" s="54">
        <v>11</v>
      </c>
      <c r="B14" s="52"/>
      <c r="C14" s="53">
        <v>2211.6244827586206</v>
      </c>
    </row>
    <row r="15" spans="1:7" ht="28.5" customHeight="1" x14ac:dyDescent="0.3">
      <c r="A15" s="54">
        <v>12</v>
      </c>
      <c r="B15" s="52"/>
      <c r="C15" s="53">
        <v>2211.6244827586206</v>
      </c>
    </row>
    <row r="16" spans="1:7" ht="28.5" customHeight="1" x14ac:dyDescent="0.3">
      <c r="A16" s="54">
        <v>13</v>
      </c>
      <c r="B16" s="52"/>
      <c r="C16" s="53">
        <v>2211.6244827586206</v>
      </c>
    </row>
    <row r="17" spans="1:4" ht="28.5" customHeight="1" x14ac:dyDescent="0.3">
      <c r="A17" s="54">
        <v>14</v>
      </c>
      <c r="B17" s="52"/>
      <c r="C17" s="53">
        <v>2211.6244827586206</v>
      </c>
    </row>
    <row r="18" spans="1:4" ht="28.5" customHeight="1" x14ac:dyDescent="0.3">
      <c r="A18" s="54">
        <v>15</v>
      </c>
      <c r="B18" s="52"/>
      <c r="C18" s="53">
        <v>2211.6244827586206</v>
      </c>
    </row>
    <row r="19" spans="1:4" ht="28.5" customHeight="1" x14ac:dyDescent="0.3">
      <c r="A19" s="54">
        <v>16</v>
      </c>
      <c r="B19" s="52"/>
      <c r="C19" s="53">
        <v>2211.6244827586206</v>
      </c>
    </row>
    <row r="20" spans="1:4" ht="28.5" customHeight="1" x14ac:dyDescent="0.3">
      <c r="A20" s="54">
        <v>17</v>
      </c>
      <c r="B20" s="52"/>
      <c r="C20" s="53">
        <v>2211.6244827586206</v>
      </c>
    </row>
    <row r="21" spans="1:4" ht="28.5" customHeight="1" x14ac:dyDescent="0.3">
      <c r="A21" s="54">
        <v>18</v>
      </c>
      <c r="B21" s="52"/>
      <c r="C21" s="53">
        <v>2211.6244827586206</v>
      </c>
    </row>
    <row r="22" spans="1:4" ht="28.5" customHeight="1" x14ac:dyDescent="0.3">
      <c r="A22" s="54">
        <v>19</v>
      </c>
      <c r="B22" s="52"/>
      <c r="C22" s="53">
        <v>2211.6244827586206</v>
      </c>
    </row>
    <row r="23" spans="1:4" ht="28.5" customHeight="1" x14ac:dyDescent="0.3">
      <c r="A23" s="54">
        <v>20</v>
      </c>
      <c r="B23" s="52"/>
      <c r="C23" s="53">
        <v>2211.6244827586206</v>
      </c>
    </row>
    <row r="24" spans="1:4" ht="28.5" customHeight="1" x14ac:dyDescent="0.3">
      <c r="A24" s="54">
        <v>21</v>
      </c>
      <c r="B24" s="52"/>
      <c r="C24" s="53">
        <v>2211.6244827586206</v>
      </c>
    </row>
    <row r="25" spans="1:4" ht="28.5" customHeight="1" x14ac:dyDescent="0.3">
      <c r="A25" s="54">
        <v>22</v>
      </c>
      <c r="B25" s="52"/>
      <c r="C25" s="53">
        <v>2211.6244827586206</v>
      </c>
    </row>
    <row r="26" spans="1:4" ht="28.5" customHeight="1" x14ac:dyDescent="0.3">
      <c r="A26" s="54">
        <v>23</v>
      </c>
      <c r="B26" s="52"/>
      <c r="C26" s="53">
        <v>2211.6244827586206</v>
      </c>
    </row>
    <row r="27" spans="1:4" ht="28.5" customHeight="1" x14ac:dyDescent="0.3">
      <c r="A27" s="54">
        <v>24</v>
      </c>
      <c r="B27" s="52"/>
      <c r="C27" s="53">
        <v>2211.6244827586206</v>
      </c>
    </row>
    <row r="28" spans="1:4" ht="28.5" customHeight="1" x14ac:dyDescent="0.3">
      <c r="A28" s="54">
        <v>25</v>
      </c>
      <c r="B28" s="52"/>
      <c r="C28" s="53">
        <v>2211.6244827586206</v>
      </c>
      <c r="D28" s="56"/>
    </row>
    <row r="29" spans="1:4" ht="28.5" customHeight="1" x14ac:dyDescent="0.3">
      <c r="A29" s="54">
        <v>26</v>
      </c>
      <c r="B29" s="52"/>
      <c r="C29" s="53">
        <v>2211.6244827586206</v>
      </c>
      <c r="D29" s="56"/>
    </row>
    <row r="30" spans="1:4" ht="28.5" customHeight="1" x14ac:dyDescent="0.3">
      <c r="A30" s="54">
        <v>27</v>
      </c>
      <c r="B30" s="52"/>
      <c r="C30" s="53">
        <v>2211.6244827586206</v>
      </c>
    </row>
    <row r="31" spans="1:4" ht="28.5" customHeight="1" x14ac:dyDescent="0.3">
      <c r="A31" s="54">
        <v>28</v>
      </c>
      <c r="B31" s="52"/>
      <c r="C31" s="53">
        <v>2211.6244827586206</v>
      </c>
    </row>
    <row r="32" spans="1:4" ht="28.5" customHeight="1" x14ac:dyDescent="0.3">
      <c r="A32" s="54">
        <v>29</v>
      </c>
      <c r="B32" s="52"/>
      <c r="C32" s="53">
        <v>2211.6244827586206</v>
      </c>
    </row>
    <row r="33" spans="1:3" ht="28.5" customHeight="1" x14ac:dyDescent="0.3">
      <c r="A33" s="54"/>
      <c r="B33" s="52"/>
      <c r="C33" s="53"/>
    </row>
    <row r="34" spans="1:3" ht="28.5" customHeight="1" x14ac:dyDescent="0.3">
      <c r="A34" s="54"/>
      <c r="B34" s="52"/>
      <c r="C34" s="53"/>
    </row>
    <row r="35" spans="1:3" x14ac:dyDescent="0.3">
      <c r="A35" s="98" t="s">
        <v>76</v>
      </c>
      <c r="B35" s="98"/>
      <c r="C35" s="63">
        <f>SUM(C4:C34)</f>
        <v>64137.109999999979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940C-5D8F-4714-BD5B-EDEDEDD1F5B9}">
  <sheetPr codeName="Sheet5"/>
  <dimension ref="A1:C34"/>
  <sheetViews>
    <sheetView topLeftCell="A18" workbookViewId="0">
      <selection activeCell="D31" sqref="D31"/>
    </sheetView>
  </sheetViews>
  <sheetFormatPr defaultRowHeight="14.4" x14ac:dyDescent="0.3"/>
  <cols>
    <col min="1" max="1" width="12.6640625" customWidth="1"/>
    <col min="2" max="2" width="17.44140625" customWidth="1"/>
    <col min="3" max="3" width="18" customWidth="1"/>
  </cols>
  <sheetData>
    <row r="1" spans="1:3" ht="35.25" customHeight="1" x14ac:dyDescent="0.3">
      <c r="A1" s="97" t="s">
        <v>85</v>
      </c>
      <c r="B1" s="97"/>
      <c r="C1" s="97"/>
    </row>
    <row r="2" spans="1:3" ht="24.9" customHeight="1" x14ac:dyDescent="0.3">
      <c r="A2" s="58" t="s">
        <v>77</v>
      </c>
      <c r="B2" s="58" t="s">
        <v>78</v>
      </c>
      <c r="C2" s="58" t="s">
        <v>79</v>
      </c>
    </row>
    <row r="3" spans="1:3" ht="24.9" customHeight="1" x14ac:dyDescent="0.3">
      <c r="A3" s="59">
        <v>43862</v>
      </c>
      <c r="B3" s="64">
        <v>268</v>
      </c>
      <c r="C3" s="64">
        <v>326</v>
      </c>
    </row>
    <row r="4" spans="1:3" ht="24.9" customHeight="1" x14ac:dyDescent="0.3">
      <c r="A4" s="59">
        <v>43863</v>
      </c>
      <c r="B4" s="64">
        <v>254</v>
      </c>
      <c r="C4" s="64">
        <v>306</v>
      </c>
    </row>
    <row r="5" spans="1:3" ht="24.9" customHeight="1" x14ac:dyDescent="0.3">
      <c r="A5" s="59">
        <v>43864</v>
      </c>
      <c r="B5" s="64">
        <v>386</v>
      </c>
      <c r="C5" s="64">
        <v>466</v>
      </c>
    </row>
    <row r="6" spans="1:3" ht="24.9" customHeight="1" x14ac:dyDescent="0.3">
      <c r="A6" s="59">
        <v>43865</v>
      </c>
      <c r="B6" s="64">
        <v>433</v>
      </c>
      <c r="C6" s="64">
        <v>531</v>
      </c>
    </row>
    <row r="7" spans="1:3" ht="24.9" customHeight="1" x14ac:dyDescent="0.3">
      <c r="A7" s="59">
        <v>43866</v>
      </c>
      <c r="B7" s="64">
        <v>412</v>
      </c>
      <c r="C7" s="64">
        <v>496</v>
      </c>
    </row>
    <row r="8" spans="1:3" ht="24.9" customHeight="1" x14ac:dyDescent="0.3">
      <c r="A8" s="59">
        <v>43867</v>
      </c>
      <c r="B8" s="64">
        <v>297</v>
      </c>
      <c r="C8" s="64">
        <v>382</v>
      </c>
    </row>
    <row r="9" spans="1:3" ht="24.9" customHeight="1" x14ac:dyDescent="0.3">
      <c r="A9" s="59">
        <v>43868</v>
      </c>
      <c r="B9" s="64">
        <v>328</v>
      </c>
      <c r="C9" s="64">
        <v>417</v>
      </c>
    </row>
    <row r="10" spans="1:3" ht="24.9" customHeight="1" x14ac:dyDescent="0.3">
      <c r="A10" s="59">
        <v>43869</v>
      </c>
      <c r="B10" s="64">
        <v>354</v>
      </c>
      <c r="C10" s="64">
        <v>413</v>
      </c>
    </row>
    <row r="11" spans="1:3" ht="24.9" customHeight="1" x14ac:dyDescent="0.3">
      <c r="A11" s="59">
        <v>43870</v>
      </c>
      <c r="B11" s="64">
        <v>344</v>
      </c>
      <c r="C11" s="64">
        <v>411</v>
      </c>
    </row>
    <row r="12" spans="1:3" ht="24.9" customHeight="1" x14ac:dyDescent="0.3">
      <c r="A12" s="59">
        <v>43871</v>
      </c>
      <c r="B12" s="64">
        <v>363</v>
      </c>
      <c r="C12" s="64">
        <v>430</v>
      </c>
    </row>
    <row r="13" spans="1:3" ht="24.9" customHeight="1" x14ac:dyDescent="0.3">
      <c r="A13" s="59">
        <v>43872</v>
      </c>
      <c r="B13" s="64">
        <v>396</v>
      </c>
      <c r="C13" s="64">
        <v>470</v>
      </c>
    </row>
    <row r="14" spans="1:3" ht="24.9" customHeight="1" x14ac:dyDescent="0.3">
      <c r="A14" s="59">
        <v>43873</v>
      </c>
      <c r="B14" s="64">
        <v>345</v>
      </c>
      <c r="C14" s="64">
        <v>424</v>
      </c>
    </row>
    <row r="15" spans="1:3" ht="24.9" customHeight="1" x14ac:dyDescent="0.3">
      <c r="A15" s="59">
        <v>43874</v>
      </c>
      <c r="B15" s="64">
        <v>260</v>
      </c>
      <c r="C15" s="64">
        <v>303</v>
      </c>
    </row>
    <row r="16" spans="1:3" ht="24.9" customHeight="1" x14ac:dyDescent="0.3">
      <c r="A16" s="59">
        <v>43875</v>
      </c>
      <c r="B16" s="64">
        <v>228</v>
      </c>
      <c r="C16" s="64">
        <v>275</v>
      </c>
    </row>
    <row r="17" spans="1:3" ht="24.9" customHeight="1" x14ac:dyDescent="0.3">
      <c r="A17" s="59">
        <v>43876</v>
      </c>
      <c r="B17" s="64">
        <v>260</v>
      </c>
      <c r="C17" s="64">
        <v>297</v>
      </c>
    </row>
    <row r="18" spans="1:3" ht="24.9" customHeight="1" x14ac:dyDescent="0.3">
      <c r="A18" s="59">
        <v>43877</v>
      </c>
      <c r="B18" s="64">
        <v>300</v>
      </c>
      <c r="C18" s="64">
        <v>353</v>
      </c>
    </row>
    <row r="19" spans="1:3" ht="24.9" customHeight="1" x14ac:dyDescent="0.3">
      <c r="A19" s="59">
        <v>43878</v>
      </c>
      <c r="B19" s="64">
        <v>329</v>
      </c>
      <c r="C19" s="64">
        <v>395</v>
      </c>
    </row>
    <row r="20" spans="1:3" ht="24.9" customHeight="1" x14ac:dyDescent="0.3">
      <c r="A20" s="59">
        <v>43879</v>
      </c>
      <c r="B20" s="64">
        <v>344</v>
      </c>
      <c r="C20" s="64">
        <v>414</v>
      </c>
    </row>
    <row r="21" spans="1:3" ht="24.9" customHeight="1" x14ac:dyDescent="0.3">
      <c r="A21" s="59">
        <v>43880</v>
      </c>
      <c r="B21" s="64">
        <v>354</v>
      </c>
      <c r="C21" s="64">
        <v>437</v>
      </c>
    </row>
    <row r="22" spans="1:3" ht="24.9" customHeight="1" x14ac:dyDescent="0.3">
      <c r="A22" s="59">
        <v>43881</v>
      </c>
      <c r="B22" s="64">
        <v>366</v>
      </c>
      <c r="C22" s="64">
        <v>491</v>
      </c>
    </row>
    <row r="23" spans="1:3" ht="24.9" customHeight="1" x14ac:dyDescent="0.3">
      <c r="A23" s="59">
        <v>43882</v>
      </c>
      <c r="B23" s="64">
        <v>266</v>
      </c>
      <c r="C23" s="64">
        <v>349</v>
      </c>
    </row>
    <row r="24" spans="1:3" ht="24.9" customHeight="1" x14ac:dyDescent="0.3">
      <c r="A24" s="59">
        <v>43883</v>
      </c>
      <c r="B24" s="64">
        <v>479</v>
      </c>
      <c r="C24" s="64">
        <v>757</v>
      </c>
    </row>
    <row r="25" spans="1:3" ht="24.9" customHeight="1" x14ac:dyDescent="0.3">
      <c r="A25" s="59">
        <v>43884</v>
      </c>
      <c r="B25" s="64">
        <v>479</v>
      </c>
      <c r="C25" s="64">
        <v>746</v>
      </c>
    </row>
    <row r="26" spans="1:3" ht="24.9" customHeight="1" x14ac:dyDescent="0.3">
      <c r="A26" s="59">
        <v>43885</v>
      </c>
      <c r="B26" s="64">
        <v>480</v>
      </c>
      <c r="C26" s="64">
        <v>743</v>
      </c>
    </row>
    <row r="27" spans="1:3" ht="24.9" customHeight="1" x14ac:dyDescent="0.3">
      <c r="A27" s="59">
        <v>43886</v>
      </c>
      <c r="B27" s="64">
        <v>310</v>
      </c>
      <c r="C27" s="64">
        <v>359</v>
      </c>
    </row>
    <row r="28" spans="1:3" ht="24.9" customHeight="1" x14ac:dyDescent="0.3">
      <c r="A28" s="59">
        <v>43887</v>
      </c>
      <c r="B28" s="64">
        <v>317</v>
      </c>
      <c r="C28" s="64">
        <v>413</v>
      </c>
    </row>
    <row r="29" spans="1:3" ht="24.9" customHeight="1" x14ac:dyDescent="0.3">
      <c r="A29" s="59">
        <v>43888</v>
      </c>
      <c r="B29" s="64">
        <v>372</v>
      </c>
      <c r="C29" s="64">
        <v>503</v>
      </c>
    </row>
    <row r="30" spans="1:3" ht="24.9" customHeight="1" x14ac:dyDescent="0.3">
      <c r="A30" s="59">
        <v>43889</v>
      </c>
      <c r="B30" s="64">
        <v>384</v>
      </c>
      <c r="C30" s="64">
        <v>518</v>
      </c>
    </row>
    <row r="31" spans="1:3" ht="24.9" customHeight="1" x14ac:dyDescent="0.3">
      <c r="A31" s="59">
        <v>43890</v>
      </c>
      <c r="B31" s="64">
        <v>393</v>
      </c>
      <c r="C31" s="64">
        <v>485</v>
      </c>
    </row>
    <row r="32" spans="1:3" ht="24.9" customHeight="1" x14ac:dyDescent="0.3">
      <c r="A32" s="59"/>
      <c r="B32" s="60"/>
      <c r="C32" s="60"/>
    </row>
    <row r="33" spans="1:3" ht="24.9" customHeight="1" x14ac:dyDescent="0.3">
      <c r="A33" s="59"/>
      <c r="B33" s="60"/>
      <c r="C33" s="60"/>
    </row>
    <row r="34" spans="1:3" ht="30.75" customHeight="1" x14ac:dyDescent="0.3">
      <c r="A34" s="58" t="s">
        <v>80</v>
      </c>
      <c r="B34" s="61">
        <f>SUM(B3:B33)</f>
        <v>10101</v>
      </c>
      <c r="C34" s="61">
        <f>SUM(C3:C33)</f>
        <v>12910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2025-03-20T18:27:25Z</dcterms:modified>
  <cp:category/>
  <cp:contentStatus/>
</cp:coreProperties>
</file>