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4\"/>
    </mc:Choice>
  </mc:AlternateContent>
  <xr:revisionPtr revIDLastSave="0" documentId="13_ncr:1_{88A4147F-7EFC-463D-B81D-60C28C82284C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March-31" sheetId="1095" r:id="rId3"/>
    <sheet name="March-30" sheetId="1096" r:id="rId4"/>
    <sheet name="March-29" sheetId="1097" r:id="rId5"/>
    <sheet name="March-28" sheetId="1098" r:id="rId6"/>
    <sheet name="March-27" sheetId="1099" r:id="rId7"/>
    <sheet name="March-26" sheetId="1093" r:id="rId8"/>
    <sheet name="March-25" sheetId="1092" r:id="rId9"/>
    <sheet name="March-24" sheetId="1091" r:id="rId10"/>
    <sheet name="March-23" sheetId="1090" r:id="rId11"/>
    <sheet name="March-22" sheetId="1089" r:id="rId12"/>
    <sheet name="March-21" sheetId="1088" r:id="rId13"/>
    <sheet name="March-20" sheetId="1087" r:id="rId14"/>
    <sheet name="March-19" sheetId="1086" r:id="rId15"/>
    <sheet name="March-18" sheetId="1085" r:id="rId16"/>
    <sheet name="March-17" sheetId="1084" r:id="rId17"/>
    <sheet name="March-16" sheetId="1083" r:id="rId18"/>
    <sheet name="March-15" sheetId="1082" r:id="rId19"/>
    <sheet name="March-14" sheetId="1081" r:id="rId20"/>
    <sheet name="March-13" sheetId="1080" r:id="rId21"/>
    <sheet name="March-12" sheetId="1079" r:id="rId22"/>
    <sheet name="March-11" sheetId="1078" r:id="rId23"/>
    <sheet name="March-10" sheetId="1077" r:id="rId24"/>
    <sheet name="March-09" sheetId="1076" r:id="rId25"/>
    <sheet name="March-08" sheetId="1075" r:id="rId26"/>
    <sheet name="March-07" sheetId="1074" r:id="rId27"/>
    <sheet name="March-06" sheetId="1073" r:id="rId28"/>
    <sheet name="March-05" sheetId="1072" r:id="rId29"/>
    <sheet name="March-04" sheetId="1071" r:id="rId30"/>
    <sheet name="March-03" sheetId="1069" r:id="rId31"/>
    <sheet name="March-02" sheetId="1068" r:id="rId32"/>
    <sheet name="March-01" sheetId="1067" r:id="rId33"/>
  </sheets>
  <definedNames>
    <definedName name="_xlnm._FilterDatabase" localSheetId="1" hidden="1">'MTD Utility Sheet'!$A$1:$J$35</definedName>
    <definedName name="_xlnm.Print_Area" localSheetId="32">'March-01'!$A$1:$H$36</definedName>
    <definedName name="_xlnm.Print_Area" localSheetId="31">'March-02'!$A$1:$H$36</definedName>
    <definedName name="_xlnm.Print_Area" localSheetId="30">'March-03'!$A$1:$H$36</definedName>
    <definedName name="_xlnm.Print_Area" localSheetId="29">'March-04'!$A$1:$H$36</definedName>
    <definedName name="_xlnm.Print_Area" localSheetId="28">'March-05'!$A$1:$H$36</definedName>
    <definedName name="_xlnm.Print_Area" localSheetId="27">'March-06'!$A$1:$H$36</definedName>
    <definedName name="_xlnm.Print_Area" localSheetId="26">'March-07'!$A$1:$H$36</definedName>
    <definedName name="_xlnm.Print_Area" localSheetId="25">'March-08'!$A$1:$H$36</definedName>
    <definedName name="_xlnm.Print_Area" localSheetId="24">'March-09'!$A$1:$H$36</definedName>
    <definedName name="_xlnm.Print_Area" localSheetId="23">'March-10'!$A$1:$H$36</definedName>
    <definedName name="_xlnm.Print_Area" localSheetId="22">'March-11'!$A$1:$H$36</definedName>
    <definedName name="_xlnm.Print_Area" localSheetId="21">'March-12'!$A$1:$H$36</definedName>
    <definedName name="_xlnm.Print_Area" localSheetId="20">'March-13'!$A$1:$H$36</definedName>
    <definedName name="_xlnm.Print_Area" localSheetId="19">'March-14'!$A$1:$H$36</definedName>
    <definedName name="_xlnm.Print_Area" localSheetId="18">'March-15'!$A$1:$H$36</definedName>
    <definedName name="_xlnm.Print_Area" localSheetId="17">'March-16'!$A$1:$H$36</definedName>
    <definedName name="_xlnm.Print_Area" localSheetId="16">'March-17'!$A$1:$H$36</definedName>
    <definedName name="_xlnm.Print_Area" localSheetId="15">'March-18'!$A$1:$H$36</definedName>
    <definedName name="_xlnm.Print_Area" localSheetId="14">'March-19'!$A$1:$H$36</definedName>
    <definedName name="_xlnm.Print_Area" localSheetId="13">'March-20'!$A$1:$H$36</definedName>
    <definedName name="_xlnm.Print_Area" localSheetId="12">'March-21'!$A$1:$H$36</definedName>
    <definedName name="_xlnm.Print_Area" localSheetId="11">'March-22'!$A$1:$H$36</definedName>
    <definedName name="_xlnm.Print_Area" localSheetId="10">'March-23'!$A$1:$H$36</definedName>
    <definedName name="_xlnm.Print_Area" localSheetId="9">'March-24'!$A$1:$H$36</definedName>
    <definedName name="_xlnm.Print_Area" localSheetId="8">'March-25'!$A$1:$H$36</definedName>
    <definedName name="_xlnm.Print_Area" localSheetId="7">'March-26'!$A$1:$H$36</definedName>
    <definedName name="_xlnm.Print_Area" localSheetId="6">'March-27'!$A$1:$H$36</definedName>
    <definedName name="_xlnm.Print_Area" localSheetId="5">'March-28'!$A$1:$H$36</definedName>
    <definedName name="_xlnm.Print_Area" localSheetId="4">'March-29'!$A$1:$H$36</definedName>
    <definedName name="_xlnm.Print_Area" localSheetId="3">'March-30'!$A$1:$H$36</definedName>
    <definedName name="_xlnm.Print_Area" localSheetId="2">'March-31'!$A$1:$H$36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33" l="1"/>
  <c r="J33" i="133"/>
  <c r="J32" i="133"/>
  <c r="J31" i="133"/>
  <c r="J30" i="133"/>
  <c r="H35" i="1099"/>
  <c r="H34" i="1099"/>
  <c r="H33" i="1099"/>
  <c r="D30" i="1099"/>
  <c r="D29" i="1099"/>
  <c r="D31" i="1099" s="1"/>
  <c r="D28" i="1099"/>
  <c r="H24" i="1099"/>
  <c r="F24" i="1099"/>
  <c r="H13" i="1099"/>
  <c r="H12" i="1099"/>
  <c r="H11" i="1099"/>
  <c r="H14" i="1099" s="1"/>
  <c r="H15" i="1099" s="1"/>
  <c r="F4" i="1099"/>
  <c r="H4" i="1099" s="1"/>
  <c r="H35" i="1098"/>
  <c r="H34" i="1098"/>
  <c r="H33" i="1098"/>
  <c r="F24" i="1098"/>
  <c r="H24" i="1098" s="1"/>
  <c r="H13" i="1098"/>
  <c r="H12" i="1098"/>
  <c r="H11" i="1098"/>
  <c r="H14" i="1098" s="1"/>
  <c r="H15" i="1098" s="1"/>
  <c r="F4" i="1098"/>
  <c r="H4" i="1098" s="1"/>
  <c r="H34" i="1097"/>
  <c r="H35" i="1097" s="1"/>
  <c r="H33" i="1097"/>
  <c r="F24" i="1097"/>
  <c r="H24" i="1097" s="1"/>
  <c r="H13" i="1097"/>
  <c r="H14" i="1097" s="1"/>
  <c r="H15" i="1097" s="1"/>
  <c r="H12" i="1097"/>
  <c r="H11" i="1097"/>
  <c r="H4" i="1097"/>
  <c r="D6" i="1097" s="1"/>
  <c r="F4" i="1097"/>
  <c r="H34" i="1096"/>
  <c r="H35" i="1096" s="1"/>
  <c r="H33" i="1096"/>
  <c r="F24" i="1096"/>
  <c r="H24" i="1096" s="1"/>
  <c r="H13" i="1096"/>
  <c r="H12" i="1096"/>
  <c r="H14" i="1096" s="1"/>
  <c r="H15" i="1096" s="1"/>
  <c r="H11" i="1096"/>
  <c r="F4" i="1096"/>
  <c r="H4" i="1096" s="1"/>
  <c r="H34" i="1095"/>
  <c r="H35" i="1095" s="1"/>
  <c r="H33" i="1095"/>
  <c r="F24" i="1095"/>
  <c r="H24" i="1095" s="1"/>
  <c r="H13" i="1095"/>
  <c r="H12" i="1095"/>
  <c r="H11" i="1095"/>
  <c r="H14" i="1095" s="1"/>
  <c r="H15" i="1095" s="1"/>
  <c r="F4" i="1095"/>
  <c r="H4" i="1095" s="1"/>
  <c r="D20" i="1099" l="1"/>
  <c r="D21" i="1099"/>
  <c r="D30" i="1095"/>
  <c r="D29" i="1095"/>
  <c r="D28" i="1095"/>
  <c r="D31" i="1095" s="1"/>
  <c r="D7" i="1098"/>
  <c r="D6" i="1098"/>
  <c r="D21" i="1098"/>
  <c r="D20" i="1098"/>
  <c r="D22" i="1098" s="1"/>
  <c r="D21" i="1097"/>
  <c r="D20" i="1097"/>
  <c r="D22" i="1097" s="1"/>
  <c r="D7" i="1099"/>
  <c r="D6" i="1099"/>
  <c r="D7" i="1096"/>
  <c r="D6" i="1096"/>
  <c r="D9" i="1096" s="1"/>
  <c r="H36" i="1096" s="1"/>
  <c r="D28" i="1098"/>
  <c r="D30" i="1098"/>
  <c r="D29" i="1098"/>
  <c r="D30" i="1096"/>
  <c r="D29" i="1096"/>
  <c r="D28" i="1096"/>
  <c r="D31" i="1096" s="1"/>
  <c r="D7" i="1095"/>
  <c r="D6" i="1095"/>
  <c r="D9" i="1095" s="1"/>
  <c r="D21" i="1095"/>
  <c r="D20" i="1095"/>
  <c r="D22" i="1095" s="1"/>
  <c r="H36" i="1095" s="1"/>
  <c r="D30" i="1097"/>
  <c r="D29" i="1097"/>
  <c r="D28" i="1097"/>
  <c r="D21" i="1096"/>
  <c r="D20" i="1096"/>
  <c r="D22" i="1096" s="1"/>
  <c r="D7" i="1097"/>
  <c r="D9" i="1097" s="1"/>
  <c r="H36" i="1097" l="1"/>
  <c r="D31" i="1098"/>
  <c r="D31" i="1097"/>
  <c r="D9" i="1099"/>
  <c r="D9" i="1098"/>
  <c r="D22" i="1099"/>
  <c r="H36" i="1099" s="1"/>
  <c r="H36" i="1098" l="1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32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M32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32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32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32" i="1094"/>
  <c r="I2" i="1094"/>
  <c r="M2" i="1094"/>
  <c r="L3" i="1094"/>
  <c r="L4" i="1094"/>
  <c r="L5" i="1094"/>
  <c r="L6" i="1094"/>
  <c r="L7" i="1094"/>
  <c r="L8" i="1094"/>
  <c r="L9" i="1094"/>
  <c r="L10" i="1094"/>
  <c r="L11" i="1094"/>
  <c r="L12" i="1094"/>
  <c r="L13" i="1094"/>
  <c r="L14" i="1094"/>
  <c r="L15" i="1094"/>
  <c r="L16" i="1094"/>
  <c r="L17" i="1094"/>
  <c r="L18" i="1094"/>
  <c r="L19" i="1094"/>
  <c r="L20" i="1094"/>
  <c r="L21" i="1094"/>
  <c r="L22" i="1094"/>
  <c r="L23" i="1094"/>
  <c r="L24" i="1094"/>
  <c r="L25" i="1094"/>
  <c r="L26" i="1094"/>
  <c r="L27" i="1094"/>
  <c r="L2" i="1094"/>
  <c r="K3" i="1094"/>
  <c r="K4" i="1094"/>
  <c r="K5" i="1094"/>
  <c r="K6" i="1094"/>
  <c r="K7" i="1094"/>
  <c r="K8" i="1094"/>
  <c r="K9" i="1094"/>
  <c r="K10" i="1094"/>
  <c r="K11" i="1094"/>
  <c r="K12" i="1094"/>
  <c r="K13" i="1094"/>
  <c r="K14" i="1094"/>
  <c r="K15" i="1094"/>
  <c r="K16" i="1094"/>
  <c r="K17" i="1094"/>
  <c r="K18" i="1094"/>
  <c r="K19" i="1094"/>
  <c r="K20" i="1094"/>
  <c r="K21" i="1094"/>
  <c r="K22" i="1094"/>
  <c r="K23" i="1094"/>
  <c r="K24" i="1094"/>
  <c r="K25" i="1094"/>
  <c r="K26" i="1094"/>
  <c r="K27" i="1094"/>
  <c r="K28" i="1094"/>
  <c r="L28" i="1094" s="1"/>
  <c r="K29" i="1094"/>
  <c r="L29" i="1094" s="1"/>
  <c r="K30" i="1094"/>
  <c r="L30" i="1094" s="1"/>
  <c r="K31" i="1094"/>
  <c r="L31" i="1094" s="1"/>
  <c r="K32" i="1094"/>
  <c r="L32" i="1094" s="1"/>
  <c r="K2" i="1094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H34" i="1093"/>
  <c r="H35" i="1093" s="1"/>
  <c r="H33" i="1093"/>
  <c r="F24" i="1093"/>
  <c r="H24" i="1093" s="1"/>
  <c r="D30" i="1093" s="1"/>
  <c r="H13" i="1093"/>
  <c r="H12" i="1093"/>
  <c r="H11" i="1093"/>
  <c r="F4" i="1093"/>
  <c r="H4" i="1093" s="1"/>
  <c r="D28" i="1093" l="1"/>
  <c r="H14" i="1093"/>
  <c r="H15" i="1093" s="1"/>
  <c r="D20" i="1093" s="1"/>
  <c r="D6" i="1093"/>
  <c r="D7" i="1093"/>
  <c r="D29" i="1093"/>
  <c r="D31" i="1093" s="1"/>
  <c r="H34" i="1092"/>
  <c r="H35" i="1092" s="1"/>
  <c r="H33" i="1092"/>
  <c r="F24" i="1092"/>
  <c r="H24" i="1092" s="1"/>
  <c r="H13" i="1092"/>
  <c r="H12" i="1092"/>
  <c r="H11" i="1092"/>
  <c r="F4" i="1092"/>
  <c r="H4" i="1092" s="1"/>
  <c r="D7" i="1092" s="1"/>
  <c r="D21" i="1093" l="1"/>
  <c r="D22" i="1093" s="1"/>
  <c r="D9" i="1093"/>
  <c r="H14" i="1092"/>
  <c r="H15" i="1092" s="1"/>
  <c r="D20" i="1092" s="1"/>
  <c r="D30" i="1092"/>
  <c r="D29" i="1092"/>
  <c r="D28" i="1092"/>
  <c r="D6" i="1092"/>
  <c r="D9" i="1092" s="1"/>
  <c r="H34" i="1091"/>
  <c r="H33" i="1091"/>
  <c r="F24" i="1091"/>
  <c r="H24" i="1091" s="1"/>
  <c r="D30" i="1091" s="1"/>
  <c r="H13" i="1091"/>
  <c r="H12" i="1091"/>
  <c r="H11" i="1091"/>
  <c r="F4" i="1091"/>
  <c r="H4" i="1091" s="1"/>
  <c r="D7" i="1091" s="1"/>
  <c r="H35" i="1091" l="1"/>
  <c r="H36" i="1093"/>
  <c r="D21" i="1092"/>
  <c r="D22" i="1092" s="1"/>
  <c r="D31" i="1092"/>
  <c r="H14" i="1091"/>
  <c r="H15" i="1091" s="1"/>
  <c r="D20" i="1091" s="1"/>
  <c r="D6" i="1091"/>
  <c r="D9" i="1091" s="1"/>
  <c r="D28" i="1091"/>
  <c r="D29" i="1091"/>
  <c r="H34" i="1090"/>
  <c r="H35" i="1090" s="1"/>
  <c r="H33" i="1090"/>
  <c r="F24" i="1090"/>
  <c r="H24" i="1090" s="1"/>
  <c r="D30" i="1090" s="1"/>
  <c r="H13" i="1090"/>
  <c r="H12" i="1090"/>
  <c r="H11" i="1090"/>
  <c r="F4" i="1090"/>
  <c r="H4" i="1090" s="1"/>
  <c r="H36" i="1092" l="1"/>
  <c r="D21" i="1091"/>
  <c r="D22" i="1091" s="1"/>
  <c r="D31" i="1091"/>
  <c r="H14" i="1090"/>
  <c r="H15" i="1090" s="1"/>
  <c r="D20" i="1090" s="1"/>
  <c r="D7" i="1090"/>
  <c r="D6" i="1090"/>
  <c r="D28" i="1090"/>
  <c r="D29" i="1090"/>
  <c r="H34" i="1089"/>
  <c r="H33" i="1089"/>
  <c r="F24" i="1089"/>
  <c r="H24" i="1089" s="1"/>
  <c r="H13" i="1089"/>
  <c r="H12" i="1089"/>
  <c r="H11" i="1089"/>
  <c r="F4" i="1089"/>
  <c r="H4" i="1089" s="1"/>
  <c r="H36" i="1091" l="1"/>
  <c r="D21" i="1090"/>
  <c r="D22" i="1090" s="1"/>
  <c r="D31" i="1090"/>
  <c r="D9" i="1090"/>
  <c r="H35" i="1089"/>
  <c r="H14" i="1089"/>
  <c r="H15" i="1089" s="1"/>
  <c r="D29" i="1089"/>
  <c r="D28" i="1089"/>
  <c r="D30" i="1089"/>
  <c r="D7" i="1089"/>
  <c r="D6" i="1089"/>
  <c r="D9" i="1089" s="1"/>
  <c r="D21" i="1089"/>
  <c r="D20" i="1089"/>
  <c r="H34" i="1088"/>
  <c r="H35" i="1088" s="1"/>
  <c r="H33" i="1088"/>
  <c r="F24" i="1088"/>
  <c r="H24" i="1088" s="1"/>
  <c r="H13" i="1088"/>
  <c r="H12" i="1088"/>
  <c r="H11" i="1088"/>
  <c r="F4" i="1088"/>
  <c r="H4" i="1088" s="1"/>
  <c r="H36" i="1090" l="1"/>
  <c r="D31" i="1089"/>
  <c r="D22" i="1089"/>
  <c r="H14" i="1088"/>
  <c r="H15" i="1088" s="1"/>
  <c r="D20" i="1088" s="1"/>
  <c r="D30" i="1088"/>
  <c r="D28" i="1088"/>
  <c r="D29" i="1088"/>
  <c r="D6" i="1088"/>
  <c r="D7" i="1088"/>
  <c r="H34" i="1087"/>
  <c r="H33" i="1087"/>
  <c r="F24" i="1087"/>
  <c r="H24" i="1087" s="1"/>
  <c r="H13" i="1087"/>
  <c r="H12" i="1087"/>
  <c r="H11" i="1087"/>
  <c r="F4" i="1087"/>
  <c r="H4" i="1087" s="1"/>
  <c r="H14" i="1087" l="1"/>
  <c r="H15" i="1087" s="1"/>
  <c r="D21" i="1087" s="1"/>
  <c r="H36" i="1089"/>
  <c r="D21" i="1088"/>
  <c r="D22" i="1088" s="1"/>
  <c r="D31" i="1088"/>
  <c r="D9" i="1088"/>
  <c r="H35" i="1087"/>
  <c r="D6" i="1087"/>
  <c r="D7" i="1087"/>
  <c r="D20" i="1087"/>
  <c r="D30" i="1087"/>
  <c r="D29" i="1087"/>
  <c r="D28" i="1087"/>
  <c r="H34" i="1086"/>
  <c r="H33" i="1086"/>
  <c r="F24" i="1086"/>
  <c r="H24" i="1086" s="1"/>
  <c r="D30" i="1086" s="1"/>
  <c r="H13" i="1086"/>
  <c r="H12" i="1086"/>
  <c r="H11" i="1086"/>
  <c r="F4" i="1086"/>
  <c r="H4" i="1086" s="1"/>
  <c r="H36" i="1088" l="1"/>
  <c r="D31" i="1087"/>
  <c r="D22" i="1087"/>
  <c r="D9" i="1087"/>
  <c r="H35" i="1086"/>
  <c r="H14" i="1086"/>
  <c r="H15" i="1086" s="1"/>
  <c r="D21" i="1086" s="1"/>
  <c r="D7" i="1086"/>
  <c r="D6" i="1086"/>
  <c r="D9" i="1086" s="1"/>
  <c r="D28" i="1086"/>
  <c r="D29" i="1086"/>
  <c r="H34" i="1085"/>
  <c r="H33" i="1085"/>
  <c r="H35" i="1085" s="1"/>
  <c r="F24" i="1085"/>
  <c r="H24" i="1085" s="1"/>
  <c r="H13" i="1085"/>
  <c r="H12" i="1085"/>
  <c r="H11" i="1085"/>
  <c r="F4" i="1085"/>
  <c r="H4" i="1085" s="1"/>
  <c r="D7" i="1085" s="1"/>
  <c r="H36" i="1087" l="1"/>
  <c r="D20" i="1086"/>
  <c r="D22" i="1086" s="1"/>
  <c r="D31" i="1086"/>
  <c r="H14" i="1085"/>
  <c r="H15" i="1085" s="1"/>
  <c r="D20" i="1085" s="1"/>
  <c r="D29" i="1085"/>
  <c r="D28" i="1085"/>
  <c r="D30" i="1085"/>
  <c r="D6" i="1085"/>
  <c r="D9" i="1085" s="1"/>
  <c r="H34" i="1084"/>
  <c r="H33" i="1084"/>
  <c r="F24" i="1084"/>
  <c r="H24" i="1084" s="1"/>
  <c r="H13" i="1084"/>
  <c r="H12" i="1084"/>
  <c r="H11" i="1084"/>
  <c r="F4" i="1084"/>
  <c r="H4" i="1084" s="1"/>
  <c r="D6" i="1084" s="1"/>
  <c r="H35" i="1084" l="1"/>
  <c r="H36" i="1086"/>
  <c r="D21" i="1085"/>
  <c r="D22" i="1085" s="1"/>
  <c r="D31" i="1085"/>
  <c r="H14" i="1084"/>
  <c r="H15" i="1084" s="1"/>
  <c r="D21" i="1084" s="1"/>
  <c r="D30" i="1084"/>
  <c r="D29" i="1084"/>
  <c r="D28" i="1084"/>
  <c r="D7" i="1084"/>
  <c r="D9" i="1084" s="1"/>
  <c r="H34" i="1083"/>
  <c r="H33" i="1083"/>
  <c r="H35" i="1083" s="1"/>
  <c r="F24" i="1083"/>
  <c r="H24" i="1083" s="1"/>
  <c r="D30" i="1083" s="1"/>
  <c r="H13" i="1083"/>
  <c r="H12" i="1083"/>
  <c r="H11" i="1083"/>
  <c r="F4" i="1083"/>
  <c r="H4" i="1083" s="1"/>
  <c r="D20" i="1084" l="1"/>
  <c r="D22" i="1084" s="1"/>
  <c r="H36" i="1085"/>
  <c r="D31" i="1084"/>
  <c r="H14" i="1083"/>
  <c r="H15" i="1083" s="1"/>
  <c r="D21" i="1083" s="1"/>
  <c r="D7" i="1083"/>
  <c r="D6" i="1083"/>
  <c r="D28" i="1083"/>
  <c r="D29" i="1083"/>
  <c r="H34" i="1082"/>
  <c r="H33" i="1082"/>
  <c r="F24" i="1082"/>
  <c r="H24" i="1082" s="1"/>
  <c r="D30" i="1082" s="1"/>
  <c r="H13" i="1082"/>
  <c r="H12" i="1082"/>
  <c r="H11" i="1082"/>
  <c r="F4" i="1082"/>
  <c r="H4" i="1082" s="1"/>
  <c r="H36" i="1084" l="1"/>
  <c r="D20" i="1083"/>
  <c r="D22" i="1083" s="1"/>
  <c r="D9" i="1083"/>
  <c r="D31" i="1083"/>
  <c r="H35" i="1082"/>
  <c r="H14" i="1082"/>
  <c r="H15" i="1082" s="1"/>
  <c r="D20" i="1082" s="1"/>
  <c r="D6" i="1082"/>
  <c r="D7" i="1082"/>
  <c r="D28" i="1082"/>
  <c r="D29" i="1082"/>
  <c r="H34" i="1081"/>
  <c r="H33" i="1081"/>
  <c r="H35" i="1081" s="1"/>
  <c r="F24" i="1081"/>
  <c r="H24" i="1081" s="1"/>
  <c r="D30" i="1081" s="1"/>
  <c r="H13" i="1081"/>
  <c r="H12" i="1081"/>
  <c r="H11" i="1081"/>
  <c r="F4" i="1081"/>
  <c r="H4" i="1081" s="1"/>
  <c r="D7" i="1081" s="1"/>
  <c r="H36" i="1083" l="1"/>
  <c r="D21" i="1082"/>
  <c r="D22" i="1082" s="1"/>
  <c r="D31" i="1082"/>
  <c r="D9" i="1082"/>
  <c r="H14" i="1081"/>
  <c r="H15" i="1081" s="1"/>
  <c r="D21" i="1081" s="1"/>
  <c r="D6" i="1081"/>
  <c r="D9" i="1081"/>
  <c r="D28" i="1081"/>
  <c r="D29" i="1081"/>
  <c r="H34" i="1080"/>
  <c r="H33" i="1080"/>
  <c r="H35" i="1080" s="1"/>
  <c r="F24" i="1080"/>
  <c r="H24" i="1080" s="1"/>
  <c r="D30" i="1080" s="1"/>
  <c r="H13" i="1080"/>
  <c r="H12" i="1080"/>
  <c r="H11" i="1080"/>
  <c r="F4" i="1080"/>
  <c r="H4" i="1080" s="1"/>
  <c r="H34" i="1079"/>
  <c r="H33" i="1079"/>
  <c r="H35" i="1079" s="1"/>
  <c r="F24" i="1079"/>
  <c r="H24" i="1079" s="1"/>
  <c r="H13" i="1079"/>
  <c r="H12" i="1079"/>
  <c r="H11" i="1079"/>
  <c r="F4" i="1079"/>
  <c r="H4" i="1079" s="1"/>
  <c r="D7" i="1079" s="1"/>
  <c r="H36" i="1082" l="1"/>
  <c r="D20" i="1081"/>
  <c r="D22" i="1081" s="1"/>
  <c r="D31" i="1081"/>
  <c r="H14" i="1080"/>
  <c r="H15" i="1080" s="1"/>
  <c r="D21" i="1080" s="1"/>
  <c r="D7" i="1080"/>
  <c r="D6" i="1080"/>
  <c r="D29" i="1080"/>
  <c r="D28" i="1080"/>
  <c r="D31" i="1080" s="1"/>
  <c r="H14" i="1079"/>
  <c r="H15" i="1079" s="1"/>
  <c r="D21" i="1079" s="1"/>
  <c r="D29" i="1079"/>
  <c r="D28" i="1079"/>
  <c r="D30" i="1079"/>
  <c r="D6" i="1079"/>
  <c r="D9" i="1079" s="1"/>
  <c r="H34" i="1078"/>
  <c r="H33" i="1078"/>
  <c r="H35" i="1078" s="1"/>
  <c r="F24" i="1078"/>
  <c r="H24" i="1078" s="1"/>
  <c r="H13" i="1078"/>
  <c r="H12" i="1078"/>
  <c r="H11" i="1078"/>
  <c r="F4" i="1078"/>
  <c r="H4" i="1078" s="1"/>
  <c r="D20" i="1079" l="1"/>
  <c r="D22" i="1079" s="1"/>
  <c r="H36" i="1081"/>
  <c r="D20" i="1080"/>
  <c r="D22" i="1080" s="1"/>
  <c r="D9" i="1080"/>
  <c r="D31" i="1079"/>
  <c r="H14" i="1078"/>
  <c r="H15" i="1078" s="1"/>
  <c r="D21" i="1078" s="1"/>
  <c r="D7" i="1078"/>
  <c r="D9" i="1078" s="1"/>
  <c r="D6" i="1078"/>
  <c r="D29" i="1078"/>
  <c r="D28" i="1078"/>
  <c r="D30" i="1078"/>
  <c r="H34" i="1077"/>
  <c r="H33" i="1077"/>
  <c r="F24" i="1077"/>
  <c r="H24" i="1077" s="1"/>
  <c r="H13" i="1077"/>
  <c r="H12" i="1077"/>
  <c r="H11" i="1077"/>
  <c r="F4" i="1077"/>
  <c r="H4" i="1077" s="1"/>
  <c r="D6" i="1077" s="1"/>
  <c r="H36" i="1079" l="1"/>
  <c r="H35" i="1077"/>
  <c r="H36" i="1080"/>
  <c r="D20" i="1078"/>
  <c r="D31" i="1078"/>
  <c r="D22" i="1078"/>
  <c r="H14" i="1077"/>
  <c r="H15" i="1077" s="1"/>
  <c r="D20" i="1077" s="1"/>
  <c r="D29" i="1077"/>
  <c r="D30" i="1077"/>
  <c r="D28" i="1077"/>
  <c r="D31" i="1077" s="1"/>
  <c r="D7" i="1077"/>
  <c r="D9" i="1077" s="1"/>
  <c r="H34" i="1076"/>
  <c r="H33" i="1076"/>
  <c r="F24" i="1076"/>
  <c r="H24" i="1076" s="1"/>
  <c r="D30" i="1076" s="1"/>
  <c r="H13" i="1076"/>
  <c r="H12" i="1076"/>
  <c r="H11" i="1076"/>
  <c r="F4" i="1076"/>
  <c r="H4" i="1076" s="1"/>
  <c r="H36" i="1078" l="1"/>
  <c r="D21" i="1077"/>
  <c r="D22" i="1077" s="1"/>
  <c r="H36" i="1077" s="1"/>
  <c r="H35" i="1076"/>
  <c r="H14" i="1076"/>
  <c r="H15" i="1076" s="1"/>
  <c r="D20" i="1076" s="1"/>
  <c r="D6" i="1076"/>
  <c r="D7" i="1076"/>
  <c r="D28" i="1076"/>
  <c r="D29" i="1076"/>
  <c r="H34" i="1075"/>
  <c r="H33" i="1075"/>
  <c r="F24" i="1075"/>
  <c r="H24" i="1075" s="1"/>
  <c r="H13" i="1075"/>
  <c r="H12" i="1075"/>
  <c r="H11" i="1075"/>
  <c r="F4" i="1075"/>
  <c r="H4" i="1075" s="1"/>
  <c r="D7" i="1075" s="1"/>
  <c r="D21" i="1076" l="1"/>
  <c r="D22" i="1076" s="1"/>
  <c r="D31" i="1076"/>
  <c r="D9" i="1076"/>
  <c r="H35" i="1075"/>
  <c r="H14" i="1075"/>
  <c r="H15" i="1075" s="1"/>
  <c r="D20" i="1075" s="1"/>
  <c r="D29" i="1075"/>
  <c r="D28" i="1075"/>
  <c r="D30" i="1075"/>
  <c r="D6" i="1075"/>
  <c r="D9" i="1075" s="1"/>
  <c r="H34" i="1074"/>
  <c r="H33" i="1074"/>
  <c r="F24" i="1074"/>
  <c r="H24" i="1074" s="1"/>
  <c r="H13" i="1074"/>
  <c r="H12" i="1074"/>
  <c r="H11" i="1074"/>
  <c r="F4" i="1074"/>
  <c r="H4" i="1074" s="1"/>
  <c r="D21" i="1075" l="1"/>
  <c r="H36" i="1076"/>
  <c r="D31" i="1075"/>
  <c r="D22" i="1075"/>
  <c r="H35" i="1074"/>
  <c r="D30" i="1074"/>
  <c r="D28" i="1074"/>
  <c r="H14" i="1074"/>
  <c r="H15" i="1074" s="1"/>
  <c r="D21" i="1074" s="1"/>
  <c r="D6" i="1074"/>
  <c r="D7" i="1074"/>
  <c r="D29" i="1074"/>
  <c r="H34" i="1073"/>
  <c r="H33" i="1073"/>
  <c r="F24" i="1073"/>
  <c r="H24" i="1073" s="1"/>
  <c r="D30" i="1073" s="1"/>
  <c r="H13" i="1073"/>
  <c r="H12" i="1073"/>
  <c r="H11" i="1073"/>
  <c r="F4" i="1073"/>
  <c r="H4" i="1073" s="1"/>
  <c r="H36" i="1075" l="1"/>
  <c r="D31" i="1074"/>
  <c r="D20" i="1074"/>
  <c r="D22" i="1074" s="1"/>
  <c r="D9" i="1074"/>
  <c r="H35" i="1073"/>
  <c r="H14" i="1073"/>
  <c r="H15" i="1073" s="1"/>
  <c r="D21" i="1073" s="1"/>
  <c r="D7" i="1073"/>
  <c r="D6" i="1073"/>
  <c r="D28" i="1073"/>
  <c r="D29" i="1073"/>
  <c r="H34" i="1072"/>
  <c r="H33" i="1072"/>
  <c r="F24" i="1072"/>
  <c r="H24" i="1072" s="1"/>
  <c r="D30" i="1072" s="1"/>
  <c r="H13" i="1072"/>
  <c r="H12" i="1072"/>
  <c r="H11" i="1072"/>
  <c r="F4" i="1072"/>
  <c r="H4" i="1072" s="1"/>
  <c r="H35" i="1072" l="1"/>
  <c r="H36" i="1074"/>
  <c r="D20" i="1073"/>
  <c r="D22" i="1073" s="1"/>
  <c r="D9" i="1073"/>
  <c r="D31" i="1073"/>
  <c r="H14" i="1072"/>
  <c r="H15" i="1072" s="1"/>
  <c r="D21" i="1072" s="1"/>
  <c r="D7" i="1072"/>
  <c r="D6" i="1072"/>
  <c r="D9" i="1072" s="1"/>
  <c r="D28" i="1072"/>
  <c r="D29" i="1072"/>
  <c r="H34" i="1071"/>
  <c r="H33" i="1071"/>
  <c r="F24" i="1071"/>
  <c r="H24" i="1071" s="1"/>
  <c r="H13" i="1071"/>
  <c r="H12" i="1071"/>
  <c r="H11" i="1071"/>
  <c r="F4" i="1071"/>
  <c r="H4" i="1071" s="1"/>
  <c r="D6" i="1071" s="1"/>
  <c r="H35" i="1071" l="1"/>
  <c r="H36" i="1073"/>
  <c r="D20" i="1072"/>
  <c r="D31" i="1072"/>
  <c r="D22" i="1072"/>
  <c r="H36" i="1072" s="1"/>
  <c r="H14" i="1071"/>
  <c r="H15" i="1071" s="1"/>
  <c r="D20" i="1071" s="1"/>
  <c r="D29" i="1071"/>
  <c r="D30" i="1071"/>
  <c r="D28" i="1071"/>
  <c r="D31" i="1071" s="1"/>
  <c r="D7" i="1071"/>
  <c r="D9" i="1071" s="1"/>
  <c r="H34" i="1069"/>
  <c r="H33" i="1069"/>
  <c r="F24" i="1069"/>
  <c r="H24" i="1069" s="1"/>
  <c r="H13" i="1069"/>
  <c r="H12" i="1069"/>
  <c r="H11" i="1069"/>
  <c r="F4" i="1069"/>
  <c r="H4" i="1069" s="1"/>
  <c r="D6" i="1069" s="1"/>
  <c r="D21" i="1071" l="1"/>
  <c r="H35" i="1069"/>
  <c r="D22" i="1071"/>
  <c r="H36" i="1071" s="1"/>
  <c r="H14" i="1069"/>
  <c r="H15" i="1069" s="1"/>
  <c r="D21" i="1069" s="1"/>
  <c r="D30" i="1069"/>
  <c r="D29" i="1069"/>
  <c r="D28" i="1069"/>
  <c r="D7" i="1069"/>
  <c r="D9" i="1069" s="1"/>
  <c r="H34" i="1068"/>
  <c r="H35" i="1068" s="1"/>
  <c r="H33" i="1068"/>
  <c r="F24" i="1068"/>
  <c r="H24" i="1068" s="1"/>
  <c r="H13" i="1068"/>
  <c r="H12" i="1068"/>
  <c r="H11" i="1068"/>
  <c r="F4" i="1068"/>
  <c r="H4" i="1068" s="1"/>
  <c r="D7" i="1068" s="1"/>
  <c r="J5" i="133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D20" i="1069" l="1"/>
  <c r="D31" i="1069"/>
  <c r="D22" i="1069"/>
  <c r="H14" i="1068"/>
  <c r="H15" i="1068" s="1"/>
  <c r="D20" i="1068" s="1"/>
  <c r="D29" i="1068"/>
  <c r="D28" i="1068"/>
  <c r="D30" i="1068"/>
  <c r="D6" i="1068"/>
  <c r="D9" i="1068" s="1"/>
  <c r="H34" i="1067"/>
  <c r="H33" i="1067"/>
  <c r="F24" i="1067"/>
  <c r="H24" i="1067" s="1"/>
  <c r="H13" i="1067"/>
  <c r="H12" i="1067"/>
  <c r="H11" i="1067"/>
  <c r="F4" i="1067"/>
  <c r="H4" i="1067" s="1"/>
  <c r="D6" i="1067" s="1"/>
  <c r="H35" i="1067" l="1"/>
  <c r="D21" i="1068"/>
  <c r="H36" i="1069"/>
  <c r="D22" i="1068"/>
  <c r="D31" i="1068"/>
  <c r="H14" i="1067"/>
  <c r="H15" i="1067" s="1"/>
  <c r="D20" i="1067" s="1"/>
  <c r="D29" i="1067"/>
  <c r="D30" i="1067"/>
  <c r="D28" i="1067"/>
  <c r="D7" i="1067"/>
  <c r="D9" i="1067" s="1"/>
  <c r="H36" i="1068" l="1"/>
  <c r="D31" i="1067"/>
  <c r="D21" i="1067"/>
  <c r="D22" i="1067" s="1"/>
  <c r="H36" i="1067" l="1"/>
  <c r="J4" i="133" l="1"/>
  <c r="F35" i="133" l="1"/>
  <c r="F36" i="133" l="1"/>
  <c r="I35" i="133" l="1"/>
  <c r="C36" i="133" l="1"/>
  <c r="E36" i="133" l="1"/>
  <c r="D36" i="133"/>
  <c r="B36" i="133"/>
  <c r="I36" i="133"/>
  <c r="H35" i="133"/>
  <c r="H36" i="133" s="1"/>
  <c r="G35" i="133"/>
  <c r="G36" i="133" s="1"/>
  <c r="J35" i="133" l="1"/>
</calcChain>
</file>

<file path=xl/sharedStrings.xml><?xml version="1.0" encoding="utf-8"?>
<sst xmlns="http://schemas.openxmlformats.org/spreadsheetml/2006/main" count="1884" uniqueCount="122">
  <si>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</si>
  <si>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</si>
  <si>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</si>
  <si>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</si>
  <si>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</si>
  <si>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</si>
  <si>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</si>
  <si>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</si>
  <si>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</si>
  <si>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</si>
  <si>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</si>
  <si>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</si>
  <si>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</si>
  <si>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</si>
  <si>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</si>
  <si>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</si>
  <si>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</si>
  <si>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</si>
  <si>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</si>
  <si>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</si>
  <si>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</si>
  <si>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</si>
  <si>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</si>
  <si>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</si>
  <si>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</si>
  <si>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</si>
  <si>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</si>
  <si>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</si>
  <si>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</si>
  <si>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</si>
  <si>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</si>
  <si>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</si>
  <si>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</si>
  <si>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</si>
  <si>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</si>
  <si>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</si>
  <si>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</si>
  <si>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</si>
  <si>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</si>
  <si>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</si>
  <si>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</si>
  <si>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</si>
  <si>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</si>
  <si>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</si>
  <si>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</si>
  <si>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</si>
  <si>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</si>
  <si>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</si>
  <si>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</si>
  <si>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</si>
  <si>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</si>
  <si>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</si>
  <si>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</si>
  <si>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</si>
  <si>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</si>
  <si>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21.0c</t>
  </si>
  <si>
    <t>Daily Utilities March 2024</t>
  </si>
  <si>
    <t>01.3.2024</t>
  </si>
  <si>
    <t>23.50c</t>
  </si>
  <si>
    <t>02.3.2024</t>
  </si>
  <si>
    <t>03.3.2024</t>
  </si>
  <si>
    <t>21.20c</t>
  </si>
  <si>
    <t>04.3.2024</t>
  </si>
  <si>
    <t>24.54c</t>
  </si>
  <si>
    <t>05.3.2024</t>
  </si>
  <si>
    <t>24.82c</t>
  </si>
  <si>
    <t>06.3.2024</t>
  </si>
  <si>
    <t>24.23c</t>
  </si>
  <si>
    <t>07.3.2024</t>
  </si>
  <si>
    <t>23.0c</t>
  </si>
  <si>
    <t>08.3.2024</t>
  </si>
  <si>
    <t>09.3.2024</t>
  </si>
  <si>
    <t>10.3.2024</t>
  </si>
  <si>
    <t>11.3.2024</t>
  </si>
  <si>
    <t>25.8c</t>
  </si>
  <si>
    <t>12.3.2024</t>
  </si>
  <si>
    <t>13.3.2024</t>
  </si>
  <si>
    <t>24.50c</t>
  </si>
  <si>
    <t>26.0c</t>
  </si>
  <si>
    <t>14.3.2024</t>
  </si>
  <si>
    <t>24.0c</t>
  </si>
  <si>
    <t>15.3.2024</t>
  </si>
  <si>
    <t>25.0c</t>
  </si>
  <si>
    <t>16.3.2024</t>
  </si>
  <si>
    <t>17.3.2024</t>
  </si>
  <si>
    <t>18.3.2024</t>
  </si>
  <si>
    <t>26.50c</t>
  </si>
  <si>
    <t>19.3.2024</t>
  </si>
  <si>
    <t>30.4c</t>
  </si>
  <si>
    <t>20.3.2024</t>
  </si>
  <si>
    <t>30.8c</t>
  </si>
  <si>
    <t>21.3.2024</t>
  </si>
  <si>
    <t>27.0c</t>
  </si>
  <si>
    <t>22.3.2024</t>
  </si>
  <si>
    <t>23.3.2024</t>
  </si>
  <si>
    <t>24.3.2024</t>
  </si>
  <si>
    <t>28.0c</t>
  </si>
  <si>
    <t>25.3.2024</t>
  </si>
  <si>
    <t>26.3.2024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</si>
  <si>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</si>
  <si>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</si>
  <si>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</si>
  <si>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</si>
  <si>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</si>
  <si>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</si>
  <si>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</si>
  <si>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</si>
  <si>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</si>
  <si>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</si>
  <si>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</si>
  <si>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</si>
  <si>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</si>
  <si>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</si>
  <si>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</si>
  <si>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</si>
  <si>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31.3.2024</t>
  </si>
  <si>
    <t>30.3.2024</t>
  </si>
  <si>
    <t>29.3.2024</t>
  </si>
  <si>
    <t>28.3.2024</t>
  </si>
  <si>
    <t>27.3.2024</t>
  </si>
  <si>
    <t>25.2c</t>
  </si>
  <si>
    <t>25.4c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</si>
</sst>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9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3" fontId="6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3" fontId="9" fillId="3" borderId="4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0" fontId="5" fillId="5" borderId="4" xfId="0" applyFont="1" applyFill="1" applyBorder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left" vertical="center"/>
    </xf>
    <xf numFmtId="4" fontId="6" fillId="0" borderId="4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4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4" fontId="8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March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March 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1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1</c:v>
                </c:pt>
                <c:pt idx="4">
                  <c:v>0.99</c:v>
                </c:pt>
                <c:pt idx="5">
                  <c:v>1</c:v>
                </c:pt>
                <c:pt idx="6">
                  <c:v>0.99339999999999995</c:v>
                </c:pt>
                <c:pt idx="7">
                  <c:v>0.99</c:v>
                </c:pt>
                <c:pt idx="8">
                  <c:v>0.96350000000000002</c:v>
                </c:pt>
                <c:pt idx="9">
                  <c:v>0.84719999999999995</c:v>
                </c:pt>
                <c:pt idx="10">
                  <c:v>0.76400000000000001</c:v>
                </c:pt>
                <c:pt idx="11">
                  <c:v>0.73080000000000001</c:v>
                </c:pt>
                <c:pt idx="12">
                  <c:v>0.71760000000000002</c:v>
                </c:pt>
                <c:pt idx="13">
                  <c:v>0.71</c:v>
                </c:pt>
                <c:pt idx="14">
                  <c:v>0.76739999999999997</c:v>
                </c:pt>
                <c:pt idx="15">
                  <c:v>0.7409</c:v>
                </c:pt>
                <c:pt idx="16">
                  <c:v>0.75</c:v>
                </c:pt>
                <c:pt idx="17">
                  <c:v>0.81</c:v>
                </c:pt>
                <c:pt idx="18">
                  <c:v>0.86699999999999999</c:v>
                </c:pt>
                <c:pt idx="19">
                  <c:v>0.91400000000000003</c:v>
                </c:pt>
                <c:pt idx="20">
                  <c:v>0.87380000000000002</c:v>
                </c:pt>
                <c:pt idx="21">
                  <c:v>0.93</c:v>
                </c:pt>
                <c:pt idx="22">
                  <c:v>0.89700000000000002</c:v>
                </c:pt>
                <c:pt idx="23">
                  <c:v>0.87380000000000002</c:v>
                </c:pt>
                <c:pt idx="24">
                  <c:v>0.82720000000000005</c:v>
                </c:pt>
                <c:pt idx="25">
                  <c:v>0.85</c:v>
                </c:pt>
                <c:pt idx="26">
                  <c:v>0.88039999999999996</c:v>
                </c:pt>
                <c:pt idx="27">
                  <c:v>0.97</c:v>
                </c:pt>
                <c:pt idx="28">
                  <c:v>0.96</c:v>
                </c:pt>
                <c:pt idx="29">
                  <c:v>0.94</c:v>
                </c:pt>
                <c:pt idx="30">
                  <c:v>0.93330000000000002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March 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March 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0.66100000000000003</c:v>
                </c:pt>
                <c:pt idx="1">
                  <c:v>0.74</c:v>
                </c:pt>
                <c:pt idx="2">
                  <c:v>0.71</c:v>
                </c:pt>
                <c:pt idx="3">
                  <c:v>0.7</c:v>
                </c:pt>
                <c:pt idx="4">
                  <c:v>0.72</c:v>
                </c:pt>
                <c:pt idx="5">
                  <c:v>0.67049999999999998</c:v>
                </c:pt>
                <c:pt idx="6">
                  <c:v>0.88</c:v>
                </c:pt>
                <c:pt idx="7">
                  <c:v>0.84</c:v>
                </c:pt>
                <c:pt idx="8">
                  <c:v>0.85</c:v>
                </c:pt>
                <c:pt idx="9">
                  <c:v>0.99</c:v>
                </c:pt>
                <c:pt idx="10">
                  <c:v>0.86</c:v>
                </c:pt>
                <c:pt idx="11">
                  <c:v>0.78</c:v>
                </c:pt>
                <c:pt idx="12">
                  <c:v>0.82</c:v>
                </c:pt>
                <c:pt idx="13">
                  <c:v>0.98</c:v>
                </c:pt>
                <c:pt idx="14">
                  <c:v>0.84</c:v>
                </c:pt>
                <c:pt idx="15">
                  <c:v>0.85</c:v>
                </c:pt>
                <c:pt idx="16">
                  <c:v>0.86</c:v>
                </c:pt>
                <c:pt idx="17">
                  <c:v>0.94</c:v>
                </c:pt>
                <c:pt idx="18">
                  <c:v>0.78</c:v>
                </c:pt>
                <c:pt idx="19">
                  <c:v>0.64</c:v>
                </c:pt>
                <c:pt idx="20">
                  <c:v>0.97</c:v>
                </c:pt>
                <c:pt idx="21">
                  <c:v>0.85</c:v>
                </c:pt>
                <c:pt idx="22">
                  <c:v>0.82</c:v>
                </c:pt>
                <c:pt idx="23">
                  <c:v>0.56000000000000005</c:v>
                </c:pt>
                <c:pt idx="24">
                  <c:v>0.81</c:v>
                </c:pt>
                <c:pt idx="25">
                  <c:v>0.7</c:v>
                </c:pt>
                <c:pt idx="26">
                  <c:v>0.63</c:v>
                </c:pt>
                <c:pt idx="27">
                  <c:v>0.57999999999999996</c:v>
                </c:pt>
                <c:pt idx="28">
                  <c:v>0.87</c:v>
                </c:pt>
                <c:pt idx="29">
                  <c:v>0.92</c:v>
                </c:pt>
                <c:pt idx="30">
                  <c:v>0.84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March 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4831.5</c:v>
                </c:pt>
                <c:pt idx="1">
                  <c:v>4657.8</c:v>
                </c:pt>
                <c:pt idx="2">
                  <c:v>4727.28</c:v>
                </c:pt>
                <c:pt idx="3">
                  <c:v>4970.45</c:v>
                </c:pt>
                <c:pt idx="4">
                  <c:v>5597.59</c:v>
                </c:pt>
                <c:pt idx="5">
                  <c:v>5217.28</c:v>
                </c:pt>
                <c:pt idx="6">
                  <c:v>5312.36</c:v>
                </c:pt>
                <c:pt idx="7">
                  <c:v>5944.98</c:v>
                </c:pt>
                <c:pt idx="8">
                  <c:v>5451.32</c:v>
                </c:pt>
                <c:pt idx="9">
                  <c:v>5414.75</c:v>
                </c:pt>
                <c:pt idx="10">
                  <c:v>5416.58</c:v>
                </c:pt>
                <c:pt idx="11">
                  <c:v>5454.97</c:v>
                </c:pt>
                <c:pt idx="12">
                  <c:v>5328.82</c:v>
                </c:pt>
                <c:pt idx="13">
                  <c:v>5961.43</c:v>
                </c:pt>
                <c:pt idx="14">
                  <c:v>5970.57</c:v>
                </c:pt>
                <c:pt idx="15">
                  <c:v>6179.01</c:v>
                </c:pt>
                <c:pt idx="16">
                  <c:v>6722.03</c:v>
                </c:pt>
                <c:pt idx="17">
                  <c:v>6831.74</c:v>
                </c:pt>
                <c:pt idx="18">
                  <c:v>6842.71</c:v>
                </c:pt>
                <c:pt idx="19">
                  <c:v>6860.99</c:v>
                </c:pt>
                <c:pt idx="20">
                  <c:v>7082.22</c:v>
                </c:pt>
                <c:pt idx="21">
                  <c:v>6793.34</c:v>
                </c:pt>
                <c:pt idx="22">
                  <c:v>6906.7</c:v>
                </c:pt>
                <c:pt idx="23">
                  <c:v>7038.34</c:v>
                </c:pt>
                <c:pt idx="24">
                  <c:v>7040.17</c:v>
                </c:pt>
                <c:pt idx="25">
                  <c:v>6584.91</c:v>
                </c:pt>
                <c:pt idx="26">
                  <c:v>5639.64</c:v>
                </c:pt>
                <c:pt idx="27">
                  <c:v>5643.29</c:v>
                </c:pt>
                <c:pt idx="28">
                  <c:v>5672.55</c:v>
                </c:pt>
                <c:pt idx="29">
                  <c:v>6052.85</c:v>
                </c:pt>
                <c:pt idx="30">
                  <c:v>6696.44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March 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6645.41</c:v>
                </c:pt>
                <c:pt idx="1">
                  <c:v>6216.67</c:v>
                </c:pt>
                <c:pt idx="2">
                  <c:v>6216.67</c:v>
                </c:pt>
                <c:pt idx="3">
                  <c:v>6216.67</c:v>
                </c:pt>
                <c:pt idx="4">
                  <c:v>6216.67</c:v>
                </c:pt>
                <c:pt idx="5">
                  <c:v>6431.04</c:v>
                </c:pt>
                <c:pt idx="6">
                  <c:v>6216.67</c:v>
                </c:pt>
                <c:pt idx="7">
                  <c:v>6431.04</c:v>
                </c:pt>
                <c:pt idx="8">
                  <c:v>6645.41</c:v>
                </c:pt>
                <c:pt idx="9">
                  <c:v>6431.04</c:v>
                </c:pt>
                <c:pt idx="10">
                  <c:v>6002.3</c:v>
                </c:pt>
                <c:pt idx="11">
                  <c:v>6431.04</c:v>
                </c:pt>
                <c:pt idx="12">
                  <c:v>5787.94</c:v>
                </c:pt>
                <c:pt idx="13">
                  <c:v>6216.67</c:v>
                </c:pt>
                <c:pt idx="14">
                  <c:v>6431.04</c:v>
                </c:pt>
                <c:pt idx="15">
                  <c:v>6431.04</c:v>
                </c:pt>
                <c:pt idx="16">
                  <c:v>6645.41</c:v>
                </c:pt>
                <c:pt idx="17">
                  <c:v>6002.3</c:v>
                </c:pt>
                <c:pt idx="18">
                  <c:v>6431.04</c:v>
                </c:pt>
                <c:pt idx="19">
                  <c:v>6216.67</c:v>
                </c:pt>
                <c:pt idx="20">
                  <c:v>6431.04</c:v>
                </c:pt>
                <c:pt idx="21">
                  <c:v>6216.67</c:v>
                </c:pt>
                <c:pt idx="22">
                  <c:v>6645.41</c:v>
                </c:pt>
                <c:pt idx="23">
                  <c:v>6431.04</c:v>
                </c:pt>
                <c:pt idx="24">
                  <c:v>6431.04</c:v>
                </c:pt>
                <c:pt idx="25">
                  <c:v>6645.41</c:v>
                </c:pt>
                <c:pt idx="26">
                  <c:v>6431.04</c:v>
                </c:pt>
                <c:pt idx="27">
                  <c:v>6431.04</c:v>
                </c:pt>
                <c:pt idx="28">
                  <c:v>6431.04</c:v>
                </c:pt>
                <c:pt idx="29">
                  <c:v>6216.67</c:v>
                </c:pt>
                <c:pt idx="30">
                  <c:v>6645.41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March 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2720.8</c:v>
                </c:pt>
                <c:pt idx="1">
                  <c:v>2338</c:v>
                </c:pt>
                <c:pt idx="2">
                  <c:v>2628.4</c:v>
                </c:pt>
                <c:pt idx="3">
                  <c:v>2509.6</c:v>
                </c:pt>
                <c:pt idx="4">
                  <c:v>2509.6</c:v>
                </c:pt>
                <c:pt idx="5">
                  <c:v>2839.6</c:v>
                </c:pt>
                <c:pt idx="6">
                  <c:v>2522.8000000000002</c:v>
                </c:pt>
                <c:pt idx="7">
                  <c:v>2734</c:v>
                </c:pt>
                <c:pt idx="8">
                  <c:v>2338</c:v>
                </c:pt>
                <c:pt idx="9">
                  <c:v>2179.6</c:v>
                </c:pt>
                <c:pt idx="10">
                  <c:v>1968.4</c:v>
                </c:pt>
                <c:pt idx="11">
                  <c:v>1981.6</c:v>
                </c:pt>
                <c:pt idx="12">
                  <c:v>2021.2</c:v>
                </c:pt>
                <c:pt idx="13">
                  <c:v>1862.8</c:v>
                </c:pt>
                <c:pt idx="14">
                  <c:v>2311.6</c:v>
                </c:pt>
                <c:pt idx="15">
                  <c:v>2219.1999999999998</c:v>
                </c:pt>
                <c:pt idx="16">
                  <c:v>2285.1999999999998</c:v>
                </c:pt>
                <c:pt idx="17">
                  <c:v>2126.8000000000002</c:v>
                </c:pt>
                <c:pt idx="18">
                  <c:v>2443.6</c:v>
                </c:pt>
                <c:pt idx="19">
                  <c:v>2390.8000000000002</c:v>
                </c:pt>
                <c:pt idx="20">
                  <c:v>2483.1999999999998</c:v>
                </c:pt>
                <c:pt idx="21">
                  <c:v>2602</c:v>
                </c:pt>
                <c:pt idx="22">
                  <c:v>2470</c:v>
                </c:pt>
                <c:pt idx="23">
                  <c:v>2734</c:v>
                </c:pt>
                <c:pt idx="24">
                  <c:v>2641.6</c:v>
                </c:pt>
                <c:pt idx="25">
                  <c:v>2509.6</c:v>
                </c:pt>
                <c:pt idx="26">
                  <c:v>2470</c:v>
                </c:pt>
                <c:pt idx="27">
                  <c:v>2509.6</c:v>
                </c:pt>
                <c:pt idx="28">
                  <c:v>2800</c:v>
                </c:pt>
                <c:pt idx="29">
                  <c:v>2562.4</c:v>
                </c:pt>
                <c:pt idx="30">
                  <c:v>2641.6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March 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355.26</c:v>
                </c:pt>
                <c:pt idx="2">
                  <c:v>532.9</c:v>
                </c:pt>
                <c:pt idx="3">
                  <c:v>444.08</c:v>
                </c:pt>
                <c:pt idx="4">
                  <c:v>444.08</c:v>
                </c:pt>
                <c:pt idx="5">
                  <c:v>444.08</c:v>
                </c:pt>
                <c:pt idx="6">
                  <c:v>355.26</c:v>
                </c:pt>
                <c:pt idx="7">
                  <c:v>355.26</c:v>
                </c:pt>
                <c:pt idx="8">
                  <c:v>399.67</c:v>
                </c:pt>
                <c:pt idx="9">
                  <c:v>355.26</c:v>
                </c:pt>
                <c:pt idx="10">
                  <c:v>444.08</c:v>
                </c:pt>
                <c:pt idx="11">
                  <c:v>444.08</c:v>
                </c:pt>
                <c:pt idx="12">
                  <c:v>310.86</c:v>
                </c:pt>
                <c:pt idx="13">
                  <c:v>310.86</c:v>
                </c:pt>
                <c:pt idx="14">
                  <c:v>399.67</c:v>
                </c:pt>
                <c:pt idx="15">
                  <c:v>355.26</c:v>
                </c:pt>
                <c:pt idx="16">
                  <c:v>444.08</c:v>
                </c:pt>
                <c:pt idx="17">
                  <c:v>355.26</c:v>
                </c:pt>
                <c:pt idx="18">
                  <c:v>355.26</c:v>
                </c:pt>
                <c:pt idx="19">
                  <c:v>399.67</c:v>
                </c:pt>
                <c:pt idx="20">
                  <c:v>399.67</c:v>
                </c:pt>
                <c:pt idx="21">
                  <c:v>444.08</c:v>
                </c:pt>
                <c:pt idx="22">
                  <c:v>399.67</c:v>
                </c:pt>
                <c:pt idx="23">
                  <c:v>532.04</c:v>
                </c:pt>
                <c:pt idx="24">
                  <c:v>355.26</c:v>
                </c:pt>
                <c:pt idx="25">
                  <c:v>532.9</c:v>
                </c:pt>
                <c:pt idx="26">
                  <c:v>488.49</c:v>
                </c:pt>
                <c:pt idx="27">
                  <c:v>488.49</c:v>
                </c:pt>
                <c:pt idx="28">
                  <c:v>488.49</c:v>
                </c:pt>
                <c:pt idx="29">
                  <c:v>488.49</c:v>
                </c:pt>
                <c:pt idx="30">
                  <c:v>532.9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March 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14641.789999999999</c:v>
                </c:pt>
                <c:pt idx="1">
                  <c:v>13567.730000000001</c:v>
                </c:pt>
                <c:pt idx="2">
                  <c:v>14105.25</c:v>
                </c:pt>
                <c:pt idx="3">
                  <c:v>14140.8</c:v>
                </c:pt>
                <c:pt idx="4">
                  <c:v>14767.94</c:v>
                </c:pt>
                <c:pt idx="5">
                  <c:v>14932</c:v>
                </c:pt>
                <c:pt idx="6">
                  <c:v>14407.089999999998</c:v>
                </c:pt>
                <c:pt idx="7">
                  <c:v>15465.28</c:v>
                </c:pt>
                <c:pt idx="8">
                  <c:v>14834.4</c:v>
                </c:pt>
                <c:pt idx="9">
                  <c:v>14380.650000000001</c:v>
                </c:pt>
                <c:pt idx="10">
                  <c:v>13831.36</c:v>
                </c:pt>
                <c:pt idx="11">
                  <c:v>14311.69</c:v>
                </c:pt>
                <c:pt idx="12">
                  <c:v>13448.82</c:v>
                </c:pt>
                <c:pt idx="13">
                  <c:v>14351.76</c:v>
                </c:pt>
                <c:pt idx="14">
                  <c:v>15112.880000000001</c:v>
                </c:pt>
                <c:pt idx="15">
                  <c:v>15184.51</c:v>
                </c:pt>
                <c:pt idx="16">
                  <c:v>16096.72</c:v>
                </c:pt>
                <c:pt idx="17">
                  <c:v>15316.1</c:v>
                </c:pt>
                <c:pt idx="18">
                  <c:v>16072.61</c:v>
                </c:pt>
                <c:pt idx="19">
                  <c:v>15868.13</c:v>
                </c:pt>
                <c:pt idx="20">
                  <c:v>16396.129999999997</c:v>
                </c:pt>
                <c:pt idx="21">
                  <c:v>16056.09</c:v>
                </c:pt>
                <c:pt idx="22">
                  <c:v>16421.78</c:v>
                </c:pt>
                <c:pt idx="23">
                  <c:v>16735.420000000002</c:v>
                </c:pt>
                <c:pt idx="24">
                  <c:v>16468.07</c:v>
                </c:pt>
                <c:pt idx="25">
                  <c:v>16272.82</c:v>
                </c:pt>
                <c:pt idx="26">
                  <c:v>15029.17</c:v>
                </c:pt>
                <c:pt idx="27">
                  <c:v>15072.42</c:v>
                </c:pt>
                <c:pt idx="28">
                  <c:v>15392.08</c:v>
                </c:pt>
                <c:pt idx="29">
                  <c:v>15320.41</c:v>
                </c:pt>
                <c:pt idx="30">
                  <c:v>16516.349999999999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77954368"/>
        <c:axId val="877954912"/>
        <c:extLst/>
      </c:lineChart>
      <c:catAx>
        <c:axId val="87795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912"/>
        <c:crosses val="autoZero"/>
        <c:auto val="1"/>
        <c:lblAlgn val="ctr"/>
        <c:lblOffset val="100"/>
        <c:noMultiLvlLbl val="0"/>
      </c:catAx>
      <c:valAx>
        <c:axId val="87795491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368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0B09-60AD-4B15-88CE-5900597CFB13}">
  <sheetPr>
    <tabColor rgb="FFFF0000"/>
  </sheetPr>
  <dimension ref="A1:O32"/>
  <sheetViews>
    <sheetView tabSelected="1" workbookViewId="0">
      <selection activeCell="P14" sqref="P14"/>
    </sheetView>
  </sheetViews>
  <sheetFormatPr defaultColWidth="11.5703125" defaultRowHeight="15"/>
  <cols>
    <col min="1" max="1" width="26.42578125" style="48" bestFit="1" customWidth="1"/>
    <col min="2" max="2" width="11.5703125" style="48"/>
    <col min="3" max="3" width="11.5703125" style="49"/>
    <col min="4" max="4" width="13.42578125" style="48" customWidth="1"/>
    <col min="5" max="5" width="12.5703125" style="48" customWidth="1"/>
    <col min="6" max="6" width="12.5703125" style="54" customWidth="1"/>
    <col min="7" max="7" width="11.5703125" style="48"/>
    <col min="8" max="8" width="11.5703125" style="54"/>
    <col min="9" max="9" width="11.5703125" style="48"/>
    <col min="10" max="10" width="11.5703125" style="51"/>
    <col min="11" max="11" width="11.5703125" style="53"/>
    <col min="12" max="12" width="11.5703125" style="51"/>
    <col min="13" max="13" width="11.5703125" style="50"/>
    <col min="14" max="16384" width="11.5703125" style="48"/>
  </cols>
  <sheetData>
    <row r="1" spans="1:15" s="46" customFormat="1" ht="60.75" thickBot="1">
      <c r="A1" s="36" t="s">
        <v>99</v>
      </c>
      <c r="B1" s="36" t="s">
        <v>100</v>
      </c>
      <c r="C1" s="37" t="s">
        <v>101</v>
      </c>
      <c r="D1" s="38" t="s">
        <v>102</v>
      </c>
      <c r="E1" s="39" t="s">
        <v>103</v>
      </c>
      <c r="F1" s="40" t="s">
        <v>104</v>
      </c>
      <c r="G1" s="39" t="s">
        <v>113</v>
      </c>
      <c r="H1" s="40" t="s">
        <v>114</v>
      </c>
      <c r="I1" s="41" t="s">
        <v>105</v>
      </c>
      <c r="J1" s="42" t="s">
        <v>106</v>
      </c>
      <c r="K1" s="43" t="s">
        <v>107</v>
      </c>
      <c r="L1" s="44" t="s">
        <v>108</v>
      </c>
      <c r="M1" s="45" t="s">
        <v>109</v>
      </c>
      <c r="N1" s="39" t="s">
        <v>110</v>
      </c>
    </row>
    <row r="2" spans="1:15">
      <c r="A2" s="47" t="s">
        <v>112</v>
      </c>
      <c r="B2" s="48">
        <v>1</v>
      </c>
      <c r="C2" s="49">
        <v>3</v>
      </c>
      <c r="D2" s="48">
        <v>2024</v>
      </c>
      <c r="E2" s="50">
        <f>'MTD Utility Sheet'!G4/0.439</f>
        <v>15137.608200455581</v>
      </c>
      <c r="F2" s="51">
        <v>0.439</v>
      </c>
      <c r="G2" s="50">
        <f>('MTD Utility Sheet'!I4/1.82)/0.5</f>
        <v>487.99999999999994</v>
      </c>
      <c r="H2" s="52">
        <f>1.82*0.5</f>
        <v>0.91</v>
      </c>
      <c r="I2" s="50">
        <f>'MTD Utility Sheet'!H4/12.38</f>
        <v>219.77382875605815</v>
      </c>
      <c r="J2" s="51">
        <v>12.38</v>
      </c>
      <c r="K2" s="53">
        <f>IF(('MTD Utility Sheet'!F4-2866)&lt;0,"0",('MTD Utility Sheet'!F4-2866)/(0.568+0.075))</f>
        <v>3056.7651632970455</v>
      </c>
      <c r="L2" s="51">
        <f>'MTD Utility Sheet'!F4/K2</f>
        <v>1.5805924701093867</v>
      </c>
      <c r="M2" s="50">
        <f>'MTD Utility Sheet'!B4*301</f>
        <v>301</v>
      </c>
      <c r="N2" s="48" t="s">
        <v>111</v>
      </c>
      <c r="O2" s="46"/>
    </row>
    <row r="3" spans="1:15">
      <c r="A3" s="47" t="s">
        <v>112</v>
      </c>
      <c r="B3" s="48">
        <f t="shared" ref="B3:B32" si="0">B2+1</f>
        <v>2</v>
      </c>
      <c r="C3" s="49">
        <v>3</v>
      </c>
      <c r="D3" s="48">
        <v>2024</v>
      </c>
      <c r="E3" s="50">
        <f>'MTD Utility Sheet'!G5/0.439</f>
        <v>14160.979498861048</v>
      </c>
      <c r="F3" s="51">
        <v>0.439</v>
      </c>
      <c r="G3" s="50">
        <f>('MTD Utility Sheet'!I5/1.82)/0.5</f>
        <v>390.39560439560438</v>
      </c>
      <c r="H3" s="52">
        <f t="shared" ref="H3:H32" si="1">1.82*0.5</f>
        <v>0.91</v>
      </c>
      <c r="I3" s="50">
        <f>'MTD Utility Sheet'!H5/12.38</f>
        <v>188.85298869143779</v>
      </c>
      <c r="J3" s="51">
        <v>12.38</v>
      </c>
      <c r="K3" s="53">
        <f>IF(('MTD Utility Sheet'!F5-2866)&lt;0,"0",('MTD Utility Sheet'!F5-2866)/(0.568+0.075))</f>
        <v>2786.6251944012447</v>
      </c>
      <c r="L3" s="51">
        <f>'MTD Utility Sheet'!F5/K3</f>
        <v>1.6714842058265429</v>
      </c>
      <c r="M3" s="50">
        <f>'MTD Utility Sheet'!B5*301</f>
        <v>300.00670000000002</v>
      </c>
      <c r="N3" s="48" t="s">
        <v>111</v>
      </c>
      <c r="O3" s="46"/>
    </row>
    <row r="4" spans="1:15">
      <c r="A4" s="47" t="s">
        <v>112</v>
      </c>
      <c r="B4" s="48">
        <f t="shared" si="0"/>
        <v>3</v>
      </c>
      <c r="C4" s="49">
        <v>3</v>
      </c>
      <c r="D4" s="48">
        <v>2024</v>
      </c>
      <c r="E4" s="50">
        <f>'MTD Utility Sheet'!G6/0.439</f>
        <v>14160.979498861048</v>
      </c>
      <c r="F4" s="51">
        <v>0.439</v>
      </c>
      <c r="G4" s="50">
        <f>('MTD Utility Sheet'!I6/1.82)/0.5</f>
        <v>585.60439560439556</v>
      </c>
      <c r="H4" s="52">
        <f t="shared" si="1"/>
        <v>0.91</v>
      </c>
      <c r="I4" s="50">
        <f>'MTD Utility Sheet'!H6/12.38</f>
        <v>212.31017770597737</v>
      </c>
      <c r="J4" s="51">
        <v>12.38</v>
      </c>
      <c r="K4" s="53">
        <f>IF(('MTD Utility Sheet'!F6-2866)&lt;0,"0",('MTD Utility Sheet'!F6-2866)/(0.568+0.075))</f>
        <v>2894.6811819595646</v>
      </c>
      <c r="L4" s="51">
        <f>'MTD Utility Sheet'!F6/K4</f>
        <v>1.6330917648070145</v>
      </c>
      <c r="M4" s="50">
        <f>'MTD Utility Sheet'!B6*301</f>
        <v>300.00670000000002</v>
      </c>
      <c r="N4" s="48" t="s">
        <v>111</v>
      </c>
      <c r="O4" s="46"/>
    </row>
    <row r="5" spans="1:15">
      <c r="A5" s="47" t="s">
        <v>112</v>
      </c>
      <c r="B5" s="48">
        <f t="shared" si="0"/>
        <v>4</v>
      </c>
      <c r="C5" s="49">
        <v>3</v>
      </c>
      <c r="D5" s="48">
        <v>2024</v>
      </c>
      <c r="E5" s="50">
        <f>'MTD Utility Sheet'!G7/0.439</f>
        <v>14160.979498861048</v>
      </c>
      <c r="F5" s="51">
        <v>0.439</v>
      </c>
      <c r="G5" s="50">
        <f>('MTD Utility Sheet'!I7/1.82)/0.5</f>
        <v>487.99999999999994</v>
      </c>
      <c r="H5" s="52">
        <f t="shared" si="1"/>
        <v>0.91</v>
      </c>
      <c r="I5" s="50">
        <f>'MTD Utility Sheet'!H7/12.38</f>
        <v>202.71405492730207</v>
      </c>
      <c r="J5" s="51">
        <v>12.38</v>
      </c>
      <c r="K5" s="53">
        <f>IF(('MTD Utility Sheet'!F7-2866)&lt;0,"0",('MTD Utility Sheet'!F7-2866)/(0.568+0.075))</f>
        <v>3272.8615863141526</v>
      </c>
      <c r="L5" s="51">
        <f>'MTD Utility Sheet'!F7/K5</f>
        <v>1.518686283827128</v>
      </c>
      <c r="M5" s="50">
        <f>'MTD Utility Sheet'!B7*301</f>
        <v>301</v>
      </c>
      <c r="N5" s="48" t="s">
        <v>111</v>
      </c>
      <c r="O5" s="46"/>
    </row>
    <row r="6" spans="1:15">
      <c r="A6" s="47" t="s">
        <v>112</v>
      </c>
      <c r="B6" s="48">
        <f t="shared" si="0"/>
        <v>5</v>
      </c>
      <c r="C6" s="49">
        <v>3</v>
      </c>
      <c r="D6" s="48">
        <v>2024</v>
      </c>
      <c r="E6" s="50">
        <f>'MTD Utility Sheet'!G8/0.439</f>
        <v>14160.979498861048</v>
      </c>
      <c r="F6" s="51">
        <v>0.439</v>
      </c>
      <c r="G6" s="50">
        <f>('MTD Utility Sheet'!I8/1.82)/0.5</f>
        <v>487.99999999999994</v>
      </c>
      <c r="H6" s="52">
        <f t="shared" si="1"/>
        <v>0.91</v>
      </c>
      <c r="I6" s="50">
        <f>'MTD Utility Sheet'!H8/12.38</f>
        <v>202.71405492730207</v>
      </c>
      <c r="J6" s="51">
        <v>12.38</v>
      </c>
      <c r="K6" s="53">
        <f>IF(('MTD Utility Sheet'!F8-2866)&lt;0,"0",('MTD Utility Sheet'!F8-2866)/(0.568+0.075))</f>
        <v>4248.1959564541221</v>
      </c>
      <c r="L6" s="51">
        <f>'MTD Utility Sheet'!F8/K6</f>
        <v>1.3176393126347656</v>
      </c>
      <c r="M6" s="50">
        <f>'MTD Utility Sheet'!B8*301</f>
        <v>297.99</v>
      </c>
      <c r="N6" s="48" t="s">
        <v>111</v>
      </c>
      <c r="O6" s="46"/>
    </row>
    <row r="7" spans="1:15">
      <c r="A7" s="47" t="s">
        <v>112</v>
      </c>
      <c r="B7" s="48">
        <f t="shared" si="0"/>
        <v>6</v>
      </c>
      <c r="C7" s="49">
        <v>3</v>
      </c>
      <c r="D7" s="48">
        <v>2024</v>
      </c>
      <c r="E7" s="50">
        <f>'MTD Utility Sheet'!G9/0.439</f>
        <v>14649.293849658314</v>
      </c>
      <c r="F7" s="51">
        <v>0.439</v>
      </c>
      <c r="G7" s="50">
        <f>('MTD Utility Sheet'!I9/1.82)/0.5</f>
        <v>487.99999999999994</v>
      </c>
      <c r="H7" s="52">
        <f t="shared" si="1"/>
        <v>0.91</v>
      </c>
      <c r="I7" s="50">
        <f>'MTD Utility Sheet'!H9/12.38</f>
        <v>229.36995153473342</v>
      </c>
      <c r="J7" s="51">
        <v>12.38</v>
      </c>
      <c r="K7" s="53">
        <f>IF(('MTD Utility Sheet'!F9-2866)&lt;0,"0",('MTD Utility Sheet'!F9-2866)/(0.568+0.075))</f>
        <v>3656.7340590979784</v>
      </c>
      <c r="L7" s="51">
        <f>'MTD Utility Sheet'!F9/K7</f>
        <v>1.4267594841958422</v>
      </c>
      <c r="M7" s="50">
        <f>'MTD Utility Sheet'!B9*301</f>
        <v>301</v>
      </c>
      <c r="N7" s="48" t="s">
        <v>111</v>
      </c>
    </row>
    <row r="8" spans="1:15">
      <c r="A8" s="47" t="s">
        <v>112</v>
      </c>
      <c r="B8" s="48">
        <f t="shared" si="0"/>
        <v>7</v>
      </c>
      <c r="C8" s="49">
        <v>3</v>
      </c>
      <c r="D8" s="48">
        <v>2024</v>
      </c>
      <c r="E8" s="50">
        <f>'MTD Utility Sheet'!G10/0.439</f>
        <v>14160.979498861048</v>
      </c>
      <c r="F8" s="51">
        <v>0.439</v>
      </c>
      <c r="G8" s="50">
        <f>('MTD Utility Sheet'!I10/1.82)/0.5</f>
        <v>390.39560439560438</v>
      </c>
      <c r="H8" s="52">
        <f t="shared" si="1"/>
        <v>0.91</v>
      </c>
      <c r="I8" s="50">
        <f>'MTD Utility Sheet'!H10/12.38</f>
        <v>203.78029079159936</v>
      </c>
      <c r="J8" s="51">
        <v>12.38</v>
      </c>
      <c r="K8" s="53">
        <f>IF(('MTD Utility Sheet'!F10-2866)&lt;0,"0",('MTD Utility Sheet'!F10-2866)/(0.568+0.075))</f>
        <v>3804.6034214618976</v>
      </c>
      <c r="L8" s="51">
        <f>'MTD Utility Sheet'!F10/K8</f>
        <v>1.3962979610523387</v>
      </c>
      <c r="M8" s="50">
        <f>'MTD Utility Sheet'!B10*301</f>
        <v>299.01339999999999</v>
      </c>
      <c r="N8" s="48" t="s">
        <v>111</v>
      </c>
    </row>
    <row r="9" spans="1:15">
      <c r="A9" s="47" t="s">
        <v>112</v>
      </c>
      <c r="B9" s="48">
        <f t="shared" si="0"/>
        <v>8</v>
      </c>
      <c r="C9" s="49">
        <v>3</v>
      </c>
      <c r="D9" s="48">
        <v>2024</v>
      </c>
      <c r="E9" s="50">
        <f>'MTD Utility Sheet'!G11/0.439</f>
        <v>14649.293849658314</v>
      </c>
      <c r="F9" s="51">
        <v>0.439</v>
      </c>
      <c r="G9" s="50">
        <f>('MTD Utility Sheet'!I11/1.82)/0.5</f>
        <v>390.39560439560438</v>
      </c>
      <c r="H9" s="52">
        <f t="shared" si="1"/>
        <v>0.91</v>
      </c>
      <c r="I9" s="50">
        <f>'MTD Utility Sheet'!H11/12.38</f>
        <v>220.84006462035541</v>
      </c>
      <c r="J9" s="51">
        <v>12.38</v>
      </c>
      <c r="K9" s="53">
        <f>IF(('MTD Utility Sheet'!F11-2866)&lt;0,"0",('MTD Utility Sheet'!F11-2866)/(0.568+0.075))</f>
        <v>4788.4603421461898</v>
      </c>
      <c r="L9" s="51">
        <f>'MTD Utility Sheet'!F11/K9</f>
        <v>1.2415222378839745</v>
      </c>
      <c r="M9" s="50">
        <f>'MTD Utility Sheet'!B11*301</f>
        <v>297.99</v>
      </c>
      <c r="N9" s="48" t="s">
        <v>111</v>
      </c>
    </row>
    <row r="10" spans="1:15">
      <c r="A10" s="47" t="s">
        <v>112</v>
      </c>
      <c r="B10" s="48">
        <f t="shared" si="0"/>
        <v>9</v>
      </c>
      <c r="C10" s="49">
        <v>3</v>
      </c>
      <c r="D10" s="48">
        <v>2024</v>
      </c>
      <c r="E10" s="50">
        <f>'MTD Utility Sheet'!G12/0.439</f>
        <v>15137.608200455581</v>
      </c>
      <c r="F10" s="51">
        <v>0.439</v>
      </c>
      <c r="G10" s="50">
        <f>('MTD Utility Sheet'!I12/1.82)/0.5</f>
        <v>439.19780219780222</v>
      </c>
      <c r="H10" s="52">
        <f t="shared" si="1"/>
        <v>0.91</v>
      </c>
      <c r="I10" s="50">
        <f>'MTD Utility Sheet'!H12/12.38</f>
        <v>188.85298869143779</v>
      </c>
      <c r="J10" s="51">
        <v>12.38</v>
      </c>
      <c r="K10" s="53">
        <f>IF(('MTD Utility Sheet'!F12-2866)&lt;0,"0",('MTD Utility Sheet'!F12-2866)/(0.568+0.075))</f>
        <v>4020.7153965785383</v>
      </c>
      <c r="L10" s="51">
        <f>'MTD Utility Sheet'!F12/K10</f>
        <v>1.3558084724521529</v>
      </c>
      <c r="M10" s="50">
        <f>'MTD Utility Sheet'!B12*301</f>
        <v>290.01350000000002</v>
      </c>
      <c r="N10" s="48" t="s">
        <v>111</v>
      </c>
    </row>
    <row r="11" spans="1:15">
      <c r="A11" s="47" t="s">
        <v>112</v>
      </c>
      <c r="B11" s="48">
        <f t="shared" si="0"/>
        <v>10</v>
      </c>
      <c r="C11" s="49">
        <v>3</v>
      </c>
      <c r="D11" s="48">
        <v>2024</v>
      </c>
      <c r="E11" s="50">
        <f>'MTD Utility Sheet'!G13/0.439</f>
        <v>14649.293849658314</v>
      </c>
      <c r="F11" s="51">
        <v>0.439</v>
      </c>
      <c r="G11" s="50">
        <f>('MTD Utility Sheet'!I13/1.82)/0.5</f>
        <v>390.39560439560438</v>
      </c>
      <c r="H11" s="52">
        <f t="shared" si="1"/>
        <v>0.91</v>
      </c>
      <c r="I11" s="50">
        <f>'MTD Utility Sheet'!H13/12.38</f>
        <v>176.05815831987073</v>
      </c>
      <c r="J11" s="51">
        <v>12.38</v>
      </c>
      <c r="K11" s="53">
        <f>IF(('MTD Utility Sheet'!F13-2866)&lt;0,"0",('MTD Utility Sheet'!F13-2866)/(0.568+0.075))</f>
        <v>3963.8413685847595</v>
      </c>
      <c r="L11" s="51">
        <f>'MTD Utility Sheet'!F13/K11</f>
        <v>1.3660359980382539</v>
      </c>
      <c r="M11" s="50">
        <f>'MTD Utility Sheet'!B13*301</f>
        <v>255.00719999999998</v>
      </c>
      <c r="N11" s="48" t="s">
        <v>111</v>
      </c>
    </row>
    <row r="12" spans="1:15">
      <c r="A12" s="47" t="s">
        <v>112</v>
      </c>
      <c r="B12" s="48">
        <f t="shared" si="0"/>
        <v>11</v>
      </c>
      <c r="C12" s="49">
        <v>3</v>
      </c>
      <c r="D12" s="48">
        <v>2024</v>
      </c>
      <c r="E12" s="50">
        <f>'MTD Utility Sheet'!G14/0.439</f>
        <v>13672.665148063781</v>
      </c>
      <c r="F12" s="51">
        <v>0.439</v>
      </c>
      <c r="G12" s="50">
        <f>('MTD Utility Sheet'!I14/1.82)/0.5</f>
        <v>487.99999999999994</v>
      </c>
      <c r="H12" s="52">
        <f t="shared" si="1"/>
        <v>0.91</v>
      </c>
      <c r="I12" s="50">
        <f>'MTD Utility Sheet'!H14/12.38</f>
        <v>158.99838449111471</v>
      </c>
      <c r="J12" s="51">
        <v>12.38</v>
      </c>
      <c r="K12" s="53">
        <f>IF(('MTD Utility Sheet'!F14-2866)&lt;0,"0",('MTD Utility Sheet'!F14-2866)/(0.568+0.075))</f>
        <v>3966.6874027993786</v>
      </c>
      <c r="L12" s="51">
        <f>'MTD Utility Sheet'!F14/K12</f>
        <v>1.3655172313748243</v>
      </c>
      <c r="M12" s="50">
        <f>'MTD Utility Sheet'!B14*301</f>
        <v>229.964</v>
      </c>
      <c r="N12" s="48" t="s">
        <v>111</v>
      </c>
    </row>
    <row r="13" spans="1:15">
      <c r="A13" s="47" t="s">
        <v>112</v>
      </c>
      <c r="B13" s="48">
        <f t="shared" si="0"/>
        <v>12</v>
      </c>
      <c r="C13" s="49">
        <v>3</v>
      </c>
      <c r="D13" s="48">
        <v>2024</v>
      </c>
      <c r="E13" s="50">
        <f>'MTD Utility Sheet'!G15/0.439</f>
        <v>14649.293849658314</v>
      </c>
      <c r="F13" s="51">
        <v>0.439</v>
      </c>
      <c r="G13" s="50">
        <f>('MTD Utility Sheet'!I15/1.82)/0.5</f>
        <v>487.99999999999994</v>
      </c>
      <c r="H13" s="52">
        <f t="shared" si="1"/>
        <v>0.91</v>
      </c>
      <c r="I13" s="50">
        <f>'MTD Utility Sheet'!H15/12.38</f>
        <v>160.06462035541193</v>
      </c>
      <c r="J13" s="51">
        <v>12.38</v>
      </c>
      <c r="K13" s="53">
        <f>IF(('MTD Utility Sheet'!F15-2866)&lt;0,"0",('MTD Utility Sheet'!F15-2866)/(0.568+0.075))</f>
        <v>4026.3919129082437</v>
      </c>
      <c r="L13" s="51">
        <f>'MTD Utility Sheet'!F15/K13</f>
        <v>1.3548035357690507</v>
      </c>
      <c r="M13" s="50">
        <f>'MTD Utility Sheet'!B15*301</f>
        <v>219.9708</v>
      </c>
      <c r="N13" s="48" t="s">
        <v>111</v>
      </c>
    </row>
    <row r="14" spans="1:15">
      <c r="A14" s="47" t="s">
        <v>112</v>
      </c>
      <c r="B14" s="48">
        <f t="shared" si="0"/>
        <v>13</v>
      </c>
      <c r="C14" s="49">
        <v>3</v>
      </c>
      <c r="D14" s="48">
        <v>2024</v>
      </c>
      <c r="E14" s="50">
        <f>'MTD Utility Sheet'!G16/0.439</f>
        <v>13184.373576309794</v>
      </c>
      <c r="F14" s="51">
        <v>0.439</v>
      </c>
      <c r="G14" s="50">
        <f>('MTD Utility Sheet'!I16/1.82)/0.5</f>
        <v>341.60439560439562</v>
      </c>
      <c r="H14" s="52">
        <f t="shared" si="1"/>
        <v>0.91</v>
      </c>
      <c r="I14" s="50">
        <f>'MTD Utility Sheet'!H16/12.38</f>
        <v>163.2633279483037</v>
      </c>
      <c r="J14" s="51">
        <v>12.38</v>
      </c>
      <c r="K14" s="53">
        <f>IF(('MTD Utility Sheet'!F16-2866)&lt;0,"0",('MTD Utility Sheet'!F16-2866)/(0.568+0.075))</f>
        <v>3830.2021772939347</v>
      </c>
      <c r="L14" s="51">
        <f>'MTD Utility Sheet'!F16/K14</f>
        <v>1.3912633728814934</v>
      </c>
      <c r="M14" s="50">
        <f>'MTD Utility Sheet'!B16*301</f>
        <v>215.99760000000001</v>
      </c>
      <c r="N14" s="48" t="s">
        <v>111</v>
      </c>
    </row>
    <row r="15" spans="1:15">
      <c r="A15" s="47" t="s">
        <v>112</v>
      </c>
      <c r="B15" s="48">
        <f t="shared" si="0"/>
        <v>14</v>
      </c>
      <c r="C15" s="49">
        <v>3</v>
      </c>
      <c r="D15" s="48">
        <v>2024</v>
      </c>
      <c r="E15" s="50">
        <f>'MTD Utility Sheet'!G17/0.439</f>
        <v>14160.979498861048</v>
      </c>
      <c r="F15" s="51">
        <v>0.439</v>
      </c>
      <c r="G15" s="50">
        <f>('MTD Utility Sheet'!I17/1.82)/0.5</f>
        <v>341.60439560439562</v>
      </c>
      <c r="H15" s="52">
        <f t="shared" si="1"/>
        <v>0.91</v>
      </c>
      <c r="I15" s="50">
        <f>'MTD Utility Sheet'!H17/12.38</f>
        <v>150.46849757673667</v>
      </c>
      <c r="J15" s="51">
        <v>12.38</v>
      </c>
      <c r="K15" s="53">
        <f>IF(('MTD Utility Sheet'!F17-2866)&lt;0,"0",('MTD Utility Sheet'!F17-2866)/(0.568+0.075))</f>
        <v>4814.0435458786951</v>
      </c>
      <c r="L15" s="51">
        <f>'MTD Utility Sheet'!F17/K15</f>
        <v>1.2383415195950156</v>
      </c>
      <c r="M15" s="50">
        <f>'MTD Utility Sheet'!B17*301</f>
        <v>213.70999999999998</v>
      </c>
      <c r="N15" s="48" t="s">
        <v>111</v>
      </c>
    </row>
    <row r="16" spans="1:15">
      <c r="A16" s="47" t="s">
        <v>112</v>
      </c>
      <c r="B16" s="48">
        <f t="shared" si="0"/>
        <v>15</v>
      </c>
      <c r="C16" s="49">
        <v>3</v>
      </c>
      <c r="D16" s="48">
        <v>2024</v>
      </c>
      <c r="E16" s="50">
        <f>'MTD Utility Sheet'!G18/0.439</f>
        <v>14649.293849658314</v>
      </c>
      <c r="F16" s="51">
        <v>0.439</v>
      </c>
      <c r="G16" s="50">
        <f>('MTD Utility Sheet'!I18/1.82)/0.5</f>
        <v>439.19780219780222</v>
      </c>
      <c r="H16" s="52">
        <f t="shared" si="1"/>
        <v>0.91</v>
      </c>
      <c r="I16" s="50">
        <f>'MTD Utility Sheet'!H18/12.38</f>
        <v>186.72051696284328</v>
      </c>
      <c r="J16" s="51">
        <v>12.38</v>
      </c>
      <c r="K16" s="53">
        <f>IF(('MTD Utility Sheet'!F18-2866)&lt;0,"0",('MTD Utility Sheet'!F18-2866)/(0.568+0.075))</f>
        <v>4828.2581648522555</v>
      </c>
      <c r="L16" s="51">
        <f>'MTD Utility Sheet'!F18/K16</f>
        <v>1.2365888061792776</v>
      </c>
      <c r="M16" s="50">
        <f>'MTD Utility Sheet'!B18*301</f>
        <v>230.98739999999998</v>
      </c>
      <c r="N16" s="48" t="s">
        <v>111</v>
      </c>
    </row>
    <row r="17" spans="1:14">
      <c r="A17" s="47" t="s">
        <v>112</v>
      </c>
      <c r="B17" s="48">
        <f t="shared" si="0"/>
        <v>16</v>
      </c>
      <c r="C17" s="49">
        <v>3</v>
      </c>
      <c r="D17" s="48">
        <v>2024</v>
      </c>
      <c r="E17" s="50">
        <f>'MTD Utility Sheet'!G19/0.439</f>
        <v>14649.293849658314</v>
      </c>
      <c r="F17" s="51">
        <v>0.439</v>
      </c>
      <c r="G17" s="50">
        <f>('MTD Utility Sheet'!I19/1.82)/0.5</f>
        <v>390.39560439560438</v>
      </c>
      <c r="H17" s="52">
        <f t="shared" si="1"/>
        <v>0.91</v>
      </c>
      <c r="I17" s="50">
        <f>'MTD Utility Sheet'!H19/12.38</f>
        <v>179.25686591276249</v>
      </c>
      <c r="J17" s="51">
        <v>12.38</v>
      </c>
      <c r="K17" s="53">
        <f>IF(('MTD Utility Sheet'!F19-2866)&lt;0,"0",('MTD Utility Sheet'!F19-2866)/(0.568+0.075))</f>
        <v>5152.4261275272174</v>
      </c>
      <c r="L17" s="51">
        <f>'MTD Utility Sheet'!F19/K17</f>
        <v>1.1992428124273695</v>
      </c>
      <c r="M17" s="50">
        <f>'MTD Utility Sheet'!B19*301</f>
        <v>223.01089999999999</v>
      </c>
      <c r="N17" s="48" t="s">
        <v>111</v>
      </c>
    </row>
    <row r="18" spans="1:14">
      <c r="A18" s="47" t="s">
        <v>112</v>
      </c>
      <c r="B18" s="48">
        <f t="shared" si="0"/>
        <v>17</v>
      </c>
      <c r="C18" s="49">
        <v>3</v>
      </c>
      <c r="D18" s="48">
        <v>2024</v>
      </c>
      <c r="E18" s="50">
        <f>'MTD Utility Sheet'!G20/0.439</f>
        <v>15137.608200455581</v>
      </c>
      <c r="F18" s="51">
        <v>0.439</v>
      </c>
      <c r="G18" s="50">
        <f>('MTD Utility Sheet'!I20/1.82)/0.5</f>
        <v>487.99999999999994</v>
      </c>
      <c r="H18" s="52">
        <f t="shared" si="1"/>
        <v>0.91</v>
      </c>
      <c r="I18" s="50">
        <f>'MTD Utility Sheet'!H20/12.38</f>
        <v>184.58804523424877</v>
      </c>
      <c r="J18" s="51">
        <v>12.38</v>
      </c>
      <c r="K18" s="53">
        <f>IF(('MTD Utility Sheet'!F20-2866)&lt;0,"0",('MTD Utility Sheet'!F20-2866)/(0.568+0.075))</f>
        <v>5996.9362363919136</v>
      </c>
      <c r="L18" s="51">
        <f>'MTD Utility Sheet'!F20/K18</f>
        <v>1.120910700902223</v>
      </c>
      <c r="M18" s="50">
        <f>'MTD Utility Sheet'!B20*301</f>
        <v>225.75</v>
      </c>
      <c r="N18" s="48" t="s">
        <v>111</v>
      </c>
    </row>
    <row r="19" spans="1:14">
      <c r="A19" s="47" t="s">
        <v>112</v>
      </c>
      <c r="B19" s="48">
        <f t="shared" si="0"/>
        <v>18</v>
      </c>
      <c r="C19" s="49">
        <v>3</v>
      </c>
      <c r="D19" s="48">
        <v>2024</v>
      </c>
      <c r="E19" s="50">
        <f>'MTD Utility Sheet'!G21/0.439</f>
        <v>13672.665148063781</v>
      </c>
      <c r="F19" s="51">
        <v>0.439</v>
      </c>
      <c r="G19" s="50">
        <f>('MTD Utility Sheet'!I21/1.82)/0.5</f>
        <v>390.39560439560438</v>
      </c>
      <c r="H19" s="52">
        <f t="shared" si="1"/>
        <v>0.91</v>
      </c>
      <c r="I19" s="50">
        <f>'MTD Utility Sheet'!H21/12.38</f>
        <v>171.79321486268174</v>
      </c>
      <c r="J19" s="51">
        <v>12.38</v>
      </c>
      <c r="K19" s="53">
        <f>IF(('MTD Utility Sheet'!F21-2866)&lt;0,"0",('MTD Utility Sheet'!F21-2866)/(0.568+0.075))</f>
        <v>6167.5583203732513</v>
      </c>
      <c r="L19" s="51">
        <f>'MTD Utility Sheet'!F21/K19</f>
        <v>1.107689566133937</v>
      </c>
      <c r="M19" s="50">
        <f>'MTD Utility Sheet'!B21*301</f>
        <v>243.81</v>
      </c>
      <c r="N19" s="48" t="s">
        <v>111</v>
      </c>
    </row>
    <row r="20" spans="1:14">
      <c r="A20" s="47" t="s">
        <v>112</v>
      </c>
      <c r="B20" s="48">
        <f t="shared" si="0"/>
        <v>19</v>
      </c>
      <c r="C20" s="49">
        <v>3</v>
      </c>
      <c r="D20" s="48">
        <v>2024</v>
      </c>
      <c r="E20" s="50">
        <f>'MTD Utility Sheet'!G22/0.439</f>
        <v>14649.293849658314</v>
      </c>
      <c r="F20" s="51">
        <v>0.439</v>
      </c>
      <c r="G20" s="50">
        <f>('MTD Utility Sheet'!I22/1.82)/0.5</f>
        <v>390.39560439560438</v>
      </c>
      <c r="H20" s="52">
        <f t="shared" si="1"/>
        <v>0.91</v>
      </c>
      <c r="I20" s="50">
        <f>'MTD Utility Sheet'!H22/12.38</f>
        <v>197.38287560581583</v>
      </c>
      <c r="J20" s="51">
        <v>12.38</v>
      </c>
      <c r="K20" s="53">
        <f>IF(('MTD Utility Sheet'!F22-2866)&lt;0,"0",('MTD Utility Sheet'!F22-2866)/(0.568+0.075))</f>
        <v>6184.6189735614316</v>
      </c>
      <c r="L20" s="51">
        <f>'MTD Utility Sheet'!F22/K20</f>
        <v>1.1064076912824923</v>
      </c>
      <c r="M20" s="50">
        <f>'MTD Utility Sheet'!B22*301</f>
        <v>260.96699999999998</v>
      </c>
      <c r="N20" s="48" t="s">
        <v>111</v>
      </c>
    </row>
    <row r="21" spans="1:14">
      <c r="A21" s="47" t="s">
        <v>112</v>
      </c>
      <c r="B21" s="48">
        <f t="shared" si="0"/>
        <v>20</v>
      </c>
      <c r="C21" s="49">
        <v>3</v>
      </c>
      <c r="D21" s="48">
        <v>2024</v>
      </c>
      <c r="E21" s="50">
        <f>'MTD Utility Sheet'!G23/0.439</f>
        <v>14160.979498861048</v>
      </c>
      <c r="F21" s="51">
        <v>0.439</v>
      </c>
      <c r="G21" s="50">
        <f>('MTD Utility Sheet'!I23/1.82)/0.5</f>
        <v>439.19780219780222</v>
      </c>
      <c r="H21" s="52">
        <f t="shared" si="1"/>
        <v>0.91</v>
      </c>
      <c r="I21" s="50">
        <f>'MTD Utility Sheet'!H23/12.38</f>
        <v>193.11793214862681</v>
      </c>
      <c r="J21" s="51">
        <v>12.38</v>
      </c>
      <c r="K21" s="53">
        <f>IF(('MTD Utility Sheet'!F23-2866)&lt;0,"0",('MTD Utility Sheet'!F23-2866)/(0.568+0.075))</f>
        <v>6213.0482115085542</v>
      </c>
      <c r="L21" s="51">
        <f>'MTD Utility Sheet'!F23/K21</f>
        <v>1.1042872622960256</v>
      </c>
      <c r="M21" s="50">
        <f>'MTD Utility Sheet'!B23*301</f>
        <v>275.11400000000003</v>
      </c>
      <c r="N21" s="48" t="s">
        <v>111</v>
      </c>
    </row>
    <row r="22" spans="1:14">
      <c r="A22" s="47" t="s">
        <v>112</v>
      </c>
      <c r="B22" s="48">
        <f t="shared" si="0"/>
        <v>21</v>
      </c>
      <c r="C22" s="49">
        <v>3</v>
      </c>
      <c r="D22" s="48">
        <v>2024</v>
      </c>
      <c r="E22" s="50">
        <f>'MTD Utility Sheet'!G24/0.439</f>
        <v>14649.293849658314</v>
      </c>
      <c r="F22" s="51">
        <v>0.439</v>
      </c>
      <c r="G22" s="50">
        <f>('MTD Utility Sheet'!I24/1.82)/0.5</f>
        <v>439.19780219780222</v>
      </c>
      <c r="H22" s="52">
        <f t="shared" si="1"/>
        <v>0.91</v>
      </c>
      <c r="I22" s="50">
        <f>'MTD Utility Sheet'!H24/12.38</f>
        <v>200.58158319870756</v>
      </c>
      <c r="J22" s="51">
        <v>12.38</v>
      </c>
      <c r="K22" s="53">
        <f>IF(('MTD Utility Sheet'!F24-2866)&lt;0,"0",('MTD Utility Sheet'!F24-2866)/(0.568+0.075))</f>
        <v>6557.1073094867825</v>
      </c>
      <c r="L22" s="51">
        <f>'MTD Utility Sheet'!F24/K22</f>
        <v>1.0800829795409155</v>
      </c>
      <c r="M22" s="50">
        <f>'MTD Utility Sheet'!B24*301</f>
        <v>263.0138</v>
      </c>
      <c r="N22" s="48" t="s">
        <v>111</v>
      </c>
    </row>
    <row r="23" spans="1:14">
      <c r="A23" s="47" t="s">
        <v>112</v>
      </c>
      <c r="B23" s="48">
        <f t="shared" si="0"/>
        <v>22</v>
      </c>
      <c r="C23" s="49">
        <v>3</v>
      </c>
      <c r="D23" s="48">
        <v>2024</v>
      </c>
      <c r="E23" s="50">
        <f>'MTD Utility Sheet'!G25/0.439</f>
        <v>14160.979498861048</v>
      </c>
      <c r="F23" s="51">
        <v>0.439</v>
      </c>
      <c r="G23" s="50">
        <f>('MTD Utility Sheet'!I25/1.82)/0.5</f>
        <v>487.99999999999994</v>
      </c>
      <c r="H23" s="52">
        <f t="shared" si="1"/>
        <v>0.91</v>
      </c>
      <c r="I23" s="50">
        <f>'MTD Utility Sheet'!H25/12.38</f>
        <v>210.17770597738286</v>
      </c>
      <c r="J23" s="51">
        <v>12.38</v>
      </c>
      <c r="K23" s="53">
        <f>IF(('MTD Utility Sheet'!F25-2866)&lt;0,"0",('MTD Utility Sheet'!F25-2866)/(0.568+0.075))</f>
        <v>6107.838258164853</v>
      </c>
      <c r="L23" s="51">
        <f>'MTD Utility Sheet'!F25/K23</f>
        <v>1.1122331196178583</v>
      </c>
      <c r="M23" s="50">
        <f>'MTD Utility Sheet'!B25*301</f>
        <v>279.93</v>
      </c>
      <c r="N23" s="48" t="s">
        <v>111</v>
      </c>
    </row>
    <row r="24" spans="1:14">
      <c r="A24" s="47" t="s">
        <v>112</v>
      </c>
      <c r="B24" s="48">
        <f t="shared" si="0"/>
        <v>23</v>
      </c>
      <c r="C24" s="49">
        <v>3</v>
      </c>
      <c r="D24" s="48">
        <v>2024</v>
      </c>
      <c r="E24" s="50">
        <f>'MTD Utility Sheet'!G26/0.439</f>
        <v>15137.608200455581</v>
      </c>
      <c r="F24" s="51">
        <v>0.439</v>
      </c>
      <c r="G24" s="50">
        <f>('MTD Utility Sheet'!I26/1.82)/0.5</f>
        <v>439.19780219780222</v>
      </c>
      <c r="H24" s="52">
        <f t="shared" si="1"/>
        <v>0.91</v>
      </c>
      <c r="I24" s="50">
        <f>'MTD Utility Sheet'!H26/12.38</f>
        <v>199.51534733441034</v>
      </c>
      <c r="J24" s="51">
        <v>12.38</v>
      </c>
      <c r="K24" s="53">
        <f>IF(('MTD Utility Sheet'!F26-2866)&lt;0,"0",('MTD Utility Sheet'!F26-2866)/(0.568+0.075))</f>
        <v>6284.1368584758948</v>
      </c>
      <c r="L24" s="51">
        <f>'MTD Utility Sheet'!F26/K24</f>
        <v>1.0990689979459003</v>
      </c>
      <c r="M24" s="50">
        <f>'MTD Utility Sheet'!B26*301</f>
        <v>269.99700000000001</v>
      </c>
      <c r="N24" s="48" t="s">
        <v>111</v>
      </c>
    </row>
    <row r="25" spans="1:14">
      <c r="A25" s="47" t="s">
        <v>112</v>
      </c>
      <c r="B25" s="48">
        <f t="shared" si="0"/>
        <v>24</v>
      </c>
      <c r="C25" s="49">
        <v>3</v>
      </c>
      <c r="D25" s="48">
        <v>2024</v>
      </c>
      <c r="E25" s="50">
        <f>'MTD Utility Sheet'!G27/0.439</f>
        <v>14649.293849658314</v>
      </c>
      <c r="F25" s="51">
        <v>0.439</v>
      </c>
      <c r="G25" s="50">
        <f>('MTD Utility Sheet'!I27/1.82)/0.5</f>
        <v>584.65934065934061</v>
      </c>
      <c r="H25" s="52">
        <f t="shared" si="1"/>
        <v>0.91</v>
      </c>
      <c r="I25" s="50">
        <f>'MTD Utility Sheet'!H27/12.38</f>
        <v>220.84006462035541</v>
      </c>
      <c r="J25" s="51">
        <v>12.38</v>
      </c>
      <c r="K25" s="53">
        <f>IF(('MTD Utility Sheet'!F27-2866)&lt;0,"0",('MTD Utility Sheet'!F27-2866)/(0.568+0.075))</f>
        <v>6488.8646967340601</v>
      </c>
      <c r="L25" s="51">
        <f>'MTD Utility Sheet'!F27/K25</f>
        <v>1.0846797288811554</v>
      </c>
      <c r="M25" s="50">
        <f>'MTD Utility Sheet'!B27*301</f>
        <v>263.0138</v>
      </c>
      <c r="N25" s="48" t="s">
        <v>111</v>
      </c>
    </row>
    <row r="26" spans="1:14">
      <c r="A26" s="47" t="s">
        <v>112</v>
      </c>
      <c r="B26" s="48">
        <f t="shared" si="0"/>
        <v>25</v>
      </c>
      <c r="C26" s="49">
        <v>3</v>
      </c>
      <c r="D26" s="48">
        <v>2024</v>
      </c>
      <c r="E26" s="50">
        <f>'MTD Utility Sheet'!G28/0.439</f>
        <v>14649.293849658314</v>
      </c>
      <c r="F26" s="51">
        <v>0.439</v>
      </c>
      <c r="G26" s="50">
        <f>('MTD Utility Sheet'!I28/1.82)/0.5</f>
        <v>390.39560439560438</v>
      </c>
      <c r="H26" s="52">
        <f t="shared" si="1"/>
        <v>0.91</v>
      </c>
      <c r="I26" s="50">
        <f>'MTD Utility Sheet'!H28/12.38</f>
        <v>213.37641357027462</v>
      </c>
      <c r="J26" s="51">
        <v>12.38</v>
      </c>
      <c r="K26" s="53">
        <f>IF(('MTD Utility Sheet'!F28-2866)&lt;0,"0",('MTD Utility Sheet'!F28-2866)/(0.568+0.075))</f>
        <v>6491.7107309486792</v>
      </c>
      <c r="L26" s="51">
        <f>'MTD Utility Sheet'!F28/K26</f>
        <v>1.0844860918458039</v>
      </c>
      <c r="M26" s="50">
        <f>'MTD Utility Sheet'!B28*301</f>
        <v>248.9872</v>
      </c>
      <c r="N26" s="48" t="s">
        <v>111</v>
      </c>
    </row>
    <row r="27" spans="1:14">
      <c r="A27" s="47" t="s">
        <v>112</v>
      </c>
      <c r="B27" s="48">
        <f t="shared" si="0"/>
        <v>26</v>
      </c>
      <c r="C27" s="49">
        <v>3</v>
      </c>
      <c r="D27" s="48">
        <v>2024</v>
      </c>
      <c r="E27" s="50">
        <f>'MTD Utility Sheet'!G29/0.439</f>
        <v>15137.608200455581</v>
      </c>
      <c r="F27" s="51">
        <v>0.439</v>
      </c>
      <c r="G27" s="50">
        <f>('MTD Utility Sheet'!I29/1.82)/0.5</f>
        <v>585.60439560439556</v>
      </c>
      <c r="H27" s="52">
        <f t="shared" si="1"/>
        <v>0.91</v>
      </c>
      <c r="I27" s="50">
        <f>'MTD Utility Sheet'!H29/12.38</f>
        <v>202.71405492730207</v>
      </c>
      <c r="J27" s="51">
        <v>12.38</v>
      </c>
      <c r="K27" s="53">
        <f>IF(('MTD Utility Sheet'!F29-2866)&lt;0,"0",('MTD Utility Sheet'!F29-2866)/(0.568+0.075))</f>
        <v>5783.6858475894251</v>
      </c>
      <c r="L27" s="51">
        <f>'MTD Utility Sheet'!F29/K27</f>
        <v>1.1385317552723782</v>
      </c>
      <c r="M27" s="50">
        <f>'MTD Utility Sheet'!B29*301</f>
        <v>255.85</v>
      </c>
      <c r="N27" s="48" t="s">
        <v>111</v>
      </c>
    </row>
    <row r="28" spans="1:14">
      <c r="A28" s="47" t="s">
        <v>112</v>
      </c>
      <c r="B28" s="48">
        <f t="shared" si="0"/>
        <v>27</v>
      </c>
      <c r="C28" s="49">
        <v>3</v>
      </c>
      <c r="D28" s="48">
        <v>2024</v>
      </c>
      <c r="E28" s="50">
        <f>'MTD Utility Sheet'!G30/0.439</f>
        <v>14649.293849658314</v>
      </c>
      <c r="F28" s="51">
        <v>0.439</v>
      </c>
      <c r="G28" s="50">
        <f>('MTD Utility Sheet'!I30/1.82)/0.5</f>
        <v>536.80219780219784</v>
      </c>
      <c r="H28" s="52">
        <f t="shared" si="1"/>
        <v>0.91</v>
      </c>
      <c r="I28" s="50">
        <f>'MTD Utility Sheet'!H30/12.38</f>
        <v>199.51534733441034</v>
      </c>
      <c r="J28" s="51">
        <v>12.38</v>
      </c>
      <c r="K28" s="53">
        <f>IF(('MTD Utility Sheet'!F30-2866)&lt;0,"0",('MTD Utility Sheet'!F30-2866)/(0.568+0.075))</f>
        <v>4313.5925349922254</v>
      </c>
      <c r="L28" s="51">
        <f>'MTD Utility Sheet'!F30/K28</f>
        <v>1.3074113872023763</v>
      </c>
      <c r="M28" s="50">
        <f>'MTD Utility Sheet'!B30*301</f>
        <v>265.00040000000001</v>
      </c>
      <c r="N28" s="48" t="s">
        <v>111</v>
      </c>
    </row>
    <row r="29" spans="1:14">
      <c r="A29" s="47" t="s">
        <v>112</v>
      </c>
      <c r="B29" s="48">
        <f t="shared" si="0"/>
        <v>28</v>
      </c>
      <c r="C29" s="49">
        <v>3</v>
      </c>
      <c r="D29" s="48">
        <v>2024</v>
      </c>
      <c r="E29" s="50">
        <f>'MTD Utility Sheet'!G31/0.439</f>
        <v>14649.293849658314</v>
      </c>
      <c r="F29" s="51">
        <v>0.439</v>
      </c>
      <c r="G29" s="50">
        <f>('MTD Utility Sheet'!I31/1.82)/0.5</f>
        <v>536.80219780219784</v>
      </c>
      <c r="H29" s="52">
        <f t="shared" si="1"/>
        <v>0.91</v>
      </c>
      <c r="I29" s="50">
        <f>'MTD Utility Sheet'!H31/12.38</f>
        <v>202.71405492730207</v>
      </c>
      <c r="J29" s="51">
        <v>12.38</v>
      </c>
      <c r="K29" s="53">
        <f>IF(('MTD Utility Sheet'!F31-2866)&lt;0,"0",('MTD Utility Sheet'!F31-2866)/(0.568+0.075))</f>
        <v>4319.2690513219286</v>
      </c>
      <c r="L29" s="51">
        <f>'MTD Utility Sheet'!F31/K29</f>
        <v>1.3065381973074472</v>
      </c>
      <c r="M29" s="50">
        <f>'MTD Utility Sheet'!B31*301</f>
        <v>291.96999999999997</v>
      </c>
      <c r="N29" s="48" t="s">
        <v>111</v>
      </c>
    </row>
    <row r="30" spans="1:14">
      <c r="A30" s="47" t="s">
        <v>112</v>
      </c>
      <c r="B30" s="48">
        <f t="shared" si="0"/>
        <v>29</v>
      </c>
      <c r="C30" s="49">
        <v>3</v>
      </c>
      <c r="D30" s="48">
        <v>2024</v>
      </c>
      <c r="E30" s="50">
        <f>'MTD Utility Sheet'!G32/0.439</f>
        <v>14649.293849658314</v>
      </c>
      <c r="F30" s="51">
        <v>0.439</v>
      </c>
      <c r="G30" s="50">
        <f>('MTD Utility Sheet'!I32/1.82)/0.5</f>
        <v>536.80219780219784</v>
      </c>
      <c r="H30" s="52">
        <f t="shared" si="1"/>
        <v>0.91</v>
      </c>
      <c r="I30" s="50">
        <f>'MTD Utility Sheet'!H32/12.38</f>
        <v>226.17124394184165</v>
      </c>
      <c r="J30" s="51">
        <v>12.38</v>
      </c>
      <c r="K30" s="53">
        <f>IF(('MTD Utility Sheet'!F32-2866)&lt;0,"0",('MTD Utility Sheet'!F32-2866)/(0.568+0.075))</f>
        <v>4364.7744945567665</v>
      </c>
      <c r="L30" s="51">
        <f>'MTD Utility Sheet'!F32/K30</f>
        <v>1.2996204058363467</v>
      </c>
      <c r="M30" s="50">
        <f>'MTD Utility Sheet'!B32*301</f>
        <v>288.95999999999998</v>
      </c>
      <c r="N30" s="48" t="s">
        <v>111</v>
      </c>
    </row>
    <row r="31" spans="1:14">
      <c r="A31" s="47" t="s">
        <v>112</v>
      </c>
      <c r="B31" s="48">
        <f t="shared" si="0"/>
        <v>30</v>
      </c>
      <c r="C31" s="49">
        <v>3</v>
      </c>
      <c r="D31" s="48">
        <v>2025</v>
      </c>
      <c r="E31" s="50">
        <f>'MTD Utility Sheet'!G33/0.439</f>
        <v>14160.979498861048</v>
      </c>
      <c r="F31" s="51">
        <v>0.439</v>
      </c>
      <c r="G31" s="50">
        <f>('MTD Utility Sheet'!I33/1.82)/0.5</f>
        <v>536.80219780219784</v>
      </c>
      <c r="H31" s="52">
        <f t="shared" si="1"/>
        <v>0.91</v>
      </c>
      <c r="I31" s="50">
        <f>'MTD Utility Sheet'!H33/12.38</f>
        <v>206.97899838449112</v>
      </c>
      <c r="J31" s="51">
        <v>12.38</v>
      </c>
      <c r="K31" s="53">
        <f>IF(('MTD Utility Sheet'!F33-2866)&lt;0,"0",('MTD Utility Sheet'!F33-2866)/(0.568+0.075))</f>
        <v>4956.2208398133762</v>
      </c>
      <c r="L31" s="51">
        <f>'MTD Utility Sheet'!F33/K31</f>
        <v>1.2212631752357341</v>
      </c>
      <c r="M31" s="50">
        <f>'MTD Utility Sheet'!B33*301</f>
        <v>282.94</v>
      </c>
    </row>
    <row r="32" spans="1:14">
      <c r="A32" s="47" t="s">
        <v>112</v>
      </c>
      <c r="B32" s="48">
        <f t="shared" si="0"/>
        <v>31</v>
      </c>
      <c r="C32" s="49">
        <v>3</v>
      </c>
      <c r="D32" s="48">
        <v>2026</v>
      </c>
      <c r="E32" s="50">
        <f>'MTD Utility Sheet'!G34/0.439</f>
        <v>15137.608200455581</v>
      </c>
      <c r="F32" s="51">
        <v>0.439</v>
      </c>
      <c r="G32" s="50">
        <f>('MTD Utility Sheet'!I34/1.82)/0.5</f>
        <v>585.60439560439556</v>
      </c>
      <c r="H32" s="52">
        <f t="shared" si="1"/>
        <v>0.91</v>
      </c>
      <c r="I32" s="50">
        <f>'MTD Utility Sheet'!H34/12.38</f>
        <v>213.37641357027462</v>
      </c>
      <c r="J32" s="51">
        <v>12.38</v>
      </c>
      <c r="K32" s="53">
        <f>IF(('MTD Utility Sheet'!F34-2866)&lt;0,"0",('MTD Utility Sheet'!F34-2866)/(0.568+0.075))</f>
        <v>5957.1384136858478</v>
      </c>
      <c r="L32" s="51">
        <f>'MTD Utility Sheet'!F34/K32</f>
        <v>1.1241034763630287</v>
      </c>
      <c r="M32" s="50">
        <f>'MTD Utility Sheet'!B34*301</f>
        <v>280.92329999999998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zoomScaleNormal="100" zoomScaleSheetLayoutView="100" workbookViewId="0">
      <pane ySplit="3" topLeftCell="A14" activePane="bottomLeft" state="frozen"/>
      <selection activeCell="A5" sqref="A5:H5"/>
      <selection pane="bottomLeft" activeCell="I28" sqref="I28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5" t="s">
        <v>56</v>
      </c>
      <c r="B1" s="55"/>
      <c r="C1" s="55"/>
      <c r="D1" s="55"/>
      <c r="E1" s="55"/>
      <c r="F1" s="55"/>
      <c r="G1" s="55"/>
      <c r="H1" s="55"/>
      <c r="I1" s="55"/>
      <c r="J1" s="55"/>
    </row>
    <row r="2" spans="1:10">
      <c r="A2" s="55"/>
      <c r="B2" s="55"/>
      <c r="C2" s="55"/>
      <c r="D2" s="55"/>
      <c r="E2" s="55"/>
      <c r="F2" s="55"/>
      <c r="G2" s="55"/>
      <c r="H2" s="55"/>
      <c r="I2" s="55"/>
      <c r="J2" s="55"/>
    </row>
    <row r="3" spans="1:10" s="4" customFormat="1" ht="30.75" customHeight="1">
      <c r="A3" s="18"/>
      <c r="B3" s="19" t="s">
        <v>10</v>
      </c>
      <c r="C3" s="28" t="s">
        <v>49</v>
      </c>
      <c r="D3" s="19" t="s">
        <v>11</v>
      </c>
      <c r="E3" s="28" t="s">
        <v>46</v>
      </c>
      <c r="F3" s="20" t="s">
        <v>7</v>
      </c>
      <c r="G3" s="18" t="s">
        <v>5</v>
      </c>
      <c r="H3" s="18" t="s">
        <v>6</v>
      </c>
      <c r="I3" s="33" t="s">
        <v>8</v>
      </c>
      <c r="J3" s="18" t="s">
        <v>9</v>
      </c>
    </row>
    <row r="4" spans="1:10" s="4" customFormat="1" ht="21" customHeight="1">
      <c r="A4" s="21">
        <v>1</v>
      </c>
      <c r="B4" s="22">
        <v>1</v>
      </c>
      <c r="C4" s="23" t="s">
        <v>58</v>
      </c>
      <c r="D4" s="22">
        <v>0.66100000000000003</v>
      </c>
      <c r="E4" s="25">
        <v>1393</v>
      </c>
      <c r="F4" s="24">
        <v>4831.5</v>
      </c>
      <c r="G4" s="24">
        <v>6645.41</v>
      </c>
      <c r="H4" s="24">
        <v>2720.8</v>
      </c>
      <c r="I4" s="24">
        <v>444.08</v>
      </c>
      <c r="J4" s="24">
        <f>SUM(F4+G4+H4+I4)</f>
        <v>14641.789999999999</v>
      </c>
    </row>
    <row r="5" spans="1:10" s="4" customFormat="1" ht="21" customHeight="1">
      <c r="A5" s="21">
        <v>2</v>
      </c>
      <c r="B5" s="22">
        <v>0.99670000000000003</v>
      </c>
      <c r="C5" s="23" t="s">
        <v>55</v>
      </c>
      <c r="D5" s="22">
        <v>0.74</v>
      </c>
      <c r="E5" s="25">
        <v>1573</v>
      </c>
      <c r="F5" s="24">
        <v>4657.8</v>
      </c>
      <c r="G5" s="24">
        <v>6216.67</v>
      </c>
      <c r="H5" s="24">
        <v>2338</v>
      </c>
      <c r="I5" s="24">
        <v>355.26</v>
      </c>
      <c r="J5" s="24">
        <f t="shared" ref="J5:J34" si="0">SUM(F5+G5+H5+I5)</f>
        <v>13567.730000000001</v>
      </c>
    </row>
    <row r="6" spans="1:10" s="4" customFormat="1" ht="21" customHeight="1">
      <c r="A6" s="21">
        <v>3</v>
      </c>
      <c r="B6" s="22">
        <v>0.99670000000000003</v>
      </c>
      <c r="C6" s="23" t="s">
        <v>61</v>
      </c>
      <c r="D6" s="22">
        <v>0.71</v>
      </c>
      <c r="E6" s="25">
        <v>1274</v>
      </c>
      <c r="F6" s="24">
        <v>4727.28</v>
      </c>
      <c r="G6" s="24">
        <v>6216.67</v>
      </c>
      <c r="H6" s="24">
        <v>2628.4</v>
      </c>
      <c r="I6" s="24">
        <v>532.9</v>
      </c>
      <c r="J6" s="24">
        <f t="shared" si="0"/>
        <v>14105.25</v>
      </c>
    </row>
    <row r="7" spans="1:10" s="4" customFormat="1" ht="21" customHeight="1">
      <c r="A7" s="21">
        <v>4</v>
      </c>
      <c r="B7" s="22">
        <v>1</v>
      </c>
      <c r="C7" s="23" t="s">
        <v>63</v>
      </c>
      <c r="D7" s="22">
        <v>0.7</v>
      </c>
      <c r="E7" s="25">
        <v>1170</v>
      </c>
      <c r="F7" s="24">
        <v>4970.45</v>
      </c>
      <c r="G7" s="24">
        <v>6216.67</v>
      </c>
      <c r="H7" s="24">
        <v>2509.6</v>
      </c>
      <c r="I7" s="24">
        <v>444.08</v>
      </c>
      <c r="J7" s="24">
        <f t="shared" si="0"/>
        <v>14140.8</v>
      </c>
    </row>
    <row r="8" spans="1:10" s="4" customFormat="1" ht="21" customHeight="1">
      <c r="A8" s="21">
        <v>5</v>
      </c>
      <c r="B8" s="22">
        <v>0.99</v>
      </c>
      <c r="C8" s="23" t="s">
        <v>65</v>
      </c>
      <c r="D8" s="22">
        <v>0.72</v>
      </c>
      <c r="E8" s="25">
        <v>1126</v>
      </c>
      <c r="F8" s="24">
        <v>5597.59</v>
      </c>
      <c r="G8" s="24">
        <v>6216.67</v>
      </c>
      <c r="H8" s="24">
        <v>2509.6</v>
      </c>
      <c r="I8" s="24">
        <v>444.08</v>
      </c>
      <c r="J8" s="24">
        <f t="shared" si="0"/>
        <v>14767.94</v>
      </c>
    </row>
    <row r="9" spans="1:10" s="4" customFormat="1" ht="21" customHeight="1">
      <c r="A9" s="21">
        <v>6</v>
      </c>
      <c r="B9" s="22">
        <v>1</v>
      </c>
      <c r="C9" s="23" t="s">
        <v>67</v>
      </c>
      <c r="D9" s="22">
        <v>0.67049999999999998</v>
      </c>
      <c r="E9" s="25">
        <v>1358</v>
      </c>
      <c r="F9" s="24">
        <v>5217.28</v>
      </c>
      <c r="G9" s="24">
        <v>6431.04</v>
      </c>
      <c r="H9" s="24">
        <v>2839.6</v>
      </c>
      <c r="I9" s="24">
        <v>444.08</v>
      </c>
      <c r="J9" s="24">
        <f t="shared" si="0"/>
        <v>14932</v>
      </c>
    </row>
    <row r="10" spans="1:10" s="4" customFormat="1" ht="21" customHeight="1">
      <c r="A10" s="21">
        <v>7</v>
      </c>
      <c r="B10" s="22">
        <v>0.99339999999999995</v>
      </c>
      <c r="C10" s="23" t="s">
        <v>69</v>
      </c>
      <c r="D10" s="22">
        <v>0.88</v>
      </c>
      <c r="E10" s="25">
        <v>1421</v>
      </c>
      <c r="F10" s="24">
        <v>5312.36</v>
      </c>
      <c r="G10" s="24">
        <v>6216.67</v>
      </c>
      <c r="H10" s="24">
        <v>2522.8000000000002</v>
      </c>
      <c r="I10" s="24">
        <v>355.26</v>
      </c>
      <c r="J10" s="24">
        <f t="shared" si="0"/>
        <v>14407.089999999998</v>
      </c>
    </row>
    <row r="11" spans="1:10" s="4" customFormat="1" ht="21" customHeight="1">
      <c r="A11" s="21">
        <v>8</v>
      </c>
      <c r="B11" s="22">
        <v>0.99</v>
      </c>
      <c r="C11" s="23" t="s">
        <v>58</v>
      </c>
      <c r="D11" s="22">
        <v>0.84</v>
      </c>
      <c r="E11" s="25">
        <v>1385</v>
      </c>
      <c r="F11" s="24">
        <v>5944.98</v>
      </c>
      <c r="G11" s="24">
        <v>6431.04</v>
      </c>
      <c r="H11" s="24">
        <v>2734</v>
      </c>
      <c r="I11" s="24">
        <v>355.26</v>
      </c>
      <c r="J11" s="24">
        <f t="shared" si="0"/>
        <v>15465.28</v>
      </c>
    </row>
    <row r="12" spans="1:10" s="4" customFormat="1" ht="21" customHeight="1">
      <c r="A12" s="21">
        <v>9</v>
      </c>
      <c r="B12" s="22">
        <v>0.96350000000000002</v>
      </c>
      <c r="C12" s="23" t="s">
        <v>55</v>
      </c>
      <c r="D12" s="22">
        <v>0.85</v>
      </c>
      <c r="E12" s="25">
        <v>1442</v>
      </c>
      <c r="F12" s="24">
        <v>5451.32</v>
      </c>
      <c r="G12" s="24">
        <v>6645.41</v>
      </c>
      <c r="H12" s="24">
        <v>2338</v>
      </c>
      <c r="I12" s="24">
        <v>399.67</v>
      </c>
      <c r="J12" s="24">
        <f t="shared" si="0"/>
        <v>14834.4</v>
      </c>
    </row>
    <row r="13" spans="1:10" s="4" customFormat="1" ht="21" customHeight="1">
      <c r="A13" s="21">
        <v>10</v>
      </c>
      <c r="B13" s="22">
        <v>0.84719999999999995</v>
      </c>
      <c r="C13" s="23" t="s">
        <v>55</v>
      </c>
      <c r="D13" s="22">
        <v>0.99</v>
      </c>
      <c r="E13" s="25">
        <v>1270</v>
      </c>
      <c r="F13" s="24">
        <v>5414.75</v>
      </c>
      <c r="G13" s="24">
        <v>6431.04</v>
      </c>
      <c r="H13" s="24">
        <v>2179.6</v>
      </c>
      <c r="I13" s="24">
        <v>355.26</v>
      </c>
      <c r="J13" s="24">
        <f t="shared" si="0"/>
        <v>14380.650000000001</v>
      </c>
    </row>
    <row r="14" spans="1:10" s="4" customFormat="1" ht="21" customHeight="1">
      <c r="A14" s="21">
        <v>11</v>
      </c>
      <c r="B14" s="22">
        <v>0.76400000000000001</v>
      </c>
      <c r="C14" s="23" t="s">
        <v>74</v>
      </c>
      <c r="D14" s="22">
        <v>0.86</v>
      </c>
      <c r="E14" s="25">
        <v>1133</v>
      </c>
      <c r="F14" s="24">
        <v>5416.58</v>
      </c>
      <c r="G14" s="24">
        <v>6002.3</v>
      </c>
      <c r="H14" s="24">
        <v>1968.4</v>
      </c>
      <c r="I14" s="24">
        <v>444.08</v>
      </c>
      <c r="J14" s="24">
        <f t="shared" si="0"/>
        <v>13831.36</v>
      </c>
    </row>
    <row r="15" spans="1:10" s="4" customFormat="1" ht="21" customHeight="1">
      <c r="A15" s="21">
        <v>12</v>
      </c>
      <c r="B15" s="22">
        <v>0.73080000000000001</v>
      </c>
      <c r="C15" s="23" t="s">
        <v>78</v>
      </c>
      <c r="D15" s="22">
        <v>0.78</v>
      </c>
      <c r="E15" s="25">
        <v>1087</v>
      </c>
      <c r="F15" s="24">
        <v>5454.97</v>
      </c>
      <c r="G15" s="24">
        <v>6431.04</v>
      </c>
      <c r="H15" s="24">
        <v>1981.6</v>
      </c>
      <c r="I15" s="24">
        <v>444.08</v>
      </c>
      <c r="J15" s="24">
        <f t="shared" si="0"/>
        <v>14311.69</v>
      </c>
    </row>
    <row r="16" spans="1:10" s="4" customFormat="1" ht="21" customHeight="1">
      <c r="A16" s="21">
        <v>13</v>
      </c>
      <c r="B16" s="22">
        <v>0.71760000000000002</v>
      </c>
      <c r="C16" s="23" t="s">
        <v>77</v>
      </c>
      <c r="D16" s="22">
        <v>0.82</v>
      </c>
      <c r="E16" s="25">
        <v>1076</v>
      </c>
      <c r="F16" s="24">
        <v>5328.82</v>
      </c>
      <c r="G16" s="24">
        <v>5787.94</v>
      </c>
      <c r="H16" s="24">
        <v>2021.2</v>
      </c>
      <c r="I16" s="24">
        <v>310.86</v>
      </c>
      <c r="J16" s="24">
        <f t="shared" si="0"/>
        <v>13448.82</v>
      </c>
    </row>
    <row r="17" spans="1:10" s="4" customFormat="1" ht="21" customHeight="1">
      <c r="A17" s="21">
        <v>14</v>
      </c>
      <c r="B17" s="22">
        <v>0.71</v>
      </c>
      <c r="C17" s="23" t="s">
        <v>80</v>
      </c>
      <c r="D17" s="22">
        <v>0.98</v>
      </c>
      <c r="E17" s="25">
        <v>1078</v>
      </c>
      <c r="F17" s="24">
        <v>5961.43</v>
      </c>
      <c r="G17" s="24">
        <v>6216.67</v>
      </c>
      <c r="H17" s="24">
        <v>1862.8</v>
      </c>
      <c r="I17" s="24">
        <v>310.86</v>
      </c>
      <c r="J17" s="24">
        <f t="shared" si="0"/>
        <v>14351.76</v>
      </c>
    </row>
    <row r="18" spans="1:10" s="4" customFormat="1" ht="21" customHeight="1">
      <c r="A18" s="21">
        <v>15</v>
      </c>
      <c r="B18" s="22">
        <v>0.76739999999999997</v>
      </c>
      <c r="C18" s="23" t="s">
        <v>82</v>
      </c>
      <c r="D18" s="22">
        <v>0.84</v>
      </c>
      <c r="E18" s="25">
        <v>1519</v>
      </c>
      <c r="F18" s="24">
        <v>5970.57</v>
      </c>
      <c r="G18" s="24">
        <v>6431.04</v>
      </c>
      <c r="H18" s="24">
        <v>2311.6</v>
      </c>
      <c r="I18" s="24">
        <v>399.67</v>
      </c>
      <c r="J18" s="24">
        <f t="shared" si="0"/>
        <v>15112.880000000001</v>
      </c>
    </row>
    <row r="19" spans="1:10" s="4" customFormat="1" ht="21" customHeight="1">
      <c r="A19" s="21">
        <v>16</v>
      </c>
      <c r="B19" s="22">
        <v>0.7409</v>
      </c>
      <c r="C19" s="23" t="s">
        <v>78</v>
      </c>
      <c r="D19" s="22">
        <v>0.85</v>
      </c>
      <c r="E19" s="25">
        <v>1376</v>
      </c>
      <c r="F19" s="24">
        <v>6179.01</v>
      </c>
      <c r="G19" s="24">
        <v>6431.04</v>
      </c>
      <c r="H19" s="24">
        <v>2219.1999999999998</v>
      </c>
      <c r="I19" s="24">
        <v>355.26</v>
      </c>
      <c r="J19" s="24">
        <f t="shared" si="0"/>
        <v>15184.51</v>
      </c>
    </row>
    <row r="20" spans="1:10" s="4" customFormat="1" ht="21" customHeight="1">
      <c r="A20" s="21">
        <v>17</v>
      </c>
      <c r="B20" s="22">
        <v>0.75</v>
      </c>
      <c r="C20" s="23" t="s">
        <v>78</v>
      </c>
      <c r="D20" s="22">
        <v>0.86</v>
      </c>
      <c r="E20" s="25">
        <v>1284</v>
      </c>
      <c r="F20" s="24">
        <v>6722.03</v>
      </c>
      <c r="G20" s="24">
        <v>6645.41</v>
      </c>
      <c r="H20" s="24">
        <v>2285.1999999999998</v>
      </c>
      <c r="I20" s="24">
        <v>444.08</v>
      </c>
      <c r="J20" s="24">
        <f t="shared" si="0"/>
        <v>16096.72</v>
      </c>
    </row>
    <row r="21" spans="1:10" s="4" customFormat="1" ht="21" customHeight="1">
      <c r="A21" s="21">
        <v>18</v>
      </c>
      <c r="B21" s="22">
        <v>0.81</v>
      </c>
      <c r="C21" s="23" t="s">
        <v>86</v>
      </c>
      <c r="D21" s="22">
        <v>0.94</v>
      </c>
      <c r="E21" s="25">
        <v>1368</v>
      </c>
      <c r="F21" s="24">
        <v>6831.74</v>
      </c>
      <c r="G21" s="24">
        <v>6002.3</v>
      </c>
      <c r="H21" s="24">
        <v>2126.8000000000002</v>
      </c>
      <c r="I21" s="24">
        <v>355.26</v>
      </c>
      <c r="J21" s="24">
        <f t="shared" si="0"/>
        <v>15316.1</v>
      </c>
    </row>
    <row r="22" spans="1:10" s="4" customFormat="1" ht="21" customHeight="1">
      <c r="A22" s="21">
        <v>19</v>
      </c>
      <c r="B22" s="22">
        <v>0.86699999999999999</v>
      </c>
      <c r="C22" s="23" t="s">
        <v>88</v>
      </c>
      <c r="D22" s="22">
        <v>0.78</v>
      </c>
      <c r="E22" s="25">
        <v>1420</v>
      </c>
      <c r="F22" s="24">
        <v>6842.71</v>
      </c>
      <c r="G22" s="24">
        <v>6431.04</v>
      </c>
      <c r="H22" s="24">
        <v>2443.6</v>
      </c>
      <c r="I22" s="24">
        <v>355.26</v>
      </c>
      <c r="J22" s="24">
        <f t="shared" si="0"/>
        <v>16072.61</v>
      </c>
    </row>
    <row r="23" spans="1:10" s="4" customFormat="1" ht="21" customHeight="1">
      <c r="A23" s="21">
        <v>20</v>
      </c>
      <c r="B23" s="22">
        <v>0.91400000000000003</v>
      </c>
      <c r="C23" s="23" t="s">
        <v>90</v>
      </c>
      <c r="D23" s="22">
        <v>0.64</v>
      </c>
      <c r="E23" s="25">
        <v>1263</v>
      </c>
      <c r="F23" s="24">
        <v>6860.99</v>
      </c>
      <c r="G23" s="24">
        <v>6216.67</v>
      </c>
      <c r="H23" s="24">
        <v>2390.8000000000002</v>
      </c>
      <c r="I23" s="24">
        <v>399.67</v>
      </c>
      <c r="J23" s="24">
        <f t="shared" si="0"/>
        <v>15868.13</v>
      </c>
    </row>
    <row r="24" spans="1:10" s="4" customFormat="1" ht="21" customHeight="1">
      <c r="A24" s="21">
        <v>21</v>
      </c>
      <c r="B24" s="22">
        <v>0.87380000000000002</v>
      </c>
      <c r="C24" s="23" t="s">
        <v>92</v>
      </c>
      <c r="D24" s="22">
        <v>0.97</v>
      </c>
      <c r="E24" s="25">
        <v>1355</v>
      </c>
      <c r="F24" s="24">
        <v>7082.22</v>
      </c>
      <c r="G24" s="24">
        <v>6431.04</v>
      </c>
      <c r="H24" s="24">
        <v>2483.1999999999998</v>
      </c>
      <c r="I24" s="24">
        <v>399.67</v>
      </c>
      <c r="J24" s="24">
        <f t="shared" si="0"/>
        <v>16396.129999999997</v>
      </c>
    </row>
    <row r="25" spans="1:10" s="4" customFormat="1" ht="21" customHeight="1">
      <c r="A25" s="21">
        <v>22</v>
      </c>
      <c r="B25" s="22">
        <v>0.93</v>
      </c>
      <c r="C25" s="23" t="s">
        <v>86</v>
      </c>
      <c r="D25" s="22">
        <v>0.85</v>
      </c>
      <c r="E25" s="25">
        <v>1443</v>
      </c>
      <c r="F25" s="24">
        <v>6793.34</v>
      </c>
      <c r="G25" s="24">
        <v>6216.67</v>
      </c>
      <c r="H25" s="24">
        <v>2602</v>
      </c>
      <c r="I25" s="24">
        <v>444.08</v>
      </c>
      <c r="J25" s="24">
        <f t="shared" si="0"/>
        <v>16056.09</v>
      </c>
    </row>
    <row r="26" spans="1:10" s="4" customFormat="1" ht="21" customHeight="1">
      <c r="A26" s="21">
        <v>23</v>
      </c>
      <c r="B26" s="22">
        <v>0.89700000000000002</v>
      </c>
      <c r="C26" s="23" t="s">
        <v>92</v>
      </c>
      <c r="D26" s="22">
        <v>0.82</v>
      </c>
      <c r="E26" s="25">
        <v>1530</v>
      </c>
      <c r="F26" s="24">
        <v>6906.7</v>
      </c>
      <c r="G26" s="24">
        <v>6645.41</v>
      </c>
      <c r="H26" s="24">
        <v>2470</v>
      </c>
      <c r="I26" s="24">
        <v>399.67</v>
      </c>
      <c r="J26" s="24">
        <f t="shared" si="0"/>
        <v>16421.78</v>
      </c>
    </row>
    <row r="27" spans="1:10" s="4" customFormat="1" ht="21" customHeight="1">
      <c r="A27" s="21">
        <v>24</v>
      </c>
      <c r="B27" s="22">
        <v>0.87380000000000002</v>
      </c>
      <c r="C27" s="23" t="s">
        <v>96</v>
      </c>
      <c r="D27" s="22">
        <v>0.56000000000000005</v>
      </c>
      <c r="E27" s="25">
        <v>1472</v>
      </c>
      <c r="F27" s="24">
        <v>7038.34</v>
      </c>
      <c r="G27" s="24">
        <v>6431.04</v>
      </c>
      <c r="H27" s="24">
        <v>2734</v>
      </c>
      <c r="I27" s="24">
        <v>532.04</v>
      </c>
      <c r="J27" s="24">
        <f t="shared" si="0"/>
        <v>16735.420000000002</v>
      </c>
    </row>
    <row r="28" spans="1:10" s="4" customFormat="1" ht="21" customHeight="1">
      <c r="A28" s="21">
        <v>25</v>
      </c>
      <c r="B28" s="22">
        <v>0.82720000000000005</v>
      </c>
      <c r="C28" s="23" t="s">
        <v>82</v>
      </c>
      <c r="D28" s="22">
        <v>0.81</v>
      </c>
      <c r="E28" s="25">
        <v>1419</v>
      </c>
      <c r="F28" s="24">
        <v>7040.17</v>
      </c>
      <c r="G28" s="24">
        <v>6431.04</v>
      </c>
      <c r="H28" s="24">
        <v>2641.6</v>
      </c>
      <c r="I28" s="24">
        <v>355.26</v>
      </c>
      <c r="J28" s="24">
        <f t="shared" si="0"/>
        <v>16468.07</v>
      </c>
    </row>
    <row r="29" spans="1:10" s="4" customFormat="1" ht="21" customHeight="1">
      <c r="A29" s="21">
        <v>26</v>
      </c>
      <c r="B29" s="22">
        <v>0.85</v>
      </c>
      <c r="C29" s="23" t="s">
        <v>80</v>
      </c>
      <c r="D29" s="22">
        <v>0.7</v>
      </c>
      <c r="E29" s="25">
        <v>1298</v>
      </c>
      <c r="F29" s="24">
        <v>6584.91</v>
      </c>
      <c r="G29" s="24">
        <v>6645.41</v>
      </c>
      <c r="H29" s="24">
        <v>2509.6</v>
      </c>
      <c r="I29" s="24">
        <v>532.9</v>
      </c>
      <c r="J29" s="24">
        <f t="shared" si="0"/>
        <v>16272.82</v>
      </c>
    </row>
    <row r="30" spans="1:10" s="4" customFormat="1" ht="21" customHeight="1">
      <c r="A30" s="21">
        <v>27</v>
      </c>
      <c r="B30" s="93">
        <v>0.88039999999999996</v>
      </c>
      <c r="C30" s="94" t="s">
        <v>120</v>
      </c>
      <c r="D30" s="93">
        <v>0.63</v>
      </c>
      <c r="E30" s="95">
        <v>1265</v>
      </c>
      <c r="F30" s="96">
        <v>5639.64</v>
      </c>
      <c r="G30" s="96">
        <v>6431.04</v>
      </c>
      <c r="H30" s="96">
        <v>2470</v>
      </c>
      <c r="I30" s="96">
        <v>488.49</v>
      </c>
      <c r="J30" s="96">
        <f t="shared" ref="J30:J34" si="1">SUM(F30+G30+H30+I30)</f>
        <v>15029.17</v>
      </c>
    </row>
    <row r="31" spans="1:10" s="4" customFormat="1" ht="21" customHeight="1">
      <c r="A31" s="21">
        <v>28</v>
      </c>
      <c r="B31" s="93">
        <v>0.97</v>
      </c>
      <c r="C31" s="94" t="s">
        <v>121</v>
      </c>
      <c r="D31" s="93">
        <v>0.57999999999999996</v>
      </c>
      <c r="E31" s="95">
        <v>1403</v>
      </c>
      <c r="F31" s="96">
        <v>5643.29</v>
      </c>
      <c r="G31" s="96">
        <v>6431.04</v>
      </c>
      <c r="H31" s="96">
        <v>2509.6</v>
      </c>
      <c r="I31" s="96">
        <v>488.49</v>
      </c>
      <c r="J31" s="96">
        <f t="shared" si="1"/>
        <v>15072.42</v>
      </c>
    </row>
    <row r="32" spans="1:10" s="4" customFormat="1" ht="21" customHeight="1">
      <c r="A32" s="21">
        <v>29</v>
      </c>
      <c r="B32" s="93">
        <v>0.96</v>
      </c>
      <c r="C32" s="94" t="s">
        <v>82</v>
      </c>
      <c r="D32" s="93">
        <v>0.87</v>
      </c>
      <c r="E32" s="95">
        <v>1498</v>
      </c>
      <c r="F32" s="96">
        <v>5672.55</v>
      </c>
      <c r="G32" s="96">
        <v>6431.04</v>
      </c>
      <c r="H32" s="96">
        <v>2800</v>
      </c>
      <c r="I32" s="96">
        <v>488.49</v>
      </c>
      <c r="J32" s="96">
        <f t="shared" si="1"/>
        <v>15392.08</v>
      </c>
    </row>
    <row r="33" spans="1:10" s="4" customFormat="1" ht="21" customHeight="1">
      <c r="A33" s="26">
        <v>30</v>
      </c>
      <c r="B33" s="93">
        <v>0.94</v>
      </c>
      <c r="C33" s="94" t="s">
        <v>78</v>
      </c>
      <c r="D33" s="93">
        <v>0.92</v>
      </c>
      <c r="E33" s="95">
        <v>1558</v>
      </c>
      <c r="F33" s="96">
        <v>6052.85</v>
      </c>
      <c r="G33" s="96">
        <v>6216.67</v>
      </c>
      <c r="H33" s="96">
        <v>2562.4</v>
      </c>
      <c r="I33" s="96">
        <v>488.49</v>
      </c>
      <c r="J33" s="96">
        <f t="shared" si="1"/>
        <v>15320.41</v>
      </c>
    </row>
    <row r="34" spans="1:10" s="4" customFormat="1" ht="21" customHeight="1">
      <c r="A34" s="21">
        <v>31</v>
      </c>
      <c r="B34" s="93">
        <v>0.93330000000000002</v>
      </c>
      <c r="C34" s="94" t="s">
        <v>78</v>
      </c>
      <c r="D34" s="93">
        <v>0.84</v>
      </c>
      <c r="E34" s="95">
        <v>1563</v>
      </c>
      <c r="F34" s="96">
        <v>6696.44</v>
      </c>
      <c r="G34" s="96">
        <v>6645.41</v>
      </c>
      <c r="H34" s="96">
        <v>2641.6</v>
      </c>
      <c r="I34" s="96">
        <v>532.9</v>
      </c>
      <c r="J34" s="96">
        <f t="shared" si="1"/>
        <v>16516.349999999999</v>
      </c>
    </row>
    <row r="35" spans="1:10" s="8" customFormat="1" ht="22.5" customHeight="1">
      <c r="A35" s="14" t="s">
        <v>47</v>
      </c>
      <c r="B35" s="15"/>
      <c r="C35" s="16"/>
      <c r="D35" s="15"/>
      <c r="E35" s="16"/>
      <c r="F35" s="9">
        <f t="shared" ref="F35:J35" si="2">SUM(F4:F34)</f>
        <v>184844.61000000004</v>
      </c>
      <c r="G35" s="9">
        <f t="shared" si="2"/>
        <v>197218.55000000005</v>
      </c>
      <c r="H35" s="9">
        <f t="shared" si="2"/>
        <v>75355.599999999991</v>
      </c>
      <c r="I35" s="9">
        <f t="shared" si="2"/>
        <v>13099.49</v>
      </c>
      <c r="J35" s="9">
        <f t="shared" si="2"/>
        <v>470518.24999999994</v>
      </c>
    </row>
    <row r="36" spans="1:10" s="12" customFormat="1" ht="22.5" customHeight="1">
      <c r="A36" s="10" t="s">
        <v>48</v>
      </c>
      <c r="B36" s="17">
        <f>AVERAGE(B4:B34)</f>
        <v>0.88660322580645168</v>
      </c>
      <c r="C36" s="11" t="e">
        <f>AVERAGE(C4:C34)</f>
        <v>#DIV/0!</v>
      </c>
      <c r="D36" s="17">
        <f>AVERAGE(D4:D34)</f>
        <v>0.79553225806451588</v>
      </c>
      <c r="E36" s="11">
        <f>SUM(E4:E34)</f>
        <v>41820</v>
      </c>
      <c r="F36" s="11">
        <f>F35*0.38</f>
        <v>70240.951800000024</v>
      </c>
      <c r="G36" s="11">
        <f>G35/12.9</f>
        <v>15288.259689922485</v>
      </c>
      <c r="H36" s="11">
        <f>H35/0.92</f>
        <v>81908.260869565202</v>
      </c>
      <c r="I36" s="11">
        <f>I35/1.76</f>
        <v>7442.892045454545</v>
      </c>
      <c r="J36" s="30"/>
    </row>
    <row r="37" spans="1:10">
      <c r="F37" s="13"/>
      <c r="G37" s="13"/>
      <c r="H37" s="13"/>
      <c r="I37" s="13"/>
      <c r="J37" s="29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1E2C-B7AE-4539-9815-4ADDA2B6D354}">
  <dimension ref="A1:H36"/>
  <sheetViews>
    <sheetView topLeftCell="A19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115</v>
      </c>
      <c r="B2" s="57"/>
      <c r="C2" s="57"/>
      <c r="D2" s="57"/>
      <c r="E2" s="57"/>
      <c r="F2" s="57"/>
      <c r="G2" s="57"/>
      <c r="H2" s="57"/>
    </row>
    <row r="3" spans="1:8" ht="16.5" customHeight="1">
      <c r="A3" s="79" t="s">
        <v>13</v>
      </c>
      <c r="B3" s="79"/>
      <c r="C3" s="79"/>
      <c r="D3" s="79"/>
      <c r="E3" s="79"/>
      <c r="F3" s="79"/>
      <c r="G3" s="79"/>
      <c r="H3" s="79"/>
    </row>
    <row r="4" spans="1:8" ht="16.5" customHeight="1">
      <c r="A4" s="80" t="s">
        <v>14</v>
      </c>
      <c r="B4" s="31">
        <v>60688.01</v>
      </c>
      <c r="C4" s="80" t="s">
        <v>15</v>
      </c>
      <c r="D4" s="31">
        <v>60708.959999999999</v>
      </c>
      <c r="E4" s="80" t="s">
        <v>16</v>
      </c>
      <c r="F4" s="80">
        <f>D4-B4</f>
        <v>20.94999999999709</v>
      </c>
      <c r="G4" s="80" t="s">
        <v>17</v>
      </c>
      <c r="H4" s="80">
        <f>F4*284.35</f>
        <v>5957.132499999173</v>
      </c>
    </row>
    <row r="5" spans="1:8" s="4" customFormat="1" ht="10.5" customHeight="1">
      <c r="A5" s="81" t="s">
        <v>3</v>
      </c>
      <c r="B5" s="81"/>
      <c r="C5" s="81"/>
      <c r="D5" s="81"/>
      <c r="E5" s="81"/>
      <c r="F5" s="81"/>
      <c r="G5" s="81"/>
      <c r="H5" s="81"/>
    </row>
    <row r="6" spans="1:8" ht="16.5" customHeight="1">
      <c r="A6" s="82" t="s">
        <v>18</v>
      </c>
      <c r="B6" s="82"/>
      <c r="C6" s="82"/>
      <c r="D6" s="83">
        <f>H4*0.568</f>
        <v>3383.6512599995299</v>
      </c>
      <c r="E6" s="83"/>
      <c r="F6" s="83"/>
      <c r="G6" s="83"/>
      <c r="H6" s="83"/>
    </row>
    <row r="7" spans="1:8" ht="16.5" customHeight="1">
      <c r="A7" s="82" t="s">
        <v>52</v>
      </c>
      <c r="B7" s="82"/>
      <c r="C7" s="82"/>
      <c r="D7" s="83">
        <f>H4*0.075</f>
        <v>446.78493749993794</v>
      </c>
      <c r="E7" s="83"/>
      <c r="F7" s="83"/>
      <c r="G7" s="83"/>
      <c r="H7" s="83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84" t="s">
        <v>20</v>
      </c>
      <c r="B9" s="84"/>
      <c r="C9" s="84"/>
      <c r="D9" s="85">
        <f>SUM(D6:H8)</f>
        <v>6696.4361974994681</v>
      </c>
      <c r="E9" s="85"/>
      <c r="F9" s="85"/>
      <c r="G9" s="85"/>
      <c r="H9" s="85"/>
    </row>
    <row r="10" spans="1:8" ht="16.5" customHeight="1">
      <c r="A10" s="79" t="s">
        <v>50</v>
      </c>
      <c r="B10" s="79"/>
      <c r="C10" s="79"/>
      <c r="D10" s="79"/>
      <c r="E10" s="79"/>
      <c r="F10" s="79"/>
      <c r="G10" s="79"/>
      <c r="H10" s="79"/>
    </row>
    <row r="11" spans="1:8" ht="16.5" customHeight="1">
      <c r="A11" s="86" t="s">
        <v>21</v>
      </c>
      <c r="B11" s="86"/>
      <c r="C11" s="87" t="s">
        <v>22</v>
      </c>
      <c r="D11" s="31">
        <v>41353</v>
      </c>
      <c r="E11" s="80" t="s">
        <v>23</v>
      </c>
      <c r="F11" s="31">
        <v>41360</v>
      </c>
      <c r="G11" s="80" t="s">
        <v>24</v>
      </c>
      <c r="H11" s="80">
        <f>F11-D11</f>
        <v>7</v>
      </c>
    </row>
    <row r="12" spans="1:8" ht="16.5" customHeight="1">
      <c r="A12" s="86" t="s">
        <v>25</v>
      </c>
      <c r="B12" s="86"/>
      <c r="C12" s="87" t="s">
        <v>22</v>
      </c>
      <c r="D12" s="31">
        <v>68446</v>
      </c>
      <c r="E12" s="80" t="s">
        <v>23</v>
      </c>
      <c r="F12" s="31">
        <v>68459</v>
      </c>
      <c r="G12" s="80" t="s">
        <v>24</v>
      </c>
      <c r="H12" s="80">
        <f>F12-D12</f>
        <v>13</v>
      </c>
    </row>
    <row r="13" spans="1:8" ht="16.5" customHeight="1">
      <c r="A13" s="86" t="s">
        <v>26</v>
      </c>
      <c r="B13" s="86"/>
      <c r="C13" s="87" t="s">
        <v>22</v>
      </c>
      <c r="D13" s="31">
        <v>69736</v>
      </c>
      <c r="E13" s="80" t="s">
        <v>23</v>
      </c>
      <c r="F13" s="31">
        <v>69747</v>
      </c>
      <c r="G13" s="80" t="s">
        <v>24</v>
      </c>
      <c r="H13" s="80">
        <f>F13-D13</f>
        <v>11</v>
      </c>
    </row>
    <row r="14" spans="1:8" ht="16.5" customHeight="1">
      <c r="A14" s="88" t="s">
        <v>27</v>
      </c>
      <c r="B14" s="88"/>
      <c r="C14" s="88"/>
      <c r="D14" s="88"/>
      <c r="E14" s="88"/>
      <c r="F14" s="88"/>
      <c r="G14" s="88"/>
      <c r="H14" s="80">
        <f>SUM(H11:H13)</f>
        <v>31</v>
      </c>
    </row>
    <row r="15" spans="1:8" ht="16.5" customHeight="1">
      <c r="A15" s="88" t="s">
        <v>28</v>
      </c>
      <c r="B15" s="88"/>
      <c r="C15" s="88"/>
      <c r="D15" s="88"/>
      <c r="E15" s="88"/>
      <c r="F15" s="88"/>
      <c r="G15" s="88"/>
      <c r="H15" s="80">
        <f>H14*487.2</f>
        <v>15103.199999999999</v>
      </c>
    </row>
    <row r="16" spans="1:8" s="4" customFormat="1" ht="10.5" customHeight="1">
      <c r="A16" s="89" t="s">
        <v>3</v>
      </c>
      <c r="B16" s="89"/>
      <c r="C16" s="89"/>
      <c r="D16" s="89"/>
      <c r="E16" s="89"/>
      <c r="F16" s="89"/>
      <c r="G16" s="89"/>
      <c r="H16" s="89"/>
    </row>
    <row r="17" spans="1:8" ht="16.5" customHeight="1">
      <c r="A17" s="86" t="s">
        <v>29</v>
      </c>
      <c r="B17" s="86"/>
      <c r="C17" s="86"/>
      <c r="D17" s="83">
        <v>460</v>
      </c>
      <c r="E17" s="83"/>
      <c r="F17" s="83"/>
      <c r="G17" s="83"/>
      <c r="H17" s="83"/>
    </row>
    <row r="18" spans="1:8" ht="16.5" customHeight="1">
      <c r="A18" s="86" t="s">
        <v>30</v>
      </c>
      <c r="B18" s="86"/>
      <c r="C18" s="86"/>
      <c r="D18" s="83">
        <v>560</v>
      </c>
      <c r="E18" s="83"/>
      <c r="F18" s="83"/>
      <c r="G18" s="83"/>
      <c r="H18" s="83"/>
    </row>
    <row r="19" spans="1:8" ht="16.5" customHeight="1">
      <c r="A19" s="86" t="s">
        <v>31</v>
      </c>
      <c r="B19" s="86"/>
      <c r="C19" s="86"/>
      <c r="D19" s="83">
        <v>640</v>
      </c>
      <c r="E19" s="83"/>
      <c r="F19" s="83"/>
      <c r="G19" s="83"/>
      <c r="H19" s="83"/>
    </row>
    <row r="20" spans="1:8" ht="16.5" customHeight="1">
      <c r="A20" s="86" t="s">
        <v>32</v>
      </c>
      <c r="B20" s="86"/>
      <c r="C20" s="86"/>
      <c r="D20" s="83">
        <f>H15*0.38</f>
        <v>5739.2159999999994</v>
      </c>
      <c r="E20" s="83"/>
      <c r="F20" s="83"/>
      <c r="G20" s="83"/>
      <c r="H20" s="83"/>
    </row>
    <row r="21" spans="1:8" ht="16.5" customHeight="1">
      <c r="A21" s="86" t="s">
        <v>53</v>
      </c>
      <c r="B21" s="86"/>
      <c r="C21" s="86"/>
      <c r="D21" s="83">
        <f>H15*0.06</f>
        <v>906.19199999999989</v>
      </c>
      <c r="E21" s="83"/>
      <c r="F21" s="83"/>
      <c r="G21" s="83"/>
      <c r="H21" s="83"/>
    </row>
    <row r="22" spans="1:8" ht="16.5" customHeight="1">
      <c r="A22" s="84" t="s">
        <v>20</v>
      </c>
      <c r="B22" s="84"/>
      <c r="C22" s="84"/>
      <c r="D22" s="85">
        <f>D20+D21</f>
        <v>6645.4079999999994</v>
      </c>
      <c r="E22" s="85"/>
      <c r="F22" s="85"/>
      <c r="G22" s="85"/>
      <c r="H22" s="85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90" t="s">
        <v>0</v>
      </c>
      <c r="B24" s="32">
        <v>257058</v>
      </c>
      <c r="C24" s="80" t="s">
        <v>1</v>
      </c>
      <c r="D24" s="32">
        <v>257271</v>
      </c>
      <c r="E24" s="80" t="s">
        <v>33</v>
      </c>
      <c r="F24" s="80">
        <f>D24-B24</f>
        <v>213</v>
      </c>
      <c r="G24" s="80" t="s">
        <v>34</v>
      </c>
      <c r="H24" s="80">
        <f>F24*220</f>
        <v>46860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86" t="s">
        <v>35</v>
      </c>
      <c r="B26" s="86"/>
      <c r="C26" s="86"/>
      <c r="D26" s="83">
        <v>350</v>
      </c>
      <c r="E26" s="83"/>
      <c r="F26" s="83"/>
      <c r="G26" s="83"/>
      <c r="H26" s="83"/>
    </row>
    <row r="27" spans="1:8" ht="16.5" customHeight="1">
      <c r="A27" s="86" t="s">
        <v>36</v>
      </c>
      <c r="B27" s="86"/>
      <c r="C27" s="86"/>
      <c r="D27" s="83">
        <v>400</v>
      </c>
      <c r="E27" s="83"/>
      <c r="F27" s="83"/>
      <c r="G27" s="83"/>
      <c r="H27" s="83"/>
    </row>
    <row r="28" spans="1:8" ht="16.5" customHeight="1">
      <c r="A28" s="86" t="s">
        <v>37</v>
      </c>
      <c r="B28" s="86"/>
      <c r="C28" s="86"/>
      <c r="D28" s="83">
        <f>(H24-20000)*0.046</f>
        <v>1235.56</v>
      </c>
      <c r="E28" s="83"/>
      <c r="F28" s="83"/>
      <c r="G28" s="83"/>
      <c r="H28" s="83"/>
    </row>
    <row r="29" spans="1:8" ht="16.5" customHeight="1">
      <c r="A29" s="86" t="s">
        <v>38</v>
      </c>
      <c r="B29" s="86"/>
      <c r="C29" s="86"/>
      <c r="D29" s="83">
        <f>H24*0.004</f>
        <v>187.44</v>
      </c>
      <c r="E29" s="83"/>
      <c r="F29" s="83"/>
      <c r="G29" s="83"/>
      <c r="H29" s="83"/>
    </row>
    <row r="30" spans="1:8" ht="16.5" customHeight="1">
      <c r="A30" s="86" t="s">
        <v>39</v>
      </c>
      <c r="B30" s="86"/>
      <c r="C30" s="86"/>
      <c r="D30" s="83">
        <f>H24*0.01</f>
        <v>468.6</v>
      </c>
      <c r="E30" s="83"/>
      <c r="F30" s="83"/>
      <c r="G30" s="83"/>
      <c r="H30" s="83"/>
    </row>
    <row r="31" spans="1:8" ht="16.5" customHeight="1">
      <c r="A31" s="84" t="s">
        <v>20</v>
      </c>
      <c r="B31" s="84"/>
      <c r="C31" s="84"/>
      <c r="D31" s="85">
        <f>SUM(D26:H30)</f>
        <v>2641.6</v>
      </c>
      <c r="E31" s="85"/>
      <c r="F31" s="85"/>
      <c r="G31" s="85"/>
      <c r="H31" s="85"/>
    </row>
    <row r="32" spans="1:8" ht="16.5" customHeight="1">
      <c r="A32" s="79" t="s">
        <v>51</v>
      </c>
      <c r="B32" s="79"/>
      <c r="C32" s="79"/>
      <c r="D32" s="79"/>
      <c r="E32" s="79"/>
      <c r="F32" s="79"/>
      <c r="G32" s="79"/>
      <c r="H32" s="79"/>
    </row>
    <row r="33" spans="1:8" ht="16.5" customHeight="1">
      <c r="A33" s="86" t="s">
        <v>40</v>
      </c>
      <c r="B33" s="86"/>
      <c r="C33" s="87" t="s">
        <v>41</v>
      </c>
      <c r="D33" s="27">
        <v>52</v>
      </c>
      <c r="E33" s="80" t="s">
        <v>42</v>
      </c>
      <c r="F33" s="27">
        <v>40</v>
      </c>
      <c r="G33" s="80" t="s">
        <v>43</v>
      </c>
      <c r="H33" s="91">
        <f>(D33-F33)*48.8</f>
        <v>585.59999999999991</v>
      </c>
    </row>
    <row r="34" spans="1:8" ht="16.5" customHeight="1">
      <c r="A34" s="86" t="s">
        <v>44</v>
      </c>
      <c r="B34" s="86"/>
      <c r="C34" s="87" t="s">
        <v>41</v>
      </c>
      <c r="D34" s="27">
        <v>80</v>
      </c>
      <c r="E34" s="80" t="s">
        <v>42</v>
      </c>
      <c r="F34" s="27">
        <v>80</v>
      </c>
      <c r="G34" s="80" t="s">
        <v>43</v>
      </c>
      <c r="H34" s="91">
        <f>(D34-F34)*48.8</f>
        <v>0</v>
      </c>
    </row>
    <row r="35" spans="1:8" ht="16.5" customHeight="1">
      <c r="A35" s="84" t="s">
        <v>54</v>
      </c>
      <c r="B35" s="84"/>
      <c r="C35" s="84"/>
      <c r="D35" s="84"/>
      <c r="E35" s="84"/>
      <c r="F35" s="84"/>
      <c r="G35" s="84"/>
      <c r="H35" s="92">
        <f>((H34+H33)*1.82)*0.5</f>
        <v>532.89599999999996</v>
      </c>
    </row>
    <row r="36" spans="1:8" ht="16.5" customHeight="1">
      <c r="A36" s="84" t="s">
        <v>45</v>
      </c>
      <c r="B36" s="84"/>
      <c r="C36" s="84"/>
      <c r="D36" s="84"/>
      <c r="E36" s="84"/>
      <c r="F36" s="84"/>
      <c r="G36" s="84"/>
      <c r="H36" s="92">
        <f>H35+D22+D9+D31</f>
        <v>16516.340197499467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147D-C35F-4AEC-BE80-8958DB53D671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116</v>
      </c>
      <c r="B2" s="57"/>
      <c r="C2" s="57"/>
      <c r="D2" s="57"/>
      <c r="E2" s="57"/>
      <c r="F2" s="57"/>
      <c r="G2" s="57"/>
      <c r="H2" s="57"/>
    </row>
    <row r="3" spans="1:8" ht="16.5" customHeight="1">
      <c r="A3" s="79" t="s">
        <v>13</v>
      </c>
      <c r="B3" s="79"/>
      <c r="C3" s="79"/>
      <c r="D3" s="79"/>
      <c r="E3" s="79"/>
      <c r="F3" s="79"/>
      <c r="G3" s="79"/>
      <c r="H3" s="79"/>
    </row>
    <row r="4" spans="1:8" ht="16.5" customHeight="1">
      <c r="A4" s="80" t="s">
        <v>14</v>
      </c>
      <c r="B4" s="31">
        <v>60670.58</v>
      </c>
      <c r="C4" s="80" t="s">
        <v>15</v>
      </c>
      <c r="D4" s="31">
        <v>60688.01</v>
      </c>
      <c r="E4" s="80" t="s">
        <v>16</v>
      </c>
      <c r="F4" s="80">
        <f>D4-B4</f>
        <v>17.430000000000291</v>
      </c>
      <c r="G4" s="80" t="s">
        <v>17</v>
      </c>
      <c r="H4" s="80">
        <f>F4*284.35</f>
        <v>4956.2205000000831</v>
      </c>
    </row>
    <row r="5" spans="1:8" s="4" customFormat="1" ht="10.5" customHeight="1">
      <c r="A5" s="81" t="s">
        <v>3</v>
      </c>
      <c r="B5" s="81"/>
      <c r="C5" s="81"/>
      <c r="D5" s="81"/>
      <c r="E5" s="81"/>
      <c r="F5" s="81"/>
      <c r="G5" s="81"/>
      <c r="H5" s="81"/>
    </row>
    <row r="6" spans="1:8" ht="16.5" customHeight="1">
      <c r="A6" s="82" t="s">
        <v>18</v>
      </c>
      <c r="B6" s="82"/>
      <c r="C6" s="82"/>
      <c r="D6" s="83">
        <f>H4*0.568</f>
        <v>2815.1332440000469</v>
      </c>
      <c r="E6" s="83"/>
      <c r="F6" s="83"/>
      <c r="G6" s="83"/>
      <c r="H6" s="83"/>
    </row>
    <row r="7" spans="1:8" ht="16.5" customHeight="1">
      <c r="A7" s="82" t="s">
        <v>52</v>
      </c>
      <c r="B7" s="82"/>
      <c r="C7" s="82"/>
      <c r="D7" s="83">
        <f>H4*0.075</f>
        <v>371.71653750000621</v>
      </c>
      <c r="E7" s="83"/>
      <c r="F7" s="83"/>
      <c r="G7" s="83"/>
      <c r="H7" s="83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84" t="s">
        <v>20</v>
      </c>
      <c r="B9" s="84"/>
      <c r="C9" s="84"/>
      <c r="D9" s="85">
        <f>SUM(D6:H8)</f>
        <v>6052.8497815000537</v>
      </c>
      <c r="E9" s="85"/>
      <c r="F9" s="85"/>
      <c r="G9" s="85"/>
      <c r="H9" s="85"/>
    </row>
    <row r="10" spans="1:8" ht="16.5" customHeight="1">
      <c r="A10" s="79" t="s">
        <v>50</v>
      </c>
      <c r="B10" s="79"/>
      <c r="C10" s="79"/>
      <c r="D10" s="79"/>
      <c r="E10" s="79"/>
      <c r="F10" s="79"/>
      <c r="G10" s="79"/>
      <c r="H10" s="79"/>
    </row>
    <row r="11" spans="1:8" ht="16.5" customHeight="1">
      <c r="A11" s="86" t="s">
        <v>21</v>
      </c>
      <c r="B11" s="86"/>
      <c r="C11" s="87" t="s">
        <v>22</v>
      </c>
      <c r="D11" s="31">
        <v>41346</v>
      </c>
      <c r="E11" s="80" t="s">
        <v>23</v>
      </c>
      <c r="F11" s="31">
        <v>41353</v>
      </c>
      <c r="G11" s="80" t="s">
        <v>24</v>
      </c>
      <c r="H11" s="80">
        <f>F11-D11</f>
        <v>7</v>
      </c>
    </row>
    <row r="12" spans="1:8" ht="16.5" customHeight="1">
      <c r="A12" s="86" t="s">
        <v>25</v>
      </c>
      <c r="B12" s="86"/>
      <c r="C12" s="87" t="s">
        <v>22</v>
      </c>
      <c r="D12" s="31">
        <v>68433</v>
      </c>
      <c r="E12" s="80" t="s">
        <v>23</v>
      </c>
      <c r="F12" s="31">
        <v>68446</v>
      </c>
      <c r="G12" s="80" t="s">
        <v>24</v>
      </c>
      <c r="H12" s="80">
        <f>F12-D12</f>
        <v>13</v>
      </c>
    </row>
    <row r="13" spans="1:8" ht="16.5" customHeight="1">
      <c r="A13" s="86" t="s">
        <v>26</v>
      </c>
      <c r="B13" s="86"/>
      <c r="C13" s="87" t="s">
        <v>22</v>
      </c>
      <c r="D13" s="31">
        <v>69727</v>
      </c>
      <c r="E13" s="80" t="s">
        <v>23</v>
      </c>
      <c r="F13" s="31">
        <v>69736</v>
      </c>
      <c r="G13" s="80" t="s">
        <v>24</v>
      </c>
      <c r="H13" s="80">
        <f>F13-D13</f>
        <v>9</v>
      </c>
    </row>
    <row r="14" spans="1:8" ht="16.5" customHeight="1">
      <c r="A14" s="88" t="s">
        <v>27</v>
      </c>
      <c r="B14" s="88"/>
      <c r="C14" s="88"/>
      <c r="D14" s="88"/>
      <c r="E14" s="88"/>
      <c r="F14" s="88"/>
      <c r="G14" s="88"/>
      <c r="H14" s="80">
        <f>SUM(H11:H13)</f>
        <v>29</v>
      </c>
    </row>
    <row r="15" spans="1:8" ht="16.5" customHeight="1">
      <c r="A15" s="88" t="s">
        <v>28</v>
      </c>
      <c r="B15" s="88"/>
      <c r="C15" s="88"/>
      <c r="D15" s="88"/>
      <c r="E15" s="88"/>
      <c r="F15" s="88"/>
      <c r="G15" s="88"/>
      <c r="H15" s="80">
        <f>H14*487.2</f>
        <v>14128.8</v>
      </c>
    </row>
    <row r="16" spans="1:8" s="4" customFormat="1" ht="10.5" customHeight="1">
      <c r="A16" s="89" t="s">
        <v>3</v>
      </c>
      <c r="B16" s="89"/>
      <c r="C16" s="89"/>
      <c r="D16" s="89"/>
      <c r="E16" s="89"/>
      <c r="F16" s="89"/>
      <c r="G16" s="89"/>
      <c r="H16" s="89"/>
    </row>
    <row r="17" spans="1:8" ht="16.5" customHeight="1">
      <c r="A17" s="86" t="s">
        <v>29</v>
      </c>
      <c r="B17" s="86"/>
      <c r="C17" s="86"/>
      <c r="D17" s="83">
        <v>460</v>
      </c>
      <c r="E17" s="83"/>
      <c r="F17" s="83"/>
      <c r="G17" s="83"/>
      <c r="H17" s="83"/>
    </row>
    <row r="18" spans="1:8" ht="16.5" customHeight="1">
      <c r="A18" s="86" t="s">
        <v>30</v>
      </c>
      <c r="B18" s="86"/>
      <c r="C18" s="86"/>
      <c r="D18" s="83">
        <v>560</v>
      </c>
      <c r="E18" s="83"/>
      <c r="F18" s="83"/>
      <c r="G18" s="83"/>
      <c r="H18" s="83"/>
    </row>
    <row r="19" spans="1:8" ht="16.5" customHeight="1">
      <c r="A19" s="86" t="s">
        <v>31</v>
      </c>
      <c r="B19" s="86"/>
      <c r="C19" s="86"/>
      <c r="D19" s="83">
        <v>640</v>
      </c>
      <c r="E19" s="83"/>
      <c r="F19" s="83"/>
      <c r="G19" s="83"/>
      <c r="H19" s="83"/>
    </row>
    <row r="20" spans="1:8" ht="16.5" customHeight="1">
      <c r="A20" s="86" t="s">
        <v>32</v>
      </c>
      <c r="B20" s="86"/>
      <c r="C20" s="86"/>
      <c r="D20" s="83">
        <f>H15*0.38</f>
        <v>5368.9439999999995</v>
      </c>
      <c r="E20" s="83"/>
      <c r="F20" s="83"/>
      <c r="G20" s="83"/>
      <c r="H20" s="83"/>
    </row>
    <row r="21" spans="1:8" ht="16.5" customHeight="1">
      <c r="A21" s="86" t="s">
        <v>53</v>
      </c>
      <c r="B21" s="86"/>
      <c r="C21" s="86"/>
      <c r="D21" s="83">
        <f>H15*0.06</f>
        <v>847.72799999999995</v>
      </c>
      <c r="E21" s="83"/>
      <c r="F21" s="83"/>
      <c r="G21" s="83"/>
      <c r="H21" s="83"/>
    </row>
    <row r="22" spans="1:8" ht="16.5" customHeight="1">
      <c r="A22" s="84" t="s">
        <v>20</v>
      </c>
      <c r="B22" s="84"/>
      <c r="C22" s="84"/>
      <c r="D22" s="85">
        <f>D20+D21</f>
        <v>6216.6719999999996</v>
      </c>
      <c r="E22" s="85"/>
      <c r="F22" s="85"/>
      <c r="G22" s="85"/>
      <c r="H22" s="85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90" t="s">
        <v>0</v>
      </c>
      <c r="B24" s="32">
        <v>256851</v>
      </c>
      <c r="C24" s="80" t="s">
        <v>1</v>
      </c>
      <c r="D24" s="32">
        <v>257058</v>
      </c>
      <c r="E24" s="80" t="s">
        <v>33</v>
      </c>
      <c r="F24" s="80">
        <f>D24-B24</f>
        <v>207</v>
      </c>
      <c r="G24" s="80" t="s">
        <v>34</v>
      </c>
      <c r="H24" s="80">
        <f>F24*220</f>
        <v>45540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86" t="s">
        <v>35</v>
      </c>
      <c r="B26" s="86"/>
      <c r="C26" s="86"/>
      <c r="D26" s="83">
        <v>350</v>
      </c>
      <c r="E26" s="83"/>
      <c r="F26" s="83"/>
      <c r="G26" s="83"/>
      <c r="H26" s="83"/>
    </row>
    <row r="27" spans="1:8" ht="16.5" customHeight="1">
      <c r="A27" s="86" t="s">
        <v>36</v>
      </c>
      <c r="B27" s="86"/>
      <c r="C27" s="86"/>
      <c r="D27" s="83">
        <v>400</v>
      </c>
      <c r="E27" s="83"/>
      <c r="F27" s="83"/>
      <c r="G27" s="83"/>
      <c r="H27" s="83"/>
    </row>
    <row r="28" spans="1:8" ht="16.5" customHeight="1">
      <c r="A28" s="86" t="s">
        <v>37</v>
      </c>
      <c r="B28" s="86"/>
      <c r="C28" s="86"/>
      <c r="D28" s="83">
        <f>(H24-20000)*0.046</f>
        <v>1174.8399999999999</v>
      </c>
      <c r="E28" s="83"/>
      <c r="F28" s="83"/>
      <c r="G28" s="83"/>
      <c r="H28" s="83"/>
    </row>
    <row r="29" spans="1:8" ht="16.5" customHeight="1">
      <c r="A29" s="86" t="s">
        <v>38</v>
      </c>
      <c r="B29" s="86"/>
      <c r="C29" s="86"/>
      <c r="D29" s="83">
        <f>H24*0.004</f>
        <v>182.16</v>
      </c>
      <c r="E29" s="83"/>
      <c r="F29" s="83"/>
      <c r="G29" s="83"/>
      <c r="H29" s="83"/>
    </row>
    <row r="30" spans="1:8" ht="16.5" customHeight="1">
      <c r="A30" s="86" t="s">
        <v>39</v>
      </c>
      <c r="B30" s="86"/>
      <c r="C30" s="86"/>
      <c r="D30" s="83">
        <f>H24*0.01</f>
        <v>455.40000000000003</v>
      </c>
      <c r="E30" s="83"/>
      <c r="F30" s="83"/>
      <c r="G30" s="83"/>
      <c r="H30" s="83"/>
    </row>
    <row r="31" spans="1:8" ht="16.5" customHeight="1">
      <c r="A31" s="84" t="s">
        <v>20</v>
      </c>
      <c r="B31" s="84"/>
      <c r="C31" s="84"/>
      <c r="D31" s="85">
        <f>SUM(D26:H30)</f>
        <v>2562.4</v>
      </c>
      <c r="E31" s="85"/>
      <c r="F31" s="85"/>
      <c r="G31" s="85"/>
      <c r="H31" s="85"/>
    </row>
    <row r="32" spans="1:8" ht="16.5" customHeight="1">
      <c r="A32" s="79" t="s">
        <v>51</v>
      </c>
      <c r="B32" s="79"/>
      <c r="C32" s="79"/>
      <c r="D32" s="79"/>
      <c r="E32" s="79"/>
      <c r="F32" s="79"/>
      <c r="G32" s="79"/>
      <c r="H32" s="79"/>
    </row>
    <row r="33" spans="1:8" ht="16.5" customHeight="1">
      <c r="A33" s="86" t="s">
        <v>40</v>
      </c>
      <c r="B33" s="86"/>
      <c r="C33" s="87" t="s">
        <v>41</v>
      </c>
      <c r="D33" s="27">
        <v>63</v>
      </c>
      <c r="E33" s="80" t="s">
        <v>42</v>
      </c>
      <c r="F33" s="27">
        <v>52</v>
      </c>
      <c r="G33" s="80" t="s">
        <v>43</v>
      </c>
      <c r="H33" s="91">
        <f>(D33-F33)*48.8</f>
        <v>536.79999999999995</v>
      </c>
    </row>
    <row r="34" spans="1:8" ht="16.5" customHeight="1">
      <c r="A34" s="86" t="s">
        <v>44</v>
      </c>
      <c r="B34" s="86"/>
      <c r="C34" s="87" t="s">
        <v>41</v>
      </c>
      <c r="D34" s="27">
        <v>80</v>
      </c>
      <c r="E34" s="80" t="s">
        <v>42</v>
      </c>
      <c r="F34" s="27">
        <v>80</v>
      </c>
      <c r="G34" s="80" t="s">
        <v>43</v>
      </c>
      <c r="H34" s="91">
        <f>(D34-F34)*48.8</f>
        <v>0</v>
      </c>
    </row>
    <row r="35" spans="1:8" ht="16.5" customHeight="1">
      <c r="A35" s="84" t="s">
        <v>54</v>
      </c>
      <c r="B35" s="84"/>
      <c r="C35" s="84"/>
      <c r="D35" s="84"/>
      <c r="E35" s="84"/>
      <c r="F35" s="84"/>
      <c r="G35" s="84"/>
      <c r="H35" s="92">
        <f>((H34+H33)*1.82)*0.5</f>
        <v>488.488</v>
      </c>
    </row>
    <row r="36" spans="1:8" ht="16.5" customHeight="1">
      <c r="A36" s="84" t="s">
        <v>45</v>
      </c>
      <c r="B36" s="84"/>
      <c r="C36" s="84"/>
      <c r="D36" s="84"/>
      <c r="E36" s="84"/>
      <c r="F36" s="84"/>
      <c r="G36" s="84"/>
      <c r="H36" s="92">
        <f>H35+D22+D9+D31</f>
        <v>15320.409781500053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0EDB-4303-43FF-89B9-53792860685E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117</v>
      </c>
      <c r="B2" s="57"/>
      <c r="C2" s="57"/>
      <c r="D2" s="57"/>
      <c r="E2" s="57"/>
      <c r="F2" s="57"/>
      <c r="G2" s="57"/>
      <c r="H2" s="57"/>
    </row>
    <row r="3" spans="1:8" ht="16.5" customHeight="1">
      <c r="A3" s="79" t="s">
        <v>13</v>
      </c>
      <c r="B3" s="79"/>
      <c r="C3" s="79"/>
      <c r="D3" s="79"/>
      <c r="E3" s="79"/>
      <c r="F3" s="79"/>
      <c r="G3" s="79"/>
      <c r="H3" s="79"/>
    </row>
    <row r="4" spans="1:8" ht="16.5" customHeight="1">
      <c r="A4" s="80" t="s">
        <v>14</v>
      </c>
      <c r="B4" s="31">
        <v>60655.23</v>
      </c>
      <c r="C4" s="80" t="s">
        <v>15</v>
      </c>
      <c r="D4" s="31">
        <v>60670.58</v>
      </c>
      <c r="E4" s="80" t="s">
        <v>16</v>
      </c>
      <c r="F4" s="80">
        <f>D4-B4</f>
        <v>15.349999999998545</v>
      </c>
      <c r="G4" s="80" t="s">
        <v>17</v>
      </c>
      <c r="H4" s="80">
        <f>F4*284.35</f>
        <v>4364.7724999995862</v>
      </c>
    </row>
    <row r="5" spans="1:8" s="4" customFormat="1" ht="10.5" customHeight="1">
      <c r="A5" s="81" t="s">
        <v>3</v>
      </c>
      <c r="B5" s="81"/>
      <c r="C5" s="81"/>
      <c r="D5" s="81"/>
      <c r="E5" s="81"/>
      <c r="F5" s="81"/>
      <c r="G5" s="81"/>
      <c r="H5" s="81"/>
    </row>
    <row r="6" spans="1:8" ht="16.5" customHeight="1">
      <c r="A6" s="82" t="s">
        <v>18</v>
      </c>
      <c r="B6" s="82"/>
      <c r="C6" s="82"/>
      <c r="D6" s="83">
        <f>H4*0.568</f>
        <v>2479.1907799997648</v>
      </c>
      <c r="E6" s="83"/>
      <c r="F6" s="83"/>
      <c r="G6" s="83"/>
      <c r="H6" s="83"/>
    </row>
    <row r="7" spans="1:8" ht="16.5" customHeight="1">
      <c r="A7" s="82" t="s">
        <v>52</v>
      </c>
      <c r="B7" s="82"/>
      <c r="C7" s="82"/>
      <c r="D7" s="83">
        <f>H4*0.075</f>
        <v>327.35793749996895</v>
      </c>
      <c r="E7" s="83"/>
      <c r="F7" s="83"/>
      <c r="G7" s="83"/>
      <c r="H7" s="83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84" t="s">
        <v>20</v>
      </c>
      <c r="B9" s="84"/>
      <c r="C9" s="84"/>
      <c r="D9" s="85">
        <f>SUM(D6:H8)</f>
        <v>5672.5487174997343</v>
      </c>
      <c r="E9" s="85"/>
      <c r="F9" s="85"/>
      <c r="G9" s="85"/>
      <c r="H9" s="85"/>
    </row>
    <row r="10" spans="1:8" ht="16.5" customHeight="1">
      <c r="A10" s="79" t="s">
        <v>50</v>
      </c>
      <c r="B10" s="79"/>
      <c r="C10" s="79"/>
      <c r="D10" s="79"/>
      <c r="E10" s="79"/>
      <c r="F10" s="79"/>
      <c r="G10" s="79"/>
      <c r="H10" s="79"/>
    </row>
    <row r="11" spans="1:8" ht="16.5" customHeight="1">
      <c r="A11" s="86" t="s">
        <v>21</v>
      </c>
      <c r="B11" s="86"/>
      <c r="C11" s="87" t="s">
        <v>22</v>
      </c>
      <c r="D11" s="31">
        <v>41339</v>
      </c>
      <c r="E11" s="80" t="s">
        <v>23</v>
      </c>
      <c r="F11" s="31">
        <v>41346</v>
      </c>
      <c r="G11" s="80" t="s">
        <v>24</v>
      </c>
      <c r="H11" s="80">
        <f>F11-D11</f>
        <v>7</v>
      </c>
    </row>
    <row r="12" spans="1:8" ht="16.5" customHeight="1">
      <c r="A12" s="86" t="s">
        <v>25</v>
      </c>
      <c r="B12" s="86"/>
      <c r="C12" s="87" t="s">
        <v>22</v>
      </c>
      <c r="D12" s="31">
        <v>68420</v>
      </c>
      <c r="E12" s="80" t="s">
        <v>23</v>
      </c>
      <c r="F12" s="31">
        <v>68433</v>
      </c>
      <c r="G12" s="80" t="s">
        <v>24</v>
      </c>
      <c r="H12" s="80">
        <f>F12-D12</f>
        <v>13</v>
      </c>
    </row>
    <row r="13" spans="1:8" ht="16.5" customHeight="1">
      <c r="A13" s="86" t="s">
        <v>26</v>
      </c>
      <c r="B13" s="86"/>
      <c r="C13" s="87" t="s">
        <v>22</v>
      </c>
      <c r="D13" s="31">
        <v>69717</v>
      </c>
      <c r="E13" s="80" t="s">
        <v>23</v>
      </c>
      <c r="F13" s="31">
        <v>69727</v>
      </c>
      <c r="G13" s="80" t="s">
        <v>24</v>
      </c>
      <c r="H13" s="80">
        <f>F13-D13</f>
        <v>10</v>
      </c>
    </row>
    <row r="14" spans="1:8" ht="16.5" customHeight="1">
      <c r="A14" s="88" t="s">
        <v>27</v>
      </c>
      <c r="B14" s="88"/>
      <c r="C14" s="88"/>
      <c r="D14" s="88"/>
      <c r="E14" s="88"/>
      <c r="F14" s="88"/>
      <c r="G14" s="88"/>
      <c r="H14" s="80">
        <f>SUM(H11:H13)</f>
        <v>30</v>
      </c>
    </row>
    <row r="15" spans="1:8" ht="16.5" customHeight="1">
      <c r="A15" s="88" t="s">
        <v>28</v>
      </c>
      <c r="B15" s="88"/>
      <c r="C15" s="88"/>
      <c r="D15" s="88"/>
      <c r="E15" s="88"/>
      <c r="F15" s="88"/>
      <c r="G15" s="88"/>
      <c r="H15" s="80">
        <f>H14*487.2</f>
        <v>14616</v>
      </c>
    </row>
    <row r="16" spans="1:8" s="4" customFormat="1" ht="10.5" customHeight="1">
      <c r="A16" s="89" t="s">
        <v>3</v>
      </c>
      <c r="B16" s="89"/>
      <c r="C16" s="89"/>
      <c r="D16" s="89"/>
      <c r="E16" s="89"/>
      <c r="F16" s="89"/>
      <c r="G16" s="89"/>
      <c r="H16" s="89"/>
    </row>
    <row r="17" spans="1:8" ht="16.5" customHeight="1">
      <c r="A17" s="86" t="s">
        <v>29</v>
      </c>
      <c r="B17" s="86"/>
      <c r="C17" s="86"/>
      <c r="D17" s="83">
        <v>460</v>
      </c>
      <c r="E17" s="83"/>
      <c r="F17" s="83"/>
      <c r="G17" s="83"/>
      <c r="H17" s="83"/>
    </row>
    <row r="18" spans="1:8" ht="16.5" customHeight="1">
      <c r="A18" s="86" t="s">
        <v>30</v>
      </c>
      <c r="B18" s="86"/>
      <c r="C18" s="86"/>
      <c r="D18" s="83">
        <v>560</v>
      </c>
      <c r="E18" s="83"/>
      <c r="F18" s="83"/>
      <c r="G18" s="83"/>
      <c r="H18" s="83"/>
    </row>
    <row r="19" spans="1:8" ht="16.5" customHeight="1">
      <c r="A19" s="86" t="s">
        <v>31</v>
      </c>
      <c r="B19" s="86"/>
      <c r="C19" s="86"/>
      <c r="D19" s="83">
        <v>640</v>
      </c>
      <c r="E19" s="83"/>
      <c r="F19" s="83"/>
      <c r="G19" s="83"/>
      <c r="H19" s="83"/>
    </row>
    <row r="20" spans="1:8" ht="16.5" customHeight="1">
      <c r="A20" s="86" t="s">
        <v>32</v>
      </c>
      <c r="B20" s="86"/>
      <c r="C20" s="86"/>
      <c r="D20" s="83">
        <f>H15*0.38</f>
        <v>5554.08</v>
      </c>
      <c r="E20" s="83"/>
      <c r="F20" s="83"/>
      <c r="G20" s="83"/>
      <c r="H20" s="83"/>
    </row>
    <row r="21" spans="1:8" ht="16.5" customHeight="1">
      <c r="A21" s="86" t="s">
        <v>53</v>
      </c>
      <c r="B21" s="86"/>
      <c r="C21" s="86"/>
      <c r="D21" s="83">
        <f>H15*0.06</f>
        <v>876.95999999999992</v>
      </c>
      <c r="E21" s="83"/>
      <c r="F21" s="83"/>
      <c r="G21" s="83"/>
      <c r="H21" s="83"/>
    </row>
    <row r="22" spans="1:8" ht="16.5" customHeight="1">
      <c r="A22" s="84" t="s">
        <v>20</v>
      </c>
      <c r="B22" s="84"/>
      <c r="C22" s="84"/>
      <c r="D22" s="85">
        <f>D20+D21</f>
        <v>6431.04</v>
      </c>
      <c r="E22" s="85"/>
      <c r="F22" s="85"/>
      <c r="G22" s="85"/>
      <c r="H22" s="85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90" t="s">
        <v>0</v>
      </c>
      <c r="B24" s="32">
        <v>256626</v>
      </c>
      <c r="C24" s="80" t="s">
        <v>1</v>
      </c>
      <c r="D24" s="32">
        <v>256851</v>
      </c>
      <c r="E24" s="80" t="s">
        <v>33</v>
      </c>
      <c r="F24" s="80">
        <f>D24-B24</f>
        <v>225</v>
      </c>
      <c r="G24" s="80" t="s">
        <v>34</v>
      </c>
      <c r="H24" s="80">
        <f>F24*220</f>
        <v>49500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86" t="s">
        <v>35</v>
      </c>
      <c r="B26" s="86"/>
      <c r="C26" s="86"/>
      <c r="D26" s="83">
        <v>350</v>
      </c>
      <c r="E26" s="83"/>
      <c r="F26" s="83"/>
      <c r="G26" s="83"/>
      <c r="H26" s="83"/>
    </row>
    <row r="27" spans="1:8" ht="16.5" customHeight="1">
      <c r="A27" s="86" t="s">
        <v>36</v>
      </c>
      <c r="B27" s="86"/>
      <c r="C27" s="86"/>
      <c r="D27" s="83">
        <v>400</v>
      </c>
      <c r="E27" s="83"/>
      <c r="F27" s="83"/>
      <c r="G27" s="83"/>
      <c r="H27" s="83"/>
    </row>
    <row r="28" spans="1:8" ht="16.5" customHeight="1">
      <c r="A28" s="86" t="s">
        <v>37</v>
      </c>
      <c r="B28" s="86"/>
      <c r="C28" s="86"/>
      <c r="D28" s="83">
        <f>(H24-20000)*0.046</f>
        <v>1357</v>
      </c>
      <c r="E28" s="83"/>
      <c r="F28" s="83"/>
      <c r="G28" s="83"/>
      <c r="H28" s="83"/>
    </row>
    <row r="29" spans="1:8" ht="16.5" customHeight="1">
      <c r="A29" s="86" t="s">
        <v>38</v>
      </c>
      <c r="B29" s="86"/>
      <c r="C29" s="86"/>
      <c r="D29" s="83">
        <f>H24*0.004</f>
        <v>198</v>
      </c>
      <c r="E29" s="83"/>
      <c r="F29" s="83"/>
      <c r="G29" s="83"/>
      <c r="H29" s="83"/>
    </row>
    <row r="30" spans="1:8" ht="16.5" customHeight="1">
      <c r="A30" s="86" t="s">
        <v>39</v>
      </c>
      <c r="B30" s="86"/>
      <c r="C30" s="86"/>
      <c r="D30" s="83">
        <f>H24*0.01</f>
        <v>495</v>
      </c>
      <c r="E30" s="83"/>
      <c r="F30" s="83"/>
      <c r="G30" s="83"/>
      <c r="H30" s="83"/>
    </row>
    <row r="31" spans="1:8" ht="16.5" customHeight="1">
      <c r="A31" s="84" t="s">
        <v>20</v>
      </c>
      <c r="B31" s="84"/>
      <c r="C31" s="84"/>
      <c r="D31" s="85">
        <f>SUM(D26:H30)</f>
        <v>2800</v>
      </c>
      <c r="E31" s="85"/>
      <c r="F31" s="85"/>
      <c r="G31" s="85"/>
      <c r="H31" s="85"/>
    </row>
    <row r="32" spans="1:8" ht="16.5" customHeight="1">
      <c r="A32" s="79" t="s">
        <v>51</v>
      </c>
      <c r="B32" s="79"/>
      <c r="C32" s="79"/>
      <c r="D32" s="79"/>
      <c r="E32" s="79"/>
      <c r="F32" s="79"/>
      <c r="G32" s="79"/>
      <c r="H32" s="79"/>
    </row>
    <row r="33" spans="1:8" ht="16.5" customHeight="1">
      <c r="A33" s="86" t="s">
        <v>40</v>
      </c>
      <c r="B33" s="86"/>
      <c r="C33" s="87" t="s">
        <v>41</v>
      </c>
      <c r="D33" s="27">
        <v>74</v>
      </c>
      <c r="E33" s="80" t="s">
        <v>42</v>
      </c>
      <c r="F33" s="27">
        <v>63</v>
      </c>
      <c r="G33" s="80" t="s">
        <v>43</v>
      </c>
      <c r="H33" s="91">
        <f>(D33-F33)*48.8</f>
        <v>536.79999999999995</v>
      </c>
    </row>
    <row r="34" spans="1:8" ht="16.5" customHeight="1">
      <c r="A34" s="86" t="s">
        <v>44</v>
      </c>
      <c r="B34" s="86"/>
      <c r="C34" s="87" t="s">
        <v>41</v>
      </c>
      <c r="D34" s="27">
        <v>80</v>
      </c>
      <c r="E34" s="80" t="s">
        <v>42</v>
      </c>
      <c r="F34" s="27">
        <v>80</v>
      </c>
      <c r="G34" s="80" t="s">
        <v>43</v>
      </c>
      <c r="H34" s="91">
        <f>(D34-F34)*48.8</f>
        <v>0</v>
      </c>
    </row>
    <row r="35" spans="1:8" ht="16.5" customHeight="1">
      <c r="A35" s="84" t="s">
        <v>54</v>
      </c>
      <c r="B35" s="84"/>
      <c r="C35" s="84"/>
      <c r="D35" s="84"/>
      <c r="E35" s="84"/>
      <c r="F35" s="84"/>
      <c r="G35" s="84"/>
      <c r="H35" s="92">
        <f>((H34+H33)*1.82)*0.5</f>
        <v>488.488</v>
      </c>
    </row>
    <row r="36" spans="1:8" ht="16.5" customHeight="1">
      <c r="A36" s="84" t="s">
        <v>45</v>
      </c>
      <c r="B36" s="84"/>
      <c r="C36" s="84"/>
      <c r="D36" s="84"/>
      <c r="E36" s="84"/>
      <c r="F36" s="84"/>
      <c r="G36" s="84"/>
      <c r="H36" s="92">
        <f>H35+D22+D9+D31</f>
        <v>15392.076717499735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6091-E823-45E5-B213-D82F21756C0C}">
  <dimension ref="A1:H36"/>
  <sheetViews>
    <sheetView topLeftCell="A16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118</v>
      </c>
      <c r="B2" s="57"/>
      <c r="C2" s="57"/>
      <c r="D2" s="57"/>
      <c r="E2" s="57"/>
      <c r="F2" s="57"/>
      <c r="G2" s="57"/>
      <c r="H2" s="57"/>
    </row>
    <row r="3" spans="1:8" ht="16.5" customHeight="1">
      <c r="A3" s="79" t="s">
        <v>13</v>
      </c>
      <c r="B3" s="79"/>
      <c r="C3" s="79"/>
      <c r="D3" s="79"/>
      <c r="E3" s="79"/>
      <c r="F3" s="79"/>
      <c r="G3" s="79"/>
      <c r="H3" s="79"/>
    </row>
    <row r="4" spans="1:8" ht="16.5" customHeight="1">
      <c r="A4" s="80" t="s">
        <v>14</v>
      </c>
      <c r="B4" s="31">
        <v>60640.04</v>
      </c>
      <c r="C4" s="80" t="s">
        <v>15</v>
      </c>
      <c r="D4" s="31">
        <v>60655.23</v>
      </c>
      <c r="E4" s="80" t="s">
        <v>16</v>
      </c>
      <c r="F4" s="80">
        <f>D4-B4</f>
        <v>15.190000000002328</v>
      </c>
      <c r="G4" s="80" t="s">
        <v>17</v>
      </c>
      <c r="H4" s="80">
        <f>F4*284.35</f>
        <v>4319.2765000006621</v>
      </c>
    </row>
    <row r="5" spans="1:8" s="4" customFormat="1" ht="10.5" customHeight="1">
      <c r="A5" s="81" t="s">
        <v>3</v>
      </c>
      <c r="B5" s="81"/>
      <c r="C5" s="81"/>
      <c r="D5" s="81"/>
      <c r="E5" s="81"/>
      <c r="F5" s="81"/>
      <c r="G5" s="81"/>
      <c r="H5" s="81"/>
    </row>
    <row r="6" spans="1:8" ht="16.5" customHeight="1">
      <c r="A6" s="82" t="s">
        <v>18</v>
      </c>
      <c r="B6" s="82"/>
      <c r="C6" s="82"/>
      <c r="D6" s="83">
        <f>H4*0.568</f>
        <v>2453.3490520003757</v>
      </c>
      <c r="E6" s="83"/>
      <c r="F6" s="83"/>
      <c r="G6" s="83"/>
      <c r="H6" s="83"/>
    </row>
    <row r="7" spans="1:8" ht="16.5" customHeight="1">
      <c r="A7" s="82" t="s">
        <v>52</v>
      </c>
      <c r="B7" s="82"/>
      <c r="C7" s="82"/>
      <c r="D7" s="83">
        <f>H4*0.075</f>
        <v>323.94573750004963</v>
      </c>
      <c r="E7" s="83"/>
      <c r="F7" s="83"/>
      <c r="G7" s="83"/>
      <c r="H7" s="83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84" t="s">
        <v>20</v>
      </c>
      <c r="B9" s="84"/>
      <c r="C9" s="84"/>
      <c r="D9" s="85">
        <f>SUM(D6:H8)</f>
        <v>5643.2947895004254</v>
      </c>
      <c r="E9" s="85"/>
      <c r="F9" s="85"/>
      <c r="G9" s="85"/>
      <c r="H9" s="85"/>
    </row>
    <row r="10" spans="1:8" ht="16.5" customHeight="1">
      <c r="A10" s="79" t="s">
        <v>50</v>
      </c>
      <c r="B10" s="79"/>
      <c r="C10" s="79"/>
      <c r="D10" s="79"/>
      <c r="E10" s="79"/>
      <c r="F10" s="79"/>
      <c r="G10" s="79"/>
      <c r="H10" s="79"/>
    </row>
    <row r="11" spans="1:8" ht="16.5" customHeight="1">
      <c r="A11" s="86" t="s">
        <v>21</v>
      </c>
      <c r="B11" s="86"/>
      <c r="C11" s="87" t="s">
        <v>22</v>
      </c>
      <c r="D11" s="31">
        <v>41332</v>
      </c>
      <c r="E11" s="80" t="s">
        <v>23</v>
      </c>
      <c r="F11" s="31">
        <v>41339</v>
      </c>
      <c r="G11" s="80" t="s">
        <v>24</v>
      </c>
      <c r="H11" s="80">
        <f>F11-D11</f>
        <v>7</v>
      </c>
    </row>
    <row r="12" spans="1:8" ht="16.5" customHeight="1">
      <c r="A12" s="86" t="s">
        <v>25</v>
      </c>
      <c r="B12" s="86"/>
      <c r="C12" s="87" t="s">
        <v>22</v>
      </c>
      <c r="D12" s="31">
        <v>68407</v>
      </c>
      <c r="E12" s="80" t="s">
        <v>23</v>
      </c>
      <c r="F12" s="31">
        <v>68420</v>
      </c>
      <c r="G12" s="80" t="s">
        <v>24</v>
      </c>
      <c r="H12" s="80">
        <f>F12-D12</f>
        <v>13</v>
      </c>
    </row>
    <row r="13" spans="1:8" ht="16.5" customHeight="1">
      <c r="A13" s="86" t="s">
        <v>26</v>
      </c>
      <c r="B13" s="86"/>
      <c r="C13" s="87" t="s">
        <v>22</v>
      </c>
      <c r="D13" s="31">
        <v>69707</v>
      </c>
      <c r="E13" s="80" t="s">
        <v>23</v>
      </c>
      <c r="F13" s="31">
        <v>69717</v>
      </c>
      <c r="G13" s="80" t="s">
        <v>24</v>
      </c>
      <c r="H13" s="80">
        <f>F13-D13</f>
        <v>10</v>
      </c>
    </row>
    <row r="14" spans="1:8" ht="16.5" customHeight="1">
      <c r="A14" s="88" t="s">
        <v>27</v>
      </c>
      <c r="B14" s="88"/>
      <c r="C14" s="88"/>
      <c r="D14" s="88"/>
      <c r="E14" s="88"/>
      <c r="F14" s="88"/>
      <c r="G14" s="88"/>
      <c r="H14" s="80">
        <f>SUM(H11:H13)</f>
        <v>30</v>
      </c>
    </row>
    <row r="15" spans="1:8" ht="16.5" customHeight="1">
      <c r="A15" s="88" t="s">
        <v>28</v>
      </c>
      <c r="B15" s="88"/>
      <c r="C15" s="88"/>
      <c r="D15" s="88"/>
      <c r="E15" s="88"/>
      <c r="F15" s="88"/>
      <c r="G15" s="88"/>
      <c r="H15" s="80">
        <f>H14*487.2</f>
        <v>14616</v>
      </c>
    </row>
    <row r="16" spans="1:8" s="4" customFormat="1" ht="10.5" customHeight="1">
      <c r="A16" s="89" t="s">
        <v>3</v>
      </c>
      <c r="B16" s="89"/>
      <c r="C16" s="89"/>
      <c r="D16" s="89"/>
      <c r="E16" s="89"/>
      <c r="F16" s="89"/>
      <c r="G16" s="89"/>
      <c r="H16" s="89"/>
    </row>
    <row r="17" spans="1:8" ht="16.5" customHeight="1">
      <c r="A17" s="86" t="s">
        <v>29</v>
      </c>
      <c r="B17" s="86"/>
      <c r="C17" s="86"/>
      <c r="D17" s="83">
        <v>460</v>
      </c>
      <c r="E17" s="83"/>
      <c r="F17" s="83"/>
      <c r="G17" s="83"/>
      <c r="H17" s="83"/>
    </row>
    <row r="18" spans="1:8" ht="16.5" customHeight="1">
      <c r="A18" s="86" t="s">
        <v>30</v>
      </c>
      <c r="B18" s="86"/>
      <c r="C18" s="86"/>
      <c r="D18" s="83">
        <v>560</v>
      </c>
      <c r="E18" s="83"/>
      <c r="F18" s="83"/>
      <c r="G18" s="83"/>
      <c r="H18" s="83"/>
    </row>
    <row r="19" spans="1:8" ht="16.5" customHeight="1">
      <c r="A19" s="86" t="s">
        <v>31</v>
      </c>
      <c r="B19" s="86"/>
      <c r="C19" s="86"/>
      <c r="D19" s="83">
        <v>640</v>
      </c>
      <c r="E19" s="83"/>
      <c r="F19" s="83"/>
      <c r="G19" s="83"/>
      <c r="H19" s="83"/>
    </row>
    <row r="20" spans="1:8" ht="16.5" customHeight="1">
      <c r="A20" s="86" t="s">
        <v>32</v>
      </c>
      <c r="B20" s="86"/>
      <c r="C20" s="86"/>
      <c r="D20" s="83">
        <f>H15*0.38</f>
        <v>5554.08</v>
      </c>
      <c r="E20" s="83"/>
      <c r="F20" s="83"/>
      <c r="G20" s="83"/>
      <c r="H20" s="83"/>
    </row>
    <row r="21" spans="1:8" ht="16.5" customHeight="1">
      <c r="A21" s="86" t="s">
        <v>53</v>
      </c>
      <c r="B21" s="86"/>
      <c r="C21" s="86"/>
      <c r="D21" s="83">
        <f>H15*0.06</f>
        <v>876.95999999999992</v>
      </c>
      <c r="E21" s="83"/>
      <c r="F21" s="83"/>
      <c r="G21" s="83"/>
      <c r="H21" s="83"/>
    </row>
    <row r="22" spans="1:8" ht="16.5" customHeight="1">
      <c r="A22" s="84" t="s">
        <v>20</v>
      </c>
      <c r="B22" s="84"/>
      <c r="C22" s="84"/>
      <c r="D22" s="85">
        <f>D20+D21</f>
        <v>6431.04</v>
      </c>
      <c r="E22" s="85"/>
      <c r="F22" s="85"/>
      <c r="G22" s="85"/>
      <c r="H22" s="85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90" t="s">
        <v>0</v>
      </c>
      <c r="B24" s="32">
        <v>256423</v>
      </c>
      <c r="C24" s="80" t="s">
        <v>1</v>
      </c>
      <c r="D24" s="32">
        <v>256626</v>
      </c>
      <c r="E24" s="80" t="s">
        <v>33</v>
      </c>
      <c r="F24" s="80">
        <f>D24-B24</f>
        <v>203</v>
      </c>
      <c r="G24" s="80" t="s">
        <v>34</v>
      </c>
      <c r="H24" s="80">
        <f>F24*220</f>
        <v>44660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86" t="s">
        <v>35</v>
      </c>
      <c r="B26" s="86"/>
      <c r="C26" s="86"/>
      <c r="D26" s="83">
        <v>350</v>
      </c>
      <c r="E26" s="83"/>
      <c r="F26" s="83"/>
      <c r="G26" s="83"/>
      <c r="H26" s="83"/>
    </row>
    <row r="27" spans="1:8" ht="16.5" customHeight="1">
      <c r="A27" s="86" t="s">
        <v>36</v>
      </c>
      <c r="B27" s="86"/>
      <c r="C27" s="86"/>
      <c r="D27" s="83">
        <v>400</v>
      </c>
      <c r="E27" s="83"/>
      <c r="F27" s="83"/>
      <c r="G27" s="83"/>
      <c r="H27" s="83"/>
    </row>
    <row r="28" spans="1:8" ht="16.5" customHeight="1">
      <c r="A28" s="86" t="s">
        <v>37</v>
      </c>
      <c r="B28" s="86"/>
      <c r="C28" s="86"/>
      <c r="D28" s="83">
        <f>(H24-20000)*0.046</f>
        <v>1134.3599999999999</v>
      </c>
      <c r="E28" s="83"/>
      <c r="F28" s="83"/>
      <c r="G28" s="83"/>
      <c r="H28" s="83"/>
    </row>
    <row r="29" spans="1:8" ht="16.5" customHeight="1">
      <c r="A29" s="86" t="s">
        <v>38</v>
      </c>
      <c r="B29" s="86"/>
      <c r="C29" s="86"/>
      <c r="D29" s="83">
        <f>H24*0.004</f>
        <v>178.64000000000001</v>
      </c>
      <c r="E29" s="83"/>
      <c r="F29" s="83"/>
      <c r="G29" s="83"/>
      <c r="H29" s="83"/>
    </row>
    <row r="30" spans="1:8" ht="16.5" customHeight="1">
      <c r="A30" s="86" t="s">
        <v>39</v>
      </c>
      <c r="B30" s="86"/>
      <c r="C30" s="86"/>
      <c r="D30" s="83">
        <f>H24*0.01</f>
        <v>446.6</v>
      </c>
      <c r="E30" s="83"/>
      <c r="F30" s="83"/>
      <c r="G30" s="83"/>
      <c r="H30" s="83"/>
    </row>
    <row r="31" spans="1:8" ht="16.5" customHeight="1">
      <c r="A31" s="84" t="s">
        <v>20</v>
      </c>
      <c r="B31" s="84"/>
      <c r="C31" s="84"/>
      <c r="D31" s="85">
        <f>SUM(D26:H30)</f>
        <v>2509.6</v>
      </c>
      <c r="E31" s="85"/>
      <c r="F31" s="85"/>
      <c r="G31" s="85"/>
      <c r="H31" s="85"/>
    </row>
    <row r="32" spans="1:8" ht="16.5" customHeight="1">
      <c r="A32" s="79" t="s">
        <v>51</v>
      </c>
      <c r="B32" s="79"/>
      <c r="C32" s="79"/>
      <c r="D32" s="79"/>
      <c r="E32" s="79"/>
      <c r="F32" s="79"/>
      <c r="G32" s="79"/>
      <c r="H32" s="79"/>
    </row>
    <row r="33" spans="1:8" ht="16.5" customHeight="1">
      <c r="A33" s="86" t="s">
        <v>40</v>
      </c>
      <c r="B33" s="86"/>
      <c r="C33" s="87" t="s">
        <v>41</v>
      </c>
      <c r="D33" s="27">
        <v>85</v>
      </c>
      <c r="E33" s="80" t="s">
        <v>42</v>
      </c>
      <c r="F33" s="27">
        <v>74</v>
      </c>
      <c r="G33" s="80" t="s">
        <v>43</v>
      </c>
      <c r="H33" s="91">
        <f>(D33-F33)*48.8</f>
        <v>536.79999999999995</v>
      </c>
    </row>
    <row r="34" spans="1:8" ht="16.5" customHeight="1">
      <c r="A34" s="86" t="s">
        <v>44</v>
      </c>
      <c r="B34" s="86"/>
      <c r="C34" s="87" t="s">
        <v>41</v>
      </c>
      <c r="D34" s="27">
        <v>80</v>
      </c>
      <c r="E34" s="80" t="s">
        <v>42</v>
      </c>
      <c r="F34" s="27">
        <v>80</v>
      </c>
      <c r="G34" s="80" t="s">
        <v>43</v>
      </c>
      <c r="H34" s="91">
        <f>(D34-F34)*48.8</f>
        <v>0</v>
      </c>
    </row>
    <row r="35" spans="1:8" ht="16.5" customHeight="1">
      <c r="A35" s="84" t="s">
        <v>54</v>
      </c>
      <c r="B35" s="84"/>
      <c r="C35" s="84"/>
      <c r="D35" s="84"/>
      <c r="E35" s="84"/>
      <c r="F35" s="84"/>
      <c r="G35" s="84"/>
      <c r="H35" s="92">
        <f>((H34+H33)*1.82)*0.5</f>
        <v>488.488</v>
      </c>
    </row>
    <row r="36" spans="1:8" ht="16.5" customHeight="1">
      <c r="A36" s="84" t="s">
        <v>45</v>
      </c>
      <c r="B36" s="84"/>
      <c r="C36" s="84"/>
      <c r="D36" s="84"/>
      <c r="E36" s="84"/>
      <c r="F36" s="84"/>
      <c r="G36" s="84"/>
      <c r="H36" s="92">
        <f>H35+D22+D9+D31</f>
        <v>15072.422789500426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7E81-F870-4E8F-B5C7-17239A02EF9D}">
  <dimension ref="A1:H36"/>
  <sheetViews>
    <sheetView topLeftCell="A4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119</v>
      </c>
      <c r="B2" s="57"/>
      <c r="C2" s="57"/>
      <c r="D2" s="57"/>
      <c r="E2" s="57"/>
      <c r="F2" s="57"/>
      <c r="G2" s="57"/>
      <c r="H2" s="57"/>
    </row>
    <row r="3" spans="1:8" ht="16.5" customHeight="1">
      <c r="A3" s="79" t="s">
        <v>13</v>
      </c>
      <c r="B3" s="79"/>
      <c r="C3" s="79"/>
      <c r="D3" s="79"/>
      <c r="E3" s="79"/>
      <c r="F3" s="79"/>
      <c r="G3" s="79"/>
      <c r="H3" s="79"/>
    </row>
    <row r="4" spans="1:8" ht="16.5" customHeight="1">
      <c r="A4" s="80" t="s">
        <v>14</v>
      </c>
      <c r="B4" s="31">
        <v>60624.87</v>
      </c>
      <c r="C4" s="80" t="s">
        <v>15</v>
      </c>
      <c r="D4" s="31">
        <v>60640.04</v>
      </c>
      <c r="E4" s="80" t="s">
        <v>16</v>
      </c>
      <c r="F4" s="80">
        <f>D4-B4</f>
        <v>15.169999999998254</v>
      </c>
      <c r="G4" s="80" t="s">
        <v>17</v>
      </c>
      <c r="H4" s="80">
        <f>F4*284.35</f>
        <v>4313.5894999995035</v>
      </c>
    </row>
    <row r="5" spans="1:8" s="4" customFormat="1" ht="10.5" customHeight="1">
      <c r="A5" s="81" t="s">
        <v>3</v>
      </c>
      <c r="B5" s="81"/>
      <c r="C5" s="81"/>
      <c r="D5" s="81"/>
      <c r="E5" s="81"/>
      <c r="F5" s="81"/>
      <c r="G5" s="81"/>
      <c r="H5" s="81"/>
    </row>
    <row r="6" spans="1:8" ht="16.5" customHeight="1">
      <c r="A6" s="82" t="s">
        <v>18</v>
      </c>
      <c r="B6" s="82"/>
      <c r="C6" s="82"/>
      <c r="D6" s="83">
        <f>H4*0.568</f>
        <v>2450.1188359997177</v>
      </c>
      <c r="E6" s="83"/>
      <c r="F6" s="83"/>
      <c r="G6" s="83"/>
      <c r="H6" s="83"/>
    </row>
    <row r="7" spans="1:8" ht="16.5" customHeight="1">
      <c r="A7" s="82" t="s">
        <v>52</v>
      </c>
      <c r="B7" s="82"/>
      <c r="C7" s="82"/>
      <c r="D7" s="83">
        <f>H4*0.075</f>
        <v>323.51921249996275</v>
      </c>
      <c r="E7" s="83"/>
      <c r="F7" s="83"/>
      <c r="G7" s="83"/>
      <c r="H7" s="83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84" t="s">
        <v>20</v>
      </c>
      <c r="B9" s="84"/>
      <c r="C9" s="84"/>
      <c r="D9" s="85">
        <f>SUM(D6:H8)</f>
        <v>5639.6380484996807</v>
      </c>
      <c r="E9" s="85"/>
      <c r="F9" s="85"/>
      <c r="G9" s="85"/>
      <c r="H9" s="85"/>
    </row>
    <row r="10" spans="1:8" ht="16.5" customHeight="1">
      <c r="A10" s="79" t="s">
        <v>50</v>
      </c>
      <c r="B10" s="79"/>
      <c r="C10" s="79"/>
      <c r="D10" s="79"/>
      <c r="E10" s="79"/>
      <c r="F10" s="79"/>
      <c r="G10" s="79"/>
      <c r="H10" s="79"/>
    </row>
    <row r="11" spans="1:8" ht="16.5" customHeight="1">
      <c r="A11" s="86" t="s">
        <v>21</v>
      </c>
      <c r="B11" s="86"/>
      <c r="C11" s="87" t="s">
        <v>22</v>
      </c>
      <c r="D11" s="31">
        <v>41326</v>
      </c>
      <c r="E11" s="80" t="s">
        <v>23</v>
      </c>
      <c r="F11" s="31">
        <v>41332</v>
      </c>
      <c r="G11" s="80" t="s">
        <v>24</v>
      </c>
      <c r="H11" s="80">
        <f>F11-D11</f>
        <v>6</v>
      </c>
    </row>
    <row r="12" spans="1:8" ht="16.5" customHeight="1">
      <c r="A12" s="86" t="s">
        <v>25</v>
      </c>
      <c r="B12" s="86"/>
      <c r="C12" s="87" t="s">
        <v>22</v>
      </c>
      <c r="D12" s="31">
        <v>68393</v>
      </c>
      <c r="E12" s="80" t="s">
        <v>23</v>
      </c>
      <c r="F12" s="31">
        <v>68407</v>
      </c>
      <c r="G12" s="80" t="s">
        <v>24</v>
      </c>
      <c r="H12" s="80">
        <f>F12-D12</f>
        <v>14</v>
      </c>
    </row>
    <row r="13" spans="1:8" ht="16.5" customHeight="1">
      <c r="A13" s="86" t="s">
        <v>26</v>
      </c>
      <c r="B13" s="86"/>
      <c r="C13" s="87" t="s">
        <v>22</v>
      </c>
      <c r="D13" s="31">
        <v>69697</v>
      </c>
      <c r="E13" s="80" t="s">
        <v>23</v>
      </c>
      <c r="F13" s="31">
        <v>69707</v>
      </c>
      <c r="G13" s="80" t="s">
        <v>24</v>
      </c>
      <c r="H13" s="80">
        <f>F13-D13</f>
        <v>10</v>
      </c>
    </row>
    <row r="14" spans="1:8" ht="16.5" customHeight="1">
      <c r="A14" s="88" t="s">
        <v>27</v>
      </c>
      <c r="B14" s="88"/>
      <c r="C14" s="88"/>
      <c r="D14" s="88"/>
      <c r="E14" s="88"/>
      <c r="F14" s="88"/>
      <c r="G14" s="88"/>
      <c r="H14" s="80">
        <f>SUM(H11:H13)</f>
        <v>30</v>
      </c>
    </row>
    <row r="15" spans="1:8" ht="16.5" customHeight="1">
      <c r="A15" s="88" t="s">
        <v>28</v>
      </c>
      <c r="B15" s="88"/>
      <c r="C15" s="88"/>
      <c r="D15" s="88"/>
      <c r="E15" s="88"/>
      <c r="F15" s="88"/>
      <c r="G15" s="88"/>
      <c r="H15" s="80">
        <f>H14*487.2</f>
        <v>14616</v>
      </c>
    </row>
    <row r="16" spans="1:8" s="4" customFormat="1" ht="10.5" customHeight="1">
      <c r="A16" s="89" t="s">
        <v>3</v>
      </c>
      <c r="B16" s="89"/>
      <c r="C16" s="89"/>
      <c r="D16" s="89"/>
      <c r="E16" s="89"/>
      <c r="F16" s="89"/>
      <c r="G16" s="89"/>
      <c r="H16" s="89"/>
    </row>
    <row r="17" spans="1:8" ht="16.5" customHeight="1">
      <c r="A17" s="86" t="s">
        <v>29</v>
      </c>
      <c r="B17" s="86"/>
      <c r="C17" s="86"/>
      <c r="D17" s="83">
        <v>460</v>
      </c>
      <c r="E17" s="83"/>
      <c r="F17" s="83"/>
      <c r="G17" s="83"/>
      <c r="H17" s="83"/>
    </row>
    <row r="18" spans="1:8" ht="16.5" customHeight="1">
      <c r="A18" s="86" t="s">
        <v>30</v>
      </c>
      <c r="B18" s="86"/>
      <c r="C18" s="86"/>
      <c r="D18" s="83">
        <v>560</v>
      </c>
      <c r="E18" s="83"/>
      <c r="F18" s="83"/>
      <c r="G18" s="83"/>
      <c r="H18" s="83"/>
    </row>
    <row r="19" spans="1:8" ht="16.5" customHeight="1">
      <c r="A19" s="86" t="s">
        <v>31</v>
      </c>
      <c r="B19" s="86"/>
      <c r="C19" s="86"/>
      <c r="D19" s="83">
        <v>640</v>
      </c>
      <c r="E19" s="83"/>
      <c r="F19" s="83"/>
      <c r="G19" s="83"/>
      <c r="H19" s="83"/>
    </row>
    <row r="20" spans="1:8" ht="16.5" customHeight="1">
      <c r="A20" s="86" t="s">
        <v>32</v>
      </c>
      <c r="B20" s="86"/>
      <c r="C20" s="86"/>
      <c r="D20" s="83">
        <f>H15*0.38</f>
        <v>5554.08</v>
      </c>
      <c r="E20" s="83"/>
      <c r="F20" s="83"/>
      <c r="G20" s="83"/>
      <c r="H20" s="83"/>
    </row>
    <row r="21" spans="1:8" ht="16.5" customHeight="1">
      <c r="A21" s="86" t="s">
        <v>53</v>
      </c>
      <c r="B21" s="86"/>
      <c r="C21" s="86"/>
      <c r="D21" s="83">
        <f>H15*0.06</f>
        <v>876.95999999999992</v>
      </c>
      <c r="E21" s="83"/>
      <c r="F21" s="83"/>
      <c r="G21" s="83"/>
      <c r="H21" s="83"/>
    </row>
    <row r="22" spans="1:8" ht="16.5" customHeight="1">
      <c r="A22" s="84" t="s">
        <v>20</v>
      </c>
      <c r="B22" s="84"/>
      <c r="C22" s="84"/>
      <c r="D22" s="85">
        <f>D20+D21</f>
        <v>6431.04</v>
      </c>
      <c r="E22" s="85"/>
      <c r="F22" s="85"/>
      <c r="G22" s="85"/>
      <c r="H22" s="85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90" t="s">
        <v>0</v>
      </c>
      <c r="B24" s="32">
        <v>256223</v>
      </c>
      <c r="C24" s="80" t="s">
        <v>1</v>
      </c>
      <c r="D24" s="32">
        <v>256423</v>
      </c>
      <c r="E24" s="80" t="s">
        <v>33</v>
      </c>
      <c r="F24" s="80">
        <f>D24-B24</f>
        <v>200</v>
      </c>
      <c r="G24" s="80" t="s">
        <v>34</v>
      </c>
      <c r="H24" s="80">
        <f>F24*220</f>
        <v>44000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86" t="s">
        <v>35</v>
      </c>
      <c r="B26" s="86"/>
      <c r="C26" s="86"/>
      <c r="D26" s="83">
        <v>350</v>
      </c>
      <c r="E26" s="83"/>
      <c r="F26" s="83"/>
      <c r="G26" s="83"/>
      <c r="H26" s="83"/>
    </row>
    <row r="27" spans="1:8" ht="16.5" customHeight="1">
      <c r="A27" s="86" t="s">
        <v>36</v>
      </c>
      <c r="B27" s="86"/>
      <c r="C27" s="86"/>
      <c r="D27" s="83">
        <v>400</v>
      </c>
      <c r="E27" s="83"/>
      <c r="F27" s="83"/>
      <c r="G27" s="83"/>
      <c r="H27" s="83"/>
    </row>
    <row r="28" spans="1:8" ht="16.5" customHeight="1">
      <c r="A28" s="86" t="s">
        <v>37</v>
      </c>
      <c r="B28" s="86"/>
      <c r="C28" s="86"/>
      <c r="D28" s="83">
        <f>(H24-20000)*0.046</f>
        <v>1104</v>
      </c>
      <c r="E28" s="83"/>
      <c r="F28" s="83"/>
      <c r="G28" s="83"/>
      <c r="H28" s="83"/>
    </row>
    <row r="29" spans="1:8" ht="16.5" customHeight="1">
      <c r="A29" s="86" t="s">
        <v>38</v>
      </c>
      <c r="B29" s="86"/>
      <c r="C29" s="86"/>
      <c r="D29" s="83">
        <f>H24*0.004</f>
        <v>176</v>
      </c>
      <c r="E29" s="83"/>
      <c r="F29" s="83"/>
      <c r="G29" s="83"/>
      <c r="H29" s="83"/>
    </row>
    <row r="30" spans="1:8" ht="16.5" customHeight="1">
      <c r="A30" s="86" t="s">
        <v>39</v>
      </c>
      <c r="B30" s="86"/>
      <c r="C30" s="86"/>
      <c r="D30" s="83">
        <f>H24*0.01</f>
        <v>440</v>
      </c>
      <c r="E30" s="83"/>
      <c r="F30" s="83"/>
      <c r="G30" s="83"/>
      <c r="H30" s="83"/>
    </row>
    <row r="31" spans="1:8" ht="16.5" customHeight="1">
      <c r="A31" s="84" t="s">
        <v>20</v>
      </c>
      <c r="B31" s="84"/>
      <c r="C31" s="84"/>
      <c r="D31" s="85">
        <f>SUM(D26:H30)</f>
        <v>2470</v>
      </c>
      <c r="E31" s="85"/>
      <c r="F31" s="85"/>
      <c r="G31" s="85"/>
      <c r="H31" s="85"/>
    </row>
    <row r="32" spans="1:8" ht="16.5" customHeight="1">
      <c r="A32" s="79" t="s">
        <v>51</v>
      </c>
      <c r="B32" s="79"/>
      <c r="C32" s="79"/>
      <c r="D32" s="79"/>
      <c r="E32" s="79"/>
      <c r="F32" s="79"/>
      <c r="G32" s="79"/>
      <c r="H32" s="79"/>
    </row>
    <row r="33" spans="1:8" ht="16.5" customHeight="1">
      <c r="A33" s="86" t="s">
        <v>40</v>
      </c>
      <c r="B33" s="86"/>
      <c r="C33" s="87" t="s">
        <v>41</v>
      </c>
      <c r="D33" s="27">
        <v>80</v>
      </c>
      <c r="E33" s="80" t="s">
        <v>42</v>
      </c>
      <c r="F33" s="27">
        <v>69</v>
      </c>
      <c r="G33" s="80" t="s">
        <v>43</v>
      </c>
      <c r="H33" s="91">
        <f>(D33-F33)*48.8</f>
        <v>536.79999999999995</v>
      </c>
    </row>
    <row r="34" spans="1:8" ht="16.5" customHeight="1">
      <c r="A34" s="86" t="s">
        <v>44</v>
      </c>
      <c r="B34" s="86"/>
      <c r="C34" s="87" t="s">
        <v>41</v>
      </c>
      <c r="D34" s="27">
        <v>20</v>
      </c>
      <c r="E34" s="80" t="s">
        <v>42</v>
      </c>
      <c r="F34" s="27">
        <v>20</v>
      </c>
      <c r="G34" s="80" t="s">
        <v>43</v>
      </c>
      <c r="H34" s="91">
        <f>(D34-F34)*48.8</f>
        <v>0</v>
      </c>
    </row>
    <row r="35" spans="1:8" ht="16.5" customHeight="1">
      <c r="A35" s="84" t="s">
        <v>54</v>
      </c>
      <c r="B35" s="84"/>
      <c r="C35" s="84"/>
      <c r="D35" s="84"/>
      <c r="E35" s="84"/>
      <c r="F35" s="84"/>
      <c r="G35" s="84"/>
      <c r="H35" s="92">
        <f>((H34+H33)*1.82)*0.5</f>
        <v>488.488</v>
      </c>
    </row>
    <row r="36" spans="1:8" ht="16.5" customHeight="1">
      <c r="A36" s="84" t="s">
        <v>45</v>
      </c>
      <c r="B36" s="84"/>
      <c r="C36" s="84"/>
      <c r="D36" s="84"/>
      <c r="E36" s="84"/>
      <c r="F36" s="84"/>
      <c r="G36" s="84"/>
      <c r="H36" s="92">
        <f>H35+D22+D9+D31</f>
        <v>15029.166048499681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6:H16"/>
    <mergeCell ref="A17:C17"/>
    <mergeCell ref="D17:H17"/>
    <mergeCell ref="A18:C18"/>
    <mergeCell ref="D18:H18"/>
    <mergeCell ref="A19:C19"/>
    <mergeCell ref="D19:H19"/>
    <mergeCell ref="A10:H10"/>
    <mergeCell ref="A11:B11"/>
    <mergeCell ref="A12:B12"/>
    <mergeCell ref="A13:B13"/>
    <mergeCell ref="A14:G14"/>
    <mergeCell ref="A15:G15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topLeftCell="A22" zoomScaleNormal="100" workbookViewId="0">
      <selection activeCell="H35" sqref="H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98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60604.53</v>
      </c>
      <c r="C4" s="35" t="s">
        <v>15</v>
      </c>
      <c r="D4" s="31">
        <v>60624.87</v>
      </c>
      <c r="E4" s="35" t="s">
        <v>16</v>
      </c>
      <c r="F4" s="35">
        <f>D4-B4</f>
        <v>20.340000000003783</v>
      </c>
      <c r="G4" s="35" t="s">
        <v>17</v>
      </c>
      <c r="H4" s="35">
        <f>F4*284.35</f>
        <v>5783.679000001076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3285.1296720006108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433.77592500008069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6584.9055970006921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41319</v>
      </c>
      <c r="E11" s="35" t="s">
        <v>23</v>
      </c>
      <c r="F11" s="31">
        <v>41326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68380</v>
      </c>
      <c r="E12" s="35" t="s">
        <v>23</v>
      </c>
      <c r="F12" s="31">
        <v>68393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69686</v>
      </c>
      <c r="E13" s="35" t="s">
        <v>23</v>
      </c>
      <c r="F13" s="31">
        <v>69697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31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15103.199999999999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6645.4079999999994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256020</v>
      </c>
      <c r="C24" s="35" t="s">
        <v>1</v>
      </c>
      <c r="D24" s="32">
        <v>256223</v>
      </c>
      <c r="E24" s="35" t="s">
        <v>33</v>
      </c>
      <c r="F24" s="35">
        <f>D24-B24</f>
        <v>203</v>
      </c>
      <c r="G24" s="35" t="s">
        <v>34</v>
      </c>
      <c r="H24" s="35">
        <f>F24*220</f>
        <v>44660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1134.3599999999999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178.64000000000001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446.6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2509.6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32</v>
      </c>
      <c r="E34" s="35" t="s">
        <v>42</v>
      </c>
      <c r="F34" s="27">
        <v>20</v>
      </c>
      <c r="G34" s="35" t="s">
        <v>43</v>
      </c>
      <c r="H34" s="7">
        <f>(D34-F34)*48.8</f>
        <v>585.59999999999991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532.89599999999996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16272.809597000693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25" zoomScaleNormal="100" workbookViewId="0">
      <selection activeCell="H35" sqref="H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97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60581.7</v>
      </c>
      <c r="C4" s="35" t="s">
        <v>15</v>
      </c>
      <c r="D4" s="31">
        <v>60604.53</v>
      </c>
      <c r="E4" s="35" t="s">
        <v>16</v>
      </c>
      <c r="F4" s="35">
        <f>D4-B4</f>
        <v>22.830000000001746</v>
      </c>
      <c r="G4" s="35" t="s">
        <v>17</v>
      </c>
      <c r="H4" s="35">
        <f>F4*284.35</f>
        <v>6491.7105000004967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3687.2915640002816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486.87828750003723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7040.1698515003191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41312</v>
      </c>
      <c r="E11" s="35" t="s">
        <v>23</v>
      </c>
      <c r="F11" s="31">
        <v>41319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68367</v>
      </c>
      <c r="E12" s="35" t="s">
        <v>23</v>
      </c>
      <c r="F12" s="31">
        <v>68380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69676</v>
      </c>
      <c r="E13" s="35" t="s">
        <v>23</v>
      </c>
      <c r="F13" s="31">
        <v>69686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255807</v>
      </c>
      <c r="C24" s="35" t="s">
        <v>1</v>
      </c>
      <c r="D24" s="32">
        <v>256020</v>
      </c>
      <c r="E24" s="35" t="s">
        <v>33</v>
      </c>
      <c r="F24" s="35">
        <f>D24-B24</f>
        <v>213</v>
      </c>
      <c r="G24" s="35" t="s">
        <v>34</v>
      </c>
      <c r="H24" s="35">
        <f>F24*220</f>
        <v>46860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1235.56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187.44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468.6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2641.6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40</v>
      </c>
      <c r="E34" s="35" t="s">
        <v>42</v>
      </c>
      <c r="F34" s="27">
        <v>32</v>
      </c>
      <c r="G34" s="35" t="s">
        <v>43</v>
      </c>
      <c r="H34" s="7">
        <f>(D34-F34)*48.8</f>
        <v>390.4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16468.073851500318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topLeftCell="A16" zoomScaleNormal="100" workbookViewId="0">
      <selection activeCell="A35" sqref="A35:G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95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60558.879999999997</v>
      </c>
      <c r="C4" s="35" t="s">
        <v>15</v>
      </c>
      <c r="D4" s="31">
        <v>60581.7</v>
      </c>
      <c r="E4" s="35" t="s">
        <v>16</v>
      </c>
      <c r="F4" s="35">
        <f>D4-B4</f>
        <v>22.819999999999709</v>
      </c>
      <c r="G4" s="35" t="s">
        <v>17</v>
      </c>
      <c r="H4" s="35">
        <f>F4*284.35</f>
        <v>6488.8669999999174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3685.6764559999529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486.66502499999376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7038.3414809999467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41305</v>
      </c>
      <c r="E11" s="35" t="s">
        <v>23</v>
      </c>
      <c r="F11" s="31">
        <v>41312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68354</v>
      </c>
      <c r="E12" s="35" t="s">
        <v>23</v>
      </c>
      <c r="F12" s="31">
        <v>68367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69666</v>
      </c>
      <c r="E13" s="35" t="s">
        <v>23</v>
      </c>
      <c r="F13" s="31">
        <v>69676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255587</v>
      </c>
      <c r="C24" s="35" t="s">
        <v>1</v>
      </c>
      <c r="D24" s="32">
        <v>255807</v>
      </c>
      <c r="E24" s="35" t="s">
        <v>33</v>
      </c>
      <c r="F24" s="35">
        <f>D24-B24</f>
        <v>220</v>
      </c>
      <c r="G24" s="35" t="s">
        <v>34</v>
      </c>
      <c r="H24" s="35">
        <f>F24*220</f>
        <v>48400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1306.4000000000001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193.6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484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2734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52</v>
      </c>
      <c r="E34" s="35" t="s">
        <v>42</v>
      </c>
      <c r="F34" s="27">
        <v>40</v>
      </c>
      <c r="G34" s="35" t="s">
        <v>43</v>
      </c>
      <c r="H34" s="7">
        <f>(D34-F34)*48.8</f>
        <v>585.59999999999991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532.89599999999996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16736.277480999946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6" zoomScaleNormal="100" workbookViewId="0">
      <selection activeCell="A25" sqref="A25:H2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94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60536.78</v>
      </c>
      <c r="C4" s="35" t="s">
        <v>15</v>
      </c>
      <c r="D4" s="31">
        <v>60558.879999999997</v>
      </c>
      <c r="E4" s="35" t="s">
        <v>16</v>
      </c>
      <c r="F4" s="35">
        <f>D4-B4</f>
        <v>22.099999999998545</v>
      </c>
      <c r="G4" s="35" t="s">
        <v>17</v>
      </c>
      <c r="H4" s="35">
        <f>F4*284.35</f>
        <v>6284.1349999995864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3569.3886799997649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471.31012499996893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6906.6988049997344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41298</v>
      </c>
      <c r="E11" s="35" t="s">
        <v>23</v>
      </c>
      <c r="F11" s="31">
        <v>41305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68341</v>
      </c>
      <c r="E12" s="35" t="s">
        <v>23</v>
      </c>
      <c r="F12" s="31">
        <v>68354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69655</v>
      </c>
      <c r="E13" s="35" t="s">
        <v>23</v>
      </c>
      <c r="F13" s="31">
        <v>69666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31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15103.199999999999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6645.4079999999994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255387</v>
      </c>
      <c r="C24" s="35" t="s">
        <v>1</v>
      </c>
      <c r="D24" s="32">
        <v>255587</v>
      </c>
      <c r="E24" s="35" t="s">
        <v>33</v>
      </c>
      <c r="F24" s="35">
        <f>D24-B24</f>
        <v>200</v>
      </c>
      <c r="G24" s="35" t="s">
        <v>34</v>
      </c>
      <c r="H24" s="35">
        <f>F24*220</f>
        <v>44000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1104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176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440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2470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61</v>
      </c>
      <c r="E34" s="35" t="s">
        <v>42</v>
      </c>
      <c r="F34" s="27">
        <v>52</v>
      </c>
      <c r="G34" s="35" t="s">
        <v>43</v>
      </c>
      <c r="H34" s="7">
        <f>(D34-F34)*48.8</f>
        <v>439.2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399.67200000000003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16421.778804999733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6"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93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60515.3</v>
      </c>
      <c r="C4" s="35" t="s">
        <v>15</v>
      </c>
      <c r="D4" s="31">
        <v>60536.78</v>
      </c>
      <c r="E4" s="35" t="s">
        <v>16</v>
      </c>
      <c r="F4" s="35">
        <f>D4-B4</f>
        <v>21.479999999995925</v>
      </c>
      <c r="G4" s="35" t="s">
        <v>17</v>
      </c>
      <c r="H4" s="35">
        <f>F4*284.35</f>
        <v>6107.837999998842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3469.251983999342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458.08784999991315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6793.3398339992546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41292</v>
      </c>
      <c r="E11" s="35" t="s">
        <v>23</v>
      </c>
      <c r="F11" s="31">
        <v>41298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68328</v>
      </c>
      <c r="E12" s="35" t="s">
        <v>23</v>
      </c>
      <c r="F12" s="31">
        <v>68341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69645</v>
      </c>
      <c r="E13" s="35" t="s">
        <v>23</v>
      </c>
      <c r="F13" s="31">
        <v>69655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255177</v>
      </c>
      <c r="C24" s="35" t="s">
        <v>1</v>
      </c>
      <c r="D24" s="32">
        <v>255387</v>
      </c>
      <c r="E24" s="35" t="s">
        <v>33</v>
      </c>
      <c r="F24" s="35">
        <f>D24-B24</f>
        <v>210</v>
      </c>
      <c r="G24" s="35" t="s">
        <v>34</v>
      </c>
      <c r="H24" s="35">
        <f>F24*220</f>
        <v>46200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1205.2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184.8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462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2602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71</v>
      </c>
      <c r="E34" s="35" t="s">
        <v>42</v>
      </c>
      <c r="F34" s="27">
        <v>61</v>
      </c>
      <c r="G34" s="35" t="s">
        <v>43</v>
      </c>
      <c r="H34" s="7">
        <f>(D34-F34)*48.8</f>
        <v>488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16056.091833999253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opLeftCell="A19" zoomScaleNormal="100" workbookViewId="0">
      <selection activeCell="A35" sqref="A35:G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91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60492.24</v>
      </c>
      <c r="C4" s="35" t="s">
        <v>15</v>
      </c>
      <c r="D4" s="31">
        <v>60515.3</v>
      </c>
      <c r="E4" s="35" t="s">
        <v>16</v>
      </c>
      <c r="F4" s="35">
        <f>D4-B4</f>
        <v>23.060000000004948</v>
      </c>
      <c r="G4" s="35" t="s">
        <v>17</v>
      </c>
      <c r="H4" s="35">
        <f>F4*284.35</f>
        <v>6557.1110000014078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3724.4390480007992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491.78332500010555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7082.2223730009046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41285</v>
      </c>
      <c r="E11" s="35" t="s">
        <v>23</v>
      </c>
      <c r="F11" s="31">
        <v>41292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68315</v>
      </c>
      <c r="E12" s="35" t="s">
        <v>23</v>
      </c>
      <c r="F12" s="31">
        <v>68328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69635</v>
      </c>
      <c r="E13" s="35" t="s">
        <v>23</v>
      </c>
      <c r="F13" s="31">
        <v>69645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254976</v>
      </c>
      <c r="C24" s="35" t="s">
        <v>1</v>
      </c>
      <c r="D24" s="32">
        <v>255177</v>
      </c>
      <c r="E24" s="35" t="s">
        <v>33</v>
      </c>
      <c r="F24" s="35">
        <f>D24-B24</f>
        <v>201</v>
      </c>
      <c r="G24" s="35" t="s">
        <v>34</v>
      </c>
      <c r="H24" s="35">
        <f>F24*220</f>
        <v>44220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1114.1199999999999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176.88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442.2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2483.1999999999998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23</v>
      </c>
      <c r="E33" s="35" t="s">
        <v>42</v>
      </c>
      <c r="F33" s="27">
        <v>23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71</v>
      </c>
      <c r="G34" s="35" t="s">
        <v>43</v>
      </c>
      <c r="H34" s="7">
        <f>(D34-F34)*48.8</f>
        <v>439.2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399.67200000000003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16396.134373000903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zoomScaleNormal="100" workbookViewId="0">
      <selection activeCell="A5" sqref="A5:H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89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60470.39</v>
      </c>
      <c r="C4" s="35" t="s">
        <v>15</v>
      </c>
      <c r="D4" s="31">
        <v>60492.24</v>
      </c>
      <c r="E4" s="35" t="s">
        <v>16</v>
      </c>
      <c r="F4" s="35">
        <f>D4-B4</f>
        <v>21.849999999998545</v>
      </c>
      <c r="G4" s="35" t="s">
        <v>17</v>
      </c>
      <c r="H4" s="35">
        <f>F4*284.35</f>
        <v>6213.0474999995868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3529.0109799997649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465.97856249996897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6860.9895424997339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41278</v>
      </c>
      <c r="E11" s="35" t="s">
        <v>23</v>
      </c>
      <c r="F11" s="31">
        <v>41285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68302</v>
      </c>
      <c r="E12" s="35" t="s">
        <v>23</v>
      </c>
      <c r="F12" s="31">
        <v>68315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69626</v>
      </c>
      <c r="E13" s="35" t="s">
        <v>23</v>
      </c>
      <c r="F13" s="31">
        <v>69635</v>
      </c>
      <c r="G13" s="35" t="s">
        <v>24</v>
      </c>
      <c r="H13" s="35">
        <f>F13-D13</f>
        <v>9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254782</v>
      </c>
      <c r="C24" s="35" t="s">
        <v>1</v>
      </c>
      <c r="D24" s="32">
        <v>254976</v>
      </c>
      <c r="E24" s="35" t="s">
        <v>33</v>
      </c>
      <c r="F24" s="35">
        <f>D24-B24</f>
        <v>194</v>
      </c>
      <c r="G24" s="35" t="s">
        <v>34</v>
      </c>
      <c r="H24" s="35">
        <f>F24*220</f>
        <v>42680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1043.28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170.72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426.8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2390.8000000000002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32</v>
      </c>
      <c r="E33" s="35" t="s">
        <v>42</v>
      </c>
      <c r="F33" s="27">
        <v>23</v>
      </c>
      <c r="G33" s="35" t="s">
        <v>43</v>
      </c>
      <c r="H33" s="7">
        <f>(D33-F33)*48.8</f>
        <v>439.2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399.67200000000003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15868.133542499734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7" zoomScaleNormal="100" workbookViewId="0">
      <selection activeCell="F13" sqref="F13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87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60448.639999999999</v>
      </c>
      <c r="C4" s="35" t="s">
        <v>15</v>
      </c>
      <c r="D4" s="31">
        <v>60470.39</v>
      </c>
      <c r="E4" s="35" t="s">
        <v>16</v>
      </c>
      <c r="F4" s="35">
        <f>D4-B4</f>
        <v>21.75</v>
      </c>
      <c r="G4" s="35" t="s">
        <v>17</v>
      </c>
      <c r="H4" s="35">
        <f>F4*284.35</f>
        <v>6184.6125000000002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3512.8598999999999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463.84593749999999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6842.7058374999997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41271</v>
      </c>
      <c r="E11" s="35" t="s">
        <v>23</v>
      </c>
      <c r="F11" s="31">
        <v>41278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68290</v>
      </c>
      <c r="E12" s="35" t="s">
        <v>23</v>
      </c>
      <c r="F12" s="31">
        <v>68302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69615</v>
      </c>
      <c r="E13" s="35" t="s">
        <v>23</v>
      </c>
      <c r="F13" s="31">
        <v>69626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254584</v>
      </c>
      <c r="C24" s="35" t="s">
        <v>1</v>
      </c>
      <c r="D24" s="32">
        <v>254782</v>
      </c>
      <c r="E24" s="35" t="s">
        <v>33</v>
      </c>
      <c r="F24" s="35">
        <f>D24-B24</f>
        <v>198</v>
      </c>
      <c r="G24" s="35" t="s">
        <v>34</v>
      </c>
      <c r="H24" s="35">
        <f>F24*220</f>
        <v>43560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1083.76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174.24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435.6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2443.6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40</v>
      </c>
      <c r="E33" s="35" t="s">
        <v>42</v>
      </c>
      <c r="F33" s="27">
        <v>32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16072.6098375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L39" sqref="L39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85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60426.95</v>
      </c>
      <c r="C4" s="35" t="s">
        <v>15</v>
      </c>
      <c r="D4" s="31">
        <v>60448.639999999999</v>
      </c>
      <c r="E4" s="35" t="s">
        <v>16</v>
      </c>
      <c r="F4" s="35">
        <f>D4-B4</f>
        <v>21.690000000002328</v>
      </c>
      <c r="G4" s="35" t="s">
        <v>17</v>
      </c>
      <c r="H4" s="35">
        <f>F4*284.35</f>
        <v>6167.5515000006626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3503.1692520003762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462.56636250004965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6831.735614500426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41265</v>
      </c>
      <c r="E11" s="35" t="s">
        <v>23</v>
      </c>
      <c r="F11" s="31">
        <v>41271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68278</v>
      </c>
      <c r="E12" s="35" t="s">
        <v>23</v>
      </c>
      <c r="F12" s="31">
        <v>68290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69605</v>
      </c>
      <c r="E13" s="35" t="s">
        <v>23</v>
      </c>
      <c r="F13" s="31">
        <v>69615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28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13641.6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5183.808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818.49599999999998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6002.3040000000001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254410</v>
      </c>
      <c r="C24" s="35" t="s">
        <v>1</v>
      </c>
      <c r="D24" s="32">
        <v>254584</v>
      </c>
      <c r="E24" s="35" t="s">
        <v>33</v>
      </c>
      <c r="F24" s="35">
        <f>D24-B24</f>
        <v>174</v>
      </c>
      <c r="G24" s="35" t="s">
        <v>34</v>
      </c>
      <c r="H24" s="35">
        <f>F24*220</f>
        <v>38280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840.88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153.12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382.8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2126.8000000000002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48</v>
      </c>
      <c r="E33" s="35" t="s">
        <v>42</v>
      </c>
      <c r="F33" s="27">
        <v>40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15316.103614500425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6"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84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60405.86</v>
      </c>
      <c r="C4" s="35" t="s">
        <v>15</v>
      </c>
      <c r="D4" s="31">
        <v>60426.95</v>
      </c>
      <c r="E4" s="35" t="s">
        <v>16</v>
      </c>
      <c r="F4" s="35">
        <f>D4-B4</f>
        <v>21.089999999996508</v>
      </c>
      <c r="G4" s="35" t="s">
        <v>17</v>
      </c>
      <c r="H4" s="35">
        <f>F4*284.35</f>
        <v>5996.9414999990076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3406.2627719994362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449.77061249992556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6722.033384499362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41258</v>
      </c>
      <c r="E11" s="35" t="s">
        <v>23</v>
      </c>
      <c r="F11" s="31">
        <v>41265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68265</v>
      </c>
      <c r="E12" s="35" t="s">
        <v>23</v>
      </c>
      <c r="F12" s="31">
        <v>68278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69594</v>
      </c>
      <c r="E13" s="35" t="s">
        <v>23</v>
      </c>
      <c r="F13" s="31">
        <v>69605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31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15103.199999999999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6645.4079999999994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254224</v>
      </c>
      <c r="C24" s="35" t="s">
        <v>1</v>
      </c>
      <c r="D24" s="32">
        <v>254410</v>
      </c>
      <c r="E24" s="35" t="s">
        <v>33</v>
      </c>
      <c r="F24" s="35">
        <f>D24-B24</f>
        <v>186</v>
      </c>
      <c r="G24" s="35" t="s">
        <v>34</v>
      </c>
      <c r="H24" s="35">
        <f>F24*220</f>
        <v>40920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962.31999999999994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163.68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409.2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2285.1999999999998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58</v>
      </c>
      <c r="E33" s="35" t="s">
        <v>42</v>
      </c>
      <c r="F33" s="27">
        <v>48</v>
      </c>
      <c r="G33" s="35" t="s">
        <v>43</v>
      </c>
      <c r="H33" s="7">
        <f>(D33-F33)*48.8</f>
        <v>488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16096.72138449936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4"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83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60387.74</v>
      </c>
      <c r="C4" s="35" t="s">
        <v>15</v>
      </c>
      <c r="D4" s="31">
        <v>60405.86</v>
      </c>
      <c r="E4" s="35" t="s">
        <v>16</v>
      </c>
      <c r="F4" s="35">
        <f>D4-B4</f>
        <v>18.120000000002619</v>
      </c>
      <c r="G4" s="35" t="s">
        <v>17</v>
      </c>
      <c r="H4" s="35">
        <f>F4*284.35</f>
        <v>5152.4220000007454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2926.5756960004232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386.43165000005587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6179.0073460004787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41251</v>
      </c>
      <c r="E11" s="35" t="s">
        <v>23</v>
      </c>
      <c r="F11" s="31">
        <v>41258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68252</v>
      </c>
      <c r="E12" s="35" t="s">
        <v>23</v>
      </c>
      <c r="F12" s="31">
        <v>68265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69584</v>
      </c>
      <c r="E13" s="35" t="s">
        <v>23</v>
      </c>
      <c r="F13" s="31">
        <v>69594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254043</v>
      </c>
      <c r="C24" s="35" t="s">
        <v>1</v>
      </c>
      <c r="D24" s="32">
        <v>254224</v>
      </c>
      <c r="E24" s="35" t="s">
        <v>33</v>
      </c>
      <c r="F24" s="35">
        <f>D24-B24</f>
        <v>181</v>
      </c>
      <c r="G24" s="35" t="s">
        <v>34</v>
      </c>
      <c r="H24" s="35">
        <f>F24*220</f>
        <v>39820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911.72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159.28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398.2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2219.1999999999998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66</v>
      </c>
      <c r="E33" s="35" t="s">
        <v>42</v>
      </c>
      <c r="F33" s="27">
        <v>58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15184.51134600048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13"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81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60370.76</v>
      </c>
      <c r="C4" s="35" t="s">
        <v>15</v>
      </c>
      <c r="D4" s="31">
        <v>60387.74</v>
      </c>
      <c r="E4" s="35" t="s">
        <v>16</v>
      </c>
      <c r="F4" s="35">
        <f>D4-B4</f>
        <v>16.979999999995925</v>
      </c>
      <c r="G4" s="35" t="s">
        <v>17</v>
      </c>
      <c r="H4" s="35">
        <f>F4*284.35</f>
        <v>4828.2629999988421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2742.4533839993419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362.11972499991316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5970.5731089992551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41245</v>
      </c>
      <c r="E11" s="35" t="s">
        <v>23</v>
      </c>
      <c r="F11" s="31">
        <v>41251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68239</v>
      </c>
      <c r="E12" s="35" t="s">
        <v>23</v>
      </c>
      <c r="F12" s="31">
        <v>68252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69573</v>
      </c>
      <c r="E13" s="35" t="s">
        <v>23</v>
      </c>
      <c r="F13" s="31">
        <v>69584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253855</v>
      </c>
      <c r="C24" s="35" t="s">
        <v>1</v>
      </c>
      <c r="D24" s="32">
        <v>254043</v>
      </c>
      <c r="E24" s="35" t="s">
        <v>33</v>
      </c>
      <c r="F24" s="35">
        <f>D24-B24</f>
        <v>188</v>
      </c>
      <c r="G24" s="35" t="s">
        <v>34</v>
      </c>
      <c r="H24" s="35">
        <f>F24*220</f>
        <v>41360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982.56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165.44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413.6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2311.6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75</v>
      </c>
      <c r="E33" s="35" t="s">
        <v>42</v>
      </c>
      <c r="F33" s="27">
        <v>66</v>
      </c>
      <c r="G33" s="35" t="s">
        <v>43</v>
      </c>
      <c r="H33" s="7">
        <f>(D33-F33)*48.8</f>
        <v>439.2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399.67200000000003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15112.885108999255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13" zoomScaleNormal="100" workbookViewId="0">
      <selection activeCell="F33" sqref="F33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79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60353.83</v>
      </c>
      <c r="C4" s="35" t="s">
        <v>15</v>
      </c>
      <c r="D4" s="31">
        <v>60370.76</v>
      </c>
      <c r="E4" s="35" t="s">
        <v>16</v>
      </c>
      <c r="F4" s="35">
        <f>D4-B4</f>
        <v>16.930000000000291</v>
      </c>
      <c r="G4" s="35" t="s">
        <v>17</v>
      </c>
      <c r="H4" s="35">
        <f>F4*284.35</f>
        <v>4814.0455000000829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2734.3778440000469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361.05341250000623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5961.4312565000528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41238</v>
      </c>
      <c r="E11" s="35" t="s">
        <v>23</v>
      </c>
      <c r="F11" s="31">
        <v>41245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68227</v>
      </c>
      <c r="E12" s="35" t="s">
        <v>23</v>
      </c>
      <c r="F12" s="31">
        <v>68239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69563</v>
      </c>
      <c r="E13" s="35" t="s">
        <v>23</v>
      </c>
      <c r="F13" s="31">
        <v>69573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253701</v>
      </c>
      <c r="C24" s="35" t="s">
        <v>1</v>
      </c>
      <c r="D24" s="32">
        <v>253855</v>
      </c>
      <c r="E24" s="35" t="s">
        <v>33</v>
      </c>
      <c r="F24" s="35">
        <f>D24-B24</f>
        <v>154</v>
      </c>
      <c r="G24" s="35" t="s">
        <v>34</v>
      </c>
      <c r="H24" s="35">
        <f>F24*220</f>
        <v>33880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638.48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135.52000000000001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338.8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1862.8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82</v>
      </c>
      <c r="E33" s="35" t="s">
        <v>42</v>
      </c>
      <c r="F33" s="27">
        <v>75</v>
      </c>
      <c r="G33" s="35" t="s">
        <v>43</v>
      </c>
      <c r="H33" s="7">
        <f>(D33-F33)*48.8</f>
        <v>341.59999999999997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310.85599999999999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14351.759256500052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topLeftCell="A16" zoomScaleNormal="100" workbookViewId="0">
      <selection activeCell="J30" sqref="J30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76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60340.36</v>
      </c>
      <c r="C4" s="35" t="s">
        <v>15</v>
      </c>
      <c r="D4" s="31">
        <v>60353.83</v>
      </c>
      <c r="E4" s="35" t="s">
        <v>16</v>
      </c>
      <c r="F4" s="35">
        <f>D4-B4</f>
        <v>13.470000000001164</v>
      </c>
      <c r="G4" s="35" t="s">
        <v>17</v>
      </c>
      <c r="H4" s="35">
        <f>F4*284.35</f>
        <v>3830.1945000003311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2175.5504760001877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287.26458750002485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5328.815063500213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41232</v>
      </c>
      <c r="E11" s="35" t="s">
        <v>23</v>
      </c>
      <c r="F11" s="31">
        <v>41238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68215</v>
      </c>
      <c r="E12" s="35" t="s">
        <v>23</v>
      </c>
      <c r="F12" s="31">
        <v>68227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69554</v>
      </c>
      <c r="E13" s="35" t="s">
        <v>23</v>
      </c>
      <c r="F13" s="31">
        <v>69563</v>
      </c>
      <c r="G13" s="35" t="s">
        <v>24</v>
      </c>
      <c r="H13" s="35">
        <f>F13-D13</f>
        <v>9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27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13154.4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4998.6719999999996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789.2639999999999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5787.9359999999997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253535</v>
      </c>
      <c r="C24" s="35" t="s">
        <v>1</v>
      </c>
      <c r="D24" s="32">
        <v>253701</v>
      </c>
      <c r="E24" s="35" t="s">
        <v>33</v>
      </c>
      <c r="F24" s="35">
        <f>D24-B24</f>
        <v>166</v>
      </c>
      <c r="G24" s="35" t="s">
        <v>34</v>
      </c>
      <c r="H24" s="35">
        <f>F24*220</f>
        <v>36520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759.92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146.08000000000001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365.2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2021.2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35</v>
      </c>
      <c r="E33" s="35" t="s">
        <v>42</v>
      </c>
      <c r="F33" s="27">
        <v>28</v>
      </c>
      <c r="G33" s="35" t="s">
        <v>43</v>
      </c>
      <c r="H33" s="7">
        <f>(D33-F33)*48.8</f>
        <v>341.59999999999997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310.85599999999999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13448.807063500213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13" zoomScaleNormal="100" workbookViewId="0">
      <selection activeCell="A5" sqref="A5:H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75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60326.2</v>
      </c>
      <c r="C4" s="35" t="s">
        <v>15</v>
      </c>
      <c r="D4" s="31">
        <v>60340.36</v>
      </c>
      <c r="E4" s="35" t="s">
        <v>16</v>
      </c>
      <c r="F4" s="35">
        <f>D4-B4</f>
        <v>14.160000000003492</v>
      </c>
      <c r="G4" s="35" t="s">
        <v>17</v>
      </c>
      <c r="H4" s="35">
        <f>F4*284.35</f>
        <v>4026.3960000009934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2286.992928000564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301.9797000000745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5454.972628000638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41225</v>
      </c>
      <c r="E11" s="35" t="s">
        <v>23</v>
      </c>
      <c r="F11" s="31">
        <v>41232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68202</v>
      </c>
      <c r="E12" s="35" t="s">
        <v>23</v>
      </c>
      <c r="F12" s="31">
        <v>68215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69544</v>
      </c>
      <c r="E13" s="35" t="s">
        <v>23</v>
      </c>
      <c r="F13" s="31">
        <v>69554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253372</v>
      </c>
      <c r="C24" s="35" t="s">
        <v>1</v>
      </c>
      <c r="D24" s="32">
        <v>253535</v>
      </c>
      <c r="E24" s="35" t="s">
        <v>33</v>
      </c>
      <c r="F24" s="35">
        <f>D24-B24</f>
        <v>163</v>
      </c>
      <c r="G24" s="35" t="s">
        <v>34</v>
      </c>
      <c r="H24" s="35">
        <f>F24*220</f>
        <v>35860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729.56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143.44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358.6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1981.6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45</v>
      </c>
      <c r="E33" s="35" t="s">
        <v>42</v>
      </c>
      <c r="F33" s="27">
        <v>35</v>
      </c>
      <c r="G33" s="35" t="s">
        <v>43</v>
      </c>
      <c r="H33" s="7">
        <f>(D33-F33)*48.8</f>
        <v>488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14311.692628000639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topLeftCell="A13" zoomScaleNormal="100" workbookViewId="0">
      <selection activeCell="A5" sqref="A5:H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73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60312.25</v>
      </c>
      <c r="C4" s="35" t="s">
        <v>15</v>
      </c>
      <c r="D4" s="31">
        <v>60326.2</v>
      </c>
      <c r="E4" s="35" t="s">
        <v>16</v>
      </c>
      <c r="F4" s="35">
        <f>D4-B4</f>
        <v>13.94999999999709</v>
      </c>
      <c r="G4" s="35" t="s">
        <v>17</v>
      </c>
      <c r="H4" s="35">
        <f>F4*284.35</f>
        <v>3966.6824999991727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2253.0756599995298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297.50118749993794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5416.5768474994675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41219</v>
      </c>
      <c r="E11" s="35" t="s">
        <v>23</v>
      </c>
      <c r="F11" s="31">
        <v>41225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68190</v>
      </c>
      <c r="E12" s="35" t="s">
        <v>23</v>
      </c>
      <c r="F12" s="31">
        <v>68202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69534</v>
      </c>
      <c r="E13" s="35" t="s">
        <v>23</v>
      </c>
      <c r="F13" s="31">
        <v>69544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28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13641.6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5183.808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818.49599999999998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6002.3040000000001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253210</v>
      </c>
      <c r="C24" s="35" t="s">
        <v>1</v>
      </c>
      <c r="D24" s="32">
        <v>253372</v>
      </c>
      <c r="E24" s="35" t="s">
        <v>33</v>
      </c>
      <c r="F24" s="35">
        <f>D24-B24</f>
        <v>162</v>
      </c>
      <c r="G24" s="35" t="s">
        <v>34</v>
      </c>
      <c r="H24" s="35">
        <f>F24*220</f>
        <v>35640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719.43999999999994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142.56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356.40000000000003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1968.4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55</v>
      </c>
      <c r="E33" s="35" t="s">
        <v>42</v>
      </c>
      <c r="F33" s="27">
        <v>45</v>
      </c>
      <c r="G33" s="35" t="s">
        <v>43</v>
      </c>
      <c r="H33" s="7">
        <f>(D33-F33)*48.8</f>
        <v>488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13831.360847499467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72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60298.31</v>
      </c>
      <c r="C4" s="35" t="s">
        <v>15</v>
      </c>
      <c r="D4" s="31">
        <v>60312.25</v>
      </c>
      <c r="E4" s="35" t="s">
        <v>16</v>
      </c>
      <c r="F4" s="35">
        <f>D4-B4</f>
        <v>13.940000000002328</v>
      </c>
      <c r="G4" s="35" t="s">
        <v>17</v>
      </c>
      <c r="H4" s="35">
        <f>F4*284.35</f>
        <v>3963.8390000006625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2251.4605520003761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297.28792500004965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5414.7484770004257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41212</v>
      </c>
      <c r="E11" s="35" t="s">
        <v>23</v>
      </c>
      <c r="F11" s="31">
        <v>41219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68177</v>
      </c>
      <c r="E12" s="35" t="s">
        <v>23</v>
      </c>
      <c r="F12" s="31">
        <v>68190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69524</v>
      </c>
      <c r="E13" s="35" t="s">
        <v>23</v>
      </c>
      <c r="F13" s="31">
        <v>69534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253032</v>
      </c>
      <c r="C24" s="35" t="s">
        <v>1</v>
      </c>
      <c r="D24" s="32">
        <v>253210</v>
      </c>
      <c r="E24" s="35" t="s">
        <v>33</v>
      </c>
      <c r="F24" s="35">
        <f>D24-B24</f>
        <v>178</v>
      </c>
      <c r="G24" s="35" t="s">
        <v>34</v>
      </c>
      <c r="H24" s="35">
        <f>F24*220</f>
        <v>39160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881.36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156.64000000000001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391.6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2179.6000000000004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63</v>
      </c>
      <c r="E33" s="35" t="s">
        <v>42</v>
      </c>
      <c r="F33" s="27">
        <v>55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14380.652477000427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zoomScaleNormal="100" workbookViewId="0">
      <selection activeCell="F34" sqref="F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71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60284.17</v>
      </c>
      <c r="C4" s="35" t="s">
        <v>15</v>
      </c>
      <c r="D4" s="31">
        <v>60298.31</v>
      </c>
      <c r="E4" s="35" t="s">
        <v>16</v>
      </c>
      <c r="F4" s="35">
        <f>D4-B4</f>
        <v>14.139999999999418</v>
      </c>
      <c r="G4" s="35" t="s">
        <v>17</v>
      </c>
      <c r="H4" s="35">
        <f>F4*284.35</f>
        <v>4020.7089999998348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2283.7627119999061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301.55317499998762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5451.3158869998933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41205</v>
      </c>
      <c r="E11" s="35" t="s">
        <v>23</v>
      </c>
      <c r="F11" s="31">
        <v>41212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68164</v>
      </c>
      <c r="E12" s="35" t="s">
        <v>23</v>
      </c>
      <c r="F12" s="31">
        <v>68177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69513</v>
      </c>
      <c r="E13" s="35" t="s">
        <v>23</v>
      </c>
      <c r="F13" s="31">
        <v>69524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31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15103.199999999999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6645.4079999999994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252842</v>
      </c>
      <c r="C24" s="35" t="s">
        <v>1</v>
      </c>
      <c r="D24" s="32">
        <v>253032</v>
      </c>
      <c r="E24" s="35" t="s">
        <v>33</v>
      </c>
      <c r="F24" s="35">
        <f>D24-B24</f>
        <v>190</v>
      </c>
      <c r="G24" s="35" t="s">
        <v>34</v>
      </c>
      <c r="H24" s="35">
        <f>F24*220</f>
        <v>41800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1002.8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167.20000000000002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418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2338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72</v>
      </c>
      <c r="E33" s="35" t="s">
        <v>42</v>
      </c>
      <c r="F33" s="27">
        <v>63</v>
      </c>
      <c r="G33" s="35" t="s">
        <v>43</v>
      </c>
      <c r="H33" s="7">
        <f>(D33-F33)*48.8</f>
        <v>439.2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399.67200000000003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14834.395886999893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3" zoomScaleNormal="100" workbookViewId="0">
      <selection activeCell="D34" sqref="D34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70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60267.33</v>
      </c>
      <c r="C4" s="35" t="s">
        <v>15</v>
      </c>
      <c r="D4" s="31">
        <v>60284.17</v>
      </c>
      <c r="E4" s="35" t="s">
        <v>16</v>
      </c>
      <c r="F4" s="35">
        <f>D4-B4</f>
        <v>16.839999999996508</v>
      </c>
      <c r="G4" s="35" t="s">
        <v>17</v>
      </c>
      <c r="H4" s="35">
        <f>F4*284.35</f>
        <v>4788.4539999990075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2719.8418719994361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359.13404999992554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5944.9759219993612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41198</v>
      </c>
      <c r="E11" s="35" t="s">
        <v>23</v>
      </c>
      <c r="F11" s="31">
        <v>41205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68151</v>
      </c>
      <c r="E12" s="35" t="s">
        <v>23</v>
      </c>
      <c r="F12" s="31">
        <v>68164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69503</v>
      </c>
      <c r="E13" s="35" t="s">
        <v>23</v>
      </c>
      <c r="F13" s="31">
        <v>69513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252622</v>
      </c>
      <c r="C24" s="35" t="s">
        <v>1</v>
      </c>
      <c r="D24" s="32">
        <v>252842</v>
      </c>
      <c r="E24" s="35" t="s">
        <v>33</v>
      </c>
      <c r="F24" s="35">
        <f>D24-B24</f>
        <v>220</v>
      </c>
      <c r="G24" s="35" t="s">
        <v>34</v>
      </c>
      <c r="H24" s="35">
        <f>F24*220</f>
        <v>48400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1306.4000000000001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193.6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484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2734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72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80</v>
      </c>
      <c r="E34" s="35" t="s">
        <v>42</v>
      </c>
      <c r="F34" s="27">
        <v>80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15465.279921999361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3" zoomScaleNormal="100" workbookViewId="0">
      <selection activeCell="L32" sqref="L32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68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60253.95</v>
      </c>
      <c r="C4" s="35" t="s">
        <v>15</v>
      </c>
      <c r="D4" s="31">
        <v>60267.33</v>
      </c>
      <c r="E4" s="35" t="s">
        <v>16</v>
      </c>
      <c r="F4" s="35">
        <f>D4-B4</f>
        <v>13.380000000004657</v>
      </c>
      <c r="G4" s="35" t="s">
        <v>17</v>
      </c>
      <c r="H4" s="35">
        <f>F4*284.35</f>
        <v>3804.6030000013243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2161.0145040007519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285.34522500009933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5312.3597290008511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41191</v>
      </c>
      <c r="E11" s="35" t="s">
        <v>23</v>
      </c>
      <c r="F11" s="31">
        <v>41198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68139</v>
      </c>
      <c r="E12" s="35" t="s">
        <v>23</v>
      </c>
      <c r="F12" s="31">
        <v>68151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69493</v>
      </c>
      <c r="E13" s="35" t="s">
        <v>23</v>
      </c>
      <c r="F13" s="31">
        <v>69503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252418</v>
      </c>
      <c r="C24" s="35" t="s">
        <v>1</v>
      </c>
      <c r="D24" s="32">
        <v>252622</v>
      </c>
      <c r="E24" s="35" t="s">
        <v>33</v>
      </c>
      <c r="F24" s="35">
        <f>D24-B24</f>
        <v>204</v>
      </c>
      <c r="G24" s="35" t="s">
        <v>34</v>
      </c>
      <c r="H24" s="35">
        <f>F24*220</f>
        <v>44880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1144.48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179.52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448.8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2522.8000000000002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70</v>
      </c>
      <c r="E33" s="35" t="s">
        <v>42</v>
      </c>
      <c r="F33" s="27">
        <v>62</v>
      </c>
      <c r="G33" s="35" t="s">
        <v>43</v>
      </c>
      <c r="H33" s="7">
        <f>(D33-F33)*48.8</f>
        <v>390.4</v>
      </c>
    </row>
    <row r="34" spans="1:8" ht="16.5" customHeight="1">
      <c r="A34" s="70" t="s">
        <v>44</v>
      </c>
      <c r="B34" s="70"/>
      <c r="C34" s="5" t="s">
        <v>41</v>
      </c>
      <c r="D34" s="27">
        <v>20</v>
      </c>
      <c r="E34" s="35" t="s">
        <v>42</v>
      </c>
      <c r="F34" s="27">
        <v>20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14407.095729000852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zoomScaleNormal="100" workbookViewId="0">
      <selection activeCell="A3" sqref="A3:H3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66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60241.09</v>
      </c>
      <c r="C4" s="35" t="s">
        <v>15</v>
      </c>
      <c r="D4" s="31">
        <v>60253.95</v>
      </c>
      <c r="E4" s="35" t="s">
        <v>16</v>
      </c>
      <c r="F4" s="35">
        <f>D4-B4</f>
        <v>12.860000000000582</v>
      </c>
      <c r="G4" s="35" t="s">
        <v>17</v>
      </c>
      <c r="H4" s="35">
        <f>F4*284.35</f>
        <v>3656.741000000166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2077.028888000094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274.25557500001241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5217.2844630001064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41185</v>
      </c>
      <c r="E11" s="35" t="s">
        <v>23</v>
      </c>
      <c r="F11" s="31">
        <v>41191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68126</v>
      </c>
      <c r="E12" s="35" t="s">
        <v>23</v>
      </c>
      <c r="F12" s="31">
        <v>68139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69482</v>
      </c>
      <c r="E13" s="35" t="s">
        <v>23</v>
      </c>
      <c r="F13" s="31">
        <v>69493</v>
      </c>
      <c r="G13" s="35" t="s">
        <v>24</v>
      </c>
      <c r="H13" s="35">
        <f>F13-D13</f>
        <v>11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30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14616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5554.08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876.95999999999992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6431.04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252190</v>
      </c>
      <c r="C24" s="35" t="s">
        <v>1</v>
      </c>
      <c r="D24" s="32">
        <v>252418</v>
      </c>
      <c r="E24" s="35" t="s">
        <v>33</v>
      </c>
      <c r="F24" s="35">
        <f>D24-B24</f>
        <v>228</v>
      </c>
      <c r="G24" s="35" t="s">
        <v>34</v>
      </c>
      <c r="H24" s="35">
        <f>F24*220</f>
        <v>50160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1387.36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200.64000000000001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501.6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2839.5999999999995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70</v>
      </c>
      <c r="G33" s="35" t="s">
        <v>43</v>
      </c>
      <c r="H33" s="7">
        <f>(D33-F33)*48.8</f>
        <v>488</v>
      </c>
    </row>
    <row r="34" spans="1:8" ht="16.5" customHeight="1">
      <c r="A34" s="70" t="s">
        <v>44</v>
      </c>
      <c r="B34" s="70"/>
      <c r="C34" s="5" t="s">
        <v>41</v>
      </c>
      <c r="D34" s="27">
        <v>20</v>
      </c>
      <c r="E34" s="35" t="s">
        <v>42</v>
      </c>
      <c r="F34" s="27">
        <v>20</v>
      </c>
      <c r="G34" s="35" t="s">
        <v>43</v>
      </c>
      <c r="H34" s="7">
        <f>(D34-F34)*48.8</f>
        <v>0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14932.004463000107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zoomScaleNormal="100" workbookViewId="0">
      <selection activeCell="A5" sqref="A5:H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64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60226.15</v>
      </c>
      <c r="C4" s="35" t="s">
        <v>15</v>
      </c>
      <c r="D4" s="31">
        <v>60241.09</v>
      </c>
      <c r="E4" s="35" t="s">
        <v>16</v>
      </c>
      <c r="F4" s="35">
        <f>D4-B4</f>
        <v>14.939999999995052</v>
      </c>
      <c r="G4" s="35" t="s">
        <v>17</v>
      </c>
      <c r="H4" s="35">
        <f>F4*284.35</f>
        <v>4248.1889999985933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2412.9713519992006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318.61417499989449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5597.5855269990952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41178</v>
      </c>
      <c r="E11" s="35" t="s">
        <v>23</v>
      </c>
      <c r="F11" s="31">
        <v>41185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68113</v>
      </c>
      <c r="E12" s="35" t="s">
        <v>23</v>
      </c>
      <c r="F12" s="31">
        <v>68126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69473</v>
      </c>
      <c r="E13" s="35" t="s">
        <v>23</v>
      </c>
      <c r="F13" s="31">
        <v>69482</v>
      </c>
      <c r="G13" s="35" t="s">
        <v>24</v>
      </c>
      <c r="H13" s="35">
        <f>F13-D13</f>
        <v>9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251987</v>
      </c>
      <c r="C24" s="35" t="s">
        <v>1</v>
      </c>
      <c r="D24" s="32">
        <v>252190</v>
      </c>
      <c r="E24" s="35" t="s">
        <v>33</v>
      </c>
      <c r="F24" s="35">
        <f>D24-B24</f>
        <v>203</v>
      </c>
      <c r="G24" s="35" t="s">
        <v>34</v>
      </c>
      <c r="H24" s="35">
        <f>F24*220</f>
        <v>44660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1134.3599999999999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178.64000000000001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446.6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2509.6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32</v>
      </c>
      <c r="E34" s="35" t="s">
        <v>42</v>
      </c>
      <c r="F34" s="27">
        <v>22</v>
      </c>
      <c r="G34" s="35" t="s">
        <v>43</v>
      </c>
      <c r="H34" s="7">
        <f>(D34-F34)*48.8</f>
        <v>488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14767.937526999094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zoomScaleNormal="100" workbookViewId="0">
      <selection activeCell="A2" sqref="A2:H2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62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60214.64</v>
      </c>
      <c r="C4" s="35" t="s">
        <v>15</v>
      </c>
      <c r="D4" s="31">
        <v>60226.15</v>
      </c>
      <c r="E4" s="35" t="s">
        <v>16</v>
      </c>
      <c r="F4" s="35">
        <f>D4-B4</f>
        <v>11.510000000002037</v>
      </c>
      <c r="G4" s="35" t="s">
        <v>17</v>
      </c>
      <c r="H4" s="35">
        <f>F4*284.35</f>
        <v>3272.8685000005794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1858.9893080003289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245.46513750004345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4970.4544455003725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41171</v>
      </c>
      <c r="E11" s="35" t="s">
        <v>23</v>
      </c>
      <c r="F11" s="31">
        <v>41178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68101</v>
      </c>
      <c r="E12" s="35" t="s">
        <v>23</v>
      </c>
      <c r="F12" s="31">
        <v>68113</v>
      </c>
      <c r="G12" s="35" t="s">
        <v>24</v>
      </c>
      <c r="H12" s="35">
        <f>F12-D12</f>
        <v>12</v>
      </c>
    </row>
    <row r="13" spans="1:8" ht="16.5" customHeight="1">
      <c r="A13" s="70" t="s">
        <v>26</v>
      </c>
      <c r="B13" s="70"/>
      <c r="C13" s="5" t="s">
        <v>22</v>
      </c>
      <c r="D13" s="31">
        <v>69463</v>
      </c>
      <c r="E13" s="35" t="s">
        <v>23</v>
      </c>
      <c r="F13" s="31">
        <v>69473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251784</v>
      </c>
      <c r="C24" s="35" t="s">
        <v>1</v>
      </c>
      <c r="D24" s="32">
        <v>251987</v>
      </c>
      <c r="E24" s="35" t="s">
        <v>33</v>
      </c>
      <c r="F24" s="35">
        <f>D24-B24</f>
        <v>203</v>
      </c>
      <c r="G24" s="35" t="s">
        <v>34</v>
      </c>
      <c r="H24" s="35">
        <f>F24*220</f>
        <v>44660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1134.3599999999999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178.64000000000001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446.6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2509.6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42</v>
      </c>
      <c r="E34" s="35" t="s">
        <v>42</v>
      </c>
      <c r="F34" s="27">
        <v>32</v>
      </c>
      <c r="G34" s="35" t="s">
        <v>43</v>
      </c>
      <c r="H34" s="7">
        <f>(D34-F34)*48.8</f>
        <v>488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14140.806445500371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topLeftCell="A10" zoomScaleNormal="100" workbookViewId="0">
      <selection activeCell="A35" sqref="A35:G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60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60204.46</v>
      </c>
      <c r="C4" s="35" t="s">
        <v>15</v>
      </c>
      <c r="D4" s="31">
        <v>60214.64</v>
      </c>
      <c r="E4" s="35" t="s">
        <v>16</v>
      </c>
      <c r="F4" s="35">
        <f>D4-B4</f>
        <v>10.180000000000291</v>
      </c>
      <c r="G4" s="35" t="s">
        <v>17</v>
      </c>
      <c r="H4" s="35">
        <f>F4*284.35</f>
        <v>2894.6830000000832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1644.179944000047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217.10122500000622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4727.2811690000535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41164</v>
      </c>
      <c r="E11" s="35" t="s">
        <v>23</v>
      </c>
      <c r="F11" s="31">
        <v>41171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68088</v>
      </c>
      <c r="E12" s="35" t="s">
        <v>23</v>
      </c>
      <c r="F12" s="31">
        <v>68101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69454</v>
      </c>
      <c r="E13" s="35" t="s">
        <v>23</v>
      </c>
      <c r="F13" s="31">
        <v>69463</v>
      </c>
      <c r="G13" s="35" t="s">
        <v>24</v>
      </c>
      <c r="H13" s="35">
        <f>F13-D13</f>
        <v>9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251572</v>
      </c>
      <c r="C24" s="35" t="s">
        <v>1</v>
      </c>
      <c r="D24" s="32">
        <v>251784</v>
      </c>
      <c r="E24" s="35" t="s">
        <v>33</v>
      </c>
      <c r="F24" s="35">
        <f>D24-B24</f>
        <v>212</v>
      </c>
      <c r="G24" s="35" t="s">
        <v>34</v>
      </c>
      <c r="H24" s="35">
        <f>F24*220</f>
        <v>46640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1225.44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186.56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466.40000000000003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2628.4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54</v>
      </c>
      <c r="E34" s="35" t="s">
        <v>42</v>
      </c>
      <c r="F34" s="27">
        <v>42</v>
      </c>
      <c r="G34" s="35" t="s">
        <v>43</v>
      </c>
      <c r="H34" s="7">
        <f>(D34-F34)*48.8</f>
        <v>585.59999999999991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532.89599999999996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14105.249169000052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7" zoomScaleNormal="100" workbookViewId="0">
      <selection activeCell="A2" sqref="A2:H2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59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60194.66</v>
      </c>
      <c r="C4" s="35" t="s">
        <v>15</v>
      </c>
      <c r="D4" s="31">
        <v>60204.46</v>
      </c>
      <c r="E4" s="35" t="s">
        <v>16</v>
      </c>
      <c r="F4" s="35">
        <f>D4-B4</f>
        <v>9.7999999999956344</v>
      </c>
      <c r="G4" s="35" t="s">
        <v>17</v>
      </c>
      <c r="H4" s="35">
        <f>F4*284.35</f>
        <v>2786.6299999987586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1582.8058399992947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208.9972499999069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4657.8030899992018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41158</v>
      </c>
      <c r="E11" s="35" t="s">
        <v>23</v>
      </c>
      <c r="F11" s="31">
        <v>41164</v>
      </c>
      <c r="G11" s="35" t="s">
        <v>24</v>
      </c>
      <c r="H11" s="35">
        <f>F11-D11</f>
        <v>6</v>
      </c>
    </row>
    <row r="12" spans="1:8" ht="16.5" customHeight="1">
      <c r="A12" s="70" t="s">
        <v>25</v>
      </c>
      <c r="B12" s="70"/>
      <c r="C12" s="5" t="s">
        <v>22</v>
      </c>
      <c r="D12" s="31">
        <v>68075</v>
      </c>
      <c r="E12" s="35" t="s">
        <v>23</v>
      </c>
      <c r="F12" s="31">
        <v>68088</v>
      </c>
      <c r="G12" s="35" t="s">
        <v>24</v>
      </c>
      <c r="H12" s="35">
        <f>F12-D12</f>
        <v>13</v>
      </c>
    </row>
    <row r="13" spans="1:8" ht="16.5" customHeight="1">
      <c r="A13" s="70" t="s">
        <v>26</v>
      </c>
      <c r="B13" s="70"/>
      <c r="C13" s="5" t="s">
        <v>22</v>
      </c>
      <c r="D13" s="31">
        <v>69444</v>
      </c>
      <c r="E13" s="35" t="s">
        <v>23</v>
      </c>
      <c r="F13" s="31">
        <v>69454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29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14128.8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5368.9439999999995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847.72799999999995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6216.6719999999996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251382</v>
      </c>
      <c r="C24" s="35" t="s">
        <v>1</v>
      </c>
      <c r="D24" s="32">
        <v>251572</v>
      </c>
      <c r="E24" s="35" t="s">
        <v>33</v>
      </c>
      <c r="F24" s="35">
        <f>D24-B24</f>
        <v>190</v>
      </c>
      <c r="G24" s="35" t="s">
        <v>34</v>
      </c>
      <c r="H24" s="35">
        <f>F24*220</f>
        <v>41800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1002.8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167.20000000000002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418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2338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62</v>
      </c>
      <c r="E34" s="35" t="s">
        <v>42</v>
      </c>
      <c r="F34" s="27">
        <v>54</v>
      </c>
      <c r="G34" s="35" t="s">
        <v>43</v>
      </c>
      <c r="H34" s="7">
        <f>(D34-F34)*48.8</f>
        <v>390.4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355.26400000000001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13567.739089999202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zoomScaleNormal="100" workbookViewId="0">
      <selection activeCell="A35" sqref="A35:G35"/>
    </sheetView>
  </sheetViews>
  <sheetFormatPr defaultColWidth="9.140625"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56" t="s">
        <v>12</v>
      </c>
      <c r="B1" s="56"/>
      <c r="C1" s="56"/>
      <c r="D1" s="56"/>
      <c r="E1" s="56"/>
      <c r="F1" s="56"/>
      <c r="G1" s="56"/>
      <c r="H1" s="56"/>
    </row>
    <row r="2" spans="1:8" ht="16.5" customHeight="1">
      <c r="A2" s="57" t="s">
        <v>57</v>
      </c>
      <c r="B2" s="57"/>
      <c r="C2" s="57"/>
      <c r="D2" s="57"/>
      <c r="E2" s="57"/>
      <c r="F2" s="57"/>
      <c r="G2" s="57"/>
      <c r="H2" s="57"/>
    </row>
    <row r="3" spans="1:8" ht="16.5" customHeight="1">
      <c r="A3" s="58" t="s">
        <v>13</v>
      </c>
      <c r="B3" s="58"/>
      <c r="C3" s="58"/>
      <c r="D3" s="58"/>
      <c r="E3" s="58"/>
      <c r="F3" s="58"/>
      <c r="G3" s="58"/>
      <c r="H3" s="58"/>
    </row>
    <row r="4" spans="1:8" ht="16.5" customHeight="1">
      <c r="A4" s="35" t="s">
        <v>14</v>
      </c>
      <c r="B4" s="31">
        <v>60183.91</v>
      </c>
      <c r="C4" s="35" t="s">
        <v>15</v>
      </c>
      <c r="D4" s="31">
        <v>60194.66</v>
      </c>
      <c r="E4" s="35" t="s">
        <v>16</v>
      </c>
      <c r="F4" s="35">
        <f>D4-B4</f>
        <v>10.75</v>
      </c>
      <c r="G4" s="35" t="s">
        <v>17</v>
      </c>
      <c r="H4" s="35">
        <f>F4*284.35</f>
        <v>3056.7625000000003</v>
      </c>
    </row>
    <row r="5" spans="1:8" s="4" customFormat="1" ht="10.5" customHeight="1">
      <c r="A5" s="59" t="s">
        <v>3</v>
      </c>
      <c r="B5" s="59"/>
      <c r="C5" s="59"/>
      <c r="D5" s="59"/>
      <c r="E5" s="59"/>
      <c r="F5" s="59"/>
      <c r="G5" s="59"/>
      <c r="H5" s="59"/>
    </row>
    <row r="6" spans="1:8" ht="16.5" customHeight="1">
      <c r="A6" s="60" t="s">
        <v>18</v>
      </c>
      <c r="B6" s="60"/>
      <c r="C6" s="60"/>
      <c r="D6" s="61">
        <f>H4*0.568</f>
        <v>1736.2411</v>
      </c>
      <c r="E6" s="61"/>
      <c r="F6" s="61"/>
      <c r="G6" s="61"/>
      <c r="H6" s="61"/>
    </row>
    <row r="7" spans="1:8" ht="16.5" customHeight="1">
      <c r="A7" s="60" t="s">
        <v>52</v>
      </c>
      <c r="B7" s="60"/>
      <c r="C7" s="60"/>
      <c r="D7" s="61">
        <f>H4*0.075</f>
        <v>229.25718750000001</v>
      </c>
      <c r="E7" s="61"/>
      <c r="F7" s="61"/>
      <c r="G7" s="61"/>
      <c r="H7" s="61"/>
    </row>
    <row r="8" spans="1:8" ht="16.5" customHeight="1">
      <c r="A8" s="62" t="s">
        <v>19</v>
      </c>
      <c r="B8" s="63"/>
      <c r="C8" s="64"/>
      <c r="D8" s="65">
        <v>2866</v>
      </c>
      <c r="E8" s="66"/>
      <c r="F8" s="66"/>
      <c r="G8" s="66"/>
      <c r="H8" s="67"/>
    </row>
    <row r="9" spans="1:8" ht="16.5" customHeight="1">
      <c r="A9" s="68" t="s">
        <v>20</v>
      </c>
      <c r="B9" s="68"/>
      <c r="C9" s="68"/>
      <c r="D9" s="69">
        <f>SUM(D6:H8)</f>
        <v>4831.4982875000005</v>
      </c>
      <c r="E9" s="69"/>
      <c r="F9" s="69"/>
      <c r="G9" s="69"/>
      <c r="H9" s="69"/>
    </row>
    <row r="10" spans="1:8" ht="16.5" customHeight="1">
      <c r="A10" s="58" t="s">
        <v>50</v>
      </c>
      <c r="B10" s="58"/>
      <c r="C10" s="58"/>
      <c r="D10" s="58"/>
      <c r="E10" s="58"/>
      <c r="F10" s="58"/>
      <c r="G10" s="58"/>
      <c r="H10" s="58"/>
    </row>
    <row r="11" spans="1:8" ht="16.5" customHeight="1">
      <c r="A11" s="70" t="s">
        <v>21</v>
      </c>
      <c r="B11" s="70"/>
      <c r="C11" s="5" t="s">
        <v>22</v>
      </c>
      <c r="D11" s="31">
        <v>41151</v>
      </c>
      <c r="E11" s="35" t="s">
        <v>23</v>
      </c>
      <c r="F11" s="31">
        <v>41158</v>
      </c>
      <c r="G11" s="35" t="s">
        <v>24</v>
      </c>
      <c r="H11" s="35">
        <f>F11-D11</f>
        <v>7</v>
      </c>
    </row>
    <row r="12" spans="1:8" ht="16.5" customHeight="1">
      <c r="A12" s="70" t="s">
        <v>25</v>
      </c>
      <c r="B12" s="70"/>
      <c r="C12" s="5" t="s">
        <v>22</v>
      </c>
      <c r="D12" s="31">
        <v>68061</v>
      </c>
      <c r="E12" s="35" t="s">
        <v>23</v>
      </c>
      <c r="F12" s="31">
        <v>68075</v>
      </c>
      <c r="G12" s="35" t="s">
        <v>24</v>
      </c>
      <c r="H12" s="35">
        <f>F12-D12</f>
        <v>14</v>
      </c>
    </row>
    <row r="13" spans="1:8" ht="16.5" customHeight="1">
      <c r="A13" s="70" t="s">
        <v>26</v>
      </c>
      <c r="B13" s="70"/>
      <c r="C13" s="5" t="s">
        <v>22</v>
      </c>
      <c r="D13" s="31">
        <v>69434</v>
      </c>
      <c r="E13" s="35" t="s">
        <v>23</v>
      </c>
      <c r="F13" s="31">
        <v>69444</v>
      </c>
      <c r="G13" s="35" t="s">
        <v>24</v>
      </c>
      <c r="H13" s="35">
        <f>F13-D13</f>
        <v>10</v>
      </c>
    </row>
    <row r="14" spans="1:8" ht="16.5" customHeight="1">
      <c r="A14" s="71" t="s">
        <v>27</v>
      </c>
      <c r="B14" s="71"/>
      <c r="C14" s="71"/>
      <c r="D14" s="71"/>
      <c r="E14" s="71"/>
      <c r="F14" s="71"/>
      <c r="G14" s="71"/>
      <c r="H14" s="35">
        <f>SUM(H11:H13)</f>
        <v>31</v>
      </c>
    </row>
    <row r="15" spans="1:8" ht="16.5" customHeight="1">
      <c r="A15" s="71" t="s">
        <v>28</v>
      </c>
      <c r="B15" s="71"/>
      <c r="C15" s="71"/>
      <c r="D15" s="71"/>
      <c r="E15" s="71"/>
      <c r="F15" s="71"/>
      <c r="G15" s="71"/>
      <c r="H15" s="35">
        <f>H14*487.2</f>
        <v>15103.199999999999</v>
      </c>
    </row>
    <row r="16" spans="1:8" s="4" customFormat="1" ht="10.5" customHeight="1">
      <c r="A16" s="72" t="s">
        <v>3</v>
      </c>
      <c r="B16" s="72"/>
      <c r="C16" s="72"/>
      <c r="D16" s="72"/>
      <c r="E16" s="72"/>
      <c r="F16" s="72"/>
      <c r="G16" s="72"/>
      <c r="H16" s="72"/>
    </row>
    <row r="17" spans="1:8" ht="16.5" customHeight="1">
      <c r="A17" s="70" t="s">
        <v>29</v>
      </c>
      <c r="B17" s="70"/>
      <c r="C17" s="70"/>
      <c r="D17" s="61">
        <v>460</v>
      </c>
      <c r="E17" s="61"/>
      <c r="F17" s="61"/>
      <c r="G17" s="61"/>
      <c r="H17" s="61"/>
    </row>
    <row r="18" spans="1:8" ht="16.5" customHeight="1">
      <c r="A18" s="70" t="s">
        <v>30</v>
      </c>
      <c r="B18" s="70"/>
      <c r="C18" s="70"/>
      <c r="D18" s="61">
        <v>560</v>
      </c>
      <c r="E18" s="61"/>
      <c r="F18" s="61"/>
      <c r="G18" s="61"/>
      <c r="H18" s="61"/>
    </row>
    <row r="19" spans="1:8" ht="16.5" customHeight="1">
      <c r="A19" s="70" t="s">
        <v>31</v>
      </c>
      <c r="B19" s="70"/>
      <c r="C19" s="70"/>
      <c r="D19" s="61">
        <v>640</v>
      </c>
      <c r="E19" s="61"/>
      <c r="F19" s="61"/>
      <c r="G19" s="61"/>
      <c r="H19" s="61"/>
    </row>
    <row r="20" spans="1:8" ht="16.5" customHeight="1">
      <c r="A20" s="70" t="s">
        <v>32</v>
      </c>
      <c r="B20" s="70"/>
      <c r="C20" s="70"/>
      <c r="D20" s="61">
        <f>H15*0.38</f>
        <v>5739.2159999999994</v>
      </c>
      <c r="E20" s="61"/>
      <c r="F20" s="61"/>
      <c r="G20" s="61"/>
      <c r="H20" s="61"/>
    </row>
    <row r="21" spans="1:8" ht="16.5" customHeight="1">
      <c r="A21" s="70" t="s">
        <v>53</v>
      </c>
      <c r="B21" s="70"/>
      <c r="C21" s="70"/>
      <c r="D21" s="61">
        <f>H15*0.06</f>
        <v>906.19199999999989</v>
      </c>
      <c r="E21" s="61"/>
      <c r="F21" s="61"/>
      <c r="G21" s="61"/>
      <c r="H21" s="61"/>
    </row>
    <row r="22" spans="1:8" ht="16.5" customHeight="1">
      <c r="A22" s="68" t="s">
        <v>20</v>
      </c>
      <c r="B22" s="68"/>
      <c r="C22" s="68"/>
      <c r="D22" s="69">
        <f>D20+D21</f>
        <v>6645.4079999999994</v>
      </c>
      <c r="E22" s="69"/>
      <c r="F22" s="69"/>
      <c r="G22" s="69"/>
      <c r="H22" s="69"/>
    </row>
    <row r="23" spans="1:8" ht="16.5" customHeight="1">
      <c r="A23" s="73" t="s">
        <v>2</v>
      </c>
      <c r="B23" s="74"/>
      <c r="C23" s="74"/>
      <c r="D23" s="74"/>
      <c r="E23" s="74"/>
      <c r="F23" s="74"/>
      <c r="G23" s="74"/>
      <c r="H23" s="75"/>
    </row>
    <row r="24" spans="1:8" ht="16.5" customHeight="1">
      <c r="A24" s="6" t="s">
        <v>0</v>
      </c>
      <c r="B24" s="32">
        <v>251163</v>
      </c>
      <c r="C24" s="35" t="s">
        <v>1</v>
      </c>
      <c r="D24" s="32">
        <v>251382</v>
      </c>
      <c r="E24" s="35" t="s">
        <v>33</v>
      </c>
      <c r="F24" s="35">
        <f>D24-B24</f>
        <v>219</v>
      </c>
      <c r="G24" s="35" t="s">
        <v>34</v>
      </c>
      <c r="H24" s="35">
        <f>F24*220</f>
        <v>48180</v>
      </c>
    </row>
    <row r="25" spans="1:8" s="4" customFormat="1" ht="10.5" customHeight="1">
      <c r="A25" s="76" t="s">
        <v>4</v>
      </c>
      <c r="B25" s="77"/>
      <c r="C25" s="77"/>
      <c r="D25" s="77"/>
      <c r="E25" s="77"/>
      <c r="F25" s="77"/>
      <c r="G25" s="77"/>
      <c r="H25" s="78"/>
    </row>
    <row r="26" spans="1:8" ht="16.5" customHeight="1">
      <c r="A26" s="70" t="s">
        <v>35</v>
      </c>
      <c r="B26" s="70"/>
      <c r="C26" s="70"/>
      <c r="D26" s="61">
        <v>350</v>
      </c>
      <c r="E26" s="61"/>
      <c r="F26" s="61"/>
      <c r="G26" s="61"/>
      <c r="H26" s="61"/>
    </row>
    <row r="27" spans="1:8" ht="16.5" customHeight="1">
      <c r="A27" s="70" t="s">
        <v>36</v>
      </c>
      <c r="B27" s="70"/>
      <c r="C27" s="70"/>
      <c r="D27" s="61">
        <v>400</v>
      </c>
      <c r="E27" s="61"/>
      <c r="F27" s="61"/>
      <c r="G27" s="61"/>
      <c r="H27" s="61"/>
    </row>
    <row r="28" spans="1:8" ht="16.5" customHeight="1">
      <c r="A28" s="70" t="s">
        <v>37</v>
      </c>
      <c r="B28" s="70"/>
      <c r="C28" s="70"/>
      <c r="D28" s="61">
        <f>(H24-20000)*0.046</f>
        <v>1296.28</v>
      </c>
      <c r="E28" s="61"/>
      <c r="F28" s="61"/>
      <c r="G28" s="61"/>
      <c r="H28" s="61"/>
    </row>
    <row r="29" spans="1:8" ht="16.5" customHeight="1">
      <c r="A29" s="70" t="s">
        <v>38</v>
      </c>
      <c r="B29" s="70"/>
      <c r="C29" s="70"/>
      <c r="D29" s="61">
        <f>H24*0.004</f>
        <v>192.72</v>
      </c>
      <c r="E29" s="61"/>
      <c r="F29" s="61"/>
      <c r="G29" s="61"/>
      <c r="H29" s="61"/>
    </row>
    <row r="30" spans="1:8" ht="16.5" customHeight="1">
      <c r="A30" s="70" t="s">
        <v>39</v>
      </c>
      <c r="B30" s="70"/>
      <c r="C30" s="70"/>
      <c r="D30" s="61">
        <f>H24*0.01</f>
        <v>481.8</v>
      </c>
      <c r="E30" s="61"/>
      <c r="F30" s="61"/>
      <c r="G30" s="61"/>
      <c r="H30" s="61"/>
    </row>
    <row r="31" spans="1:8" ht="16.5" customHeight="1">
      <c r="A31" s="68" t="s">
        <v>20</v>
      </c>
      <c r="B31" s="68"/>
      <c r="C31" s="68"/>
      <c r="D31" s="69">
        <f>SUM(D26:H30)</f>
        <v>2720.8</v>
      </c>
      <c r="E31" s="69"/>
      <c r="F31" s="69"/>
      <c r="G31" s="69"/>
      <c r="H31" s="69"/>
    </row>
    <row r="32" spans="1:8" ht="16.5" customHeight="1">
      <c r="A32" s="58" t="s">
        <v>51</v>
      </c>
      <c r="B32" s="58"/>
      <c r="C32" s="58"/>
      <c r="D32" s="58"/>
      <c r="E32" s="58"/>
      <c r="F32" s="58"/>
      <c r="G32" s="58"/>
      <c r="H32" s="58"/>
    </row>
    <row r="33" spans="1:8" ht="16.5" customHeight="1">
      <c r="A33" s="70" t="s">
        <v>40</v>
      </c>
      <c r="B33" s="70"/>
      <c r="C33" s="5" t="s">
        <v>41</v>
      </c>
      <c r="D33" s="27">
        <v>80</v>
      </c>
      <c r="E33" s="35" t="s">
        <v>42</v>
      </c>
      <c r="F33" s="27">
        <v>80</v>
      </c>
      <c r="G33" s="35" t="s">
        <v>43</v>
      </c>
      <c r="H33" s="7">
        <f>(D33-F33)*48.8</f>
        <v>0</v>
      </c>
    </row>
    <row r="34" spans="1:8" ht="16.5" customHeight="1">
      <c r="A34" s="70" t="s">
        <v>44</v>
      </c>
      <c r="B34" s="70"/>
      <c r="C34" s="5" t="s">
        <v>41</v>
      </c>
      <c r="D34" s="27">
        <v>72</v>
      </c>
      <c r="E34" s="35" t="s">
        <v>42</v>
      </c>
      <c r="F34" s="27">
        <v>62</v>
      </c>
      <c r="G34" s="35" t="s">
        <v>43</v>
      </c>
      <c r="H34" s="7">
        <f>(D34-F34)*48.8</f>
        <v>488</v>
      </c>
    </row>
    <row r="35" spans="1:8" ht="16.5" customHeight="1">
      <c r="A35" s="68" t="s">
        <v>54</v>
      </c>
      <c r="B35" s="68"/>
      <c r="C35" s="68"/>
      <c r="D35" s="68"/>
      <c r="E35" s="68"/>
      <c r="F35" s="68"/>
      <c r="G35" s="68"/>
      <c r="H35" s="34">
        <f>((H34+H33)*1.82)*0.5</f>
        <v>444.08000000000004</v>
      </c>
    </row>
    <row r="36" spans="1:8" ht="16.5" customHeight="1">
      <c r="A36" s="68" t="s">
        <v>45</v>
      </c>
      <c r="B36" s="68"/>
      <c r="C36" s="68"/>
      <c r="D36" s="68"/>
      <c r="E36" s="68"/>
      <c r="F36" s="68"/>
      <c r="G36" s="68"/>
      <c r="H36" s="34">
        <f>H35+D22+D9+D31</f>
        <v>14641.786287499999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March-31</vt:lpstr>
      <vt:lpstr>March-30</vt:lpstr>
      <vt:lpstr>March-29</vt:lpstr>
      <vt:lpstr>March-28</vt:lpstr>
      <vt:lpstr>March-27</vt:lpstr>
      <vt:lpstr>March-26</vt:lpstr>
      <vt:lpstr>March-25</vt:lpstr>
      <vt:lpstr>March-24</vt:lpstr>
      <vt:lpstr>March-23</vt:lpstr>
      <vt:lpstr>March-22</vt:lpstr>
      <vt:lpstr>March-21</vt:lpstr>
      <vt:lpstr>March-20</vt:lpstr>
      <vt:lpstr>March-19</vt:lpstr>
      <vt:lpstr>March-18</vt:lpstr>
      <vt:lpstr>March-17</vt:lpstr>
      <vt:lpstr>March-16</vt:lpstr>
      <vt:lpstr>March-15</vt:lpstr>
      <vt:lpstr>March-14</vt:lpstr>
      <vt:lpstr>March-13</vt:lpstr>
      <vt:lpstr>March-12</vt:lpstr>
      <vt:lpstr>March-11</vt:lpstr>
      <vt:lpstr>March-10</vt:lpstr>
      <vt:lpstr>March-09</vt:lpstr>
      <vt:lpstr>March-08</vt:lpstr>
      <vt:lpstr>March-07</vt:lpstr>
      <vt:lpstr>March-06</vt:lpstr>
      <vt:lpstr>March-05</vt:lpstr>
      <vt:lpstr>March-04</vt:lpstr>
      <vt:lpstr>March-03</vt:lpstr>
      <vt:lpstr>March-02</vt:lpstr>
      <vt:lpstr>March-01</vt:lpstr>
      <vt:lpstr>'March-01'!Print_Area</vt:lpstr>
      <vt:lpstr>'March-02'!Print_Area</vt:lpstr>
      <vt:lpstr>'March-03'!Print_Area</vt:lpstr>
      <vt:lpstr>'March-04'!Print_Area</vt:lpstr>
      <vt:lpstr>'March-05'!Print_Area</vt:lpstr>
      <vt:lpstr>'March-06'!Print_Area</vt:lpstr>
      <vt:lpstr>'March-07'!Print_Area</vt:lpstr>
      <vt:lpstr>'March-08'!Print_Area</vt:lpstr>
      <vt:lpstr>'March-09'!Print_Area</vt:lpstr>
      <vt:lpstr>'March-10'!Print_Area</vt:lpstr>
      <vt:lpstr>'March-11'!Print_Area</vt:lpstr>
      <vt:lpstr>'March-12'!Print_Area</vt:lpstr>
      <vt:lpstr>'March-13'!Print_Area</vt:lpstr>
      <vt:lpstr>'March-14'!Print_Area</vt:lpstr>
      <vt:lpstr>'March-15'!Print_Area</vt:lpstr>
      <vt:lpstr>'March-16'!Print_Area</vt:lpstr>
      <vt:lpstr>'March-17'!Print_Area</vt:lpstr>
      <vt:lpstr>'March-18'!Print_Area</vt:lpstr>
      <vt:lpstr>'March-19'!Print_Area</vt:lpstr>
      <vt:lpstr>'March-20'!Print_Area</vt:lpstr>
      <vt:lpstr>'March-21'!Print_Area</vt:lpstr>
      <vt:lpstr>'March-22'!Print_Area</vt:lpstr>
      <vt:lpstr>'March-23'!Print_Area</vt:lpstr>
      <vt:lpstr>'March-24'!Print_Area</vt:lpstr>
      <vt:lpstr>'March-25'!Print_Area</vt:lpstr>
      <vt:lpstr>'March-26'!Print_Area</vt:lpstr>
      <vt:lpstr>'March-27'!Print_Area</vt:lpstr>
      <vt:lpstr>'March-28'!Print_Area</vt:lpstr>
      <vt:lpstr>'March-29'!Print_Area</vt:lpstr>
      <vt:lpstr>'March-30'!Print_Area</vt:lpstr>
      <vt:lpstr>'March-31'!Print_Area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2023-12-31T09:52:57Z</cp:lastPrinted>
  <dcterms:created xsi:type="dcterms:W3CDTF">2009-10-25T07:14:49Z</dcterms:created>
  <dcterms:modified xsi:type="dcterms:W3CDTF">2024-04-08T12:55:48Z</dcterms:modified>
</cp:coreProperties>
</file>