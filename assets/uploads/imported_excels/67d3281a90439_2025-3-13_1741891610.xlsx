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F7D30DA8-DB70-4632-9078-D393FD1835C0}" xr6:coauthVersionLast="47" xr6:coauthVersionMax="47" xr10:uidLastSave="{00000000-0000-0000-0000-000000000000}"/>
  <bookViews>
    <workbookView showVerticalScroll="0" xWindow="-108" yWindow="-108" windowWidth="23256" windowHeight="12456" xr2:uid="{00000000-000D-0000-FFFF-FFFF00000000}"/>
  </bookViews>
  <sheets>
    <sheet name="Total" sheetId="38" r:id="rId1"/>
    <sheet name="Cost.2.25" sheetId="5" r:id="rId2"/>
    <sheet name="Reading.2.25" sheetId="6" r:id="rId3"/>
    <sheet name="Electricity Chart" sheetId="7" r:id="rId4"/>
    <sheet name="Water Consumption" sheetId="10" r:id="rId5"/>
    <sheet name="Energy Per Occ. Room" sheetId="24" r:id="rId6"/>
    <sheet name="Sheet1" sheetId="37" r:id="rId7"/>
  </sheets>
  <definedNames>
    <definedName name="_xlnm.Print_Area" localSheetId="2">'Reading.2.25'!$DE$5:$DM$27</definedName>
    <definedName name="_xlnm.Print_Titles" localSheetId="1">'Cost.2.25'!$A:$I,'Cost.2.25'!$1:$2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8" l="1"/>
  <c r="K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2" i="38"/>
  <c r="J3" i="38"/>
  <c r="J4" i="38"/>
  <c r="J5" i="38"/>
  <c r="J6" i="38"/>
  <c r="J7" i="38"/>
  <c r="J8" i="38"/>
  <c r="J9" i="38"/>
  <c r="J10" i="38"/>
  <c r="J11" i="38"/>
  <c r="J12" i="38"/>
  <c r="J13" i="38"/>
  <c r="J14" i="38"/>
  <c r="J15" i="38"/>
  <c r="J16" i="38"/>
  <c r="J17" i="38"/>
  <c r="J18" i="38"/>
  <c r="J19" i="38"/>
  <c r="J20" i="38"/>
  <c r="J21" i="38"/>
  <c r="J22" i="38"/>
  <c r="J23" i="38"/>
  <c r="J24" i="38"/>
  <c r="J25" i="38"/>
  <c r="J26" i="38"/>
  <c r="J27" i="38"/>
  <c r="J28" i="38"/>
  <c r="J29" i="38"/>
  <c r="J30" i="38"/>
  <c r="J31" i="38"/>
  <c r="J32" i="38"/>
  <c r="J2" i="38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2" i="38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2" i="38"/>
  <c r="I3" i="38"/>
  <c r="I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2" i="38"/>
  <c r="E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18" i="38"/>
  <c r="E19" i="38"/>
  <c r="E20" i="38"/>
  <c r="E21" i="38"/>
  <c r="E22" i="38"/>
  <c r="E23" i="38"/>
  <c r="E24" i="38"/>
  <c r="E25" i="38"/>
  <c r="E26" i="38"/>
  <c r="E27" i="38"/>
  <c r="E28" i="38"/>
  <c r="E29" i="38"/>
  <c r="E30" i="38"/>
  <c r="E31" i="38"/>
  <c r="E32" i="38"/>
  <c r="E2" i="38"/>
  <c r="B3" i="38"/>
  <c r="B4" i="38" s="1"/>
  <c r="B5" i="38" s="1"/>
  <c r="B6" i="38" s="1"/>
  <c r="B7" i="38" s="1"/>
  <c r="B8" i="38" s="1"/>
  <c r="B9" i="38" s="1"/>
  <c r="B10" i="38" s="1"/>
  <c r="B11" i="38" s="1"/>
  <c r="B12" i="38" s="1"/>
  <c r="B13" i="38" s="1"/>
  <c r="B14" i="38" s="1"/>
  <c r="B15" i="38" s="1"/>
  <c r="B16" i="38" s="1"/>
  <c r="B17" i="38" s="1"/>
  <c r="B18" i="38" s="1"/>
  <c r="B19" i="38" s="1"/>
  <c r="B20" i="38" s="1"/>
  <c r="B21" i="38" s="1"/>
  <c r="B22" i="38" s="1"/>
  <c r="B23" i="38" s="1"/>
  <c r="B24" i="38" s="1"/>
  <c r="B25" i="38" s="1"/>
  <c r="B26" i="38" s="1"/>
  <c r="B27" i="38" s="1"/>
  <c r="B28" i="38" s="1"/>
  <c r="B29" i="38" s="1"/>
  <c r="B30" i="38" s="1"/>
  <c r="B31" i="38" s="1"/>
  <c r="B32" i="38" s="1"/>
  <c r="W15" i="6" l="1"/>
  <c r="Z15" i="6" s="1"/>
  <c r="W14" i="6"/>
  <c r="Z14" i="6"/>
  <c r="E15" i="6"/>
  <c r="C15" i="6"/>
  <c r="G7" i="6"/>
  <c r="G8" i="6"/>
  <c r="G9" i="6"/>
  <c r="G10" i="6"/>
  <c r="G11" i="6"/>
  <c r="G12" i="6"/>
  <c r="G13" i="6"/>
  <c r="G14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6" i="6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8" i="5"/>
  <c r="AH8" i="5" s="1"/>
  <c r="V9" i="5"/>
  <c r="V10" i="5"/>
  <c r="V11" i="5"/>
  <c r="V12" i="5"/>
  <c r="V23" i="5"/>
  <c r="V24" i="5"/>
  <c r="V25" i="5"/>
  <c r="V26" i="5"/>
  <c r="V27" i="5"/>
  <c r="V28" i="5"/>
  <c r="V29" i="5"/>
  <c r="V30" i="5"/>
  <c r="V31" i="5"/>
  <c r="V32" i="5"/>
  <c r="H7" i="6"/>
  <c r="H8" i="6"/>
  <c r="H9" i="6"/>
  <c r="H10" i="6"/>
  <c r="H11" i="6"/>
  <c r="V13" i="5" s="1"/>
  <c r="H12" i="6"/>
  <c r="V14" i="5" s="1"/>
  <c r="H13" i="6"/>
  <c r="V15" i="5" s="1"/>
  <c r="H14" i="6"/>
  <c r="V16" i="5" s="1"/>
  <c r="H15" i="6"/>
  <c r="V17" i="5" s="1"/>
  <c r="H16" i="6"/>
  <c r="V18" i="5" s="1"/>
  <c r="H17" i="6"/>
  <c r="V19" i="5" s="1"/>
  <c r="H18" i="6"/>
  <c r="V20" i="5" s="1"/>
  <c r="H19" i="6"/>
  <c r="V21" i="5" s="1"/>
  <c r="H20" i="6"/>
  <c r="V22" i="5" s="1"/>
  <c r="H21" i="6"/>
  <c r="H22" i="6"/>
  <c r="H23" i="6"/>
  <c r="H24" i="6"/>
  <c r="H25" i="6"/>
  <c r="H26" i="6"/>
  <c r="H27" i="6"/>
  <c r="H28" i="6"/>
  <c r="H29" i="6"/>
  <c r="H30" i="6"/>
  <c r="H31" i="6"/>
  <c r="V33" i="5" s="1"/>
  <c r="H32" i="6"/>
  <c r="V34" i="5" s="1"/>
  <c r="H33" i="6"/>
  <c r="V35" i="5" s="1"/>
  <c r="H34" i="6"/>
  <c r="V36" i="5" s="1"/>
  <c r="H35" i="6"/>
  <c r="V37" i="5" s="1"/>
  <c r="H36" i="6"/>
  <c r="V38" i="5" s="1"/>
  <c r="H6" i="6"/>
  <c r="V8" i="5" s="1"/>
  <c r="G15" i="6" l="1"/>
  <c r="W13" i="6"/>
  <c r="Z13" i="6" s="1"/>
  <c r="W12" i="6"/>
  <c r="Z12" i="6"/>
  <c r="W11" i="6"/>
  <c r="Z11" i="6"/>
  <c r="W10" i="6"/>
  <c r="Z10" i="6"/>
  <c r="W9" i="6"/>
  <c r="Z9" i="6" s="1"/>
  <c r="CZ10" i="6"/>
  <c r="CZ9" i="6"/>
  <c r="CW10" i="6"/>
  <c r="CW9" i="6"/>
  <c r="CS10" i="6"/>
  <c r="CS9" i="6"/>
  <c r="CP10" i="6"/>
  <c r="CP9" i="6"/>
  <c r="CL10" i="6"/>
  <c r="CL9" i="6"/>
  <c r="CH10" i="6"/>
  <c r="CH9" i="6"/>
  <c r="CD10" i="6"/>
  <c r="CD9" i="6"/>
  <c r="BZ10" i="6"/>
  <c r="BZ9" i="6"/>
  <c r="BV10" i="6"/>
  <c r="BV9" i="6"/>
  <c r="BR10" i="6"/>
  <c r="BR9" i="6"/>
  <c r="W8" i="6"/>
  <c r="Z8" i="6" s="1"/>
  <c r="W7" i="6"/>
  <c r="Z7" i="6" s="1"/>
  <c r="BR8" i="6"/>
  <c r="BV8" i="6"/>
  <c r="BZ8" i="6"/>
  <c r="CD8" i="6"/>
  <c r="CH8" i="6"/>
  <c r="CL8" i="6"/>
  <c r="CP8" i="6"/>
  <c r="CS8" i="6"/>
  <c r="CW8" i="6"/>
  <c r="CZ8" i="6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8" i="5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6" i="6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8" i="5"/>
  <c r="AJ7" i="6" l="1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6" i="6"/>
  <c r="W6" i="6"/>
  <c r="Z6" i="6" s="1"/>
  <c r="AR37" i="6"/>
  <c r="CZ7" i="6"/>
  <c r="CZ6" i="6"/>
  <c r="CW7" i="6"/>
  <c r="CW6" i="6"/>
  <c r="CS7" i="6"/>
  <c r="CS6" i="6"/>
  <c r="CP7" i="6"/>
  <c r="CP6" i="6"/>
  <c r="CL7" i="6"/>
  <c r="CL6" i="6"/>
  <c r="CH7" i="6"/>
  <c r="CH6" i="6"/>
  <c r="CD7" i="6"/>
  <c r="CD6" i="6"/>
  <c r="BZ7" i="6"/>
  <c r="BZ6" i="6"/>
  <c r="BV7" i="6"/>
  <c r="BV6" i="6"/>
  <c r="BR7" i="6"/>
  <c r="BR6" i="6"/>
  <c r="L6" i="6"/>
  <c r="N6" i="6"/>
  <c r="P6" i="6"/>
  <c r="CD37" i="6" l="1"/>
  <c r="U37" i="6"/>
  <c r="AM38" i="5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AH37" i="6"/>
  <c r="V37" i="6"/>
  <c r="P16" i="6" l="1"/>
  <c r="P17" i="6"/>
  <c r="P23" i="6"/>
  <c r="P22" i="6"/>
  <c r="P20" i="6"/>
  <c r="P24" i="6"/>
  <c r="P21" i="6"/>
  <c r="P19" i="6"/>
  <c r="P25" i="6"/>
  <c r="P18" i="6"/>
  <c r="W37" i="6"/>
  <c r="P26" i="6"/>
  <c r="P14" i="6"/>
  <c r="P15" i="6"/>
  <c r="P33" i="6"/>
  <c r="P13" i="6"/>
  <c r="P32" i="6"/>
  <c r="P12" i="6"/>
  <c r="P31" i="6"/>
  <c r="P11" i="6"/>
  <c r="P30" i="6"/>
  <c r="P10" i="6"/>
  <c r="P29" i="6"/>
  <c r="P9" i="6"/>
  <c r="P28" i="6"/>
  <c r="P8" i="6"/>
  <c r="P27" i="6"/>
  <c r="P7" i="6"/>
  <c r="S37" i="6" l="1"/>
  <c r="T37" i="6"/>
  <c r="DD6" i="6"/>
  <c r="DD7" i="6"/>
  <c r="F37" i="5"/>
  <c r="D37" i="5"/>
  <c r="H37" i="5" l="1"/>
  <c r="AL37" i="5" s="1"/>
  <c r="O37" i="5"/>
  <c r="S37" i="5" s="1"/>
  <c r="Y37" i="5" l="1"/>
  <c r="U37" i="5"/>
  <c r="AD37" i="5" s="1"/>
  <c r="J37" i="5"/>
  <c r="U36" i="5"/>
  <c r="F36" i="5"/>
  <c r="D36" i="5"/>
  <c r="H36" i="5"/>
  <c r="J36" i="5"/>
  <c r="O36" i="5"/>
  <c r="S36" i="5" s="1"/>
  <c r="Y36" i="5"/>
  <c r="AE37" i="5" l="1"/>
  <c r="M36" i="5"/>
  <c r="AM36" i="5" s="1"/>
  <c r="AB36" i="5"/>
  <c r="M37" i="5"/>
  <c r="AM37" i="5" s="1"/>
  <c r="AB37" i="5"/>
  <c r="AD36" i="5"/>
  <c r="AE36" i="5"/>
  <c r="AL36" i="5"/>
  <c r="AC37" i="5"/>
  <c r="AI37" i="5" l="1"/>
  <c r="AI36" i="5"/>
  <c r="AC36" i="5"/>
  <c r="F35" i="5"/>
  <c r="D35" i="5"/>
  <c r="H35" i="5"/>
  <c r="J35" i="5"/>
  <c r="O35" i="5"/>
  <c r="S35" i="5" s="1"/>
  <c r="U35" i="5"/>
  <c r="M35" i="5" l="1"/>
  <c r="AC35" i="5" s="1"/>
  <c r="AB35" i="5"/>
  <c r="AD35" i="5"/>
  <c r="Y35" i="5"/>
  <c r="AL35" i="5"/>
  <c r="AE35" i="5" l="1"/>
  <c r="AI35" i="5"/>
  <c r="AM35" i="5"/>
  <c r="F34" i="5"/>
  <c r="D34" i="5"/>
  <c r="H34" i="5" l="1"/>
  <c r="AL34" i="5" s="1"/>
  <c r="O34" i="5"/>
  <c r="S34" i="5" s="1"/>
  <c r="J34" i="5" l="1"/>
  <c r="F33" i="5"/>
  <c r="D33" i="5"/>
  <c r="M34" i="5" l="1"/>
  <c r="AB34" i="5"/>
  <c r="Y34" i="5"/>
  <c r="U34" i="5"/>
  <c r="AD34" i="5" s="1"/>
  <c r="AC34" i="5"/>
  <c r="AE34" i="5" l="1"/>
  <c r="AI34" i="5"/>
  <c r="AM34" i="5"/>
  <c r="H33" i="5"/>
  <c r="AL33" i="5" s="1"/>
  <c r="O33" i="5"/>
  <c r="S33" i="5" s="1"/>
  <c r="J33" i="5" l="1"/>
  <c r="Y33" i="5"/>
  <c r="U33" i="5"/>
  <c r="AD33" i="5" s="1"/>
  <c r="F32" i="5"/>
  <c r="D32" i="5"/>
  <c r="AE33" i="5" l="1"/>
  <c r="M33" i="5"/>
  <c r="AM33" i="5" s="1"/>
  <c r="AB33" i="5"/>
  <c r="AC33" i="5"/>
  <c r="AI33" i="5" l="1"/>
  <c r="H32" i="5"/>
  <c r="AL32" i="5" s="1"/>
  <c r="J32" i="5"/>
  <c r="O32" i="5"/>
  <c r="S32" i="5" s="1"/>
  <c r="M32" i="5" l="1"/>
  <c r="AB32" i="5"/>
  <c r="AC32" i="5"/>
  <c r="U32" i="5" l="1"/>
  <c r="AD32" i="5" s="1"/>
  <c r="Y32" i="5"/>
  <c r="F31" i="5"/>
  <c r="D31" i="5"/>
  <c r="AM32" i="5" l="1"/>
  <c r="AI32" i="5"/>
  <c r="AE32" i="5"/>
  <c r="H31" i="5"/>
  <c r="AL31" i="5" s="1"/>
  <c r="O31" i="5"/>
  <c r="S31" i="5" s="1"/>
  <c r="J31" i="5" l="1"/>
  <c r="U31" i="5"/>
  <c r="AD31" i="5" s="1"/>
  <c r="Y31" i="5"/>
  <c r="F30" i="5"/>
  <c r="D30" i="5"/>
  <c r="M31" i="5" l="1"/>
  <c r="AI31" i="5" s="1"/>
  <c r="AB31" i="5"/>
  <c r="AE31" i="5"/>
  <c r="AC31" i="5" l="1"/>
  <c r="AM31" i="5"/>
  <c r="H30" i="5"/>
  <c r="AL30" i="5" s="1"/>
  <c r="J30" i="5"/>
  <c r="O30" i="5"/>
  <c r="S30" i="5" s="1"/>
  <c r="M30" i="5" l="1"/>
  <c r="AB30" i="5"/>
  <c r="AC30" i="5"/>
  <c r="F29" i="5"/>
  <c r="D29" i="5"/>
  <c r="Y30" i="5" l="1"/>
  <c r="U30" i="5"/>
  <c r="AD30" i="5" s="1"/>
  <c r="AM30" i="5" l="1"/>
  <c r="AI30" i="5"/>
  <c r="AE30" i="5"/>
  <c r="H29" i="5"/>
  <c r="AL29" i="5" s="1"/>
  <c r="O29" i="5"/>
  <c r="S29" i="5" s="1"/>
  <c r="U29" i="5" l="1"/>
  <c r="AD29" i="5" s="1"/>
  <c r="Y29" i="5"/>
  <c r="J29" i="5"/>
  <c r="M29" i="5" s="1"/>
  <c r="F28" i="5"/>
  <c r="D28" i="5"/>
  <c r="AE29" i="5" l="1"/>
  <c r="AI29" i="5"/>
  <c r="AM29" i="5"/>
  <c r="AB29" i="5"/>
  <c r="AC29" i="5"/>
  <c r="H28" i="5" l="1"/>
  <c r="AL28" i="5" s="1"/>
  <c r="J28" i="5"/>
  <c r="M28" i="5" s="1"/>
  <c r="O28" i="5"/>
  <c r="S28" i="5" s="1"/>
  <c r="AB28" i="5" l="1"/>
  <c r="AC28" i="5"/>
  <c r="F27" i="5"/>
  <c r="D27" i="5"/>
  <c r="U28" i="5" l="1"/>
  <c r="AD28" i="5" s="1"/>
  <c r="Y28" i="5"/>
  <c r="H27" i="5"/>
  <c r="J27" i="5"/>
  <c r="M27" i="5" s="1"/>
  <c r="O27" i="5"/>
  <c r="S27" i="5" s="1"/>
  <c r="AM28" i="5" l="1"/>
  <c r="AI28" i="5"/>
  <c r="AB27" i="5"/>
  <c r="AC27" i="5"/>
  <c r="U27" i="5"/>
  <c r="AD27" i="5" s="1"/>
  <c r="Y27" i="5"/>
  <c r="AE28" i="5"/>
  <c r="AL27" i="5"/>
  <c r="F26" i="5"/>
  <c r="D26" i="5"/>
  <c r="AE27" i="5" l="1"/>
  <c r="AI27" i="5"/>
  <c r="AM27" i="5"/>
  <c r="H26" i="5" l="1"/>
  <c r="AL26" i="5" s="1"/>
  <c r="J26" i="5"/>
  <c r="M26" i="5" s="1"/>
  <c r="O26" i="5"/>
  <c r="S26" i="5" s="1"/>
  <c r="AB26" i="5" l="1"/>
  <c r="Y26" i="5"/>
  <c r="U26" i="5"/>
  <c r="AD26" i="5" s="1"/>
  <c r="AC26" i="5"/>
  <c r="F25" i="5"/>
  <c r="D25" i="5"/>
  <c r="AE26" i="5" l="1"/>
  <c r="AI26" i="5"/>
  <c r="AM26" i="5"/>
  <c r="H25" i="5"/>
  <c r="J25" i="5"/>
  <c r="M25" i="5" s="1"/>
  <c r="O25" i="5"/>
  <c r="S25" i="5" s="1"/>
  <c r="AB25" i="5" l="1"/>
  <c r="AC25" i="5"/>
  <c r="AL25" i="5"/>
  <c r="F24" i="5"/>
  <c r="D24" i="5"/>
  <c r="Y25" i="5" l="1"/>
  <c r="U25" i="5"/>
  <c r="AD25" i="5" s="1"/>
  <c r="H24" i="5"/>
  <c r="O24" i="5"/>
  <c r="S24" i="5" s="1"/>
  <c r="AM25" i="5" l="1"/>
  <c r="AI25" i="5"/>
  <c r="U24" i="5"/>
  <c r="AD24" i="5" s="1"/>
  <c r="Y24" i="5"/>
  <c r="AE25" i="5"/>
  <c r="J24" i="5"/>
  <c r="M24" i="5" s="1"/>
  <c r="AL24" i="5"/>
  <c r="D23" i="5"/>
  <c r="F23" i="5"/>
  <c r="H23" i="5"/>
  <c r="J23" i="5"/>
  <c r="M23" i="5" s="1"/>
  <c r="O23" i="5"/>
  <c r="S23" i="5" s="1"/>
  <c r="U23" i="5"/>
  <c r="AE24" i="5" l="1"/>
  <c r="AI24" i="5"/>
  <c r="AB23" i="5"/>
  <c r="AM24" i="5"/>
  <c r="AB24" i="5"/>
  <c r="AD23" i="5"/>
  <c r="AL23" i="5"/>
  <c r="AC24" i="5"/>
  <c r="Y23" i="5"/>
  <c r="AC23" i="5"/>
  <c r="F22" i="5"/>
  <c r="D22" i="5"/>
  <c r="AE23" i="5" l="1"/>
  <c r="AI23" i="5"/>
  <c r="AM23" i="5"/>
  <c r="H22" i="5"/>
  <c r="O22" i="5"/>
  <c r="S22" i="5" s="1"/>
  <c r="J22" i="5" l="1"/>
  <c r="M22" i="5" s="1"/>
  <c r="U22" i="5"/>
  <c r="AD22" i="5" s="1"/>
  <c r="Y22" i="5"/>
  <c r="AL22" i="5"/>
  <c r="F21" i="5"/>
  <c r="D21" i="5"/>
  <c r="H21" i="5"/>
  <c r="J21" i="5"/>
  <c r="O21" i="5"/>
  <c r="S21" i="5" s="1"/>
  <c r="AE22" i="5" l="1"/>
  <c r="AI22" i="5"/>
  <c r="AB21" i="5"/>
  <c r="M21" i="5"/>
  <c r="AC21" i="5" s="1"/>
  <c r="AM22" i="5"/>
  <c r="AB22" i="5"/>
  <c r="Y21" i="5"/>
  <c r="U21" i="5"/>
  <c r="AD21" i="5" s="1"/>
  <c r="AC22" i="5"/>
  <c r="AL21" i="5"/>
  <c r="AE21" i="5" l="1"/>
  <c r="AI21" i="5"/>
  <c r="AM21" i="5"/>
  <c r="F20" i="5"/>
  <c r="D20" i="5"/>
  <c r="H20" i="5" l="1"/>
  <c r="O20" i="5"/>
  <c r="S20" i="5" s="1"/>
  <c r="J20" i="5" l="1"/>
  <c r="AL20" i="5"/>
  <c r="F19" i="5"/>
  <c r="D19" i="5"/>
  <c r="AB20" i="5" l="1"/>
  <c r="M20" i="5"/>
  <c r="AC20" i="5" s="1"/>
  <c r="Y20" i="5"/>
  <c r="U20" i="5"/>
  <c r="AD20" i="5" s="1"/>
  <c r="AE20" i="5" l="1"/>
  <c r="AI20" i="5"/>
  <c r="AM20" i="5"/>
  <c r="H19" i="5"/>
  <c r="AL19" i="5" s="1"/>
  <c r="O19" i="5"/>
  <c r="S19" i="5" s="1"/>
  <c r="U19" i="5" l="1"/>
  <c r="AD19" i="5" s="1"/>
  <c r="Y19" i="5"/>
  <c r="J19" i="5"/>
  <c r="F18" i="5"/>
  <c r="D18" i="5"/>
  <c r="H18" i="5"/>
  <c r="J18" i="5"/>
  <c r="O18" i="5"/>
  <c r="S18" i="5" s="1"/>
  <c r="AE19" i="5" l="1"/>
  <c r="AB18" i="5"/>
  <c r="M18" i="5"/>
  <c r="AB19" i="5"/>
  <c r="M19" i="5"/>
  <c r="AM19" i="5" s="1"/>
  <c r="AC18" i="5"/>
  <c r="AL18" i="5"/>
  <c r="AI19" i="5" l="1"/>
  <c r="AC19" i="5"/>
  <c r="U18" i="5"/>
  <c r="AD18" i="5" s="1"/>
  <c r="Y18" i="5"/>
  <c r="D17" i="5"/>
  <c r="F17" i="5"/>
  <c r="H17" i="5"/>
  <c r="O17" i="5"/>
  <c r="S17" i="5" s="1"/>
  <c r="AM18" i="5" l="1"/>
  <c r="AI18" i="5"/>
  <c r="AL17" i="5"/>
  <c r="AE18" i="5"/>
  <c r="J17" i="5"/>
  <c r="D16" i="5"/>
  <c r="F16" i="5"/>
  <c r="H16" i="5"/>
  <c r="J16" i="5"/>
  <c r="O16" i="5"/>
  <c r="S16" i="5" s="1"/>
  <c r="AB16" i="5" l="1"/>
  <c r="M16" i="5"/>
  <c r="AC16" i="5" s="1"/>
  <c r="AB17" i="5"/>
  <c r="M17" i="5"/>
  <c r="Y17" i="5"/>
  <c r="U17" i="5"/>
  <c r="AD17" i="5" s="1"/>
  <c r="AL16" i="5"/>
  <c r="D15" i="5"/>
  <c r="F15" i="5"/>
  <c r="H15" i="5"/>
  <c r="J15" i="5"/>
  <c r="O15" i="5"/>
  <c r="S15" i="5" s="1"/>
  <c r="U15" i="5"/>
  <c r="AE17" i="5" l="1"/>
  <c r="AI17" i="5"/>
  <c r="AB15" i="5"/>
  <c r="M15" i="5"/>
  <c r="AC15" i="5" s="1"/>
  <c r="AM17" i="5"/>
  <c r="AC17" i="5"/>
  <c r="AD15" i="5"/>
  <c r="AL15" i="5"/>
  <c r="Y15" i="5"/>
  <c r="U16" i="5"/>
  <c r="AD16" i="5" s="1"/>
  <c r="Y16" i="5"/>
  <c r="D14" i="5"/>
  <c r="F14" i="5"/>
  <c r="AM16" i="5" l="1"/>
  <c r="AI16" i="5"/>
  <c r="AE15" i="5"/>
  <c r="AI15" i="5"/>
  <c r="AM15" i="5"/>
  <c r="AE16" i="5"/>
  <c r="H14" i="5"/>
  <c r="J14" i="5"/>
  <c r="O14" i="5"/>
  <c r="S14" i="5" s="1"/>
  <c r="AL14" i="5" l="1"/>
  <c r="AB14" i="5"/>
  <c r="M14" i="5"/>
  <c r="D13" i="5"/>
  <c r="F13" i="5"/>
  <c r="H13" i="5"/>
  <c r="J13" i="5"/>
  <c r="O13" i="5"/>
  <c r="S13" i="5" s="1"/>
  <c r="Y13" i="5"/>
  <c r="AC14" i="5" l="1"/>
  <c r="AB13" i="5"/>
  <c r="M13" i="5"/>
  <c r="AM13" i="5" s="1"/>
  <c r="AL13" i="5"/>
  <c r="AE13" i="5"/>
  <c r="U13" i="5"/>
  <c r="AD13" i="5" s="1"/>
  <c r="U14" i="5"/>
  <c r="AD14" i="5" s="1"/>
  <c r="Y14" i="5"/>
  <c r="AC13" i="5"/>
  <c r="D12" i="5"/>
  <c r="F12" i="5"/>
  <c r="H12" i="5"/>
  <c r="J12" i="5"/>
  <c r="O12" i="5"/>
  <c r="S12" i="5" s="1"/>
  <c r="AI13" i="5" l="1"/>
  <c r="AM14" i="5"/>
  <c r="AI14" i="5"/>
  <c r="AB12" i="5"/>
  <c r="M12" i="5"/>
  <c r="AC12" i="5" s="1"/>
  <c r="U12" i="5"/>
  <c r="AD12" i="5" s="1"/>
  <c r="Y12" i="5"/>
  <c r="AL12" i="5"/>
  <c r="AE14" i="5"/>
  <c r="D11" i="5"/>
  <c r="F11" i="5"/>
  <c r="H11" i="5"/>
  <c r="O11" i="5"/>
  <c r="S11" i="5" s="1"/>
  <c r="U11" i="5"/>
  <c r="AE12" i="5" l="1"/>
  <c r="AI12" i="5"/>
  <c r="AM12" i="5"/>
  <c r="J11" i="5"/>
  <c r="AL11" i="5"/>
  <c r="AD11" i="5"/>
  <c r="Y11" i="5"/>
  <c r="D10" i="5"/>
  <c r="F10" i="5"/>
  <c r="H10" i="5"/>
  <c r="O10" i="5"/>
  <c r="S10" i="5" s="1"/>
  <c r="AE11" i="5" l="1"/>
  <c r="AB11" i="5"/>
  <c r="M11" i="5"/>
  <c r="AI11" i="5" s="1"/>
  <c r="AL10" i="5"/>
  <c r="J10" i="5"/>
  <c r="D9" i="5"/>
  <c r="F9" i="5"/>
  <c r="H9" i="5"/>
  <c r="J9" i="5"/>
  <c r="O9" i="5"/>
  <c r="S9" i="5" s="1"/>
  <c r="AB9" i="5" l="1"/>
  <c r="M9" i="5"/>
  <c r="AB10" i="5"/>
  <c r="M10" i="5"/>
  <c r="AM11" i="5"/>
  <c r="AC11" i="5"/>
  <c r="DC7" i="6"/>
  <c r="AL9" i="5"/>
  <c r="Y10" i="5"/>
  <c r="AI10" i="5" s="1"/>
  <c r="U10" i="5"/>
  <c r="AD10" i="5" s="1"/>
  <c r="AC9" i="5" l="1"/>
  <c r="AM10" i="5"/>
  <c r="AC10" i="5"/>
  <c r="Y9" i="5"/>
  <c r="U9" i="5"/>
  <c r="AD9" i="5" s="1"/>
  <c r="AE10" i="5"/>
  <c r="AM9" i="5" l="1"/>
  <c r="AI9" i="5"/>
  <c r="AE9" i="5"/>
  <c r="X37" i="5"/>
  <c r="R37" i="5"/>
  <c r="L37" i="5"/>
  <c r="X36" i="5"/>
  <c r="R36" i="5"/>
  <c r="L36" i="5"/>
  <c r="X35" i="5"/>
  <c r="R35" i="5"/>
  <c r="L35" i="5"/>
  <c r="X34" i="5"/>
  <c r="R34" i="5"/>
  <c r="L34" i="5"/>
  <c r="X33" i="5"/>
  <c r="R33" i="5"/>
  <c r="L33" i="5"/>
  <c r="X32" i="5"/>
  <c r="R32" i="5"/>
  <c r="L32" i="5"/>
  <c r="X31" i="5"/>
  <c r="R31" i="5"/>
  <c r="L31" i="5"/>
  <c r="X30" i="5"/>
  <c r="R30" i="5"/>
  <c r="L30" i="5"/>
  <c r="X29" i="5"/>
  <c r="R29" i="5"/>
  <c r="L29" i="5"/>
  <c r="X28" i="5"/>
  <c r="R28" i="5"/>
  <c r="L28" i="5"/>
  <c r="X27" i="5"/>
  <c r="R27" i="5"/>
  <c r="L27" i="5"/>
  <c r="X26" i="5"/>
  <c r="R26" i="5"/>
  <c r="L26" i="5"/>
  <c r="X25" i="5"/>
  <c r="R25" i="5"/>
  <c r="L25" i="5"/>
  <c r="R24" i="5"/>
  <c r="L24" i="5"/>
  <c r="X23" i="5"/>
  <c r="R23" i="5"/>
  <c r="L23" i="5"/>
  <c r="X22" i="5"/>
  <c r="R22" i="5"/>
  <c r="L22" i="5"/>
  <c r="X21" i="5"/>
  <c r="R21" i="5"/>
  <c r="L21" i="5"/>
  <c r="X20" i="5"/>
  <c r="R20" i="5"/>
  <c r="L20" i="5"/>
  <c r="X19" i="5"/>
  <c r="R19" i="5"/>
  <c r="L19" i="5"/>
  <c r="X18" i="5"/>
  <c r="R18" i="5"/>
  <c r="L18" i="5"/>
  <c r="X17" i="5"/>
  <c r="R17" i="5"/>
  <c r="L17" i="5"/>
  <c r="R16" i="5"/>
  <c r="L16" i="5"/>
  <c r="R15" i="5"/>
  <c r="L15" i="5"/>
  <c r="R14" i="5"/>
  <c r="L14" i="5"/>
  <c r="X13" i="5"/>
  <c r="R13" i="5"/>
  <c r="L13" i="5"/>
  <c r="R12" i="5"/>
  <c r="L12" i="5"/>
  <c r="X11" i="5"/>
  <c r="R11" i="5"/>
  <c r="L11" i="5"/>
  <c r="X10" i="5"/>
  <c r="R10" i="5"/>
  <c r="L10" i="5"/>
  <c r="X9" i="5"/>
  <c r="R9" i="5"/>
  <c r="L9" i="5"/>
  <c r="X24" i="5" l="1"/>
  <c r="X16" i="5"/>
  <c r="X15" i="5"/>
  <c r="X12" i="5"/>
  <c r="X14" i="5"/>
  <c r="AG27" i="5" l="1"/>
  <c r="AK20" i="5"/>
  <c r="AK21" i="5"/>
  <c r="AK23" i="5"/>
  <c r="AG23" i="5"/>
  <c r="AK10" i="5"/>
  <c r="AG13" i="5"/>
  <c r="AG20" i="5" l="1"/>
  <c r="AK37" i="5"/>
  <c r="AG37" i="5"/>
  <c r="AG21" i="5"/>
  <c r="AK35" i="5"/>
  <c r="AG35" i="5"/>
  <c r="AK27" i="5"/>
  <c r="AK34" i="5"/>
  <c r="AG34" i="5"/>
  <c r="AK33" i="5"/>
  <c r="AG33" i="5"/>
  <c r="AK30" i="5"/>
  <c r="AG30" i="5"/>
  <c r="AK29" i="5"/>
  <c r="AG29" i="5"/>
  <c r="AK31" i="5"/>
  <c r="AG31" i="5"/>
  <c r="AK32" i="5"/>
  <c r="AG32" i="5"/>
  <c r="AG17" i="5"/>
  <c r="AK26" i="5"/>
  <c r="AG26" i="5"/>
  <c r="AK15" i="5"/>
  <c r="AK22" i="5"/>
  <c r="AG22" i="5"/>
  <c r="AK24" i="5"/>
  <c r="AG24" i="5"/>
  <c r="AK13" i="5"/>
  <c r="AG10" i="5"/>
  <c r="AG15" i="5"/>
  <c r="AK18" i="5"/>
  <c r="AG18" i="5"/>
  <c r="AK19" i="5"/>
  <c r="AG19" i="5"/>
  <c r="AK9" i="5"/>
  <c r="AG9" i="5"/>
  <c r="AK16" i="5"/>
  <c r="AG16" i="5"/>
  <c r="AK14" i="5"/>
  <c r="AG14" i="5"/>
  <c r="AK17" i="5" l="1"/>
  <c r="AK36" i="5"/>
  <c r="AG36" i="5"/>
  <c r="AK28" i="5"/>
  <c r="AG28" i="5"/>
  <c r="AK25" i="5"/>
  <c r="AG25" i="5"/>
  <c r="AK11" i="5"/>
  <c r="AG11" i="5"/>
  <c r="AK12" i="5"/>
  <c r="AG12" i="5"/>
  <c r="AD37" i="6" l="1"/>
  <c r="DC6" i="6" l="1"/>
  <c r="Y8" i="5" l="1"/>
  <c r="W1" i="5" l="1"/>
  <c r="V1" i="5"/>
  <c r="Q1" i="5"/>
  <c r="P1" i="5"/>
  <c r="K1" i="5"/>
  <c r="AK8" i="5" l="1"/>
  <c r="AG8" i="5"/>
  <c r="X8" i="5"/>
  <c r="R8" i="5"/>
  <c r="L8" i="5"/>
  <c r="L39" i="5" l="1"/>
  <c r="X39" i="5"/>
  <c r="R39" i="5"/>
  <c r="BO37" i="6" l="1"/>
  <c r="BK37" i="6"/>
  <c r="BN37" i="6" l="1"/>
  <c r="BJ37" i="6"/>
  <c r="AS37" i="6" l="1"/>
  <c r="AT37" i="6"/>
  <c r="AU37" i="6"/>
  <c r="AQ37" i="6" l="1"/>
  <c r="BC37" i="6" l="1"/>
  <c r="BG37" i="6"/>
  <c r="BB37" i="6" l="1"/>
  <c r="BF37" i="6"/>
  <c r="J8" i="5" l="1"/>
  <c r="AW37" i="6"/>
  <c r="AP37" i="6"/>
  <c r="AO37" i="6"/>
  <c r="AN37" i="6"/>
  <c r="AJ37" i="6"/>
  <c r="AF37" i="6"/>
  <c r="AB37" i="6"/>
  <c r="O37" i="6"/>
  <c r="AI37" i="6"/>
  <c r="AA37" i="6"/>
  <c r="Q37" i="6"/>
  <c r="P37" i="6"/>
  <c r="I37" i="6"/>
  <c r="W39" i="5"/>
  <c r="V39" i="5"/>
  <c r="Q39" i="5"/>
  <c r="P39" i="5"/>
  <c r="K39" i="5"/>
  <c r="H8" i="5"/>
  <c r="H1" i="5" s="1"/>
  <c r="F8" i="5"/>
  <c r="D8" i="5"/>
  <c r="AB8" i="5" l="1"/>
  <c r="M8" i="5"/>
  <c r="AE41" i="6"/>
  <c r="AE42" i="6"/>
  <c r="AG39" i="5"/>
  <c r="AL37" i="6"/>
  <c r="E39" i="6"/>
  <c r="H39" i="5"/>
  <c r="E37" i="6"/>
  <c r="O8" i="5"/>
  <c r="S8" i="5" s="1"/>
  <c r="AI8" i="5" s="1"/>
  <c r="AL8" i="5"/>
  <c r="D39" i="5"/>
  <c r="AE37" i="6"/>
  <c r="AY37" i="6"/>
  <c r="AH39" i="5"/>
  <c r="F39" i="5"/>
  <c r="AM8" i="5" l="1"/>
  <c r="U8" i="5"/>
  <c r="AD8" i="5" s="1"/>
  <c r="S39" i="5"/>
  <c r="AK39" i="5"/>
  <c r="Z37" i="6"/>
  <c r="O39" i="5"/>
  <c r="AL39" i="5"/>
  <c r="AE40" i="6"/>
  <c r="AB39" i="5"/>
  <c r="J39" i="5"/>
  <c r="AC8" i="5" l="1"/>
  <c r="AC39" i="5" s="1"/>
  <c r="AE8" i="5"/>
  <c r="M39" i="5"/>
  <c r="G37" i="6" l="1"/>
  <c r="U39" i="5"/>
  <c r="AE39" i="5"/>
  <c r="AD39" i="5" l="1"/>
  <c r="Y39" i="5"/>
  <c r="AI39" i="5" l="1"/>
  <c r="AM39" i="5"/>
</calcChain>
</file>

<file path=xl/sharedStrings.xml><?xml version="1.0" encoding="utf-8"?>
<sst xmlns="http://schemas.openxmlformats.org/spreadsheetml/2006/main" count="233" uniqueCount="119">
  <si>
    <t>Budget</t>
  </si>
  <si>
    <t>Occupied Rooms</t>
  </si>
  <si>
    <t>Last Year</t>
  </si>
  <si>
    <t>ELECTRICITY</t>
  </si>
  <si>
    <t>FUEL</t>
  </si>
  <si>
    <t>WATER</t>
  </si>
  <si>
    <t>ENERGY LAST YEAR / OCCUPIED ROOM</t>
  </si>
  <si>
    <t>ENERGY BUDGET / OCCUPIED ROOM</t>
  </si>
  <si>
    <t>ENERGY ACTUAL / OCCUPIED ROOM</t>
  </si>
  <si>
    <t>DATE</t>
  </si>
  <si>
    <t>Occ.</t>
  </si>
  <si>
    <t>Occupied Rooms Budget</t>
  </si>
  <si>
    <t>CONSUMP. KWH</t>
  </si>
  <si>
    <t>CONSUMP. LITRE</t>
  </si>
  <si>
    <t>BUDGET LITRE</t>
  </si>
  <si>
    <t>CONSUMP. M³</t>
  </si>
  <si>
    <t>BUDGET M³</t>
  </si>
  <si>
    <t>KWH / Occupied Room</t>
  </si>
  <si>
    <t>Cu.Mt. / Occupied Room</t>
  </si>
  <si>
    <t>TOTAL</t>
  </si>
  <si>
    <t>TOTAL KWH</t>
  </si>
  <si>
    <t>Occupancy %</t>
  </si>
  <si>
    <t>Rooms Occupied</t>
  </si>
  <si>
    <t>Weather Temperature</t>
  </si>
  <si>
    <t>Available Rooms</t>
  </si>
  <si>
    <t>Water Sold Last Year</t>
  </si>
  <si>
    <t>Kitchen Water</t>
  </si>
  <si>
    <t>Laundry Water</t>
  </si>
  <si>
    <t>Laundry Electricity</t>
  </si>
  <si>
    <t>Kit. Equip. Electricity</t>
  </si>
  <si>
    <t>Chiller 1-H2-Circuit1</t>
  </si>
  <si>
    <t>Chiller 1-H2-Circuit 2</t>
  </si>
  <si>
    <t>Chiller 2-H2-Circuit1</t>
  </si>
  <si>
    <t>Chiller 2-H2-Circuit2</t>
  </si>
  <si>
    <t>Chiller 3 Mall-H2-Circuit1</t>
  </si>
  <si>
    <t>Chiller 3 Mall-H2-Circuit2</t>
  </si>
  <si>
    <t>Chiller 1-H3-Circuit1</t>
  </si>
  <si>
    <t>Chiller 1-H3-Circuit2</t>
  </si>
  <si>
    <t>Chilled Pumps KWH</t>
  </si>
  <si>
    <t>Chiller 2-H3-Circuit1</t>
  </si>
  <si>
    <t>Chiller 2-H3-Circuit2</t>
  </si>
  <si>
    <t>Total Chillers</t>
  </si>
  <si>
    <t>Tower 1</t>
  </si>
  <si>
    <t>Tower 2</t>
  </si>
  <si>
    <t>Total Consump</t>
  </si>
  <si>
    <t>Date</t>
  </si>
  <si>
    <t>Reading Tower 1</t>
  </si>
  <si>
    <t>Consump. Tower 1</t>
  </si>
  <si>
    <t>Reading Tower 2</t>
  </si>
  <si>
    <t>Consump. Tower 2</t>
  </si>
  <si>
    <t>Buy</t>
  </si>
  <si>
    <t>Consump. This Year</t>
  </si>
  <si>
    <t>Reading</t>
  </si>
  <si>
    <t>Consump.</t>
  </si>
  <si>
    <t>Add</t>
  </si>
  <si>
    <t>Consump. Last Year</t>
  </si>
  <si>
    <t>This Year</t>
  </si>
  <si>
    <r>
      <t xml:space="preserve">Cos </t>
    </r>
    <r>
      <rPr>
        <b/>
        <sz val="10"/>
        <rFont val="Calibri"/>
        <family val="2"/>
      </rPr>
      <t>Ø</t>
    </r>
  </si>
  <si>
    <t>This Year - October  2024</t>
  </si>
  <si>
    <t>Last Year - October 2023</t>
  </si>
  <si>
    <t>Counter Reading</t>
  </si>
  <si>
    <t>Consumption This year</t>
  </si>
  <si>
    <t>Consumption Last Year</t>
  </si>
  <si>
    <t>Consumption</t>
  </si>
  <si>
    <t>Cons.</t>
  </si>
  <si>
    <t>Cons. Last Year</t>
  </si>
  <si>
    <t>Max</t>
  </si>
  <si>
    <t>Avg</t>
  </si>
  <si>
    <t>Min</t>
  </si>
  <si>
    <t>Hum</t>
  </si>
  <si>
    <t>Average/Day</t>
  </si>
  <si>
    <t>ENERGY COST / OCCUPIED ROOM - LAST YEAR =</t>
  </si>
  <si>
    <t>OCCUPANCY - LAST YEAR =</t>
  </si>
  <si>
    <t>KWH / OCCUPIED ROOM - LAST YEAR</t>
  </si>
  <si>
    <t>ENERGY COST / OCCUPIED ROOM - THIS YEAR =</t>
  </si>
  <si>
    <t>OCCUPANCY - THIS YEAR =</t>
  </si>
  <si>
    <t>KWH / OCCU[PIED ROOM - THIS YEAR</t>
  </si>
  <si>
    <t>ENERGY COST / OCCUPIED ROOM - BUDGET =</t>
  </si>
  <si>
    <t>OCCUPANCY - BUDGET=</t>
  </si>
  <si>
    <t>KWH / OCCUPIED ROOM - BUDGET</t>
  </si>
  <si>
    <t>KWH / AVAILABLE ROOM - LAST YEAR</t>
  </si>
  <si>
    <t>KWH / AVAILABLE ROOM - THIS YEAR</t>
  </si>
  <si>
    <t>KWH / AVAILABLE ROOM - BUDGET</t>
  </si>
  <si>
    <t>.</t>
  </si>
  <si>
    <t>Daily Observations</t>
  </si>
  <si>
    <t>Time</t>
  </si>
  <si>
    <t>Temperature (° C)</t>
  </si>
  <si>
    <t>Dew Point (° C)</t>
  </si>
  <si>
    <t>Humidity (%)</t>
  </si>
  <si>
    <t>Wind Speed (mph)</t>
  </si>
  <si>
    <t>Pressure (Hg)</t>
  </si>
  <si>
    <t>Precipitation (in)</t>
  </si>
  <si>
    <t>Jun</t>
  </si>
  <si>
    <t>Energy Cost February 2025</t>
  </si>
  <si>
    <t xml:space="preserve">        Energy Cost - February   2025</t>
  </si>
  <si>
    <t>https://www.wunderground.com/history/monthly/sa/medina/OEMA/date/2025-3</t>
  </si>
  <si>
    <t>BUDGET SAR.</t>
  </si>
  <si>
    <t>LAST YEAR ACTUAL SAR</t>
  </si>
  <si>
    <t>ACTUAL SAR</t>
  </si>
  <si>
    <t>BUDGET SAR</t>
  </si>
  <si>
    <t>SAR/ Occupied Room</t>
  </si>
  <si>
    <t>SAR / Occupied Room</t>
  </si>
  <si>
    <t>LAST YEAR TOTAL ENERGY SAR</t>
  </si>
  <si>
    <t>BUDGET TOTAL ENERGY SAR.</t>
  </si>
  <si>
    <t>ACTUAL TOTAL ENERGY SAR</t>
  </si>
  <si>
    <t>Budget m</t>
  </si>
  <si>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</si>
  <si>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</si>
  <si>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</si>
  <si>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</si>
  <si>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</si>
  <si>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</si>
  <si>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</si>
  <si>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 xml:space="preserve">Total Guests </t>
  </si>
  <si>
    <t>Al Manakha Rotana Madinah</t>
  </si>
  <si>
    <t>Water Utility Supply (m3) m3</t>
  </si>
  <si>
    <t xml:space="preserve">Total Fuel Oil  (Liter) </t>
  </si>
  <si>
    <t>Fuel Oil  $/Liter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</si>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</sst>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000_);_(* \(#,##0.0000\);_(* &quot;-&quot;??_);_(@_)"/>
    <numFmt numFmtId="168" formatCode="0.0000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color indexed="9"/>
      <name val="Times New Roman"/>
      <family val="1"/>
    </font>
    <font>
      <b/>
      <sz val="10"/>
      <name val="Times New Roman"/>
      <family val="1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0"/>
      <color indexed="2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color indexed="10"/>
      <name val="Times New Roman"/>
      <family val="1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Calibri"/>
      <family val="2"/>
    </font>
    <font>
      <b/>
      <sz val="10"/>
      <color theme="9" tint="-0.499984740745262"/>
      <name val="Arial"/>
      <family val="2"/>
    </font>
    <font>
      <sz val="11"/>
      <name val="Arial"/>
      <family val="2"/>
    </font>
    <font>
      <b/>
      <sz val="26"/>
      <name val="Arial"/>
      <family val="2"/>
    </font>
    <font>
      <b/>
      <sz val="12"/>
      <name val="Times New Roman"/>
      <family val="1"/>
    </font>
    <font>
      <sz val="10"/>
      <color theme="1"/>
      <name val="Arial"/>
      <family val="2"/>
    </font>
    <font>
      <b/>
      <sz val="11"/>
      <color rgb="FF242424"/>
      <name val="Aptos Narrow"/>
      <family val="2"/>
    </font>
    <font>
      <sz val="10"/>
      <color rgb="FF000000"/>
      <name val="Arial"/>
      <family val="2"/>
    </font>
    <font>
      <sz val="11"/>
      <color rgb="FF242424"/>
      <name val="Segoe UI"/>
      <family val="2"/>
    </font>
    <font>
      <sz val="12"/>
      <color rgb="FF242424"/>
      <name val="Aptos"/>
      <family val="2"/>
    </font>
    <font>
      <sz val="13"/>
      <color rgb="FF000000"/>
      <name val="Aptos Narrow"/>
      <family val="2"/>
    </font>
    <font>
      <b/>
      <sz val="13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7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1">
    <xf numFmtId="0" fontId="0" fillId="0" borderId="0"/>
    <xf numFmtId="164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3" fillId="0" borderId="0"/>
    <xf numFmtId="9" fontId="2" fillId="0" borderId="0" applyFont="0" applyFill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3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6" fillId="2" borderId="7" xfId="0" applyFont="1" applyFill="1" applyBorder="1"/>
    <xf numFmtId="0" fontId="6" fillId="2" borderId="0" xfId="0" applyFont="1" applyFill="1"/>
    <xf numFmtId="0" fontId="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5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vertical="center"/>
    </xf>
    <xf numFmtId="3" fontId="7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3" fontId="8" fillId="3" borderId="11" xfId="0" applyNumberFormat="1" applyFont="1" applyFill="1" applyBorder="1" applyAlignment="1">
      <alignment vertical="center"/>
    </xf>
    <xf numFmtId="0" fontId="6" fillId="2" borderId="12" xfId="0" applyFont="1" applyFill="1" applyBorder="1"/>
    <xf numFmtId="3" fontId="6" fillId="2" borderId="12" xfId="0" applyNumberFormat="1" applyFont="1" applyFill="1" applyBorder="1"/>
    <xf numFmtId="0" fontId="7" fillId="7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3" fontId="7" fillId="8" borderId="14" xfId="0" applyNumberFormat="1" applyFont="1" applyFill="1" applyBorder="1" applyAlignment="1">
      <alignment vertical="center"/>
    </xf>
    <xf numFmtId="0" fontId="7" fillId="9" borderId="13" xfId="0" applyFont="1" applyFill="1" applyBorder="1" applyAlignment="1">
      <alignment horizontal="center" vertical="center" wrapText="1"/>
    </xf>
    <xf numFmtId="3" fontId="7" fillId="9" borderId="15" xfId="0" applyNumberFormat="1" applyFont="1" applyFill="1" applyBorder="1" applyAlignment="1">
      <alignment vertical="center"/>
    </xf>
    <xf numFmtId="0" fontId="0" fillId="0" borderId="16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10" borderId="0" xfId="0" applyFill="1"/>
    <xf numFmtId="0" fontId="0" fillId="5" borderId="16" xfId="0" applyFill="1" applyBorder="1"/>
    <xf numFmtId="2" fontId="0" fillId="5" borderId="16" xfId="0" applyNumberFormat="1" applyFill="1" applyBorder="1"/>
    <xf numFmtId="0" fontId="4" fillId="3" borderId="16" xfId="0" applyFont="1" applyFill="1" applyBorder="1"/>
    <xf numFmtId="0" fontId="0" fillId="2" borderId="17" xfId="0" applyFill="1" applyBorder="1"/>
    <xf numFmtId="0" fontId="0" fillId="2" borderId="18" xfId="0" applyFill="1" applyBorder="1"/>
    <xf numFmtId="0" fontId="2" fillId="0" borderId="0" xfId="0" applyFont="1"/>
    <xf numFmtId="10" fontId="0" fillId="0" borderId="0" xfId="0" applyNumberFormat="1"/>
    <xf numFmtId="10" fontId="12" fillId="0" borderId="0" xfId="0" applyNumberFormat="1" applyFont="1"/>
    <xf numFmtId="3" fontId="0" fillId="0" borderId="0" xfId="0" applyNumberFormat="1"/>
    <xf numFmtId="3" fontId="12" fillId="0" borderId="0" xfId="0" applyNumberFormat="1" applyFont="1"/>
    <xf numFmtId="3" fontId="7" fillId="7" borderId="15" xfId="0" applyNumberFormat="1" applyFont="1" applyFill="1" applyBorder="1" applyAlignment="1">
      <alignment vertical="center"/>
    </xf>
    <xf numFmtId="3" fontId="8" fillId="5" borderId="11" xfId="0" applyNumberFormat="1" applyFont="1" applyFill="1" applyBorder="1" applyAlignment="1">
      <alignment vertical="center"/>
    </xf>
    <xf numFmtId="3" fontId="8" fillId="5" borderId="19" xfId="0" applyNumberFormat="1" applyFont="1" applyFill="1" applyBorder="1" applyAlignment="1">
      <alignment vertical="center"/>
    </xf>
    <xf numFmtId="3" fontId="8" fillId="6" borderId="11" xfId="0" applyNumberFormat="1" applyFont="1" applyFill="1" applyBorder="1" applyAlignment="1">
      <alignment vertical="center"/>
    </xf>
    <xf numFmtId="3" fontId="8" fillId="6" borderId="19" xfId="0" applyNumberFormat="1" applyFont="1" applyFill="1" applyBorder="1" applyAlignment="1">
      <alignment vertical="center"/>
    </xf>
    <xf numFmtId="3" fontId="8" fillId="4" borderId="11" xfId="0" applyNumberFormat="1" applyFont="1" applyFill="1" applyBorder="1" applyAlignment="1">
      <alignment vertical="center"/>
    </xf>
    <xf numFmtId="3" fontId="8" fillId="4" borderId="19" xfId="0" applyNumberFormat="1" applyFont="1" applyFill="1" applyBorder="1" applyAlignment="1">
      <alignment vertical="center"/>
    </xf>
    <xf numFmtId="165" fontId="0" fillId="0" borderId="16" xfId="1" applyNumberFormat="1" applyFont="1" applyBorder="1"/>
    <xf numFmtId="165" fontId="4" fillId="3" borderId="16" xfId="1" applyNumberFormat="1" applyFont="1" applyFill="1" applyBorder="1"/>
    <xf numFmtId="0" fontId="8" fillId="2" borderId="20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7" xfId="0" applyFont="1" applyFill="1" applyBorder="1"/>
    <xf numFmtId="0" fontId="2" fillId="2" borderId="12" xfId="0" applyFont="1" applyFill="1" applyBorder="1"/>
    <xf numFmtId="0" fontId="8" fillId="5" borderId="21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12" xfId="0" applyFill="1" applyBorder="1"/>
    <xf numFmtId="0" fontId="6" fillId="2" borderId="0" xfId="0" applyFont="1" applyFill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0" fillId="2" borderId="20" xfId="0" applyFill="1" applyBorder="1"/>
    <xf numFmtId="0" fontId="5" fillId="0" borderId="0" xfId="0" applyFont="1"/>
    <xf numFmtId="3" fontId="8" fillId="3" borderId="8" xfId="0" applyNumberFormat="1" applyFont="1" applyFill="1" applyBorder="1" applyAlignment="1">
      <alignment vertical="center"/>
    </xf>
    <xf numFmtId="9" fontId="8" fillId="3" borderId="8" xfId="0" applyNumberFormat="1" applyFont="1" applyFill="1" applyBorder="1" applyAlignment="1">
      <alignment horizontal="center" vertical="center"/>
    </xf>
    <xf numFmtId="164" fontId="4" fillId="6" borderId="27" xfId="0" applyNumberFormat="1" applyFont="1" applyFill="1" applyBorder="1" applyAlignment="1">
      <alignment vertical="center"/>
    </xf>
    <xf numFmtId="164" fontId="4" fillId="6" borderId="15" xfId="0" applyNumberFormat="1" applyFont="1" applyFill="1" applyBorder="1" applyAlignment="1">
      <alignment vertical="center"/>
    </xf>
    <xf numFmtId="164" fontId="4" fillId="6" borderId="28" xfId="0" applyNumberFormat="1" applyFont="1" applyFill="1" applyBorder="1" applyAlignment="1">
      <alignment vertical="center"/>
    </xf>
    <xf numFmtId="1" fontId="8" fillId="5" borderId="19" xfId="0" applyNumberFormat="1" applyFont="1" applyFill="1" applyBorder="1" applyAlignment="1">
      <alignment vertical="center"/>
    </xf>
    <xf numFmtId="0" fontId="5" fillId="11" borderId="20" xfId="0" applyFont="1" applyFill="1" applyBorder="1"/>
    <xf numFmtId="0" fontId="5" fillId="11" borderId="26" xfId="0" applyFont="1" applyFill="1" applyBorder="1"/>
    <xf numFmtId="164" fontId="4" fillId="6" borderId="29" xfId="1" applyFont="1" applyFill="1" applyBorder="1"/>
    <xf numFmtId="164" fontId="4" fillId="6" borderId="30" xfId="1" applyFont="1" applyFill="1" applyBorder="1"/>
    <xf numFmtId="164" fontId="4" fillId="4" borderId="29" xfId="1" applyFont="1" applyFill="1" applyBorder="1"/>
    <xf numFmtId="164" fontId="4" fillId="4" borderId="30" xfId="1" applyFont="1" applyFill="1" applyBorder="1"/>
    <xf numFmtId="2" fontId="14" fillId="3" borderId="8" xfId="0" applyNumberFormat="1" applyFont="1" applyFill="1" applyBorder="1" applyAlignment="1">
      <alignment horizontal="right" vertical="center"/>
    </xf>
    <xf numFmtId="1" fontId="14" fillId="3" borderId="8" xfId="0" applyNumberFormat="1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5" fontId="8" fillId="2" borderId="22" xfId="0" applyNumberFormat="1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vertical="center"/>
    </xf>
    <xf numFmtId="0" fontId="2" fillId="2" borderId="22" xfId="0" applyFont="1" applyFill="1" applyBorder="1"/>
    <xf numFmtId="3" fontId="8" fillId="2" borderId="22" xfId="0" applyNumberFormat="1" applyFont="1" applyFill="1" applyBorder="1" applyAlignment="1">
      <alignment vertical="center"/>
    </xf>
    <xf numFmtId="3" fontId="7" fillId="2" borderId="22" xfId="0" applyNumberFormat="1" applyFont="1" applyFill="1" applyBorder="1" applyAlignment="1">
      <alignment vertical="center"/>
    </xf>
    <xf numFmtId="15" fontId="8" fillId="3" borderId="33" xfId="0" applyNumberFormat="1" applyFont="1" applyFill="1" applyBorder="1" applyAlignment="1">
      <alignment horizontal="center" vertical="center"/>
    </xf>
    <xf numFmtId="165" fontId="15" fillId="0" borderId="16" xfId="1" applyNumberFormat="1" applyFont="1" applyBorder="1"/>
    <xf numFmtId="0" fontId="15" fillId="5" borderId="16" xfId="0" applyFont="1" applyFill="1" applyBorder="1"/>
    <xf numFmtId="0" fontId="15" fillId="0" borderId="16" xfId="0" applyFont="1" applyBorder="1"/>
    <xf numFmtId="0" fontId="4" fillId="10" borderId="0" xfId="0" applyFont="1" applyFill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165" fontId="4" fillId="0" borderId="34" xfId="1" applyNumberFormat="1" applyFont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5" fontId="16" fillId="3" borderId="16" xfId="1" applyNumberFormat="1" applyFont="1" applyFill="1" applyBorder="1"/>
    <xf numFmtId="0" fontId="4" fillId="0" borderId="34" xfId="1" applyNumberFormat="1" applyFont="1" applyBorder="1" applyAlignment="1">
      <alignment horizontal="center" vertical="center" wrapText="1" shrinkToFit="1"/>
    </xf>
    <xf numFmtId="0" fontId="0" fillId="2" borderId="22" xfId="0" applyFill="1" applyBorder="1"/>
    <xf numFmtId="0" fontId="0" fillId="2" borderId="35" xfId="0" applyFill="1" applyBorder="1"/>
    <xf numFmtId="0" fontId="8" fillId="2" borderId="20" xfId="0" applyFont="1" applyFill="1" applyBorder="1" applyAlignment="1">
      <alignment horizontal="center" vertical="center" wrapText="1"/>
    </xf>
    <xf numFmtId="0" fontId="17" fillId="12" borderId="36" xfId="0" applyFont="1" applyFill="1" applyBorder="1" applyAlignment="1">
      <alignment horizontal="center"/>
    </xf>
    <xf numFmtId="0" fontId="17" fillId="12" borderId="37" xfId="0" applyFont="1" applyFill="1" applyBorder="1" applyAlignment="1">
      <alignment horizontal="center"/>
    </xf>
    <xf numFmtId="0" fontId="4" fillId="13" borderId="38" xfId="0" applyFont="1" applyFill="1" applyBorder="1" applyAlignment="1">
      <alignment horizontal="center"/>
    </xf>
    <xf numFmtId="165" fontId="10" fillId="0" borderId="40" xfId="1" applyNumberFormat="1" applyFont="1" applyBorder="1" applyAlignment="1">
      <alignment horizontal="center" vertical="center"/>
    </xf>
    <xf numFmtId="165" fontId="10" fillId="0" borderId="16" xfId="1" applyNumberFormat="1" applyFont="1" applyFill="1" applyBorder="1"/>
    <xf numFmtId="0" fontId="4" fillId="14" borderId="16" xfId="0" applyFont="1" applyFill="1" applyBorder="1" applyAlignment="1">
      <alignment horizontal="center" vertical="center" wrapText="1"/>
    </xf>
    <xf numFmtId="165" fontId="10" fillId="3" borderId="16" xfId="1" applyNumberFormat="1" applyFont="1" applyFill="1" applyBorder="1"/>
    <xf numFmtId="165" fontId="9" fillId="0" borderId="16" xfId="1" applyNumberFormat="1" applyFont="1" applyBorder="1"/>
    <xf numFmtId="165" fontId="16" fillId="0" borderId="16" xfId="1" applyNumberFormat="1" applyFont="1" applyBorder="1"/>
    <xf numFmtId="9" fontId="16" fillId="14" borderId="16" xfId="0" applyNumberFormat="1" applyFont="1" applyFill="1" applyBorder="1"/>
    <xf numFmtId="165" fontId="9" fillId="3" borderId="16" xfId="1" applyNumberFormat="1" applyFont="1" applyFill="1" applyBorder="1"/>
    <xf numFmtId="0" fontId="4" fillId="2" borderId="34" xfId="0" applyFont="1" applyFill="1" applyBorder="1"/>
    <xf numFmtId="1" fontId="4" fillId="3" borderId="16" xfId="0" applyNumberFormat="1" applyFont="1" applyFill="1" applyBorder="1"/>
    <xf numFmtId="0" fontId="0" fillId="0" borderId="37" xfId="0" applyBorder="1"/>
    <xf numFmtId="0" fontId="0" fillId="0" borderId="43" xfId="0" applyBorder="1"/>
    <xf numFmtId="1" fontId="4" fillId="3" borderId="16" xfId="1" applyNumberFormat="1" applyFont="1" applyFill="1" applyBorder="1"/>
    <xf numFmtId="9" fontId="0" fillId="0" borderId="42" xfId="0" applyNumberFormat="1" applyBorder="1"/>
    <xf numFmtId="9" fontId="8" fillId="3" borderId="44" xfId="0" applyNumberFormat="1" applyFont="1" applyFill="1" applyBorder="1" applyAlignment="1">
      <alignment horizontal="right" vertical="center"/>
    </xf>
    <xf numFmtId="1" fontId="8" fillId="3" borderId="44" xfId="0" applyNumberFormat="1" applyFont="1" applyFill="1" applyBorder="1" applyAlignment="1">
      <alignment horizontal="center" vertical="center"/>
    </xf>
    <xf numFmtId="0" fontId="8" fillId="6" borderId="45" xfId="0" applyFont="1" applyFill="1" applyBorder="1" applyAlignment="1">
      <alignment vertical="center"/>
    </xf>
    <xf numFmtId="0" fontId="8" fillId="5" borderId="45" xfId="0" applyFont="1" applyFill="1" applyBorder="1" applyAlignment="1">
      <alignment vertical="center"/>
    </xf>
    <xf numFmtId="3" fontId="7" fillId="7" borderId="14" xfId="0" applyNumberFormat="1" applyFont="1" applyFill="1" applyBorder="1" applyAlignment="1">
      <alignment vertical="center"/>
    </xf>
    <xf numFmtId="0" fontId="8" fillId="4" borderId="45" xfId="0" applyFont="1" applyFill="1" applyBorder="1" applyAlignment="1">
      <alignment vertical="center"/>
    </xf>
    <xf numFmtId="3" fontId="8" fillId="3" borderId="44" xfId="0" applyNumberFormat="1" applyFont="1" applyFill="1" applyBorder="1" applyAlignment="1">
      <alignment vertical="center"/>
    </xf>
    <xf numFmtId="3" fontId="8" fillId="3" borderId="47" xfId="0" applyNumberFormat="1" applyFont="1" applyFill="1" applyBorder="1" applyAlignment="1">
      <alignment vertical="center"/>
    </xf>
    <xf numFmtId="164" fontId="4" fillId="3" borderId="44" xfId="1" applyFont="1" applyFill="1" applyBorder="1"/>
    <xf numFmtId="164" fontId="4" fillId="3" borderId="47" xfId="1" applyFont="1" applyFill="1" applyBorder="1"/>
    <xf numFmtId="0" fontId="2" fillId="0" borderId="37" xfId="0" applyFont="1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165" fontId="16" fillId="0" borderId="50" xfId="1" applyNumberFormat="1" applyFont="1" applyBorder="1" applyAlignment="1">
      <alignment horizontal="center" vertical="center"/>
    </xf>
    <xf numFmtId="0" fontId="11" fillId="2" borderId="51" xfId="0" applyFont="1" applyFill="1" applyBorder="1"/>
    <xf numFmtId="2" fontId="0" fillId="0" borderId="16" xfId="0" applyNumberFormat="1" applyBorder="1"/>
    <xf numFmtId="9" fontId="4" fillId="3" borderId="16" xfId="0" applyNumberFormat="1" applyFont="1" applyFill="1" applyBorder="1"/>
    <xf numFmtId="166" fontId="0" fillId="0" borderId="0" xfId="1" applyNumberFormat="1" applyFont="1"/>
    <xf numFmtId="10" fontId="9" fillId="3" borderId="16" xfId="7" applyNumberFormat="1" applyFont="1" applyFill="1" applyBorder="1"/>
    <xf numFmtId="10" fontId="16" fillId="3" borderId="16" xfId="0" applyNumberFormat="1" applyFont="1" applyFill="1" applyBorder="1"/>
    <xf numFmtId="10" fontId="10" fillId="3" borderId="16" xfId="0" applyNumberFormat="1" applyFont="1" applyFill="1" applyBorder="1"/>
    <xf numFmtId="0" fontId="8" fillId="4" borderId="21" xfId="0" applyFont="1" applyFill="1" applyBorder="1" applyAlignment="1">
      <alignment horizontal="center" vertical="center" wrapText="1"/>
    </xf>
    <xf numFmtId="165" fontId="8" fillId="4" borderId="46" xfId="1" applyNumberFormat="1" applyFont="1" applyFill="1" applyBorder="1" applyAlignment="1">
      <alignment vertical="center"/>
    </xf>
    <xf numFmtId="0" fontId="7" fillId="2" borderId="20" xfId="0" applyFont="1" applyFill="1" applyBorder="1" applyAlignment="1">
      <alignment horizontal="center" vertical="center" wrapText="1"/>
    </xf>
    <xf numFmtId="166" fontId="0" fillId="15" borderId="16" xfId="1" applyNumberFormat="1" applyFont="1" applyFill="1" applyBorder="1"/>
    <xf numFmtId="165" fontId="0" fillId="0" borderId="16" xfId="0" applyNumberFormat="1" applyBorder="1" applyAlignment="1">
      <alignment horizontal="center"/>
    </xf>
    <xf numFmtId="9" fontId="10" fillId="0" borderId="16" xfId="0" applyNumberFormat="1" applyFont="1" applyBorder="1"/>
    <xf numFmtId="1" fontId="10" fillId="14" borderId="16" xfId="0" applyNumberFormat="1" applyFont="1" applyFill="1" applyBorder="1" applyAlignment="1">
      <alignment horizontal="center" vertical="center"/>
    </xf>
    <xf numFmtId="3" fontId="8" fillId="6" borderId="46" xfId="0" applyNumberFormat="1" applyFont="1" applyFill="1" applyBorder="1" applyAlignment="1">
      <alignment vertical="center"/>
    </xf>
    <xf numFmtId="165" fontId="8" fillId="5" borderId="31" xfId="1" applyNumberFormat="1" applyFont="1" applyFill="1" applyBorder="1" applyAlignment="1">
      <alignment vertical="center"/>
    </xf>
    <xf numFmtId="3" fontId="8" fillId="5" borderId="34" xfId="0" applyNumberFormat="1" applyFont="1" applyFill="1" applyBorder="1" applyAlignment="1">
      <alignment vertical="center"/>
    </xf>
    <xf numFmtId="3" fontId="8" fillId="4" borderId="34" xfId="0" applyNumberFormat="1" applyFont="1" applyFill="1" applyBorder="1" applyAlignment="1">
      <alignment vertical="center"/>
    </xf>
    <xf numFmtId="9" fontId="0" fillId="0" borderId="0" xfId="7" applyFont="1"/>
    <xf numFmtId="1" fontId="21" fillId="0" borderId="16" xfId="0" applyNumberFormat="1" applyFont="1" applyBorder="1"/>
    <xf numFmtId="0" fontId="0" fillId="0" borderId="0" xfId="0" applyAlignment="1">
      <alignment horizontal="center" vertical="center" wrapText="1"/>
    </xf>
    <xf numFmtId="0" fontId="0" fillId="15" borderId="16" xfId="0" applyFill="1" applyBorder="1" applyAlignment="1">
      <alignment horizontal="center" vertical="center" wrapText="1"/>
    </xf>
    <xf numFmtId="0" fontId="0" fillId="15" borderId="34" xfId="0" applyFill="1" applyBorder="1" applyAlignment="1">
      <alignment vertical="center" wrapText="1"/>
    </xf>
    <xf numFmtId="0" fontId="4" fillId="5" borderId="37" xfId="0" applyFont="1" applyFill="1" applyBorder="1" applyAlignment="1">
      <alignment horizontal="center"/>
    </xf>
    <xf numFmtId="0" fontId="16" fillId="0" borderId="37" xfId="0" applyFont="1" applyBorder="1" applyAlignment="1">
      <alignment horizontal="center" vertical="center"/>
    </xf>
    <xf numFmtId="0" fontId="4" fillId="13" borderId="42" xfId="0" applyFont="1" applyFill="1" applyBorder="1" applyAlignment="1">
      <alignment horizontal="center"/>
    </xf>
    <xf numFmtId="0" fontId="9" fillId="0" borderId="42" xfId="0" applyFont="1" applyBorder="1" applyAlignment="1">
      <alignment horizontal="center" vertical="center"/>
    </xf>
    <xf numFmtId="0" fontId="4" fillId="17" borderId="36" xfId="0" applyFont="1" applyFill="1" applyBorder="1" applyAlignment="1">
      <alignment horizontal="center"/>
    </xf>
    <xf numFmtId="0" fontId="25" fillId="0" borderId="36" xfId="0" applyFont="1" applyBorder="1" applyAlignment="1">
      <alignment horizontal="center" vertical="center"/>
    </xf>
    <xf numFmtId="164" fontId="25" fillId="0" borderId="41" xfId="1" applyFont="1" applyBorder="1" applyAlignment="1">
      <alignment horizontal="center" vertical="center"/>
    </xf>
    <xf numFmtId="167" fontId="0" fillId="0" borderId="0" xfId="1" applyNumberFormat="1" applyFont="1"/>
    <xf numFmtId="164" fontId="9" fillId="0" borderId="39" xfId="1" applyFont="1" applyBorder="1" applyAlignment="1">
      <alignment horizontal="center" vertical="center"/>
    </xf>
    <xf numFmtId="3" fontId="7" fillId="9" borderId="55" xfId="0" applyNumberFormat="1" applyFont="1" applyFill="1" applyBorder="1" applyAlignment="1">
      <alignment vertical="center"/>
    </xf>
    <xf numFmtId="0" fontId="0" fillId="16" borderId="42" xfId="0" applyFill="1" applyBorder="1"/>
    <xf numFmtId="0" fontId="0" fillId="16" borderId="16" xfId="0" applyFill="1" applyBorder="1"/>
    <xf numFmtId="0" fontId="0" fillId="0" borderId="42" xfId="0" applyBorder="1"/>
    <xf numFmtId="0" fontId="2" fillId="15" borderId="16" xfId="0" applyFont="1" applyFill="1" applyBorder="1" applyAlignment="1">
      <alignment horizontal="center" vertical="center" wrapText="1"/>
    </xf>
    <xf numFmtId="0" fontId="18" fillId="0" borderId="0" xfId="5" applyAlignment="1" applyProtection="1"/>
    <xf numFmtId="1" fontId="10" fillId="0" borderId="16" xfId="0" applyNumberFormat="1" applyFont="1" applyBorder="1" applyAlignment="1">
      <alignment horizontal="center" vertical="center"/>
    </xf>
    <xf numFmtId="0" fontId="8" fillId="6" borderId="56" xfId="0" applyFont="1" applyFill="1" applyBorder="1" applyAlignment="1">
      <alignment horizontal="center" vertical="center" wrapText="1"/>
    </xf>
    <xf numFmtId="0" fontId="8" fillId="5" borderId="56" xfId="0" applyFont="1" applyFill="1" applyBorder="1" applyAlignment="1">
      <alignment horizontal="center" vertical="center" wrapText="1"/>
    </xf>
    <xf numFmtId="3" fontId="8" fillId="5" borderId="51" xfId="0" applyNumberFormat="1" applyFont="1" applyFill="1" applyBorder="1" applyAlignment="1">
      <alignment vertical="center"/>
    </xf>
    <xf numFmtId="0" fontId="8" fillId="4" borderId="56" xfId="0" applyFont="1" applyFill="1" applyBorder="1" applyAlignment="1">
      <alignment horizontal="center" vertical="center" wrapText="1"/>
    </xf>
    <xf numFmtId="3" fontId="8" fillId="4" borderId="5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0" fontId="9" fillId="0" borderId="16" xfId="0" applyNumberFormat="1" applyFont="1" applyBorder="1"/>
    <xf numFmtId="10" fontId="4" fillId="0" borderId="0" xfId="0" applyNumberFormat="1" applyFont="1"/>
    <xf numFmtId="167" fontId="2" fillId="0" borderId="0" xfId="1" applyNumberFormat="1" applyFont="1" applyBorder="1"/>
    <xf numFmtId="167" fontId="2" fillId="0" borderId="0" xfId="0" applyNumberFormat="1" applyFont="1"/>
    <xf numFmtId="0" fontId="0" fillId="15" borderId="42" xfId="0" applyFill="1" applyBorder="1" applyAlignment="1">
      <alignment horizontal="center" vertical="center" wrapText="1"/>
    </xf>
    <xf numFmtId="0" fontId="4" fillId="15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15" borderId="37" xfId="0" applyFont="1" applyFill="1" applyBorder="1" applyAlignment="1">
      <alignment horizontal="center"/>
    </xf>
    <xf numFmtId="0" fontId="4" fillId="15" borderId="43" xfId="0" applyFont="1" applyFill="1" applyBorder="1" applyAlignment="1">
      <alignment horizontal="center"/>
    </xf>
    <xf numFmtId="0" fontId="4" fillId="15" borderId="42" xfId="0" applyFont="1" applyFill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12" xfId="0" applyFont="1" applyBorder="1"/>
    <xf numFmtId="0" fontId="28" fillId="0" borderId="12" xfId="0" applyFont="1" applyBorder="1" applyAlignment="1">
      <alignment horizontal="center" vertical="center"/>
    </xf>
    <xf numFmtId="1" fontId="16" fillId="14" borderId="37" xfId="0" applyNumberFormat="1" applyFont="1" applyFill="1" applyBorder="1"/>
    <xf numFmtId="1" fontId="0" fillId="0" borderId="0" xfId="0" applyNumberFormat="1"/>
    <xf numFmtId="164" fontId="0" fillId="0" borderId="0" xfId="0" applyNumberFormat="1"/>
    <xf numFmtId="165" fontId="16" fillId="3" borderId="34" xfId="1" applyNumberFormat="1" applyFont="1" applyFill="1" applyBorder="1"/>
    <xf numFmtId="165" fontId="15" fillId="0" borderId="57" xfId="1" applyNumberFormat="1" applyFont="1" applyBorder="1"/>
    <xf numFmtId="0" fontId="4" fillId="0" borderId="51" xfId="1" applyNumberFormat="1" applyFont="1" applyBorder="1" applyAlignment="1">
      <alignment horizontal="center" vertical="center" wrapText="1" shrinkToFit="1"/>
    </xf>
    <xf numFmtId="0" fontId="0" fillId="5" borderId="37" xfId="0" applyFill="1" applyBorder="1"/>
    <xf numFmtId="165" fontId="15" fillId="0" borderId="37" xfId="1" applyNumberFormat="1" applyFont="1" applyBorder="1"/>
    <xf numFmtId="165" fontId="16" fillId="3" borderId="57" xfId="1" applyNumberFormat="1" applyFont="1" applyFill="1" applyBorder="1"/>
    <xf numFmtId="0" fontId="4" fillId="2" borderId="31" xfId="0" applyFont="1" applyFill="1" applyBorder="1"/>
    <xf numFmtId="165" fontId="29" fillId="0" borderId="57" xfId="1" applyNumberFormat="1" applyFont="1" applyBorder="1"/>
    <xf numFmtId="0" fontId="0" fillId="0" borderId="57" xfId="0" applyBorder="1"/>
    <xf numFmtId="0" fontId="0" fillId="16" borderId="57" xfId="0" applyFill="1" applyBorder="1"/>
    <xf numFmtId="0" fontId="0" fillId="16" borderId="37" xfId="0" applyFill="1" applyBorder="1"/>
    <xf numFmtId="0" fontId="0" fillId="15" borderId="63" xfId="0" applyFill="1" applyBorder="1" applyAlignment="1">
      <alignment horizontal="center" vertical="center" wrapText="1"/>
    </xf>
    <xf numFmtId="0" fontId="0" fillId="0" borderId="61" xfId="0" applyBorder="1"/>
    <xf numFmtId="0" fontId="0" fillId="0" borderId="64" xfId="0" applyBorder="1"/>
    <xf numFmtId="165" fontId="31" fillId="0" borderId="37" xfId="1" applyNumberFormat="1" applyFont="1" applyBorder="1"/>
    <xf numFmtId="0" fontId="0" fillId="0" borderId="58" xfId="0" applyBorder="1"/>
    <xf numFmtId="0" fontId="0" fillId="0" borderId="65" xfId="0" applyBorder="1"/>
    <xf numFmtId="0" fontId="0" fillId="0" borderId="17" xfId="0" applyBorder="1"/>
    <xf numFmtId="0" fontId="0" fillId="0" borderId="25" xfId="0" applyBorder="1"/>
    <xf numFmtId="0" fontId="0" fillId="5" borderId="51" xfId="0" applyFill="1" applyBorder="1"/>
    <xf numFmtId="0" fontId="4" fillId="0" borderId="16" xfId="1" applyNumberFormat="1" applyFont="1" applyBorder="1" applyAlignment="1">
      <alignment horizontal="center" vertical="center" wrapText="1" shrinkToFit="1"/>
    </xf>
    <xf numFmtId="0" fontId="4" fillId="0" borderId="37" xfId="1" applyNumberFormat="1" applyFont="1" applyBorder="1" applyAlignment="1">
      <alignment horizontal="center" vertical="center" wrapText="1" shrinkToFit="1"/>
    </xf>
    <xf numFmtId="0" fontId="30" fillId="0" borderId="16" xfId="0" applyFont="1" applyBorder="1" applyAlignment="1">
      <alignment horizontal="center" wrapText="1"/>
    </xf>
    <xf numFmtId="0" fontId="29" fillId="5" borderId="61" xfId="0" applyFont="1" applyFill="1" applyBorder="1"/>
    <xf numFmtId="0" fontId="34" fillId="18" borderId="0" xfId="0" applyFont="1" applyFill="1" applyAlignment="1">
      <alignment horizontal="right" vertical="center" wrapText="1"/>
    </xf>
    <xf numFmtId="9" fontId="34" fillId="18" borderId="0" xfId="0" applyNumberFormat="1" applyFont="1" applyFill="1" applyAlignment="1">
      <alignment horizontal="right" vertical="center" wrapText="1"/>
    </xf>
    <xf numFmtId="0" fontId="34" fillId="19" borderId="0" xfId="0" applyFont="1" applyFill="1" applyAlignment="1">
      <alignment horizontal="right" vertical="center" wrapText="1"/>
    </xf>
    <xf numFmtId="0" fontId="32" fillId="18" borderId="0" xfId="0" applyFont="1" applyFill="1" applyAlignment="1">
      <alignment wrapText="1"/>
    </xf>
    <xf numFmtId="0" fontId="35" fillId="18" borderId="0" xfId="0" applyFont="1" applyFill="1" applyAlignment="1">
      <alignment horizontal="right" vertical="center" wrapText="1"/>
    </xf>
    <xf numFmtId="9" fontId="35" fillId="18" borderId="0" xfId="0" applyNumberFormat="1" applyFont="1" applyFill="1" applyAlignment="1">
      <alignment horizontal="right" vertical="center" wrapText="1"/>
    </xf>
    <xf numFmtId="0" fontId="33" fillId="0" borderId="0" xfId="0" applyFont="1" applyAlignment="1">
      <alignment vertical="center" wrapText="1"/>
    </xf>
    <xf numFmtId="0" fontId="0" fillId="10" borderId="16" xfId="0" applyFill="1" applyBorder="1" applyAlignment="1">
      <alignment horizontal="center"/>
    </xf>
    <xf numFmtId="14" fontId="0" fillId="10" borderId="16" xfId="0" applyNumberFormat="1" applyFill="1" applyBorder="1" applyAlignment="1">
      <alignment horizontal="center"/>
    </xf>
    <xf numFmtId="4" fontId="0" fillId="0" borderId="0" xfId="0" applyNumberFormat="1"/>
    <xf numFmtId="4" fontId="4" fillId="0" borderId="34" xfId="0" applyNumberFormat="1" applyFont="1" applyBorder="1" applyAlignment="1">
      <alignment horizontal="center"/>
    </xf>
    <xf numFmtId="4" fontId="4" fillId="0" borderId="34" xfId="1" applyNumberFormat="1" applyFont="1" applyBorder="1" applyAlignment="1">
      <alignment horizontal="center" vertical="center" wrapText="1" shrinkToFit="1"/>
    </xf>
    <xf numFmtId="4" fontId="0" fillId="5" borderId="16" xfId="0" applyNumberFormat="1" applyFill="1" applyBorder="1"/>
    <xf numFmtId="4" fontId="0" fillId="0" borderId="16" xfId="0" applyNumberFormat="1" applyBorder="1"/>
    <xf numFmtId="4" fontId="4" fillId="3" borderId="16" xfId="1" applyNumberFormat="1" applyFont="1" applyFill="1" applyBorder="1"/>
    <xf numFmtId="0" fontId="8" fillId="3" borderId="33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5" fillId="11" borderId="11" xfId="0" applyFont="1" applyFill="1" applyBorder="1" applyAlignment="1">
      <alignment horizontal="center"/>
    </xf>
    <xf numFmtId="0" fontId="5" fillId="11" borderId="20" xfId="0" applyFont="1" applyFill="1" applyBorder="1" applyAlignment="1">
      <alignment horizontal="center"/>
    </xf>
    <xf numFmtId="0" fontId="7" fillId="9" borderId="45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8" borderId="45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48" xfId="0" applyFont="1" applyFill="1" applyBorder="1" applyAlignment="1">
      <alignment horizontal="center"/>
    </xf>
    <xf numFmtId="0" fontId="7" fillId="8" borderId="49" xfId="0" applyFont="1" applyFill="1" applyBorder="1" applyAlignment="1">
      <alignment horizontal="center"/>
    </xf>
    <xf numFmtId="0" fontId="7" fillId="8" borderId="47" xfId="0" applyFont="1" applyFill="1" applyBorder="1" applyAlignment="1">
      <alignment horizontal="center"/>
    </xf>
    <xf numFmtId="0" fontId="7" fillId="7" borderId="48" xfId="0" applyFont="1" applyFill="1" applyBorder="1" applyAlignment="1">
      <alignment horizontal="center"/>
    </xf>
    <xf numFmtId="0" fontId="7" fillId="7" borderId="49" xfId="0" applyFont="1" applyFill="1" applyBorder="1" applyAlignment="1">
      <alignment horizontal="center"/>
    </xf>
    <xf numFmtId="0" fontId="7" fillId="7" borderId="47" xfId="0" applyFont="1" applyFill="1" applyBorder="1" applyAlignment="1">
      <alignment horizontal="center"/>
    </xf>
    <xf numFmtId="0" fontId="7" fillId="9" borderId="48" xfId="0" applyFont="1" applyFill="1" applyBorder="1" applyAlignment="1">
      <alignment horizontal="center"/>
    </xf>
    <xf numFmtId="0" fontId="7" fillId="9" borderId="49" xfId="0" applyFont="1" applyFill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18" fillId="0" borderId="0" xfId="5" applyAlignment="1" applyProtection="1">
      <alignment horizontal="center"/>
    </xf>
    <xf numFmtId="0" fontId="0" fillId="0" borderId="0" xfId="0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15" borderId="16" xfId="0" applyFont="1" applyFill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5" xfId="0" applyFont="1" applyBorder="1" applyAlignment="1">
      <alignment horizontal="center"/>
    </xf>
    <xf numFmtId="0" fontId="4" fillId="0" borderId="66" xfId="0" applyFont="1" applyBorder="1" applyAlignment="1">
      <alignment horizontal="center"/>
    </xf>
    <xf numFmtId="166" fontId="4" fillId="15" borderId="16" xfId="1" applyNumberFormat="1" applyFont="1" applyFill="1" applyBorder="1" applyAlignment="1">
      <alignment horizontal="center" wrapText="1"/>
    </xf>
    <xf numFmtId="0" fontId="4" fillId="15" borderId="37" xfId="0" applyFont="1" applyFill="1" applyBorder="1" applyAlignment="1">
      <alignment horizontal="center"/>
    </xf>
    <xf numFmtId="0" fontId="4" fillId="15" borderId="42" xfId="0" applyFont="1" applyFill="1" applyBorder="1" applyAlignment="1">
      <alignment horizontal="center"/>
    </xf>
    <xf numFmtId="0" fontId="4" fillId="15" borderId="43" xfId="0" applyFont="1" applyFill="1" applyBorder="1" applyAlignment="1">
      <alignment horizontal="center"/>
    </xf>
    <xf numFmtId="0" fontId="4" fillId="15" borderId="25" xfId="0" applyFont="1" applyFill="1" applyBorder="1" applyAlignment="1">
      <alignment horizontal="center" vertical="center" wrapText="1"/>
    </xf>
    <xf numFmtId="0" fontId="4" fillId="15" borderId="62" xfId="0" applyFont="1" applyFill="1" applyBorder="1" applyAlignment="1">
      <alignment horizontal="center" vertical="center" wrapText="1"/>
    </xf>
    <xf numFmtId="0" fontId="4" fillId="15" borderId="17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17" fontId="4" fillId="2" borderId="52" xfId="0" applyNumberFormat="1" applyFont="1" applyFill="1" applyBorder="1" applyAlignment="1">
      <alignment horizontal="center" vertical="center" wrapText="1"/>
    </xf>
    <xf numFmtId="17" fontId="4" fillId="2" borderId="53" xfId="0" applyNumberFormat="1" applyFont="1" applyFill="1" applyBorder="1" applyAlignment="1">
      <alignment horizontal="center" vertical="center" wrapText="1"/>
    </xf>
    <xf numFmtId="17" fontId="4" fillId="2" borderId="5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67" xfId="0" applyFont="1" applyBorder="1" applyAlignment="1">
      <alignment horizontal="center"/>
    </xf>
    <xf numFmtId="0" fontId="4" fillId="0" borderId="68" xfId="0" applyFont="1" applyBorder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7" fillId="0" borderId="69" xfId="130" applyFont="1" applyBorder="1" applyAlignment="1">
      <alignment horizontal="center" vertical="center"/>
    </xf>
    <xf numFmtId="0" fontId="37" fillId="0" borderId="69" xfId="130" applyFont="1" applyBorder="1" applyAlignment="1">
      <alignment horizontal="center" vertical="center" wrapText="1"/>
    </xf>
    <xf numFmtId="2" fontId="38" fillId="0" borderId="69" xfId="130" applyNumberFormat="1" applyFont="1" applyBorder="1" applyAlignment="1">
      <alignment horizontal="center" vertical="center" wrapText="1"/>
    </xf>
    <xf numFmtId="0" fontId="38" fillId="0" borderId="69" xfId="130" applyFont="1" applyBorder="1" applyAlignment="1">
      <alignment horizontal="center" vertical="center" wrapText="1"/>
    </xf>
    <xf numFmtId="0" fontId="37" fillId="0" borderId="0" xfId="130" applyFont="1" applyAlignment="1">
      <alignment horizontal="center" vertical="center"/>
    </xf>
    <xf numFmtId="0" fontId="39" fillId="0" borderId="0" xfId="130" applyFont="1" applyAlignment="1">
      <alignment horizontal="center"/>
    </xf>
    <xf numFmtId="0" fontId="37" fillId="0" borderId="0" xfId="130" applyFont="1" applyAlignment="1">
      <alignment horizontal="center"/>
    </xf>
    <xf numFmtId="1" fontId="1" fillId="0" borderId="0" xfId="130" applyNumberFormat="1" applyAlignment="1">
      <alignment horizontal="center"/>
    </xf>
    <xf numFmtId="2" fontId="36" fillId="0" borderId="0" xfId="130" applyNumberFormat="1" applyFont="1" applyAlignment="1">
      <alignment horizontal="center"/>
    </xf>
    <xf numFmtId="168" fontId="36" fillId="0" borderId="0" xfId="130" applyNumberFormat="1" applyFont="1" applyAlignment="1">
      <alignment horizontal="center"/>
    </xf>
    <xf numFmtId="0" fontId="1" fillId="0" borderId="0" xfId="130" applyAlignment="1">
      <alignment horizontal="center"/>
    </xf>
    <xf numFmtId="0" fontId="37" fillId="0" borderId="0" xfId="130" applyFont="1"/>
    <xf numFmtId="0" fontId="36" fillId="0" borderId="0" xfId="130" applyFont="1" applyAlignment="1">
      <alignment horizontal="center"/>
    </xf>
    <xf numFmtId="0" fontId="1" fillId="0" borderId="0" xfId="130"/>
  </cellXfs>
  <cellStyles count="131">
    <cellStyle name="Comma" xfId="1" builtinId="3"/>
    <cellStyle name="Comma 2" xfId="2" xr:uid="{00000000-0005-0000-0000-000001000000}"/>
    <cellStyle name="Comma 2 10" xfId="69" xr:uid="{00000000-0005-0000-0000-000002000000}"/>
    <cellStyle name="Comma 2 11" xfId="108" xr:uid="{00000000-0005-0000-0000-000003000000}"/>
    <cellStyle name="Comma 2 12" xfId="94" xr:uid="{00000000-0005-0000-0000-000004000000}"/>
    <cellStyle name="Comma 2 13" xfId="104" xr:uid="{00000000-0005-0000-0000-000005000000}"/>
    <cellStyle name="Comma 2 14" xfId="79" xr:uid="{00000000-0005-0000-0000-000006000000}"/>
    <cellStyle name="Comma 2 15" xfId="93" xr:uid="{00000000-0005-0000-0000-000007000000}"/>
    <cellStyle name="Comma 2 16" xfId="96" xr:uid="{00000000-0005-0000-0000-000008000000}"/>
    <cellStyle name="Comma 2 17" xfId="91" xr:uid="{00000000-0005-0000-0000-000009000000}"/>
    <cellStyle name="Comma 2 18" xfId="107" xr:uid="{00000000-0005-0000-0000-00000A000000}"/>
    <cellStyle name="Comma 2 2" xfId="13" xr:uid="{00000000-0005-0000-0000-00000B000000}"/>
    <cellStyle name="Comma 2 3" xfId="16" xr:uid="{00000000-0005-0000-0000-00000C000000}"/>
    <cellStyle name="Comma 2 4" xfId="23" xr:uid="{00000000-0005-0000-0000-00000D000000}"/>
    <cellStyle name="Comma 2 5" xfId="30" xr:uid="{00000000-0005-0000-0000-00000E000000}"/>
    <cellStyle name="Comma 2 6" xfId="37" xr:uid="{00000000-0005-0000-0000-00000F000000}"/>
    <cellStyle name="Comma 2 7" xfId="44" xr:uid="{00000000-0005-0000-0000-000010000000}"/>
    <cellStyle name="Comma 2 8" xfId="51" xr:uid="{00000000-0005-0000-0000-000011000000}"/>
    <cellStyle name="Comma 2 9" xfId="57" xr:uid="{00000000-0005-0000-0000-000012000000}"/>
    <cellStyle name="Comma 3" xfId="3" xr:uid="{00000000-0005-0000-0000-000013000000}"/>
    <cellStyle name="Comma 3 10" xfId="70" xr:uid="{00000000-0005-0000-0000-000014000000}"/>
    <cellStyle name="Comma 3 11" xfId="102" xr:uid="{00000000-0005-0000-0000-000015000000}"/>
    <cellStyle name="Comma 3 12" xfId="77" xr:uid="{00000000-0005-0000-0000-000016000000}"/>
    <cellStyle name="Comma 3 13" xfId="106" xr:uid="{00000000-0005-0000-0000-000017000000}"/>
    <cellStyle name="Comma 3 14" xfId="105" xr:uid="{00000000-0005-0000-0000-000018000000}"/>
    <cellStyle name="Comma 3 15" xfId="110" xr:uid="{00000000-0005-0000-0000-000019000000}"/>
    <cellStyle name="Comma 3 16" xfId="81" xr:uid="{00000000-0005-0000-0000-00001A000000}"/>
    <cellStyle name="Comma 3 17" xfId="82" xr:uid="{00000000-0005-0000-0000-00001B000000}"/>
    <cellStyle name="Comma 3 18" xfId="67" xr:uid="{00000000-0005-0000-0000-00001C000000}"/>
    <cellStyle name="Comma 3 2" xfId="14" xr:uid="{00000000-0005-0000-0000-00001D000000}"/>
    <cellStyle name="Comma 3 3" xfId="12" xr:uid="{00000000-0005-0000-0000-00001E000000}"/>
    <cellStyle name="Comma 3 4" xfId="11" xr:uid="{00000000-0005-0000-0000-00001F000000}"/>
    <cellStyle name="Comma 3 5" xfId="18" xr:uid="{00000000-0005-0000-0000-000020000000}"/>
    <cellStyle name="Comma 3 6" xfId="25" xr:uid="{00000000-0005-0000-0000-000021000000}"/>
    <cellStyle name="Comma 3 7" xfId="32" xr:uid="{00000000-0005-0000-0000-000022000000}"/>
    <cellStyle name="Comma 3 8" xfId="39" xr:uid="{00000000-0005-0000-0000-000023000000}"/>
    <cellStyle name="Comma 3 9" xfId="46" xr:uid="{00000000-0005-0000-0000-000024000000}"/>
    <cellStyle name="Comma 4" xfId="4" xr:uid="{00000000-0005-0000-0000-000025000000}"/>
    <cellStyle name="Comma 4 10" xfId="71" xr:uid="{00000000-0005-0000-0000-000026000000}"/>
    <cellStyle name="Comma 4 11" xfId="97" xr:uid="{00000000-0005-0000-0000-000027000000}"/>
    <cellStyle name="Comma 4 12" xfId="86" xr:uid="{00000000-0005-0000-0000-000028000000}"/>
    <cellStyle name="Comma 4 13" xfId="98" xr:uid="{00000000-0005-0000-0000-000029000000}"/>
    <cellStyle name="Comma 4 14" xfId="80" xr:uid="{00000000-0005-0000-0000-00002A000000}"/>
    <cellStyle name="Comma 4 15" xfId="87" xr:uid="{00000000-0005-0000-0000-00002B000000}"/>
    <cellStyle name="Comma 4 16" xfId="90" xr:uid="{00000000-0005-0000-0000-00002C000000}"/>
    <cellStyle name="Comma 4 17" xfId="112" xr:uid="{00000000-0005-0000-0000-00002D000000}"/>
    <cellStyle name="Comma 4 18" xfId="68" xr:uid="{00000000-0005-0000-0000-00002E000000}"/>
    <cellStyle name="Comma 4 2" xfId="15" xr:uid="{00000000-0005-0000-0000-00002F000000}"/>
    <cellStyle name="Comma 4 3" xfId="22" xr:uid="{00000000-0005-0000-0000-000030000000}"/>
    <cellStyle name="Comma 4 4" xfId="29" xr:uid="{00000000-0005-0000-0000-000031000000}"/>
    <cellStyle name="Comma 4 5" xfId="36" xr:uid="{00000000-0005-0000-0000-000032000000}"/>
    <cellStyle name="Comma 4 6" xfId="43" xr:uid="{00000000-0005-0000-0000-000033000000}"/>
    <cellStyle name="Comma 4 7" xfId="50" xr:uid="{00000000-0005-0000-0000-000034000000}"/>
    <cellStyle name="Comma 4 8" xfId="56" xr:uid="{00000000-0005-0000-0000-000035000000}"/>
    <cellStyle name="Comma 4 9" xfId="62" xr:uid="{00000000-0005-0000-0000-000036000000}"/>
    <cellStyle name="Comma 5" xfId="8" xr:uid="{00000000-0005-0000-0000-000037000000}"/>
    <cellStyle name="Comma 5 10" xfId="74" xr:uid="{00000000-0005-0000-0000-000038000000}"/>
    <cellStyle name="Comma 5 11" xfId="73" xr:uid="{00000000-0005-0000-0000-000039000000}"/>
    <cellStyle name="Comma 5 12" xfId="84" xr:uid="{00000000-0005-0000-0000-00003A000000}"/>
    <cellStyle name="Comma 5 13" xfId="109" xr:uid="{00000000-0005-0000-0000-00003B000000}"/>
    <cellStyle name="Comma 5 14" xfId="92" xr:uid="{00000000-0005-0000-0000-00003C000000}"/>
    <cellStyle name="Comma 5 15" xfId="101" xr:uid="{00000000-0005-0000-0000-00003D000000}"/>
    <cellStyle name="Comma 5 16" xfId="83" xr:uid="{00000000-0005-0000-0000-00003E000000}"/>
    <cellStyle name="Comma 5 17" xfId="115" xr:uid="{00000000-0005-0000-0000-00003F000000}"/>
    <cellStyle name="Comma 5 18" xfId="118" xr:uid="{00000000-0005-0000-0000-000040000000}"/>
    <cellStyle name="Comma 5 2" xfId="19" xr:uid="{00000000-0005-0000-0000-000041000000}"/>
    <cellStyle name="Comma 5 3" xfId="26" xr:uid="{00000000-0005-0000-0000-000042000000}"/>
    <cellStyle name="Comma 5 4" xfId="33" xr:uid="{00000000-0005-0000-0000-000043000000}"/>
    <cellStyle name="Comma 5 5" xfId="40" xr:uid="{00000000-0005-0000-0000-000044000000}"/>
    <cellStyle name="Comma 5 6" xfId="47" xr:uid="{00000000-0005-0000-0000-000045000000}"/>
    <cellStyle name="Comma 5 7" xfId="53" xr:uid="{00000000-0005-0000-0000-000046000000}"/>
    <cellStyle name="Comma 5 8" xfId="59" xr:uid="{00000000-0005-0000-0000-000047000000}"/>
    <cellStyle name="Comma 5 9" xfId="64" xr:uid="{00000000-0005-0000-0000-000048000000}"/>
    <cellStyle name="Hyperlink" xfId="5" builtinId="8"/>
    <cellStyle name="Hyperlink 2" xfId="10" xr:uid="{00000000-0005-0000-0000-00004A000000}"/>
    <cellStyle name="Hyperlink 2 10" xfId="76" xr:uid="{00000000-0005-0000-0000-00004B000000}"/>
    <cellStyle name="Hyperlink 2 11" xfId="111" xr:uid="{00000000-0005-0000-0000-00004C000000}"/>
    <cellStyle name="Hyperlink 2 12" xfId="78" xr:uid="{00000000-0005-0000-0000-00004D000000}"/>
    <cellStyle name="Hyperlink 2 13" xfId="95" xr:uid="{00000000-0005-0000-0000-00004E000000}"/>
    <cellStyle name="Hyperlink 2 14" xfId="99" xr:uid="{00000000-0005-0000-0000-00004F000000}"/>
    <cellStyle name="Hyperlink 2 15" xfId="100" xr:uid="{00000000-0005-0000-0000-000050000000}"/>
    <cellStyle name="Hyperlink 2 16" xfId="88" xr:uid="{00000000-0005-0000-0000-000051000000}"/>
    <cellStyle name="Hyperlink 2 17" xfId="85" xr:uid="{00000000-0005-0000-0000-000052000000}"/>
    <cellStyle name="Hyperlink 2 18" xfId="103" xr:uid="{00000000-0005-0000-0000-000053000000}"/>
    <cellStyle name="Hyperlink 2 2" xfId="21" xr:uid="{00000000-0005-0000-0000-000054000000}"/>
    <cellStyle name="Hyperlink 2 3" xfId="28" xr:uid="{00000000-0005-0000-0000-000055000000}"/>
    <cellStyle name="Hyperlink 2 4" xfId="35" xr:uid="{00000000-0005-0000-0000-000056000000}"/>
    <cellStyle name="Hyperlink 2 5" xfId="42" xr:uid="{00000000-0005-0000-0000-000057000000}"/>
    <cellStyle name="Hyperlink 2 6" xfId="49" xr:uid="{00000000-0005-0000-0000-000058000000}"/>
    <cellStyle name="Hyperlink 2 7" xfId="55" xr:uid="{00000000-0005-0000-0000-000059000000}"/>
    <cellStyle name="Hyperlink 2 8" xfId="61" xr:uid="{00000000-0005-0000-0000-00005A000000}"/>
    <cellStyle name="Hyperlink 2 9" xfId="66" xr:uid="{00000000-0005-0000-0000-00005B000000}"/>
    <cellStyle name="Normal" xfId="0" builtinId="0"/>
    <cellStyle name="Normal 2" xfId="6" xr:uid="{00000000-0005-0000-0000-00005D000000}"/>
    <cellStyle name="Normal 2 10" xfId="72" xr:uid="{00000000-0005-0000-0000-00005E000000}"/>
    <cellStyle name="Normal 2 11" xfId="89" xr:uid="{00000000-0005-0000-0000-00005F000000}"/>
    <cellStyle name="Normal 2 12" xfId="114" xr:uid="{00000000-0005-0000-0000-000060000000}"/>
    <cellStyle name="Normal 2 13" xfId="117" xr:uid="{00000000-0005-0000-0000-000061000000}"/>
    <cellStyle name="Normal 2 14" xfId="120" xr:uid="{00000000-0005-0000-0000-000062000000}"/>
    <cellStyle name="Normal 2 15" xfId="122" xr:uid="{00000000-0005-0000-0000-000063000000}"/>
    <cellStyle name="Normal 2 16" xfId="124" xr:uid="{00000000-0005-0000-0000-000064000000}"/>
    <cellStyle name="Normal 2 17" xfId="126" xr:uid="{00000000-0005-0000-0000-000065000000}"/>
    <cellStyle name="Normal 2 18" xfId="128" xr:uid="{00000000-0005-0000-0000-000066000000}"/>
    <cellStyle name="Normal 2 2" xfId="17" xr:uid="{00000000-0005-0000-0000-000067000000}"/>
    <cellStyle name="Normal 2 3" xfId="24" xr:uid="{00000000-0005-0000-0000-000068000000}"/>
    <cellStyle name="Normal 2 4" xfId="31" xr:uid="{00000000-0005-0000-0000-000069000000}"/>
    <cellStyle name="Normal 2 5" xfId="38" xr:uid="{00000000-0005-0000-0000-00006A000000}"/>
    <cellStyle name="Normal 2 6" xfId="45" xr:uid="{00000000-0005-0000-0000-00006B000000}"/>
    <cellStyle name="Normal 2 7" xfId="52" xr:uid="{00000000-0005-0000-0000-00006C000000}"/>
    <cellStyle name="Normal 2 8" xfId="58" xr:uid="{00000000-0005-0000-0000-00006D000000}"/>
    <cellStyle name="Normal 2 9" xfId="63" xr:uid="{00000000-0005-0000-0000-00006E000000}"/>
    <cellStyle name="Normal 3" xfId="130" xr:uid="{7A2A2037-D085-4A6E-AB41-E865E3DF52F4}"/>
    <cellStyle name="Per cent" xfId="7" builtinId="5"/>
    <cellStyle name="Percent 2" xfId="9" xr:uid="{00000000-0005-0000-0000-000070000000}"/>
    <cellStyle name="Percent 2 10" xfId="75" xr:uid="{00000000-0005-0000-0000-000071000000}"/>
    <cellStyle name="Percent 2 11" xfId="113" xr:uid="{00000000-0005-0000-0000-000072000000}"/>
    <cellStyle name="Percent 2 12" xfId="116" xr:uid="{00000000-0005-0000-0000-000073000000}"/>
    <cellStyle name="Percent 2 13" xfId="119" xr:uid="{00000000-0005-0000-0000-000074000000}"/>
    <cellStyle name="Percent 2 14" xfId="121" xr:uid="{00000000-0005-0000-0000-000075000000}"/>
    <cellStyle name="Percent 2 15" xfId="123" xr:uid="{00000000-0005-0000-0000-000076000000}"/>
    <cellStyle name="Percent 2 16" xfId="125" xr:uid="{00000000-0005-0000-0000-000077000000}"/>
    <cellStyle name="Percent 2 17" xfId="127" xr:uid="{00000000-0005-0000-0000-000078000000}"/>
    <cellStyle name="Percent 2 18" xfId="129" xr:uid="{00000000-0005-0000-0000-000079000000}"/>
    <cellStyle name="Percent 2 2" xfId="20" xr:uid="{00000000-0005-0000-0000-00007A000000}"/>
    <cellStyle name="Percent 2 3" xfId="27" xr:uid="{00000000-0005-0000-0000-00007B000000}"/>
    <cellStyle name="Percent 2 4" xfId="34" xr:uid="{00000000-0005-0000-0000-00007C000000}"/>
    <cellStyle name="Percent 2 5" xfId="41" xr:uid="{00000000-0005-0000-0000-00007D000000}"/>
    <cellStyle name="Percent 2 6" xfId="48" xr:uid="{00000000-0005-0000-0000-00007E000000}"/>
    <cellStyle name="Percent 2 7" xfId="54" xr:uid="{00000000-0005-0000-0000-00007F000000}"/>
    <cellStyle name="Percent 2 8" xfId="60" xr:uid="{00000000-0005-0000-0000-000080000000}"/>
    <cellStyle name="Percent 2 9" xfId="65" xr:uid="{00000000-0005-0000-0000-000081000000}"/>
  </cellStyles>
  <dxfs count="0"/>
  <tableStyles count="0" defaultTableStyle="TableStyleMedium9" defaultPivotStyle="PivotStyleLight16"/>
  <colors>
    <mruColors>
      <color rgb="FF2C22F2"/>
      <color rgb="FFE7E200"/>
      <color rgb="FF3333CC"/>
      <color rgb="FF00A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alcChain" Target="calcChai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Electricity Cosumption </a:t>
            </a:r>
            <a:r>
              <a:rPr lang="en-US" sz="1200" b="1" i="0" u="none" strike="noStrike" baseline="0">
                <a:effectLst/>
              </a:rPr>
              <a:t>Febrauary 2025</a:t>
            </a:r>
            <a:endParaRPr lang="en-US"/>
          </a:p>
        </c:rich>
      </c:tx>
      <c:layout>
        <c:manualLayout>
          <c:xMode val="edge"/>
          <c:yMode val="edge"/>
          <c:x val="0.36608066184108279"/>
          <c:y val="2.03389830508474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071354705274265E-2"/>
          <c:y val="8.9830508474576728E-2"/>
          <c:w val="0.83143743536711479"/>
          <c:h val="0.76949152542375165"/>
        </c:manualLayout>
      </c:layout>
      <c:barChart>
        <c:barDir val="col"/>
        <c:grouping val="clustered"/>
        <c:varyColors val="0"/>
        <c:ser>
          <c:idx val="0"/>
          <c:order val="0"/>
          <c:tx>
            <c:v>This Year KWH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'Reading.2.25'!$Z$6:$Z$36</c:f>
              <c:numCache>
                <c:formatCode>_(* #,##0_);_(* \(#,##0\);_(* "-"??_);_(@_)</c:formatCode>
                <c:ptCount val="31"/>
                <c:pt idx="0">
                  <c:v>29958</c:v>
                </c:pt>
                <c:pt idx="1">
                  <c:v>29104</c:v>
                </c:pt>
                <c:pt idx="2">
                  <c:v>28703</c:v>
                </c:pt>
                <c:pt idx="3">
                  <c:v>29406</c:v>
                </c:pt>
                <c:pt idx="4">
                  <c:v>28552</c:v>
                </c:pt>
                <c:pt idx="5">
                  <c:v>28854</c:v>
                </c:pt>
                <c:pt idx="6">
                  <c:v>28653</c:v>
                </c:pt>
                <c:pt idx="7">
                  <c:v>28804</c:v>
                </c:pt>
                <c:pt idx="8">
                  <c:v>28502</c:v>
                </c:pt>
                <c:pt idx="9">
                  <c:v>28753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8-4634-B2A4-EC46BD3793D6}"/>
            </c:ext>
          </c:extLst>
        </c:ser>
        <c:ser>
          <c:idx val="2"/>
          <c:order val="1"/>
          <c:tx>
            <c:v>Last Year KWH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'Reading.2.25'!$AA$6:$AA$36</c:f>
              <c:numCache>
                <c:formatCode>_(* #,##0_);_(* \(#,##0\);_(* "-"??_);_(@_)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71C8-4634-B2A4-EC46BD3793D6}"/>
            </c:ext>
          </c:extLst>
        </c:ser>
        <c:ser>
          <c:idx val="1"/>
          <c:order val="5"/>
          <c:tx>
            <c:v>Budget KWH</c:v>
          </c:tx>
          <c:spPr>
            <a:solidFill>
              <a:srgbClr val="008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'Reading.2.25'!$AB$6:$AB$36</c:f>
              <c:numCache>
                <c:formatCode>_(* #,##0_);_(* \(#,##0\);_(* "-"??_);_(@_)</c:formatCode>
                <c:ptCount val="31"/>
                <c:pt idx="0">
                  <c:v>36532.096774193546</c:v>
                </c:pt>
                <c:pt idx="1">
                  <c:v>36532.096774193546</c:v>
                </c:pt>
                <c:pt idx="2">
                  <c:v>36532.096774193546</c:v>
                </c:pt>
                <c:pt idx="3">
                  <c:v>36532.096774193546</c:v>
                </c:pt>
                <c:pt idx="4">
                  <c:v>36532.096774193546</c:v>
                </c:pt>
                <c:pt idx="5">
                  <c:v>36532.096774193546</c:v>
                </c:pt>
                <c:pt idx="6">
                  <c:v>36532.096774193546</c:v>
                </c:pt>
                <c:pt idx="7">
                  <c:v>36532.096774193546</c:v>
                </c:pt>
                <c:pt idx="8">
                  <c:v>36532.096774193546</c:v>
                </c:pt>
                <c:pt idx="9">
                  <c:v>36532.096774193546</c:v>
                </c:pt>
                <c:pt idx="10">
                  <c:v>36532.096774193546</c:v>
                </c:pt>
                <c:pt idx="11">
                  <c:v>36532.096774193546</c:v>
                </c:pt>
                <c:pt idx="12">
                  <c:v>36532.096774193546</c:v>
                </c:pt>
                <c:pt idx="13">
                  <c:v>36532.096774193546</c:v>
                </c:pt>
                <c:pt idx="14">
                  <c:v>36532.096774193546</c:v>
                </c:pt>
                <c:pt idx="15">
                  <c:v>36532.096774193546</c:v>
                </c:pt>
                <c:pt idx="16">
                  <c:v>36532.096774193546</c:v>
                </c:pt>
                <c:pt idx="17">
                  <c:v>36532.096774193546</c:v>
                </c:pt>
                <c:pt idx="18">
                  <c:v>36532.096774193546</c:v>
                </c:pt>
                <c:pt idx="19">
                  <c:v>36532.096774193546</c:v>
                </c:pt>
                <c:pt idx="20">
                  <c:v>36532.096774193546</c:v>
                </c:pt>
                <c:pt idx="21">
                  <c:v>36532.096774193546</c:v>
                </c:pt>
                <c:pt idx="22">
                  <c:v>36532.096774193546</c:v>
                </c:pt>
                <c:pt idx="23">
                  <c:v>36532.096774193546</c:v>
                </c:pt>
                <c:pt idx="24">
                  <c:v>36532.096774193546</c:v>
                </c:pt>
                <c:pt idx="25">
                  <c:v>36532.096774193546</c:v>
                </c:pt>
                <c:pt idx="26">
                  <c:v>36532.096774193546</c:v>
                </c:pt>
                <c:pt idx="27">
                  <c:v>36532.096774193546</c:v>
                </c:pt>
                <c:pt idx="28">
                  <c:v>36532.096774193546</c:v>
                </c:pt>
                <c:pt idx="29">
                  <c:v>36532.096774193546</c:v>
                </c:pt>
                <c:pt idx="30">
                  <c:v>36532.096774193546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227840"/>
        <c:axId val="1360219680"/>
      </c:barChart>
      <c:lineChart>
        <c:grouping val="standard"/>
        <c:varyColors val="0"/>
        <c:ser>
          <c:idx val="3"/>
          <c:order val="2"/>
          <c:tx>
            <c:v>Occ. This Year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'Reading.2.25'!$AD$6:$AD$36</c:f>
              <c:numCache>
                <c:formatCode>0.00%</c:formatCode>
                <c:ptCount val="31"/>
                <c:pt idx="0">
                  <c:v>0.45300000000000001</c:v>
                </c:pt>
                <c:pt idx="1">
                  <c:v>0.39800000000000002</c:v>
                </c:pt>
                <c:pt idx="2">
                  <c:v>0.38100000000000001</c:v>
                </c:pt>
                <c:pt idx="3">
                  <c:v>0.35</c:v>
                </c:pt>
                <c:pt idx="4">
                  <c:v>0.45100000000000001</c:v>
                </c:pt>
                <c:pt idx="5">
                  <c:v>0.60499999999999998</c:v>
                </c:pt>
                <c:pt idx="6">
                  <c:v>0.56299999999999994</c:v>
                </c:pt>
                <c:pt idx="7">
                  <c:v>0.438</c:v>
                </c:pt>
                <c:pt idx="8">
                  <c:v>0.42599999999999999</c:v>
                </c:pt>
                <c:pt idx="9">
                  <c:v>0.35499999999999998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C8-4634-B2A4-EC46BD3793D6}"/>
            </c:ext>
          </c:extLst>
        </c:ser>
        <c:ser>
          <c:idx val="4"/>
          <c:order val="3"/>
          <c:tx>
            <c:v>Occ. Last Year</c:v>
          </c:tx>
          <c:spPr>
            <a:ln w="25400">
              <a:solidFill>
                <a:srgbClr val="FFCC99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FFCC99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'Reading.2.25'!$AE$6:$AE$36</c:f>
              <c:numCache>
                <c:formatCode>0%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C8-4634-B2A4-EC46BD3793D6}"/>
            </c:ext>
          </c:extLst>
        </c:ser>
        <c:ser>
          <c:idx val="6"/>
          <c:order val="4"/>
          <c:tx>
            <c:v>Occ. Budget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ot"/>
            <c:size val="7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'Reading.2.25'!$AF$6:$AF$36</c:f>
              <c:numCache>
                <c:formatCode>0%</c:formatCode>
                <c:ptCount val="31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C8-4634-B2A4-EC46BD379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220224"/>
        <c:axId val="1360230560"/>
      </c:lineChart>
      <c:dateAx>
        <c:axId val="136022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431230610137838"/>
              <c:y val="0.9118644067796609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19680"/>
        <c:crosses val="autoZero"/>
        <c:auto val="1"/>
        <c:lblOffset val="100"/>
        <c:baseTimeUnit val="days"/>
        <c:majorUnit val="1"/>
        <c:minorUnit val="1"/>
      </c:dateAx>
      <c:valAx>
        <c:axId val="136021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4.8603929679420892E-2"/>
              <c:y val="2.8813559322033888E-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27840"/>
        <c:crosses val="autoZero"/>
        <c:crossBetween val="between"/>
      </c:valAx>
      <c:dateAx>
        <c:axId val="13602202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60230560"/>
        <c:crosses val="autoZero"/>
        <c:auto val="1"/>
        <c:lblOffset val="100"/>
        <c:baseTimeUnit val="days"/>
      </c:dateAx>
      <c:valAx>
        <c:axId val="1360230560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106514994829357"/>
              <c:y val="2.203389830508501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2022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282316442605998"/>
          <c:y val="0.95423728813559361"/>
          <c:w val="0.7569803516029"/>
          <c:h val="4.067796610169488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Water Consumption</a:t>
            </a:r>
            <a:r>
              <a:rPr lang="en-US" baseline="0"/>
              <a:t> </a:t>
            </a:r>
            <a:r>
              <a:rPr lang="en-US" sz="1200" b="1" i="0" u="none" strike="noStrike" baseline="0">
                <a:effectLst/>
              </a:rPr>
              <a:t>Febrauary 2025</a:t>
            </a:r>
            <a:endParaRPr lang="en-US"/>
          </a:p>
        </c:rich>
      </c:tx>
      <c:layout>
        <c:manualLayout>
          <c:xMode val="edge"/>
          <c:yMode val="edge"/>
          <c:x val="0.36847950242299898"/>
          <c:y val="1.957585644372044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42064372918979E-2"/>
          <c:y val="0.12234910277324652"/>
          <c:w val="0.85682574916760001"/>
          <c:h val="0.72593800978792256"/>
        </c:manualLayout>
      </c:layout>
      <c:barChart>
        <c:barDir val="col"/>
        <c:grouping val="clustered"/>
        <c:varyColors val="0"/>
        <c:ser>
          <c:idx val="1"/>
          <c:order val="0"/>
          <c:tx>
            <c:v>Water Consumption</c:v>
          </c:tx>
          <c:spPr>
            <a:solidFill>
              <a:srgbClr val="00B05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'Reading.2.25'!$G$6:$G$36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190</c:v>
                </c:pt>
                <c:pt idx="9">
                  <c:v>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8403232"/>
        <c:axId val="1229052448"/>
      </c:barChart>
      <c:lineChart>
        <c:grouping val="standard"/>
        <c:varyColors val="0"/>
        <c:ser>
          <c:idx val="0"/>
          <c:order val="1"/>
          <c:tx>
            <c:v>Occ.%</c:v>
          </c:tx>
          <c:spPr>
            <a:ln w="38100">
              <a:solidFill>
                <a:srgbClr val="003366"/>
              </a:solidFill>
              <a:prstDash val="solid"/>
            </a:ln>
          </c:spPr>
          <c:marker>
            <c:symbol val="none"/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'Reading.2.25'!$AD$6:$AD$36</c:f>
              <c:numCache>
                <c:formatCode>0.00%</c:formatCode>
                <c:ptCount val="31"/>
                <c:pt idx="0">
                  <c:v>0.45300000000000001</c:v>
                </c:pt>
                <c:pt idx="1">
                  <c:v>0.39800000000000002</c:v>
                </c:pt>
                <c:pt idx="2">
                  <c:v>0.38100000000000001</c:v>
                </c:pt>
                <c:pt idx="3">
                  <c:v>0.35</c:v>
                </c:pt>
                <c:pt idx="4">
                  <c:v>0.45100000000000001</c:v>
                </c:pt>
                <c:pt idx="5">
                  <c:v>0.60499999999999998</c:v>
                </c:pt>
                <c:pt idx="6">
                  <c:v>0.56299999999999994</c:v>
                </c:pt>
                <c:pt idx="7">
                  <c:v>0.438</c:v>
                </c:pt>
                <c:pt idx="8">
                  <c:v>0.42599999999999999</c:v>
                </c:pt>
                <c:pt idx="9">
                  <c:v>0.35499999999999998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E7-4D93-8A42-F57AEAF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054624"/>
        <c:axId val="1360226752"/>
      </c:lineChart>
      <c:catAx>
        <c:axId val="1038403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8501668917249691"/>
              <c:y val="0.89885807504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90524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229052448"/>
        <c:scaling>
          <c:orientation val="minMax"/>
          <c:max val="85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Cu. Mt.</a:t>
                </a:r>
              </a:p>
            </c:rich>
          </c:tx>
          <c:layout>
            <c:manualLayout>
              <c:xMode val="edge"/>
              <c:yMode val="edge"/>
              <c:x val="2.2197592784198191E-2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38403232"/>
        <c:crosses val="autoZero"/>
        <c:crossBetween val="between"/>
      </c:valAx>
      <c:catAx>
        <c:axId val="122905462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60226752"/>
        <c:crosses val="autoZero"/>
        <c:auto val="0"/>
        <c:lblAlgn val="ctr"/>
        <c:lblOffset val="100"/>
        <c:noMultiLvlLbl val="0"/>
      </c:catAx>
      <c:valAx>
        <c:axId val="136022675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786904699273397"/>
              <c:y val="6.199021207177814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905462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7624864820627935"/>
          <c:y val="0.9559543230016313"/>
          <c:w val="0.25971146145707291"/>
          <c:h val="3.91517128874388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Energy Cost</a:t>
            </a:r>
            <a:r>
              <a:rPr lang="en-US" baseline="0"/>
              <a:t> per Occ. Room</a:t>
            </a:r>
            <a:r>
              <a:rPr lang="en-US"/>
              <a:t> </a:t>
            </a:r>
            <a:r>
              <a:rPr lang="en-US" sz="1200" b="1" i="0" u="none" strike="noStrike" baseline="0">
                <a:effectLst/>
              </a:rPr>
              <a:t>Febrauary 2025</a:t>
            </a:r>
            <a:endParaRPr lang="en-US"/>
          </a:p>
        </c:rich>
      </c:tx>
      <c:layout>
        <c:manualLayout>
          <c:xMode val="edge"/>
          <c:yMode val="edge"/>
          <c:x val="0.37021582827449123"/>
          <c:y val="2.25966131936475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071354705274265E-2"/>
          <c:y val="8.9830508474576728E-2"/>
          <c:w val="0.83143743536711479"/>
          <c:h val="0.76949152542375165"/>
        </c:manualLayout>
      </c:layout>
      <c:barChart>
        <c:barDir val="col"/>
        <c:grouping val="clustered"/>
        <c:varyColors val="0"/>
        <c:ser>
          <c:idx val="0"/>
          <c:order val="0"/>
          <c:tx>
            <c:v>Energy Per Occ. Room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'Cost.2.25'!$AM$8:$AM$38</c:f>
              <c:numCache>
                <c:formatCode>_(* #,##0.00_);_(* \(#,##0.00\);_(* "-"??_);_(@_)</c:formatCode>
                <c:ptCount val="31"/>
                <c:pt idx="0">
                  <c:v>30.078275862068971</c:v>
                </c:pt>
                <c:pt idx="1">
                  <c:v>33.118333333333332</c:v>
                </c:pt>
                <c:pt idx="2">
                  <c:v>34.559692307692309</c:v>
                </c:pt>
                <c:pt idx="3">
                  <c:v>38.507374301675981</c:v>
                </c:pt>
                <c:pt idx="4">
                  <c:v>28.804329004329006</c:v>
                </c:pt>
                <c:pt idx="5">
                  <c:v>21.629483870967743</c:v>
                </c:pt>
                <c:pt idx="6">
                  <c:v>23.163680555555558</c:v>
                </c:pt>
                <c:pt idx="7">
                  <c:v>30.238750000000003</c:v>
                </c:pt>
                <c:pt idx="8">
                  <c:v>34.792844036697247</c:v>
                </c:pt>
                <c:pt idx="9">
                  <c:v>39.156813186813189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8-4CE7-A33B-6EFC536AF659}"/>
            </c:ext>
          </c:extLst>
        </c:ser>
        <c:ser>
          <c:idx val="1"/>
          <c:order val="1"/>
          <c:tx>
            <c:v>Budget</c:v>
          </c:tx>
          <c:spPr>
            <a:solidFill>
              <a:srgbClr val="00B050"/>
            </a:solidFill>
            <a:ln>
              <a:solidFill>
                <a:schemeClr val="accent3">
                  <a:lumMod val="50000"/>
                </a:schemeClr>
              </a:solidFill>
            </a:ln>
          </c:spPr>
          <c:invertIfNegative val="0"/>
          <c:val>
            <c:numRef>
              <c:f>'Cost.2.25'!$AL$8:$AL$38</c:f>
              <c:numCache>
                <c:formatCode>_(* #,##0.00_);_(* \(#,##0.00\);_(* "-"??_);_(@_)</c:formatCode>
                <c:ptCount val="31"/>
                <c:pt idx="0">
                  <c:v>32.82872026123465</c:v>
                </c:pt>
                <c:pt idx="1">
                  <c:v>32.82872026123465</c:v>
                </c:pt>
                <c:pt idx="2">
                  <c:v>32.82872026123465</c:v>
                </c:pt>
                <c:pt idx="3">
                  <c:v>32.82872026123465</c:v>
                </c:pt>
                <c:pt idx="4">
                  <c:v>32.82872026123465</c:v>
                </c:pt>
                <c:pt idx="5">
                  <c:v>32.82872026123465</c:v>
                </c:pt>
                <c:pt idx="6">
                  <c:v>32.82872026123465</c:v>
                </c:pt>
                <c:pt idx="7">
                  <c:v>32.82872026123465</c:v>
                </c:pt>
                <c:pt idx="8">
                  <c:v>32.82872026123465</c:v>
                </c:pt>
                <c:pt idx="9">
                  <c:v>32.82872026123465</c:v>
                </c:pt>
                <c:pt idx="10">
                  <c:v>32.82872026123465</c:v>
                </c:pt>
                <c:pt idx="11">
                  <c:v>32.82872026123465</c:v>
                </c:pt>
                <c:pt idx="12">
                  <c:v>32.82872026123465</c:v>
                </c:pt>
                <c:pt idx="13">
                  <c:v>32.82872026123465</c:v>
                </c:pt>
                <c:pt idx="14">
                  <c:v>32.82872026123465</c:v>
                </c:pt>
                <c:pt idx="15">
                  <c:v>32.82872026123465</c:v>
                </c:pt>
                <c:pt idx="16">
                  <c:v>32.82872026123465</c:v>
                </c:pt>
                <c:pt idx="17">
                  <c:v>32.82872026123465</c:v>
                </c:pt>
                <c:pt idx="18">
                  <c:v>32.82872026123465</c:v>
                </c:pt>
                <c:pt idx="19">
                  <c:v>32.82872026123465</c:v>
                </c:pt>
                <c:pt idx="20">
                  <c:v>32.82872026123465</c:v>
                </c:pt>
                <c:pt idx="21">
                  <c:v>32.82872026123465</c:v>
                </c:pt>
                <c:pt idx="22">
                  <c:v>32.82872026123465</c:v>
                </c:pt>
                <c:pt idx="23">
                  <c:v>32.82872026123465</c:v>
                </c:pt>
                <c:pt idx="24">
                  <c:v>32.82872026123465</c:v>
                </c:pt>
                <c:pt idx="25">
                  <c:v>32.82872026123465</c:v>
                </c:pt>
                <c:pt idx="26">
                  <c:v>32.82872026123465</c:v>
                </c:pt>
                <c:pt idx="27">
                  <c:v>32.82872026123465</c:v>
                </c:pt>
                <c:pt idx="28">
                  <c:v>32.82872026123465</c:v>
                </c:pt>
                <c:pt idx="29">
                  <c:v>32.82872026123465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18-4CE7-A33B-6EFC536AF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227296"/>
        <c:axId val="1363955072"/>
      </c:barChart>
      <c:lineChart>
        <c:grouping val="standard"/>
        <c:varyColors val="0"/>
        <c:ser>
          <c:idx val="3"/>
          <c:order val="2"/>
          <c:tx>
            <c:v>Occ. This Year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dot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'Reading.2.25'!$AD$6:$AD$36</c:f>
              <c:numCache>
                <c:formatCode>0.00%</c:formatCode>
                <c:ptCount val="31"/>
                <c:pt idx="0">
                  <c:v>0.45300000000000001</c:v>
                </c:pt>
                <c:pt idx="1">
                  <c:v>0.39800000000000002</c:v>
                </c:pt>
                <c:pt idx="2">
                  <c:v>0.38100000000000001</c:v>
                </c:pt>
                <c:pt idx="3">
                  <c:v>0.35</c:v>
                </c:pt>
                <c:pt idx="4">
                  <c:v>0.45100000000000001</c:v>
                </c:pt>
                <c:pt idx="5">
                  <c:v>0.60499999999999998</c:v>
                </c:pt>
                <c:pt idx="6">
                  <c:v>0.56299999999999994</c:v>
                </c:pt>
                <c:pt idx="7">
                  <c:v>0.438</c:v>
                </c:pt>
                <c:pt idx="8">
                  <c:v>0.42599999999999999</c:v>
                </c:pt>
                <c:pt idx="9">
                  <c:v>0.35499999999999998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18-4CE7-A33B-6EFC536AF659}"/>
            </c:ext>
          </c:extLst>
        </c:ser>
        <c:ser>
          <c:idx val="6"/>
          <c:order val="3"/>
          <c:tx>
            <c:v>Occ. Budget</c:v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dot"/>
            <c:size val="7"/>
            <c:spPr>
              <a:noFill/>
              <a:ln>
                <a:solidFill>
                  <a:srgbClr val="993366"/>
                </a:solidFill>
                <a:prstDash val="solid"/>
              </a:ln>
            </c:spPr>
          </c:marker>
          <c:cat>
            <c:numRef>
              <c:f>'Reading.2.25'!$A$6:$A$36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'Reading.2.25'!$AF$6:$AF$36</c:f>
              <c:numCache>
                <c:formatCode>0%</c:formatCode>
                <c:ptCount val="31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18-4CE7-A33B-6EFC536AF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962144"/>
        <c:axId val="1363952352"/>
      </c:lineChart>
      <c:dateAx>
        <c:axId val="1360227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</a:t>
                </a:r>
              </a:p>
            </c:rich>
          </c:tx>
          <c:layout>
            <c:manualLayout>
              <c:xMode val="edge"/>
              <c:yMode val="edge"/>
              <c:x val="0.49431230610137838"/>
              <c:y val="0.9118644067796609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3955072"/>
        <c:crosses val="autoZero"/>
        <c:auto val="1"/>
        <c:lblOffset val="100"/>
        <c:baseTimeUnit val="days"/>
        <c:majorUnit val="1"/>
        <c:minorUnit val="1"/>
      </c:dateAx>
      <c:valAx>
        <c:axId val="1363955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L.E.</a:t>
                </a:r>
              </a:p>
            </c:rich>
          </c:tx>
          <c:layout>
            <c:manualLayout>
              <c:xMode val="edge"/>
              <c:yMode val="edge"/>
              <c:x val="4.8603929679420892E-2"/>
              <c:y val="2.8813559322033888E-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0227296"/>
        <c:crosses val="autoZero"/>
        <c:crossBetween val="between"/>
      </c:valAx>
      <c:dateAx>
        <c:axId val="1363962144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1363952352"/>
        <c:crosses val="autoZero"/>
        <c:auto val="1"/>
        <c:lblOffset val="100"/>
        <c:baseTimeUnit val="days"/>
      </c:dateAx>
      <c:valAx>
        <c:axId val="1363952352"/>
        <c:scaling>
          <c:orientation val="minMax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Occ.%</a:t>
                </a:r>
              </a:p>
            </c:rich>
          </c:tx>
          <c:layout>
            <c:manualLayout>
              <c:xMode val="edge"/>
              <c:yMode val="edge"/>
              <c:x val="0.91106514994829357"/>
              <c:y val="2.203389830508501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6396214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282316442605998"/>
          <c:y val="0.95423728813559361"/>
          <c:w val="0.51635173317916461"/>
          <c:h val="3.467912273677661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5"/>
  <sheetViews>
    <sheetView workbookViewId="0"/>
  </sheetViews>
  <pageMargins left="0.75" right="0.75" top="1" bottom="1" header="0.5" footer="0.5"/>
  <pageSetup paperSize="9"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8"/>
  <sheetViews>
    <sheetView zoomScale="88" workbookViewId="0" zoomToFit="1"/>
  </sheetViews>
  <pageMargins left="0.75" right="0.75" top="1" bottom="1" header="0.5" footer="0.5"/>
  <pageSetup orientation="landscape" r:id="rId1"/>
  <headerFooter alignWithMargins="0">
    <oddHeader>&amp;A</oddHeader>
    <oddFooter>Page &amp;P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Chart9"/>
  <sheetViews>
    <sheetView zoomScale="91" workbookViewId="0" zoomToFit="1"/>
  </sheetViews>
  <pageMargins left="0.75" right="0.75" top="1" bottom="1" header="0.5" footer="0.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438150</xdr:colOff>
      <xdr:row>0</xdr:row>
      <xdr:rowOff>76200</xdr:rowOff>
    </xdr:from>
    <xdr:to>
      <xdr:col>38</xdr:col>
      <xdr:colOff>619125</xdr:colOff>
      <xdr:row>0</xdr:row>
      <xdr:rowOff>790575</xdr:rowOff>
    </xdr:to>
    <xdr:pic>
      <xdr:nvPicPr>
        <xdr:cNvPr id="4" name="Picture 3" descr="Grand log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840450" y="76200"/>
          <a:ext cx="1685925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4960" cy="5608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756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10989" cy="561870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wunderground.com/history/monthly/sa/medina/OEMA/date/2025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CF30-0531-4103-9999-295F0C76E335}">
  <dimension ref="A1:X33"/>
  <sheetViews>
    <sheetView tabSelected="1" workbookViewId="0">
      <selection activeCell="J2" sqref="J2"/>
    </sheetView>
  </sheetViews>
  <sheetFormatPr defaultColWidth="11.5546875" defaultRowHeight="14.4" x14ac:dyDescent="0.3"/>
  <cols>
    <col min="1" max="1" width="29.109375" style="307" bestFit="1" customWidth="1"/>
    <col min="2" max="3" width="11.5546875" style="302"/>
    <col min="4" max="4" width="13.44140625" style="302" customWidth="1"/>
    <col min="5" max="5" width="12.5546875" style="306" customWidth="1"/>
    <col min="6" max="6" width="12.5546875" style="304" customWidth="1"/>
    <col min="7" max="7" width="11.5546875" style="306"/>
    <col min="8" max="8" width="11.5546875" style="304"/>
    <col min="9" max="9" width="11.5546875" style="306"/>
    <col min="10" max="10" width="11.5546875" style="308"/>
    <col min="11" max="24" width="11.5546875" style="306"/>
    <col min="25" max="16384" width="11.5546875" style="309"/>
  </cols>
  <sheetData>
    <row r="1" spans="1:12" s="300" customFormat="1" ht="43.2" x14ac:dyDescent="0.25">
      <c r="A1" s="296" t="s">
        <v>106</v>
      </c>
      <c r="B1" s="296" t="s">
        <v>107</v>
      </c>
      <c r="C1" s="296" t="s">
        <v>108</v>
      </c>
      <c r="D1" s="296" t="s">
        <v>109</v>
      </c>
      <c r="E1" s="297" t="s">
        <v>110</v>
      </c>
      <c r="F1" s="298" t="s">
        <v>111</v>
      </c>
      <c r="G1" s="297" t="s">
        <v>116</v>
      </c>
      <c r="H1" s="298" t="s">
        <v>117</v>
      </c>
      <c r="I1" s="297" t="s">
        <v>115</v>
      </c>
      <c r="J1" s="299" t="s">
        <v>118</v>
      </c>
      <c r="K1" s="297" t="s">
        <v>112</v>
      </c>
      <c r="L1" s="297" t="s">
        <v>113</v>
      </c>
    </row>
    <row r="2" spans="1:12" x14ac:dyDescent="0.3">
      <c r="A2" s="301" t="s">
        <v>114</v>
      </c>
      <c r="B2" s="302">
        <v>1</v>
      </c>
      <c r="C2" s="302">
        <v>3</v>
      </c>
      <c r="D2" s="302">
        <v>2025</v>
      </c>
      <c r="E2" s="303">
        <f>'Cost.2.25'!J8</f>
        <v>20524</v>
      </c>
      <c r="F2" s="304">
        <f>'Cost.2.25'!M8/'Cost.2.25'!J8</f>
        <v>0.34</v>
      </c>
      <c r="G2" s="303">
        <f>'Cost.2.25'!O8</f>
        <v>0</v>
      </c>
      <c r="H2" s="304" t="e">
        <f>'Cost.2.25'!S8/'Cost.2.25'!O8</f>
        <v>#DIV/0!</v>
      </c>
      <c r="I2" s="303">
        <f>'Cost.2.25'!U8</f>
        <v>0</v>
      </c>
      <c r="J2" s="305" t="e">
        <f>'Cost.2.25'!Y8/'Cost.2.25'!U8</f>
        <v>#DIV/0!</v>
      </c>
      <c r="K2" s="303">
        <f>'Cost.2.25'!F8</f>
        <v>232</v>
      </c>
      <c r="L2" s="303"/>
    </row>
    <row r="3" spans="1:12" x14ac:dyDescent="0.3">
      <c r="A3" s="301" t="s">
        <v>114</v>
      </c>
      <c r="B3" s="302">
        <f>B2+1</f>
        <v>2</v>
      </c>
      <c r="C3" s="302">
        <v>3</v>
      </c>
      <c r="D3" s="302">
        <v>2025</v>
      </c>
      <c r="E3" s="303">
        <f>'Cost.2.25'!J9</f>
        <v>19871</v>
      </c>
      <c r="F3" s="304">
        <f>'Cost.2.25'!M9/'Cost.2.25'!J9</f>
        <v>0.34</v>
      </c>
      <c r="G3" s="303">
        <f>'Cost.2.25'!O9</f>
        <v>0</v>
      </c>
      <c r="H3" s="304" t="e">
        <f>'Cost.2.25'!S9/'Cost.2.25'!O9</f>
        <v>#DIV/0!</v>
      </c>
      <c r="I3" s="303">
        <f>'Cost.2.25'!U9</f>
        <v>0</v>
      </c>
      <c r="J3" s="305" t="e">
        <f>'Cost.2.25'!Y9/'Cost.2.25'!U9</f>
        <v>#DIV/0!</v>
      </c>
      <c r="K3" s="303">
        <f>'Cost.2.25'!F9</f>
        <v>204</v>
      </c>
      <c r="L3" s="303"/>
    </row>
    <row r="4" spans="1:12" x14ac:dyDescent="0.3">
      <c r="A4" s="301" t="s">
        <v>114</v>
      </c>
      <c r="B4" s="302">
        <f t="shared" ref="B4:B32" si="0">B3+1</f>
        <v>3</v>
      </c>
      <c r="C4" s="302">
        <v>3</v>
      </c>
      <c r="D4" s="302">
        <v>2025</v>
      </c>
      <c r="E4" s="303">
        <f>'Cost.2.25'!J10</f>
        <v>19821</v>
      </c>
      <c r="F4" s="304">
        <f>'Cost.2.25'!M10/'Cost.2.25'!J10</f>
        <v>0.34</v>
      </c>
      <c r="G4" s="303">
        <f>'Cost.2.25'!O10</f>
        <v>0</v>
      </c>
      <c r="H4" s="304" t="e">
        <f>'Cost.2.25'!S10/'Cost.2.25'!O10</f>
        <v>#DIV/0!</v>
      </c>
      <c r="I4" s="303">
        <f>'Cost.2.25'!U10</f>
        <v>0</v>
      </c>
      <c r="J4" s="305" t="e">
        <f>'Cost.2.25'!Y10/'Cost.2.25'!U10</f>
        <v>#DIV/0!</v>
      </c>
      <c r="K4" s="303">
        <f>'Cost.2.25'!F10</f>
        <v>195</v>
      </c>
      <c r="L4" s="303"/>
    </row>
    <row r="5" spans="1:12" x14ac:dyDescent="0.3">
      <c r="A5" s="301" t="s">
        <v>114</v>
      </c>
      <c r="B5" s="302">
        <f t="shared" si="0"/>
        <v>4</v>
      </c>
      <c r="C5" s="302">
        <v>3</v>
      </c>
      <c r="D5" s="302">
        <v>2025</v>
      </c>
      <c r="E5" s="303">
        <f>'Cost.2.25'!J11</f>
        <v>20273</v>
      </c>
      <c r="F5" s="304">
        <f>'Cost.2.25'!M11/'Cost.2.25'!J11</f>
        <v>0.34</v>
      </c>
      <c r="G5" s="303">
        <f>'Cost.2.25'!O11</f>
        <v>0</v>
      </c>
      <c r="H5" s="304" t="e">
        <f>'Cost.2.25'!S11/'Cost.2.25'!O11</f>
        <v>#DIV/0!</v>
      </c>
      <c r="I5" s="303">
        <f>'Cost.2.25'!U11</f>
        <v>0</v>
      </c>
      <c r="J5" s="305" t="e">
        <f>'Cost.2.25'!Y11/'Cost.2.25'!U11</f>
        <v>#DIV/0!</v>
      </c>
      <c r="K5" s="303">
        <f>'Cost.2.25'!F11</f>
        <v>179</v>
      </c>
      <c r="L5" s="303"/>
    </row>
    <row r="6" spans="1:12" x14ac:dyDescent="0.3">
      <c r="A6" s="301" t="s">
        <v>114</v>
      </c>
      <c r="B6" s="302">
        <f t="shared" si="0"/>
        <v>5</v>
      </c>
      <c r="C6" s="302">
        <v>3</v>
      </c>
      <c r="D6" s="302">
        <v>2025</v>
      </c>
      <c r="E6" s="303">
        <f>'Cost.2.25'!J12</f>
        <v>19570</v>
      </c>
      <c r="F6" s="304">
        <f>'Cost.2.25'!M12/'Cost.2.25'!J12</f>
        <v>0.34</v>
      </c>
      <c r="G6" s="303">
        <f>'Cost.2.25'!O12</f>
        <v>0</v>
      </c>
      <c r="H6" s="304" t="e">
        <f>'Cost.2.25'!S12/'Cost.2.25'!O12</f>
        <v>#DIV/0!</v>
      </c>
      <c r="I6" s="303">
        <f>'Cost.2.25'!U12</f>
        <v>0</v>
      </c>
      <c r="J6" s="305" t="e">
        <f>'Cost.2.25'!Y12/'Cost.2.25'!U12</f>
        <v>#DIV/0!</v>
      </c>
      <c r="K6" s="303">
        <f>'Cost.2.25'!F12</f>
        <v>231</v>
      </c>
      <c r="L6" s="303"/>
    </row>
    <row r="7" spans="1:12" x14ac:dyDescent="0.3">
      <c r="A7" s="301" t="s">
        <v>114</v>
      </c>
      <c r="B7" s="302">
        <f t="shared" si="0"/>
        <v>6</v>
      </c>
      <c r="C7" s="302">
        <v>3</v>
      </c>
      <c r="D7" s="302">
        <v>2025</v>
      </c>
      <c r="E7" s="303">
        <f>'Cost.2.25'!J13</f>
        <v>19721</v>
      </c>
      <c r="F7" s="304">
        <f>'Cost.2.25'!M13/'Cost.2.25'!J13</f>
        <v>0.34</v>
      </c>
      <c r="G7" s="303">
        <f>'Cost.2.25'!O13</f>
        <v>0</v>
      </c>
      <c r="H7" s="304" t="e">
        <f>'Cost.2.25'!S13/'Cost.2.25'!O13</f>
        <v>#DIV/0!</v>
      </c>
      <c r="I7" s="303">
        <f>'Cost.2.25'!U13</f>
        <v>0</v>
      </c>
      <c r="J7" s="305" t="e">
        <f>'Cost.2.25'!Y13/'Cost.2.25'!U13</f>
        <v>#DIV/0!</v>
      </c>
      <c r="K7" s="303">
        <f>'Cost.2.25'!F13</f>
        <v>310</v>
      </c>
      <c r="L7" s="303"/>
    </row>
    <row r="8" spans="1:12" x14ac:dyDescent="0.3">
      <c r="A8" s="301" t="s">
        <v>114</v>
      </c>
      <c r="B8" s="302">
        <f t="shared" si="0"/>
        <v>7</v>
      </c>
      <c r="C8" s="302">
        <v>3</v>
      </c>
      <c r="D8" s="302">
        <v>2025</v>
      </c>
      <c r="E8" s="303">
        <f>'Cost.2.25'!J14</f>
        <v>19621</v>
      </c>
      <c r="F8" s="304">
        <f>'Cost.2.25'!M14/'Cost.2.25'!J14</f>
        <v>0.34</v>
      </c>
      <c r="G8" s="303">
        <f>'Cost.2.25'!O14</f>
        <v>0</v>
      </c>
      <c r="H8" s="304" t="e">
        <f>'Cost.2.25'!S14/'Cost.2.25'!O14</f>
        <v>#DIV/0!</v>
      </c>
      <c r="I8" s="303">
        <f>'Cost.2.25'!U14</f>
        <v>0</v>
      </c>
      <c r="J8" s="305" t="e">
        <f>'Cost.2.25'!Y14/'Cost.2.25'!U14</f>
        <v>#DIV/0!</v>
      </c>
      <c r="K8" s="303">
        <f>'Cost.2.25'!F14</f>
        <v>288</v>
      </c>
      <c r="L8" s="303"/>
    </row>
    <row r="9" spans="1:12" x14ac:dyDescent="0.3">
      <c r="A9" s="301" t="s">
        <v>114</v>
      </c>
      <c r="B9" s="302">
        <f t="shared" si="0"/>
        <v>8</v>
      </c>
      <c r="C9" s="302">
        <v>3</v>
      </c>
      <c r="D9" s="302">
        <v>2025</v>
      </c>
      <c r="E9" s="303">
        <f>'Cost.2.25'!J15</f>
        <v>19922</v>
      </c>
      <c r="F9" s="304">
        <f>'Cost.2.25'!M15/'Cost.2.25'!J15</f>
        <v>0.34</v>
      </c>
      <c r="G9" s="303">
        <f>'Cost.2.25'!O15</f>
        <v>0</v>
      </c>
      <c r="H9" s="304" t="e">
        <f>'Cost.2.25'!S15/'Cost.2.25'!O15</f>
        <v>#DIV/0!</v>
      </c>
      <c r="I9" s="303">
        <f>'Cost.2.25'!U15</f>
        <v>0</v>
      </c>
      <c r="J9" s="305" t="e">
        <f>'Cost.2.25'!Y15/'Cost.2.25'!U15</f>
        <v>#DIV/0!</v>
      </c>
      <c r="K9" s="303">
        <f>'Cost.2.25'!F15</f>
        <v>224</v>
      </c>
      <c r="L9" s="303"/>
    </row>
    <row r="10" spans="1:12" x14ac:dyDescent="0.3">
      <c r="A10" s="301" t="s">
        <v>114</v>
      </c>
      <c r="B10" s="302">
        <f t="shared" si="0"/>
        <v>9</v>
      </c>
      <c r="C10" s="302">
        <v>3</v>
      </c>
      <c r="D10" s="302">
        <v>2025</v>
      </c>
      <c r="E10" s="303">
        <f>'Cost.2.25'!J16</f>
        <v>19721</v>
      </c>
      <c r="F10" s="304">
        <f>'Cost.2.25'!M16/'Cost.2.25'!J16</f>
        <v>0.34</v>
      </c>
      <c r="G10" s="303">
        <f>'Cost.2.25'!O16</f>
        <v>0</v>
      </c>
      <c r="H10" s="304" t="e">
        <f>'Cost.2.25'!S16/'Cost.2.25'!O16</f>
        <v>#DIV/0!</v>
      </c>
      <c r="I10" s="303">
        <f>'Cost.2.25'!U16</f>
        <v>190</v>
      </c>
      <c r="J10" s="305">
        <f>'Cost.2.25'!Y16/'Cost.2.25'!U16</f>
        <v>4.63</v>
      </c>
      <c r="K10" s="303">
        <f>'Cost.2.25'!F16</f>
        <v>218</v>
      </c>
      <c r="L10" s="303"/>
    </row>
    <row r="11" spans="1:12" x14ac:dyDescent="0.3">
      <c r="A11" s="301" t="s">
        <v>114</v>
      </c>
      <c r="B11" s="302">
        <f t="shared" si="0"/>
        <v>10</v>
      </c>
      <c r="C11" s="302">
        <v>3</v>
      </c>
      <c r="D11" s="302">
        <v>2025</v>
      </c>
      <c r="E11" s="303">
        <f>'Cost.2.25'!J17</f>
        <v>19871</v>
      </c>
      <c r="F11" s="304">
        <f>'Cost.2.25'!M17/'Cost.2.25'!J17</f>
        <v>0.34</v>
      </c>
      <c r="G11" s="303">
        <f>'Cost.2.25'!O17</f>
        <v>0</v>
      </c>
      <c r="H11" s="304" t="e">
        <f>'Cost.2.25'!S17/'Cost.2.25'!O17</f>
        <v>#DIV/0!</v>
      </c>
      <c r="I11" s="303">
        <f>'Cost.2.25'!U17</f>
        <v>80</v>
      </c>
      <c r="J11" s="305">
        <f>'Cost.2.25'!Y17/'Cost.2.25'!U17</f>
        <v>4.63</v>
      </c>
      <c r="K11" s="303">
        <f>'Cost.2.25'!F17</f>
        <v>182</v>
      </c>
      <c r="L11" s="303"/>
    </row>
    <row r="12" spans="1:12" x14ac:dyDescent="0.3">
      <c r="A12" s="301" t="s">
        <v>114</v>
      </c>
      <c r="B12" s="302">
        <f t="shared" si="0"/>
        <v>11</v>
      </c>
      <c r="C12" s="302">
        <v>3</v>
      </c>
      <c r="D12" s="302">
        <v>2025</v>
      </c>
      <c r="E12" s="303">
        <f>'Cost.2.25'!J18</f>
        <v>0</v>
      </c>
      <c r="F12" s="304" t="e">
        <f>'Cost.2.25'!M18/'Cost.2.25'!J18</f>
        <v>#DIV/0!</v>
      </c>
      <c r="G12" s="303">
        <f>'Cost.2.25'!O18</f>
        <v>0</v>
      </c>
      <c r="H12" s="304" t="e">
        <f>'Cost.2.25'!S18/'Cost.2.25'!O18</f>
        <v>#DIV/0!</v>
      </c>
      <c r="I12" s="303">
        <f>'Cost.2.25'!U18</f>
        <v>0</v>
      </c>
      <c r="J12" s="305" t="e">
        <f>'Cost.2.25'!Y18/'Cost.2.25'!U18</f>
        <v>#DIV/0!</v>
      </c>
      <c r="K12" s="303">
        <f>'Cost.2.25'!F18</f>
        <v>0</v>
      </c>
      <c r="L12" s="303"/>
    </row>
    <row r="13" spans="1:12" x14ac:dyDescent="0.3">
      <c r="A13" s="301" t="s">
        <v>114</v>
      </c>
      <c r="B13" s="302">
        <f t="shared" si="0"/>
        <v>12</v>
      </c>
      <c r="C13" s="302">
        <v>3</v>
      </c>
      <c r="D13" s="302">
        <v>2025</v>
      </c>
      <c r="E13" s="303">
        <f>'Cost.2.25'!J19</f>
        <v>0</v>
      </c>
      <c r="F13" s="304" t="e">
        <f>'Cost.2.25'!M19/'Cost.2.25'!J19</f>
        <v>#DIV/0!</v>
      </c>
      <c r="G13" s="303">
        <f>'Cost.2.25'!O19</f>
        <v>0</v>
      </c>
      <c r="H13" s="304" t="e">
        <f>'Cost.2.25'!S19/'Cost.2.25'!O19</f>
        <v>#DIV/0!</v>
      </c>
      <c r="I13" s="303">
        <f>'Cost.2.25'!U19</f>
        <v>0</v>
      </c>
      <c r="J13" s="305" t="e">
        <f>'Cost.2.25'!Y19/'Cost.2.25'!U19</f>
        <v>#DIV/0!</v>
      </c>
      <c r="K13" s="303">
        <f>'Cost.2.25'!F19</f>
        <v>0</v>
      </c>
      <c r="L13" s="303"/>
    </row>
    <row r="14" spans="1:12" x14ac:dyDescent="0.3">
      <c r="A14" s="301" t="s">
        <v>114</v>
      </c>
      <c r="B14" s="302">
        <f t="shared" si="0"/>
        <v>13</v>
      </c>
      <c r="C14" s="302">
        <v>3</v>
      </c>
      <c r="D14" s="302">
        <v>2025</v>
      </c>
      <c r="E14" s="303">
        <f>'Cost.2.25'!J20</f>
        <v>0</v>
      </c>
      <c r="F14" s="304" t="e">
        <f>'Cost.2.25'!M20/'Cost.2.25'!J20</f>
        <v>#DIV/0!</v>
      </c>
      <c r="G14" s="303">
        <f>'Cost.2.25'!O20</f>
        <v>0</v>
      </c>
      <c r="H14" s="304" t="e">
        <f>'Cost.2.25'!S20/'Cost.2.25'!O20</f>
        <v>#DIV/0!</v>
      </c>
      <c r="I14" s="303">
        <f>'Cost.2.25'!U20</f>
        <v>0</v>
      </c>
      <c r="J14" s="305" t="e">
        <f>'Cost.2.25'!Y20/'Cost.2.25'!U20</f>
        <v>#DIV/0!</v>
      </c>
      <c r="K14" s="303">
        <f>'Cost.2.25'!F20</f>
        <v>0</v>
      </c>
      <c r="L14" s="303"/>
    </row>
    <row r="15" spans="1:12" x14ac:dyDescent="0.3">
      <c r="A15" s="301" t="s">
        <v>114</v>
      </c>
      <c r="B15" s="302">
        <f t="shared" si="0"/>
        <v>14</v>
      </c>
      <c r="C15" s="302">
        <v>3</v>
      </c>
      <c r="D15" s="302">
        <v>2025</v>
      </c>
      <c r="E15" s="303">
        <f>'Cost.2.25'!J21</f>
        <v>0</v>
      </c>
      <c r="F15" s="304" t="e">
        <f>'Cost.2.25'!M21/'Cost.2.25'!J21</f>
        <v>#DIV/0!</v>
      </c>
      <c r="G15" s="303">
        <f>'Cost.2.25'!O21</f>
        <v>0</v>
      </c>
      <c r="H15" s="304" t="e">
        <f>'Cost.2.25'!S21/'Cost.2.25'!O21</f>
        <v>#DIV/0!</v>
      </c>
      <c r="I15" s="303">
        <f>'Cost.2.25'!U21</f>
        <v>0</v>
      </c>
      <c r="J15" s="305" t="e">
        <f>'Cost.2.25'!Y21/'Cost.2.25'!U21</f>
        <v>#DIV/0!</v>
      </c>
      <c r="K15" s="303">
        <f>'Cost.2.25'!F21</f>
        <v>0</v>
      </c>
      <c r="L15" s="303"/>
    </row>
    <row r="16" spans="1:12" x14ac:dyDescent="0.3">
      <c r="A16" s="301" t="s">
        <v>114</v>
      </c>
      <c r="B16" s="302">
        <f t="shared" si="0"/>
        <v>15</v>
      </c>
      <c r="C16" s="302">
        <v>3</v>
      </c>
      <c r="D16" s="302">
        <v>2025</v>
      </c>
      <c r="E16" s="303">
        <f>'Cost.2.25'!J22</f>
        <v>0</v>
      </c>
      <c r="F16" s="304" t="e">
        <f>'Cost.2.25'!M22/'Cost.2.25'!J22</f>
        <v>#DIV/0!</v>
      </c>
      <c r="G16" s="303">
        <f>'Cost.2.25'!O22</f>
        <v>0</v>
      </c>
      <c r="H16" s="304" t="e">
        <f>'Cost.2.25'!S22/'Cost.2.25'!O22</f>
        <v>#DIV/0!</v>
      </c>
      <c r="I16" s="303">
        <f>'Cost.2.25'!U22</f>
        <v>0</v>
      </c>
      <c r="J16" s="305" t="e">
        <f>'Cost.2.25'!Y22/'Cost.2.25'!U22</f>
        <v>#DIV/0!</v>
      </c>
      <c r="K16" s="303">
        <f>'Cost.2.25'!F22</f>
        <v>0</v>
      </c>
      <c r="L16" s="303"/>
    </row>
    <row r="17" spans="1:12" x14ac:dyDescent="0.3">
      <c r="A17" s="301" t="s">
        <v>114</v>
      </c>
      <c r="B17" s="302">
        <f t="shared" si="0"/>
        <v>16</v>
      </c>
      <c r="C17" s="302">
        <v>3</v>
      </c>
      <c r="D17" s="302">
        <v>2025</v>
      </c>
      <c r="E17" s="303">
        <f>'Cost.2.25'!J23</f>
        <v>0</v>
      </c>
      <c r="F17" s="304" t="e">
        <f>'Cost.2.25'!M23/'Cost.2.25'!J23</f>
        <v>#DIV/0!</v>
      </c>
      <c r="G17" s="303">
        <f>'Cost.2.25'!O23</f>
        <v>0</v>
      </c>
      <c r="H17" s="304" t="e">
        <f>'Cost.2.25'!S23/'Cost.2.25'!O23</f>
        <v>#DIV/0!</v>
      </c>
      <c r="I17" s="303">
        <f>'Cost.2.25'!U23</f>
        <v>0</v>
      </c>
      <c r="J17" s="305" t="e">
        <f>'Cost.2.25'!Y23/'Cost.2.25'!U23</f>
        <v>#DIV/0!</v>
      </c>
      <c r="K17" s="303">
        <f>'Cost.2.25'!F23</f>
        <v>0</v>
      </c>
      <c r="L17" s="303"/>
    </row>
    <row r="18" spans="1:12" x14ac:dyDescent="0.3">
      <c r="A18" s="301" t="s">
        <v>114</v>
      </c>
      <c r="B18" s="302">
        <f t="shared" si="0"/>
        <v>17</v>
      </c>
      <c r="C18" s="302">
        <v>3</v>
      </c>
      <c r="D18" s="302">
        <v>2025</v>
      </c>
      <c r="E18" s="303">
        <f>'Cost.2.25'!J24</f>
        <v>0</v>
      </c>
      <c r="F18" s="304" t="e">
        <f>'Cost.2.25'!M24/'Cost.2.25'!J24</f>
        <v>#DIV/0!</v>
      </c>
      <c r="G18" s="303">
        <f>'Cost.2.25'!O24</f>
        <v>0</v>
      </c>
      <c r="H18" s="304" t="e">
        <f>'Cost.2.25'!S24/'Cost.2.25'!O24</f>
        <v>#DIV/0!</v>
      </c>
      <c r="I18" s="303">
        <f>'Cost.2.25'!U24</f>
        <v>0</v>
      </c>
      <c r="J18" s="305" t="e">
        <f>'Cost.2.25'!Y24/'Cost.2.25'!U24</f>
        <v>#DIV/0!</v>
      </c>
      <c r="K18" s="303">
        <f>'Cost.2.25'!F24</f>
        <v>0</v>
      </c>
      <c r="L18" s="303"/>
    </row>
    <row r="19" spans="1:12" x14ac:dyDescent="0.3">
      <c r="A19" s="301" t="s">
        <v>114</v>
      </c>
      <c r="B19" s="302">
        <f t="shared" si="0"/>
        <v>18</v>
      </c>
      <c r="C19" s="302">
        <v>3</v>
      </c>
      <c r="D19" s="302">
        <v>2025</v>
      </c>
      <c r="E19" s="303">
        <f>'Cost.2.25'!J25</f>
        <v>0</v>
      </c>
      <c r="F19" s="304" t="e">
        <f>'Cost.2.25'!M25/'Cost.2.25'!J25</f>
        <v>#DIV/0!</v>
      </c>
      <c r="G19" s="303">
        <f>'Cost.2.25'!O25</f>
        <v>0</v>
      </c>
      <c r="H19" s="304" t="e">
        <f>'Cost.2.25'!S25/'Cost.2.25'!O25</f>
        <v>#DIV/0!</v>
      </c>
      <c r="I19" s="303">
        <f>'Cost.2.25'!U25</f>
        <v>0</v>
      </c>
      <c r="J19" s="305" t="e">
        <f>'Cost.2.25'!Y25/'Cost.2.25'!U25</f>
        <v>#DIV/0!</v>
      </c>
      <c r="K19" s="303">
        <f>'Cost.2.25'!F25</f>
        <v>0</v>
      </c>
      <c r="L19" s="303"/>
    </row>
    <row r="20" spans="1:12" x14ac:dyDescent="0.3">
      <c r="A20" s="301" t="s">
        <v>114</v>
      </c>
      <c r="B20" s="302">
        <f t="shared" si="0"/>
        <v>19</v>
      </c>
      <c r="C20" s="302">
        <v>3</v>
      </c>
      <c r="D20" s="302">
        <v>2025</v>
      </c>
      <c r="E20" s="303">
        <f>'Cost.2.25'!J26</f>
        <v>0</v>
      </c>
      <c r="F20" s="304" t="e">
        <f>'Cost.2.25'!M26/'Cost.2.25'!J26</f>
        <v>#DIV/0!</v>
      </c>
      <c r="G20" s="303">
        <f>'Cost.2.25'!O26</f>
        <v>0</v>
      </c>
      <c r="H20" s="304" t="e">
        <f>'Cost.2.25'!S26/'Cost.2.25'!O26</f>
        <v>#DIV/0!</v>
      </c>
      <c r="I20" s="303">
        <f>'Cost.2.25'!U26</f>
        <v>0</v>
      </c>
      <c r="J20" s="305" t="e">
        <f>'Cost.2.25'!Y26/'Cost.2.25'!U26</f>
        <v>#DIV/0!</v>
      </c>
      <c r="K20" s="303">
        <f>'Cost.2.25'!F26</f>
        <v>0</v>
      </c>
      <c r="L20" s="303"/>
    </row>
    <row r="21" spans="1:12" x14ac:dyDescent="0.3">
      <c r="A21" s="301" t="s">
        <v>114</v>
      </c>
      <c r="B21" s="302">
        <f t="shared" si="0"/>
        <v>20</v>
      </c>
      <c r="C21" s="302">
        <v>3</v>
      </c>
      <c r="D21" s="302">
        <v>2025</v>
      </c>
      <c r="E21" s="303">
        <f>'Cost.2.25'!J27</f>
        <v>0</v>
      </c>
      <c r="F21" s="304" t="e">
        <f>'Cost.2.25'!M27/'Cost.2.25'!J27</f>
        <v>#DIV/0!</v>
      </c>
      <c r="G21" s="303">
        <f>'Cost.2.25'!O27</f>
        <v>0</v>
      </c>
      <c r="H21" s="304" t="e">
        <f>'Cost.2.25'!S27/'Cost.2.25'!O27</f>
        <v>#DIV/0!</v>
      </c>
      <c r="I21" s="303">
        <f>'Cost.2.25'!U27</f>
        <v>0</v>
      </c>
      <c r="J21" s="305" t="e">
        <f>'Cost.2.25'!Y27/'Cost.2.25'!U27</f>
        <v>#DIV/0!</v>
      </c>
      <c r="K21" s="303">
        <f>'Cost.2.25'!F27</f>
        <v>0</v>
      </c>
      <c r="L21" s="303"/>
    </row>
    <row r="22" spans="1:12" x14ac:dyDescent="0.3">
      <c r="A22" s="301" t="s">
        <v>114</v>
      </c>
      <c r="B22" s="302">
        <f t="shared" si="0"/>
        <v>21</v>
      </c>
      <c r="C22" s="302">
        <v>3</v>
      </c>
      <c r="D22" s="302">
        <v>2025</v>
      </c>
      <c r="E22" s="303">
        <f>'Cost.2.25'!J28</f>
        <v>0</v>
      </c>
      <c r="F22" s="304" t="e">
        <f>'Cost.2.25'!M28/'Cost.2.25'!J28</f>
        <v>#DIV/0!</v>
      </c>
      <c r="G22" s="303">
        <f>'Cost.2.25'!O28</f>
        <v>0</v>
      </c>
      <c r="H22" s="304" t="e">
        <f>'Cost.2.25'!S28/'Cost.2.25'!O28</f>
        <v>#DIV/0!</v>
      </c>
      <c r="I22" s="303">
        <f>'Cost.2.25'!U28</f>
        <v>0</v>
      </c>
      <c r="J22" s="305" t="e">
        <f>'Cost.2.25'!Y28/'Cost.2.25'!U28</f>
        <v>#DIV/0!</v>
      </c>
      <c r="K22" s="303">
        <f>'Cost.2.25'!F28</f>
        <v>0</v>
      </c>
      <c r="L22" s="303"/>
    </row>
    <row r="23" spans="1:12" x14ac:dyDescent="0.3">
      <c r="A23" s="301" t="s">
        <v>114</v>
      </c>
      <c r="B23" s="302">
        <f t="shared" si="0"/>
        <v>22</v>
      </c>
      <c r="C23" s="302">
        <v>3</v>
      </c>
      <c r="D23" s="302">
        <v>2025</v>
      </c>
      <c r="E23" s="303">
        <f>'Cost.2.25'!J29</f>
        <v>0</v>
      </c>
      <c r="F23" s="304" t="e">
        <f>'Cost.2.25'!M29/'Cost.2.25'!J29</f>
        <v>#DIV/0!</v>
      </c>
      <c r="G23" s="303">
        <f>'Cost.2.25'!O29</f>
        <v>0</v>
      </c>
      <c r="H23" s="304" t="e">
        <f>'Cost.2.25'!S29/'Cost.2.25'!O29</f>
        <v>#DIV/0!</v>
      </c>
      <c r="I23" s="303">
        <f>'Cost.2.25'!U29</f>
        <v>0</v>
      </c>
      <c r="J23" s="305" t="e">
        <f>'Cost.2.25'!Y29/'Cost.2.25'!U29</f>
        <v>#DIV/0!</v>
      </c>
      <c r="K23" s="303">
        <f>'Cost.2.25'!F29</f>
        <v>0</v>
      </c>
      <c r="L23" s="303"/>
    </row>
    <row r="24" spans="1:12" x14ac:dyDescent="0.3">
      <c r="A24" s="301" t="s">
        <v>114</v>
      </c>
      <c r="B24" s="302">
        <f t="shared" si="0"/>
        <v>23</v>
      </c>
      <c r="C24" s="302">
        <v>3</v>
      </c>
      <c r="D24" s="302">
        <v>2025</v>
      </c>
      <c r="E24" s="303">
        <f>'Cost.2.25'!J30</f>
        <v>0</v>
      </c>
      <c r="F24" s="304" t="e">
        <f>'Cost.2.25'!M30/'Cost.2.25'!J30</f>
        <v>#DIV/0!</v>
      </c>
      <c r="G24" s="303">
        <f>'Cost.2.25'!O30</f>
        <v>0</v>
      </c>
      <c r="H24" s="304" t="e">
        <f>'Cost.2.25'!S30/'Cost.2.25'!O30</f>
        <v>#DIV/0!</v>
      </c>
      <c r="I24" s="303">
        <f>'Cost.2.25'!U30</f>
        <v>0</v>
      </c>
      <c r="J24" s="305" t="e">
        <f>'Cost.2.25'!Y30/'Cost.2.25'!U30</f>
        <v>#DIV/0!</v>
      </c>
      <c r="K24" s="303">
        <f>'Cost.2.25'!F30</f>
        <v>0</v>
      </c>
      <c r="L24" s="303"/>
    </row>
    <row r="25" spans="1:12" x14ac:dyDescent="0.3">
      <c r="A25" s="301" t="s">
        <v>114</v>
      </c>
      <c r="B25" s="302">
        <f t="shared" si="0"/>
        <v>24</v>
      </c>
      <c r="C25" s="302">
        <v>3</v>
      </c>
      <c r="D25" s="302">
        <v>2025</v>
      </c>
      <c r="E25" s="303">
        <f>'Cost.2.25'!J31</f>
        <v>0</v>
      </c>
      <c r="F25" s="304" t="e">
        <f>'Cost.2.25'!M31/'Cost.2.25'!J31</f>
        <v>#DIV/0!</v>
      </c>
      <c r="G25" s="303">
        <f>'Cost.2.25'!O31</f>
        <v>0</v>
      </c>
      <c r="H25" s="304" t="e">
        <f>'Cost.2.25'!S31/'Cost.2.25'!O31</f>
        <v>#DIV/0!</v>
      </c>
      <c r="I25" s="303">
        <f>'Cost.2.25'!U31</f>
        <v>0</v>
      </c>
      <c r="J25" s="305" t="e">
        <f>'Cost.2.25'!Y31/'Cost.2.25'!U31</f>
        <v>#DIV/0!</v>
      </c>
      <c r="K25" s="303">
        <f>'Cost.2.25'!F31</f>
        <v>0</v>
      </c>
      <c r="L25" s="303"/>
    </row>
    <row r="26" spans="1:12" x14ac:dyDescent="0.3">
      <c r="A26" s="301" t="s">
        <v>114</v>
      </c>
      <c r="B26" s="302">
        <f>B25+1</f>
        <v>25</v>
      </c>
      <c r="C26" s="302">
        <v>3</v>
      </c>
      <c r="D26" s="302">
        <v>2025</v>
      </c>
      <c r="E26" s="303">
        <f>'Cost.2.25'!J32</f>
        <v>0</v>
      </c>
      <c r="F26" s="304" t="e">
        <f>'Cost.2.25'!M32/'Cost.2.25'!J32</f>
        <v>#DIV/0!</v>
      </c>
      <c r="G26" s="303">
        <f>'Cost.2.25'!O32</f>
        <v>0</v>
      </c>
      <c r="H26" s="304" t="e">
        <f>'Cost.2.25'!S32/'Cost.2.25'!O32</f>
        <v>#DIV/0!</v>
      </c>
      <c r="I26" s="303">
        <f>'Cost.2.25'!U32</f>
        <v>0</v>
      </c>
      <c r="J26" s="305" t="e">
        <f>'Cost.2.25'!Y32/'Cost.2.25'!U32</f>
        <v>#DIV/0!</v>
      </c>
      <c r="K26" s="303">
        <f>'Cost.2.25'!F32</f>
        <v>0</v>
      </c>
      <c r="L26" s="303"/>
    </row>
    <row r="27" spans="1:12" x14ac:dyDescent="0.3">
      <c r="A27" s="301" t="s">
        <v>114</v>
      </c>
      <c r="B27" s="302">
        <f t="shared" si="0"/>
        <v>26</v>
      </c>
      <c r="C27" s="302">
        <v>3</v>
      </c>
      <c r="D27" s="302">
        <v>2025</v>
      </c>
      <c r="E27" s="303">
        <f>'Cost.2.25'!J33</f>
        <v>0</v>
      </c>
      <c r="F27" s="304" t="e">
        <f>'Cost.2.25'!M33/'Cost.2.25'!J33</f>
        <v>#DIV/0!</v>
      </c>
      <c r="G27" s="303">
        <f>'Cost.2.25'!O33</f>
        <v>0</v>
      </c>
      <c r="H27" s="304" t="e">
        <f>'Cost.2.25'!S33/'Cost.2.25'!O33</f>
        <v>#DIV/0!</v>
      </c>
      <c r="I27" s="303">
        <f>'Cost.2.25'!U33</f>
        <v>0</v>
      </c>
      <c r="J27" s="305" t="e">
        <f>'Cost.2.25'!Y33/'Cost.2.25'!U33</f>
        <v>#DIV/0!</v>
      </c>
      <c r="K27" s="303">
        <f>'Cost.2.25'!F33</f>
        <v>0</v>
      </c>
      <c r="L27" s="303"/>
    </row>
    <row r="28" spans="1:12" x14ac:dyDescent="0.3">
      <c r="A28" s="301" t="s">
        <v>114</v>
      </c>
      <c r="B28" s="302">
        <f t="shared" si="0"/>
        <v>27</v>
      </c>
      <c r="C28" s="302">
        <v>3</v>
      </c>
      <c r="D28" s="302">
        <v>2025</v>
      </c>
      <c r="E28" s="303">
        <f>'Cost.2.25'!J34</f>
        <v>0</v>
      </c>
      <c r="F28" s="304" t="e">
        <f>'Cost.2.25'!M34/'Cost.2.25'!J34</f>
        <v>#DIV/0!</v>
      </c>
      <c r="G28" s="303">
        <f>'Cost.2.25'!O34</f>
        <v>0</v>
      </c>
      <c r="H28" s="304" t="e">
        <f>'Cost.2.25'!S34/'Cost.2.25'!O34</f>
        <v>#DIV/0!</v>
      </c>
      <c r="I28" s="303">
        <f>'Cost.2.25'!U34</f>
        <v>0</v>
      </c>
      <c r="J28" s="305" t="e">
        <f>'Cost.2.25'!Y34/'Cost.2.25'!U34</f>
        <v>#DIV/0!</v>
      </c>
      <c r="K28" s="303">
        <f>'Cost.2.25'!F34</f>
        <v>0</v>
      </c>
      <c r="L28" s="303"/>
    </row>
    <row r="29" spans="1:12" x14ac:dyDescent="0.3">
      <c r="A29" s="301" t="s">
        <v>114</v>
      </c>
      <c r="B29" s="302">
        <f t="shared" si="0"/>
        <v>28</v>
      </c>
      <c r="C29" s="302">
        <v>3</v>
      </c>
      <c r="D29" s="302">
        <v>2025</v>
      </c>
      <c r="E29" s="303">
        <f>'Cost.2.25'!J35</f>
        <v>0</v>
      </c>
      <c r="F29" s="304" t="e">
        <f>'Cost.2.25'!M35/'Cost.2.25'!J35</f>
        <v>#DIV/0!</v>
      </c>
      <c r="G29" s="303">
        <f>'Cost.2.25'!O35</f>
        <v>0</v>
      </c>
      <c r="H29" s="304" t="e">
        <f>'Cost.2.25'!S35/'Cost.2.25'!O35</f>
        <v>#DIV/0!</v>
      </c>
      <c r="I29" s="303">
        <f>'Cost.2.25'!U35</f>
        <v>0</v>
      </c>
      <c r="J29" s="305" t="e">
        <f>'Cost.2.25'!Y35/'Cost.2.25'!U35</f>
        <v>#DIV/0!</v>
      </c>
      <c r="K29" s="303">
        <f>'Cost.2.25'!F35</f>
        <v>0</v>
      </c>
      <c r="L29" s="303"/>
    </row>
    <row r="30" spans="1:12" x14ac:dyDescent="0.3">
      <c r="A30" s="301" t="s">
        <v>114</v>
      </c>
      <c r="B30" s="302">
        <f t="shared" si="0"/>
        <v>29</v>
      </c>
      <c r="C30" s="302">
        <v>3</v>
      </c>
      <c r="D30" s="302">
        <v>2025</v>
      </c>
      <c r="E30" s="303">
        <f>'Cost.2.25'!J36</f>
        <v>0</v>
      </c>
      <c r="F30" s="304" t="e">
        <f>'Cost.2.25'!M36/'Cost.2.25'!J36</f>
        <v>#DIV/0!</v>
      </c>
      <c r="G30" s="303">
        <f>'Cost.2.25'!O36</f>
        <v>0</v>
      </c>
      <c r="H30" s="304" t="e">
        <f>'Cost.2.25'!S36/'Cost.2.25'!O36</f>
        <v>#DIV/0!</v>
      </c>
      <c r="I30" s="303">
        <f>'Cost.2.25'!U36</f>
        <v>0</v>
      </c>
      <c r="J30" s="305" t="e">
        <f>'Cost.2.25'!Y36/'Cost.2.25'!U36</f>
        <v>#DIV/0!</v>
      </c>
      <c r="K30" s="303">
        <f>'Cost.2.25'!F36</f>
        <v>0</v>
      </c>
      <c r="L30" s="303"/>
    </row>
    <row r="31" spans="1:12" x14ac:dyDescent="0.3">
      <c r="A31" s="301" t="s">
        <v>114</v>
      </c>
      <c r="B31" s="302">
        <f t="shared" si="0"/>
        <v>30</v>
      </c>
      <c r="C31" s="302">
        <v>3</v>
      </c>
      <c r="D31" s="302">
        <v>2025</v>
      </c>
      <c r="E31" s="303">
        <f>'Cost.2.25'!J37</f>
        <v>0</v>
      </c>
      <c r="F31" s="304" t="e">
        <f>'Cost.2.25'!M37/'Cost.2.25'!J37</f>
        <v>#DIV/0!</v>
      </c>
      <c r="G31" s="303">
        <f>'Cost.2.25'!O37</f>
        <v>0</v>
      </c>
      <c r="H31" s="304" t="e">
        <f>'Cost.2.25'!S37/'Cost.2.25'!O37</f>
        <v>#DIV/0!</v>
      </c>
      <c r="I31" s="303">
        <f>'Cost.2.25'!U37</f>
        <v>0</v>
      </c>
      <c r="J31" s="305" t="e">
        <f>'Cost.2.25'!Y37/'Cost.2.25'!U37</f>
        <v>#DIV/0!</v>
      </c>
      <c r="K31" s="303">
        <f>'Cost.2.25'!F37</f>
        <v>0</v>
      </c>
      <c r="L31" s="303"/>
    </row>
    <row r="32" spans="1:12" x14ac:dyDescent="0.3">
      <c r="A32" s="301" t="s">
        <v>114</v>
      </c>
      <c r="B32" s="302">
        <f t="shared" si="0"/>
        <v>31</v>
      </c>
      <c r="C32" s="302">
        <v>3</v>
      </c>
      <c r="D32" s="302">
        <v>2025</v>
      </c>
      <c r="E32" s="303">
        <f>'Cost.2.25'!J38</f>
        <v>0</v>
      </c>
      <c r="F32" s="304" t="e">
        <f>'Cost.2.25'!M38/'Cost.2.25'!J38</f>
        <v>#DIV/0!</v>
      </c>
      <c r="G32" s="303">
        <f>'Cost.2.25'!O38</f>
        <v>0</v>
      </c>
      <c r="H32" s="304" t="e">
        <f>'Cost.2.25'!S38/'Cost.2.25'!O38</f>
        <v>#DIV/0!</v>
      </c>
      <c r="I32" s="303">
        <f>'Cost.2.25'!U38</f>
        <v>0</v>
      </c>
      <c r="J32" s="305" t="e">
        <f>'Cost.2.25'!Y38/'Cost.2.25'!U38</f>
        <v>#DIV/0!</v>
      </c>
      <c r="K32" s="303">
        <f>'Cost.2.25'!F38</f>
        <v>0</v>
      </c>
      <c r="L32" s="303"/>
    </row>
    <row r="33" spans="7:7" x14ac:dyDescent="0.3">
      <c r="G33" s="30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P43"/>
  <sheetViews>
    <sheetView zoomScale="90" zoomScaleNormal="90" workbookViewId="0">
      <pane ySplit="5" topLeftCell="A6" activePane="bottomLeft" state="frozen"/>
      <selection activeCell="A5" sqref="A5"/>
      <selection pane="bottomLeft" activeCell="J8" sqref="J8"/>
    </sheetView>
  </sheetViews>
  <sheetFormatPr defaultRowHeight="13.2" x14ac:dyDescent="0.25"/>
  <cols>
    <col min="1" max="1" width="1.5546875" customWidth="1"/>
    <col min="2" max="2" width="11.44140625" customWidth="1"/>
    <col min="3" max="3" width="1.109375" customWidth="1"/>
    <col min="4" max="4" width="7.88671875" customWidth="1"/>
    <col min="5" max="5" width="1.109375" customWidth="1"/>
    <col min="6" max="6" width="11.109375" customWidth="1"/>
    <col min="7" max="7" width="1.109375" customWidth="1"/>
    <col min="8" max="8" width="11.109375" customWidth="1"/>
    <col min="9" max="9" width="1.109375" customWidth="1"/>
    <col min="10" max="10" width="10.109375" customWidth="1"/>
    <col min="11" max="12" width="9.5546875" customWidth="1"/>
    <col min="13" max="13" width="9.44140625" customWidth="1"/>
    <col min="14" max="14" width="1.109375" style="41" customWidth="1"/>
    <col min="15" max="16" width="10.33203125" customWidth="1"/>
    <col min="19" max="19" width="8.109375" customWidth="1"/>
    <col min="20" max="20" width="1.109375" style="41" customWidth="1"/>
    <col min="21" max="22" width="10.33203125" style="41" customWidth="1"/>
    <col min="23" max="24" width="9" style="41" customWidth="1"/>
    <col min="25" max="25" width="8.6640625" style="41" customWidth="1"/>
    <col min="26" max="26" width="1.109375" style="41" customWidth="1"/>
    <col min="27" max="27" width="1.88671875" customWidth="1"/>
    <col min="28" max="29" width="10.109375" customWidth="1"/>
    <col min="30" max="30" width="10.33203125" customWidth="1"/>
    <col min="31" max="31" width="11" customWidth="1"/>
    <col min="32" max="32" width="1.6640625" customWidth="1"/>
    <col min="33" max="34" width="11.44140625" customWidth="1"/>
    <col min="35" max="35" width="12" customWidth="1"/>
    <col min="36" max="36" width="1.44140625" customWidth="1"/>
    <col min="37" max="37" width="11.88671875" customWidth="1"/>
    <col min="38" max="38" width="10.6640625" customWidth="1"/>
    <col min="39" max="39" width="10.33203125" customWidth="1"/>
    <col min="40" max="40" width="1.6640625" customWidth="1"/>
    <col min="41" max="41" width="16.33203125" customWidth="1"/>
  </cols>
  <sheetData>
    <row r="1" spans="1:42" ht="13.8" thickBot="1" x14ac:dyDescent="0.3">
      <c r="H1">
        <f>H8*31</f>
        <v>12862</v>
      </c>
      <c r="K1">
        <f>K8*31</f>
        <v>373723</v>
      </c>
      <c r="N1"/>
      <c r="P1">
        <f>P8*31</f>
        <v>300</v>
      </c>
      <c r="Q1">
        <f>Q8*31</f>
        <v>240</v>
      </c>
      <c r="T1"/>
      <c r="U1"/>
      <c r="V1">
        <f>V8*31</f>
        <v>5364</v>
      </c>
      <c r="W1">
        <f>W8*31</f>
        <v>48280</v>
      </c>
      <c r="X1"/>
      <c r="Y1"/>
      <c r="Z1"/>
    </row>
    <row r="2" spans="1:42" ht="25.2" thickBot="1" x14ac:dyDescent="0.45">
      <c r="A2" s="252" t="s">
        <v>93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76"/>
      <c r="AB2" s="76" t="s">
        <v>94</v>
      </c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7"/>
      <c r="AO2" s="69"/>
      <c r="AP2" s="69"/>
    </row>
    <row r="3" spans="1:42" ht="25.2" thickBot="1" x14ac:dyDescent="0.45">
      <c r="A3" s="206"/>
      <c r="B3" s="207">
        <v>1</v>
      </c>
      <c r="C3" s="207">
        <v>2</v>
      </c>
      <c r="D3" s="207">
        <v>3</v>
      </c>
      <c r="E3" s="207">
        <v>4</v>
      </c>
      <c r="F3" s="207">
        <v>5</v>
      </c>
      <c r="G3" s="207">
        <v>6</v>
      </c>
      <c r="H3" s="207">
        <v>7</v>
      </c>
      <c r="I3" s="207">
        <v>8</v>
      </c>
      <c r="J3" s="207">
        <v>9</v>
      </c>
      <c r="K3" s="207">
        <v>10</v>
      </c>
      <c r="L3" s="207">
        <v>11</v>
      </c>
      <c r="M3" s="207">
        <v>12</v>
      </c>
      <c r="N3" s="207">
        <v>13</v>
      </c>
      <c r="O3" s="207">
        <v>14</v>
      </c>
      <c r="P3" s="207">
        <v>15</v>
      </c>
      <c r="Q3" s="207">
        <v>17</v>
      </c>
      <c r="R3" s="207">
        <v>18</v>
      </c>
      <c r="S3" s="207">
        <v>19</v>
      </c>
      <c r="T3" s="207">
        <v>20</v>
      </c>
      <c r="U3" s="207">
        <v>21</v>
      </c>
      <c r="V3" s="207">
        <v>22</v>
      </c>
      <c r="W3" s="207">
        <v>23</v>
      </c>
      <c r="X3" s="207">
        <v>24</v>
      </c>
      <c r="Y3" s="207">
        <v>25</v>
      </c>
      <c r="Z3" s="207">
        <v>26</v>
      </c>
      <c r="AA3" s="207">
        <v>46</v>
      </c>
      <c r="AB3" s="207">
        <v>47</v>
      </c>
      <c r="AC3" s="207">
        <v>48</v>
      </c>
      <c r="AD3" s="207">
        <v>49</v>
      </c>
      <c r="AE3" s="207">
        <v>50</v>
      </c>
      <c r="AF3" s="207">
        <v>53</v>
      </c>
      <c r="AG3" s="207">
        <v>54</v>
      </c>
      <c r="AH3" s="207">
        <v>55</v>
      </c>
      <c r="AI3" s="207">
        <v>56</v>
      </c>
      <c r="AJ3" s="207">
        <v>57</v>
      </c>
      <c r="AK3" s="207">
        <v>58</v>
      </c>
      <c r="AL3" s="207">
        <v>59</v>
      </c>
      <c r="AM3" s="207">
        <v>60</v>
      </c>
      <c r="AN3" s="206"/>
      <c r="AO3" s="69"/>
      <c r="AP3" s="69"/>
    </row>
    <row r="4" spans="1:42" ht="37.950000000000003" customHeight="1" thickTop="1" thickBot="1" x14ac:dyDescent="0.3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7"/>
      <c r="AN4" s="2"/>
    </row>
    <row r="5" spans="1:42" ht="13.5" customHeight="1" thickBot="1" x14ac:dyDescent="0.3">
      <c r="A5" s="3"/>
      <c r="B5" s="8"/>
      <c r="C5" s="8"/>
      <c r="D5" s="8"/>
      <c r="E5" s="8"/>
      <c r="F5" s="8"/>
      <c r="G5" s="8"/>
      <c r="H5" s="8"/>
      <c r="I5" s="8"/>
      <c r="J5" s="264" t="s">
        <v>3</v>
      </c>
      <c r="K5" s="265"/>
      <c r="L5" s="265"/>
      <c r="M5" s="266"/>
      <c r="N5" s="56"/>
      <c r="O5" s="261" t="s">
        <v>4</v>
      </c>
      <c r="P5" s="262"/>
      <c r="Q5" s="262"/>
      <c r="R5" s="262"/>
      <c r="S5" s="263"/>
      <c r="T5" s="9"/>
      <c r="U5" s="258" t="s">
        <v>5</v>
      </c>
      <c r="V5" s="259"/>
      <c r="W5" s="259"/>
      <c r="X5" s="259"/>
      <c r="Y5" s="260"/>
      <c r="Z5" s="10"/>
      <c r="AA5" s="33"/>
      <c r="AB5" s="254" t="s">
        <v>3</v>
      </c>
      <c r="AC5" s="255"/>
      <c r="AD5" s="256" t="s">
        <v>5</v>
      </c>
      <c r="AE5" s="257"/>
      <c r="AF5" s="10"/>
      <c r="AG5" s="250" t="s">
        <v>102</v>
      </c>
      <c r="AH5" s="250" t="s">
        <v>103</v>
      </c>
      <c r="AI5" s="250" t="s">
        <v>104</v>
      </c>
      <c r="AJ5" s="63"/>
      <c r="AK5" s="250" t="s">
        <v>6</v>
      </c>
      <c r="AL5" s="250" t="s">
        <v>7</v>
      </c>
      <c r="AM5" s="250" t="s">
        <v>8</v>
      </c>
      <c r="AN5" s="4"/>
    </row>
    <row r="6" spans="1:42" ht="53.4" thickBot="1" x14ac:dyDescent="0.3">
      <c r="A6" s="3"/>
      <c r="B6" s="11" t="s">
        <v>9</v>
      </c>
      <c r="C6" s="12"/>
      <c r="D6" s="11" t="s">
        <v>10</v>
      </c>
      <c r="E6" s="12"/>
      <c r="F6" s="11" t="s">
        <v>1</v>
      </c>
      <c r="G6" s="12"/>
      <c r="H6" s="11" t="s">
        <v>11</v>
      </c>
      <c r="I6" s="12"/>
      <c r="J6" s="17" t="s">
        <v>12</v>
      </c>
      <c r="K6" s="18" t="s">
        <v>99</v>
      </c>
      <c r="L6" s="180" t="s">
        <v>97</v>
      </c>
      <c r="M6" s="30" t="s">
        <v>98</v>
      </c>
      <c r="N6" s="56"/>
      <c r="O6" s="15" t="s">
        <v>13</v>
      </c>
      <c r="P6" s="59" t="s">
        <v>14</v>
      </c>
      <c r="Q6" s="16" t="s">
        <v>99</v>
      </c>
      <c r="R6" s="181" t="s">
        <v>97</v>
      </c>
      <c r="S6" s="27" t="s">
        <v>98</v>
      </c>
      <c r="T6" s="12"/>
      <c r="U6" s="13" t="s">
        <v>15</v>
      </c>
      <c r="V6" s="148" t="s">
        <v>16</v>
      </c>
      <c r="W6" s="14" t="s">
        <v>96</v>
      </c>
      <c r="X6" s="183" t="s">
        <v>97</v>
      </c>
      <c r="Y6" s="28" t="s">
        <v>98</v>
      </c>
      <c r="Z6" s="19"/>
      <c r="AA6" s="33"/>
      <c r="AB6" s="64" t="s">
        <v>17</v>
      </c>
      <c r="AC6" s="65" t="s">
        <v>101</v>
      </c>
      <c r="AD6" s="66" t="s">
        <v>18</v>
      </c>
      <c r="AE6" s="67" t="s">
        <v>100</v>
      </c>
      <c r="AF6" s="62"/>
      <c r="AG6" s="251"/>
      <c r="AH6" s="251"/>
      <c r="AI6" s="251"/>
      <c r="AJ6" s="63"/>
      <c r="AK6" s="251"/>
      <c r="AL6" s="251"/>
      <c r="AM6" s="251"/>
      <c r="AN6" s="4"/>
    </row>
    <row r="7" spans="1:42" ht="5.4" customHeight="1" thickBot="1" x14ac:dyDescent="0.3">
      <c r="A7" s="3"/>
      <c r="B7" s="12"/>
      <c r="C7" s="12"/>
      <c r="D7" s="55"/>
      <c r="E7" s="12"/>
      <c r="F7" s="12"/>
      <c r="G7" s="12"/>
      <c r="H7" s="108"/>
      <c r="I7" s="12"/>
      <c r="J7" s="12"/>
      <c r="K7" s="12"/>
      <c r="L7" s="12"/>
      <c r="M7" s="19"/>
      <c r="N7" s="33"/>
      <c r="O7" s="12"/>
      <c r="P7" s="108"/>
      <c r="Q7" s="108"/>
      <c r="R7" s="108"/>
      <c r="S7" s="19"/>
      <c r="T7" s="12"/>
      <c r="U7" s="12"/>
      <c r="V7" s="12"/>
      <c r="W7" s="108"/>
      <c r="X7" s="108"/>
      <c r="Y7" s="150"/>
      <c r="Z7" s="19"/>
      <c r="AA7" s="33"/>
      <c r="AB7" s="68"/>
      <c r="AC7" s="68"/>
      <c r="AD7" s="68"/>
      <c r="AE7" s="68"/>
      <c r="AF7" s="33"/>
      <c r="AG7" s="12"/>
      <c r="AH7" s="12"/>
      <c r="AI7" s="12"/>
      <c r="AJ7" s="12"/>
      <c r="AK7" s="33"/>
      <c r="AL7" s="33"/>
      <c r="AM7" s="33"/>
      <c r="AN7" s="4"/>
    </row>
    <row r="8" spans="1:42" ht="13.8" thickBot="1" x14ac:dyDescent="0.3">
      <c r="A8" s="3"/>
      <c r="B8" s="91">
        <v>45658</v>
      </c>
      <c r="C8" s="20"/>
      <c r="D8" s="126">
        <f>'Reading.2.25'!AC6</f>
        <v>0</v>
      </c>
      <c r="E8" s="86"/>
      <c r="F8" s="127">
        <f>'Reading.2.25'!AH6</f>
        <v>232</v>
      </c>
      <c r="G8" s="85"/>
      <c r="H8" s="127">
        <f>'Reading.2.25'!AJ6</f>
        <v>414.90322580645159</v>
      </c>
      <c r="I8" s="86"/>
      <c r="J8" s="128">
        <f>'Reading.2.25'!S6</f>
        <v>20524</v>
      </c>
      <c r="K8" s="155">
        <f>373723/31</f>
        <v>12055.58064516129</v>
      </c>
      <c r="L8" s="155" t="e">
        <f>#REF!</f>
        <v>#REF!</v>
      </c>
      <c r="M8" s="173">
        <f>J8*0.34</f>
        <v>6978.1600000000008</v>
      </c>
      <c r="N8" s="88"/>
      <c r="O8" s="129">
        <f>'Reading.2.25'!P6</f>
        <v>0</v>
      </c>
      <c r="P8" s="156">
        <f>300/31</f>
        <v>9.67741935483871</v>
      </c>
      <c r="Q8" s="157">
        <f>240/31</f>
        <v>7.741935483870968</v>
      </c>
      <c r="R8" s="182" t="e">
        <f>#REF!</f>
        <v>#REF!</v>
      </c>
      <c r="S8" s="130">
        <f t="shared" ref="S8:S37" si="0">O8*5.86</f>
        <v>0</v>
      </c>
      <c r="T8" s="89"/>
      <c r="U8" s="131">
        <f>'Reading.2.25'!G6</f>
        <v>0</v>
      </c>
      <c r="V8" s="149">
        <f>'Reading.2.25'!H6</f>
        <v>173.03225806451613</v>
      </c>
      <c r="W8" s="158">
        <f>48280/31</f>
        <v>1557.4193548387098</v>
      </c>
      <c r="X8" s="184" t="e">
        <f>#REF!</f>
        <v>#REF!</v>
      </c>
      <c r="Y8" s="29">
        <f>'Reading.2.25'!G6*4.63</f>
        <v>0</v>
      </c>
      <c r="Z8" s="90"/>
      <c r="AA8" s="107"/>
      <c r="AB8" s="78">
        <f t="shared" ref="AB8:AB37" si="1">J8/F8</f>
        <v>88.465517241379317</v>
      </c>
      <c r="AC8" s="79">
        <f t="shared" ref="AC8:AC37" si="2">(M8+S8)/F8</f>
        <v>30.078275862068971</v>
      </c>
      <c r="AD8" s="80">
        <f t="shared" ref="AD8:AD37" si="3">U8/F8</f>
        <v>0</v>
      </c>
      <c r="AE8" s="81">
        <f t="shared" ref="AE8:AE37" si="4">Y8/F8</f>
        <v>0</v>
      </c>
      <c r="AF8" s="106"/>
      <c r="AG8" s="132" t="e">
        <f>#REF!</f>
        <v>#REF!</v>
      </c>
      <c r="AH8" s="132">
        <f>W8+Q8+K8</f>
        <v>13620.741935483871</v>
      </c>
      <c r="AI8" s="133">
        <f>Y8+S8+M8</f>
        <v>6978.1600000000008</v>
      </c>
      <c r="AJ8" s="89"/>
      <c r="AK8" s="134" t="e">
        <f>#REF!</f>
        <v>#REF!</v>
      </c>
      <c r="AL8" s="134">
        <f t="shared" ref="AL8:AL37" si="5">AH8/H8</f>
        <v>32.82872026123465</v>
      </c>
      <c r="AM8" s="135">
        <f t="shared" ref="AM8:AM38" si="6">(M8+Y8+S8)/F8</f>
        <v>30.078275862068971</v>
      </c>
      <c r="AN8" s="4"/>
    </row>
    <row r="9" spans="1:42" ht="13.8" thickBot="1" x14ac:dyDescent="0.3">
      <c r="A9" s="3"/>
      <c r="B9" s="91">
        <v>45659</v>
      </c>
      <c r="C9" s="20"/>
      <c r="D9" s="126">
        <f>'Reading.2.25'!AD7</f>
        <v>0.39800000000000002</v>
      </c>
      <c r="E9" s="86"/>
      <c r="F9" s="127">
        <f>'Reading.2.25'!AH7</f>
        <v>204</v>
      </c>
      <c r="G9" s="85"/>
      <c r="H9" s="127">
        <f>'Reading.2.25'!AJ7</f>
        <v>414.90322580645159</v>
      </c>
      <c r="I9" s="86"/>
      <c r="J9" s="128">
        <f>'Reading.2.25'!S7</f>
        <v>19871</v>
      </c>
      <c r="K9" s="155">
        <f t="shared" ref="K9:K37" si="7">373723/31</f>
        <v>12055.58064516129</v>
      </c>
      <c r="L9" s="155" t="e">
        <f>#REF!</f>
        <v>#REF!</v>
      </c>
      <c r="M9" s="173">
        <f t="shared" ref="M9:M29" si="8">J9*0.34</f>
        <v>6756.14</v>
      </c>
      <c r="N9" s="88"/>
      <c r="O9" s="129">
        <f>'Reading.2.25'!P7</f>
        <v>0</v>
      </c>
      <c r="P9" s="156">
        <f t="shared" ref="P9:P37" si="9">300/31</f>
        <v>9.67741935483871</v>
      </c>
      <c r="Q9" s="157">
        <f t="shared" ref="Q9:Q37" si="10">240/31</f>
        <v>7.741935483870968</v>
      </c>
      <c r="R9" s="182" t="e">
        <f>#REF!</f>
        <v>#REF!</v>
      </c>
      <c r="S9" s="130">
        <f t="shared" si="0"/>
        <v>0</v>
      </c>
      <c r="T9" s="89"/>
      <c r="U9" s="131">
        <f>'Reading.2.25'!G7</f>
        <v>0</v>
      </c>
      <c r="V9" s="149">
        <f>'Reading.2.25'!H7</f>
        <v>173.03225806451613</v>
      </c>
      <c r="W9" s="158">
        <f t="shared" ref="W9:W38" si="11">48280/31</f>
        <v>1557.4193548387098</v>
      </c>
      <c r="X9" s="184" t="e">
        <f>#REF!</f>
        <v>#REF!</v>
      </c>
      <c r="Y9" s="29">
        <f>'Reading.2.25'!G7*4.63</f>
        <v>0</v>
      </c>
      <c r="Z9" s="90"/>
      <c r="AA9" s="107"/>
      <c r="AB9" s="78">
        <f t="shared" si="1"/>
        <v>97.406862745098039</v>
      </c>
      <c r="AC9" s="79">
        <f t="shared" si="2"/>
        <v>33.118333333333332</v>
      </c>
      <c r="AD9" s="80">
        <f t="shared" si="3"/>
        <v>0</v>
      </c>
      <c r="AE9" s="81">
        <f t="shared" si="4"/>
        <v>0</v>
      </c>
      <c r="AF9" s="106"/>
      <c r="AG9" s="132" t="e">
        <f>#REF!</f>
        <v>#REF!</v>
      </c>
      <c r="AH9" s="132">
        <f t="shared" ref="AH9:AH37" si="12">W9+Q9+K9</f>
        <v>13620.741935483871</v>
      </c>
      <c r="AI9" s="133">
        <f t="shared" ref="AI9:AI37" si="13">Y9+S9+M9</f>
        <v>6756.14</v>
      </c>
      <c r="AJ9" s="89"/>
      <c r="AK9" s="134" t="e">
        <f>#REF!</f>
        <v>#REF!</v>
      </c>
      <c r="AL9" s="134">
        <f t="shared" si="5"/>
        <v>32.82872026123465</v>
      </c>
      <c r="AM9" s="135">
        <f t="shared" si="6"/>
        <v>33.118333333333332</v>
      </c>
      <c r="AN9" s="4"/>
    </row>
    <row r="10" spans="1:42" ht="13.8" thickBot="1" x14ac:dyDescent="0.3">
      <c r="A10" s="3"/>
      <c r="B10" s="91">
        <v>45660</v>
      </c>
      <c r="C10" s="20"/>
      <c r="D10" s="126">
        <f>'Reading.2.25'!AD8</f>
        <v>0.38100000000000001</v>
      </c>
      <c r="E10" s="86"/>
      <c r="F10" s="127">
        <f>'Reading.2.25'!AH8</f>
        <v>195</v>
      </c>
      <c r="G10" s="85"/>
      <c r="H10" s="127">
        <f>'Reading.2.25'!AJ8</f>
        <v>414.90322580645159</v>
      </c>
      <c r="I10" s="86"/>
      <c r="J10" s="128">
        <f>'Reading.2.25'!S8</f>
        <v>19821</v>
      </c>
      <c r="K10" s="155">
        <f t="shared" si="7"/>
        <v>12055.58064516129</v>
      </c>
      <c r="L10" s="155" t="e">
        <f>#REF!</f>
        <v>#REF!</v>
      </c>
      <c r="M10" s="173">
        <f t="shared" si="8"/>
        <v>6739.14</v>
      </c>
      <c r="N10" s="88"/>
      <c r="O10" s="129">
        <f>'Reading.2.25'!P8</f>
        <v>0</v>
      </c>
      <c r="P10" s="156">
        <f t="shared" si="9"/>
        <v>9.67741935483871</v>
      </c>
      <c r="Q10" s="157">
        <f t="shared" si="10"/>
        <v>7.741935483870968</v>
      </c>
      <c r="R10" s="182" t="e">
        <f>#REF!</f>
        <v>#REF!</v>
      </c>
      <c r="S10" s="130">
        <f t="shared" si="0"/>
        <v>0</v>
      </c>
      <c r="T10" s="89"/>
      <c r="U10" s="131">
        <f>'Reading.2.25'!G8</f>
        <v>0</v>
      </c>
      <c r="V10" s="149">
        <f>'Reading.2.25'!H8</f>
        <v>173.03225806451613</v>
      </c>
      <c r="W10" s="158">
        <f t="shared" si="11"/>
        <v>1557.4193548387098</v>
      </c>
      <c r="X10" s="184" t="e">
        <f>#REF!</f>
        <v>#REF!</v>
      </c>
      <c r="Y10" s="29">
        <f>'Reading.2.25'!G8*4.63</f>
        <v>0</v>
      </c>
      <c r="Z10" s="90"/>
      <c r="AA10" s="107"/>
      <c r="AB10" s="78">
        <f t="shared" si="1"/>
        <v>101.64615384615385</v>
      </c>
      <c r="AC10" s="79">
        <f t="shared" si="2"/>
        <v>34.559692307692309</v>
      </c>
      <c r="AD10" s="80">
        <f t="shared" si="3"/>
        <v>0</v>
      </c>
      <c r="AE10" s="81">
        <f t="shared" si="4"/>
        <v>0</v>
      </c>
      <c r="AF10" s="106"/>
      <c r="AG10" s="132" t="e">
        <f>#REF!</f>
        <v>#REF!</v>
      </c>
      <c r="AH10" s="132">
        <f t="shared" si="12"/>
        <v>13620.741935483871</v>
      </c>
      <c r="AI10" s="133">
        <f t="shared" si="13"/>
        <v>6739.14</v>
      </c>
      <c r="AJ10" s="89"/>
      <c r="AK10" s="134" t="e">
        <f>#REF!</f>
        <v>#REF!</v>
      </c>
      <c r="AL10" s="134">
        <f t="shared" si="5"/>
        <v>32.82872026123465</v>
      </c>
      <c r="AM10" s="135">
        <f t="shared" si="6"/>
        <v>34.559692307692309</v>
      </c>
      <c r="AN10" s="4"/>
    </row>
    <row r="11" spans="1:42" ht="13.8" thickBot="1" x14ac:dyDescent="0.3">
      <c r="A11" s="3"/>
      <c r="B11" s="91">
        <v>45661</v>
      </c>
      <c r="C11" s="20"/>
      <c r="D11" s="126">
        <f>'Reading.2.25'!AD9</f>
        <v>0.35</v>
      </c>
      <c r="E11" s="86"/>
      <c r="F11" s="127">
        <f>'Reading.2.25'!AH9</f>
        <v>179</v>
      </c>
      <c r="G11" s="85"/>
      <c r="H11" s="127">
        <f>'Reading.2.25'!AJ9</f>
        <v>414.90322580645159</v>
      </c>
      <c r="I11" s="86"/>
      <c r="J11" s="128">
        <f>'Reading.2.25'!S9</f>
        <v>20273</v>
      </c>
      <c r="K11" s="155">
        <f t="shared" si="7"/>
        <v>12055.58064516129</v>
      </c>
      <c r="L11" s="155" t="e">
        <f>#REF!</f>
        <v>#REF!</v>
      </c>
      <c r="M11" s="173">
        <f t="shared" si="8"/>
        <v>6892.8200000000006</v>
      </c>
      <c r="N11" s="88"/>
      <c r="O11" s="129">
        <f>'Reading.2.25'!P9</f>
        <v>0</v>
      </c>
      <c r="P11" s="156">
        <f t="shared" si="9"/>
        <v>9.67741935483871</v>
      </c>
      <c r="Q11" s="157">
        <f t="shared" si="10"/>
        <v>7.741935483870968</v>
      </c>
      <c r="R11" s="182" t="e">
        <f>#REF!</f>
        <v>#REF!</v>
      </c>
      <c r="S11" s="130">
        <f t="shared" si="0"/>
        <v>0</v>
      </c>
      <c r="T11" s="89"/>
      <c r="U11" s="131">
        <f>'Reading.2.25'!G9</f>
        <v>0</v>
      </c>
      <c r="V11" s="149">
        <f>'Reading.2.25'!H9</f>
        <v>173.03225806451613</v>
      </c>
      <c r="W11" s="158">
        <f t="shared" si="11"/>
        <v>1557.4193548387098</v>
      </c>
      <c r="X11" s="184" t="e">
        <f>#REF!</f>
        <v>#REF!</v>
      </c>
      <c r="Y11" s="29">
        <f>'Reading.2.25'!G9*4.63</f>
        <v>0</v>
      </c>
      <c r="Z11" s="90"/>
      <c r="AA11" s="107"/>
      <c r="AB11" s="78">
        <f t="shared" si="1"/>
        <v>113.25698324022346</v>
      </c>
      <c r="AC11" s="79">
        <f t="shared" si="2"/>
        <v>38.507374301675981</v>
      </c>
      <c r="AD11" s="80">
        <f t="shared" si="3"/>
        <v>0</v>
      </c>
      <c r="AE11" s="81">
        <f t="shared" si="4"/>
        <v>0</v>
      </c>
      <c r="AF11" s="106"/>
      <c r="AG11" s="132" t="e">
        <f>#REF!</f>
        <v>#REF!</v>
      </c>
      <c r="AH11" s="132">
        <f t="shared" si="12"/>
        <v>13620.741935483871</v>
      </c>
      <c r="AI11" s="133">
        <f t="shared" si="13"/>
        <v>6892.8200000000006</v>
      </c>
      <c r="AJ11" s="89"/>
      <c r="AK11" s="134" t="e">
        <f>#REF!</f>
        <v>#REF!</v>
      </c>
      <c r="AL11" s="134">
        <f t="shared" si="5"/>
        <v>32.82872026123465</v>
      </c>
      <c r="AM11" s="135">
        <f t="shared" si="6"/>
        <v>38.507374301675981</v>
      </c>
      <c r="AN11" s="4"/>
    </row>
    <row r="12" spans="1:42" ht="13.8" thickBot="1" x14ac:dyDescent="0.3">
      <c r="A12" s="3"/>
      <c r="B12" s="91">
        <v>45662</v>
      </c>
      <c r="C12" s="20"/>
      <c r="D12" s="126">
        <f>'Reading.2.25'!AD10</f>
        <v>0.45100000000000001</v>
      </c>
      <c r="E12" s="86"/>
      <c r="F12" s="127">
        <f>'Reading.2.25'!AH10</f>
        <v>231</v>
      </c>
      <c r="G12" s="85"/>
      <c r="H12" s="127">
        <f>'Reading.2.25'!AJ10</f>
        <v>414.90322580645159</v>
      </c>
      <c r="I12" s="86"/>
      <c r="J12" s="128">
        <f>'Reading.2.25'!S10</f>
        <v>19570</v>
      </c>
      <c r="K12" s="155">
        <f t="shared" si="7"/>
        <v>12055.58064516129</v>
      </c>
      <c r="L12" s="155" t="e">
        <f>#REF!</f>
        <v>#REF!</v>
      </c>
      <c r="M12" s="173">
        <f t="shared" si="8"/>
        <v>6653.8</v>
      </c>
      <c r="N12" s="88"/>
      <c r="O12" s="129">
        <f>'Reading.2.25'!P10</f>
        <v>0</v>
      </c>
      <c r="P12" s="156">
        <f t="shared" si="9"/>
        <v>9.67741935483871</v>
      </c>
      <c r="Q12" s="157">
        <f t="shared" si="10"/>
        <v>7.741935483870968</v>
      </c>
      <c r="R12" s="182" t="e">
        <f>#REF!</f>
        <v>#REF!</v>
      </c>
      <c r="S12" s="130">
        <f t="shared" si="0"/>
        <v>0</v>
      </c>
      <c r="T12" s="89"/>
      <c r="U12" s="131">
        <f>'Reading.2.25'!G10</f>
        <v>0</v>
      </c>
      <c r="V12" s="149">
        <f>'Reading.2.25'!H10</f>
        <v>173.03225806451613</v>
      </c>
      <c r="W12" s="158">
        <f t="shared" si="11"/>
        <v>1557.4193548387098</v>
      </c>
      <c r="X12" s="184" t="e">
        <f>#REF!</f>
        <v>#REF!</v>
      </c>
      <c r="Y12" s="29">
        <f>'Reading.2.25'!G10*4.63</f>
        <v>0</v>
      </c>
      <c r="Z12" s="90"/>
      <c r="AA12" s="107"/>
      <c r="AB12" s="78">
        <f t="shared" si="1"/>
        <v>84.718614718614717</v>
      </c>
      <c r="AC12" s="79">
        <f t="shared" si="2"/>
        <v>28.804329004329006</v>
      </c>
      <c r="AD12" s="80">
        <f t="shared" si="3"/>
        <v>0</v>
      </c>
      <c r="AE12" s="81">
        <f t="shared" si="4"/>
        <v>0</v>
      </c>
      <c r="AF12" s="106"/>
      <c r="AG12" s="132" t="e">
        <f>#REF!</f>
        <v>#REF!</v>
      </c>
      <c r="AH12" s="132">
        <f t="shared" si="12"/>
        <v>13620.741935483871</v>
      </c>
      <c r="AI12" s="133">
        <f t="shared" si="13"/>
        <v>6653.8</v>
      </c>
      <c r="AJ12" s="89"/>
      <c r="AK12" s="134" t="e">
        <f>#REF!</f>
        <v>#REF!</v>
      </c>
      <c r="AL12" s="134">
        <f t="shared" si="5"/>
        <v>32.82872026123465</v>
      </c>
      <c r="AM12" s="135">
        <f t="shared" si="6"/>
        <v>28.804329004329006</v>
      </c>
      <c r="AN12" s="4"/>
    </row>
    <row r="13" spans="1:42" ht="13.8" thickBot="1" x14ac:dyDescent="0.3">
      <c r="A13" s="3"/>
      <c r="B13" s="91">
        <v>45663</v>
      </c>
      <c r="C13" s="20"/>
      <c r="D13" s="126">
        <f>'Reading.2.25'!AD11</f>
        <v>0.60499999999999998</v>
      </c>
      <c r="E13" s="86"/>
      <c r="F13" s="127">
        <f>'Reading.2.25'!AH11</f>
        <v>310</v>
      </c>
      <c r="G13" s="85"/>
      <c r="H13" s="127">
        <f>'Reading.2.25'!AJ11</f>
        <v>414.90322580645159</v>
      </c>
      <c r="I13" s="86"/>
      <c r="J13" s="128">
        <f>'Reading.2.25'!S11</f>
        <v>19721</v>
      </c>
      <c r="K13" s="155">
        <f t="shared" si="7"/>
        <v>12055.58064516129</v>
      </c>
      <c r="L13" s="155" t="e">
        <f>#REF!</f>
        <v>#REF!</v>
      </c>
      <c r="M13" s="173">
        <f t="shared" si="8"/>
        <v>6705.14</v>
      </c>
      <c r="N13" s="88"/>
      <c r="O13" s="129">
        <f>'Reading.2.25'!P11</f>
        <v>0</v>
      </c>
      <c r="P13" s="156">
        <f t="shared" si="9"/>
        <v>9.67741935483871</v>
      </c>
      <c r="Q13" s="157">
        <f t="shared" si="10"/>
        <v>7.741935483870968</v>
      </c>
      <c r="R13" s="182" t="e">
        <f>#REF!</f>
        <v>#REF!</v>
      </c>
      <c r="S13" s="130">
        <f t="shared" si="0"/>
        <v>0</v>
      </c>
      <c r="T13" s="89"/>
      <c r="U13" s="131">
        <f>'Reading.2.25'!G11</f>
        <v>0</v>
      </c>
      <c r="V13" s="149">
        <f>'Reading.2.25'!H11</f>
        <v>173.03225806451613</v>
      </c>
      <c r="W13" s="158">
        <f t="shared" si="11"/>
        <v>1557.4193548387098</v>
      </c>
      <c r="X13" s="184" t="e">
        <f>#REF!</f>
        <v>#REF!</v>
      </c>
      <c r="Y13" s="29">
        <f>'Reading.2.25'!G11*4.63</f>
        <v>0</v>
      </c>
      <c r="Z13" s="90"/>
      <c r="AA13" s="107"/>
      <c r="AB13" s="78">
        <f t="shared" si="1"/>
        <v>63.616129032258065</v>
      </c>
      <c r="AC13" s="79">
        <f t="shared" si="2"/>
        <v>21.629483870967743</v>
      </c>
      <c r="AD13" s="80">
        <f t="shared" si="3"/>
        <v>0</v>
      </c>
      <c r="AE13" s="81">
        <f t="shared" si="4"/>
        <v>0</v>
      </c>
      <c r="AF13" s="106"/>
      <c r="AG13" s="132" t="e">
        <f>#REF!</f>
        <v>#REF!</v>
      </c>
      <c r="AH13" s="132">
        <f t="shared" si="12"/>
        <v>13620.741935483871</v>
      </c>
      <c r="AI13" s="133">
        <f t="shared" si="13"/>
        <v>6705.14</v>
      </c>
      <c r="AJ13" s="89"/>
      <c r="AK13" s="134" t="e">
        <f>#REF!</f>
        <v>#REF!</v>
      </c>
      <c r="AL13" s="134">
        <f t="shared" si="5"/>
        <v>32.82872026123465</v>
      </c>
      <c r="AM13" s="135">
        <f t="shared" si="6"/>
        <v>21.629483870967743</v>
      </c>
      <c r="AN13" s="4"/>
    </row>
    <row r="14" spans="1:42" ht="13.8" thickBot="1" x14ac:dyDescent="0.3">
      <c r="A14" s="3"/>
      <c r="B14" s="91">
        <v>45664</v>
      </c>
      <c r="C14" s="20"/>
      <c r="D14" s="126">
        <f>'Reading.2.25'!AD12</f>
        <v>0.56299999999999994</v>
      </c>
      <c r="E14" s="86"/>
      <c r="F14" s="127">
        <f>'Reading.2.25'!AH12</f>
        <v>288</v>
      </c>
      <c r="G14" s="85"/>
      <c r="H14" s="127">
        <f>'Reading.2.25'!AJ12</f>
        <v>414.90322580645159</v>
      </c>
      <c r="I14" s="86"/>
      <c r="J14" s="128">
        <f>'Reading.2.25'!S12</f>
        <v>19621</v>
      </c>
      <c r="K14" s="155">
        <f t="shared" si="7"/>
        <v>12055.58064516129</v>
      </c>
      <c r="L14" s="155" t="e">
        <f>#REF!</f>
        <v>#REF!</v>
      </c>
      <c r="M14" s="173">
        <f t="shared" si="8"/>
        <v>6671.14</v>
      </c>
      <c r="N14" s="88"/>
      <c r="O14" s="129">
        <f>'Reading.2.25'!P12</f>
        <v>0</v>
      </c>
      <c r="P14" s="156">
        <f t="shared" si="9"/>
        <v>9.67741935483871</v>
      </c>
      <c r="Q14" s="157">
        <f t="shared" si="10"/>
        <v>7.741935483870968</v>
      </c>
      <c r="R14" s="182" t="e">
        <f>#REF!</f>
        <v>#REF!</v>
      </c>
      <c r="S14" s="130">
        <f t="shared" si="0"/>
        <v>0</v>
      </c>
      <c r="T14" s="89"/>
      <c r="U14" s="131">
        <f>'Reading.2.25'!G12</f>
        <v>0</v>
      </c>
      <c r="V14" s="149">
        <f>'Reading.2.25'!H12</f>
        <v>173.03225806451613</v>
      </c>
      <c r="W14" s="158">
        <f t="shared" si="11"/>
        <v>1557.4193548387098</v>
      </c>
      <c r="X14" s="184" t="e">
        <f>#REF!</f>
        <v>#REF!</v>
      </c>
      <c r="Y14" s="29">
        <f>'Reading.2.25'!G12*4.63</f>
        <v>0</v>
      </c>
      <c r="Z14" s="90"/>
      <c r="AA14" s="107"/>
      <c r="AB14" s="78">
        <f t="shared" si="1"/>
        <v>68.128472222222229</v>
      </c>
      <c r="AC14" s="79">
        <f t="shared" si="2"/>
        <v>23.163680555555558</v>
      </c>
      <c r="AD14" s="80">
        <f t="shared" si="3"/>
        <v>0</v>
      </c>
      <c r="AE14" s="81">
        <f t="shared" si="4"/>
        <v>0</v>
      </c>
      <c r="AF14" s="106"/>
      <c r="AG14" s="132" t="e">
        <f>#REF!</f>
        <v>#REF!</v>
      </c>
      <c r="AH14" s="132">
        <f t="shared" si="12"/>
        <v>13620.741935483871</v>
      </c>
      <c r="AI14" s="133">
        <f t="shared" si="13"/>
        <v>6671.14</v>
      </c>
      <c r="AJ14" s="89"/>
      <c r="AK14" s="134" t="e">
        <f>#REF!</f>
        <v>#REF!</v>
      </c>
      <c r="AL14" s="134">
        <f t="shared" si="5"/>
        <v>32.82872026123465</v>
      </c>
      <c r="AM14" s="135">
        <f t="shared" si="6"/>
        <v>23.163680555555558</v>
      </c>
      <c r="AN14" s="4"/>
    </row>
    <row r="15" spans="1:42" ht="13.8" thickBot="1" x14ac:dyDescent="0.3">
      <c r="A15" s="3"/>
      <c r="B15" s="91">
        <v>45665</v>
      </c>
      <c r="C15" s="20"/>
      <c r="D15" s="126">
        <f>'Reading.2.25'!AD13</f>
        <v>0.438</v>
      </c>
      <c r="E15" s="86"/>
      <c r="F15" s="127">
        <f>'Reading.2.25'!AH13</f>
        <v>224</v>
      </c>
      <c r="G15" s="85"/>
      <c r="H15" s="127">
        <f>'Reading.2.25'!AJ13</f>
        <v>414.90322580645159</v>
      </c>
      <c r="I15" s="86"/>
      <c r="J15" s="128">
        <f>'Reading.2.25'!S13</f>
        <v>19922</v>
      </c>
      <c r="K15" s="155">
        <f t="shared" si="7"/>
        <v>12055.58064516129</v>
      </c>
      <c r="L15" s="155" t="e">
        <f>#REF!</f>
        <v>#REF!</v>
      </c>
      <c r="M15" s="173">
        <f t="shared" si="8"/>
        <v>6773.4800000000005</v>
      </c>
      <c r="N15" s="88"/>
      <c r="O15" s="129">
        <f>'Reading.2.25'!P13</f>
        <v>0</v>
      </c>
      <c r="P15" s="156">
        <f t="shared" si="9"/>
        <v>9.67741935483871</v>
      </c>
      <c r="Q15" s="157">
        <f t="shared" si="10"/>
        <v>7.741935483870968</v>
      </c>
      <c r="R15" s="182" t="e">
        <f>#REF!</f>
        <v>#REF!</v>
      </c>
      <c r="S15" s="130">
        <f t="shared" si="0"/>
        <v>0</v>
      </c>
      <c r="T15" s="89"/>
      <c r="U15" s="131">
        <f>'Reading.2.25'!G13</f>
        <v>0</v>
      </c>
      <c r="V15" s="149">
        <f>'Reading.2.25'!H13</f>
        <v>173.03225806451613</v>
      </c>
      <c r="W15" s="158">
        <f t="shared" si="11"/>
        <v>1557.4193548387098</v>
      </c>
      <c r="X15" s="184" t="e">
        <f>#REF!</f>
        <v>#REF!</v>
      </c>
      <c r="Y15" s="29">
        <f>'Reading.2.25'!G13*4.63</f>
        <v>0</v>
      </c>
      <c r="Z15" s="90"/>
      <c r="AA15" s="107"/>
      <c r="AB15" s="78">
        <f t="shared" si="1"/>
        <v>88.9375</v>
      </c>
      <c r="AC15" s="79">
        <f t="shared" si="2"/>
        <v>30.238750000000003</v>
      </c>
      <c r="AD15" s="80">
        <f t="shared" si="3"/>
        <v>0</v>
      </c>
      <c r="AE15" s="81">
        <f t="shared" si="4"/>
        <v>0</v>
      </c>
      <c r="AF15" s="106"/>
      <c r="AG15" s="132" t="e">
        <f>#REF!</f>
        <v>#REF!</v>
      </c>
      <c r="AH15" s="132">
        <f t="shared" si="12"/>
        <v>13620.741935483871</v>
      </c>
      <c r="AI15" s="133">
        <f t="shared" si="13"/>
        <v>6773.4800000000005</v>
      </c>
      <c r="AJ15" s="89"/>
      <c r="AK15" s="134" t="e">
        <f>#REF!</f>
        <v>#REF!</v>
      </c>
      <c r="AL15" s="134">
        <f t="shared" si="5"/>
        <v>32.82872026123465</v>
      </c>
      <c r="AM15" s="135">
        <f t="shared" si="6"/>
        <v>30.238750000000003</v>
      </c>
      <c r="AN15" s="4"/>
    </row>
    <row r="16" spans="1:42" ht="13.8" thickBot="1" x14ac:dyDescent="0.3">
      <c r="A16" s="3"/>
      <c r="B16" s="91">
        <v>45666</v>
      </c>
      <c r="C16" s="20"/>
      <c r="D16" s="126">
        <f>'Reading.2.25'!AD14</f>
        <v>0.42599999999999999</v>
      </c>
      <c r="E16" s="86"/>
      <c r="F16" s="127">
        <f>'Reading.2.25'!AH14</f>
        <v>218</v>
      </c>
      <c r="G16" s="85"/>
      <c r="H16" s="127">
        <f>'Reading.2.25'!AJ14</f>
        <v>414.90322580645159</v>
      </c>
      <c r="I16" s="86"/>
      <c r="J16" s="128">
        <f>'Reading.2.25'!S14</f>
        <v>19721</v>
      </c>
      <c r="K16" s="155">
        <f t="shared" si="7"/>
        <v>12055.58064516129</v>
      </c>
      <c r="L16" s="155" t="e">
        <f>#REF!</f>
        <v>#REF!</v>
      </c>
      <c r="M16" s="173">
        <f t="shared" si="8"/>
        <v>6705.14</v>
      </c>
      <c r="N16" s="88"/>
      <c r="O16" s="129">
        <f>'Reading.2.25'!P14</f>
        <v>0</v>
      </c>
      <c r="P16" s="156">
        <f t="shared" si="9"/>
        <v>9.67741935483871</v>
      </c>
      <c r="Q16" s="157">
        <f t="shared" si="10"/>
        <v>7.741935483870968</v>
      </c>
      <c r="R16" s="182" t="e">
        <f>#REF!</f>
        <v>#REF!</v>
      </c>
      <c r="S16" s="130">
        <f t="shared" si="0"/>
        <v>0</v>
      </c>
      <c r="T16" s="89"/>
      <c r="U16" s="131">
        <f>'Reading.2.25'!G14</f>
        <v>190</v>
      </c>
      <c r="V16" s="149">
        <f>'Reading.2.25'!H14</f>
        <v>173.03225806451613</v>
      </c>
      <c r="W16" s="158">
        <f t="shared" si="11"/>
        <v>1557.4193548387098</v>
      </c>
      <c r="X16" s="184" t="e">
        <f>#REF!</f>
        <v>#REF!</v>
      </c>
      <c r="Y16" s="29">
        <f>'Reading.2.25'!G14*4.63</f>
        <v>879.69999999999993</v>
      </c>
      <c r="Z16" s="90"/>
      <c r="AA16" s="107"/>
      <c r="AB16" s="78">
        <f t="shared" si="1"/>
        <v>90.463302752293572</v>
      </c>
      <c r="AC16" s="79">
        <f t="shared" si="2"/>
        <v>30.757522935779818</v>
      </c>
      <c r="AD16" s="80">
        <f t="shared" si="3"/>
        <v>0.87155963302752293</v>
      </c>
      <c r="AE16" s="81">
        <f t="shared" si="4"/>
        <v>4.0353211009174306</v>
      </c>
      <c r="AF16" s="106"/>
      <c r="AG16" s="132" t="e">
        <f>#REF!</f>
        <v>#REF!</v>
      </c>
      <c r="AH16" s="132">
        <f t="shared" si="12"/>
        <v>13620.741935483871</v>
      </c>
      <c r="AI16" s="133">
        <f t="shared" si="13"/>
        <v>7584.84</v>
      </c>
      <c r="AJ16" s="89"/>
      <c r="AK16" s="134" t="e">
        <f>#REF!</f>
        <v>#REF!</v>
      </c>
      <c r="AL16" s="134">
        <f t="shared" si="5"/>
        <v>32.82872026123465</v>
      </c>
      <c r="AM16" s="135">
        <f t="shared" si="6"/>
        <v>34.792844036697247</v>
      </c>
      <c r="AN16" s="4"/>
    </row>
    <row r="17" spans="1:40" ht="13.8" thickBot="1" x14ac:dyDescent="0.3">
      <c r="A17" s="3"/>
      <c r="B17" s="91">
        <v>45667</v>
      </c>
      <c r="C17" s="20"/>
      <c r="D17" s="126">
        <f>'Reading.2.25'!AD15</f>
        <v>0.35499999999999998</v>
      </c>
      <c r="E17" s="86"/>
      <c r="F17" s="127">
        <f>'Reading.2.25'!AH15</f>
        <v>182</v>
      </c>
      <c r="G17" s="85"/>
      <c r="H17" s="127">
        <f>'Reading.2.25'!AJ15</f>
        <v>414.90322580645159</v>
      </c>
      <c r="I17" s="86"/>
      <c r="J17" s="128">
        <f>'Reading.2.25'!S15</f>
        <v>19871</v>
      </c>
      <c r="K17" s="155">
        <f t="shared" si="7"/>
        <v>12055.58064516129</v>
      </c>
      <c r="L17" s="155" t="e">
        <f>#REF!</f>
        <v>#REF!</v>
      </c>
      <c r="M17" s="173">
        <f t="shared" si="8"/>
        <v>6756.14</v>
      </c>
      <c r="N17" s="88"/>
      <c r="O17" s="129">
        <f>'Reading.2.25'!P15</f>
        <v>0</v>
      </c>
      <c r="P17" s="156">
        <f t="shared" si="9"/>
        <v>9.67741935483871</v>
      </c>
      <c r="Q17" s="157">
        <f t="shared" si="10"/>
        <v>7.741935483870968</v>
      </c>
      <c r="R17" s="182" t="e">
        <f>#REF!</f>
        <v>#REF!</v>
      </c>
      <c r="S17" s="130">
        <f t="shared" si="0"/>
        <v>0</v>
      </c>
      <c r="T17" s="89"/>
      <c r="U17" s="131">
        <f>'Reading.2.25'!G15</f>
        <v>80</v>
      </c>
      <c r="V17" s="149">
        <f>'Reading.2.25'!H15</f>
        <v>173.03225806451613</v>
      </c>
      <c r="W17" s="158">
        <f t="shared" si="11"/>
        <v>1557.4193548387098</v>
      </c>
      <c r="X17" s="184" t="e">
        <f>#REF!</f>
        <v>#REF!</v>
      </c>
      <c r="Y17" s="29">
        <f>'Reading.2.25'!G15*4.63</f>
        <v>370.4</v>
      </c>
      <c r="Z17" s="90"/>
      <c r="AA17" s="107"/>
      <c r="AB17" s="78">
        <f t="shared" si="1"/>
        <v>109.18131868131869</v>
      </c>
      <c r="AC17" s="79">
        <f t="shared" si="2"/>
        <v>37.121648351648354</v>
      </c>
      <c r="AD17" s="80">
        <f t="shared" si="3"/>
        <v>0.43956043956043955</v>
      </c>
      <c r="AE17" s="81">
        <f t="shared" si="4"/>
        <v>2.035164835164835</v>
      </c>
      <c r="AF17" s="106"/>
      <c r="AG17" s="132" t="e">
        <f>#REF!</f>
        <v>#REF!</v>
      </c>
      <c r="AH17" s="132">
        <f t="shared" si="12"/>
        <v>13620.741935483871</v>
      </c>
      <c r="AI17" s="133">
        <f t="shared" si="13"/>
        <v>7126.54</v>
      </c>
      <c r="AJ17" s="89"/>
      <c r="AK17" s="134" t="e">
        <f>#REF!</f>
        <v>#REF!</v>
      </c>
      <c r="AL17" s="134">
        <f t="shared" si="5"/>
        <v>32.82872026123465</v>
      </c>
      <c r="AM17" s="135">
        <f t="shared" si="6"/>
        <v>39.156813186813189</v>
      </c>
      <c r="AN17" s="4"/>
    </row>
    <row r="18" spans="1:40" ht="13.8" thickBot="1" x14ac:dyDescent="0.3">
      <c r="A18" s="3"/>
      <c r="B18" s="91">
        <v>45668</v>
      </c>
      <c r="C18" s="20"/>
      <c r="D18" s="126">
        <f>'Reading.2.25'!AD16</f>
        <v>0</v>
      </c>
      <c r="E18" s="86"/>
      <c r="F18" s="127">
        <f>'Reading.2.25'!AH16</f>
        <v>0</v>
      </c>
      <c r="G18" s="85"/>
      <c r="H18" s="127">
        <f>'Reading.2.25'!AJ16</f>
        <v>414.90322580645159</v>
      </c>
      <c r="I18" s="86"/>
      <c r="J18" s="128">
        <f>'Reading.2.25'!S16</f>
        <v>0</v>
      </c>
      <c r="K18" s="155">
        <f t="shared" si="7"/>
        <v>12055.58064516129</v>
      </c>
      <c r="L18" s="155" t="e">
        <f>#REF!</f>
        <v>#REF!</v>
      </c>
      <c r="M18" s="173">
        <f t="shared" si="8"/>
        <v>0</v>
      </c>
      <c r="N18" s="88"/>
      <c r="O18" s="129">
        <f>'Reading.2.25'!P16</f>
        <v>0</v>
      </c>
      <c r="P18" s="156">
        <f t="shared" si="9"/>
        <v>9.67741935483871</v>
      </c>
      <c r="Q18" s="157">
        <f t="shared" si="10"/>
        <v>7.741935483870968</v>
      </c>
      <c r="R18" s="182" t="e">
        <f>#REF!</f>
        <v>#REF!</v>
      </c>
      <c r="S18" s="130">
        <f t="shared" si="0"/>
        <v>0</v>
      </c>
      <c r="T18" s="89"/>
      <c r="U18" s="131">
        <f>'Reading.2.25'!G16</f>
        <v>0</v>
      </c>
      <c r="V18" s="149">
        <f>'Reading.2.25'!H16</f>
        <v>173.03225806451613</v>
      </c>
      <c r="W18" s="158">
        <f t="shared" si="11"/>
        <v>1557.4193548387098</v>
      </c>
      <c r="X18" s="184" t="e">
        <f>#REF!</f>
        <v>#REF!</v>
      </c>
      <c r="Y18" s="29">
        <f>'Reading.2.25'!G16*4.63</f>
        <v>0</v>
      </c>
      <c r="Z18" s="90"/>
      <c r="AA18" s="107"/>
      <c r="AB18" s="78" t="e">
        <f t="shared" si="1"/>
        <v>#DIV/0!</v>
      </c>
      <c r="AC18" s="79" t="e">
        <f t="shared" si="2"/>
        <v>#DIV/0!</v>
      </c>
      <c r="AD18" s="80" t="e">
        <f t="shared" si="3"/>
        <v>#DIV/0!</v>
      </c>
      <c r="AE18" s="81" t="e">
        <f t="shared" si="4"/>
        <v>#DIV/0!</v>
      </c>
      <c r="AF18" s="106"/>
      <c r="AG18" s="132" t="e">
        <f>#REF!</f>
        <v>#REF!</v>
      </c>
      <c r="AH18" s="132">
        <f t="shared" si="12"/>
        <v>13620.741935483871</v>
      </c>
      <c r="AI18" s="133">
        <f t="shared" si="13"/>
        <v>0</v>
      </c>
      <c r="AJ18" s="89"/>
      <c r="AK18" s="134" t="e">
        <f>#REF!</f>
        <v>#REF!</v>
      </c>
      <c r="AL18" s="134">
        <f t="shared" si="5"/>
        <v>32.82872026123465</v>
      </c>
      <c r="AM18" s="135" t="e">
        <f t="shared" si="6"/>
        <v>#DIV/0!</v>
      </c>
      <c r="AN18" s="4"/>
    </row>
    <row r="19" spans="1:40" ht="13.8" thickBot="1" x14ac:dyDescent="0.3">
      <c r="A19" s="3"/>
      <c r="B19" s="91">
        <v>45669</v>
      </c>
      <c r="C19" s="20"/>
      <c r="D19" s="126">
        <f>'Reading.2.25'!AD17</f>
        <v>0</v>
      </c>
      <c r="E19" s="86"/>
      <c r="F19" s="127">
        <f>'Reading.2.25'!AH17</f>
        <v>0</v>
      </c>
      <c r="G19" s="85"/>
      <c r="H19" s="127">
        <f>'Reading.2.25'!AJ17</f>
        <v>414.90322580645159</v>
      </c>
      <c r="I19" s="86"/>
      <c r="J19" s="128">
        <f>'Reading.2.25'!S17</f>
        <v>0</v>
      </c>
      <c r="K19" s="155">
        <f t="shared" si="7"/>
        <v>12055.58064516129</v>
      </c>
      <c r="L19" s="155" t="e">
        <f>#REF!</f>
        <v>#REF!</v>
      </c>
      <c r="M19" s="173">
        <f t="shared" si="8"/>
        <v>0</v>
      </c>
      <c r="N19" s="88"/>
      <c r="O19" s="129">
        <f>'Reading.2.25'!P17</f>
        <v>0</v>
      </c>
      <c r="P19" s="156">
        <f t="shared" si="9"/>
        <v>9.67741935483871</v>
      </c>
      <c r="Q19" s="157">
        <f t="shared" si="10"/>
        <v>7.741935483870968</v>
      </c>
      <c r="R19" s="182" t="e">
        <f>#REF!</f>
        <v>#REF!</v>
      </c>
      <c r="S19" s="130">
        <f t="shared" si="0"/>
        <v>0</v>
      </c>
      <c r="T19" s="89"/>
      <c r="U19" s="131">
        <f>'Reading.2.25'!G17</f>
        <v>0</v>
      </c>
      <c r="V19" s="149">
        <f>'Reading.2.25'!H17</f>
        <v>173.03225806451613</v>
      </c>
      <c r="W19" s="158">
        <f t="shared" si="11"/>
        <v>1557.4193548387098</v>
      </c>
      <c r="X19" s="184" t="e">
        <f>#REF!</f>
        <v>#REF!</v>
      </c>
      <c r="Y19" s="29">
        <f>'Reading.2.25'!G17*4.63</f>
        <v>0</v>
      </c>
      <c r="Z19" s="90"/>
      <c r="AA19" s="107"/>
      <c r="AB19" s="78" t="e">
        <f t="shared" si="1"/>
        <v>#DIV/0!</v>
      </c>
      <c r="AC19" s="79" t="e">
        <f t="shared" si="2"/>
        <v>#DIV/0!</v>
      </c>
      <c r="AD19" s="80" t="e">
        <f t="shared" si="3"/>
        <v>#DIV/0!</v>
      </c>
      <c r="AE19" s="81" t="e">
        <f t="shared" si="4"/>
        <v>#DIV/0!</v>
      </c>
      <c r="AF19" s="106"/>
      <c r="AG19" s="132" t="e">
        <f>#REF!</f>
        <v>#REF!</v>
      </c>
      <c r="AH19" s="132">
        <f t="shared" si="12"/>
        <v>13620.741935483871</v>
      </c>
      <c r="AI19" s="133">
        <f t="shared" si="13"/>
        <v>0</v>
      </c>
      <c r="AJ19" s="89"/>
      <c r="AK19" s="134" t="e">
        <f>#REF!</f>
        <v>#REF!</v>
      </c>
      <c r="AL19" s="134">
        <f t="shared" si="5"/>
        <v>32.82872026123465</v>
      </c>
      <c r="AM19" s="135" t="e">
        <f t="shared" si="6"/>
        <v>#DIV/0!</v>
      </c>
      <c r="AN19" s="4"/>
    </row>
    <row r="20" spans="1:40" ht="13.8" thickBot="1" x14ac:dyDescent="0.3">
      <c r="A20" s="3"/>
      <c r="B20" s="91">
        <v>45670</v>
      </c>
      <c r="C20" s="20"/>
      <c r="D20" s="126">
        <f>'Reading.2.25'!AD18</f>
        <v>0</v>
      </c>
      <c r="E20" s="86"/>
      <c r="F20" s="127">
        <f>'Reading.2.25'!AH18</f>
        <v>0</v>
      </c>
      <c r="G20" s="85"/>
      <c r="H20" s="127">
        <f>'Reading.2.25'!AJ18</f>
        <v>414.90322580645159</v>
      </c>
      <c r="I20" s="86"/>
      <c r="J20" s="128">
        <f>'Reading.2.25'!S18</f>
        <v>0</v>
      </c>
      <c r="K20" s="155">
        <f t="shared" si="7"/>
        <v>12055.58064516129</v>
      </c>
      <c r="L20" s="155" t="e">
        <f>#REF!</f>
        <v>#REF!</v>
      </c>
      <c r="M20" s="173">
        <f t="shared" si="8"/>
        <v>0</v>
      </c>
      <c r="N20" s="88"/>
      <c r="O20" s="129">
        <f>'Reading.2.25'!P18</f>
        <v>0</v>
      </c>
      <c r="P20" s="156">
        <f t="shared" si="9"/>
        <v>9.67741935483871</v>
      </c>
      <c r="Q20" s="157">
        <f t="shared" si="10"/>
        <v>7.741935483870968</v>
      </c>
      <c r="R20" s="182" t="e">
        <f>#REF!</f>
        <v>#REF!</v>
      </c>
      <c r="S20" s="130">
        <f t="shared" si="0"/>
        <v>0</v>
      </c>
      <c r="T20" s="89"/>
      <c r="U20" s="131">
        <f>'Reading.2.25'!G18</f>
        <v>0</v>
      </c>
      <c r="V20" s="149">
        <f>'Reading.2.25'!H18</f>
        <v>173.03225806451613</v>
      </c>
      <c r="W20" s="158">
        <f t="shared" si="11"/>
        <v>1557.4193548387098</v>
      </c>
      <c r="X20" s="184" t="e">
        <f>#REF!</f>
        <v>#REF!</v>
      </c>
      <c r="Y20" s="29">
        <f>'Reading.2.25'!G18*4.63</f>
        <v>0</v>
      </c>
      <c r="Z20" s="90"/>
      <c r="AA20" s="107"/>
      <c r="AB20" s="78" t="e">
        <f t="shared" si="1"/>
        <v>#DIV/0!</v>
      </c>
      <c r="AC20" s="79" t="e">
        <f t="shared" si="2"/>
        <v>#DIV/0!</v>
      </c>
      <c r="AD20" s="80" t="e">
        <f t="shared" si="3"/>
        <v>#DIV/0!</v>
      </c>
      <c r="AE20" s="81" t="e">
        <f t="shared" si="4"/>
        <v>#DIV/0!</v>
      </c>
      <c r="AF20" s="106"/>
      <c r="AG20" s="132" t="e">
        <f>#REF!</f>
        <v>#REF!</v>
      </c>
      <c r="AH20" s="132">
        <f t="shared" si="12"/>
        <v>13620.741935483871</v>
      </c>
      <c r="AI20" s="133">
        <f t="shared" si="13"/>
        <v>0</v>
      </c>
      <c r="AJ20" s="89"/>
      <c r="AK20" s="134" t="e">
        <f>#REF!</f>
        <v>#REF!</v>
      </c>
      <c r="AL20" s="134">
        <f t="shared" si="5"/>
        <v>32.82872026123465</v>
      </c>
      <c r="AM20" s="135" t="e">
        <f t="shared" si="6"/>
        <v>#DIV/0!</v>
      </c>
      <c r="AN20" s="4"/>
    </row>
    <row r="21" spans="1:40" ht="13.8" thickBot="1" x14ac:dyDescent="0.3">
      <c r="A21" s="3"/>
      <c r="B21" s="91">
        <v>45671</v>
      </c>
      <c r="C21" s="20"/>
      <c r="D21" s="126">
        <f>'Reading.2.25'!AD19</f>
        <v>0</v>
      </c>
      <c r="E21" s="86"/>
      <c r="F21" s="127">
        <f>'Reading.2.25'!AH19</f>
        <v>0</v>
      </c>
      <c r="G21" s="85"/>
      <c r="H21" s="127">
        <f>'Reading.2.25'!AJ19</f>
        <v>414.90322580645159</v>
      </c>
      <c r="I21" s="86"/>
      <c r="J21" s="128">
        <f>'Reading.2.25'!S19</f>
        <v>0</v>
      </c>
      <c r="K21" s="155">
        <f t="shared" si="7"/>
        <v>12055.58064516129</v>
      </c>
      <c r="L21" s="155" t="e">
        <f>#REF!</f>
        <v>#REF!</v>
      </c>
      <c r="M21" s="173">
        <f t="shared" si="8"/>
        <v>0</v>
      </c>
      <c r="N21" s="88"/>
      <c r="O21" s="129">
        <f>'Reading.2.25'!P19</f>
        <v>0</v>
      </c>
      <c r="P21" s="156">
        <f t="shared" si="9"/>
        <v>9.67741935483871</v>
      </c>
      <c r="Q21" s="157">
        <f t="shared" si="10"/>
        <v>7.741935483870968</v>
      </c>
      <c r="R21" s="182" t="e">
        <f>#REF!</f>
        <v>#REF!</v>
      </c>
      <c r="S21" s="130">
        <f t="shared" si="0"/>
        <v>0</v>
      </c>
      <c r="T21" s="89"/>
      <c r="U21" s="131">
        <f>'Reading.2.25'!G19</f>
        <v>0</v>
      </c>
      <c r="V21" s="149">
        <f>'Reading.2.25'!H19</f>
        <v>173.03225806451613</v>
      </c>
      <c r="W21" s="158">
        <f t="shared" si="11"/>
        <v>1557.4193548387098</v>
      </c>
      <c r="X21" s="184" t="e">
        <f>#REF!</f>
        <v>#REF!</v>
      </c>
      <c r="Y21" s="29">
        <f>'Reading.2.25'!G19*4.63</f>
        <v>0</v>
      </c>
      <c r="Z21" s="90"/>
      <c r="AA21" s="107"/>
      <c r="AB21" s="78" t="e">
        <f t="shared" si="1"/>
        <v>#DIV/0!</v>
      </c>
      <c r="AC21" s="79" t="e">
        <f t="shared" si="2"/>
        <v>#DIV/0!</v>
      </c>
      <c r="AD21" s="80" t="e">
        <f t="shared" si="3"/>
        <v>#DIV/0!</v>
      </c>
      <c r="AE21" s="81" t="e">
        <f t="shared" si="4"/>
        <v>#DIV/0!</v>
      </c>
      <c r="AF21" s="106"/>
      <c r="AG21" s="132" t="e">
        <f>#REF!</f>
        <v>#REF!</v>
      </c>
      <c r="AH21" s="132">
        <f t="shared" si="12"/>
        <v>13620.741935483871</v>
      </c>
      <c r="AI21" s="133">
        <f t="shared" si="13"/>
        <v>0</v>
      </c>
      <c r="AJ21" s="89"/>
      <c r="AK21" s="134" t="e">
        <f>#REF!</f>
        <v>#REF!</v>
      </c>
      <c r="AL21" s="134">
        <f t="shared" si="5"/>
        <v>32.82872026123465</v>
      </c>
      <c r="AM21" s="135" t="e">
        <f t="shared" si="6"/>
        <v>#DIV/0!</v>
      </c>
      <c r="AN21" s="4"/>
    </row>
    <row r="22" spans="1:40" ht="13.8" thickBot="1" x14ac:dyDescent="0.3">
      <c r="A22" s="3"/>
      <c r="B22" s="91">
        <v>45672</v>
      </c>
      <c r="C22" s="20"/>
      <c r="D22" s="126">
        <f>'Reading.2.25'!AD20</f>
        <v>0</v>
      </c>
      <c r="E22" s="86"/>
      <c r="F22" s="127">
        <f>'Reading.2.25'!AH20</f>
        <v>0</v>
      </c>
      <c r="G22" s="85"/>
      <c r="H22" s="127">
        <f>'Reading.2.25'!AJ20</f>
        <v>414.90322580645159</v>
      </c>
      <c r="I22" s="86"/>
      <c r="J22" s="128">
        <f>'Reading.2.25'!S20</f>
        <v>0</v>
      </c>
      <c r="K22" s="155">
        <f t="shared" si="7"/>
        <v>12055.58064516129</v>
      </c>
      <c r="L22" s="155" t="e">
        <f>#REF!</f>
        <v>#REF!</v>
      </c>
      <c r="M22" s="173">
        <f t="shared" si="8"/>
        <v>0</v>
      </c>
      <c r="N22" s="88"/>
      <c r="O22" s="129">
        <f>'Reading.2.25'!P20</f>
        <v>0</v>
      </c>
      <c r="P22" s="156">
        <f t="shared" si="9"/>
        <v>9.67741935483871</v>
      </c>
      <c r="Q22" s="157">
        <f t="shared" si="10"/>
        <v>7.741935483870968</v>
      </c>
      <c r="R22" s="182" t="e">
        <f>#REF!</f>
        <v>#REF!</v>
      </c>
      <c r="S22" s="130">
        <f t="shared" si="0"/>
        <v>0</v>
      </c>
      <c r="T22" s="89"/>
      <c r="U22" s="131">
        <f>'Reading.2.25'!G20</f>
        <v>0</v>
      </c>
      <c r="V22" s="149">
        <f>'Reading.2.25'!H20</f>
        <v>173.03225806451613</v>
      </c>
      <c r="W22" s="158">
        <f t="shared" si="11"/>
        <v>1557.4193548387098</v>
      </c>
      <c r="X22" s="184" t="e">
        <f>#REF!</f>
        <v>#REF!</v>
      </c>
      <c r="Y22" s="29">
        <f>'Reading.2.25'!G20*4.63</f>
        <v>0</v>
      </c>
      <c r="Z22" s="90"/>
      <c r="AA22" s="107"/>
      <c r="AB22" s="78" t="e">
        <f t="shared" si="1"/>
        <v>#DIV/0!</v>
      </c>
      <c r="AC22" s="79" t="e">
        <f t="shared" si="2"/>
        <v>#DIV/0!</v>
      </c>
      <c r="AD22" s="80" t="e">
        <f t="shared" si="3"/>
        <v>#DIV/0!</v>
      </c>
      <c r="AE22" s="81" t="e">
        <f t="shared" si="4"/>
        <v>#DIV/0!</v>
      </c>
      <c r="AF22" s="106"/>
      <c r="AG22" s="132" t="e">
        <f>#REF!</f>
        <v>#REF!</v>
      </c>
      <c r="AH22" s="132">
        <f t="shared" si="12"/>
        <v>13620.741935483871</v>
      </c>
      <c r="AI22" s="133">
        <f t="shared" si="13"/>
        <v>0</v>
      </c>
      <c r="AJ22" s="89"/>
      <c r="AK22" s="134" t="e">
        <f>#REF!</f>
        <v>#REF!</v>
      </c>
      <c r="AL22" s="134">
        <f t="shared" si="5"/>
        <v>32.82872026123465</v>
      </c>
      <c r="AM22" s="135" t="e">
        <f t="shared" si="6"/>
        <v>#DIV/0!</v>
      </c>
      <c r="AN22" s="4"/>
    </row>
    <row r="23" spans="1:40" ht="13.8" thickBot="1" x14ac:dyDescent="0.3">
      <c r="A23" s="3"/>
      <c r="B23" s="91">
        <v>45673</v>
      </c>
      <c r="C23" s="20"/>
      <c r="D23" s="126">
        <f>'Reading.2.25'!AD21</f>
        <v>0</v>
      </c>
      <c r="E23" s="86"/>
      <c r="F23" s="127">
        <f>'Reading.2.25'!AH21</f>
        <v>0</v>
      </c>
      <c r="G23" s="85"/>
      <c r="H23" s="127">
        <f>'Reading.2.25'!AJ21</f>
        <v>414.90322580645159</v>
      </c>
      <c r="I23" s="86"/>
      <c r="J23" s="128">
        <f>'Reading.2.25'!S21</f>
        <v>0</v>
      </c>
      <c r="K23" s="155">
        <f t="shared" si="7"/>
        <v>12055.58064516129</v>
      </c>
      <c r="L23" s="155" t="e">
        <f>#REF!</f>
        <v>#REF!</v>
      </c>
      <c r="M23" s="173">
        <f t="shared" si="8"/>
        <v>0</v>
      </c>
      <c r="N23" s="88"/>
      <c r="O23" s="129">
        <f>'Reading.2.25'!P21</f>
        <v>0</v>
      </c>
      <c r="P23" s="156">
        <f t="shared" si="9"/>
        <v>9.67741935483871</v>
      </c>
      <c r="Q23" s="157">
        <f t="shared" si="10"/>
        <v>7.741935483870968</v>
      </c>
      <c r="R23" s="182" t="e">
        <f>#REF!</f>
        <v>#REF!</v>
      </c>
      <c r="S23" s="130">
        <f t="shared" si="0"/>
        <v>0</v>
      </c>
      <c r="T23" s="89"/>
      <c r="U23" s="131">
        <f>'Reading.2.25'!G21</f>
        <v>0</v>
      </c>
      <c r="V23" s="149">
        <f>'Reading.2.25'!H21</f>
        <v>173.03225806451613</v>
      </c>
      <c r="W23" s="158">
        <f t="shared" si="11"/>
        <v>1557.4193548387098</v>
      </c>
      <c r="X23" s="184" t="e">
        <f>#REF!</f>
        <v>#REF!</v>
      </c>
      <c r="Y23" s="29">
        <f>'Reading.2.25'!G21*4.63</f>
        <v>0</v>
      </c>
      <c r="Z23" s="90"/>
      <c r="AA23" s="107"/>
      <c r="AB23" s="78" t="e">
        <f t="shared" si="1"/>
        <v>#DIV/0!</v>
      </c>
      <c r="AC23" s="79" t="e">
        <f t="shared" si="2"/>
        <v>#DIV/0!</v>
      </c>
      <c r="AD23" s="80" t="e">
        <f t="shared" si="3"/>
        <v>#DIV/0!</v>
      </c>
      <c r="AE23" s="81" t="e">
        <f t="shared" si="4"/>
        <v>#DIV/0!</v>
      </c>
      <c r="AF23" s="106"/>
      <c r="AG23" s="132" t="e">
        <f>#REF!</f>
        <v>#REF!</v>
      </c>
      <c r="AH23" s="132">
        <f t="shared" si="12"/>
        <v>13620.741935483871</v>
      </c>
      <c r="AI23" s="133">
        <f t="shared" si="13"/>
        <v>0</v>
      </c>
      <c r="AJ23" s="89"/>
      <c r="AK23" s="134" t="e">
        <f>#REF!</f>
        <v>#REF!</v>
      </c>
      <c r="AL23" s="134">
        <f t="shared" si="5"/>
        <v>32.82872026123465</v>
      </c>
      <c r="AM23" s="135" t="e">
        <f t="shared" si="6"/>
        <v>#DIV/0!</v>
      </c>
      <c r="AN23" s="4"/>
    </row>
    <row r="24" spans="1:40" ht="13.8" thickBot="1" x14ac:dyDescent="0.3">
      <c r="A24" s="3"/>
      <c r="B24" s="91">
        <v>45674</v>
      </c>
      <c r="C24" s="20"/>
      <c r="D24" s="126">
        <f>'Reading.2.25'!AD22</f>
        <v>0</v>
      </c>
      <c r="E24" s="86"/>
      <c r="F24" s="127">
        <f>'Reading.2.25'!AH22</f>
        <v>0</v>
      </c>
      <c r="G24" s="85"/>
      <c r="H24" s="127">
        <f>'Reading.2.25'!AJ22</f>
        <v>414.90322580645159</v>
      </c>
      <c r="I24" s="86"/>
      <c r="J24" s="128">
        <f>'Reading.2.25'!S22</f>
        <v>0</v>
      </c>
      <c r="K24" s="155">
        <f t="shared" si="7"/>
        <v>12055.58064516129</v>
      </c>
      <c r="L24" s="155" t="e">
        <f>#REF!</f>
        <v>#REF!</v>
      </c>
      <c r="M24" s="173">
        <f t="shared" si="8"/>
        <v>0</v>
      </c>
      <c r="N24" s="88"/>
      <c r="O24" s="129">
        <f>'Reading.2.25'!P22</f>
        <v>0</v>
      </c>
      <c r="P24" s="156">
        <f t="shared" si="9"/>
        <v>9.67741935483871</v>
      </c>
      <c r="Q24" s="157">
        <f t="shared" si="10"/>
        <v>7.741935483870968</v>
      </c>
      <c r="R24" s="182" t="e">
        <f>#REF!</f>
        <v>#REF!</v>
      </c>
      <c r="S24" s="130">
        <f t="shared" si="0"/>
        <v>0</v>
      </c>
      <c r="T24" s="89"/>
      <c r="U24" s="131">
        <f>'Reading.2.25'!G22</f>
        <v>0</v>
      </c>
      <c r="V24" s="149">
        <f>'Reading.2.25'!H22</f>
        <v>173.03225806451613</v>
      </c>
      <c r="W24" s="158">
        <f t="shared" si="11"/>
        <v>1557.4193548387098</v>
      </c>
      <c r="X24" s="184" t="e">
        <f>#REF!</f>
        <v>#REF!</v>
      </c>
      <c r="Y24" s="29">
        <f>'Reading.2.25'!G22*4.63</f>
        <v>0</v>
      </c>
      <c r="Z24" s="90"/>
      <c r="AA24" s="107"/>
      <c r="AB24" s="78" t="e">
        <f t="shared" si="1"/>
        <v>#DIV/0!</v>
      </c>
      <c r="AC24" s="79" t="e">
        <f t="shared" si="2"/>
        <v>#DIV/0!</v>
      </c>
      <c r="AD24" s="80" t="e">
        <f t="shared" si="3"/>
        <v>#DIV/0!</v>
      </c>
      <c r="AE24" s="81" t="e">
        <f t="shared" si="4"/>
        <v>#DIV/0!</v>
      </c>
      <c r="AF24" s="106"/>
      <c r="AG24" s="132" t="e">
        <f>#REF!</f>
        <v>#REF!</v>
      </c>
      <c r="AH24" s="132">
        <f t="shared" si="12"/>
        <v>13620.741935483871</v>
      </c>
      <c r="AI24" s="133">
        <f t="shared" si="13"/>
        <v>0</v>
      </c>
      <c r="AJ24" s="89"/>
      <c r="AK24" s="134" t="e">
        <f>#REF!</f>
        <v>#REF!</v>
      </c>
      <c r="AL24" s="134">
        <f t="shared" si="5"/>
        <v>32.82872026123465</v>
      </c>
      <c r="AM24" s="135" t="e">
        <f t="shared" si="6"/>
        <v>#DIV/0!</v>
      </c>
      <c r="AN24" s="4"/>
    </row>
    <row r="25" spans="1:40" ht="13.8" thickBot="1" x14ac:dyDescent="0.3">
      <c r="A25" s="3"/>
      <c r="B25" s="91">
        <v>45675</v>
      </c>
      <c r="C25" s="20"/>
      <c r="D25" s="126">
        <f>'Reading.2.25'!AD23</f>
        <v>0</v>
      </c>
      <c r="E25" s="86"/>
      <c r="F25" s="127">
        <f>'Reading.2.25'!AH23</f>
        <v>0</v>
      </c>
      <c r="G25" s="85"/>
      <c r="H25" s="127">
        <f>'Reading.2.25'!AJ23</f>
        <v>414.90322580645159</v>
      </c>
      <c r="I25" s="86"/>
      <c r="J25" s="128">
        <f>'Reading.2.25'!S23</f>
        <v>0</v>
      </c>
      <c r="K25" s="155">
        <f t="shared" si="7"/>
        <v>12055.58064516129</v>
      </c>
      <c r="L25" s="155" t="e">
        <f>#REF!</f>
        <v>#REF!</v>
      </c>
      <c r="M25" s="173">
        <f t="shared" si="8"/>
        <v>0</v>
      </c>
      <c r="N25" s="88"/>
      <c r="O25" s="129">
        <f>'Reading.2.25'!P23</f>
        <v>0</v>
      </c>
      <c r="P25" s="156">
        <f t="shared" si="9"/>
        <v>9.67741935483871</v>
      </c>
      <c r="Q25" s="157">
        <f t="shared" si="10"/>
        <v>7.741935483870968</v>
      </c>
      <c r="R25" s="182" t="e">
        <f>#REF!</f>
        <v>#REF!</v>
      </c>
      <c r="S25" s="130">
        <f t="shared" si="0"/>
        <v>0</v>
      </c>
      <c r="T25" s="89"/>
      <c r="U25" s="131">
        <f>'Reading.2.25'!G23</f>
        <v>0</v>
      </c>
      <c r="V25" s="149">
        <f>'Reading.2.25'!H23</f>
        <v>173.03225806451613</v>
      </c>
      <c r="W25" s="158">
        <f t="shared" si="11"/>
        <v>1557.4193548387098</v>
      </c>
      <c r="X25" s="184" t="e">
        <f>#REF!</f>
        <v>#REF!</v>
      </c>
      <c r="Y25" s="29">
        <f>'Reading.2.25'!G23*4.63</f>
        <v>0</v>
      </c>
      <c r="Z25" s="90"/>
      <c r="AA25" s="107"/>
      <c r="AB25" s="78" t="e">
        <f t="shared" si="1"/>
        <v>#DIV/0!</v>
      </c>
      <c r="AC25" s="79" t="e">
        <f t="shared" si="2"/>
        <v>#DIV/0!</v>
      </c>
      <c r="AD25" s="80" t="e">
        <f t="shared" si="3"/>
        <v>#DIV/0!</v>
      </c>
      <c r="AE25" s="81" t="e">
        <f t="shared" si="4"/>
        <v>#DIV/0!</v>
      </c>
      <c r="AF25" s="106"/>
      <c r="AG25" s="132" t="e">
        <f>#REF!</f>
        <v>#REF!</v>
      </c>
      <c r="AH25" s="132">
        <f t="shared" si="12"/>
        <v>13620.741935483871</v>
      </c>
      <c r="AI25" s="133">
        <f t="shared" si="13"/>
        <v>0</v>
      </c>
      <c r="AJ25" s="89"/>
      <c r="AK25" s="134" t="e">
        <f>#REF!</f>
        <v>#REF!</v>
      </c>
      <c r="AL25" s="134">
        <f t="shared" si="5"/>
        <v>32.82872026123465</v>
      </c>
      <c r="AM25" s="135" t="e">
        <f t="shared" si="6"/>
        <v>#DIV/0!</v>
      </c>
      <c r="AN25" s="4"/>
    </row>
    <row r="26" spans="1:40" ht="12.75" customHeight="1" thickBot="1" x14ac:dyDescent="0.3">
      <c r="A26" s="3"/>
      <c r="B26" s="91">
        <v>45676</v>
      </c>
      <c r="C26" s="20"/>
      <c r="D26" s="126">
        <f>'Reading.2.25'!AD24</f>
        <v>0</v>
      </c>
      <c r="E26" s="86"/>
      <c r="F26" s="127">
        <f>'Reading.2.25'!AH24</f>
        <v>0</v>
      </c>
      <c r="G26" s="85"/>
      <c r="H26" s="127">
        <f>'Reading.2.25'!AJ24</f>
        <v>414.90322580645159</v>
      </c>
      <c r="I26" s="86"/>
      <c r="J26" s="128">
        <f>'Reading.2.25'!S24</f>
        <v>0</v>
      </c>
      <c r="K26" s="155">
        <f t="shared" si="7"/>
        <v>12055.58064516129</v>
      </c>
      <c r="L26" s="155" t="e">
        <f>#REF!</f>
        <v>#REF!</v>
      </c>
      <c r="M26" s="173">
        <f t="shared" si="8"/>
        <v>0</v>
      </c>
      <c r="N26" s="88"/>
      <c r="O26" s="129">
        <f>'Reading.2.25'!P24</f>
        <v>0</v>
      </c>
      <c r="P26" s="156">
        <f t="shared" si="9"/>
        <v>9.67741935483871</v>
      </c>
      <c r="Q26" s="157">
        <f t="shared" si="10"/>
        <v>7.741935483870968</v>
      </c>
      <c r="R26" s="182" t="e">
        <f>#REF!</f>
        <v>#REF!</v>
      </c>
      <c r="S26" s="130">
        <f t="shared" si="0"/>
        <v>0</v>
      </c>
      <c r="T26" s="89"/>
      <c r="U26" s="131">
        <f>'Reading.2.25'!G24</f>
        <v>0</v>
      </c>
      <c r="V26" s="149">
        <f>'Reading.2.25'!H24</f>
        <v>173.03225806451613</v>
      </c>
      <c r="W26" s="158">
        <f t="shared" si="11"/>
        <v>1557.4193548387098</v>
      </c>
      <c r="X26" s="184" t="e">
        <f>#REF!</f>
        <v>#REF!</v>
      </c>
      <c r="Y26" s="29">
        <f>'Reading.2.25'!G24*4.63</f>
        <v>0</v>
      </c>
      <c r="Z26" s="90"/>
      <c r="AA26" s="107"/>
      <c r="AB26" s="78" t="e">
        <f t="shared" si="1"/>
        <v>#DIV/0!</v>
      </c>
      <c r="AC26" s="79" t="e">
        <f t="shared" si="2"/>
        <v>#DIV/0!</v>
      </c>
      <c r="AD26" s="80" t="e">
        <f t="shared" si="3"/>
        <v>#DIV/0!</v>
      </c>
      <c r="AE26" s="81" t="e">
        <f t="shared" si="4"/>
        <v>#DIV/0!</v>
      </c>
      <c r="AF26" s="106"/>
      <c r="AG26" s="132" t="e">
        <f>#REF!</f>
        <v>#REF!</v>
      </c>
      <c r="AH26" s="132">
        <f t="shared" si="12"/>
        <v>13620.741935483871</v>
      </c>
      <c r="AI26" s="133">
        <f t="shared" si="13"/>
        <v>0</v>
      </c>
      <c r="AJ26" s="89"/>
      <c r="AK26" s="134" t="e">
        <f>#REF!</f>
        <v>#REF!</v>
      </c>
      <c r="AL26" s="134">
        <f t="shared" si="5"/>
        <v>32.82872026123465</v>
      </c>
      <c r="AM26" s="135" t="e">
        <f t="shared" si="6"/>
        <v>#DIV/0!</v>
      </c>
      <c r="AN26" s="4"/>
    </row>
    <row r="27" spans="1:40" ht="13.8" thickBot="1" x14ac:dyDescent="0.3">
      <c r="A27" s="3"/>
      <c r="B27" s="91">
        <v>45677</v>
      </c>
      <c r="C27" s="20"/>
      <c r="D27" s="126">
        <f>'Reading.2.25'!AD25</f>
        <v>0</v>
      </c>
      <c r="E27" s="86"/>
      <c r="F27" s="127">
        <f>'Reading.2.25'!AH25</f>
        <v>0</v>
      </c>
      <c r="G27" s="85"/>
      <c r="H27" s="127">
        <f>'Reading.2.25'!AJ25</f>
        <v>414.90322580645159</v>
      </c>
      <c r="I27" s="86"/>
      <c r="J27" s="128">
        <f>'Reading.2.25'!S25</f>
        <v>0</v>
      </c>
      <c r="K27" s="155">
        <f t="shared" si="7"/>
        <v>12055.58064516129</v>
      </c>
      <c r="L27" s="155" t="e">
        <f>#REF!</f>
        <v>#REF!</v>
      </c>
      <c r="M27" s="173">
        <f t="shared" si="8"/>
        <v>0</v>
      </c>
      <c r="N27" s="88"/>
      <c r="O27" s="129">
        <f>'Reading.2.25'!P25</f>
        <v>0</v>
      </c>
      <c r="P27" s="156">
        <f t="shared" si="9"/>
        <v>9.67741935483871</v>
      </c>
      <c r="Q27" s="157">
        <f t="shared" si="10"/>
        <v>7.741935483870968</v>
      </c>
      <c r="R27" s="182" t="e">
        <f>#REF!</f>
        <v>#REF!</v>
      </c>
      <c r="S27" s="130">
        <f t="shared" si="0"/>
        <v>0</v>
      </c>
      <c r="T27" s="89"/>
      <c r="U27" s="131">
        <f>'Reading.2.25'!G25</f>
        <v>0</v>
      </c>
      <c r="V27" s="149">
        <f>'Reading.2.25'!H25</f>
        <v>173.03225806451613</v>
      </c>
      <c r="W27" s="158">
        <f t="shared" si="11"/>
        <v>1557.4193548387098</v>
      </c>
      <c r="X27" s="184" t="e">
        <f>#REF!</f>
        <v>#REF!</v>
      </c>
      <c r="Y27" s="29">
        <f>'Reading.2.25'!G25*4.63</f>
        <v>0</v>
      </c>
      <c r="Z27" s="90"/>
      <c r="AA27" s="107"/>
      <c r="AB27" s="78" t="e">
        <f t="shared" si="1"/>
        <v>#DIV/0!</v>
      </c>
      <c r="AC27" s="79" t="e">
        <f t="shared" si="2"/>
        <v>#DIV/0!</v>
      </c>
      <c r="AD27" s="80" t="e">
        <f t="shared" si="3"/>
        <v>#DIV/0!</v>
      </c>
      <c r="AE27" s="81" t="e">
        <f t="shared" si="4"/>
        <v>#DIV/0!</v>
      </c>
      <c r="AF27" s="106"/>
      <c r="AG27" s="132" t="e">
        <f>#REF!</f>
        <v>#REF!</v>
      </c>
      <c r="AH27" s="132">
        <f t="shared" si="12"/>
        <v>13620.741935483871</v>
      </c>
      <c r="AI27" s="133">
        <f t="shared" si="13"/>
        <v>0</v>
      </c>
      <c r="AJ27" s="89"/>
      <c r="AK27" s="134" t="e">
        <f>#REF!</f>
        <v>#REF!</v>
      </c>
      <c r="AL27" s="134">
        <f t="shared" si="5"/>
        <v>32.82872026123465</v>
      </c>
      <c r="AM27" s="135" t="e">
        <f t="shared" si="6"/>
        <v>#DIV/0!</v>
      </c>
      <c r="AN27" s="4"/>
    </row>
    <row r="28" spans="1:40" ht="13.8" thickBot="1" x14ac:dyDescent="0.3">
      <c r="A28" s="3"/>
      <c r="B28" s="91">
        <v>45678</v>
      </c>
      <c r="C28" s="20"/>
      <c r="D28" s="126">
        <f>'Reading.2.25'!AD26</f>
        <v>0</v>
      </c>
      <c r="E28" s="86"/>
      <c r="F28" s="127">
        <f>'Reading.2.25'!AH26</f>
        <v>0</v>
      </c>
      <c r="G28" s="85"/>
      <c r="H28" s="127">
        <f>'Reading.2.25'!AJ26</f>
        <v>414.90322580645159</v>
      </c>
      <c r="I28" s="86"/>
      <c r="J28" s="128">
        <f>'Reading.2.25'!S26</f>
        <v>0</v>
      </c>
      <c r="K28" s="155">
        <f t="shared" si="7"/>
        <v>12055.58064516129</v>
      </c>
      <c r="L28" s="155" t="e">
        <f>#REF!</f>
        <v>#REF!</v>
      </c>
      <c r="M28" s="173">
        <f t="shared" si="8"/>
        <v>0</v>
      </c>
      <c r="N28" s="88"/>
      <c r="O28" s="129">
        <f>'Reading.2.25'!P26</f>
        <v>0</v>
      </c>
      <c r="P28" s="156">
        <f t="shared" si="9"/>
        <v>9.67741935483871</v>
      </c>
      <c r="Q28" s="157">
        <f t="shared" si="10"/>
        <v>7.741935483870968</v>
      </c>
      <c r="R28" s="182" t="e">
        <f>#REF!</f>
        <v>#REF!</v>
      </c>
      <c r="S28" s="130">
        <f t="shared" si="0"/>
        <v>0</v>
      </c>
      <c r="T28" s="89"/>
      <c r="U28" s="131">
        <f>'Reading.2.25'!G26</f>
        <v>0</v>
      </c>
      <c r="V28" s="149">
        <f>'Reading.2.25'!H26</f>
        <v>173.03225806451613</v>
      </c>
      <c r="W28" s="158">
        <f t="shared" si="11"/>
        <v>1557.4193548387098</v>
      </c>
      <c r="X28" s="184" t="e">
        <f>#REF!</f>
        <v>#REF!</v>
      </c>
      <c r="Y28" s="29">
        <f>'Reading.2.25'!G26*4.63</f>
        <v>0</v>
      </c>
      <c r="Z28" s="90"/>
      <c r="AA28" s="107"/>
      <c r="AB28" s="78" t="e">
        <f t="shared" si="1"/>
        <v>#DIV/0!</v>
      </c>
      <c r="AC28" s="79" t="e">
        <f t="shared" si="2"/>
        <v>#DIV/0!</v>
      </c>
      <c r="AD28" s="80" t="e">
        <f t="shared" si="3"/>
        <v>#DIV/0!</v>
      </c>
      <c r="AE28" s="81" t="e">
        <f t="shared" si="4"/>
        <v>#DIV/0!</v>
      </c>
      <c r="AF28" s="106"/>
      <c r="AG28" s="132" t="e">
        <f>#REF!</f>
        <v>#REF!</v>
      </c>
      <c r="AH28" s="132">
        <f t="shared" si="12"/>
        <v>13620.741935483871</v>
      </c>
      <c r="AI28" s="133">
        <f t="shared" si="13"/>
        <v>0</v>
      </c>
      <c r="AJ28" s="89"/>
      <c r="AK28" s="134" t="e">
        <f>#REF!</f>
        <v>#REF!</v>
      </c>
      <c r="AL28" s="134">
        <f t="shared" si="5"/>
        <v>32.82872026123465</v>
      </c>
      <c r="AM28" s="135" t="e">
        <f t="shared" si="6"/>
        <v>#DIV/0!</v>
      </c>
      <c r="AN28" s="4"/>
    </row>
    <row r="29" spans="1:40" ht="13.8" thickBot="1" x14ac:dyDescent="0.3">
      <c r="A29" s="3"/>
      <c r="B29" s="91">
        <v>45679</v>
      </c>
      <c r="C29" s="20"/>
      <c r="D29" s="126">
        <f>'Reading.2.25'!AD27</f>
        <v>0</v>
      </c>
      <c r="E29" s="86"/>
      <c r="F29" s="127">
        <f>'Reading.2.25'!AH27</f>
        <v>0</v>
      </c>
      <c r="G29" s="85"/>
      <c r="H29" s="127">
        <f>'Reading.2.25'!AJ27</f>
        <v>414.90322580645159</v>
      </c>
      <c r="I29" s="86"/>
      <c r="J29" s="128">
        <f>'Reading.2.25'!S27</f>
        <v>0</v>
      </c>
      <c r="K29" s="155">
        <f t="shared" si="7"/>
        <v>12055.58064516129</v>
      </c>
      <c r="L29" s="155" t="e">
        <f>#REF!</f>
        <v>#REF!</v>
      </c>
      <c r="M29" s="173">
        <f t="shared" si="8"/>
        <v>0</v>
      </c>
      <c r="N29" s="88"/>
      <c r="O29" s="129">
        <f>'Reading.2.25'!P27</f>
        <v>0</v>
      </c>
      <c r="P29" s="156">
        <f t="shared" si="9"/>
        <v>9.67741935483871</v>
      </c>
      <c r="Q29" s="157">
        <f t="shared" si="10"/>
        <v>7.741935483870968</v>
      </c>
      <c r="R29" s="182" t="e">
        <f>#REF!</f>
        <v>#REF!</v>
      </c>
      <c r="S29" s="130">
        <f t="shared" si="0"/>
        <v>0</v>
      </c>
      <c r="T29" s="89"/>
      <c r="U29" s="131">
        <f>'Reading.2.25'!G27</f>
        <v>0</v>
      </c>
      <c r="V29" s="149">
        <f>'Reading.2.25'!H27</f>
        <v>173.03225806451613</v>
      </c>
      <c r="W29" s="158">
        <f t="shared" si="11"/>
        <v>1557.4193548387098</v>
      </c>
      <c r="X29" s="184" t="e">
        <f>#REF!</f>
        <v>#REF!</v>
      </c>
      <c r="Y29" s="29">
        <f>'Reading.2.25'!G27*4.63</f>
        <v>0</v>
      </c>
      <c r="Z29" s="90"/>
      <c r="AA29" s="107"/>
      <c r="AB29" s="78" t="e">
        <f t="shared" si="1"/>
        <v>#DIV/0!</v>
      </c>
      <c r="AC29" s="79" t="e">
        <f t="shared" si="2"/>
        <v>#DIV/0!</v>
      </c>
      <c r="AD29" s="80" t="e">
        <f t="shared" si="3"/>
        <v>#DIV/0!</v>
      </c>
      <c r="AE29" s="81" t="e">
        <f t="shared" si="4"/>
        <v>#DIV/0!</v>
      </c>
      <c r="AF29" s="106"/>
      <c r="AG29" s="132" t="e">
        <f>#REF!</f>
        <v>#REF!</v>
      </c>
      <c r="AH29" s="132">
        <f t="shared" si="12"/>
        <v>13620.741935483871</v>
      </c>
      <c r="AI29" s="133">
        <f t="shared" si="13"/>
        <v>0</v>
      </c>
      <c r="AJ29" s="89"/>
      <c r="AK29" s="134" t="e">
        <f>#REF!</f>
        <v>#REF!</v>
      </c>
      <c r="AL29" s="134">
        <f t="shared" si="5"/>
        <v>32.82872026123465</v>
      </c>
      <c r="AM29" s="135" t="e">
        <f t="shared" si="6"/>
        <v>#DIV/0!</v>
      </c>
      <c r="AN29" s="4"/>
    </row>
    <row r="30" spans="1:40" ht="13.8" thickBot="1" x14ac:dyDescent="0.3">
      <c r="A30" s="3"/>
      <c r="B30" s="91">
        <v>45680</v>
      </c>
      <c r="C30" s="20"/>
      <c r="D30" s="126">
        <f>'Reading.2.25'!AD28</f>
        <v>0</v>
      </c>
      <c r="E30" s="86"/>
      <c r="F30" s="127">
        <f>'Reading.2.25'!AH28</f>
        <v>0</v>
      </c>
      <c r="G30" s="85"/>
      <c r="H30" s="127">
        <f>'Reading.2.25'!AJ28</f>
        <v>414.90322580645159</v>
      </c>
      <c r="I30" s="86"/>
      <c r="J30" s="128">
        <f>'Reading.2.25'!S28</f>
        <v>0</v>
      </c>
      <c r="K30" s="155">
        <f t="shared" si="7"/>
        <v>12055.58064516129</v>
      </c>
      <c r="L30" s="155" t="e">
        <f>#REF!</f>
        <v>#REF!</v>
      </c>
      <c r="M30" s="173">
        <f t="shared" ref="M30:M37" si="14">J30*1.3</f>
        <v>0</v>
      </c>
      <c r="N30" s="88"/>
      <c r="O30" s="129">
        <f>'Reading.2.25'!P28</f>
        <v>0</v>
      </c>
      <c r="P30" s="156">
        <f t="shared" si="9"/>
        <v>9.67741935483871</v>
      </c>
      <c r="Q30" s="157">
        <f t="shared" si="10"/>
        <v>7.741935483870968</v>
      </c>
      <c r="R30" s="182" t="e">
        <f>#REF!</f>
        <v>#REF!</v>
      </c>
      <c r="S30" s="130">
        <f t="shared" si="0"/>
        <v>0</v>
      </c>
      <c r="T30" s="89"/>
      <c r="U30" s="131">
        <f>'Reading.2.25'!G28</f>
        <v>0</v>
      </c>
      <c r="V30" s="149">
        <f>'Reading.2.25'!H28</f>
        <v>173.03225806451613</v>
      </c>
      <c r="W30" s="158">
        <f t="shared" si="11"/>
        <v>1557.4193548387098</v>
      </c>
      <c r="X30" s="184" t="e">
        <f>#REF!</f>
        <v>#REF!</v>
      </c>
      <c r="Y30" s="29">
        <f>'Reading.2.25'!G28*4.63</f>
        <v>0</v>
      </c>
      <c r="Z30" s="90"/>
      <c r="AA30" s="107"/>
      <c r="AB30" s="78" t="e">
        <f t="shared" si="1"/>
        <v>#DIV/0!</v>
      </c>
      <c r="AC30" s="79" t="e">
        <f t="shared" si="2"/>
        <v>#DIV/0!</v>
      </c>
      <c r="AD30" s="80" t="e">
        <f t="shared" si="3"/>
        <v>#DIV/0!</v>
      </c>
      <c r="AE30" s="81" t="e">
        <f t="shared" si="4"/>
        <v>#DIV/0!</v>
      </c>
      <c r="AF30" s="106"/>
      <c r="AG30" s="132" t="e">
        <f>#REF!</f>
        <v>#REF!</v>
      </c>
      <c r="AH30" s="132">
        <f t="shared" si="12"/>
        <v>13620.741935483871</v>
      </c>
      <c r="AI30" s="133">
        <f t="shared" si="13"/>
        <v>0</v>
      </c>
      <c r="AJ30" s="89"/>
      <c r="AK30" s="134" t="e">
        <f>#REF!</f>
        <v>#REF!</v>
      </c>
      <c r="AL30" s="134">
        <f t="shared" si="5"/>
        <v>32.82872026123465</v>
      </c>
      <c r="AM30" s="135" t="e">
        <f t="shared" si="6"/>
        <v>#DIV/0!</v>
      </c>
      <c r="AN30" s="4"/>
    </row>
    <row r="31" spans="1:40" ht="13.8" thickBot="1" x14ac:dyDescent="0.3">
      <c r="A31" s="3"/>
      <c r="B31" s="91">
        <v>45681</v>
      </c>
      <c r="C31" s="20"/>
      <c r="D31" s="126">
        <f>'Reading.2.25'!AD29</f>
        <v>0</v>
      </c>
      <c r="E31" s="86"/>
      <c r="F31" s="127">
        <f>'Reading.2.25'!AH29</f>
        <v>0</v>
      </c>
      <c r="G31" s="85"/>
      <c r="H31" s="127">
        <f>'Reading.2.25'!AJ29</f>
        <v>414.90322580645159</v>
      </c>
      <c r="I31" s="86"/>
      <c r="J31" s="128">
        <f>'Reading.2.25'!S29</f>
        <v>0</v>
      </c>
      <c r="K31" s="155">
        <f t="shared" si="7"/>
        <v>12055.58064516129</v>
      </c>
      <c r="L31" s="155" t="e">
        <f>#REF!</f>
        <v>#REF!</v>
      </c>
      <c r="M31" s="173">
        <f t="shared" si="14"/>
        <v>0</v>
      </c>
      <c r="N31" s="88"/>
      <c r="O31" s="129">
        <f>'Reading.2.25'!P29</f>
        <v>0</v>
      </c>
      <c r="P31" s="156">
        <f t="shared" si="9"/>
        <v>9.67741935483871</v>
      </c>
      <c r="Q31" s="157">
        <f t="shared" si="10"/>
        <v>7.741935483870968</v>
      </c>
      <c r="R31" s="182" t="e">
        <f>#REF!</f>
        <v>#REF!</v>
      </c>
      <c r="S31" s="130">
        <f t="shared" si="0"/>
        <v>0</v>
      </c>
      <c r="T31" s="89"/>
      <c r="U31" s="131">
        <f>'Reading.2.25'!G29</f>
        <v>0</v>
      </c>
      <c r="V31" s="149">
        <f>'Reading.2.25'!H29</f>
        <v>173.03225806451613</v>
      </c>
      <c r="W31" s="158">
        <f t="shared" si="11"/>
        <v>1557.4193548387098</v>
      </c>
      <c r="X31" s="184" t="e">
        <f>#REF!</f>
        <v>#REF!</v>
      </c>
      <c r="Y31" s="29">
        <f>'Reading.2.25'!G29*4.63</f>
        <v>0</v>
      </c>
      <c r="Z31" s="90"/>
      <c r="AA31" s="107"/>
      <c r="AB31" s="78" t="e">
        <f t="shared" si="1"/>
        <v>#DIV/0!</v>
      </c>
      <c r="AC31" s="79" t="e">
        <f t="shared" si="2"/>
        <v>#DIV/0!</v>
      </c>
      <c r="AD31" s="80" t="e">
        <f t="shared" si="3"/>
        <v>#DIV/0!</v>
      </c>
      <c r="AE31" s="81" t="e">
        <f t="shared" si="4"/>
        <v>#DIV/0!</v>
      </c>
      <c r="AF31" s="106"/>
      <c r="AG31" s="132" t="e">
        <f>#REF!</f>
        <v>#REF!</v>
      </c>
      <c r="AH31" s="132">
        <f t="shared" si="12"/>
        <v>13620.741935483871</v>
      </c>
      <c r="AI31" s="133">
        <f t="shared" si="13"/>
        <v>0</v>
      </c>
      <c r="AJ31" s="89"/>
      <c r="AK31" s="134" t="e">
        <f>#REF!</f>
        <v>#REF!</v>
      </c>
      <c r="AL31" s="134">
        <f t="shared" si="5"/>
        <v>32.82872026123465</v>
      </c>
      <c r="AM31" s="135" t="e">
        <f t="shared" si="6"/>
        <v>#DIV/0!</v>
      </c>
      <c r="AN31" s="4"/>
    </row>
    <row r="32" spans="1:40" ht="13.8" thickBot="1" x14ac:dyDescent="0.3">
      <c r="A32" s="3"/>
      <c r="B32" s="91">
        <v>45682</v>
      </c>
      <c r="C32" s="20"/>
      <c r="D32" s="126">
        <f>'Reading.2.25'!AD30</f>
        <v>0</v>
      </c>
      <c r="E32" s="86"/>
      <c r="F32" s="127">
        <f>'Reading.2.25'!AH30</f>
        <v>0</v>
      </c>
      <c r="G32" s="85"/>
      <c r="H32" s="127">
        <f>'Reading.2.25'!AJ30</f>
        <v>414.90322580645159</v>
      </c>
      <c r="I32" s="86"/>
      <c r="J32" s="128">
        <f>'Reading.2.25'!S30</f>
        <v>0</v>
      </c>
      <c r="K32" s="155">
        <f t="shared" si="7"/>
        <v>12055.58064516129</v>
      </c>
      <c r="L32" s="155" t="e">
        <f>#REF!</f>
        <v>#REF!</v>
      </c>
      <c r="M32" s="173">
        <f t="shared" si="14"/>
        <v>0</v>
      </c>
      <c r="N32" s="88"/>
      <c r="O32" s="129">
        <f>'Reading.2.25'!P30</f>
        <v>0</v>
      </c>
      <c r="P32" s="156">
        <f t="shared" si="9"/>
        <v>9.67741935483871</v>
      </c>
      <c r="Q32" s="157">
        <f t="shared" si="10"/>
        <v>7.741935483870968</v>
      </c>
      <c r="R32" s="182" t="e">
        <f>#REF!</f>
        <v>#REF!</v>
      </c>
      <c r="S32" s="130">
        <f t="shared" si="0"/>
        <v>0</v>
      </c>
      <c r="T32" s="89"/>
      <c r="U32" s="131">
        <f>'Reading.2.25'!G30</f>
        <v>0</v>
      </c>
      <c r="V32" s="149">
        <f>'Reading.2.25'!H30</f>
        <v>173.03225806451613</v>
      </c>
      <c r="W32" s="158">
        <f t="shared" si="11"/>
        <v>1557.4193548387098</v>
      </c>
      <c r="X32" s="184" t="e">
        <f>#REF!</f>
        <v>#REF!</v>
      </c>
      <c r="Y32" s="29">
        <f>'Reading.2.25'!G30*4.63</f>
        <v>0</v>
      </c>
      <c r="Z32" s="90"/>
      <c r="AA32" s="107"/>
      <c r="AB32" s="78" t="e">
        <f t="shared" si="1"/>
        <v>#DIV/0!</v>
      </c>
      <c r="AC32" s="79" t="e">
        <f t="shared" si="2"/>
        <v>#DIV/0!</v>
      </c>
      <c r="AD32" s="80" t="e">
        <f t="shared" si="3"/>
        <v>#DIV/0!</v>
      </c>
      <c r="AE32" s="81" t="e">
        <f t="shared" si="4"/>
        <v>#DIV/0!</v>
      </c>
      <c r="AF32" s="106"/>
      <c r="AG32" s="132" t="e">
        <f>#REF!</f>
        <v>#REF!</v>
      </c>
      <c r="AH32" s="132">
        <f t="shared" si="12"/>
        <v>13620.741935483871</v>
      </c>
      <c r="AI32" s="133">
        <f t="shared" si="13"/>
        <v>0</v>
      </c>
      <c r="AJ32" s="89"/>
      <c r="AK32" s="134" t="e">
        <f>#REF!</f>
        <v>#REF!</v>
      </c>
      <c r="AL32" s="134">
        <f t="shared" si="5"/>
        <v>32.82872026123465</v>
      </c>
      <c r="AM32" s="135" t="e">
        <f t="shared" si="6"/>
        <v>#DIV/0!</v>
      </c>
      <c r="AN32" s="4"/>
    </row>
    <row r="33" spans="1:40" ht="13.8" thickBot="1" x14ac:dyDescent="0.3">
      <c r="A33" s="3"/>
      <c r="B33" s="91">
        <v>45683</v>
      </c>
      <c r="C33" s="20"/>
      <c r="D33" s="126">
        <f>'Reading.2.25'!AD31</f>
        <v>0</v>
      </c>
      <c r="E33" s="86"/>
      <c r="F33" s="127">
        <f>'Reading.2.25'!AH31</f>
        <v>0</v>
      </c>
      <c r="G33" s="85"/>
      <c r="H33" s="127">
        <f>'Reading.2.25'!AJ31</f>
        <v>414.90322580645159</v>
      </c>
      <c r="I33" s="86"/>
      <c r="J33" s="128">
        <f>'Reading.2.25'!S31</f>
        <v>0</v>
      </c>
      <c r="K33" s="155">
        <f t="shared" si="7"/>
        <v>12055.58064516129</v>
      </c>
      <c r="L33" s="155" t="e">
        <f>#REF!</f>
        <v>#REF!</v>
      </c>
      <c r="M33" s="173">
        <f t="shared" si="14"/>
        <v>0</v>
      </c>
      <c r="N33" s="88"/>
      <c r="O33" s="129">
        <f>'Reading.2.25'!P31</f>
        <v>0</v>
      </c>
      <c r="P33" s="156">
        <f t="shared" si="9"/>
        <v>9.67741935483871</v>
      </c>
      <c r="Q33" s="157">
        <f t="shared" si="10"/>
        <v>7.741935483870968</v>
      </c>
      <c r="R33" s="182" t="e">
        <f>#REF!</f>
        <v>#REF!</v>
      </c>
      <c r="S33" s="130">
        <f t="shared" si="0"/>
        <v>0</v>
      </c>
      <c r="T33" s="89"/>
      <c r="U33" s="131">
        <f>'Reading.2.25'!G31</f>
        <v>0</v>
      </c>
      <c r="V33" s="149">
        <f>'Reading.2.25'!H31</f>
        <v>173.03225806451613</v>
      </c>
      <c r="W33" s="158">
        <f t="shared" si="11"/>
        <v>1557.4193548387098</v>
      </c>
      <c r="X33" s="184" t="e">
        <f>#REF!</f>
        <v>#REF!</v>
      </c>
      <c r="Y33" s="29">
        <f>'Reading.2.25'!G31*4.63</f>
        <v>0</v>
      </c>
      <c r="Z33" s="90"/>
      <c r="AA33" s="107"/>
      <c r="AB33" s="78" t="e">
        <f t="shared" si="1"/>
        <v>#DIV/0!</v>
      </c>
      <c r="AC33" s="79" t="e">
        <f t="shared" si="2"/>
        <v>#DIV/0!</v>
      </c>
      <c r="AD33" s="80" t="e">
        <f t="shared" si="3"/>
        <v>#DIV/0!</v>
      </c>
      <c r="AE33" s="81" t="e">
        <f t="shared" si="4"/>
        <v>#DIV/0!</v>
      </c>
      <c r="AF33" s="106"/>
      <c r="AG33" s="132" t="e">
        <f>#REF!</f>
        <v>#REF!</v>
      </c>
      <c r="AH33" s="132">
        <f t="shared" si="12"/>
        <v>13620.741935483871</v>
      </c>
      <c r="AI33" s="133">
        <f t="shared" si="13"/>
        <v>0</v>
      </c>
      <c r="AJ33" s="89"/>
      <c r="AK33" s="134" t="e">
        <f>#REF!</f>
        <v>#REF!</v>
      </c>
      <c r="AL33" s="134">
        <f t="shared" si="5"/>
        <v>32.82872026123465</v>
      </c>
      <c r="AM33" s="135" t="e">
        <f t="shared" si="6"/>
        <v>#DIV/0!</v>
      </c>
      <c r="AN33" s="4"/>
    </row>
    <row r="34" spans="1:40" ht="13.8" thickBot="1" x14ac:dyDescent="0.3">
      <c r="A34" s="3"/>
      <c r="B34" s="91">
        <v>45684</v>
      </c>
      <c r="C34" s="20"/>
      <c r="D34" s="126">
        <f>'Reading.2.25'!AD32</f>
        <v>0</v>
      </c>
      <c r="E34" s="86"/>
      <c r="F34" s="127">
        <f>'Reading.2.25'!AH32</f>
        <v>0</v>
      </c>
      <c r="G34" s="85"/>
      <c r="H34" s="127">
        <f>'Reading.2.25'!AJ32</f>
        <v>414.90322580645159</v>
      </c>
      <c r="I34" s="86"/>
      <c r="J34" s="128">
        <f>'Reading.2.25'!S32</f>
        <v>0</v>
      </c>
      <c r="K34" s="155">
        <f t="shared" si="7"/>
        <v>12055.58064516129</v>
      </c>
      <c r="L34" s="155" t="e">
        <f>#REF!</f>
        <v>#REF!</v>
      </c>
      <c r="M34" s="173">
        <f t="shared" si="14"/>
        <v>0</v>
      </c>
      <c r="N34" s="88"/>
      <c r="O34" s="129">
        <f>'Reading.2.25'!P32</f>
        <v>0</v>
      </c>
      <c r="P34" s="156">
        <f t="shared" si="9"/>
        <v>9.67741935483871</v>
      </c>
      <c r="Q34" s="157">
        <f t="shared" si="10"/>
        <v>7.741935483870968</v>
      </c>
      <c r="R34" s="182" t="e">
        <f>#REF!</f>
        <v>#REF!</v>
      </c>
      <c r="S34" s="130">
        <f t="shared" si="0"/>
        <v>0</v>
      </c>
      <c r="T34" s="89"/>
      <c r="U34" s="131">
        <f>'Reading.2.25'!G32</f>
        <v>0</v>
      </c>
      <c r="V34" s="149">
        <f>'Reading.2.25'!H32</f>
        <v>173.03225806451613</v>
      </c>
      <c r="W34" s="158">
        <f t="shared" si="11"/>
        <v>1557.4193548387098</v>
      </c>
      <c r="X34" s="184" t="e">
        <f>#REF!</f>
        <v>#REF!</v>
      </c>
      <c r="Y34" s="29">
        <f>'Reading.2.25'!G32*4.63</f>
        <v>0</v>
      </c>
      <c r="Z34" s="90"/>
      <c r="AA34" s="107"/>
      <c r="AB34" s="78" t="e">
        <f t="shared" si="1"/>
        <v>#DIV/0!</v>
      </c>
      <c r="AC34" s="79" t="e">
        <f t="shared" si="2"/>
        <v>#DIV/0!</v>
      </c>
      <c r="AD34" s="80" t="e">
        <f t="shared" si="3"/>
        <v>#DIV/0!</v>
      </c>
      <c r="AE34" s="81" t="e">
        <f t="shared" si="4"/>
        <v>#DIV/0!</v>
      </c>
      <c r="AF34" s="106"/>
      <c r="AG34" s="132" t="e">
        <f>#REF!</f>
        <v>#REF!</v>
      </c>
      <c r="AH34" s="132">
        <f t="shared" si="12"/>
        <v>13620.741935483871</v>
      </c>
      <c r="AI34" s="133">
        <f t="shared" si="13"/>
        <v>0</v>
      </c>
      <c r="AJ34" s="89"/>
      <c r="AK34" s="134" t="e">
        <f>#REF!</f>
        <v>#REF!</v>
      </c>
      <c r="AL34" s="134">
        <f t="shared" si="5"/>
        <v>32.82872026123465</v>
      </c>
      <c r="AM34" s="135" t="e">
        <f t="shared" si="6"/>
        <v>#DIV/0!</v>
      </c>
      <c r="AN34" s="4"/>
    </row>
    <row r="35" spans="1:40" ht="13.8" thickBot="1" x14ac:dyDescent="0.3">
      <c r="A35" s="3"/>
      <c r="B35" s="91">
        <v>45685</v>
      </c>
      <c r="C35" s="20"/>
      <c r="D35" s="126">
        <f>'Reading.2.25'!AD33</f>
        <v>0</v>
      </c>
      <c r="E35" s="86"/>
      <c r="F35" s="127">
        <f>'Reading.2.25'!AH33</f>
        <v>0</v>
      </c>
      <c r="G35" s="85"/>
      <c r="H35" s="127">
        <f>'Reading.2.25'!AJ33</f>
        <v>414.90322580645159</v>
      </c>
      <c r="I35" s="86"/>
      <c r="J35" s="128">
        <f>'Reading.2.25'!S33</f>
        <v>0</v>
      </c>
      <c r="K35" s="155">
        <f t="shared" si="7"/>
        <v>12055.58064516129</v>
      </c>
      <c r="L35" s="155" t="e">
        <f>#REF!</f>
        <v>#REF!</v>
      </c>
      <c r="M35" s="173">
        <f t="shared" si="14"/>
        <v>0</v>
      </c>
      <c r="N35" s="88"/>
      <c r="O35" s="129">
        <f>'Reading.2.25'!P33</f>
        <v>0</v>
      </c>
      <c r="P35" s="156">
        <f t="shared" si="9"/>
        <v>9.67741935483871</v>
      </c>
      <c r="Q35" s="157">
        <f t="shared" si="10"/>
        <v>7.741935483870968</v>
      </c>
      <c r="R35" s="182" t="e">
        <f>#REF!</f>
        <v>#REF!</v>
      </c>
      <c r="S35" s="130">
        <f t="shared" si="0"/>
        <v>0</v>
      </c>
      <c r="T35" s="89"/>
      <c r="U35" s="131">
        <f>'Reading.2.25'!G33</f>
        <v>0</v>
      </c>
      <c r="V35" s="149">
        <f>'Reading.2.25'!H33</f>
        <v>173.03225806451613</v>
      </c>
      <c r="W35" s="158">
        <f t="shared" si="11"/>
        <v>1557.4193548387098</v>
      </c>
      <c r="X35" s="184" t="e">
        <f>#REF!</f>
        <v>#REF!</v>
      </c>
      <c r="Y35" s="29">
        <f>'Reading.2.25'!G33*4.63</f>
        <v>0</v>
      </c>
      <c r="Z35" s="90"/>
      <c r="AA35" s="107"/>
      <c r="AB35" s="78" t="e">
        <f t="shared" si="1"/>
        <v>#DIV/0!</v>
      </c>
      <c r="AC35" s="79" t="e">
        <f t="shared" si="2"/>
        <v>#DIV/0!</v>
      </c>
      <c r="AD35" s="80" t="e">
        <f t="shared" si="3"/>
        <v>#DIV/0!</v>
      </c>
      <c r="AE35" s="81" t="e">
        <f t="shared" si="4"/>
        <v>#DIV/0!</v>
      </c>
      <c r="AF35" s="106"/>
      <c r="AG35" s="132" t="e">
        <f>#REF!</f>
        <v>#REF!</v>
      </c>
      <c r="AH35" s="132">
        <f t="shared" si="12"/>
        <v>13620.741935483871</v>
      </c>
      <c r="AI35" s="133">
        <f t="shared" si="13"/>
        <v>0</v>
      </c>
      <c r="AJ35" s="89"/>
      <c r="AK35" s="134" t="e">
        <f>#REF!</f>
        <v>#REF!</v>
      </c>
      <c r="AL35" s="134">
        <f t="shared" si="5"/>
        <v>32.82872026123465</v>
      </c>
      <c r="AM35" s="135" t="e">
        <f t="shared" si="6"/>
        <v>#DIV/0!</v>
      </c>
      <c r="AN35" s="4"/>
    </row>
    <row r="36" spans="1:40" ht="13.8" thickBot="1" x14ac:dyDescent="0.3">
      <c r="A36" s="3"/>
      <c r="B36" s="91">
        <v>45686</v>
      </c>
      <c r="C36" s="20"/>
      <c r="D36" s="126">
        <f>'Reading.2.25'!AD34</f>
        <v>0</v>
      </c>
      <c r="E36" s="86"/>
      <c r="F36" s="127">
        <f>'Reading.2.25'!AH34</f>
        <v>0</v>
      </c>
      <c r="G36" s="85"/>
      <c r="H36" s="127">
        <f>'Reading.2.25'!AJ34</f>
        <v>414.90322580645159</v>
      </c>
      <c r="I36" s="86"/>
      <c r="J36" s="128">
        <f>'Reading.2.25'!S34</f>
        <v>0</v>
      </c>
      <c r="K36" s="155">
        <f t="shared" si="7"/>
        <v>12055.58064516129</v>
      </c>
      <c r="L36" s="155" t="e">
        <f>#REF!</f>
        <v>#REF!</v>
      </c>
      <c r="M36" s="173">
        <f t="shared" si="14"/>
        <v>0</v>
      </c>
      <c r="N36" s="88"/>
      <c r="O36" s="129">
        <f>'Reading.2.25'!P34</f>
        <v>0</v>
      </c>
      <c r="P36" s="156">
        <f t="shared" si="9"/>
        <v>9.67741935483871</v>
      </c>
      <c r="Q36" s="157">
        <f t="shared" si="10"/>
        <v>7.741935483870968</v>
      </c>
      <c r="R36" s="182" t="e">
        <f>#REF!</f>
        <v>#REF!</v>
      </c>
      <c r="S36" s="130">
        <f t="shared" si="0"/>
        <v>0</v>
      </c>
      <c r="T36" s="89"/>
      <c r="U36" s="131">
        <f>'Reading.2.25'!G34</f>
        <v>0</v>
      </c>
      <c r="V36" s="149">
        <f>'Reading.2.25'!H34</f>
        <v>173.03225806451613</v>
      </c>
      <c r="W36" s="158">
        <f t="shared" si="11"/>
        <v>1557.4193548387098</v>
      </c>
      <c r="X36" s="184" t="e">
        <f>#REF!</f>
        <v>#REF!</v>
      </c>
      <c r="Y36" s="29">
        <f>'Reading.2.25'!G34*4.63</f>
        <v>0</v>
      </c>
      <c r="Z36" s="90"/>
      <c r="AA36" s="107"/>
      <c r="AB36" s="78" t="e">
        <f t="shared" si="1"/>
        <v>#DIV/0!</v>
      </c>
      <c r="AC36" s="79" t="e">
        <f t="shared" si="2"/>
        <v>#DIV/0!</v>
      </c>
      <c r="AD36" s="80" t="e">
        <f t="shared" si="3"/>
        <v>#DIV/0!</v>
      </c>
      <c r="AE36" s="81" t="e">
        <f t="shared" si="4"/>
        <v>#DIV/0!</v>
      </c>
      <c r="AF36" s="106"/>
      <c r="AG36" s="132" t="e">
        <f>#REF!</f>
        <v>#REF!</v>
      </c>
      <c r="AH36" s="132">
        <f t="shared" si="12"/>
        <v>13620.741935483871</v>
      </c>
      <c r="AI36" s="133">
        <f t="shared" si="13"/>
        <v>0</v>
      </c>
      <c r="AJ36" s="89"/>
      <c r="AK36" s="134" t="e">
        <f>#REF!</f>
        <v>#REF!</v>
      </c>
      <c r="AL36" s="134">
        <f t="shared" si="5"/>
        <v>32.82872026123465</v>
      </c>
      <c r="AM36" s="135" t="e">
        <f t="shared" si="6"/>
        <v>#DIV/0!</v>
      </c>
      <c r="AN36" s="4"/>
    </row>
    <row r="37" spans="1:40" ht="13.8" thickBot="1" x14ac:dyDescent="0.3">
      <c r="A37" s="3"/>
      <c r="B37" s="91">
        <v>45687</v>
      </c>
      <c r="C37" s="20"/>
      <c r="D37" s="126">
        <f>'Reading.2.25'!AD35</f>
        <v>0</v>
      </c>
      <c r="E37" s="86"/>
      <c r="F37" s="127">
        <f>'Reading.2.25'!AH35</f>
        <v>0</v>
      </c>
      <c r="G37" s="85"/>
      <c r="H37" s="127">
        <f>'Reading.2.25'!AJ35</f>
        <v>414.90322580645159</v>
      </c>
      <c r="I37" s="86"/>
      <c r="J37" s="128">
        <f>'Reading.2.25'!S35</f>
        <v>0</v>
      </c>
      <c r="K37" s="155">
        <f t="shared" si="7"/>
        <v>12055.58064516129</v>
      </c>
      <c r="L37" s="155" t="e">
        <f>#REF!</f>
        <v>#REF!</v>
      </c>
      <c r="M37" s="173">
        <f t="shared" si="14"/>
        <v>0</v>
      </c>
      <c r="N37" s="88"/>
      <c r="O37" s="129">
        <f>'Reading.2.25'!P35</f>
        <v>0</v>
      </c>
      <c r="P37" s="156">
        <f t="shared" si="9"/>
        <v>9.67741935483871</v>
      </c>
      <c r="Q37" s="157">
        <f t="shared" si="10"/>
        <v>7.741935483870968</v>
      </c>
      <c r="R37" s="182" t="e">
        <f>#REF!</f>
        <v>#REF!</v>
      </c>
      <c r="S37" s="130">
        <f t="shared" si="0"/>
        <v>0</v>
      </c>
      <c r="T37" s="89"/>
      <c r="U37" s="131">
        <f>'Reading.2.25'!G35</f>
        <v>0</v>
      </c>
      <c r="V37" s="149">
        <f>'Reading.2.25'!H35</f>
        <v>173.03225806451613</v>
      </c>
      <c r="W37" s="158">
        <f t="shared" si="11"/>
        <v>1557.4193548387098</v>
      </c>
      <c r="X37" s="184" t="e">
        <f>#REF!</f>
        <v>#REF!</v>
      </c>
      <c r="Y37" s="29">
        <f>'Reading.2.25'!G35*4.63</f>
        <v>0</v>
      </c>
      <c r="Z37" s="90"/>
      <c r="AA37" s="107"/>
      <c r="AB37" s="78" t="e">
        <f t="shared" si="1"/>
        <v>#DIV/0!</v>
      </c>
      <c r="AC37" s="79" t="e">
        <f t="shared" si="2"/>
        <v>#DIV/0!</v>
      </c>
      <c r="AD37" s="80" t="e">
        <f t="shared" si="3"/>
        <v>#DIV/0!</v>
      </c>
      <c r="AE37" s="81" t="e">
        <f t="shared" si="4"/>
        <v>#DIV/0!</v>
      </c>
      <c r="AF37" s="106"/>
      <c r="AG37" s="132" t="e">
        <f>#REF!</f>
        <v>#REF!</v>
      </c>
      <c r="AH37" s="132">
        <f t="shared" si="12"/>
        <v>13620.741935483871</v>
      </c>
      <c r="AI37" s="133">
        <f t="shared" si="13"/>
        <v>0</v>
      </c>
      <c r="AJ37" s="89"/>
      <c r="AK37" s="134" t="e">
        <f>#REF!</f>
        <v>#REF!</v>
      </c>
      <c r="AL37" s="134">
        <f t="shared" si="5"/>
        <v>32.82872026123465</v>
      </c>
      <c r="AM37" s="135" t="e">
        <f t="shared" si="6"/>
        <v>#DIV/0!</v>
      </c>
      <c r="AN37" s="4"/>
    </row>
    <row r="38" spans="1:40" ht="13.8" thickBot="1" x14ac:dyDescent="0.3">
      <c r="A38" s="3"/>
      <c r="B38" s="91">
        <v>45688</v>
      </c>
      <c r="C38" s="20"/>
      <c r="D38" s="126"/>
      <c r="E38" s="86"/>
      <c r="F38" s="127"/>
      <c r="G38" s="85"/>
      <c r="H38" s="127"/>
      <c r="I38" s="86"/>
      <c r="J38" s="128"/>
      <c r="K38" s="155"/>
      <c r="L38" s="155"/>
      <c r="M38" s="173"/>
      <c r="N38" s="88"/>
      <c r="O38" s="129"/>
      <c r="P38" s="156"/>
      <c r="Q38" s="157"/>
      <c r="R38" s="182"/>
      <c r="S38" s="130"/>
      <c r="T38" s="89"/>
      <c r="U38" s="131"/>
      <c r="V38" s="149">
        <f>'Reading.2.25'!H36</f>
        <v>173.03225806451613</v>
      </c>
      <c r="W38" s="158">
        <f t="shared" si="11"/>
        <v>1557.4193548387098</v>
      </c>
      <c r="X38" s="184"/>
      <c r="Y38" s="29"/>
      <c r="Z38" s="90"/>
      <c r="AA38" s="107"/>
      <c r="AB38" s="78"/>
      <c r="AC38" s="79"/>
      <c r="AD38" s="80"/>
      <c r="AE38" s="81"/>
      <c r="AF38" s="106"/>
      <c r="AG38" s="132"/>
      <c r="AH38" s="132"/>
      <c r="AI38" s="133"/>
      <c r="AJ38" s="89"/>
      <c r="AK38" s="134"/>
      <c r="AL38" s="134"/>
      <c r="AM38" s="135" t="e">
        <f t="shared" si="6"/>
        <v>#DIV/0!</v>
      </c>
      <c r="AN38" s="4"/>
    </row>
    <row r="39" spans="1:40" ht="27" customHeight="1" thickBot="1" x14ac:dyDescent="0.3">
      <c r="A39" s="3"/>
      <c r="B39" s="84" t="s">
        <v>19</v>
      </c>
      <c r="C39" s="23"/>
      <c r="D39" s="71">
        <f>AVERAGE(D8:D38)</f>
        <v>0.13223333333333334</v>
      </c>
      <c r="E39" s="87"/>
      <c r="F39" s="83">
        <f>SUM(F8:F38)</f>
        <v>2263</v>
      </c>
      <c r="G39" s="85"/>
      <c r="H39" s="83">
        <f>SUM(H8:H38)</f>
        <v>12447.09677419354</v>
      </c>
      <c r="I39" s="23"/>
      <c r="J39" s="49">
        <f>SUM(J8:J38)</f>
        <v>198915</v>
      </c>
      <c r="K39" s="50">
        <f>SUM(K8:K38)</f>
        <v>361667.41935483867</v>
      </c>
      <c r="L39" s="50" t="e">
        <f>SUM(L8:L38)</f>
        <v>#REF!</v>
      </c>
      <c r="M39" s="31">
        <f>SUM(M8:M38)</f>
        <v>67631.100000000006</v>
      </c>
      <c r="N39" s="88"/>
      <c r="O39" s="47">
        <f t="shared" ref="O39:S39" si="15">SUM(O8:O38)</f>
        <v>0</v>
      </c>
      <c r="P39" s="75">
        <f t="shared" si="15"/>
        <v>290.32258064516139</v>
      </c>
      <c r="Q39" s="48">
        <f t="shared" si="15"/>
        <v>232.2580645161292</v>
      </c>
      <c r="R39" s="48" t="e">
        <f t="shared" si="15"/>
        <v>#REF!</v>
      </c>
      <c r="S39" s="46">
        <f t="shared" si="15"/>
        <v>0</v>
      </c>
      <c r="T39" s="21"/>
      <c r="U39" s="51">
        <f>SUM(U8:U38)</f>
        <v>270</v>
      </c>
      <c r="V39" s="52">
        <f>SUM(V8:V38)</f>
        <v>5364</v>
      </c>
      <c r="W39" s="52">
        <f>SUM(W8:W38)</f>
        <v>48280.000000000015</v>
      </c>
      <c r="X39" s="52" t="e">
        <f>SUM(X8:X38)</f>
        <v>#REF!</v>
      </c>
      <c r="Y39" s="29">
        <f>SUM(Y8:Y38)</f>
        <v>1250.0999999999999</v>
      </c>
      <c r="Z39" s="22"/>
      <c r="AA39" s="33"/>
      <c r="AB39" s="72" t="e">
        <f t="shared" ref="AB39:AE39" si="16">AVERAGE(AB8:AB38)</f>
        <v>#DIV/0!</v>
      </c>
      <c r="AC39" s="74" t="e">
        <f t="shared" si="16"/>
        <v>#DIV/0!</v>
      </c>
      <c r="AD39" s="72" t="e">
        <f t="shared" si="16"/>
        <v>#DIV/0!</v>
      </c>
      <c r="AE39" s="73" t="e">
        <f t="shared" si="16"/>
        <v>#DIV/0!</v>
      </c>
      <c r="AF39" s="33"/>
      <c r="AG39" s="24" t="e">
        <f>SUM(AG8:AG38)</f>
        <v>#REF!</v>
      </c>
      <c r="AH39" s="24">
        <f>SUM(AH8:AH38)</f>
        <v>408622.2580645163</v>
      </c>
      <c r="AI39" s="70">
        <f>SUM(AI8:AI38)</f>
        <v>68881.2</v>
      </c>
      <c r="AJ39" s="89"/>
      <c r="AK39" s="82" t="e">
        <f>AG39/'Reading.2.25'!AI37</f>
        <v>#REF!</v>
      </c>
      <c r="AL39" s="82">
        <f>AVERAGE(AL8:AL38)</f>
        <v>32.828720261234622</v>
      </c>
      <c r="AM39" s="82" t="e">
        <f>AVERAGE(AM8:AM38)</f>
        <v>#DIV/0!</v>
      </c>
      <c r="AN39" s="4"/>
    </row>
    <row r="40" spans="1:40" ht="7.5" customHeight="1" thickBot="1" x14ac:dyDescent="0.3">
      <c r="A40" s="5"/>
      <c r="B40" s="25"/>
      <c r="C40" s="25"/>
      <c r="D40" s="25"/>
      <c r="E40" s="25"/>
      <c r="F40" s="25"/>
      <c r="G40" s="25"/>
      <c r="H40" s="25"/>
      <c r="I40" s="25"/>
      <c r="J40" s="25"/>
      <c r="K40" s="26"/>
      <c r="L40" s="26"/>
      <c r="M40" s="26"/>
      <c r="N40" s="58"/>
      <c r="O40" s="25"/>
      <c r="P40" s="25"/>
      <c r="Q40" s="26"/>
      <c r="R40" s="26"/>
      <c r="S40" s="26"/>
      <c r="T40" s="26"/>
      <c r="U40" s="25"/>
      <c r="V40" s="25"/>
      <c r="W40" s="26"/>
      <c r="X40" s="26"/>
      <c r="Y40" s="26"/>
      <c r="Z40" s="26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26"/>
      <c r="AN40" s="6"/>
    </row>
    <row r="41" spans="1:40" ht="13.8" thickTop="1" x14ac:dyDescent="0.25"/>
    <row r="42" spans="1:40" x14ac:dyDescent="0.25">
      <c r="M42" s="44"/>
      <c r="N42"/>
      <c r="S42" s="45"/>
      <c r="T42"/>
      <c r="U42"/>
      <c r="V42"/>
      <c r="W42"/>
      <c r="X42"/>
      <c r="Y42"/>
      <c r="Z42"/>
      <c r="AK42" s="44"/>
      <c r="AL42" s="44"/>
    </row>
    <row r="43" spans="1:40" x14ac:dyDescent="0.25">
      <c r="M43" s="42"/>
      <c r="N43" s="42"/>
      <c r="O43" s="42"/>
      <c r="P43" s="42"/>
      <c r="Q43" s="42"/>
      <c r="R43" s="42"/>
      <c r="S43" s="43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</row>
  </sheetData>
  <mergeCells count="12">
    <mergeCell ref="AL5:AL6"/>
    <mergeCell ref="AG5:AG6"/>
    <mergeCell ref="AK5:AK6"/>
    <mergeCell ref="AM5:AM6"/>
    <mergeCell ref="A2:Z2"/>
    <mergeCell ref="AB5:AC5"/>
    <mergeCell ref="AD5:AE5"/>
    <mergeCell ref="AI5:AI6"/>
    <mergeCell ref="U5:Y5"/>
    <mergeCell ref="O5:S5"/>
    <mergeCell ref="J5:M5"/>
    <mergeCell ref="AH5:AH6"/>
  </mergeCells>
  <phoneticPr fontId="3" type="noConversion"/>
  <pageMargins left="0.36" right="0.16" top="0.28999999999999998" bottom="0.39" header="0.28000000000000003" footer="0.34"/>
  <pageSetup paperSize="9" scale="80" fitToHeight="0" pageOrder="overThenDown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DD150"/>
  <sheetViews>
    <sheetView zoomScale="80" zoomScaleNormal="80" workbookViewId="0">
      <pane xSplit="1" topLeftCell="E1" activePane="topRight" state="frozen"/>
      <selection pane="topRight" activeCell="Z6" sqref="Z6"/>
    </sheetView>
  </sheetViews>
  <sheetFormatPr defaultRowHeight="13.2" x14ac:dyDescent="0.25"/>
  <cols>
    <col min="1" max="1" width="11.88671875" customWidth="1"/>
    <col min="3" max="3" width="12.5546875" customWidth="1"/>
    <col min="5" max="5" width="11.44140625" customWidth="1"/>
    <col min="6" max="6" width="6" customWidth="1"/>
    <col min="7" max="7" width="11.33203125" customWidth="1"/>
    <col min="8" max="8" width="11.33203125" style="244" customWidth="1"/>
    <col min="9" max="9" width="9.33203125" bestFit="1" customWidth="1"/>
    <col min="10" max="10" width="1.33203125" customWidth="1"/>
    <col min="12" max="12" width="10.6640625" customWidth="1"/>
    <col min="14" max="14" width="11" customWidth="1"/>
    <col min="15" max="15" width="6.44140625" customWidth="1"/>
    <col min="16" max="16" width="10.6640625" customWidth="1"/>
    <col min="17" max="17" width="8.88671875" customWidth="1"/>
    <col min="18" max="18" width="1.33203125" customWidth="1"/>
    <col min="19" max="19" width="12.5546875" customWidth="1"/>
    <col min="20" max="22" width="10.6640625" customWidth="1"/>
    <col min="23" max="23" width="10.5546875" customWidth="1"/>
    <col min="24" max="24" width="10.6640625" customWidth="1"/>
    <col min="25" max="25" width="1.33203125" customWidth="1"/>
    <col min="26" max="27" width="10.88671875" customWidth="1"/>
    <col min="28" max="28" width="11.33203125" customWidth="1"/>
    <col min="29" max="29" width="1.109375" customWidth="1"/>
    <col min="30" max="30" width="8.88671875" customWidth="1"/>
    <col min="31" max="31" width="8.109375" customWidth="1"/>
    <col min="32" max="32" width="8.33203125" customWidth="1"/>
    <col min="33" max="33" width="1.109375" customWidth="1"/>
    <col min="34" max="34" width="8.88671875" customWidth="1"/>
    <col min="35" max="35" width="8.109375" customWidth="1"/>
    <col min="36" max="36" width="8.6640625" customWidth="1"/>
    <col min="37" max="37" width="1.33203125" customWidth="1"/>
    <col min="38" max="38" width="7.109375" customWidth="1"/>
    <col min="39" max="39" width="1.5546875" customWidth="1"/>
    <col min="40" max="40" width="7" bestFit="1" customWidth="1"/>
    <col min="41" max="42" width="6.6640625" customWidth="1"/>
    <col min="43" max="44" width="7.5546875" customWidth="1"/>
    <col min="45" max="46" width="6.6640625" customWidth="1"/>
    <col min="47" max="47" width="7.5546875" customWidth="1"/>
    <col min="48" max="48" width="2.5546875" customWidth="1"/>
    <col min="49" max="49" width="11.33203125" style="137" customWidth="1"/>
    <col min="50" max="50" width="5.88671875" customWidth="1"/>
    <col min="51" max="51" width="9.109375" style="144"/>
    <col min="52" max="52" width="2" customWidth="1"/>
    <col min="54" max="55" width="12.5546875" customWidth="1"/>
    <col min="56" max="56" width="2" customWidth="1"/>
    <col min="58" max="59" width="12.5546875" customWidth="1"/>
    <col min="60" max="60" width="3.6640625" customWidth="1"/>
    <col min="64" max="64" width="3.6640625" customWidth="1"/>
    <col min="68" max="68" width="3.6640625" customWidth="1"/>
    <col min="72" max="72" width="3.6640625" customWidth="1"/>
    <col min="76" max="76" width="3.6640625" customWidth="1"/>
    <col min="80" max="80" width="3.6640625" customWidth="1"/>
    <col min="84" max="84" width="3.6640625" customWidth="1"/>
    <col min="88" max="88" width="3.6640625" customWidth="1"/>
    <col min="89" max="89" width="10.33203125" customWidth="1"/>
    <col min="90" max="90" width="10.109375" customWidth="1"/>
    <col min="92" max="92" width="3.6640625" customWidth="1"/>
    <col min="97" max="97" width="10.5546875" customWidth="1"/>
    <col min="98" max="98" width="10.44140625" customWidth="1"/>
    <col min="103" max="106" width="8.33203125" customWidth="1"/>
  </cols>
  <sheetData>
    <row r="1" spans="1:108" ht="16.95" customHeight="1" x14ac:dyDescent="0.25">
      <c r="A1">
        <v>1</v>
      </c>
      <c r="B1">
        <v>2</v>
      </c>
      <c r="E1">
        <v>3</v>
      </c>
      <c r="F1">
        <v>4</v>
      </c>
      <c r="G1">
        <v>7</v>
      </c>
      <c r="I1">
        <v>8</v>
      </c>
      <c r="J1">
        <v>17</v>
      </c>
      <c r="K1">
        <v>18</v>
      </c>
      <c r="O1">
        <v>19</v>
      </c>
      <c r="P1">
        <v>20</v>
      </c>
      <c r="Q1">
        <v>21</v>
      </c>
      <c r="R1">
        <v>22</v>
      </c>
      <c r="S1">
        <v>24</v>
      </c>
      <c r="T1">
        <v>25</v>
      </c>
      <c r="V1">
        <v>25</v>
      </c>
      <c r="Y1">
        <v>30</v>
      </c>
      <c r="Z1">
        <v>31</v>
      </c>
      <c r="AA1">
        <v>32</v>
      </c>
      <c r="AB1">
        <v>33</v>
      </c>
      <c r="AC1">
        <v>34</v>
      </c>
      <c r="AD1">
        <v>35</v>
      </c>
      <c r="AE1">
        <v>36</v>
      </c>
      <c r="AF1">
        <v>37</v>
      </c>
      <c r="AG1">
        <v>38</v>
      </c>
      <c r="AH1">
        <v>39</v>
      </c>
      <c r="AI1">
        <v>40</v>
      </c>
      <c r="AJ1">
        <v>41</v>
      </c>
      <c r="AK1">
        <v>45</v>
      </c>
      <c r="AL1">
        <v>48</v>
      </c>
      <c r="AM1">
        <v>54</v>
      </c>
      <c r="AN1">
        <v>55</v>
      </c>
      <c r="AO1">
        <v>56</v>
      </c>
      <c r="AP1">
        <v>57</v>
      </c>
      <c r="AQ1">
        <v>58</v>
      </c>
      <c r="AR1">
        <v>59</v>
      </c>
      <c r="AS1">
        <v>60</v>
      </c>
      <c r="AT1">
        <v>61</v>
      </c>
      <c r="AU1">
        <v>62</v>
      </c>
      <c r="AV1">
        <v>63</v>
      </c>
      <c r="AW1">
        <v>64</v>
      </c>
      <c r="AX1">
        <v>65</v>
      </c>
      <c r="AY1">
        <v>66</v>
      </c>
      <c r="AZ1">
        <v>67</v>
      </c>
      <c r="BA1">
        <v>68</v>
      </c>
      <c r="BB1">
        <v>69</v>
      </c>
      <c r="BC1">
        <v>70</v>
      </c>
      <c r="BD1">
        <v>71</v>
      </c>
      <c r="BE1">
        <v>72</v>
      </c>
      <c r="BF1">
        <v>73</v>
      </c>
      <c r="BG1">
        <v>74</v>
      </c>
      <c r="BH1">
        <v>104</v>
      </c>
      <c r="BI1">
        <v>105</v>
      </c>
      <c r="BJ1">
        <v>106</v>
      </c>
      <c r="BK1">
        <v>107</v>
      </c>
      <c r="BL1">
        <v>108</v>
      </c>
      <c r="BM1">
        <v>109</v>
      </c>
      <c r="BN1">
        <v>110</v>
      </c>
      <c r="BO1">
        <v>111</v>
      </c>
      <c r="BP1">
        <v>112</v>
      </c>
      <c r="BQ1">
        <v>113</v>
      </c>
      <c r="BR1">
        <v>114</v>
      </c>
      <c r="BS1">
        <v>115</v>
      </c>
      <c r="BT1">
        <v>116</v>
      </c>
      <c r="BU1">
        <v>117</v>
      </c>
      <c r="BV1">
        <v>118</v>
      </c>
      <c r="BW1">
        <v>119</v>
      </c>
      <c r="BX1">
        <v>120</v>
      </c>
      <c r="BY1">
        <v>121</v>
      </c>
      <c r="BZ1">
        <v>122</v>
      </c>
      <c r="CA1">
        <v>123</v>
      </c>
      <c r="CB1">
        <v>124</v>
      </c>
      <c r="CC1">
        <v>121</v>
      </c>
      <c r="CD1">
        <v>122</v>
      </c>
      <c r="CE1">
        <v>123</v>
      </c>
      <c r="CF1">
        <v>120</v>
      </c>
      <c r="CG1">
        <v>121</v>
      </c>
      <c r="CH1">
        <v>122</v>
      </c>
      <c r="CI1">
        <v>123</v>
      </c>
      <c r="CJ1">
        <v>120</v>
      </c>
      <c r="CK1">
        <v>121</v>
      </c>
      <c r="CL1">
        <v>122</v>
      </c>
      <c r="CM1">
        <v>123</v>
      </c>
      <c r="CN1">
        <v>120</v>
      </c>
      <c r="CO1">
        <v>121</v>
      </c>
      <c r="CP1">
        <v>122</v>
      </c>
      <c r="CQ1">
        <v>123</v>
      </c>
      <c r="CU1">
        <v>125</v>
      </c>
      <c r="CY1">
        <v>126</v>
      </c>
      <c r="DC1">
        <v>127</v>
      </c>
      <c r="DD1">
        <v>128</v>
      </c>
    </row>
    <row r="2" spans="1:108" ht="14.25" customHeight="1" thickBot="1" x14ac:dyDescent="0.3">
      <c r="A2" s="35"/>
      <c r="B2" s="269" t="s">
        <v>5</v>
      </c>
      <c r="C2" s="269"/>
      <c r="D2" s="269"/>
      <c r="E2" s="269"/>
      <c r="F2" s="269"/>
      <c r="G2" s="269"/>
      <c r="H2" s="269"/>
      <c r="I2" s="269"/>
      <c r="J2" s="39"/>
      <c r="K2" s="269" t="s">
        <v>4</v>
      </c>
      <c r="L2" s="269"/>
      <c r="M2" s="269"/>
      <c r="N2" s="269"/>
      <c r="O2" s="269"/>
      <c r="P2" s="269"/>
      <c r="Q2" s="269"/>
      <c r="R2" s="33"/>
      <c r="S2" s="274"/>
      <c r="T2" s="274"/>
      <c r="U2" s="274"/>
      <c r="V2" s="274"/>
      <c r="W2" s="274"/>
      <c r="X2" s="274"/>
      <c r="Y2" s="33"/>
      <c r="Z2" s="269" t="s">
        <v>20</v>
      </c>
      <c r="AA2" s="269"/>
      <c r="AB2" s="269"/>
      <c r="AC2" s="33"/>
      <c r="AD2" s="270" t="s">
        <v>21</v>
      </c>
      <c r="AE2" s="271"/>
      <c r="AF2" s="272"/>
      <c r="AG2" s="33"/>
      <c r="AH2" s="270" t="s">
        <v>22</v>
      </c>
      <c r="AI2" s="271"/>
      <c r="AJ2" s="272"/>
      <c r="AK2" s="34"/>
      <c r="AL2" s="195"/>
      <c r="AN2" s="288" t="s">
        <v>23</v>
      </c>
      <c r="AO2" s="289"/>
      <c r="AP2" s="289"/>
      <c r="AQ2" s="289"/>
      <c r="AR2" s="289"/>
      <c r="AS2" s="289"/>
      <c r="AT2" s="289"/>
      <c r="AU2" s="290"/>
      <c r="AW2" s="283" t="s">
        <v>24</v>
      </c>
      <c r="AY2" s="277" t="s">
        <v>25</v>
      </c>
      <c r="BA2" s="273" t="s">
        <v>26</v>
      </c>
      <c r="BB2" s="273"/>
      <c r="BC2" s="273"/>
      <c r="BE2" s="273" t="s">
        <v>27</v>
      </c>
      <c r="BF2" s="273"/>
      <c r="BG2" s="273"/>
      <c r="BI2" s="273" t="s">
        <v>28</v>
      </c>
      <c r="BJ2" s="273"/>
      <c r="BK2" s="273"/>
      <c r="BM2" s="273" t="s">
        <v>29</v>
      </c>
      <c r="BN2" s="273"/>
      <c r="BO2" s="273"/>
      <c r="BQ2" s="273" t="s">
        <v>30</v>
      </c>
      <c r="BR2" s="273"/>
      <c r="BS2" s="273"/>
      <c r="BU2" s="273" t="s">
        <v>31</v>
      </c>
      <c r="BV2" s="273"/>
      <c r="BW2" s="273"/>
      <c r="BY2" s="278" t="s">
        <v>32</v>
      </c>
      <c r="BZ2" s="280"/>
      <c r="CA2" s="279"/>
      <c r="CB2" s="185"/>
      <c r="CC2" s="278" t="s">
        <v>33</v>
      </c>
      <c r="CD2" s="280"/>
      <c r="CE2" s="279"/>
      <c r="CG2" s="278" t="s">
        <v>34</v>
      </c>
      <c r="CH2" s="280"/>
      <c r="CI2" s="279"/>
      <c r="CK2" s="278" t="s">
        <v>35</v>
      </c>
      <c r="CL2" s="280"/>
      <c r="CM2" s="279"/>
      <c r="CO2" s="278" t="s">
        <v>36</v>
      </c>
      <c r="CP2" s="280"/>
      <c r="CQ2" s="279"/>
      <c r="CR2" s="278" t="s">
        <v>37</v>
      </c>
      <c r="CS2" s="280"/>
      <c r="CT2" s="280"/>
      <c r="CU2" s="281" t="s">
        <v>38</v>
      </c>
      <c r="CV2" s="278" t="s">
        <v>39</v>
      </c>
      <c r="CW2" s="280"/>
      <c r="CX2" s="279"/>
      <c r="CY2" s="278" t="s">
        <v>40</v>
      </c>
      <c r="CZ2" s="280"/>
      <c r="DA2" s="279"/>
      <c r="DC2" s="278" t="s">
        <v>41</v>
      </c>
      <c r="DD2" s="279"/>
    </row>
    <row r="3" spans="1:108" ht="14.25" customHeight="1" thickTop="1" thickBot="1" x14ac:dyDescent="0.3">
      <c r="A3" s="35"/>
      <c r="B3" s="202"/>
      <c r="C3" s="202"/>
      <c r="D3" s="202"/>
      <c r="E3" s="202"/>
      <c r="F3" s="202"/>
      <c r="G3" s="202"/>
      <c r="H3" s="245"/>
      <c r="I3" s="202"/>
      <c r="J3" s="40"/>
      <c r="K3" s="270" t="s">
        <v>42</v>
      </c>
      <c r="L3" s="272"/>
      <c r="M3" s="270" t="s">
        <v>43</v>
      </c>
      <c r="N3" s="272"/>
      <c r="O3" s="202"/>
      <c r="P3" s="202"/>
      <c r="Q3" s="202"/>
      <c r="R3" s="33"/>
      <c r="S3" s="274" t="s">
        <v>42</v>
      </c>
      <c r="T3" s="291"/>
      <c r="U3" s="292" t="s">
        <v>43</v>
      </c>
      <c r="V3" s="293"/>
      <c r="W3" s="275" t="s">
        <v>44</v>
      </c>
      <c r="X3" s="276"/>
      <c r="Y3" s="33"/>
      <c r="Z3" s="202"/>
      <c r="AA3" s="202"/>
      <c r="AB3" s="195"/>
      <c r="AC3" s="33"/>
      <c r="AD3" s="196"/>
      <c r="AE3" s="197"/>
      <c r="AF3" s="198"/>
      <c r="AG3" s="33"/>
      <c r="AH3" s="196"/>
      <c r="AI3" s="197"/>
      <c r="AJ3" s="198"/>
      <c r="AK3" s="34"/>
      <c r="AL3" s="202"/>
      <c r="AN3" s="203"/>
      <c r="AO3" s="204"/>
      <c r="AP3" s="204"/>
      <c r="AQ3" s="204"/>
      <c r="AR3" s="204"/>
      <c r="AS3" s="204"/>
      <c r="AT3" s="204"/>
      <c r="AU3" s="205"/>
      <c r="AW3" s="284"/>
      <c r="AY3" s="277"/>
      <c r="BA3" s="194"/>
      <c r="BB3" s="194"/>
      <c r="BC3" s="201"/>
      <c r="BE3" s="194"/>
      <c r="BF3" s="194"/>
      <c r="BG3" s="201"/>
      <c r="BI3" s="194"/>
      <c r="BJ3" s="194"/>
      <c r="BK3" s="194"/>
      <c r="BM3" s="194"/>
      <c r="BN3" s="194"/>
      <c r="BO3" s="194"/>
      <c r="BQ3" s="194"/>
      <c r="BR3" s="194"/>
      <c r="BS3" s="194"/>
      <c r="BU3" s="194"/>
      <c r="BV3" s="194"/>
      <c r="BW3" s="194"/>
      <c r="BY3" s="199"/>
      <c r="BZ3" s="200"/>
      <c r="CA3" s="201"/>
      <c r="CB3" s="185"/>
      <c r="CC3" s="199"/>
      <c r="CD3" s="200"/>
      <c r="CE3" s="201"/>
      <c r="CG3" s="199"/>
      <c r="CH3" s="200"/>
      <c r="CI3" s="201"/>
      <c r="CK3" s="199"/>
      <c r="CL3" s="200"/>
      <c r="CM3" s="201"/>
      <c r="CO3" s="199"/>
      <c r="CP3" s="200"/>
      <c r="CQ3" s="201"/>
      <c r="CR3" s="199"/>
      <c r="CS3" s="200"/>
      <c r="CT3" s="200"/>
      <c r="CU3" s="282"/>
      <c r="CV3" s="199"/>
      <c r="CW3" s="200"/>
      <c r="CX3" s="201"/>
      <c r="CY3" s="199"/>
      <c r="CZ3" s="200"/>
      <c r="DA3" s="201"/>
      <c r="DC3" s="194"/>
      <c r="DD3" s="194"/>
    </row>
    <row r="4" spans="1:108" s="103" customFormat="1" ht="39.75" customHeight="1" thickTop="1" x14ac:dyDescent="0.3">
      <c r="A4" s="95" t="s">
        <v>45</v>
      </c>
      <c r="B4" s="96" t="s">
        <v>46</v>
      </c>
      <c r="C4" s="96" t="s">
        <v>47</v>
      </c>
      <c r="D4" s="96" t="s">
        <v>48</v>
      </c>
      <c r="E4" s="96" t="s">
        <v>49</v>
      </c>
      <c r="F4" s="96" t="s">
        <v>50</v>
      </c>
      <c r="G4" s="105" t="s">
        <v>51</v>
      </c>
      <c r="H4" s="246" t="s">
        <v>105</v>
      </c>
      <c r="I4" s="97" t="s">
        <v>2</v>
      </c>
      <c r="J4" s="98"/>
      <c r="K4" s="96" t="s">
        <v>52</v>
      </c>
      <c r="L4" s="96" t="s">
        <v>53</v>
      </c>
      <c r="M4" s="96" t="s">
        <v>52</v>
      </c>
      <c r="N4" s="96" t="s">
        <v>53</v>
      </c>
      <c r="O4" s="96" t="s">
        <v>54</v>
      </c>
      <c r="P4" s="105" t="s">
        <v>51</v>
      </c>
      <c r="Q4" s="97" t="s">
        <v>2</v>
      </c>
      <c r="R4" s="99"/>
      <c r="S4" s="105" t="s">
        <v>51</v>
      </c>
      <c r="T4" s="213" t="s">
        <v>55</v>
      </c>
      <c r="U4" s="231" t="s">
        <v>51</v>
      </c>
      <c r="V4" s="232" t="s">
        <v>55</v>
      </c>
      <c r="W4" s="233" t="s">
        <v>51</v>
      </c>
      <c r="X4" s="231" t="s">
        <v>55</v>
      </c>
      <c r="Y4" s="101"/>
      <c r="Z4" s="96" t="s">
        <v>56</v>
      </c>
      <c r="AA4" s="96" t="s">
        <v>2</v>
      </c>
      <c r="AB4" s="100" t="s">
        <v>0</v>
      </c>
      <c r="AC4" s="101"/>
      <c r="AD4" s="100" t="s">
        <v>56</v>
      </c>
      <c r="AE4" s="114" t="s">
        <v>2</v>
      </c>
      <c r="AF4" s="114" t="s">
        <v>0</v>
      </c>
      <c r="AG4" s="101"/>
      <c r="AH4" s="100" t="s">
        <v>56</v>
      </c>
      <c r="AI4" s="114" t="s">
        <v>2</v>
      </c>
      <c r="AJ4" s="114" t="s">
        <v>0</v>
      </c>
      <c r="AK4" s="102"/>
      <c r="AL4" s="96" t="s">
        <v>57</v>
      </c>
      <c r="AN4" s="285" t="s">
        <v>58</v>
      </c>
      <c r="AO4" s="286"/>
      <c r="AP4" s="286"/>
      <c r="AQ4" s="287"/>
      <c r="AR4" s="285" t="s">
        <v>59</v>
      </c>
      <c r="AS4" s="286"/>
      <c r="AT4" s="286"/>
      <c r="AU4" s="287"/>
      <c r="AW4" s="284"/>
      <c r="AY4" s="277"/>
      <c r="BA4" s="162" t="s">
        <v>60</v>
      </c>
      <c r="BB4" s="177" t="s">
        <v>61</v>
      </c>
      <c r="BC4" s="193" t="s">
        <v>62</v>
      </c>
      <c r="BD4" s="161"/>
      <c r="BE4" s="162" t="s">
        <v>60</v>
      </c>
      <c r="BF4" s="162" t="s">
        <v>63</v>
      </c>
      <c r="BG4" s="193" t="s">
        <v>62</v>
      </c>
      <c r="BI4" s="162" t="s">
        <v>60</v>
      </c>
      <c r="BJ4" s="162" t="s">
        <v>64</v>
      </c>
      <c r="BK4" s="162" t="s">
        <v>65</v>
      </c>
      <c r="BM4" s="162" t="s">
        <v>60</v>
      </c>
      <c r="BN4" s="162" t="s">
        <v>64</v>
      </c>
      <c r="BO4" s="162" t="s">
        <v>65</v>
      </c>
      <c r="BQ4" s="162" t="s">
        <v>60</v>
      </c>
      <c r="BR4" s="162" t="s">
        <v>64</v>
      </c>
      <c r="BS4" s="162" t="s">
        <v>65</v>
      </c>
      <c r="BU4" s="162" t="s">
        <v>60</v>
      </c>
      <c r="BV4" s="162" t="s">
        <v>64</v>
      </c>
      <c r="BW4" s="162" t="s">
        <v>65</v>
      </c>
      <c r="BY4" s="162" t="s">
        <v>60</v>
      </c>
      <c r="BZ4" s="162" t="s">
        <v>64</v>
      </c>
      <c r="CA4" s="162" t="s">
        <v>65</v>
      </c>
      <c r="CB4" s="161"/>
      <c r="CC4" s="162" t="s">
        <v>60</v>
      </c>
      <c r="CD4" s="162" t="s">
        <v>64</v>
      </c>
      <c r="CE4" s="162" t="s">
        <v>65</v>
      </c>
      <c r="CG4" s="162" t="s">
        <v>60</v>
      </c>
      <c r="CH4" s="162" t="s">
        <v>64</v>
      </c>
      <c r="CI4" s="162" t="s">
        <v>65</v>
      </c>
      <c r="CK4" s="162" t="s">
        <v>60</v>
      </c>
      <c r="CL4" s="162" t="s">
        <v>64</v>
      </c>
      <c r="CM4" s="162" t="s">
        <v>65</v>
      </c>
      <c r="CO4" s="162" t="s">
        <v>60</v>
      </c>
      <c r="CP4" s="162" t="s">
        <v>64</v>
      </c>
      <c r="CQ4" s="162" t="s">
        <v>65</v>
      </c>
      <c r="CR4" s="162" t="s">
        <v>60</v>
      </c>
      <c r="CS4" s="162" t="s">
        <v>64</v>
      </c>
      <c r="CT4" s="222" t="s">
        <v>65</v>
      </c>
      <c r="CU4" s="282"/>
      <c r="CV4" s="162" t="s">
        <v>60</v>
      </c>
      <c r="CW4" s="162" t="s">
        <v>64</v>
      </c>
      <c r="CX4" s="162" t="s">
        <v>65</v>
      </c>
      <c r="CY4" s="162" t="s">
        <v>60</v>
      </c>
      <c r="CZ4" s="162" t="s">
        <v>64</v>
      </c>
      <c r="DA4" s="162" t="s">
        <v>65</v>
      </c>
      <c r="DC4" s="162" t="s">
        <v>64</v>
      </c>
      <c r="DD4" s="162" t="s">
        <v>65</v>
      </c>
    </row>
    <row r="5" spans="1:108" ht="12" customHeight="1" x14ac:dyDescent="0.25">
      <c r="A5" s="242"/>
      <c r="B5" s="32"/>
      <c r="C5" s="36"/>
      <c r="D5" s="32"/>
      <c r="E5" s="36"/>
      <c r="F5" s="36"/>
      <c r="G5" s="36"/>
      <c r="H5" s="247"/>
      <c r="I5" s="93"/>
      <c r="J5" s="33"/>
      <c r="K5" s="32">
        <v>1000</v>
      </c>
      <c r="L5" s="36"/>
      <c r="M5" s="32">
        <v>1000</v>
      </c>
      <c r="N5" s="36"/>
      <c r="O5" s="36"/>
      <c r="P5" s="36"/>
      <c r="Q5" s="93"/>
      <c r="R5" s="33"/>
      <c r="S5" s="36"/>
      <c r="T5" s="214"/>
      <c r="U5" s="234"/>
      <c r="V5" s="230"/>
      <c r="W5" s="234"/>
      <c r="X5" s="234"/>
      <c r="Y5" s="33"/>
      <c r="Z5" s="36"/>
      <c r="AA5" s="36"/>
      <c r="AB5" s="36"/>
      <c r="AC5" s="33"/>
      <c r="AD5" s="36"/>
      <c r="AE5" s="36"/>
      <c r="AF5" s="36"/>
      <c r="AG5" s="33"/>
      <c r="AH5" s="36"/>
      <c r="AI5" s="36"/>
      <c r="AJ5" s="36"/>
      <c r="AK5" s="33"/>
      <c r="AL5" s="37"/>
      <c r="AN5" s="111" t="s">
        <v>66</v>
      </c>
      <c r="AO5" s="109" t="s">
        <v>67</v>
      </c>
      <c r="AP5" s="164" t="s">
        <v>68</v>
      </c>
      <c r="AQ5" s="168" t="s">
        <v>69</v>
      </c>
      <c r="AR5" s="166" t="s">
        <v>66</v>
      </c>
      <c r="AS5" s="110" t="s">
        <v>67</v>
      </c>
      <c r="AT5" s="164" t="s">
        <v>68</v>
      </c>
      <c r="AU5" s="168" t="s">
        <v>69</v>
      </c>
      <c r="AW5" s="163"/>
      <c r="AY5" s="151"/>
      <c r="BA5" s="32"/>
      <c r="BB5" s="175"/>
      <c r="BC5" s="174"/>
      <c r="BE5" s="32"/>
      <c r="BF5" s="175"/>
      <c r="BG5" s="174"/>
      <c r="BI5" s="32"/>
      <c r="BJ5" s="175"/>
      <c r="BK5" s="174"/>
      <c r="BM5" s="32"/>
      <c r="BN5" s="175"/>
      <c r="BO5" s="174"/>
      <c r="BQ5" s="32">
        <v>41016</v>
      </c>
      <c r="BR5" s="175"/>
      <c r="BS5" s="174"/>
      <c r="BU5" s="32">
        <v>41580</v>
      </c>
      <c r="BV5" s="175"/>
      <c r="BW5" s="174"/>
      <c r="BY5" s="32">
        <v>43179</v>
      </c>
      <c r="BZ5" s="175"/>
      <c r="CA5" s="174"/>
      <c r="CC5" s="32">
        <v>36423</v>
      </c>
      <c r="CD5" s="175"/>
      <c r="CE5" s="174"/>
      <c r="CG5" s="32">
        <v>52498</v>
      </c>
      <c r="CH5" s="175"/>
      <c r="CI5" s="174"/>
      <c r="CK5" s="32">
        <v>48855</v>
      </c>
      <c r="CL5" s="175"/>
      <c r="CM5" s="174"/>
      <c r="CO5" s="32">
        <v>92674</v>
      </c>
      <c r="CP5" s="175"/>
      <c r="CQ5" s="174"/>
      <c r="CR5" s="32">
        <v>43799</v>
      </c>
      <c r="CS5" s="221"/>
      <c r="CT5" s="220"/>
      <c r="CU5" s="220"/>
      <c r="CV5" s="32">
        <v>49297</v>
      </c>
      <c r="CW5" s="175"/>
      <c r="CX5" s="174"/>
      <c r="CY5" s="32">
        <v>5098</v>
      </c>
      <c r="CZ5" s="175"/>
      <c r="DA5" s="174"/>
      <c r="DC5" s="175"/>
      <c r="DD5" s="174"/>
    </row>
    <row r="6" spans="1:108" x14ac:dyDescent="0.25">
      <c r="A6" s="243">
        <v>45717</v>
      </c>
      <c r="B6" s="32"/>
      <c r="C6" s="32"/>
      <c r="D6" s="32"/>
      <c r="E6" s="32"/>
      <c r="F6" s="32">
        <v>0</v>
      </c>
      <c r="G6" s="32">
        <f>E6+C6</f>
        <v>0</v>
      </c>
      <c r="H6" s="248">
        <f>5364/31</f>
        <v>173.03225806451613</v>
      </c>
      <c r="I6" s="94"/>
      <c r="J6" s="33"/>
      <c r="K6" s="32">
        <v>1000</v>
      </c>
      <c r="L6" s="32">
        <f>K5-K6</f>
        <v>0</v>
      </c>
      <c r="M6" s="32">
        <v>1000</v>
      </c>
      <c r="N6" s="32">
        <f>M5-M6</f>
        <v>0</v>
      </c>
      <c r="O6" s="32">
        <v>0</v>
      </c>
      <c r="P6" s="32">
        <f>N6+L6</f>
        <v>0</v>
      </c>
      <c r="Q6" s="92"/>
      <c r="R6" s="33"/>
      <c r="S6" s="53">
        <v>20524</v>
      </c>
      <c r="T6" s="215"/>
      <c r="U6" s="218">
        <v>9434</v>
      </c>
      <c r="V6" s="215"/>
      <c r="W6" s="218">
        <f t="shared" ref="W6:W15" si="0">S6+U6</f>
        <v>29958</v>
      </c>
      <c r="X6" s="218"/>
      <c r="Y6" s="33"/>
      <c r="Z6" s="116">
        <f>W6</f>
        <v>29958</v>
      </c>
      <c r="AA6" s="117"/>
      <c r="AB6" s="113">
        <f>1132495/31</f>
        <v>36532.096774193546</v>
      </c>
      <c r="AC6" s="189"/>
      <c r="AD6" s="42">
        <v>0.45300000000000001</v>
      </c>
      <c r="AE6" s="118"/>
      <c r="AF6" s="153">
        <v>0.81</v>
      </c>
      <c r="AG6" s="33"/>
      <c r="AH6" s="160">
        <v>232</v>
      </c>
      <c r="AI6" s="208"/>
      <c r="AJ6" s="154">
        <f>12862/31</f>
        <v>414.90322580645159</v>
      </c>
      <c r="AK6" s="33"/>
      <c r="AL6" s="142">
        <v>0.97</v>
      </c>
      <c r="AN6" s="139">
        <v>27</v>
      </c>
      <c r="AO6" s="179">
        <v>21.3</v>
      </c>
      <c r="AP6" s="165">
        <v>13</v>
      </c>
      <c r="AQ6" s="169">
        <v>41</v>
      </c>
      <c r="AR6" s="167">
        <v>28</v>
      </c>
      <c r="AS6" s="179">
        <v>20.7</v>
      </c>
      <c r="AT6" s="165">
        <v>14</v>
      </c>
      <c r="AU6" s="169">
        <v>22</v>
      </c>
      <c r="AW6" s="138"/>
      <c r="AY6" s="53"/>
      <c r="BA6" s="32"/>
      <c r="BB6" s="32"/>
      <c r="BC6" s="176"/>
      <c r="BE6" s="32"/>
      <c r="BF6" s="32"/>
      <c r="BG6" s="176"/>
      <c r="BI6" s="32"/>
      <c r="BJ6" s="32"/>
      <c r="BK6" s="176"/>
      <c r="BM6" s="32"/>
      <c r="BN6" s="32"/>
      <c r="BO6" s="176"/>
      <c r="BQ6" s="32">
        <v>41016</v>
      </c>
      <c r="BR6" s="32">
        <f>BQ6-BQ5</f>
        <v>0</v>
      </c>
      <c r="BS6" s="176"/>
      <c r="BU6" s="32">
        <v>41580</v>
      </c>
      <c r="BV6" s="32">
        <f>BU6-BU5</f>
        <v>0</v>
      </c>
      <c r="BW6" s="176"/>
      <c r="BY6" s="32">
        <v>43179</v>
      </c>
      <c r="BZ6" s="32">
        <f>BY6-BY5</f>
        <v>0</v>
      </c>
      <c r="CA6" s="176"/>
      <c r="CC6" s="32">
        <v>36423</v>
      </c>
      <c r="CD6" s="32">
        <f>CC6-CC5</f>
        <v>0</v>
      </c>
      <c r="CE6" s="176"/>
      <c r="CG6" s="32">
        <v>52498</v>
      </c>
      <c r="CH6" s="32">
        <f>CG6-CG5</f>
        <v>0</v>
      </c>
      <c r="CI6" s="176"/>
      <c r="CK6" s="32">
        <v>48855</v>
      </c>
      <c r="CL6" s="32">
        <f>CK6-CK5</f>
        <v>0</v>
      </c>
      <c r="CM6" s="176"/>
      <c r="CO6" s="32">
        <v>92674</v>
      </c>
      <c r="CP6" s="32">
        <f>CO6-CO5</f>
        <v>0</v>
      </c>
      <c r="CQ6" s="176"/>
      <c r="CR6" s="32">
        <v>43799</v>
      </c>
      <c r="CS6" s="122">
        <f>CR6-CR5</f>
        <v>0</v>
      </c>
      <c r="CT6" s="223"/>
      <c r="CU6" s="223"/>
      <c r="CV6" s="32">
        <v>49297</v>
      </c>
      <c r="CW6" s="32">
        <f>CV6-CV5</f>
        <v>0</v>
      </c>
      <c r="CX6" s="176"/>
      <c r="CY6" s="32">
        <v>5098</v>
      </c>
      <c r="CZ6" s="32">
        <f>CY6-CY5</f>
        <v>0</v>
      </c>
      <c r="DA6" s="176"/>
      <c r="DC6" s="32">
        <f>BR6+BV6+BZ6+CU6</f>
        <v>0</v>
      </c>
      <c r="DD6" s="176" t="e">
        <f>#REF!</f>
        <v>#REF!</v>
      </c>
    </row>
    <row r="7" spans="1:108" x14ac:dyDescent="0.25">
      <c r="A7" s="243">
        <v>45718</v>
      </c>
      <c r="B7" s="32"/>
      <c r="C7" s="32"/>
      <c r="D7" s="32"/>
      <c r="E7" s="32"/>
      <c r="F7" s="32">
        <v>0</v>
      </c>
      <c r="G7" s="32">
        <f t="shared" ref="G7:G36" si="1">E7+C7</f>
        <v>0</v>
      </c>
      <c r="H7" s="248">
        <f t="shared" ref="H7:H36" si="2">5364/31</f>
        <v>173.03225806451613</v>
      </c>
      <c r="I7" s="94"/>
      <c r="J7" s="33"/>
      <c r="K7" s="32">
        <v>1000</v>
      </c>
      <c r="L7" s="32">
        <f t="shared" ref="L7:L33" si="3">K6-K7</f>
        <v>0</v>
      </c>
      <c r="M7" s="32">
        <v>1000</v>
      </c>
      <c r="N7" s="32">
        <f t="shared" ref="N7:N33" si="4">M6-M7</f>
        <v>0</v>
      </c>
      <c r="O7" s="32">
        <v>0</v>
      </c>
      <c r="P7" s="32">
        <f t="shared" ref="P7:P33" si="5">N7+L7</f>
        <v>0</v>
      </c>
      <c r="Q7" s="92"/>
      <c r="R7" s="33"/>
      <c r="S7" s="53">
        <v>19871</v>
      </c>
      <c r="T7" s="215"/>
      <c r="U7" s="218">
        <v>9233</v>
      </c>
      <c r="V7" s="215"/>
      <c r="W7" s="218">
        <f t="shared" si="0"/>
        <v>29104</v>
      </c>
      <c r="X7" s="218"/>
      <c r="Y7" s="33"/>
      <c r="Z7" s="116">
        <f t="shared" ref="Z7" si="6">W7</f>
        <v>29104</v>
      </c>
      <c r="AA7" s="117"/>
      <c r="AB7" s="113">
        <f t="shared" ref="AB7:AB36" si="7">1132495/31</f>
        <v>36532.096774193546</v>
      </c>
      <c r="AC7" s="33"/>
      <c r="AD7" s="189">
        <v>0.39800000000000002</v>
      </c>
      <c r="AE7" s="118"/>
      <c r="AF7" s="153">
        <v>0.81</v>
      </c>
      <c r="AG7" s="33"/>
      <c r="AH7" s="160">
        <v>204</v>
      </c>
      <c r="AI7" s="208"/>
      <c r="AJ7" s="154">
        <f t="shared" ref="AJ7:AJ36" si="8">12862/31</f>
        <v>414.90322580645159</v>
      </c>
      <c r="AK7" s="33"/>
      <c r="AL7" s="142">
        <v>0.97</v>
      </c>
      <c r="AN7" s="139">
        <v>24</v>
      </c>
      <c r="AO7" s="179">
        <v>17.600000000000001</v>
      </c>
      <c r="AP7" s="165">
        <v>14</v>
      </c>
      <c r="AQ7" s="169">
        <v>27</v>
      </c>
      <c r="AR7" s="167">
        <v>31</v>
      </c>
      <c r="AS7" s="179">
        <v>24.6</v>
      </c>
      <c r="AT7" s="165">
        <v>18</v>
      </c>
      <c r="AU7" s="169">
        <v>57</v>
      </c>
      <c r="AW7" s="138"/>
      <c r="AY7" s="53"/>
      <c r="BA7" s="32"/>
      <c r="BB7" s="32"/>
      <c r="BC7" s="176"/>
      <c r="BE7" s="32"/>
      <c r="BF7" s="32"/>
      <c r="BG7" s="176"/>
      <c r="BI7" s="32"/>
      <c r="BJ7" s="32"/>
      <c r="BK7" s="176"/>
      <c r="BM7" s="32"/>
      <c r="BN7" s="32"/>
      <c r="BO7" s="176"/>
      <c r="BQ7" s="32">
        <v>41018</v>
      </c>
      <c r="BR7" s="32">
        <f>BQ7-BQ6</f>
        <v>2</v>
      </c>
      <c r="BS7" s="176"/>
      <c r="BU7" s="32">
        <v>41723</v>
      </c>
      <c r="BV7" s="32">
        <f>BU7-BU6</f>
        <v>143</v>
      </c>
      <c r="BW7" s="176"/>
      <c r="BY7" s="32">
        <v>43192</v>
      </c>
      <c r="BZ7" s="32">
        <f>BY7-BY6</f>
        <v>13</v>
      </c>
      <c r="CA7" s="176"/>
      <c r="CC7" s="32">
        <v>36467</v>
      </c>
      <c r="CD7" s="32">
        <f>CC7-CC6</f>
        <v>44</v>
      </c>
      <c r="CE7" s="176"/>
      <c r="CG7" s="32">
        <v>52644</v>
      </c>
      <c r="CH7" s="32">
        <f>CG7-CG6</f>
        <v>146</v>
      </c>
      <c r="CI7" s="176"/>
      <c r="CK7" s="32">
        <v>48863</v>
      </c>
      <c r="CL7" s="32">
        <f>CK7-CK6</f>
        <v>8</v>
      </c>
      <c r="CM7" s="176"/>
      <c r="CO7" s="32">
        <v>92675</v>
      </c>
      <c r="CP7" s="32">
        <f>CO7-CO6</f>
        <v>1</v>
      </c>
      <c r="CQ7" s="176"/>
      <c r="CR7" s="32">
        <v>43955</v>
      </c>
      <c r="CS7" s="32">
        <f>CR7-CR6</f>
        <v>156</v>
      </c>
      <c r="CT7" s="219"/>
      <c r="CU7" s="219"/>
      <c r="CV7" s="32">
        <v>49298</v>
      </c>
      <c r="CW7" s="32">
        <f>CV7-CV6</f>
        <v>1</v>
      </c>
      <c r="CX7" s="176"/>
      <c r="CY7" s="32">
        <v>5100</v>
      </c>
      <c r="CZ7" s="32">
        <f>CY7-CY6</f>
        <v>2</v>
      </c>
      <c r="DA7" s="176"/>
      <c r="DC7" s="32">
        <f>BR7+BV7+BZ7+CU7</f>
        <v>158</v>
      </c>
      <c r="DD7" s="176" t="e">
        <f>#REF!</f>
        <v>#REF!</v>
      </c>
    </row>
    <row r="8" spans="1:108" x14ac:dyDescent="0.25">
      <c r="A8" s="243">
        <v>45719</v>
      </c>
      <c r="B8" s="32"/>
      <c r="C8" s="32"/>
      <c r="D8" s="32"/>
      <c r="E8" s="32"/>
      <c r="F8" s="32">
        <v>0</v>
      </c>
      <c r="G8" s="32">
        <f t="shared" si="1"/>
        <v>0</v>
      </c>
      <c r="H8" s="248">
        <f t="shared" si="2"/>
        <v>173.03225806451613</v>
      </c>
      <c r="I8" s="94"/>
      <c r="J8" s="33"/>
      <c r="K8" s="32">
        <v>1000</v>
      </c>
      <c r="L8" s="32">
        <f t="shared" si="3"/>
        <v>0</v>
      </c>
      <c r="M8" s="32">
        <v>1000</v>
      </c>
      <c r="N8" s="32">
        <f t="shared" si="4"/>
        <v>0</v>
      </c>
      <c r="O8" s="32">
        <v>0</v>
      </c>
      <c r="P8" s="32">
        <f t="shared" si="5"/>
        <v>0</v>
      </c>
      <c r="Q8" s="92"/>
      <c r="R8" s="33"/>
      <c r="S8" s="53">
        <v>19821</v>
      </c>
      <c r="T8" s="225"/>
      <c r="U8" s="218">
        <v>8882</v>
      </c>
      <c r="V8" s="225"/>
      <c r="W8" s="218">
        <f t="shared" si="0"/>
        <v>28703</v>
      </c>
      <c r="X8" s="212"/>
      <c r="Y8" s="33"/>
      <c r="Z8" s="116">
        <f t="shared" ref="Z8" si="9">W8</f>
        <v>28703</v>
      </c>
      <c r="AA8" s="117"/>
      <c r="AB8" s="113">
        <f t="shared" si="7"/>
        <v>36532.096774193546</v>
      </c>
      <c r="AC8" s="33"/>
      <c r="AD8" s="189">
        <v>0.38100000000000001</v>
      </c>
      <c r="AE8" s="118"/>
      <c r="AF8" s="153">
        <v>0.81</v>
      </c>
      <c r="AG8" s="33"/>
      <c r="AH8" s="160">
        <v>195</v>
      </c>
      <c r="AI8" s="208"/>
      <c r="AJ8" s="154">
        <f t="shared" si="8"/>
        <v>414.90322580645159</v>
      </c>
      <c r="AK8" s="33"/>
      <c r="AL8" s="142">
        <v>0.97</v>
      </c>
      <c r="AN8" s="139">
        <v>28</v>
      </c>
      <c r="AO8" s="179">
        <v>22.1</v>
      </c>
      <c r="AP8" s="165">
        <v>15</v>
      </c>
      <c r="AQ8" s="169">
        <v>19</v>
      </c>
      <c r="AR8" s="167">
        <v>31</v>
      </c>
      <c r="AS8" s="179">
        <v>26.6</v>
      </c>
      <c r="AT8" s="165">
        <v>22</v>
      </c>
      <c r="AU8" s="169">
        <v>57</v>
      </c>
      <c r="AW8" s="138"/>
      <c r="AY8" s="53"/>
      <c r="BA8" s="32"/>
      <c r="BB8" s="32"/>
      <c r="BC8" s="176"/>
      <c r="BE8" s="32"/>
      <c r="BF8" s="32"/>
      <c r="BG8" s="176"/>
      <c r="BI8" s="32"/>
      <c r="BJ8" s="32"/>
      <c r="BK8" s="176"/>
      <c r="BM8" s="32"/>
      <c r="BN8" s="32"/>
      <c r="BO8" s="176"/>
      <c r="BQ8" s="32">
        <v>41044</v>
      </c>
      <c r="BR8" s="32">
        <f>BQ8-BQ7</f>
        <v>26</v>
      </c>
      <c r="BS8" s="176"/>
      <c r="BU8" s="32">
        <v>41825</v>
      </c>
      <c r="BV8" s="32">
        <f>BU8-BU7</f>
        <v>102</v>
      </c>
      <c r="BW8" s="176"/>
      <c r="BY8" s="32">
        <v>43194</v>
      </c>
      <c r="BZ8" s="32">
        <f>BY8-BY7</f>
        <v>2</v>
      </c>
      <c r="CA8" s="176"/>
      <c r="CC8" s="32">
        <v>36471</v>
      </c>
      <c r="CD8" s="32">
        <f>CC8-CC7</f>
        <v>4</v>
      </c>
      <c r="CE8" s="176"/>
      <c r="CG8" s="32">
        <v>52967</v>
      </c>
      <c r="CH8" s="32">
        <f>CG8-CG7</f>
        <v>323</v>
      </c>
      <c r="CI8" s="176"/>
      <c r="CK8" s="32">
        <v>48867</v>
      </c>
      <c r="CL8" s="32">
        <f>CK8-CK7</f>
        <v>4</v>
      </c>
      <c r="CM8" s="176"/>
      <c r="CO8" s="32">
        <v>92677</v>
      </c>
      <c r="CP8" s="32">
        <f>CO8-CO7</f>
        <v>2</v>
      </c>
      <c r="CQ8" s="176"/>
      <c r="CR8" s="32">
        <v>44104</v>
      </c>
      <c r="CS8" s="122">
        <f>CR8-CR7</f>
        <v>149</v>
      </c>
      <c r="CT8" s="219"/>
      <c r="CU8" s="219"/>
      <c r="CV8" s="32">
        <v>49299</v>
      </c>
      <c r="CW8" s="32">
        <f>CV8-CV7</f>
        <v>1</v>
      </c>
      <c r="CX8" s="176"/>
      <c r="CY8" s="32">
        <v>5101</v>
      </c>
      <c r="CZ8" s="32">
        <f>CY8-CY7</f>
        <v>1</v>
      </c>
      <c r="DA8" s="176"/>
      <c r="DC8" s="32"/>
      <c r="DD8" s="176"/>
    </row>
    <row r="9" spans="1:108" x14ac:dyDescent="0.25">
      <c r="A9" s="243">
        <v>45720</v>
      </c>
      <c r="B9" s="32"/>
      <c r="C9" s="32"/>
      <c r="D9" s="32"/>
      <c r="E9" s="32"/>
      <c r="F9" s="32">
        <v>0</v>
      </c>
      <c r="G9" s="32">
        <f t="shared" si="1"/>
        <v>0</v>
      </c>
      <c r="H9" s="248">
        <f t="shared" si="2"/>
        <v>173.03225806451613</v>
      </c>
      <c r="I9" s="94"/>
      <c r="J9" s="33"/>
      <c r="K9" s="32">
        <v>1000</v>
      </c>
      <c r="L9" s="32">
        <f t="shared" si="3"/>
        <v>0</v>
      </c>
      <c r="M9" s="32">
        <v>1000</v>
      </c>
      <c r="N9" s="32">
        <f t="shared" si="4"/>
        <v>0</v>
      </c>
      <c r="O9" s="32">
        <v>0</v>
      </c>
      <c r="P9" s="32">
        <f t="shared" si="5"/>
        <v>0</v>
      </c>
      <c r="Q9" s="92"/>
      <c r="R9" s="33"/>
      <c r="S9" s="53">
        <v>20273</v>
      </c>
      <c r="T9" s="225"/>
      <c r="U9" s="218">
        <v>9133</v>
      </c>
      <c r="V9" s="225"/>
      <c r="W9" s="218">
        <f t="shared" si="0"/>
        <v>29406</v>
      </c>
      <c r="X9" s="212"/>
      <c r="Y9" s="33"/>
      <c r="Z9" s="116">
        <f t="shared" ref="Z9:Z15" si="10">W9</f>
        <v>29406</v>
      </c>
      <c r="AA9" s="117"/>
      <c r="AB9" s="113">
        <f t="shared" si="7"/>
        <v>36532.096774193546</v>
      </c>
      <c r="AC9" s="33"/>
      <c r="AD9" s="189">
        <v>0.35</v>
      </c>
      <c r="AE9" s="118"/>
      <c r="AF9" s="153">
        <v>0.81</v>
      </c>
      <c r="AG9" s="33"/>
      <c r="AH9" s="160">
        <v>179</v>
      </c>
      <c r="AI9" s="208"/>
      <c r="AJ9" s="154">
        <f t="shared" si="8"/>
        <v>414.90322580645159</v>
      </c>
      <c r="AK9" s="33"/>
      <c r="AL9" s="142">
        <v>0.97</v>
      </c>
      <c r="AN9" s="139">
        <v>29</v>
      </c>
      <c r="AO9" s="179">
        <v>23.4</v>
      </c>
      <c r="AP9" s="165">
        <v>21</v>
      </c>
      <c r="AQ9" s="169">
        <v>27</v>
      </c>
      <c r="AR9" s="167">
        <v>30</v>
      </c>
      <c r="AS9" s="179">
        <v>24.8</v>
      </c>
      <c r="AT9" s="165">
        <v>18</v>
      </c>
      <c r="AU9" s="169">
        <v>28</v>
      </c>
      <c r="AW9" s="138"/>
      <c r="AY9" s="53"/>
      <c r="BA9" s="32"/>
      <c r="BB9" s="32"/>
      <c r="BC9" s="176"/>
      <c r="BE9" s="32"/>
      <c r="BF9" s="32"/>
      <c r="BG9" s="176"/>
      <c r="BI9" s="32"/>
      <c r="BJ9" s="32"/>
      <c r="BK9" s="176"/>
      <c r="BM9" s="32"/>
      <c r="BN9" s="32"/>
      <c r="BO9" s="176"/>
      <c r="BQ9" s="32">
        <v>41189</v>
      </c>
      <c r="BR9" s="32">
        <f>BQ9-BQ8</f>
        <v>145</v>
      </c>
      <c r="BS9" s="176"/>
      <c r="BU9" s="32">
        <v>41826</v>
      </c>
      <c r="BV9" s="32">
        <f>BU9-BU8</f>
        <v>1</v>
      </c>
      <c r="BW9" s="176"/>
      <c r="BY9" s="32">
        <v>43214</v>
      </c>
      <c r="BZ9" s="32">
        <f>BY9-BY8</f>
        <v>20</v>
      </c>
      <c r="CA9" s="176"/>
      <c r="CC9" s="32">
        <v>36486</v>
      </c>
      <c r="CD9" s="32">
        <f>CC9-CC8</f>
        <v>15</v>
      </c>
      <c r="CE9" s="176"/>
      <c r="CG9" s="32">
        <v>52932</v>
      </c>
      <c r="CH9" s="32">
        <f>CG9-CG8</f>
        <v>-35</v>
      </c>
      <c r="CI9" s="176"/>
      <c r="CK9" s="32">
        <v>48872</v>
      </c>
      <c r="CL9" s="32">
        <f>CK9-CK8</f>
        <v>5</v>
      </c>
      <c r="CM9" s="176"/>
      <c r="CO9" s="32">
        <v>92678</v>
      </c>
      <c r="CP9" s="32">
        <f>CO9-CO8</f>
        <v>1</v>
      </c>
      <c r="CQ9" s="176"/>
      <c r="CR9" s="32">
        <v>44242</v>
      </c>
      <c r="CS9" s="122">
        <f>CR9-CR8</f>
        <v>138</v>
      </c>
      <c r="CT9" s="219"/>
      <c r="CU9" s="219"/>
      <c r="CV9" s="32">
        <v>49300</v>
      </c>
      <c r="CW9" s="32">
        <f>CV9-CV8</f>
        <v>1</v>
      </c>
      <c r="CX9" s="176"/>
      <c r="CY9" s="32">
        <v>5102</v>
      </c>
      <c r="CZ9" s="32">
        <f>CY9-CY8</f>
        <v>1</v>
      </c>
      <c r="DA9" s="176"/>
      <c r="DC9" s="32"/>
      <c r="DD9" s="176"/>
    </row>
    <row r="10" spans="1:108" x14ac:dyDescent="0.25">
      <c r="A10" s="243">
        <v>45721</v>
      </c>
      <c r="B10" s="32"/>
      <c r="C10" s="32"/>
      <c r="D10" s="32"/>
      <c r="E10" s="32"/>
      <c r="F10" s="32">
        <v>0</v>
      </c>
      <c r="G10" s="32">
        <f t="shared" si="1"/>
        <v>0</v>
      </c>
      <c r="H10" s="248">
        <f t="shared" si="2"/>
        <v>173.03225806451613</v>
      </c>
      <c r="I10" s="94"/>
      <c r="J10" s="33"/>
      <c r="K10" s="32">
        <v>1000</v>
      </c>
      <c r="L10" s="32">
        <f t="shared" si="3"/>
        <v>0</v>
      </c>
      <c r="M10" s="32">
        <v>1000</v>
      </c>
      <c r="N10" s="32">
        <f t="shared" si="4"/>
        <v>0</v>
      </c>
      <c r="O10" s="32">
        <v>0</v>
      </c>
      <c r="P10" s="32">
        <f t="shared" si="5"/>
        <v>0</v>
      </c>
      <c r="Q10" s="92"/>
      <c r="R10" s="33"/>
      <c r="S10" s="53">
        <v>19570</v>
      </c>
      <c r="T10" s="225"/>
      <c r="U10" s="218">
        <v>8982</v>
      </c>
      <c r="V10" s="225"/>
      <c r="W10" s="218">
        <f t="shared" si="0"/>
        <v>28552</v>
      </c>
      <c r="X10" s="212"/>
      <c r="Y10" s="33"/>
      <c r="Z10" s="116">
        <f t="shared" si="10"/>
        <v>28552</v>
      </c>
      <c r="AA10" s="117"/>
      <c r="AB10" s="113">
        <f t="shared" si="7"/>
        <v>36532.096774193546</v>
      </c>
      <c r="AC10" s="33"/>
      <c r="AD10" s="189">
        <v>0.45100000000000001</v>
      </c>
      <c r="AE10" s="118"/>
      <c r="AF10" s="153">
        <v>0.81</v>
      </c>
      <c r="AG10" s="33"/>
      <c r="AH10" s="160">
        <v>231</v>
      </c>
      <c r="AI10" s="208"/>
      <c r="AJ10" s="154">
        <f t="shared" si="8"/>
        <v>414.90322580645159</v>
      </c>
      <c r="AK10" s="33"/>
      <c r="AL10" s="142">
        <v>0.97</v>
      </c>
      <c r="AN10" s="139">
        <v>26</v>
      </c>
      <c r="AO10" s="179">
        <v>21.5</v>
      </c>
      <c r="AP10" s="165">
        <v>15</v>
      </c>
      <c r="AQ10" s="169">
        <v>55</v>
      </c>
      <c r="AR10" s="167">
        <v>31</v>
      </c>
      <c r="AS10" s="179">
        <v>24.8</v>
      </c>
      <c r="AT10" s="165">
        <v>19</v>
      </c>
      <c r="AU10" s="169">
        <v>25</v>
      </c>
      <c r="AW10" s="138"/>
      <c r="AY10" s="53"/>
      <c r="BA10" s="32"/>
      <c r="BB10" s="32"/>
      <c r="BC10" s="176"/>
      <c r="BE10" s="32"/>
      <c r="BF10" s="32"/>
      <c r="BG10" s="176"/>
      <c r="BI10" s="32"/>
      <c r="BJ10" s="32"/>
      <c r="BK10" s="176"/>
      <c r="BM10" s="32"/>
      <c r="BN10" s="32"/>
      <c r="BO10" s="176"/>
      <c r="BQ10" s="32">
        <v>41190</v>
      </c>
      <c r="BR10" s="32">
        <f>BQ10-BQ9</f>
        <v>1</v>
      </c>
      <c r="BS10" s="176"/>
      <c r="BU10" s="32">
        <v>41977</v>
      </c>
      <c r="BV10" s="32">
        <f>BU10-BU9</f>
        <v>151</v>
      </c>
      <c r="BW10" s="176"/>
      <c r="BY10" s="32">
        <v>43250</v>
      </c>
      <c r="BZ10" s="32">
        <f>BY10-BY9</f>
        <v>36</v>
      </c>
      <c r="CA10" s="176"/>
      <c r="CC10" s="32">
        <v>36501</v>
      </c>
      <c r="CD10" s="32">
        <f>CC10-CC9</f>
        <v>15</v>
      </c>
      <c r="CE10" s="176"/>
      <c r="CG10" s="32">
        <v>53080</v>
      </c>
      <c r="CH10" s="32">
        <f>CG10-CG9</f>
        <v>148</v>
      </c>
      <c r="CI10" s="176"/>
      <c r="CK10" s="32">
        <v>48883</v>
      </c>
      <c r="CL10" s="32">
        <f>CK10-CK9</f>
        <v>11</v>
      </c>
      <c r="CM10" s="176"/>
      <c r="CO10" s="32">
        <v>92679</v>
      </c>
      <c r="CP10" s="32">
        <f>CO10-CO9</f>
        <v>1</v>
      </c>
      <c r="CQ10" s="176"/>
      <c r="CR10" s="32">
        <v>44392</v>
      </c>
      <c r="CS10" s="122">
        <f>CR10-CR9</f>
        <v>150</v>
      </c>
      <c r="CT10" s="219"/>
      <c r="CU10" s="219"/>
      <c r="CV10" s="32">
        <v>49301</v>
      </c>
      <c r="CW10" s="32">
        <f>CV10-CV9</f>
        <v>1</v>
      </c>
      <c r="CX10" s="176"/>
      <c r="CY10" s="32">
        <v>5103</v>
      </c>
      <c r="CZ10" s="32">
        <f>CY10-CY9</f>
        <v>1</v>
      </c>
      <c r="DA10" s="176"/>
      <c r="DC10" s="32"/>
      <c r="DD10" s="176"/>
    </row>
    <row r="11" spans="1:108" x14ac:dyDescent="0.25">
      <c r="A11" s="243">
        <v>45722</v>
      </c>
      <c r="B11" s="32"/>
      <c r="C11" s="32"/>
      <c r="D11" s="32"/>
      <c r="E11" s="32"/>
      <c r="F11" s="32">
        <v>0</v>
      </c>
      <c r="G11" s="32">
        <f t="shared" si="1"/>
        <v>0</v>
      </c>
      <c r="H11" s="248">
        <f t="shared" si="2"/>
        <v>173.03225806451613</v>
      </c>
      <c r="I11" s="94"/>
      <c r="J11" s="33"/>
      <c r="K11" s="32">
        <v>1000</v>
      </c>
      <c r="L11" s="32">
        <f t="shared" si="3"/>
        <v>0</v>
      </c>
      <c r="M11" s="32">
        <v>1000</v>
      </c>
      <c r="N11" s="32">
        <f t="shared" si="4"/>
        <v>0</v>
      </c>
      <c r="O11" s="32">
        <v>0</v>
      </c>
      <c r="P11" s="32">
        <f t="shared" si="5"/>
        <v>0</v>
      </c>
      <c r="Q11" s="92"/>
      <c r="R11" s="33"/>
      <c r="S11" s="53">
        <v>19721</v>
      </c>
      <c r="T11" s="225"/>
      <c r="U11" s="218">
        <v>9133</v>
      </c>
      <c r="V11" s="225"/>
      <c r="W11" s="218">
        <f t="shared" si="0"/>
        <v>28854</v>
      </c>
      <c r="X11" s="212"/>
      <c r="Y11" s="33"/>
      <c r="Z11" s="116">
        <f t="shared" si="10"/>
        <v>28854</v>
      </c>
      <c r="AA11" s="117"/>
      <c r="AB11" s="113">
        <f t="shared" si="7"/>
        <v>36532.096774193546</v>
      </c>
      <c r="AC11" s="33"/>
      <c r="AD11" s="189">
        <v>0.60499999999999998</v>
      </c>
      <c r="AE11" s="118"/>
      <c r="AF11" s="153">
        <v>0.81</v>
      </c>
      <c r="AG11" s="33"/>
      <c r="AH11" s="160">
        <v>310</v>
      </c>
      <c r="AI11" s="208"/>
      <c r="AJ11" s="154">
        <f t="shared" si="8"/>
        <v>414.90322580645159</v>
      </c>
      <c r="AK11" s="33"/>
      <c r="AL11" s="142">
        <v>0.97</v>
      </c>
      <c r="AN11" s="139">
        <v>28</v>
      </c>
      <c r="AO11" s="179">
        <v>22.6</v>
      </c>
      <c r="AP11" s="165">
        <v>17</v>
      </c>
      <c r="AQ11" s="169">
        <v>37</v>
      </c>
      <c r="AR11" s="167">
        <v>31</v>
      </c>
      <c r="AS11" s="179">
        <v>25.6</v>
      </c>
      <c r="AT11" s="165">
        <v>20</v>
      </c>
      <c r="AU11" s="169">
        <v>24</v>
      </c>
      <c r="AW11" s="138"/>
      <c r="AY11" s="53"/>
      <c r="BA11" s="32"/>
      <c r="BB11" s="32"/>
      <c r="BC11" s="176"/>
      <c r="BE11" s="32"/>
      <c r="BF11" s="32"/>
      <c r="BG11" s="176"/>
      <c r="BI11" s="32"/>
      <c r="BJ11" s="32"/>
      <c r="BK11" s="176"/>
      <c r="BM11" s="32"/>
      <c r="BN11" s="32"/>
      <c r="BO11" s="176"/>
      <c r="BQ11" s="32"/>
      <c r="BR11" s="32"/>
      <c r="BS11" s="176"/>
      <c r="BU11" s="32"/>
      <c r="BV11" s="32"/>
      <c r="BW11" s="176"/>
      <c r="BY11" s="32"/>
      <c r="BZ11" s="32"/>
      <c r="CA11" s="176"/>
      <c r="CC11" s="32"/>
      <c r="CD11" s="32"/>
      <c r="CE11" s="176"/>
      <c r="CG11" s="32"/>
      <c r="CH11" s="32"/>
      <c r="CI11" s="176"/>
      <c r="CK11" s="32"/>
      <c r="CL11" s="32"/>
      <c r="CM11" s="176"/>
      <c r="CO11" s="32"/>
      <c r="CP11" s="32"/>
      <c r="CQ11" s="176"/>
      <c r="CR11" s="32"/>
      <c r="CS11" s="122"/>
      <c r="CT11" s="219"/>
      <c r="CU11" s="219"/>
      <c r="CV11" s="32"/>
      <c r="CW11" s="32"/>
      <c r="CX11" s="176"/>
      <c r="CY11" s="32"/>
      <c r="CZ11" s="32"/>
      <c r="DA11" s="176"/>
      <c r="DC11" s="32"/>
      <c r="DD11" s="176"/>
    </row>
    <row r="12" spans="1:108" x14ac:dyDescent="0.25">
      <c r="A12" s="243">
        <v>45723</v>
      </c>
      <c r="B12" s="32"/>
      <c r="C12" s="32"/>
      <c r="D12" s="32"/>
      <c r="E12" s="32"/>
      <c r="F12" s="32">
        <v>0</v>
      </c>
      <c r="G12" s="32">
        <f t="shared" si="1"/>
        <v>0</v>
      </c>
      <c r="H12" s="248">
        <f t="shared" si="2"/>
        <v>173.03225806451613</v>
      </c>
      <c r="I12" s="94"/>
      <c r="J12" s="33"/>
      <c r="K12" s="32">
        <v>1000</v>
      </c>
      <c r="L12" s="32">
        <f t="shared" si="3"/>
        <v>0</v>
      </c>
      <c r="M12" s="32">
        <v>1000</v>
      </c>
      <c r="N12" s="32">
        <f t="shared" si="4"/>
        <v>0</v>
      </c>
      <c r="O12" s="32">
        <v>0</v>
      </c>
      <c r="P12" s="32">
        <f t="shared" si="5"/>
        <v>0</v>
      </c>
      <c r="Q12" s="92"/>
      <c r="R12" s="33"/>
      <c r="S12" s="53">
        <v>19621</v>
      </c>
      <c r="T12" s="215"/>
      <c r="U12" s="218">
        <v>9032</v>
      </c>
      <c r="V12" s="215"/>
      <c r="W12" s="218">
        <f t="shared" si="0"/>
        <v>28653</v>
      </c>
      <c r="X12" s="212"/>
      <c r="Y12" s="33"/>
      <c r="Z12" s="116">
        <f t="shared" si="10"/>
        <v>28653</v>
      </c>
      <c r="AA12" s="117"/>
      <c r="AB12" s="113">
        <f t="shared" si="7"/>
        <v>36532.096774193546</v>
      </c>
      <c r="AC12" s="33"/>
      <c r="AD12" s="189">
        <v>0.56299999999999994</v>
      </c>
      <c r="AE12" s="118"/>
      <c r="AF12" s="153">
        <v>0.81</v>
      </c>
      <c r="AG12" s="33"/>
      <c r="AH12" s="160">
        <v>288</v>
      </c>
      <c r="AI12" s="208"/>
      <c r="AJ12" s="154">
        <f t="shared" si="8"/>
        <v>414.90322580645159</v>
      </c>
      <c r="AK12" s="33"/>
      <c r="AL12" s="142">
        <v>0.97</v>
      </c>
      <c r="AN12" s="139">
        <v>26</v>
      </c>
      <c r="AO12" s="179">
        <v>20.6</v>
      </c>
      <c r="AP12" s="165">
        <v>16</v>
      </c>
      <c r="AQ12" s="169">
        <v>39</v>
      </c>
      <c r="AR12" s="167">
        <v>30</v>
      </c>
      <c r="AS12" s="179">
        <v>25.4</v>
      </c>
      <c r="AT12" s="165">
        <v>18</v>
      </c>
      <c r="AU12" s="169">
        <v>37</v>
      </c>
      <c r="AW12" s="138"/>
      <c r="AY12" s="53"/>
      <c r="BA12" s="32"/>
      <c r="BB12" s="32"/>
      <c r="BC12" s="176"/>
      <c r="BE12" s="32"/>
      <c r="BF12" s="32"/>
      <c r="BG12" s="176"/>
      <c r="BI12" s="32"/>
      <c r="BJ12" s="32"/>
      <c r="BK12" s="176"/>
      <c r="BM12" s="32"/>
      <c r="BN12" s="32"/>
      <c r="BO12" s="176"/>
      <c r="BQ12" s="32">
        <v>41193</v>
      </c>
      <c r="BR12" s="32"/>
      <c r="BS12" s="176"/>
      <c r="BU12" s="32">
        <v>42269</v>
      </c>
      <c r="BV12" s="32"/>
      <c r="BW12" s="176"/>
      <c r="BY12" s="32">
        <v>43283</v>
      </c>
      <c r="BZ12" s="32"/>
      <c r="CA12" s="176"/>
      <c r="CC12" s="32">
        <v>36546</v>
      </c>
      <c r="CD12" s="32"/>
      <c r="CE12" s="176"/>
      <c r="CG12" s="32">
        <v>53324</v>
      </c>
      <c r="CH12" s="32"/>
      <c r="CI12" s="176"/>
      <c r="CK12" s="32">
        <v>48905</v>
      </c>
      <c r="CL12" s="32"/>
      <c r="CM12" s="176"/>
      <c r="CO12" s="32">
        <v>92681</v>
      </c>
      <c r="CP12" s="32"/>
      <c r="CQ12" s="176"/>
      <c r="CR12" s="32">
        <v>44704</v>
      </c>
      <c r="CS12" s="122"/>
      <c r="CT12" s="219"/>
      <c r="CU12" s="219"/>
      <c r="CV12" s="32">
        <v>49304</v>
      </c>
      <c r="CW12" s="32"/>
      <c r="CX12" s="176"/>
      <c r="CY12" s="32">
        <v>5105</v>
      </c>
      <c r="CZ12" s="32"/>
      <c r="DA12" s="176"/>
      <c r="DC12" s="32"/>
      <c r="DD12" s="176"/>
    </row>
    <row r="13" spans="1:108" x14ac:dyDescent="0.25">
      <c r="A13" s="243">
        <v>45724</v>
      </c>
      <c r="B13" s="32"/>
      <c r="C13" s="32"/>
      <c r="D13" s="32"/>
      <c r="E13" s="32"/>
      <c r="F13" s="32">
        <v>0</v>
      </c>
      <c r="G13" s="32">
        <f t="shared" si="1"/>
        <v>0</v>
      </c>
      <c r="H13" s="248">
        <f t="shared" si="2"/>
        <v>173.03225806451613</v>
      </c>
      <c r="I13" s="94"/>
      <c r="J13" s="33"/>
      <c r="K13" s="32">
        <v>1000</v>
      </c>
      <c r="L13" s="32">
        <f t="shared" si="3"/>
        <v>0</v>
      </c>
      <c r="M13" s="32">
        <v>1000</v>
      </c>
      <c r="N13" s="32">
        <f t="shared" si="4"/>
        <v>0</v>
      </c>
      <c r="O13" s="32">
        <v>0</v>
      </c>
      <c r="P13" s="32">
        <f t="shared" si="5"/>
        <v>0</v>
      </c>
      <c r="Q13" s="92"/>
      <c r="R13" s="33"/>
      <c r="S13" s="53">
        <v>19922</v>
      </c>
      <c r="T13" s="215"/>
      <c r="U13" s="218">
        <v>8882</v>
      </c>
      <c r="V13" s="215"/>
      <c r="W13" s="218">
        <f t="shared" si="0"/>
        <v>28804</v>
      </c>
      <c r="X13" s="212"/>
      <c r="Y13" s="33"/>
      <c r="Z13" s="116">
        <f t="shared" si="10"/>
        <v>28804</v>
      </c>
      <c r="AA13" s="117"/>
      <c r="AB13" s="113">
        <f t="shared" si="7"/>
        <v>36532.096774193546</v>
      </c>
      <c r="AC13" s="33"/>
      <c r="AD13" s="189">
        <v>0.438</v>
      </c>
      <c r="AE13" s="118"/>
      <c r="AF13" s="153">
        <v>0.81</v>
      </c>
      <c r="AG13" s="33"/>
      <c r="AH13" s="160">
        <v>224</v>
      </c>
      <c r="AI13" s="208"/>
      <c r="AJ13" s="154">
        <f t="shared" si="8"/>
        <v>414.90322580645159</v>
      </c>
      <c r="AK13" s="33"/>
      <c r="AL13" s="142">
        <v>0.97</v>
      </c>
      <c r="AN13" s="139">
        <v>25</v>
      </c>
      <c r="AO13" s="179">
        <v>19.8</v>
      </c>
      <c r="AP13" s="165">
        <v>14</v>
      </c>
      <c r="AQ13" s="169">
        <v>42</v>
      </c>
      <c r="AR13" s="167">
        <v>30</v>
      </c>
      <c r="AS13" s="179">
        <v>24.8</v>
      </c>
      <c r="AT13" s="165">
        <v>19</v>
      </c>
      <c r="AU13" s="169">
        <v>21</v>
      </c>
      <c r="AW13" s="138"/>
      <c r="AY13" s="53"/>
      <c r="BA13" s="32"/>
      <c r="BB13" s="32"/>
      <c r="BC13" s="176"/>
      <c r="BE13" s="32"/>
      <c r="BF13" s="32"/>
      <c r="BG13" s="176"/>
      <c r="BI13" s="32"/>
      <c r="BJ13" s="32"/>
      <c r="BK13" s="176"/>
      <c r="BM13" s="32"/>
      <c r="BN13" s="32"/>
      <c r="BO13" s="176"/>
      <c r="BQ13" s="32"/>
      <c r="BR13" s="32"/>
      <c r="BS13" s="176"/>
      <c r="BU13" s="32"/>
      <c r="BV13" s="32"/>
      <c r="BW13" s="176"/>
      <c r="BY13" s="32"/>
      <c r="BZ13" s="32"/>
      <c r="CA13" s="176"/>
      <c r="CC13" s="32"/>
      <c r="CD13" s="32"/>
      <c r="CE13" s="176"/>
      <c r="CG13" s="32"/>
      <c r="CH13" s="32"/>
      <c r="CI13" s="176"/>
      <c r="CK13" s="32"/>
      <c r="CL13" s="32"/>
      <c r="CM13" s="176"/>
      <c r="CO13" s="32"/>
      <c r="CP13" s="32"/>
      <c r="CQ13" s="176"/>
      <c r="CR13" s="32"/>
      <c r="CS13" s="122"/>
      <c r="CT13" s="219"/>
      <c r="CU13" s="219"/>
      <c r="CV13" s="32"/>
      <c r="CW13" s="32"/>
      <c r="CX13" s="176"/>
      <c r="CY13" s="32"/>
      <c r="CZ13" s="32"/>
      <c r="DA13" s="176"/>
      <c r="DC13" s="32"/>
      <c r="DD13" s="176"/>
    </row>
    <row r="14" spans="1:108" x14ac:dyDescent="0.25">
      <c r="A14" s="243">
        <v>45725</v>
      </c>
      <c r="B14" s="32">
        <v>161</v>
      </c>
      <c r="C14" s="32">
        <v>161</v>
      </c>
      <c r="D14" s="32">
        <v>29</v>
      </c>
      <c r="E14" s="32">
        <v>29</v>
      </c>
      <c r="F14" s="32">
        <v>0</v>
      </c>
      <c r="G14" s="32">
        <f t="shared" si="1"/>
        <v>190</v>
      </c>
      <c r="H14" s="248">
        <f t="shared" si="2"/>
        <v>173.03225806451613</v>
      </c>
      <c r="I14" s="94"/>
      <c r="J14" s="33"/>
      <c r="K14" s="32">
        <v>1000</v>
      </c>
      <c r="L14" s="32">
        <f t="shared" si="3"/>
        <v>0</v>
      </c>
      <c r="M14" s="32">
        <v>1000</v>
      </c>
      <c r="N14" s="32">
        <f t="shared" si="4"/>
        <v>0</v>
      </c>
      <c r="O14" s="32">
        <v>0</v>
      </c>
      <c r="P14" s="32">
        <f t="shared" si="5"/>
        <v>0</v>
      </c>
      <c r="Q14" s="92"/>
      <c r="R14" s="33"/>
      <c r="S14" s="53">
        <v>19721</v>
      </c>
      <c r="T14" s="215"/>
      <c r="U14" s="218">
        <v>8781</v>
      </c>
      <c r="V14" s="215"/>
      <c r="W14" s="218">
        <f t="shared" si="0"/>
        <v>28502</v>
      </c>
      <c r="X14" s="212"/>
      <c r="Y14" s="33"/>
      <c r="Z14" s="116">
        <f t="shared" si="10"/>
        <v>28502</v>
      </c>
      <c r="AA14" s="117"/>
      <c r="AB14" s="113">
        <f t="shared" si="7"/>
        <v>36532.096774193546</v>
      </c>
      <c r="AC14" s="33"/>
      <c r="AD14" s="189">
        <v>0.42599999999999999</v>
      </c>
      <c r="AE14" s="118"/>
      <c r="AF14" s="153">
        <v>0.81</v>
      </c>
      <c r="AG14" s="33"/>
      <c r="AH14" s="160">
        <v>218</v>
      </c>
      <c r="AI14" s="208"/>
      <c r="AJ14" s="154">
        <f t="shared" si="8"/>
        <v>414.90322580645159</v>
      </c>
      <c r="AK14" s="33"/>
      <c r="AL14" s="142">
        <v>0.97</v>
      </c>
      <c r="AN14" s="139">
        <v>28</v>
      </c>
      <c r="AO14" s="179">
        <v>21.3</v>
      </c>
      <c r="AP14" s="165">
        <v>13</v>
      </c>
      <c r="AQ14" s="169">
        <v>41</v>
      </c>
      <c r="AR14" s="167">
        <v>30</v>
      </c>
      <c r="AS14" s="179">
        <v>23.8</v>
      </c>
      <c r="AT14" s="165">
        <v>16</v>
      </c>
      <c r="AU14" s="169">
        <v>19</v>
      </c>
      <c r="AW14" s="138"/>
      <c r="AY14" s="53"/>
      <c r="BA14" s="32"/>
      <c r="BB14" s="32"/>
      <c r="BC14" s="176"/>
      <c r="BE14" s="32"/>
      <c r="BF14" s="32"/>
      <c r="BG14" s="176"/>
      <c r="BI14" s="32"/>
      <c r="BJ14" s="32"/>
      <c r="BK14" s="176"/>
      <c r="BM14" s="32"/>
      <c r="BN14" s="32"/>
      <c r="BO14" s="176"/>
      <c r="BQ14" s="32"/>
      <c r="BR14" s="32"/>
      <c r="BS14" s="176"/>
      <c r="BU14" s="32"/>
      <c r="BV14" s="32"/>
      <c r="BW14" s="176"/>
      <c r="BY14" s="32"/>
      <c r="BZ14" s="32"/>
      <c r="CA14" s="176"/>
      <c r="CC14" s="32"/>
      <c r="CD14" s="32"/>
      <c r="CE14" s="176"/>
      <c r="CG14" s="32"/>
      <c r="CH14" s="32"/>
      <c r="CI14" s="176"/>
      <c r="CK14" s="32"/>
      <c r="CL14" s="32"/>
      <c r="CM14" s="176"/>
      <c r="CO14" s="32"/>
      <c r="CP14" s="32"/>
      <c r="CQ14" s="176"/>
      <c r="CR14" s="32"/>
      <c r="CS14" s="122"/>
      <c r="CT14" s="219"/>
      <c r="CU14" s="219"/>
      <c r="CV14" s="32"/>
      <c r="CW14" s="32"/>
      <c r="CX14" s="176"/>
      <c r="CY14" s="32"/>
      <c r="CZ14" s="32"/>
      <c r="DA14" s="176"/>
      <c r="DC14" s="32"/>
      <c r="DD14" s="176"/>
    </row>
    <row r="15" spans="1:108" x14ac:dyDescent="0.25">
      <c r="A15" s="243">
        <v>45726</v>
      </c>
      <c r="B15" s="32">
        <v>224</v>
      </c>
      <c r="C15" s="32">
        <f>B15-B14</f>
        <v>63</v>
      </c>
      <c r="D15" s="32">
        <v>46</v>
      </c>
      <c r="E15" s="32">
        <f>D15-D14</f>
        <v>17</v>
      </c>
      <c r="F15" s="32">
        <v>0</v>
      </c>
      <c r="G15" s="32">
        <f t="shared" si="1"/>
        <v>80</v>
      </c>
      <c r="H15" s="248">
        <f t="shared" si="2"/>
        <v>173.03225806451613</v>
      </c>
      <c r="I15" s="94"/>
      <c r="J15" s="33"/>
      <c r="K15" s="32">
        <v>1000</v>
      </c>
      <c r="L15" s="32">
        <f t="shared" si="3"/>
        <v>0</v>
      </c>
      <c r="M15" s="32">
        <v>1000</v>
      </c>
      <c r="N15" s="32">
        <f t="shared" si="4"/>
        <v>0</v>
      </c>
      <c r="O15" s="32">
        <v>0</v>
      </c>
      <c r="P15" s="32">
        <f t="shared" si="5"/>
        <v>0</v>
      </c>
      <c r="Q15" s="92"/>
      <c r="R15" s="33"/>
      <c r="S15" s="53">
        <v>19871</v>
      </c>
      <c r="T15" s="215"/>
      <c r="U15" s="212">
        <v>8882</v>
      </c>
      <c r="V15" s="215"/>
      <c r="W15" s="212">
        <f t="shared" si="0"/>
        <v>28753</v>
      </c>
      <c r="X15" s="212"/>
      <c r="Y15" s="33"/>
      <c r="Z15" s="116">
        <f t="shared" si="10"/>
        <v>28753</v>
      </c>
      <c r="AA15" s="117"/>
      <c r="AB15" s="113">
        <f t="shared" si="7"/>
        <v>36532.096774193546</v>
      </c>
      <c r="AC15" s="33"/>
      <c r="AD15" s="189">
        <v>0.35499999999999998</v>
      </c>
      <c r="AE15" s="118"/>
      <c r="AF15" s="153">
        <v>0.81</v>
      </c>
      <c r="AG15" s="33"/>
      <c r="AH15" s="160">
        <v>182</v>
      </c>
      <c r="AI15" s="208"/>
      <c r="AJ15" s="154">
        <f t="shared" si="8"/>
        <v>414.90322580645159</v>
      </c>
      <c r="AK15" s="33"/>
      <c r="AL15" s="142">
        <v>0.97</v>
      </c>
      <c r="AN15" s="139">
        <v>28</v>
      </c>
      <c r="AO15" s="179">
        <v>22.6</v>
      </c>
      <c r="AP15" s="165">
        <v>15</v>
      </c>
      <c r="AQ15" s="169">
        <v>37</v>
      </c>
      <c r="AR15" s="167">
        <v>34</v>
      </c>
      <c r="AS15" s="179">
        <v>26.4</v>
      </c>
      <c r="AT15" s="165">
        <v>17</v>
      </c>
      <c r="AU15" s="169">
        <v>16</v>
      </c>
      <c r="AW15" s="138"/>
      <c r="AY15" s="53"/>
      <c r="BA15" s="32"/>
      <c r="BB15" s="32"/>
      <c r="BC15" s="176"/>
      <c r="BE15" s="32"/>
      <c r="BF15" s="32"/>
      <c r="BG15" s="176"/>
      <c r="BI15" s="32"/>
      <c r="BJ15" s="32"/>
      <c r="BK15" s="176"/>
      <c r="BM15" s="32"/>
      <c r="BN15" s="32"/>
      <c r="BO15" s="176"/>
      <c r="BQ15" s="32"/>
      <c r="BR15" s="32"/>
      <c r="BS15" s="176"/>
      <c r="BU15" s="32"/>
      <c r="BV15" s="32"/>
      <c r="BW15" s="176"/>
      <c r="BY15" s="32"/>
      <c r="BZ15" s="32"/>
      <c r="CA15" s="176"/>
      <c r="CC15" s="32"/>
      <c r="CD15" s="32"/>
      <c r="CE15" s="176"/>
      <c r="CG15" s="32"/>
      <c r="CH15" s="32"/>
      <c r="CI15" s="176"/>
      <c r="CK15" s="32"/>
      <c r="CL15" s="32"/>
      <c r="CM15" s="176"/>
      <c r="CO15" s="32"/>
      <c r="CP15" s="32"/>
      <c r="CQ15" s="176"/>
      <c r="CR15" s="176"/>
      <c r="CS15" s="122"/>
      <c r="CT15" s="219"/>
      <c r="CU15" s="219"/>
      <c r="CV15" s="32"/>
      <c r="CW15" s="32"/>
      <c r="CX15" s="176"/>
      <c r="CY15" s="32"/>
      <c r="CZ15" s="32"/>
      <c r="DA15" s="176"/>
      <c r="DC15" s="32"/>
      <c r="DD15" s="176"/>
    </row>
    <row r="16" spans="1:108" x14ac:dyDescent="0.25">
      <c r="A16" s="243">
        <v>45727</v>
      </c>
      <c r="B16" s="32"/>
      <c r="C16" s="32"/>
      <c r="D16" s="32"/>
      <c r="E16" s="32"/>
      <c r="F16" s="32">
        <v>0</v>
      </c>
      <c r="G16" s="32">
        <f t="shared" si="1"/>
        <v>0</v>
      </c>
      <c r="H16" s="248">
        <f t="shared" si="2"/>
        <v>173.03225806451613</v>
      </c>
      <c r="I16" s="94"/>
      <c r="J16" s="33"/>
      <c r="K16" s="32">
        <v>1000</v>
      </c>
      <c r="L16" s="32">
        <f t="shared" si="3"/>
        <v>0</v>
      </c>
      <c r="M16" s="32">
        <v>1000</v>
      </c>
      <c r="N16" s="32">
        <f t="shared" si="4"/>
        <v>0</v>
      </c>
      <c r="O16" s="32">
        <v>0</v>
      </c>
      <c r="P16" s="32">
        <f t="shared" si="5"/>
        <v>0</v>
      </c>
      <c r="Q16" s="92"/>
      <c r="R16" s="33"/>
      <c r="S16" s="53"/>
      <c r="T16" s="215"/>
      <c r="U16" s="212"/>
      <c r="V16" s="215"/>
      <c r="W16" s="212"/>
      <c r="X16" s="212"/>
      <c r="Y16" s="33"/>
      <c r="Z16" s="116"/>
      <c r="AA16" s="117"/>
      <c r="AB16" s="113">
        <f t="shared" si="7"/>
        <v>36532.096774193546</v>
      </c>
      <c r="AC16" s="33"/>
      <c r="AD16" s="189"/>
      <c r="AE16" s="118"/>
      <c r="AF16" s="153">
        <v>0.81</v>
      </c>
      <c r="AG16" s="33"/>
      <c r="AH16" s="160"/>
      <c r="AI16" s="208"/>
      <c r="AJ16" s="154">
        <f t="shared" si="8"/>
        <v>414.90322580645159</v>
      </c>
      <c r="AK16" s="33"/>
      <c r="AL16" s="142">
        <v>0.97</v>
      </c>
      <c r="AN16" s="139"/>
      <c r="AO16" s="179"/>
      <c r="AP16" s="165"/>
      <c r="AQ16" s="169"/>
      <c r="AR16" s="167">
        <v>33</v>
      </c>
      <c r="AS16" s="179">
        <v>27.9</v>
      </c>
      <c r="AT16" s="165">
        <v>22</v>
      </c>
      <c r="AU16" s="169">
        <v>26</v>
      </c>
      <c r="AW16" s="138"/>
      <c r="AY16" s="53"/>
      <c r="BA16" s="32"/>
      <c r="BB16" s="32"/>
      <c r="BC16" s="176"/>
      <c r="BE16" s="32"/>
      <c r="BF16" s="32"/>
      <c r="BG16" s="176"/>
      <c r="BI16" s="32"/>
      <c r="BJ16" s="32"/>
      <c r="BK16" s="176"/>
      <c r="BM16" s="32"/>
      <c r="BN16" s="32"/>
      <c r="BO16" s="176"/>
      <c r="BQ16" s="32"/>
      <c r="BR16" s="32"/>
      <c r="BS16" s="176"/>
      <c r="BU16" s="32"/>
      <c r="BV16" s="32"/>
      <c r="BW16" s="176"/>
      <c r="BY16" s="32"/>
      <c r="BZ16" s="32"/>
      <c r="CA16" s="176"/>
      <c r="CC16" s="32"/>
      <c r="CD16" s="32"/>
      <c r="CE16" s="176"/>
      <c r="CG16" s="32"/>
      <c r="CH16" s="32"/>
      <c r="CI16" s="176"/>
      <c r="CK16" s="32"/>
      <c r="CL16" s="32"/>
      <c r="CM16" s="176"/>
      <c r="CO16" s="32"/>
      <c r="CP16" s="32"/>
      <c r="CQ16" s="176"/>
      <c r="CR16" s="176"/>
      <c r="CS16" s="122"/>
      <c r="CT16" s="219"/>
      <c r="CU16" s="219"/>
      <c r="CV16" s="32"/>
      <c r="CW16" s="32"/>
      <c r="CX16" s="176"/>
      <c r="CY16" s="32"/>
      <c r="CZ16" s="32"/>
      <c r="DA16" s="176"/>
      <c r="DC16" s="32"/>
      <c r="DD16" s="176"/>
    </row>
    <row r="17" spans="1:108" x14ac:dyDescent="0.25">
      <c r="A17" s="243">
        <v>45728</v>
      </c>
      <c r="B17" s="32"/>
      <c r="C17" s="32"/>
      <c r="D17" s="32"/>
      <c r="E17" s="32"/>
      <c r="F17" s="32">
        <v>0</v>
      </c>
      <c r="G17" s="32">
        <f t="shared" si="1"/>
        <v>0</v>
      </c>
      <c r="H17" s="248">
        <f t="shared" si="2"/>
        <v>173.03225806451613</v>
      </c>
      <c r="I17" s="94"/>
      <c r="J17" s="33"/>
      <c r="K17" s="32">
        <v>1000</v>
      </c>
      <c r="L17" s="32">
        <f t="shared" si="3"/>
        <v>0</v>
      </c>
      <c r="M17" s="32">
        <v>1000</v>
      </c>
      <c r="N17" s="32">
        <f t="shared" si="4"/>
        <v>0</v>
      </c>
      <c r="O17" s="32">
        <v>0</v>
      </c>
      <c r="P17" s="32">
        <f t="shared" si="5"/>
        <v>0</v>
      </c>
      <c r="Q17" s="92"/>
      <c r="R17" s="33"/>
      <c r="S17" s="53"/>
      <c r="T17" s="215"/>
      <c r="U17" s="212"/>
      <c r="V17" s="215"/>
      <c r="W17" s="212"/>
      <c r="X17" s="212"/>
      <c r="Y17" s="33"/>
      <c r="Z17" s="116"/>
      <c r="AA17" s="117"/>
      <c r="AB17" s="113">
        <f t="shared" si="7"/>
        <v>36532.096774193546</v>
      </c>
      <c r="AC17" s="33"/>
      <c r="AD17" s="189"/>
      <c r="AE17" s="118"/>
      <c r="AF17" s="153">
        <v>0.81</v>
      </c>
      <c r="AG17" s="33"/>
      <c r="AH17" s="160"/>
      <c r="AI17" s="208"/>
      <c r="AJ17" s="154">
        <f t="shared" si="8"/>
        <v>414.90322580645159</v>
      </c>
      <c r="AK17" s="33"/>
      <c r="AL17" s="142">
        <v>0.97</v>
      </c>
      <c r="AN17" s="139"/>
      <c r="AO17" s="179"/>
      <c r="AP17" s="165"/>
      <c r="AQ17" s="169"/>
      <c r="AR17" s="167">
        <v>32</v>
      </c>
      <c r="AS17" s="179">
        <v>25.5</v>
      </c>
      <c r="AT17" s="165">
        <v>20</v>
      </c>
      <c r="AU17" s="169">
        <v>15</v>
      </c>
      <c r="AW17" s="138"/>
      <c r="AY17" s="53"/>
      <c r="BA17" s="32"/>
      <c r="BB17" s="32"/>
      <c r="BC17" s="176"/>
      <c r="BE17" s="32"/>
      <c r="BF17" s="32"/>
      <c r="BG17" s="176"/>
      <c r="BI17" s="32"/>
      <c r="BJ17" s="32"/>
      <c r="BK17" s="176"/>
      <c r="BM17" s="32"/>
      <c r="BN17" s="32"/>
      <c r="BO17" s="176"/>
      <c r="BQ17" s="32"/>
      <c r="BR17" s="32"/>
      <c r="BS17" s="176"/>
      <c r="BU17" s="32"/>
      <c r="BV17" s="32"/>
      <c r="BW17" s="176"/>
      <c r="BY17" s="32"/>
      <c r="BZ17" s="32"/>
      <c r="CA17" s="176"/>
      <c r="CC17" s="32"/>
      <c r="CD17" s="32"/>
      <c r="CE17" s="176"/>
      <c r="CG17" s="32"/>
      <c r="CH17" s="32"/>
      <c r="CI17" s="176"/>
      <c r="CK17" s="32"/>
      <c r="CL17" s="32"/>
      <c r="CM17" s="176"/>
      <c r="CO17" s="32"/>
      <c r="CP17" s="32"/>
      <c r="CQ17" s="176"/>
      <c r="CR17" s="176"/>
      <c r="CS17" s="122"/>
      <c r="CT17" s="219"/>
      <c r="CU17" s="219"/>
      <c r="CV17" s="228"/>
      <c r="CW17" s="32"/>
      <c r="CX17" s="229"/>
      <c r="CY17" s="228"/>
      <c r="CZ17" s="32"/>
      <c r="DA17" s="229"/>
      <c r="DC17" s="32"/>
      <c r="DD17" s="176"/>
    </row>
    <row r="18" spans="1:108" x14ac:dyDescent="0.25">
      <c r="A18" s="243">
        <v>45729</v>
      </c>
      <c r="B18" s="32"/>
      <c r="C18" s="32"/>
      <c r="D18" s="32"/>
      <c r="E18" s="32"/>
      <c r="F18" s="32">
        <v>0</v>
      </c>
      <c r="G18" s="32">
        <f t="shared" si="1"/>
        <v>0</v>
      </c>
      <c r="H18" s="248">
        <f t="shared" si="2"/>
        <v>173.03225806451613</v>
      </c>
      <c r="I18" s="94"/>
      <c r="J18" s="33"/>
      <c r="K18" s="32">
        <v>1000</v>
      </c>
      <c r="L18" s="32">
        <f t="shared" si="3"/>
        <v>0</v>
      </c>
      <c r="M18" s="32">
        <v>1000</v>
      </c>
      <c r="N18" s="32">
        <f t="shared" si="4"/>
        <v>0</v>
      </c>
      <c r="O18" s="32">
        <v>0</v>
      </c>
      <c r="P18" s="32">
        <f t="shared" si="5"/>
        <v>0</v>
      </c>
      <c r="Q18" s="92"/>
      <c r="R18" s="33"/>
      <c r="S18" s="53"/>
      <c r="T18" s="215"/>
      <c r="U18" s="212"/>
      <c r="V18" s="215"/>
      <c r="W18" s="212"/>
      <c r="X18" s="212"/>
      <c r="Y18" s="33"/>
      <c r="Z18" s="116"/>
      <c r="AA18" s="117"/>
      <c r="AB18" s="113">
        <f t="shared" si="7"/>
        <v>36532.096774193546</v>
      </c>
      <c r="AC18" s="33"/>
      <c r="AD18" s="189"/>
      <c r="AE18" s="118"/>
      <c r="AF18" s="153">
        <v>0.81</v>
      </c>
      <c r="AG18" s="33"/>
      <c r="AH18" s="160"/>
      <c r="AI18" s="208"/>
      <c r="AJ18" s="154">
        <f t="shared" si="8"/>
        <v>414.90322580645159</v>
      </c>
      <c r="AK18" s="33"/>
      <c r="AL18" s="142">
        <v>0.97</v>
      </c>
      <c r="AN18" s="139"/>
      <c r="AO18" s="179"/>
      <c r="AP18" s="165"/>
      <c r="AQ18" s="169"/>
      <c r="AR18" s="167">
        <v>36</v>
      </c>
      <c r="AS18" s="179">
        <v>28.1</v>
      </c>
      <c r="AT18" s="165">
        <v>21</v>
      </c>
      <c r="AU18" s="169">
        <v>35</v>
      </c>
      <c r="AW18" s="138"/>
      <c r="AY18" s="53"/>
      <c r="BA18" s="32"/>
      <c r="BB18" s="32"/>
      <c r="BC18" s="176"/>
      <c r="BE18" s="32"/>
      <c r="BF18" s="32"/>
      <c r="BG18" s="176"/>
      <c r="BI18" s="32"/>
      <c r="BJ18" s="32"/>
      <c r="BK18" s="176"/>
      <c r="BM18" s="32"/>
      <c r="BN18" s="32"/>
      <c r="BO18" s="176"/>
      <c r="BQ18" s="32"/>
      <c r="BR18" s="32"/>
      <c r="BS18" s="176"/>
      <c r="BU18" s="32"/>
      <c r="BV18" s="32"/>
      <c r="BW18" s="176"/>
      <c r="BY18" s="32"/>
      <c r="BZ18" s="32"/>
      <c r="CA18" s="176"/>
      <c r="CC18" s="32"/>
      <c r="CD18" s="32"/>
      <c r="CE18" s="176"/>
      <c r="CG18" s="32"/>
      <c r="CH18" s="32"/>
      <c r="CI18" s="176"/>
      <c r="CK18" s="32"/>
      <c r="CL18" s="32"/>
      <c r="CM18" s="176"/>
      <c r="CO18" s="32"/>
      <c r="CP18" s="32"/>
      <c r="CQ18" s="176"/>
      <c r="CR18" s="176"/>
      <c r="CS18" s="122"/>
      <c r="CT18" s="219"/>
      <c r="CU18" s="226"/>
      <c r="CV18" s="219"/>
      <c r="CW18" s="32"/>
      <c r="CX18" s="219"/>
      <c r="CY18" s="224"/>
      <c r="CZ18" s="32"/>
      <c r="DA18" s="224"/>
      <c r="DC18" s="32"/>
      <c r="DD18" s="176"/>
    </row>
    <row r="19" spans="1:108" x14ac:dyDescent="0.25">
      <c r="A19" s="243">
        <v>45730</v>
      </c>
      <c r="B19" s="32"/>
      <c r="C19" s="32"/>
      <c r="D19" s="32"/>
      <c r="E19" s="32"/>
      <c r="F19" s="32">
        <v>0</v>
      </c>
      <c r="G19" s="32">
        <f t="shared" si="1"/>
        <v>0</v>
      </c>
      <c r="H19" s="248">
        <f t="shared" si="2"/>
        <v>173.03225806451613</v>
      </c>
      <c r="I19" s="94"/>
      <c r="J19" s="33"/>
      <c r="K19" s="32">
        <v>1000</v>
      </c>
      <c r="L19" s="32">
        <f t="shared" si="3"/>
        <v>0</v>
      </c>
      <c r="M19" s="32">
        <v>1000</v>
      </c>
      <c r="N19" s="32">
        <f t="shared" si="4"/>
        <v>0</v>
      </c>
      <c r="O19" s="32">
        <v>0</v>
      </c>
      <c r="P19" s="32">
        <f t="shared" si="5"/>
        <v>0</v>
      </c>
      <c r="Q19" s="92"/>
      <c r="R19" s="33"/>
      <c r="S19" s="53"/>
      <c r="T19" s="215"/>
      <c r="U19" s="212"/>
      <c r="V19" s="215"/>
      <c r="W19" s="212"/>
      <c r="X19" s="212"/>
      <c r="Y19" s="33"/>
      <c r="Z19" s="116"/>
      <c r="AA19" s="117"/>
      <c r="AB19" s="113">
        <f t="shared" si="7"/>
        <v>36532.096774193546</v>
      </c>
      <c r="AC19" s="33"/>
      <c r="AD19" s="189"/>
      <c r="AE19" s="118"/>
      <c r="AF19" s="153">
        <v>0.81</v>
      </c>
      <c r="AG19" s="33"/>
      <c r="AH19" s="160"/>
      <c r="AI19" s="208"/>
      <c r="AJ19" s="154">
        <f t="shared" si="8"/>
        <v>414.90322580645159</v>
      </c>
      <c r="AK19" s="33"/>
      <c r="AL19" s="142">
        <v>0.97</v>
      </c>
      <c r="AN19" s="139"/>
      <c r="AO19" s="179"/>
      <c r="AP19" s="165"/>
      <c r="AQ19" s="169"/>
      <c r="AR19" s="167">
        <v>35</v>
      </c>
      <c r="AS19" s="179">
        <v>30</v>
      </c>
      <c r="AT19" s="165">
        <v>25</v>
      </c>
      <c r="AU19" s="169">
        <v>44</v>
      </c>
      <c r="AW19" s="138"/>
      <c r="AY19" s="53"/>
      <c r="BA19" s="32"/>
      <c r="BB19" s="32"/>
      <c r="BC19" s="176"/>
      <c r="BE19" s="32"/>
      <c r="BF19" s="32"/>
      <c r="BG19" s="176"/>
      <c r="BI19" s="32"/>
      <c r="BJ19" s="32"/>
      <c r="BK19" s="176"/>
      <c r="BM19" s="32"/>
      <c r="BN19" s="32"/>
      <c r="BO19" s="176"/>
      <c r="BQ19" s="32"/>
      <c r="BR19" s="32"/>
      <c r="BS19" s="176"/>
      <c r="BU19" s="32"/>
      <c r="BV19" s="32"/>
      <c r="BW19" s="176"/>
      <c r="BY19" s="32"/>
      <c r="BZ19" s="32"/>
      <c r="CA19" s="176"/>
      <c r="CC19" s="32"/>
      <c r="CD19" s="32"/>
      <c r="CE19" s="176"/>
      <c r="CG19" s="32"/>
      <c r="CH19" s="32"/>
      <c r="CI19" s="176"/>
      <c r="CK19" s="32"/>
      <c r="CL19" s="32"/>
      <c r="CM19" s="176"/>
      <c r="CO19" s="32"/>
      <c r="CP19" s="32"/>
      <c r="CQ19" s="176"/>
      <c r="CR19" s="176"/>
      <c r="CS19" s="122"/>
      <c r="CT19" s="219"/>
      <c r="CU19" s="226"/>
      <c r="CV19" s="219"/>
      <c r="CW19" s="32"/>
      <c r="CX19" s="226"/>
      <c r="CY19" s="219"/>
      <c r="CZ19" s="32"/>
      <c r="DA19" s="219"/>
      <c r="DC19" s="32"/>
      <c r="DD19" s="176"/>
    </row>
    <row r="20" spans="1:108" x14ac:dyDescent="0.25">
      <c r="A20" s="243">
        <v>45731</v>
      </c>
      <c r="B20" s="32"/>
      <c r="C20" s="32"/>
      <c r="D20" s="32"/>
      <c r="E20" s="32"/>
      <c r="F20" s="32">
        <v>0</v>
      </c>
      <c r="G20" s="32">
        <f t="shared" si="1"/>
        <v>0</v>
      </c>
      <c r="H20" s="248">
        <f t="shared" si="2"/>
        <v>173.03225806451613</v>
      </c>
      <c r="I20" s="94"/>
      <c r="J20" s="33"/>
      <c r="K20" s="32">
        <v>1000</v>
      </c>
      <c r="L20" s="32">
        <f t="shared" si="3"/>
        <v>0</v>
      </c>
      <c r="M20" s="32">
        <v>1000</v>
      </c>
      <c r="N20" s="32">
        <f t="shared" si="4"/>
        <v>0</v>
      </c>
      <c r="O20" s="32">
        <v>0</v>
      </c>
      <c r="P20" s="32">
        <f t="shared" si="5"/>
        <v>0</v>
      </c>
      <c r="Q20" s="92"/>
      <c r="R20" s="33"/>
      <c r="S20" s="53"/>
      <c r="T20" s="215"/>
      <c r="U20" s="212"/>
      <c r="V20" s="215"/>
      <c r="W20" s="212"/>
      <c r="X20" s="212"/>
      <c r="Y20" s="33"/>
      <c r="Z20" s="116"/>
      <c r="AA20" s="117"/>
      <c r="AB20" s="113">
        <f t="shared" si="7"/>
        <v>36532.096774193546</v>
      </c>
      <c r="AC20" s="33"/>
      <c r="AD20" s="189"/>
      <c r="AE20" s="118"/>
      <c r="AF20" s="153">
        <v>0.81</v>
      </c>
      <c r="AG20" s="33"/>
      <c r="AH20" s="160"/>
      <c r="AI20" s="208"/>
      <c r="AJ20" s="154">
        <f t="shared" si="8"/>
        <v>414.90322580645159</v>
      </c>
      <c r="AK20" s="33"/>
      <c r="AL20" s="142">
        <v>0.97</v>
      </c>
      <c r="AN20" s="139"/>
      <c r="AO20" s="179"/>
      <c r="AP20" s="165"/>
      <c r="AQ20" s="169"/>
      <c r="AR20" s="167">
        <v>34</v>
      </c>
      <c r="AS20" s="179">
        <v>28.5</v>
      </c>
      <c r="AT20" s="165">
        <v>23</v>
      </c>
      <c r="AU20" s="169">
        <v>48</v>
      </c>
      <c r="AW20" s="138"/>
      <c r="AY20" s="53"/>
      <c r="BA20" s="32"/>
      <c r="BB20" s="32"/>
      <c r="BC20" s="176"/>
      <c r="BE20" s="32"/>
      <c r="BF20" s="32"/>
      <c r="BG20" s="176"/>
      <c r="BI20" s="32"/>
      <c r="BJ20" s="32"/>
      <c r="BK20" s="176"/>
      <c r="BM20" s="32"/>
      <c r="BN20" s="32"/>
      <c r="BO20" s="176"/>
      <c r="BQ20" s="32"/>
      <c r="BR20" s="32"/>
      <c r="BS20" s="176"/>
      <c r="BU20" s="32"/>
      <c r="BV20" s="32"/>
      <c r="BW20" s="176"/>
      <c r="BY20" s="32"/>
      <c r="BZ20" s="32"/>
      <c r="CA20" s="176"/>
      <c r="CC20" s="32"/>
      <c r="CD20" s="32"/>
      <c r="CE20" s="176"/>
      <c r="CG20" s="32"/>
      <c r="CH20" s="32"/>
      <c r="CI20" s="176"/>
      <c r="CK20" s="32"/>
      <c r="CL20" s="32"/>
      <c r="CM20" s="176"/>
      <c r="CO20" s="32"/>
      <c r="CP20" s="32"/>
      <c r="CQ20" s="176"/>
      <c r="CR20" s="176"/>
      <c r="CS20" s="122"/>
      <c r="CT20" s="224"/>
      <c r="CU20" s="227"/>
      <c r="CV20" s="219"/>
      <c r="CW20" s="32"/>
      <c r="CX20" s="226"/>
      <c r="CY20" s="219"/>
      <c r="CZ20" s="32"/>
      <c r="DA20" s="219"/>
      <c r="DC20" s="32"/>
      <c r="DD20" s="176"/>
    </row>
    <row r="21" spans="1:108" x14ac:dyDescent="0.25">
      <c r="A21" s="243">
        <v>45732</v>
      </c>
      <c r="B21" s="32"/>
      <c r="C21" s="32"/>
      <c r="D21" s="32"/>
      <c r="E21" s="32"/>
      <c r="F21" s="32">
        <v>0</v>
      </c>
      <c r="G21" s="32">
        <f t="shared" si="1"/>
        <v>0</v>
      </c>
      <c r="H21" s="248">
        <f t="shared" si="2"/>
        <v>173.03225806451613</v>
      </c>
      <c r="I21" s="94"/>
      <c r="J21" s="33"/>
      <c r="K21" s="32">
        <v>1000</v>
      </c>
      <c r="L21" s="32">
        <f t="shared" si="3"/>
        <v>0</v>
      </c>
      <c r="M21" s="32">
        <v>1000</v>
      </c>
      <c r="N21" s="32">
        <f t="shared" si="4"/>
        <v>0</v>
      </c>
      <c r="O21" s="32">
        <v>0</v>
      </c>
      <c r="P21" s="32">
        <f t="shared" si="5"/>
        <v>0</v>
      </c>
      <c r="Q21" s="92"/>
      <c r="R21" s="33"/>
      <c r="S21" s="53"/>
      <c r="T21" s="215"/>
      <c r="U21" s="212"/>
      <c r="V21" s="215"/>
      <c r="W21" s="212"/>
      <c r="X21" s="212"/>
      <c r="Y21" s="33"/>
      <c r="Z21" s="116"/>
      <c r="AA21" s="117"/>
      <c r="AB21" s="113">
        <f t="shared" si="7"/>
        <v>36532.096774193546</v>
      </c>
      <c r="AC21" s="33"/>
      <c r="AD21" s="189"/>
      <c r="AE21" s="118"/>
      <c r="AF21" s="153">
        <v>0.81</v>
      </c>
      <c r="AG21" s="33"/>
      <c r="AH21" s="160"/>
      <c r="AI21" s="208"/>
      <c r="AJ21" s="154">
        <f t="shared" si="8"/>
        <v>414.90322580645159</v>
      </c>
      <c r="AK21" s="33"/>
      <c r="AL21" s="142">
        <v>0.97</v>
      </c>
      <c r="AN21" s="139"/>
      <c r="AO21" s="179"/>
      <c r="AP21" s="165"/>
      <c r="AQ21" s="169"/>
      <c r="AR21" s="167">
        <v>31</v>
      </c>
      <c r="AS21" s="179">
        <v>27.3</v>
      </c>
      <c r="AT21" s="165">
        <v>22</v>
      </c>
      <c r="AU21" s="169">
        <v>19</v>
      </c>
      <c r="AW21" s="138"/>
      <c r="AY21" s="53"/>
      <c r="BA21" s="32"/>
      <c r="BB21" s="32"/>
      <c r="BC21" s="176"/>
      <c r="BE21" s="32"/>
      <c r="BF21" s="32"/>
      <c r="BG21" s="176"/>
      <c r="BI21" s="32"/>
      <c r="BJ21" s="32"/>
      <c r="BK21" s="176"/>
      <c r="BM21" s="32"/>
      <c r="BN21" s="32"/>
      <c r="BO21" s="176"/>
      <c r="BQ21" s="32"/>
      <c r="BR21" s="32"/>
      <c r="BS21" s="176"/>
      <c r="BU21" s="32"/>
      <c r="BV21" s="32"/>
      <c r="BW21" s="176"/>
      <c r="BY21" s="32"/>
      <c r="BZ21" s="32"/>
      <c r="CA21" s="176"/>
      <c r="CC21" s="32"/>
      <c r="CD21" s="32"/>
      <c r="CE21" s="176"/>
      <c r="CG21" s="32"/>
      <c r="CH21" s="32"/>
      <c r="CI21" s="176"/>
      <c r="CK21" s="32"/>
      <c r="CL21" s="32"/>
      <c r="CM21" s="176"/>
      <c r="CO21" s="32"/>
      <c r="CP21" s="32"/>
      <c r="CQ21" s="176"/>
      <c r="CR21" s="176"/>
      <c r="CS21" s="122"/>
      <c r="CT21" s="219"/>
      <c r="CU21" s="226"/>
      <c r="CV21" s="219"/>
      <c r="CW21" s="32"/>
      <c r="CX21" s="226"/>
      <c r="CY21" s="219"/>
      <c r="CZ21" s="32"/>
      <c r="DA21" s="219"/>
      <c r="DC21" s="32"/>
      <c r="DD21" s="176"/>
    </row>
    <row r="22" spans="1:108" x14ac:dyDescent="0.25">
      <c r="A22" s="243">
        <v>45733</v>
      </c>
      <c r="B22" s="32"/>
      <c r="C22" s="32"/>
      <c r="D22" s="32"/>
      <c r="E22" s="32"/>
      <c r="F22" s="32">
        <v>0</v>
      </c>
      <c r="G22" s="32">
        <f t="shared" si="1"/>
        <v>0</v>
      </c>
      <c r="H22" s="248">
        <f t="shared" si="2"/>
        <v>173.03225806451613</v>
      </c>
      <c r="I22" s="94"/>
      <c r="J22" s="33"/>
      <c r="K22" s="32">
        <v>1000</v>
      </c>
      <c r="L22" s="32">
        <f t="shared" si="3"/>
        <v>0</v>
      </c>
      <c r="M22" s="32">
        <v>1000</v>
      </c>
      <c r="N22" s="32">
        <f t="shared" si="4"/>
        <v>0</v>
      </c>
      <c r="O22" s="32">
        <v>0</v>
      </c>
      <c r="P22" s="32">
        <f t="shared" si="5"/>
        <v>0</v>
      </c>
      <c r="Q22" s="92"/>
      <c r="R22" s="33"/>
      <c r="S22" s="53"/>
      <c r="T22" s="215"/>
      <c r="U22" s="212"/>
      <c r="V22" s="215"/>
      <c r="W22" s="212"/>
      <c r="X22" s="212"/>
      <c r="Y22" s="33"/>
      <c r="Z22" s="116"/>
      <c r="AA22" s="117"/>
      <c r="AB22" s="113">
        <f t="shared" si="7"/>
        <v>36532.096774193546</v>
      </c>
      <c r="AC22" s="33"/>
      <c r="AD22" s="189"/>
      <c r="AE22" s="118"/>
      <c r="AF22" s="153">
        <v>0.81</v>
      </c>
      <c r="AG22" s="33"/>
      <c r="AH22" s="160"/>
      <c r="AI22" s="208"/>
      <c r="AJ22" s="154">
        <f t="shared" si="8"/>
        <v>414.90322580645159</v>
      </c>
      <c r="AK22" s="33"/>
      <c r="AL22" s="142">
        <v>0.97</v>
      </c>
      <c r="AN22" s="139"/>
      <c r="AO22" s="179"/>
      <c r="AP22" s="165"/>
      <c r="AQ22" s="169"/>
      <c r="AR22" s="167">
        <v>34</v>
      </c>
      <c r="AS22" s="179">
        <v>28.5</v>
      </c>
      <c r="AT22" s="165">
        <v>23</v>
      </c>
      <c r="AU22" s="169">
        <v>34</v>
      </c>
      <c r="AW22" s="138"/>
      <c r="AY22" s="53"/>
      <c r="BA22" s="32"/>
      <c r="BB22" s="32"/>
      <c r="BC22" s="176"/>
      <c r="BE22" s="32"/>
      <c r="BF22" s="32"/>
      <c r="BG22" s="176"/>
      <c r="BI22" s="32"/>
      <c r="BJ22" s="32"/>
      <c r="BK22" s="176"/>
      <c r="BM22" s="32"/>
      <c r="BN22" s="32"/>
      <c r="BO22" s="176"/>
      <c r="BQ22" s="32"/>
      <c r="BR22" s="32"/>
      <c r="BS22" s="176"/>
      <c r="BU22" s="32"/>
      <c r="BV22" s="32"/>
      <c r="BW22" s="176"/>
      <c r="BY22" s="32"/>
      <c r="BZ22" s="32"/>
      <c r="CA22" s="176"/>
      <c r="CC22" s="32"/>
      <c r="CD22" s="32"/>
      <c r="CE22" s="176"/>
      <c r="CG22" s="32"/>
      <c r="CH22" s="32"/>
      <c r="CI22" s="176"/>
      <c r="CK22" s="32"/>
      <c r="CL22" s="32"/>
      <c r="CM22" s="176"/>
      <c r="CO22" s="32"/>
      <c r="CP22" s="32"/>
      <c r="CQ22" s="176"/>
      <c r="CR22" s="176"/>
      <c r="CS22" s="122"/>
      <c r="CT22" s="219"/>
      <c r="CU22" s="226"/>
      <c r="CV22" s="219"/>
      <c r="CW22" s="32"/>
      <c r="CX22" s="226"/>
      <c r="CY22" s="219"/>
      <c r="CZ22" s="32"/>
      <c r="DA22" s="219"/>
      <c r="DC22" s="32"/>
      <c r="DD22" s="176"/>
    </row>
    <row r="23" spans="1:108" x14ac:dyDescent="0.25">
      <c r="A23" s="243">
        <v>45734</v>
      </c>
      <c r="B23" s="32"/>
      <c r="C23" s="32"/>
      <c r="D23" s="32"/>
      <c r="E23" s="32"/>
      <c r="F23" s="32">
        <v>0</v>
      </c>
      <c r="G23" s="32">
        <f t="shared" si="1"/>
        <v>0</v>
      </c>
      <c r="H23" s="248">
        <f t="shared" si="2"/>
        <v>173.03225806451613</v>
      </c>
      <c r="I23" s="94"/>
      <c r="J23" s="33"/>
      <c r="K23" s="32">
        <v>1000</v>
      </c>
      <c r="L23" s="32">
        <f t="shared" si="3"/>
        <v>0</v>
      </c>
      <c r="M23" s="32">
        <v>1000</v>
      </c>
      <c r="N23" s="32">
        <f t="shared" si="4"/>
        <v>0</v>
      </c>
      <c r="O23" s="32">
        <v>0</v>
      </c>
      <c r="P23" s="32">
        <f t="shared" si="5"/>
        <v>0</v>
      </c>
      <c r="Q23" s="92"/>
      <c r="R23" s="33"/>
      <c r="S23" s="53"/>
      <c r="T23" s="215"/>
      <c r="U23" s="212"/>
      <c r="V23" s="215"/>
      <c r="W23" s="212"/>
      <c r="X23" s="212"/>
      <c r="Y23" s="33"/>
      <c r="Z23" s="116"/>
      <c r="AA23" s="117"/>
      <c r="AB23" s="113">
        <f t="shared" si="7"/>
        <v>36532.096774193546</v>
      </c>
      <c r="AC23" s="33"/>
      <c r="AD23" s="189"/>
      <c r="AE23" s="118"/>
      <c r="AF23" s="153">
        <v>0.81</v>
      </c>
      <c r="AG23" s="33"/>
      <c r="AH23" s="160"/>
      <c r="AI23" s="208"/>
      <c r="AJ23" s="154">
        <f t="shared" si="8"/>
        <v>414.90322580645159</v>
      </c>
      <c r="AK23" s="33"/>
      <c r="AL23" s="142">
        <v>0.97</v>
      </c>
      <c r="AN23" s="139"/>
      <c r="AO23" s="179"/>
      <c r="AP23" s="165"/>
      <c r="AQ23" s="169"/>
      <c r="AR23" s="167">
        <v>33</v>
      </c>
      <c r="AS23" s="179">
        <v>27</v>
      </c>
      <c r="AT23" s="165">
        <v>21</v>
      </c>
      <c r="AU23" s="169">
        <v>53</v>
      </c>
      <c r="AW23" s="138"/>
      <c r="AY23" s="53"/>
      <c r="BA23" s="32"/>
      <c r="BB23" s="32"/>
      <c r="BC23" s="176"/>
      <c r="BE23" s="32"/>
      <c r="BF23" s="32"/>
      <c r="BG23" s="176"/>
      <c r="BI23" s="32"/>
      <c r="BJ23" s="32"/>
      <c r="BK23" s="176"/>
      <c r="BM23" s="32"/>
      <c r="BN23" s="32"/>
      <c r="BO23" s="176"/>
      <c r="BQ23" s="32"/>
      <c r="BR23" s="32"/>
      <c r="BS23" s="176"/>
      <c r="BU23" s="32"/>
      <c r="BV23" s="32"/>
      <c r="BW23" s="176"/>
      <c r="BY23" s="32"/>
      <c r="BZ23" s="32"/>
      <c r="CA23" s="176"/>
      <c r="CC23" s="32"/>
      <c r="CD23" s="32"/>
      <c r="CE23" s="176"/>
      <c r="CG23" s="32"/>
      <c r="CH23" s="32"/>
      <c r="CI23" s="176"/>
      <c r="CK23" s="32"/>
      <c r="CL23" s="32"/>
      <c r="CM23" s="176"/>
      <c r="CO23" s="32"/>
      <c r="CP23" s="32"/>
      <c r="CQ23" s="176"/>
      <c r="CR23" s="176"/>
      <c r="CS23" s="122"/>
      <c r="CT23" s="219"/>
      <c r="CU23" s="226"/>
      <c r="CV23" s="219"/>
      <c r="CW23" s="32"/>
      <c r="CX23" s="226"/>
      <c r="CY23" s="219"/>
      <c r="CZ23" s="32"/>
      <c r="DA23" s="219"/>
      <c r="DC23" s="32"/>
      <c r="DD23" s="176"/>
    </row>
    <row r="24" spans="1:108" x14ac:dyDescent="0.25">
      <c r="A24" s="243">
        <v>45735</v>
      </c>
      <c r="B24" s="32"/>
      <c r="C24" s="32"/>
      <c r="D24" s="32"/>
      <c r="E24" s="32"/>
      <c r="F24" s="32">
        <v>0</v>
      </c>
      <c r="G24" s="32">
        <f t="shared" si="1"/>
        <v>0</v>
      </c>
      <c r="H24" s="248">
        <f t="shared" si="2"/>
        <v>173.03225806451613</v>
      </c>
      <c r="I24" s="94"/>
      <c r="J24" s="33"/>
      <c r="K24" s="32">
        <v>1000</v>
      </c>
      <c r="L24" s="32">
        <f t="shared" si="3"/>
        <v>0</v>
      </c>
      <c r="M24" s="32">
        <v>1000</v>
      </c>
      <c r="N24" s="32">
        <f t="shared" si="4"/>
        <v>0</v>
      </c>
      <c r="O24" s="32">
        <v>0</v>
      </c>
      <c r="P24" s="32">
        <f t="shared" si="5"/>
        <v>0</v>
      </c>
      <c r="Q24" s="92"/>
      <c r="R24" s="33"/>
      <c r="S24" s="53"/>
      <c r="T24" s="215"/>
      <c r="U24" s="212"/>
      <c r="V24" s="215"/>
      <c r="W24" s="212"/>
      <c r="X24" s="212"/>
      <c r="Y24" s="33"/>
      <c r="Z24" s="116"/>
      <c r="AA24" s="117"/>
      <c r="AB24" s="113">
        <f t="shared" si="7"/>
        <v>36532.096774193546</v>
      </c>
      <c r="AC24" s="33"/>
      <c r="AD24" s="189"/>
      <c r="AE24" s="118"/>
      <c r="AF24" s="153">
        <v>0.81</v>
      </c>
      <c r="AG24" s="33"/>
      <c r="AH24" s="160"/>
      <c r="AI24" s="208"/>
      <c r="AJ24" s="154">
        <f t="shared" si="8"/>
        <v>414.90322580645159</v>
      </c>
      <c r="AK24" s="33"/>
      <c r="AL24" s="142">
        <v>0.97</v>
      </c>
      <c r="AN24" s="139"/>
      <c r="AO24" s="179"/>
      <c r="AP24" s="165"/>
      <c r="AQ24" s="169"/>
      <c r="AR24" s="167">
        <v>26</v>
      </c>
      <c r="AS24" s="179">
        <v>21</v>
      </c>
      <c r="AT24" s="165">
        <v>17</v>
      </c>
      <c r="AU24" s="169">
        <v>88</v>
      </c>
      <c r="AW24" s="138"/>
      <c r="AY24" s="53"/>
      <c r="BA24" s="32"/>
      <c r="BB24" s="32"/>
      <c r="BC24" s="176"/>
      <c r="BE24" s="32"/>
      <c r="BF24" s="32"/>
      <c r="BG24" s="176"/>
      <c r="BI24" s="32"/>
      <c r="BJ24" s="32"/>
      <c r="BK24" s="176"/>
      <c r="BM24" s="32"/>
      <c r="BN24" s="32"/>
      <c r="BO24" s="176"/>
      <c r="BQ24" s="32"/>
      <c r="BR24" s="32"/>
      <c r="BS24" s="176"/>
      <c r="BU24" s="32"/>
      <c r="BV24" s="32"/>
      <c r="BW24" s="176"/>
      <c r="BY24" s="32"/>
      <c r="BZ24" s="32"/>
      <c r="CA24" s="176"/>
      <c r="CC24" s="32"/>
      <c r="CD24" s="32"/>
      <c r="CE24" s="176"/>
      <c r="CG24" s="32"/>
      <c r="CH24" s="32"/>
      <c r="CI24" s="176"/>
      <c r="CK24" s="32"/>
      <c r="CL24" s="32"/>
      <c r="CM24" s="176"/>
      <c r="CO24" s="32"/>
      <c r="CP24" s="32"/>
      <c r="CQ24" s="176"/>
      <c r="CR24" s="176"/>
      <c r="CS24" s="122"/>
      <c r="CT24" s="219"/>
      <c r="CU24" s="226"/>
      <c r="CV24" s="219"/>
      <c r="CW24" s="32"/>
      <c r="CX24" s="226"/>
      <c r="CY24" s="219"/>
      <c r="CZ24" s="32"/>
      <c r="DA24" s="219"/>
      <c r="DC24" s="32"/>
      <c r="DD24" s="176"/>
    </row>
    <row r="25" spans="1:108" x14ac:dyDescent="0.25">
      <c r="A25" s="243">
        <v>45736</v>
      </c>
      <c r="B25" s="32"/>
      <c r="C25" s="32"/>
      <c r="D25" s="32"/>
      <c r="E25" s="32"/>
      <c r="F25" s="32">
        <v>0</v>
      </c>
      <c r="G25" s="32">
        <f t="shared" si="1"/>
        <v>0</v>
      </c>
      <c r="H25" s="248">
        <f t="shared" si="2"/>
        <v>173.03225806451613</v>
      </c>
      <c r="I25" s="94"/>
      <c r="J25" s="33"/>
      <c r="K25" s="32">
        <v>1000</v>
      </c>
      <c r="L25" s="32">
        <f t="shared" si="3"/>
        <v>0</v>
      </c>
      <c r="M25" s="32">
        <v>1000</v>
      </c>
      <c r="N25" s="32">
        <f t="shared" si="4"/>
        <v>0</v>
      </c>
      <c r="O25" s="32">
        <v>0</v>
      </c>
      <c r="P25" s="32">
        <f t="shared" si="5"/>
        <v>0</v>
      </c>
      <c r="Q25" s="92"/>
      <c r="R25" s="33"/>
      <c r="S25" s="53"/>
      <c r="T25" s="215"/>
      <c r="U25" s="212"/>
      <c r="V25" s="215"/>
      <c r="W25" s="212"/>
      <c r="X25" s="212"/>
      <c r="Y25" s="33"/>
      <c r="Z25" s="116"/>
      <c r="AA25" s="117"/>
      <c r="AB25" s="113">
        <f t="shared" si="7"/>
        <v>36532.096774193546</v>
      </c>
      <c r="AC25" s="33"/>
      <c r="AD25" s="189"/>
      <c r="AE25" s="118"/>
      <c r="AF25" s="153">
        <v>0.81</v>
      </c>
      <c r="AG25" s="33"/>
      <c r="AH25" s="160"/>
      <c r="AI25" s="208"/>
      <c r="AJ25" s="154">
        <f t="shared" si="8"/>
        <v>414.90322580645159</v>
      </c>
      <c r="AK25" s="33"/>
      <c r="AL25" s="142">
        <v>0.97</v>
      </c>
      <c r="AN25" s="139"/>
      <c r="AO25" s="179"/>
      <c r="AP25" s="165"/>
      <c r="AQ25" s="169"/>
      <c r="AR25" s="167">
        <v>29</v>
      </c>
      <c r="AS25" s="179">
        <v>21.8</v>
      </c>
      <c r="AT25" s="165">
        <v>14</v>
      </c>
      <c r="AU25" s="169">
        <v>59</v>
      </c>
      <c r="AW25" s="138"/>
      <c r="AY25" s="53"/>
      <c r="BA25" s="32"/>
      <c r="BB25" s="32"/>
      <c r="BC25" s="176"/>
      <c r="BE25" s="32"/>
      <c r="BF25" s="32"/>
      <c r="BG25" s="176"/>
      <c r="BI25" s="32"/>
      <c r="BJ25" s="32"/>
      <c r="BK25" s="176"/>
      <c r="BM25" s="32"/>
      <c r="BN25" s="32"/>
      <c r="BO25" s="176"/>
      <c r="BQ25" s="32"/>
      <c r="BR25" s="32"/>
      <c r="BS25" s="176"/>
      <c r="BU25" s="32"/>
      <c r="BV25" s="32"/>
      <c r="BW25" s="176"/>
      <c r="BY25" s="32"/>
      <c r="BZ25" s="32"/>
      <c r="CA25" s="176"/>
      <c r="CC25" s="32"/>
      <c r="CD25" s="32"/>
      <c r="CE25" s="176"/>
      <c r="CG25" s="32"/>
      <c r="CH25" s="32"/>
      <c r="CI25" s="176"/>
      <c r="CK25" s="32"/>
      <c r="CL25" s="32"/>
      <c r="CM25" s="176"/>
      <c r="CO25" s="32"/>
      <c r="CP25" s="32"/>
      <c r="CQ25" s="176"/>
      <c r="CR25" s="176"/>
      <c r="CS25" s="122"/>
      <c r="CT25" s="219"/>
      <c r="CU25" s="226"/>
      <c r="CV25" s="219"/>
      <c r="CW25" s="32"/>
      <c r="CX25" s="226"/>
      <c r="CY25" s="219"/>
      <c r="CZ25" s="32"/>
      <c r="DA25" s="219"/>
      <c r="DC25" s="32"/>
      <c r="DD25" s="176"/>
    </row>
    <row r="26" spans="1:108" x14ac:dyDescent="0.25">
      <c r="A26" s="243">
        <v>45737</v>
      </c>
      <c r="B26" s="32"/>
      <c r="C26" s="32"/>
      <c r="D26" s="32"/>
      <c r="E26" s="32"/>
      <c r="F26" s="32">
        <v>0</v>
      </c>
      <c r="G26" s="32">
        <f t="shared" si="1"/>
        <v>0</v>
      </c>
      <c r="H26" s="248">
        <f t="shared" si="2"/>
        <v>173.03225806451613</v>
      </c>
      <c r="I26" s="94"/>
      <c r="J26" s="33"/>
      <c r="K26" s="32">
        <v>1000</v>
      </c>
      <c r="L26" s="32">
        <f t="shared" si="3"/>
        <v>0</v>
      </c>
      <c r="M26" s="32">
        <v>1000</v>
      </c>
      <c r="N26" s="32">
        <f t="shared" si="4"/>
        <v>0</v>
      </c>
      <c r="O26" s="32">
        <v>0</v>
      </c>
      <c r="P26" s="32">
        <f t="shared" si="5"/>
        <v>0</v>
      </c>
      <c r="Q26" s="92"/>
      <c r="R26" s="33"/>
      <c r="S26" s="53"/>
      <c r="T26" s="215"/>
      <c r="U26" s="212"/>
      <c r="V26" s="215"/>
      <c r="W26" s="212"/>
      <c r="X26" s="212"/>
      <c r="Y26" s="33"/>
      <c r="Z26" s="116"/>
      <c r="AA26" s="117"/>
      <c r="AB26" s="113">
        <f t="shared" si="7"/>
        <v>36532.096774193546</v>
      </c>
      <c r="AC26" s="33"/>
      <c r="AD26" s="189"/>
      <c r="AE26" s="118"/>
      <c r="AF26" s="153">
        <v>0.81</v>
      </c>
      <c r="AG26" s="33"/>
      <c r="AH26" s="160"/>
      <c r="AI26" s="208"/>
      <c r="AJ26" s="154">
        <f t="shared" si="8"/>
        <v>414.90322580645159</v>
      </c>
      <c r="AK26" s="33"/>
      <c r="AL26" s="142">
        <v>0.97</v>
      </c>
      <c r="AN26" s="139"/>
      <c r="AO26" s="179"/>
      <c r="AP26" s="165"/>
      <c r="AQ26" s="169"/>
      <c r="AR26" s="167">
        <v>31</v>
      </c>
      <c r="AS26" s="179">
        <v>25.5</v>
      </c>
      <c r="AT26" s="165">
        <v>19</v>
      </c>
      <c r="AU26" s="169">
        <v>46</v>
      </c>
      <c r="AW26" s="138"/>
      <c r="AY26" s="53"/>
      <c r="BA26" s="32"/>
      <c r="BB26" s="32"/>
      <c r="BC26" s="176"/>
      <c r="BE26" s="32"/>
      <c r="BF26" s="32"/>
      <c r="BG26" s="176"/>
      <c r="BI26" s="32"/>
      <c r="BJ26" s="32"/>
      <c r="BK26" s="176"/>
      <c r="BM26" s="32"/>
      <c r="BN26" s="32"/>
      <c r="BO26" s="176"/>
      <c r="BQ26" s="32"/>
      <c r="BR26" s="32"/>
      <c r="BS26" s="176"/>
      <c r="BU26" s="32"/>
      <c r="BV26" s="32"/>
      <c r="BW26" s="176"/>
      <c r="BY26" s="32"/>
      <c r="BZ26" s="32"/>
      <c r="CA26" s="176"/>
      <c r="CC26" s="32"/>
      <c r="CD26" s="32"/>
      <c r="CE26" s="176"/>
      <c r="CG26" s="32"/>
      <c r="CH26" s="32"/>
      <c r="CI26" s="176"/>
      <c r="CK26" s="32"/>
      <c r="CL26" s="32"/>
      <c r="CM26" s="176"/>
      <c r="CO26" s="32"/>
      <c r="CP26" s="32"/>
      <c r="CQ26" s="176"/>
      <c r="CR26" s="176"/>
      <c r="CS26" s="122"/>
      <c r="CT26" s="219"/>
      <c r="CU26" s="226"/>
      <c r="CV26" s="219"/>
      <c r="CW26" s="32"/>
      <c r="CX26" s="226"/>
      <c r="CY26" s="219"/>
      <c r="CZ26" s="32"/>
      <c r="DA26" s="219"/>
      <c r="DC26" s="32"/>
      <c r="DD26" s="176"/>
    </row>
    <row r="27" spans="1:108" x14ac:dyDescent="0.25">
      <c r="A27" s="243">
        <v>45738</v>
      </c>
      <c r="B27" s="32"/>
      <c r="C27" s="32"/>
      <c r="D27" s="32"/>
      <c r="E27" s="32"/>
      <c r="F27" s="32">
        <v>0</v>
      </c>
      <c r="G27" s="32">
        <f t="shared" si="1"/>
        <v>0</v>
      </c>
      <c r="H27" s="248">
        <f t="shared" si="2"/>
        <v>173.03225806451613</v>
      </c>
      <c r="I27" s="94"/>
      <c r="J27" s="33"/>
      <c r="K27" s="32">
        <v>1000</v>
      </c>
      <c r="L27" s="32">
        <f t="shared" si="3"/>
        <v>0</v>
      </c>
      <c r="M27" s="32">
        <v>1000</v>
      </c>
      <c r="N27" s="32">
        <f t="shared" si="4"/>
        <v>0</v>
      </c>
      <c r="O27" s="32">
        <v>0</v>
      </c>
      <c r="P27" s="32">
        <f t="shared" si="5"/>
        <v>0</v>
      </c>
      <c r="Q27" s="92"/>
      <c r="R27" s="33"/>
      <c r="S27" s="53"/>
      <c r="T27" s="215"/>
      <c r="U27" s="212"/>
      <c r="V27" s="215"/>
      <c r="W27" s="212"/>
      <c r="X27" s="212"/>
      <c r="Y27" s="33"/>
      <c r="Z27" s="116"/>
      <c r="AA27" s="117"/>
      <c r="AB27" s="113">
        <f t="shared" si="7"/>
        <v>36532.096774193546</v>
      </c>
      <c r="AC27" s="33"/>
      <c r="AD27" s="189"/>
      <c r="AE27" s="118"/>
      <c r="AF27" s="153">
        <v>0.81</v>
      </c>
      <c r="AG27" s="33"/>
      <c r="AH27" s="160"/>
      <c r="AI27" s="208"/>
      <c r="AJ27" s="154">
        <f t="shared" si="8"/>
        <v>414.90322580645159</v>
      </c>
      <c r="AK27" s="33"/>
      <c r="AL27" s="142">
        <v>0.97</v>
      </c>
      <c r="AN27" s="139"/>
      <c r="AO27" s="179"/>
      <c r="AP27" s="165"/>
      <c r="AQ27" s="169"/>
      <c r="AR27" s="167">
        <v>31</v>
      </c>
      <c r="AS27" s="179">
        <v>27</v>
      </c>
      <c r="AT27" s="165">
        <v>22</v>
      </c>
      <c r="AU27" s="169">
        <v>26</v>
      </c>
      <c r="AW27" s="138"/>
      <c r="AY27" s="53"/>
      <c r="BA27" s="32"/>
      <c r="BB27" s="32"/>
      <c r="BC27" s="176"/>
      <c r="BE27" s="32"/>
      <c r="BF27" s="32"/>
      <c r="BG27" s="176"/>
      <c r="BI27" s="32"/>
      <c r="BJ27" s="32"/>
      <c r="BK27" s="176"/>
      <c r="BM27" s="32"/>
      <c r="BN27" s="32"/>
      <c r="BO27" s="176"/>
      <c r="BQ27" s="32"/>
      <c r="BR27" s="32"/>
      <c r="BS27" s="176"/>
      <c r="BU27" s="32"/>
      <c r="BV27" s="32"/>
      <c r="BW27" s="176"/>
      <c r="BY27" s="32"/>
      <c r="BZ27" s="32"/>
      <c r="CA27" s="176"/>
      <c r="CC27" s="32"/>
      <c r="CD27" s="32"/>
      <c r="CE27" s="176"/>
      <c r="CG27" s="32"/>
      <c r="CH27" s="32"/>
      <c r="CI27" s="176"/>
      <c r="CK27" s="32"/>
      <c r="CL27" s="32"/>
      <c r="CM27" s="176"/>
      <c r="CO27" s="32"/>
      <c r="CP27" s="32"/>
      <c r="CQ27" s="176"/>
      <c r="CR27" s="176"/>
      <c r="CS27" s="122"/>
      <c r="CT27" s="219"/>
      <c r="CU27" s="226"/>
      <c r="CV27" s="219"/>
      <c r="CW27" s="32"/>
      <c r="CX27" s="226"/>
      <c r="CY27" s="219"/>
      <c r="CZ27" s="32"/>
      <c r="DA27" s="219"/>
      <c r="DC27" s="32"/>
      <c r="DD27" s="176"/>
    </row>
    <row r="28" spans="1:108" x14ac:dyDescent="0.25">
      <c r="A28" s="243">
        <v>45739</v>
      </c>
      <c r="B28" s="32"/>
      <c r="C28" s="32"/>
      <c r="D28" s="32"/>
      <c r="E28" s="32"/>
      <c r="F28" s="32">
        <v>0</v>
      </c>
      <c r="G28" s="32">
        <f t="shared" si="1"/>
        <v>0</v>
      </c>
      <c r="H28" s="248">
        <f t="shared" si="2"/>
        <v>173.03225806451613</v>
      </c>
      <c r="I28" s="94"/>
      <c r="J28" s="33"/>
      <c r="K28" s="32">
        <v>1000</v>
      </c>
      <c r="L28" s="32">
        <f t="shared" si="3"/>
        <v>0</v>
      </c>
      <c r="M28" s="32">
        <v>1000</v>
      </c>
      <c r="N28" s="32">
        <f t="shared" si="4"/>
        <v>0</v>
      </c>
      <c r="O28" s="32">
        <v>0</v>
      </c>
      <c r="P28" s="32">
        <f t="shared" si="5"/>
        <v>0</v>
      </c>
      <c r="Q28" s="92"/>
      <c r="R28" s="33"/>
      <c r="S28" s="53"/>
      <c r="T28" s="215"/>
      <c r="U28" s="212"/>
      <c r="V28" s="215"/>
      <c r="W28" s="212"/>
      <c r="X28" s="212"/>
      <c r="Y28" s="33"/>
      <c r="Z28" s="116"/>
      <c r="AA28" s="117"/>
      <c r="AB28" s="113">
        <f t="shared" si="7"/>
        <v>36532.096774193546</v>
      </c>
      <c r="AC28" s="33"/>
      <c r="AD28" s="189"/>
      <c r="AE28" s="118"/>
      <c r="AF28" s="153">
        <v>0.81</v>
      </c>
      <c r="AG28" s="33"/>
      <c r="AH28" s="160"/>
      <c r="AI28" s="208"/>
      <c r="AJ28" s="154">
        <f t="shared" si="8"/>
        <v>414.90322580645159</v>
      </c>
      <c r="AK28" s="33"/>
      <c r="AL28" s="142">
        <v>0.97</v>
      </c>
      <c r="AN28" s="139"/>
      <c r="AO28" s="179"/>
      <c r="AP28" s="165"/>
      <c r="AQ28" s="169"/>
      <c r="AR28" s="167">
        <v>31</v>
      </c>
      <c r="AS28" s="179">
        <v>25</v>
      </c>
      <c r="AT28" s="165">
        <v>19</v>
      </c>
      <c r="AU28" s="169">
        <v>23</v>
      </c>
      <c r="AW28" s="138"/>
      <c r="AY28" s="53"/>
      <c r="BA28" s="32"/>
      <c r="BB28" s="32"/>
      <c r="BC28" s="176"/>
      <c r="BE28" s="32"/>
      <c r="BF28" s="32"/>
      <c r="BG28" s="176"/>
      <c r="BI28" s="32"/>
      <c r="BJ28" s="32"/>
      <c r="BK28" s="176"/>
      <c r="BM28" s="32"/>
      <c r="BN28" s="32"/>
      <c r="BO28" s="176"/>
      <c r="BQ28" s="32"/>
      <c r="BR28" s="32"/>
      <c r="BS28" s="176"/>
      <c r="BU28" s="32"/>
      <c r="BV28" s="32"/>
      <c r="BW28" s="176"/>
      <c r="BY28" s="32"/>
      <c r="BZ28" s="32"/>
      <c r="CA28" s="176"/>
      <c r="CC28" s="32"/>
      <c r="CD28" s="32"/>
      <c r="CE28" s="176"/>
      <c r="CG28" s="32"/>
      <c r="CH28" s="32"/>
      <c r="CI28" s="176"/>
      <c r="CK28" s="32"/>
      <c r="CL28" s="32"/>
      <c r="CM28" s="176"/>
      <c r="CO28" s="32"/>
      <c r="CP28" s="32"/>
      <c r="CQ28" s="176"/>
      <c r="CR28" s="176"/>
      <c r="CS28" s="122"/>
      <c r="CT28" s="219"/>
      <c r="CU28" s="226"/>
      <c r="CV28" s="219"/>
      <c r="CW28" s="32"/>
      <c r="CX28" s="226"/>
      <c r="CY28" s="219"/>
      <c r="CZ28" s="32"/>
      <c r="DA28" s="219"/>
      <c r="DC28" s="32"/>
      <c r="DD28" s="176"/>
    </row>
    <row r="29" spans="1:108" x14ac:dyDescent="0.25">
      <c r="A29" s="243">
        <v>45740</v>
      </c>
      <c r="B29" s="32"/>
      <c r="C29" s="32"/>
      <c r="D29" s="32"/>
      <c r="E29" s="32"/>
      <c r="F29" s="32">
        <v>0</v>
      </c>
      <c r="G29" s="32">
        <f t="shared" si="1"/>
        <v>0</v>
      </c>
      <c r="H29" s="248">
        <f t="shared" si="2"/>
        <v>173.03225806451613</v>
      </c>
      <c r="I29" s="94"/>
      <c r="J29" s="33"/>
      <c r="K29" s="32">
        <v>1000</v>
      </c>
      <c r="L29" s="32">
        <f t="shared" si="3"/>
        <v>0</v>
      </c>
      <c r="M29" s="32">
        <v>1000</v>
      </c>
      <c r="N29" s="32">
        <f t="shared" si="4"/>
        <v>0</v>
      </c>
      <c r="O29" s="32">
        <v>0</v>
      </c>
      <c r="P29" s="32">
        <f t="shared" si="5"/>
        <v>0</v>
      </c>
      <c r="Q29" s="92"/>
      <c r="R29" s="33"/>
      <c r="S29" s="53"/>
      <c r="T29" s="215"/>
      <c r="U29" s="212"/>
      <c r="V29" s="215"/>
      <c r="W29" s="212"/>
      <c r="X29" s="212"/>
      <c r="Y29" s="33"/>
      <c r="Z29" s="116"/>
      <c r="AA29" s="117"/>
      <c r="AB29" s="113">
        <f t="shared" si="7"/>
        <v>36532.096774193546</v>
      </c>
      <c r="AC29" s="33"/>
      <c r="AD29" s="189"/>
      <c r="AE29" s="118"/>
      <c r="AF29" s="153">
        <v>0.81</v>
      </c>
      <c r="AG29" s="33"/>
      <c r="AH29" s="160"/>
      <c r="AI29" s="208"/>
      <c r="AJ29" s="154">
        <f t="shared" si="8"/>
        <v>414.90322580645159</v>
      </c>
      <c r="AK29" s="33"/>
      <c r="AL29" s="142">
        <v>0.97</v>
      </c>
      <c r="AN29" s="139"/>
      <c r="AO29" s="179"/>
      <c r="AP29" s="165"/>
      <c r="AQ29" s="169"/>
      <c r="AR29" s="167">
        <v>29</v>
      </c>
      <c r="AS29" s="179">
        <v>23.6</v>
      </c>
      <c r="AT29" s="165">
        <v>19</v>
      </c>
      <c r="AU29" s="169">
        <v>22</v>
      </c>
      <c r="AW29" s="138"/>
      <c r="AY29" s="53"/>
      <c r="BA29" s="32"/>
      <c r="BB29" s="32"/>
      <c r="BC29" s="176"/>
      <c r="BE29" s="32"/>
      <c r="BF29" s="32"/>
      <c r="BG29" s="176"/>
      <c r="BI29" s="32"/>
      <c r="BJ29" s="32"/>
      <c r="BK29" s="176"/>
      <c r="BM29" s="32"/>
      <c r="BN29" s="32"/>
      <c r="BO29" s="176"/>
      <c r="BQ29" s="32"/>
      <c r="BR29" s="32"/>
      <c r="BS29" s="176"/>
      <c r="BU29" s="32"/>
      <c r="BV29" s="32"/>
      <c r="BW29" s="176"/>
      <c r="BY29" s="32"/>
      <c r="BZ29" s="32"/>
      <c r="CA29" s="176"/>
      <c r="CC29" s="32"/>
      <c r="CD29" s="32"/>
      <c r="CE29" s="176"/>
      <c r="CG29" s="32"/>
      <c r="CH29" s="32"/>
      <c r="CI29" s="176"/>
      <c r="CK29" s="32"/>
      <c r="CL29" s="32"/>
      <c r="CM29" s="176"/>
      <c r="CO29" s="32"/>
      <c r="CP29" s="32"/>
      <c r="CQ29" s="176"/>
      <c r="CR29" s="176"/>
      <c r="CS29" s="122"/>
      <c r="CT29" s="219"/>
      <c r="CU29" s="226"/>
      <c r="CV29" s="219"/>
      <c r="CW29" s="32"/>
      <c r="CX29" s="226"/>
      <c r="CY29" s="219"/>
      <c r="CZ29" s="32"/>
      <c r="DA29" s="219"/>
      <c r="DC29" s="32"/>
      <c r="DD29" s="176"/>
    </row>
    <row r="30" spans="1:108" x14ac:dyDescent="0.25">
      <c r="A30" s="243">
        <v>45741</v>
      </c>
      <c r="B30" s="32"/>
      <c r="C30" s="32"/>
      <c r="D30" s="32"/>
      <c r="E30" s="32"/>
      <c r="F30" s="32">
        <v>0</v>
      </c>
      <c r="G30" s="32">
        <f t="shared" si="1"/>
        <v>0</v>
      </c>
      <c r="H30" s="248">
        <f t="shared" si="2"/>
        <v>173.03225806451613</v>
      </c>
      <c r="I30" s="94"/>
      <c r="J30" s="33"/>
      <c r="K30" s="32">
        <v>1000</v>
      </c>
      <c r="L30" s="32">
        <f t="shared" si="3"/>
        <v>0</v>
      </c>
      <c r="M30" s="32">
        <v>1000</v>
      </c>
      <c r="N30" s="32">
        <f t="shared" si="4"/>
        <v>0</v>
      </c>
      <c r="O30" s="32">
        <v>0</v>
      </c>
      <c r="P30" s="32">
        <f t="shared" si="5"/>
        <v>0</v>
      </c>
      <c r="Q30" s="92"/>
      <c r="R30" s="33"/>
      <c r="S30" s="53"/>
      <c r="T30" s="215"/>
      <c r="U30" s="212"/>
      <c r="V30" s="215"/>
      <c r="W30" s="212"/>
      <c r="X30" s="212"/>
      <c r="Y30" s="33"/>
      <c r="Z30" s="116"/>
      <c r="AA30" s="117"/>
      <c r="AB30" s="113">
        <f t="shared" si="7"/>
        <v>36532.096774193546</v>
      </c>
      <c r="AC30" s="33"/>
      <c r="AD30" s="189"/>
      <c r="AE30" s="118"/>
      <c r="AF30" s="153">
        <v>0.81</v>
      </c>
      <c r="AG30" s="33"/>
      <c r="AH30" s="160"/>
      <c r="AI30" s="208"/>
      <c r="AJ30" s="154">
        <f t="shared" si="8"/>
        <v>414.90322580645159</v>
      </c>
      <c r="AK30" s="33"/>
      <c r="AL30" s="142">
        <v>0.97</v>
      </c>
      <c r="AN30" s="139"/>
      <c r="AO30" s="179"/>
      <c r="AP30" s="165"/>
      <c r="AQ30" s="169"/>
      <c r="AR30" s="167">
        <v>25</v>
      </c>
      <c r="AS30" s="179">
        <v>21</v>
      </c>
      <c r="AT30" s="165">
        <v>17</v>
      </c>
      <c r="AU30" s="169">
        <v>28</v>
      </c>
      <c r="AW30" s="138"/>
      <c r="AY30" s="53"/>
      <c r="BA30" s="32"/>
      <c r="BB30" s="32"/>
      <c r="BC30" s="176"/>
      <c r="BE30" s="32"/>
      <c r="BF30" s="32"/>
      <c r="BG30" s="176"/>
      <c r="BI30" s="32"/>
      <c r="BJ30" s="32"/>
      <c r="BK30" s="176"/>
      <c r="BM30" s="32"/>
      <c r="BN30" s="32"/>
      <c r="BO30" s="176"/>
      <c r="BQ30" s="32"/>
      <c r="BR30" s="32"/>
      <c r="BS30" s="176"/>
      <c r="BU30" s="32"/>
      <c r="BV30" s="32"/>
      <c r="BW30" s="176"/>
      <c r="BY30" s="32"/>
      <c r="BZ30" s="32"/>
      <c r="CA30" s="176"/>
      <c r="CC30" s="32"/>
      <c r="CD30" s="32"/>
      <c r="CE30" s="176"/>
      <c r="CG30" s="32"/>
      <c r="CH30" s="32"/>
      <c r="CI30" s="176"/>
      <c r="CK30" s="32"/>
      <c r="CL30" s="32"/>
      <c r="CM30" s="176"/>
      <c r="CO30" s="32"/>
      <c r="CP30" s="32"/>
      <c r="CQ30" s="176"/>
      <c r="CR30" s="176"/>
      <c r="CS30" s="122"/>
      <c r="CT30" s="219"/>
      <c r="CU30" s="226"/>
      <c r="CV30" s="219"/>
      <c r="CW30" s="32"/>
      <c r="CX30" s="226"/>
      <c r="CY30" s="219"/>
      <c r="CZ30" s="32"/>
      <c r="DA30" s="219"/>
      <c r="DC30" s="32"/>
      <c r="DD30" s="176"/>
    </row>
    <row r="31" spans="1:108" x14ac:dyDescent="0.25">
      <c r="A31" s="243">
        <v>45742</v>
      </c>
      <c r="B31" s="32"/>
      <c r="C31" s="32"/>
      <c r="D31" s="32"/>
      <c r="E31" s="32"/>
      <c r="F31" s="32">
        <v>0</v>
      </c>
      <c r="G31" s="32">
        <f t="shared" si="1"/>
        <v>0</v>
      </c>
      <c r="H31" s="248">
        <f t="shared" si="2"/>
        <v>173.03225806451613</v>
      </c>
      <c r="I31" s="94"/>
      <c r="J31" s="33"/>
      <c r="K31" s="32">
        <v>1000</v>
      </c>
      <c r="L31" s="32">
        <f t="shared" si="3"/>
        <v>0</v>
      </c>
      <c r="M31" s="32">
        <v>1000</v>
      </c>
      <c r="N31" s="32">
        <f t="shared" si="4"/>
        <v>0</v>
      </c>
      <c r="O31" s="32">
        <v>0</v>
      </c>
      <c r="P31" s="32">
        <f t="shared" si="5"/>
        <v>0</v>
      </c>
      <c r="Q31" s="92"/>
      <c r="R31" s="33"/>
      <c r="S31" s="53"/>
      <c r="T31" s="215"/>
      <c r="U31" s="212"/>
      <c r="V31" s="215"/>
      <c r="W31" s="212"/>
      <c r="X31" s="212"/>
      <c r="Y31" s="33"/>
      <c r="Z31" s="116"/>
      <c r="AA31" s="117"/>
      <c r="AB31" s="113">
        <f t="shared" si="7"/>
        <v>36532.096774193546</v>
      </c>
      <c r="AC31" s="33"/>
      <c r="AD31" s="189"/>
      <c r="AE31" s="118"/>
      <c r="AF31" s="153">
        <v>0.81</v>
      </c>
      <c r="AG31" s="33"/>
      <c r="AH31" s="160"/>
      <c r="AI31" s="208"/>
      <c r="AJ31" s="154">
        <f t="shared" si="8"/>
        <v>414.90322580645159</v>
      </c>
      <c r="AK31" s="33"/>
      <c r="AL31" s="142">
        <v>0.97</v>
      </c>
      <c r="AN31" s="139"/>
      <c r="AO31" s="179"/>
      <c r="AP31" s="165"/>
      <c r="AQ31" s="169"/>
      <c r="AR31" s="167">
        <v>29</v>
      </c>
      <c r="AS31" s="179">
        <v>23</v>
      </c>
      <c r="AT31" s="165">
        <v>17</v>
      </c>
      <c r="AU31" s="169">
        <v>32</v>
      </c>
      <c r="AW31" s="138"/>
      <c r="AY31" s="53"/>
      <c r="BA31" s="32"/>
      <c r="BB31" s="32"/>
      <c r="BC31" s="176"/>
      <c r="BE31" s="32"/>
      <c r="BF31" s="32"/>
      <c r="BG31" s="176"/>
      <c r="BI31" s="32"/>
      <c r="BJ31" s="32"/>
      <c r="BK31" s="176"/>
      <c r="BM31" s="32"/>
      <c r="BN31" s="32"/>
      <c r="BO31" s="176"/>
      <c r="BQ31" s="32"/>
      <c r="BR31" s="32"/>
      <c r="BS31" s="176"/>
      <c r="BU31" s="32"/>
      <c r="BV31" s="32"/>
      <c r="BW31" s="176"/>
      <c r="BY31" s="32"/>
      <c r="BZ31" s="32"/>
      <c r="CA31" s="176"/>
      <c r="CC31" s="32"/>
      <c r="CD31" s="32"/>
      <c r="CE31" s="176"/>
      <c r="CG31" s="32"/>
      <c r="CH31" s="32"/>
      <c r="CI31" s="176"/>
      <c r="CK31" s="32"/>
      <c r="CL31" s="32"/>
      <c r="CM31" s="176"/>
      <c r="CO31" s="32"/>
      <c r="CP31" s="32"/>
      <c r="CQ31" s="176"/>
      <c r="CR31" s="176"/>
      <c r="CS31" s="122"/>
      <c r="CT31" s="219"/>
      <c r="CU31" s="226"/>
      <c r="CV31" s="219"/>
      <c r="CW31" s="32"/>
      <c r="CX31" s="226"/>
      <c r="CY31" s="219"/>
      <c r="CZ31" s="32"/>
      <c r="DA31" s="219"/>
      <c r="DC31" s="32"/>
      <c r="DD31" s="176"/>
    </row>
    <row r="32" spans="1:108" x14ac:dyDescent="0.25">
      <c r="A32" s="243">
        <v>45743</v>
      </c>
      <c r="B32" s="32"/>
      <c r="C32" s="32"/>
      <c r="D32" s="32"/>
      <c r="E32" s="32"/>
      <c r="F32" s="32">
        <v>0</v>
      </c>
      <c r="G32" s="32">
        <f t="shared" si="1"/>
        <v>0</v>
      </c>
      <c r="H32" s="248">
        <f t="shared" si="2"/>
        <v>173.03225806451613</v>
      </c>
      <c r="I32" s="94"/>
      <c r="J32" s="33"/>
      <c r="K32" s="32">
        <v>1000</v>
      </c>
      <c r="L32" s="32">
        <f t="shared" si="3"/>
        <v>0</v>
      </c>
      <c r="M32" s="32">
        <v>1000</v>
      </c>
      <c r="N32" s="32">
        <f t="shared" si="4"/>
        <v>0</v>
      </c>
      <c r="O32" s="32">
        <v>0</v>
      </c>
      <c r="P32" s="32">
        <f t="shared" si="5"/>
        <v>0</v>
      </c>
      <c r="Q32" s="92"/>
      <c r="R32" s="33"/>
      <c r="S32" s="53"/>
      <c r="T32" s="215"/>
      <c r="U32" s="212"/>
      <c r="V32" s="215"/>
      <c r="W32" s="212"/>
      <c r="X32" s="212"/>
      <c r="Y32" s="33"/>
      <c r="Z32" s="116"/>
      <c r="AA32" s="117"/>
      <c r="AB32" s="113">
        <f t="shared" si="7"/>
        <v>36532.096774193546</v>
      </c>
      <c r="AC32" s="33"/>
      <c r="AD32" s="189"/>
      <c r="AE32" s="118"/>
      <c r="AF32" s="153">
        <v>0.81</v>
      </c>
      <c r="AG32" s="33"/>
      <c r="AH32" s="160"/>
      <c r="AI32" s="208"/>
      <c r="AJ32" s="154">
        <f t="shared" si="8"/>
        <v>414.90322580645159</v>
      </c>
      <c r="AK32" s="33"/>
      <c r="AL32" s="142">
        <v>0.97</v>
      </c>
      <c r="AN32" s="139"/>
      <c r="AO32" s="179"/>
      <c r="AP32" s="165"/>
      <c r="AQ32" s="169"/>
      <c r="AR32" s="167">
        <v>32</v>
      </c>
      <c r="AS32" s="179">
        <v>26.1</v>
      </c>
      <c r="AT32" s="165">
        <v>19</v>
      </c>
      <c r="AU32" s="169">
        <v>24</v>
      </c>
      <c r="AW32" s="138"/>
      <c r="AY32" s="53"/>
      <c r="BA32" s="32"/>
      <c r="BB32" s="32"/>
      <c r="BC32" s="176"/>
      <c r="BE32" s="32"/>
      <c r="BF32" s="32"/>
      <c r="BG32" s="176"/>
      <c r="BI32" s="32"/>
      <c r="BJ32" s="32"/>
      <c r="BK32" s="176"/>
      <c r="BM32" s="32"/>
      <c r="BN32" s="32"/>
      <c r="BO32" s="176"/>
      <c r="BQ32" s="32"/>
      <c r="BR32" s="32"/>
      <c r="BS32" s="176"/>
      <c r="BU32" s="32"/>
      <c r="BV32" s="32"/>
      <c r="BW32" s="176"/>
      <c r="BY32" s="32"/>
      <c r="BZ32" s="32"/>
      <c r="CA32" s="176"/>
      <c r="CC32" s="32"/>
      <c r="CD32" s="32"/>
      <c r="CE32" s="176"/>
      <c r="CG32" s="32"/>
      <c r="CH32" s="32"/>
      <c r="CI32" s="176"/>
      <c r="CK32" s="32"/>
      <c r="CL32" s="32"/>
      <c r="CM32" s="176"/>
      <c r="CO32" s="32"/>
      <c r="CP32" s="32"/>
      <c r="CQ32" s="176"/>
      <c r="CR32" s="176"/>
      <c r="CS32" s="122"/>
      <c r="CT32" s="219"/>
      <c r="CU32" s="226"/>
      <c r="CV32" s="219"/>
      <c r="CW32" s="32"/>
      <c r="CX32" s="226"/>
      <c r="CY32" s="219"/>
      <c r="CZ32" s="32"/>
      <c r="DA32" s="219"/>
      <c r="DC32" s="32"/>
      <c r="DD32" s="176"/>
    </row>
    <row r="33" spans="1:108" x14ac:dyDescent="0.25">
      <c r="A33" s="243">
        <v>45744</v>
      </c>
      <c r="B33" s="32"/>
      <c r="C33" s="32"/>
      <c r="D33" s="32"/>
      <c r="E33" s="32"/>
      <c r="F33" s="32">
        <v>0</v>
      </c>
      <c r="G33" s="32">
        <f t="shared" si="1"/>
        <v>0</v>
      </c>
      <c r="H33" s="248">
        <f t="shared" si="2"/>
        <v>173.03225806451613</v>
      </c>
      <c r="I33" s="94"/>
      <c r="J33" s="33"/>
      <c r="K33" s="32">
        <v>1000</v>
      </c>
      <c r="L33" s="32">
        <f t="shared" si="3"/>
        <v>0</v>
      </c>
      <c r="M33" s="32">
        <v>1000</v>
      </c>
      <c r="N33" s="32">
        <f t="shared" si="4"/>
        <v>0</v>
      </c>
      <c r="O33" s="32">
        <v>0</v>
      </c>
      <c r="P33" s="32">
        <f t="shared" si="5"/>
        <v>0</v>
      </c>
      <c r="Q33" s="92"/>
      <c r="R33" s="33"/>
      <c r="S33" s="53"/>
      <c r="T33" s="215"/>
      <c r="U33" s="212"/>
      <c r="V33" s="215"/>
      <c r="W33" s="212"/>
      <c r="X33" s="212"/>
      <c r="Y33" s="33"/>
      <c r="Z33" s="116"/>
      <c r="AA33" s="117"/>
      <c r="AB33" s="113">
        <f t="shared" si="7"/>
        <v>36532.096774193546</v>
      </c>
      <c r="AC33" s="33"/>
      <c r="AD33" s="189"/>
      <c r="AE33" s="118"/>
      <c r="AF33" s="153">
        <v>0.81</v>
      </c>
      <c r="AG33" s="33"/>
      <c r="AH33" s="160"/>
      <c r="AI33" s="208"/>
      <c r="AJ33" s="154">
        <f t="shared" si="8"/>
        <v>414.90322580645159</v>
      </c>
      <c r="AK33" s="33"/>
      <c r="AL33" s="142">
        <v>0.97</v>
      </c>
      <c r="AN33" s="139"/>
      <c r="AO33" s="179"/>
      <c r="AP33" s="165"/>
      <c r="AQ33" s="169"/>
      <c r="AR33" s="167">
        <v>33</v>
      </c>
      <c r="AS33" s="179">
        <v>28.1</v>
      </c>
      <c r="AT33" s="165">
        <v>23</v>
      </c>
      <c r="AU33" s="169">
        <v>34</v>
      </c>
      <c r="AW33" s="138"/>
      <c r="AY33" s="53"/>
      <c r="BA33" s="32"/>
      <c r="BB33" s="32"/>
      <c r="BC33" s="176"/>
      <c r="BE33" s="32"/>
      <c r="BF33" s="32"/>
      <c r="BG33" s="176"/>
      <c r="BI33" s="32"/>
      <c r="BJ33" s="32"/>
      <c r="BK33" s="176"/>
      <c r="BM33" s="32"/>
      <c r="BN33" s="32"/>
      <c r="BO33" s="176"/>
      <c r="BQ33" s="32"/>
      <c r="BR33" s="32"/>
      <c r="BS33" s="176"/>
      <c r="BU33" s="32"/>
      <c r="BV33" s="32"/>
      <c r="BW33" s="176"/>
      <c r="BY33" s="32"/>
      <c r="BZ33" s="32"/>
      <c r="CA33" s="176"/>
      <c r="CC33" s="32"/>
      <c r="CD33" s="32"/>
      <c r="CE33" s="176"/>
      <c r="CG33" s="32"/>
      <c r="CH33" s="32"/>
      <c r="CI33" s="176"/>
      <c r="CK33" s="32"/>
      <c r="CL33" s="32"/>
      <c r="CM33" s="176"/>
      <c r="CO33" s="32"/>
      <c r="CP33" s="32"/>
      <c r="CQ33" s="176"/>
      <c r="CR33" s="176"/>
      <c r="CS33" s="122"/>
      <c r="CT33" s="219"/>
      <c r="CU33" s="226"/>
      <c r="CV33" s="219"/>
      <c r="CW33" s="32"/>
      <c r="CX33" s="226"/>
      <c r="CY33" s="219"/>
      <c r="CZ33" s="32"/>
      <c r="DA33" s="219"/>
      <c r="DC33" s="32"/>
      <c r="DD33" s="176"/>
    </row>
    <row r="34" spans="1:108" x14ac:dyDescent="0.25">
      <c r="A34" s="243">
        <v>45745</v>
      </c>
      <c r="B34" s="32"/>
      <c r="C34" s="32"/>
      <c r="D34" s="32"/>
      <c r="E34" s="32"/>
      <c r="F34" s="32">
        <v>0</v>
      </c>
      <c r="G34" s="32">
        <f t="shared" si="1"/>
        <v>0</v>
      </c>
      <c r="H34" s="248">
        <f t="shared" si="2"/>
        <v>173.03225806451613</v>
      </c>
      <c r="I34" s="94"/>
      <c r="J34" s="33"/>
      <c r="K34" s="32">
        <v>1000</v>
      </c>
      <c r="L34" s="32"/>
      <c r="M34" s="32">
        <v>1000</v>
      </c>
      <c r="N34" s="32">
        <v>0</v>
      </c>
      <c r="O34" s="32">
        <v>0</v>
      </c>
      <c r="P34" s="32">
        <v>0</v>
      </c>
      <c r="Q34" s="92"/>
      <c r="R34" s="33"/>
      <c r="S34" s="53"/>
      <c r="T34" s="215"/>
      <c r="U34" s="212"/>
      <c r="V34" s="215"/>
      <c r="W34" s="212"/>
      <c r="X34" s="212"/>
      <c r="Y34" s="33"/>
      <c r="Z34" s="116"/>
      <c r="AA34" s="117"/>
      <c r="AB34" s="113">
        <f t="shared" si="7"/>
        <v>36532.096774193546</v>
      </c>
      <c r="AC34" s="33"/>
      <c r="AD34" s="189"/>
      <c r="AE34" s="118"/>
      <c r="AF34" s="153">
        <v>0.81</v>
      </c>
      <c r="AG34" s="33"/>
      <c r="AH34" s="160"/>
      <c r="AI34" s="208"/>
      <c r="AJ34" s="154">
        <f t="shared" si="8"/>
        <v>414.90322580645159</v>
      </c>
      <c r="AK34" s="33"/>
      <c r="AL34" s="142">
        <v>0.97</v>
      </c>
      <c r="AN34" s="139"/>
      <c r="AO34" s="179"/>
      <c r="AP34" s="165"/>
      <c r="AQ34" s="169"/>
      <c r="AR34" s="167">
        <v>26</v>
      </c>
      <c r="AS34" s="179">
        <v>20.3</v>
      </c>
      <c r="AT34" s="165">
        <v>17</v>
      </c>
      <c r="AU34" s="169">
        <v>100</v>
      </c>
      <c r="AW34" s="138"/>
      <c r="AY34" s="53"/>
      <c r="BA34" s="32"/>
      <c r="BB34" s="32"/>
      <c r="BC34" s="176"/>
      <c r="BE34" s="32"/>
      <c r="BF34" s="32"/>
      <c r="BG34" s="176"/>
      <c r="BI34" s="32"/>
      <c r="BJ34" s="32"/>
      <c r="BK34" s="176"/>
      <c r="BM34" s="32"/>
      <c r="BN34" s="32"/>
      <c r="BO34" s="176"/>
      <c r="BQ34" s="32"/>
      <c r="BR34" s="32"/>
      <c r="BS34" s="176"/>
      <c r="BU34" s="32"/>
      <c r="BV34" s="32"/>
      <c r="BW34" s="176"/>
      <c r="BY34" s="32"/>
      <c r="BZ34" s="32"/>
      <c r="CA34" s="176"/>
      <c r="CC34" s="32"/>
      <c r="CD34" s="32"/>
      <c r="CE34" s="176"/>
      <c r="CG34" s="32"/>
      <c r="CH34" s="32"/>
      <c r="CI34" s="176"/>
      <c r="CK34" s="32"/>
      <c r="CL34" s="32"/>
      <c r="CM34" s="176"/>
      <c r="CO34" s="32"/>
      <c r="CP34" s="32"/>
      <c r="CQ34" s="176"/>
      <c r="CR34" s="176"/>
      <c r="CS34" s="122"/>
      <c r="CT34" s="219"/>
      <c r="CU34" s="226"/>
      <c r="CV34" s="219"/>
      <c r="CW34" s="32"/>
      <c r="CX34" s="226"/>
      <c r="CY34" s="219"/>
      <c r="CZ34" s="32"/>
      <c r="DA34" s="219"/>
      <c r="DC34" s="32"/>
      <c r="DD34" s="176"/>
    </row>
    <row r="35" spans="1:108" x14ac:dyDescent="0.25">
      <c r="A35" s="243">
        <v>45746</v>
      </c>
      <c r="B35" s="32"/>
      <c r="C35" s="32"/>
      <c r="D35" s="32"/>
      <c r="E35" s="32"/>
      <c r="F35" s="32">
        <v>0</v>
      </c>
      <c r="G35" s="32">
        <f t="shared" si="1"/>
        <v>0</v>
      </c>
      <c r="H35" s="248">
        <f t="shared" si="2"/>
        <v>173.03225806451613</v>
      </c>
      <c r="I35" s="94"/>
      <c r="J35" s="33"/>
      <c r="K35" s="32">
        <v>1000</v>
      </c>
      <c r="L35" s="32"/>
      <c r="M35" s="32">
        <v>1000</v>
      </c>
      <c r="N35" s="32">
        <v>0</v>
      </c>
      <c r="O35" s="32">
        <v>0</v>
      </c>
      <c r="P35" s="32">
        <v>0</v>
      </c>
      <c r="Q35" s="92"/>
      <c r="R35" s="33"/>
      <c r="S35" s="53"/>
      <c r="T35" s="215"/>
      <c r="U35" s="212"/>
      <c r="V35" s="215"/>
      <c r="W35" s="212"/>
      <c r="X35" s="212"/>
      <c r="Y35" s="33"/>
      <c r="Z35" s="116"/>
      <c r="AA35" s="117"/>
      <c r="AB35" s="113">
        <f t="shared" si="7"/>
        <v>36532.096774193546</v>
      </c>
      <c r="AC35" s="33"/>
      <c r="AD35" s="189"/>
      <c r="AE35" s="118"/>
      <c r="AF35" s="153">
        <v>0.81</v>
      </c>
      <c r="AG35" s="33"/>
      <c r="AH35" s="160"/>
      <c r="AI35" s="208"/>
      <c r="AJ35" s="154">
        <f t="shared" si="8"/>
        <v>414.90322580645159</v>
      </c>
      <c r="AK35" s="33"/>
      <c r="AL35" s="142">
        <v>0.97</v>
      </c>
      <c r="AN35" s="139"/>
      <c r="AO35" s="179"/>
      <c r="AP35" s="165"/>
      <c r="AQ35" s="169"/>
      <c r="AR35" s="167">
        <v>29</v>
      </c>
      <c r="AS35" s="179">
        <v>21.8</v>
      </c>
      <c r="AT35" s="165">
        <v>15</v>
      </c>
      <c r="AU35" s="169">
        <v>94</v>
      </c>
      <c r="AW35" s="138"/>
      <c r="AY35" s="53"/>
      <c r="BA35" s="32"/>
      <c r="BB35" s="32"/>
      <c r="BC35" s="176"/>
      <c r="BE35" s="32"/>
      <c r="BF35" s="32"/>
      <c r="BG35" s="176"/>
      <c r="BI35" s="32"/>
      <c r="BJ35" s="32"/>
      <c r="BK35" s="176"/>
      <c r="BM35" s="32"/>
      <c r="BN35" s="32"/>
      <c r="BO35" s="176"/>
      <c r="BQ35" s="32"/>
      <c r="BR35" s="32"/>
      <c r="BS35" s="176"/>
      <c r="BU35" s="32"/>
      <c r="BV35" s="32"/>
      <c r="BW35" s="176"/>
      <c r="BY35" s="32"/>
      <c r="BZ35" s="32"/>
      <c r="CA35" s="176"/>
      <c r="CC35" s="32"/>
      <c r="CD35" s="32"/>
      <c r="CE35" s="176"/>
      <c r="CG35" s="32"/>
      <c r="CH35" s="32"/>
      <c r="CI35" s="176"/>
      <c r="CK35" s="32"/>
      <c r="CL35" s="32"/>
      <c r="CM35" s="176"/>
      <c r="CO35" s="32"/>
      <c r="CP35" s="32"/>
      <c r="CQ35" s="176"/>
      <c r="CR35" s="176"/>
      <c r="CS35" s="122"/>
      <c r="CT35" s="219"/>
      <c r="CU35" s="226"/>
      <c r="CV35" s="219"/>
      <c r="CW35" s="32"/>
      <c r="CX35" s="226"/>
      <c r="CY35" s="219"/>
      <c r="CZ35" s="32"/>
      <c r="DA35" s="219"/>
      <c r="DC35" s="32"/>
      <c r="DD35" s="176"/>
    </row>
    <row r="36" spans="1:108" x14ac:dyDescent="0.25">
      <c r="A36" s="243">
        <v>45747</v>
      </c>
      <c r="B36" s="32"/>
      <c r="C36" s="32"/>
      <c r="D36" s="32"/>
      <c r="E36" s="32"/>
      <c r="F36" s="32">
        <v>0</v>
      </c>
      <c r="G36" s="32">
        <f t="shared" si="1"/>
        <v>0</v>
      </c>
      <c r="H36" s="248">
        <f t="shared" si="2"/>
        <v>173.03225806451613</v>
      </c>
      <c r="I36" s="94"/>
      <c r="J36" s="33"/>
      <c r="K36" s="32">
        <v>1000</v>
      </c>
      <c r="L36" s="32"/>
      <c r="M36" s="32">
        <v>1000</v>
      </c>
      <c r="N36" s="32">
        <v>0</v>
      </c>
      <c r="O36" s="32">
        <v>0</v>
      </c>
      <c r="P36" s="32">
        <v>0</v>
      </c>
      <c r="Q36" s="92"/>
      <c r="R36" s="33"/>
      <c r="S36" s="53"/>
      <c r="T36" s="215"/>
      <c r="U36" s="212"/>
      <c r="V36" s="215"/>
      <c r="W36" s="212"/>
      <c r="X36" s="212"/>
      <c r="Y36" s="33"/>
      <c r="Z36" s="116"/>
      <c r="AA36" s="117"/>
      <c r="AB36" s="113">
        <f t="shared" si="7"/>
        <v>36532.096774193546</v>
      </c>
      <c r="AC36" s="33"/>
      <c r="AD36" s="189"/>
      <c r="AE36" s="118"/>
      <c r="AF36" s="153">
        <v>0.81</v>
      </c>
      <c r="AG36" s="33"/>
      <c r="AH36" s="160"/>
      <c r="AI36" s="208"/>
      <c r="AJ36" s="154">
        <f t="shared" si="8"/>
        <v>414.90322580645159</v>
      </c>
      <c r="AK36" s="33"/>
      <c r="AL36" s="142">
        <v>0.97</v>
      </c>
      <c r="AN36" s="139"/>
      <c r="AO36" s="179"/>
      <c r="AP36" s="165"/>
      <c r="AQ36" s="169"/>
      <c r="AR36" s="167">
        <v>30</v>
      </c>
      <c r="AS36" s="179">
        <v>24.9</v>
      </c>
      <c r="AT36" s="165">
        <v>20</v>
      </c>
      <c r="AU36" s="169">
        <v>60</v>
      </c>
      <c r="AW36" s="138"/>
      <c r="AY36" s="53"/>
      <c r="BA36" s="32"/>
      <c r="BB36" s="32"/>
      <c r="BC36" s="176"/>
      <c r="BE36" s="32"/>
      <c r="BF36" s="32"/>
      <c r="BG36" s="176"/>
      <c r="BI36" s="32"/>
      <c r="BJ36" s="32"/>
      <c r="BK36" s="176"/>
      <c r="BM36" s="32"/>
      <c r="BN36" s="32"/>
      <c r="BO36" s="176"/>
      <c r="BQ36" s="32"/>
      <c r="BR36" s="32"/>
      <c r="BS36" s="176"/>
      <c r="BU36" s="32"/>
      <c r="BV36" s="32"/>
      <c r="BW36" s="176"/>
      <c r="BY36" s="32"/>
      <c r="BZ36" s="32"/>
      <c r="CA36" s="176"/>
      <c r="CC36" s="32"/>
      <c r="CD36" s="32"/>
      <c r="CE36" s="176"/>
      <c r="CG36" s="32"/>
      <c r="CH36" s="32"/>
      <c r="CI36" s="176"/>
      <c r="CK36" s="32"/>
      <c r="CL36" s="32"/>
      <c r="CM36" s="176"/>
      <c r="CO36" s="32"/>
      <c r="CP36" s="32"/>
      <c r="CQ36" s="176"/>
      <c r="CR36" s="176"/>
      <c r="CS36" s="122"/>
      <c r="CT36" s="219"/>
      <c r="CU36" s="226"/>
      <c r="CV36" s="219"/>
      <c r="CW36" s="32"/>
      <c r="CX36" s="226"/>
      <c r="CY36" s="219"/>
      <c r="CZ36" s="32"/>
      <c r="DA36" s="219"/>
      <c r="DC36" s="32"/>
      <c r="DD36" s="176"/>
    </row>
    <row r="37" spans="1:108" ht="13.8" thickBot="1" x14ac:dyDescent="0.3">
      <c r="E37" s="121">
        <f>AVERAGE(E6:E36)</f>
        <v>23</v>
      </c>
      <c r="G37" s="54">
        <f>SUM(G6:G36)</f>
        <v>270</v>
      </c>
      <c r="H37" s="249"/>
      <c r="I37" s="104">
        <f>SUM(I6:I36)</f>
        <v>0</v>
      </c>
      <c r="J37" s="120"/>
      <c r="K37" s="38"/>
      <c r="L37" s="38"/>
      <c r="M37" s="38"/>
      <c r="N37" s="38"/>
      <c r="O37" s="124">
        <f>SUM(O6:O36)</f>
        <v>0</v>
      </c>
      <c r="P37" s="54">
        <f>SUM(P6:P36)</f>
        <v>0</v>
      </c>
      <c r="Q37" s="104">
        <f>SUM(Q6:Q36)</f>
        <v>0</v>
      </c>
      <c r="R37" s="120"/>
      <c r="S37" s="54">
        <f>SUM(S6:S36)</f>
        <v>198915</v>
      </c>
      <c r="T37" s="104">
        <f>SUM(T6:T36)</f>
        <v>0</v>
      </c>
      <c r="U37" s="211">
        <f>SUM(U6:U36)</f>
        <v>90374</v>
      </c>
      <c r="V37" s="104">
        <f>SUM(V6:V36)</f>
        <v>0</v>
      </c>
      <c r="W37" s="216">
        <f>SUM(W6:W36)</f>
        <v>289289</v>
      </c>
      <c r="X37" s="216"/>
      <c r="Y37" s="217"/>
      <c r="Z37" s="119">
        <f>SUM(Z6:Z36)</f>
        <v>289289</v>
      </c>
      <c r="AA37" s="104">
        <f>SUM(AA6:AA36)</f>
        <v>0</v>
      </c>
      <c r="AB37" s="115">
        <f>SUM(AB6:AB36)</f>
        <v>1132495.0000000002</v>
      </c>
      <c r="AC37" s="120"/>
      <c r="AD37" s="145">
        <f>AVERAGE(AD6:AD36)</f>
        <v>0.442</v>
      </c>
      <c r="AE37" s="146" t="e">
        <f>AVERAGE(AE6:AE36)</f>
        <v>#DIV/0!</v>
      </c>
      <c r="AF37" s="147">
        <f>AVERAGE(AF6:AF36)</f>
        <v>0.80999999999999972</v>
      </c>
      <c r="AG37" s="120"/>
      <c r="AH37" s="119">
        <f>SUM(AH6:AH36)</f>
        <v>2263</v>
      </c>
      <c r="AI37" s="104">
        <f>SUM(AI6:AI36)</f>
        <v>0</v>
      </c>
      <c r="AJ37" s="115">
        <f>SUM(AJ6:AJ36)</f>
        <v>12861.999999999991</v>
      </c>
      <c r="AK37" s="141"/>
      <c r="AL37" s="143">
        <f>AVERAGE(AL6:AL36)</f>
        <v>0.96999999999999953</v>
      </c>
      <c r="AN37" s="172">
        <f t="shared" ref="AN37:AS37" si="11">AVERAGE(AN6:AN36)</f>
        <v>26.9</v>
      </c>
      <c r="AO37" s="112">
        <f t="shared" si="11"/>
        <v>21.28</v>
      </c>
      <c r="AP37" s="140">
        <f t="shared" si="11"/>
        <v>15.3</v>
      </c>
      <c r="AQ37" s="170">
        <f t="shared" si="11"/>
        <v>36.5</v>
      </c>
      <c r="AR37" s="172">
        <f t="shared" si="11"/>
        <v>30.806451612903224</v>
      </c>
      <c r="AS37" s="112">
        <f t="shared" si="11"/>
        <v>25.141935483870967</v>
      </c>
      <c r="AT37" s="140">
        <f>AVERAGE(AT6:AT36)</f>
        <v>19.225806451612904</v>
      </c>
      <c r="AU37" s="170">
        <f>AVERAGE(AU6:AU36)</f>
        <v>39.225806451612904</v>
      </c>
      <c r="AW37" s="138">
        <f>SUM(AW6:AW36)</f>
        <v>0</v>
      </c>
      <c r="AY37" s="152">
        <f>SUM(AY6:AY36)</f>
        <v>0</v>
      </c>
      <c r="BA37" s="32"/>
      <c r="BB37" s="32">
        <f>SUM(BB6:BB36)</f>
        <v>0</v>
      </c>
      <c r="BC37" s="176">
        <f>SUM(BC6:BC36)</f>
        <v>0</v>
      </c>
      <c r="BE37" s="32"/>
      <c r="BF37" s="32">
        <f>SUM(BF6:BF36)</f>
        <v>0</v>
      </c>
      <c r="BG37" s="176">
        <f>SUM(BG6:BG36)</f>
        <v>0</v>
      </c>
      <c r="BI37" s="32"/>
      <c r="BJ37" s="32">
        <f>SUM(BJ6:BJ36)</f>
        <v>0</v>
      </c>
      <c r="BK37" s="176">
        <f>SUM(BK6:BK36)</f>
        <v>0</v>
      </c>
      <c r="BM37" s="32"/>
      <c r="BN37" s="32">
        <f>SUM(BN6:BN36)</f>
        <v>0</v>
      </c>
      <c r="BO37" s="176">
        <f>SUM(BO6:BO36)</f>
        <v>0</v>
      </c>
      <c r="BQ37" s="32"/>
      <c r="BR37" s="32"/>
      <c r="BS37" s="176"/>
      <c r="BU37" s="32"/>
      <c r="BV37" s="32"/>
      <c r="BW37" s="176"/>
      <c r="BY37" s="32"/>
      <c r="BZ37" s="32"/>
      <c r="CA37" s="176"/>
      <c r="CC37" s="32"/>
      <c r="CD37" s="32">
        <f t="shared" ref="CD37" si="12">CC37-CC36</f>
        <v>0</v>
      </c>
      <c r="CE37" s="176"/>
      <c r="CG37" s="32"/>
      <c r="CH37" s="32"/>
      <c r="CI37" s="176"/>
      <c r="CK37" s="32"/>
      <c r="CL37" s="32"/>
      <c r="CM37" s="176"/>
      <c r="CO37" s="32"/>
      <c r="CP37" s="32"/>
      <c r="CQ37" s="176"/>
      <c r="CR37" s="176"/>
      <c r="CS37" s="123"/>
      <c r="CT37" s="219"/>
      <c r="CU37" s="226"/>
      <c r="CV37" s="219"/>
      <c r="CW37" s="219"/>
      <c r="CX37" s="226"/>
      <c r="CY37" s="219"/>
      <c r="CZ37" s="219"/>
      <c r="DA37" s="219"/>
      <c r="DC37" s="32"/>
      <c r="DD37" s="176"/>
    </row>
    <row r="38" spans="1:108" ht="13.8" thickTop="1" x14ac:dyDescent="0.25">
      <c r="E38" t="s">
        <v>70</v>
      </c>
    </row>
    <row r="39" spans="1:108" x14ac:dyDescent="0.25">
      <c r="E39">
        <f>SUM(E6:E36)</f>
        <v>46</v>
      </c>
    </row>
    <row r="40" spans="1:108" x14ac:dyDescent="0.25">
      <c r="G40" s="210"/>
      <c r="Q40" s="136" t="s">
        <v>71</v>
      </c>
      <c r="R40" s="123"/>
      <c r="S40" s="123"/>
      <c r="T40" s="123"/>
      <c r="V40" s="123"/>
      <c r="AA40" s="32" t="s">
        <v>72</v>
      </c>
      <c r="AB40" s="32"/>
      <c r="AC40" s="32"/>
      <c r="AD40" s="122"/>
      <c r="AE40" s="125" t="e">
        <f>AE37</f>
        <v>#DIV/0!</v>
      </c>
      <c r="AH40" s="32" t="s">
        <v>73</v>
      </c>
      <c r="AI40" s="32"/>
      <c r="AJ40" s="32"/>
      <c r="AM40" s="178"/>
      <c r="AN40" s="267" t="s">
        <v>95</v>
      </c>
      <c r="AO40" s="267"/>
      <c r="AP40" s="267"/>
      <c r="AQ40" s="267"/>
      <c r="AR40" s="267"/>
      <c r="AS40" s="267"/>
      <c r="AT40" s="267"/>
      <c r="AU40" s="267"/>
      <c r="AV40" s="267"/>
      <c r="AW40" s="267"/>
    </row>
    <row r="41" spans="1:108" x14ac:dyDescent="0.25">
      <c r="Q41" s="136" t="s">
        <v>74</v>
      </c>
      <c r="R41" s="123"/>
      <c r="S41" s="123"/>
      <c r="T41" s="123"/>
      <c r="V41" s="123"/>
      <c r="AA41" s="32" t="s">
        <v>75</v>
      </c>
      <c r="AB41" s="32"/>
      <c r="AC41" s="32"/>
      <c r="AD41" s="122"/>
      <c r="AE41" s="125">
        <f>AD37</f>
        <v>0.442</v>
      </c>
      <c r="AH41" s="32" t="s">
        <v>76</v>
      </c>
      <c r="AI41" s="32"/>
      <c r="AJ41" s="32"/>
      <c r="AM41" s="267"/>
      <c r="AN41" s="267"/>
      <c r="AO41" s="267"/>
      <c r="AP41" s="267"/>
      <c r="AQ41" s="267"/>
      <c r="AR41" s="267"/>
      <c r="AS41" s="267"/>
      <c r="AT41" s="267"/>
      <c r="AU41" s="267"/>
      <c r="AV41" s="267"/>
    </row>
    <row r="42" spans="1:108" x14ac:dyDescent="0.25">
      <c r="Q42" s="136" t="s">
        <v>77</v>
      </c>
      <c r="R42" s="123"/>
      <c r="S42" s="123"/>
      <c r="T42" s="123"/>
      <c r="V42" s="123"/>
      <c r="AA42" s="32" t="s">
        <v>78</v>
      </c>
      <c r="AB42" s="32"/>
      <c r="AC42" s="122"/>
      <c r="AD42" s="123"/>
      <c r="AE42" s="125">
        <f>AF37</f>
        <v>0.80999999999999972</v>
      </c>
      <c r="AH42" s="32" t="s">
        <v>79</v>
      </c>
      <c r="AI42" s="32"/>
      <c r="AJ42" s="32"/>
    </row>
    <row r="43" spans="1:108" x14ac:dyDescent="0.25">
      <c r="AM43" s="268"/>
      <c r="AN43" s="268"/>
      <c r="AO43" s="268"/>
      <c r="AP43" s="268"/>
      <c r="AQ43" s="268"/>
      <c r="AR43" s="268"/>
      <c r="AS43" s="268"/>
    </row>
    <row r="44" spans="1:108" x14ac:dyDescent="0.25">
      <c r="AH44" s="32" t="s">
        <v>80</v>
      </c>
      <c r="AI44" s="32"/>
      <c r="AJ44" s="32"/>
    </row>
    <row r="45" spans="1:108" x14ac:dyDescent="0.25">
      <c r="AH45" s="32" t="s">
        <v>81</v>
      </c>
      <c r="AI45" s="32"/>
      <c r="AJ45" s="32"/>
    </row>
    <row r="46" spans="1:108" x14ac:dyDescent="0.25">
      <c r="AH46" s="32" t="s">
        <v>82</v>
      </c>
      <c r="AI46" s="32"/>
      <c r="AJ46" s="32"/>
      <c r="AL46" s="209"/>
    </row>
    <row r="48" spans="1:108" ht="13.8" x14ac:dyDescent="0.25">
      <c r="AP48" s="186"/>
      <c r="AQ48" s="186"/>
      <c r="AR48" s="186"/>
    </row>
    <row r="49" spans="19:44" ht="13.8" x14ac:dyDescent="0.25">
      <c r="AH49" s="171"/>
      <c r="AP49" s="186"/>
      <c r="AQ49" s="186"/>
      <c r="AR49" s="186"/>
    </row>
    <row r="50" spans="19:44" ht="13.8" x14ac:dyDescent="0.25">
      <c r="AD50" s="41"/>
      <c r="AF50" s="190"/>
      <c r="AG50" s="41"/>
      <c r="AH50" s="191"/>
      <c r="AI50" s="41"/>
      <c r="AP50" s="186"/>
      <c r="AQ50" s="186"/>
      <c r="AR50" s="186"/>
    </row>
    <row r="51" spans="19:44" ht="13.8" x14ac:dyDescent="0.25">
      <c r="AF51" s="190"/>
      <c r="AG51" s="41"/>
      <c r="AH51" s="191"/>
      <c r="AI51" s="41"/>
      <c r="AP51" s="186"/>
      <c r="AQ51" s="186"/>
      <c r="AR51" s="186"/>
    </row>
    <row r="52" spans="19:44" ht="13.8" x14ac:dyDescent="0.25">
      <c r="AF52" s="190"/>
      <c r="AG52" s="41"/>
      <c r="AH52" s="191"/>
      <c r="AI52" s="41"/>
      <c r="AP52" s="186"/>
      <c r="AQ52" s="186"/>
      <c r="AR52" s="186"/>
    </row>
    <row r="53" spans="19:44" ht="17.399999999999999" x14ac:dyDescent="0.25">
      <c r="T53" s="235"/>
      <c r="U53" s="236"/>
      <c r="AF53" s="190"/>
      <c r="AG53" s="41"/>
      <c r="AH53" s="191"/>
      <c r="AI53" s="41"/>
      <c r="AP53" s="186"/>
      <c r="AQ53" s="186"/>
      <c r="AR53" s="186"/>
    </row>
    <row r="54" spans="19:44" ht="17.399999999999999" x14ac:dyDescent="0.25">
      <c r="S54" s="237"/>
      <c r="T54" s="235"/>
      <c r="U54" s="236"/>
      <c r="AF54" s="190"/>
      <c r="AG54" s="41"/>
      <c r="AH54" s="191"/>
      <c r="AI54" s="41"/>
      <c r="AP54" s="186"/>
      <c r="AQ54" s="186"/>
      <c r="AR54" s="186"/>
    </row>
    <row r="55" spans="19:44" ht="17.399999999999999" x14ac:dyDescent="0.25">
      <c r="S55" s="237"/>
      <c r="T55" s="235"/>
      <c r="U55" s="236"/>
      <c r="AF55" s="190"/>
      <c r="AG55" s="41"/>
      <c r="AH55" s="191"/>
      <c r="AI55" s="41"/>
      <c r="AP55" s="186"/>
      <c r="AQ55" s="186"/>
      <c r="AR55" s="186"/>
    </row>
    <row r="56" spans="19:44" ht="17.399999999999999" x14ac:dyDescent="0.25">
      <c r="S56" s="237"/>
      <c r="T56" s="235"/>
      <c r="U56" s="236"/>
      <c r="AF56" s="190"/>
      <c r="AG56" s="41"/>
      <c r="AH56" s="191"/>
      <c r="AI56" s="41"/>
      <c r="AP56" s="186"/>
      <c r="AQ56" s="186"/>
      <c r="AR56" s="186"/>
    </row>
    <row r="57" spans="19:44" ht="17.399999999999999" x14ac:dyDescent="0.25">
      <c r="S57" s="237"/>
      <c r="T57" s="235"/>
      <c r="U57" s="236"/>
      <c r="AF57" s="190"/>
      <c r="AG57" s="41"/>
      <c r="AH57" s="191"/>
      <c r="AI57" s="41"/>
      <c r="AO57" s="186"/>
      <c r="AP57" s="186"/>
      <c r="AQ57" s="186"/>
      <c r="AR57" s="186"/>
    </row>
    <row r="58" spans="19:44" ht="17.399999999999999" x14ac:dyDescent="0.25">
      <c r="S58" s="237"/>
      <c r="T58" s="235"/>
      <c r="U58" s="236"/>
      <c r="AF58" s="190"/>
      <c r="AG58" s="41"/>
      <c r="AH58" s="191"/>
      <c r="AI58" s="41"/>
      <c r="AO58" s="186"/>
      <c r="AP58" s="186"/>
      <c r="AQ58" s="186"/>
      <c r="AR58" s="186"/>
    </row>
    <row r="59" spans="19:44" ht="17.399999999999999" x14ac:dyDescent="0.25">
      <c r="S59" s="237"/>
      <c r="T59" s="235"/>
      <c r="U59" s="236"/>
      <c r="AF59" s="190"/>
      <c r="AG59" s="41"/>
      <c r="AH59" s="191"/>
      <c r="AI59" s="41"/>
      <c r="AO59" s="186"/>
      <c r="AP59" s="186"/>
      <c r="AQ59" s="186"/>
      <c r="AR59" s="186"/>
    </row>
    <row r="60" spans="19:44" ht="17.399999999999999" x14ac:dyDescent="0.25">
      <c r="S60" s="237"/>
      <c r="T60" s="235"/>
      <c r="U60" s="236"/>
      <c r="AF60" s="190"/>
      <c r="AG60" s="41"/>
      <c r="AH60" s="191"/>
      <c r="AI60" s="41"/>
      <c r="AO60" s="186"/>
      <c r="AP60" s="186"/>
      <c r="AQ60" s="186"/>
      <c r="AR60" s="186"/>
    </row>
    <row r="61" spans="19:44" ht="17.399999999999999" x14ac:dyDescent="0.25">
      <c r="S61" s="237"/>
      <c r="T61" s="235"/>
      <c r="U61" s="236"/>
      <c r="AF61" s="190"/>
      <c r="AG61" s="41"/>
      <c r="AH61" s="191"/>
      <c r="AI61" s="41"/>
      <c r="AO61" s="186"/>
      <c r="AP61" s="186"/>
      <c r="AQ61" s="186"/>
      <c r="AR61" s="186"/>
    </row>
    <row r="62" spans="19:44" ht="17.399999999999999" x14ac:dyDescent="0.25">
      <c r="S62" s="237"/>
      <c r="T62" s="235"/>
      <c r="U62" s="236"/>
      <c r="AF62" s="190"/>
      <c r="AG62" s="41"/>
      <c r="AH62" s="191"/>
      <c r="AI62" s="41"/>
      <c r="AO62" s="186"/>
      <c r="AP62" s="186"/>
      <c r="AQ62" s="186"/>
      <c r="AR62" s="186"/>
    </row>
    <row r="63" spans="19:44" ht="17.399999999999999" x14ac:dyDescent="0.25">
      <c r="S63" s="237"/>
      <c r="T63" s="235"/>
      <c r="U63" s="236"/>
      <c r="AF63" s="190"/>
      <c r="AG63" s="41"/>
      <c r="AH63" s="191"/>
      <c r="AI63" s="41"/>
      <c r="AO63" s="186"/>
      <c r="AP63" s="186"/>
      <c r="AQ63" s="186"/>
      <c r="AR63" s="186"/>
    </row>
    <row r="64" spans="19:44" ht="17.399999999999999" x14ac:dyDescent="0.25">
      <c r="S64" s="237"/>
      <c r="T64" s="235"/>
      <c r="U64" s="236"/>
      <c r="AF64" s="190"/>
      <c r="AG64" s="41"/>
      <c r="AH64" s="191"/>
      <c r="AI64" s="41"/>
      <c r="AO64" s="186"/>
      <c r="AP64" s="186"/>
      <c r="AQ64" s="186"/>
      <c r="AR64" s="186"/>
    </row>
    <row r="65" spans="19:44" ht="17.399999999999999" x14ac:dyDescent="0.25">
      <c r="S65" s="237"/>
      <c r="T65" s="235"/>
      <c r="U65" s="236"/>
      <c r="AF65" s="190"/>
      <c r="AG65" s="41"/>
      <c r="AH65" s="191"/>
      <c r="AI65" s="41"/>
      <c r="AP65" s="186"/>
      <c r="AQ65" s="186"/>
      <c r="AR65" s="186"/>
    </row>
    <row r="66" spans="19:44" ht="17.399999999999999" x14ac:dyDescent="0.25">
      <c r="S66" s="237"/>
      <c r="T66" s="235"/>
      <c r="U66" s="236"/>
      <c r="AF66" s="190"/>
      <c r="AG66" s="41"/>
      <c r="AH66" s="191"/>
      <c r="AI66" s="41"/>
      <c r="AP66" s="186"/>
      <c r="AQ66" s="186"/>
      <c r="AR66" s="186"/>
    </row>
    <row r="67" spans="19:44" ht="17.399999999999999" x14ac:dyDescent="0.25">
      <c r="S67" s="237"/>
      <c r="T67" s="235"/>
      <c r="U67" s="236"/>
      <c r="AF67" s="190"/>
      <c r="AG67" s="41"/>
      <c r="AH67" s="191"/>
      <c r="AI67" s="41"/>
      <c r="AP67" s="186"/>
      <c r="AQ67" s="186"/>
      <c r="AR67" s="186"/>
    </row>
    <row r="68" spans="19:44" ht="17.399999999999999" x14ac:dyDescent="0.25">
      <c r="S68" s="237"/>
      <c r="T68" s="235"/>
      <c r="U68" s="236"/>
      <c r="AF68" s="190"/>
      <c r="AG68" s="41"/>
      <c r="AH68" s="191"/>
      <c r="AI68" s="41"/>
      <c r="AP68" s="186"/>
      <c r="AQ68" s="186"/>
      <c r="AR68" s="186"/>
    </row>
    <row r="69" spans="19:44" ht="17.399999999999999" x14ac:dyDescent="0.25">
      <c r="S69" s="237"/>
      <c r="T69" s="235"/>
      <c r="U69" s="236"/>
      <c r="AF69" s="190"/>
      <c r="AG69" s="41"/>
      <c r="AH69" s="191"/>
      <c r="AI69" s="41"/>
      <c r="AP69" s="186"/>
      <c r="AQ69" s="186"/>
      <c r="AR69" s="186"/>
    </row>
    <row r="70" spans="19:44" ht="17.399999999999999" x14ac:dyDescent="0.25">
      <c r="S70" s="237"/>
      <c r="T70" s="235"/>
      <c r="U70" s="236"/>
      <c r="AF70" s="190"/>
      <c r="AG70" s="41"/>
      <c r="AH70" s="191"/>
      <c r="AI70" s="41"/>
      <c r="AP70" s="186"/>
      <c r="AQ70" s="186"/>
      <c r="AR70" s="186"/>
    </row>
    <row r="71" spans="19:44" ht="17.399999999999999" x14ac:dyDescent="0.25">
      <c r="S71" s="237"/>
      <c r="T71" s="235"/>
      <c r="U71" s="236"/>
      <c r="AF71" s="190"/>
      <c r="AG71" s="41"/>
      <c r="AH71" s="191"/>
      <c r="AI71" s="41"/>
      <c r="AP71" s="186"/>
      <c r="AQ71" s="186"/>
      <c r="AR71" s="186"/>
    </row>
    <row r="72" spans="19:44" ht="17.399999999999999" x14ac:dyDescent="0.25">
      <c r="S72" s="237"/>
      <c r="T72" s="235"/>
      <c r="U72" s="236"/>
      <c r="AF72" s="190"/>
      <c r="AG72" s="41"/>
      <c r="AH72" s="192"/>
      <c r="AI72" s="41"/>
      <c r="AP72" s="186"/>
      <c r="AQ72" s="186"/>
      <c r="AR72" s="186"/>
    </row>
    <row r="73" spans="19:44" ht="17.399999999999999" x14ac:dyDescent="0.25">
      <c r="S73" s="237"/>
      <c r="T73" s="235"/>
      <c r="U73" s="236"/>
      <c r="AF73" s="190"/>
      <c r="AG73" s="41"/>
      <c r="AH73" s="41"/>
      <c r="AI73" s="41"/>
      <c r="AP73" s="186"/>
      <c r="AQ73" s="186"/>
      <c r="AR73" s="186"/>
    </row>
    <row r="74" spans="19:44" ht="17.399999999999999" x14ac:dyDescent="0.25">
      <c r="S74" s="237"/>
      <c r="T74" s="235"/>
      <c r="U74" s="236"/>
      <c r="AF74" s="41"/>
      <c r="AG74" s="41"/>
      <c r="AH74" s="41"/>
      <c r="AI74" s="41"/>
      <c r="AP74" s="186"/>
      <c r="AQ74" s="186"/>
      <c r="AR74" s="186"/>
    </row>
    <row r="75" spans="19:44" ht="17.399999999999999" x14ac:dyDescent="0.25">
      <c r="S75" s="237"/>
      <c r="T75" s="235"/>
      <c r="U75" s="236"/>
      <c r="AF75" s="41"/>
      <c r="AG75" s="41"/>
      <c r="AH75" s="41"/>
      <c r="AI75" s="41"/>
      <c r="AP75" s="186"/>
      <c r="AQ75" s="186"/>
      <c r="AR75" s="186"/>
    </row>
    <row r="76" spans="19:44" ht="17.399999999999999" x14ac:dyDescent="0.25">
      <c r="S76" s="237"/>
      <c r="T76" s="235"/>
      <c r="U76" s="236"/>
      <c r="AF76" s="41"/>
      <c r="AG76" s="41"/>
      <c r="AH76" s="41"/>
      <c r="AI76" s="41"/>
      <c r="AP76" s="186"/>
      <c r="AQ76" s="186"/>
      <c r="AR76" s="186"/>
    </row>
    <row r="77" spans="19:44" ht="17.399999999999999" x14ac:dyDescent="0.25">
      <c r="S77" s="237"/>
      <c r="T77" s="235"/>
      <c r="U77" s="236"/>
      <c r="AF77" s="41"/>
      <c r="AG77" s="41"/>
      <c r="AH77" s="41"/>
      <c r="AI77" s="41"/>
      <c r="AP77" s="186"/>
      <c r="AQ77" s="186"/>
      <c r="AR77" s="186"/>
    </row>
    <row r="78" spans="19:44" ht="17.399999999999999" x14ac:dyDescent="0.25">
      <c r="S78" s="237"/>
      <c r="T78" s="235"/>
      <c r="U78" s="236"/>
      <c r="AF78" s="41"/>
      <c r="AG78" s="41"/>
      <c r="AH78" s="41"/>
      <c r="AI78" s="41"/>
      <c r="AP78" s="186"/>
      <c r="AQ78" s="186"/>
      <c r="AR78" s="186"/>
    </row>
    <row r="79" spans="19:44" ht="17.399999999999999" x14ac:dyDescent="0.25">
      <c r="S79" s="237"/>
      <c r="T79" s="235"/>
      <c r="U79" s="236"/>
      <c r="AF79" s="41"/>
      <c r="AG79" s="41"/>
      <c r="AH79" s="41"/>
      <c r="AI79" s="41"/>
    </row>
    <row r="80" spans="19:44" ht="17.399999999999999" x14ac:dyDescent="0.25">
      <c r="S80" s="237"/>
      <c r="T80" s="235"/>
      <c r="U80" s="236"/>
      <c r="AF80" s="41"/>
      <c r="AG80" s="41"/>
      <c r="AH80" s="41"/>
      <c r="AI80" s="41"/>
    </row>
    <row r="81" spans="19:34" ht="17.399999999999999" x14ac:dyDescent="0.25">
      <c r="S81" s="237"/>
      <c r="T81" s="235"/>
      <c r="U81" s="236"/>
    </row>
    <row r="82" spans="19:34" ht="17.399999999999999" x14ac:dyDescent="0.25">
      <c r="S82" s="237"/>
      <c r="T82" s="235"/>
      <c r="U82" s="236"/>
    </row>
    <row r="83" spans="19:34" ht="17.399999999999999" x14ac:dyDescent="0.25">
      <c r="S83" s="237"/>
      <c r="T83" s="235"/>
      <c r="U83" s="236"/>
    </row>
    <row r="84" spans="19:34" ht="17.399999999999999" x14ac:dyDescent="0.4">
      <c r="S84" s="238"/>
      <c r="T84" s="239"/>
      <c r="U84" s="240"/>
    </row>
    <row r="85" spans="19:34" ht="15.6" x14ac:dyDescent="0.25">
      <c r="S85" s="241"/>
    </row>
    <row r="87" spans="19:34" x14ac:dyDescent="0.25">
      <c r="AH87" s="159"/>
    </row>
    <row r="88" spans="19:34" x14ac:dyDescent="0.25">
      <c r="AH88" s="159"/>
    </row>
    <row r="89" spans="19:34" x14ac:dyDescent="0.25">
      <c r="AH89" s="159"/>
    </row>
    <row r="90" spans="19:34" x14ac:dyDescent="0.25">
      <c r="AH90" s="159"/>
    </row>
    <row r="91" spans="19:34" x14ac:dyDescent="0.25">
      <c r="AH91" s="159"/>
    </row>
    <row r="92" spans="19:34" x14ac:dyDescent="0.25">
      <c r="AH92" s="159"/>
    </row>
    <row r="93" spans="19:34" x14ac:dyDescent="0.25">
      <c r="AH93" s="159"/>
    </row>
    <row r="94" spans="19:34" x14ac:dyDescent="0.25">
      <c r="AH94" s="159"/>
    </row>
    <row r="95" spans="19:34" x14ac:dyDescent="0.25">
      <c r="AH95" s="159"/>
    </row>
    <row r="96" spans="19:34" x14ac:dyDescent="0.25">
      <c r="AH96" s="159"/>
    </row>
    <row r="97" spans="34:34" x14ac:dyDescent="0.25">
      <c r="AH97" s="159"/>
    </row>
    <row r="98" spans="34:34" x14ac:dyDescent="0.25">
      <c r="AH98" s="159"/>
    </row>
    <row r="99" spans="34:34" x14ac:dyDescent="0.25">
      <c r="AH99" s="159"/>
    </row>
    <row r="100" spans="34:34" x14ac:dyDescent="0.25">
      <c r="AH100" s="159"/>
    </row>
    <row r="101" spans="34:34" x14ac:dyDescent="0.25">
      <c r="AH101" s="159"/>
    </row>
    <row r="102" spans="34:34" x14ac:dyDescent="0.25">
      <c r="AH102" s="159"/>
    </row>
    <row r="103" spans="34:34" x14ac:dyDescent="0.25">
      <c r="AH103" s="159"/>
    </row>
    <row r="104" spans="34:34" x14ac:dyDescent="0.25">
      <c r="AH104" s="159"/>
    </row>
    <row r="105" spans="34:34" x14ac:dyDescent="0.25">
      <c r="AH105" s="159"/>
    </row>
    <row r="106" spans="34:34" x14ac:dyDescent="0.25">
      <c r="AH106" s="159"/>
    </row>
    <row r="107" spans="34:34" x14ac:dyDescent="0.25">
      <c r="AH107" s="159"/>
    </row>
    <row r="108" spans="34:34" x14ac:dyDescent="0.25">
      <c r="AH108" s="159"/>
    </row>
    <row r="109" spans="34:34" x14ac:dyDescent="0.25">
      <c r="AH109" s="159"/>
    </row>
    <row r="150" spans="54:54" x14ac:dyDescent="0.25">
      <c r="BB150" t="s">
        <v>83</v>
      </c>
    </row>
  </sheetData>
  <sheetProtection formatCells="0" formatColumns="0" formatRows="0" insertColumns="0" insertRows="0" insertHyperlinks="0" deleteColumns="0" deleteRows="0" sort="0" autoFilter="0" pivotTables="0"/>
  <mergeCells count="35">
    <mergeCell ref="DC2:DD2"/>
    <mergeCell ref="BI2:BK2"/>
    <mergeCell ref="BM2:BO2"/>
    <mergeCell ref="BQ2:BS2"/>
    <mergeCell ref="BU2:BW2"/>
    <mergeCell ref="BY2:CA2"/>
    <mergeCell ref="CU2:CU4"/>
    <mergeCell ref="CC2:CE2"/>
    <mergeCell ref="CG2:CI2"/>
    <mergeCell ref="CK2:CM2"/>
    <mergeCell ref="CO2:CQ2"/>
    <mergeCell ref="CR2:CT2"/>
    <mergeCell ref="CV2:CX2"/>
    <mergeCell ref="CY2:DA2"/>
    <mergeCell ref="BE2:BG2"/>
    <mergeCell ref="S2:X2"/>
    <mergeCell ref="W3:X3"/>
    <mergeCell ref="BA2:BC2"/>
    <mergeCell ref="AY2:AY4"/>
    <mergeCell ref="AW2:AW4"/>
    <mergeCell ref="AN4:AQ4"/>
    <mergeCell ref="AR4:AU4"/>
    <mergeCell ref="AN2:AU2"/>
    <mergeCell ref="S3:T3"/>
    <mergeCell ref="U3:V3"/>
    <mergeCell ref="AN40:AW40"/>
    <mergeCell ref="AM43:AS43"/>
    <mergeCell ref="B2:I2"/>
    <mergeCell ref="K2:Q2"/>
    <mergeCell ref="Z2:AB2"/>
    <mergeCell ref="AD2:AF2"/>
    <mergeCell ref="AH2:AJ2"/>
    <mergeCell ref="K3:L3"/>
    <mergeCell ref="M3:N3"/>
    <mergeCell ref="AM41:AV41"/>
  </mergeCells>
  <phoneticPr fontId="3" type="noConversion"/>
  <hyperlinks>
    <hyperlink ref="AN40" r:id="rId1" xr:uid="{EE544496-D763-46F5-9EFA-78F16F2C468A}"/>
  </hyperlinks>
  <pageMargins left="0.75" right="0.75" top="1" bottom="1" header="0.5" footer="0.5"/>
  <pageSetup orientation="portrait" horizontalDpi="30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5:R38"/>
  <sheetViews>
    <sheetView workbookViewId="0"/>
  </sheetViews>
  <sheetFormatPr defaultRowHeight="13.2" x14ac:dyDescent="0.25"/>
  <sheetData>
    <row r="5" spans="2:18" ht="30" customHeight="1" x14ac:dyDescent="0.25">
      <c r="B5" s="294" t="s">
        <v>84</v>
      </c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294"/>
    </row>
    <row r="6" spans="2:18" ht="26.4" x14ac:dyDescent="0.25">
      <c r="B6" s="187" t="s">
        <v>85</v>
      </c>
      <c r="C6" s="295" t="s">
        <v>86</v>
      </c>
      <c r="D6" s="295"/>
      <c r="E6" s="295"/>
      <c r="F6" s="295" t="s">
        <v>87</v>
      </c>
      <c r="G6" s="295"/>
      <c r="H6" s="295"/>
      <c r="I6" s="295" t="s">
        <v>88</v>
      </c>
      <c r="J6" s="295"/>
      <c r="K6" s="295"/>
      <c r="L6" s="295" t="s">
        <v>89</v>
      </c>
      <c r="M6" s="295"/>
      <c r="N6" s="295"/>
      <c r="O6" s="295" t="s">
        <v>90</v>
      </c>
      <c r="P6" s="295"/>
      <c r="Q6" s="295"/>
      <c r="R6" s="187" t="s">
        <v>91</v>
      </c>
    </row>
    <row r="7" spans="2:18" x14ac:dyDescent="0.25">
      <c r="B7" s="188" t="s">
        <v>92</v>
      </c>
      <c r="C7" s="188" t="s">
        <v>66</v>
      </c>
      <c r="D7" s="188" t="s">
        <v>67</v>
      </c>
      <c r="E7" s="188" t="s">
        <v>68</v>
      </c>
      <c r="F7" s="188" t="s">
        <v>66</v>
      </c>
      <c r="G7" s="188" t="s">
        <v>67</v>
      </c>
      <c r="H7" s="188" t="s">
        <v>68</v>
      </c>
      <c r="I7" s="188" t="s">
        <v>66</v>
      </c>
      <c r="J7" s="188" t="s">
        <v>67</v>
      </c>
      <c r="K7" s="188" t="s">
        <v>68</v>
      </c>
      <c r="L7" s="188" t="s">
        <v>66</v>
      </c>
      <c r="M7" s="188" t="s">
        <v>67</v>
      </c>
      <c r="N7" s="188" t="s">
        <v>68</v>
      </c>
      <c r="O7" s="188" t="s">
        <v>66</v>
      </c>
      <c r="P7" s="188" t="s">
        <v>67</v>
      </c>
      <c r="Q7" s="188" t="s">
        <v>68</v>
      </c>
    </row>
    <row r="8" spans="2:18" x14ac:dyDescent="0.25">
      <c r="B8" s="188">
        <v>1</v>
      </c>
      <c r="C8" s="188">
        <v>35</v>
      </c>
      <c r="D8" s="188">
        <v>29.8</v>
      </c>
      <c r="E8" s="188">
        <v>25</v>
      </c>
      <c r="F8" s="188">
        <v>14</v>
      </c>
      <c r="G8" s="188">
        <v>10.3</v>
      </c>
      <c r="H8" s="188">
        <v>7</v>
      </c>
      <c r="I8" s="188">
        <v>50</v>
      </c>
      <c r="J8" s="188">
        <v>31</v>
      </c>
      <c r="K8" s="188">
        <v>20</v>
      </c>
      <c r="L8" s="188">
        <v>37</v>
      </c>
      <c r="M8" s="188">
        <v>23.4</v>
      </c>
      <c r="N8" s="188">
        <v>4</v>
      </c>
      <c r="O8" s="188">
        <v>1003.9</v>
      </c>
      <c r="P8" s="188">
        <v>1002.9</v>
      </c>
      <c r="Q8" s="188">
        <v>1001.9</v>
      </c>
    </row>
    <row r="9" spans="2:18" x14ac:dyDescent="0.25">
      <c r="B9" s="188">
        <v>2</v>
      </c>
      <c r="C9" s="188">
        <v>39</v>
      </c>
      <c r="D9" s="188">
        <v>33.4</v>
      </c>
      <c r="E9" s="188">
        <v>26</v>
      </c>
      <c r="F9" s="188">
        <v>12</v>
      </c>
      <c r="G9" s="188">
        <v>8.6</v>
      </c>
      <c r="H9" s="188">
        <v>4</v>
      </c>
      <c r="I9" s="188">
        <v>42</v>
      </c>
      <c r="J9" s="188">
        <v>22.9</v>
      </c>
      <c r="K9" s="188">
        <v>14</v>
      </c>
      <c r="L9" s="188">
        <v>33</v>
      </c>
      <c r="M9" s="188">
        <v>13.8</v>
      </c>
      <c r="N9" s="188">
        <v>0</v>
      </c>
      <c r="O9" s="188">
        <v>1001.9</v>
      </c>
      <c r="P9" s="188">
        <v>1000.2</v>
      </c>
      <c r="Q9" s="188">
        <v>998.9</v>
      </c>
    </row>
    <row r="10" spans="2:18" x14ac:dyDescent="0.25">
      <c r="B10" s="188">
        <v>3</v>
      </c>
      <c r="C10" s="188">
        <v>33</v>
      </c>
      <c r="D10" s="188">
        <v>28.9</v>
      </c>
      <c r="E10" s="188">
        <v>24</v>
      </c>
      <c r="F10" s="188">
        <v>17</v>
      </c>
      <c r="G10" s="188">
        <v>12.1</v>
      </c>
      <c r="H10" s="188">
        <v>7</v>
      </c>
      <c r="I10" s="188">
        <v>65</v>
      </c>
      <c r="J10" s="188">
        <v>37.200000000000003</v>
      </c>
      <c r="K10" s="188">
        <v>20</v>
      </c>
      <c r="L10" s="188">
        <v>30</v>
      </c>
      <c r="M10" s="188">
        <v>16.3</v>
      </c>
      <c r="N10" s="188">
        <v>0</v>
      </c>
      <c r="O10" s="188">
        <v>1005.9</v>
      </c>
      <c r="P10" s="188">
        <v>1003.7</v>
      </c>
      <c r="Q10" s="188">
        <v>1001.9</v>
      </c>
    </row>
    <row r="11" spans="2:18" x14ac:dyDescent="0.25">
      <c r="B11" s="188">
        <v>4</v>
      </c>
      <c r="C11" s="188">
        <v>36</v>
      </c>
      <c r="D11" s="188">
        <v>31.1</v>
      </c>
      <c r="E11" s="188">
        <v>26</v>
      </c>
      <c r="F11" s="188">
        <v>15</v>
      </c>
      <c r="G11" s="188">
        <v>11.7</v>
      </c>
      <c r="H11" s="188">
        <v>10</v>
      </c>
      <c r="I11" s="188">
        <v>51</v>
      </c>
      <c r="J11" s="188">
        <v>31.3</v>
      </c>
      <c r="K11" s="188">
        <v>20</v>
      </c>
      <c r="L11" s="188">
        <v>30</v>
      </c>
      <c r="M11" s="188">
        <v>16.100000000000001</v>
      </c>
      <c r="N11" s="188">
        <v>6</v>
      </c>
      <c r="O11" s="188">
        <v>1004.9</v>
      </c>
      <c r="P11" s="188">
        <v>1003.4</v>
      </c>
      <c r="Q11" s="188">
        <v>1001.9</v>
      </c>
    </row>
    <row r="12" spans="2:18" x14ac:dyDescent="0.25">
      <c r="B12" s="188">
        <v>5</v>
      </c>
      <c r="C12" s="188">
        <v>36</v>
      </c>
      <c r="D12" s="188">
        <v>30.8</v>
      </c>
      <c r="E12" s="188">
        <v>26</v>
      </c>
      <c r="F12" s="188">
        <v>18</v>
      </c>
      <c r="G12" s="188">
        <v>15.1</v>
      </c>
      <c r="H12" s="188">
        <v>12</v>
      </c>
      <c r="I12" s="188">
        <v>61</v>
      </c>
      <c r="J12" s="188">
        <v>39.5</v>
      </c>
      <c r="K12" s="188">
        <v>28</v>
      </c>
      <c r="L12" s="188">
        <v>35</v>
      </c>
      <c r="M12" s="188">
        <v>25.1</v>
      </c>
      <c r="N12" s="188">
        <v>11</v>
      </c>
      <c r="O12" s="188">
        <v>1004.9</v>
      </c>
      <c r="P12" s="188">
        <v>1002.9</v>
      </c>
      <c r="Q12" s="188">
        <v>1000.9</v>
      </c>
    </row>
    <row r="13" spans="2:18" x14ac:dyDescent="0.25">
      <c r="B13" s="188">
        <v>6</v>
      </c>
      <c r="C13" s="188">
        <v>37</v>
      </c>
      <c r="D13" s="188">
        <v>31.4</v>
      </c>
      <c r="E13" s="188">
        <v>27</v>
      </c>
      <c r="F13" s="188">
        <v>17</v>
      </c>
      <c r="G13" s="188">
        <v>14.7</v>
      </c>
      <c r="H13" s="188">
        <v>11</v>
      </c>
      <c r="I13" s="188">
        <v>54</v>
      </c>
      <c r="J13" s="188">
        <v>37.6</v>
      </c>
      <c r="K13" s="188">
        <v>21</v>
      </c>
      <c r="L13" s="188">
        <v>28</v>
      </c>
      <c r="M13" s="188">
        <v>14.5</v>
      </c>
      <c r="N13" s="188">
        <v>0</v>
      </c>
      <c r="O13" s="188">
        <v>1004.9</v>
      </c>
      <c r="P13" s="188">
        <v>1002.6</v>
      </c>
      <c r="Q13" s="188">
        <v>1000.9</v>
      </c>
    </row>
    <row r="14" spans="2:18" x14ac:dyDescent="0.25">
      <c r="B14" s="188">
        <v>7</v>
      </c>
      <c r="C14" s="188">
        <v>39</v>
      </c>
      <c r="D14" s="188">
        <v>32.200000000000003</v>
      </c>
      <c r="E14" s="188">
        <v>28</v>
      </c>
      <c r="F14" s="188">
        <v>18</v>
      </c>
      <c r="G14" s="188">
        <v>15.3</v>
      </c>
      <c r="H14" s="188">
        <v>13</v>
      </c>
      <c r="I14" s="188">
        <v>48</v>
      </c>
      <c r="J14" s="188">
        <v>36.9</v>
      </c>
      <c r="K14" s="188">
        <v>22</v>
      </c>
      <c r="L14" s="188">
        <v>22</v>
      </c>
      <c r="M14" s="188">
        <v>9.1999999999999993</v>
      </c>
      <c r="N14" s="188">
        <v>0</v>
      </c>
      <c r="O14" s="188">
        <v>1002.9</v>
      </c>
      <c r="P14" s="188">
        <v>1001</v>
      </c>
      <c r="Q14" s="188">
        <v>999.9</v>
      </c>
    </row>
    <row r="15" spans="2:18" x14ac:dyDescent="0.25">
      <c r="B15" s="188">
        <v>8</v>
      </c>
      <c r="C15" s="188">
        <v>39</v>
      </c>
      <c r="D15" s="188">
        <v>33.700000000000003</v>
      </c>
      <c r="E15" s="188">
        <v>26</v>
      </c>
      <c r="F15" s="188">
        <v>21</v>
      </c>
      <c r="G15" s="188">
        <v>15.5</v>
      </c>
      <c r="H15" s="188">
        <v>12</v>
      </c>
      <c r="I15" s="188">
        <v>51</v>
      </c>
      <c r="J15" s="188">
        <v>34.5</v>
      </c>
      <c r="K15" s="188">
        <v>20</v>
      </c>
      <c r="L15" s="188">
        <v>19</v>
      </c>
      <c r="M15" s="188">
        <v>8.4</v>
      </c>
      <c r="N15" s="188">
        <v>0</v>
      </c>
      <c r="O15" s="188">
        <v>1000.9</v>
      </c>
      <c r="P15" s="188">
        <v>999.3</v>
      </c>
      <c r="Q15" s="188">
        <v>997.9</v>
      </c>
    </row>
    <row r="16" spans="2:18" x14ac:dyDescent="0.25">
      <c r="B16" s="188">
        <v>9</v>
      </c>
      <c r="C16" s="188">
        <v>38</v>
      </c>
      <c r="D16" s="188">
        <v>33</v>
      </c>
      <c r="E16" s="188">
        <v>29</v>
      </c>
      <c r="F16" s="188">
        <v>16</v>
      </c>
      <c r="G16" s="188">
        <v>14.1</v>
      </c>
      <c r="H16" s="188">
        <v>12</v>
      </c>
      <c r="I16" s="188">
        <v>45</v>
      </c>
      <c r="J16" s="188">
        <v>32.299999999999997</v>
      </c>
      <c r="K16" s="188">
        <v>21</v>
      </c>
      <c r="L16" s="188">
        <v>28</v>
      </c>
      <c r="M16" s="188">
        <v>15.9</v>
      </c>
      <c r="N16" s="188">
        <v>6</v>
      </c>
      <c r="O16" s="188">
        <v>1001.9</v>
      </c>
      <c r="P16" s="188">
        <v>1000.1</v>
      </c>
      <c r="Q16" s="188">
        <v>998.9</v>
      </c>
    </row>
    <row r="17" spans="2:17" x14ac:dyDescent="0.25">
      <c r="B17" s="188">
        <v>10</v>
      </c>
      <c r="C17" s="188">
        <v>38</v>
      </c>
      <c r="D17" s="188">
        <v>33</v>
      </c>
      <c r="E17" s="188">
        <v>28</v>
      </c>
      <c r="F17" s="188">
        <v>17</v>
      </c>
      <c r="G17" s="188">
        <v>13.5</v>
      </c>
      <c r="H17" s="188">
        <v>9</v>
      </c>
      <c r="I17" s="188">
        <v>51</v>
      </c>
      <c r="J17" s="188">
        <v>32</v>
      </c>
      <c r="K17" s="188">
        <v>18</v>
      </c>
      <c r="L17" s="188">
        <v>37</v>
      </c>
      <c r="M17" s="188">
        <v>22.5</v>
      </c>
      <c r="N17" s="188">
        <v>9</v>
      </c>
      <c r="O17" s="188">
        <v>1002.9</v>
      </c>
      <c r="P17" s="188">
        <v>1001.9</v>
      </c>
      <c r="Q17" s="188">
        <v>1000.9</v>
      </c>
    </row>
    <row r="18" spans="2:17" x14ac:dyDescent="0.25">
      <c r="B18" s="188">
        <v>11</v>
      </c>
      <c r="C18" s="188">
        <v>38</v>
      </c>
      <c r="D18" s="188">
        <v>33.5</v>
      </c>
      <c r="E18" s="188">
        <v>29</v>
      </c>
      <c r="F18" s="188">
        <v>17</v>
      </c>
      <c r="G18" s="188">
        <v>14.2</v>
      </c>
      <c r="H18" s="188">
        <v>12</v>
      </c>
      <c r="I18" s="188">
        <v>45</v>
      </c>
      <c r="J18" s="188">
        <v>31.5</v>
      </c>
      <c r="K18" s="188">
        <v>22</v>
      </c>
      <c r="L18" s="188">
        <v>31</v>
      </c>
      <c r="M18" s="188">
        <v>23.9</v>
      </c>
      <c r="N18" s="188">
        <v>19</v>
      </c>
      <c r="O18" s="188">
        <v>1003.9</v>
      </c>
      <c r="P18" s="188">
        <v>1002.1</v>
      </c>
      <c r="Q18" s="188">
        <v>1000.9</v>
      </c>
    </row>
    <row r="19" spans="2:17" x14ac:dyDescent="0.25">
      <c r="B19" s="188">
        <v>12</v>
      </c>
      <c r="C19" s="188">
        <v>37</v>
      </c>
      <c r="D19" s="188">
        <v>31.9</v>
      </c>
      <c r="E19" s="188">
        <v>26</v>
      </c>
      <c r="F19" s="188">
        <v>17</v>
      </c>
      <c r="G19" s="188">
        <v>15.6</v>
      </c>
      <c r="H19" s="188">
        <v>14</v>
      </c>
      <c r="I19" s="188">
        <v>51</v>
      </c>
      <c r="J19" s="188">
        <v>37.9</v>
      </c>
      <c r="K19" s="188">
        <v>29</v>
      </c>
      <c r="L19" s="188">
        <v>44</v>
      </c>
      <c r="M19" s="188">
        <v>32.5</v>
      </c>
      <c r="N19" s="188">
        <v>20</v>
      </c>
      <c r="O19" s="188">
        <v>1002.9</v>
      </c>
      <c r="P19" s="188">
        <v>1001.6</v>
      </c>
      <c r="Q19" s="188">
        <v>1000.9</v>
      </c>
    </row>
    <row r="20" spans="2:17" x14ac:dyDescent="0.25">
      <c r="B20" s="188">
        <v>13</v>
      </c>
      <c r="C20" s="188">
        <v>38</v>
      </c>
      <c r="D20" s="188">
        <v>33.799999999999997</v>
      </c>
      <c r="E20" s="188">
        <v>28</v>
      </c>
      <c r="F20" s="188">
        <v>21</v>
      </c>
      <c r="G20" s="188">
        <v>16.3</v>
      </c>
      <c r="H20" s="188">
        <v>13</v>
      </c>
      <c r="I20" s="188">
        <v>48</v>
      </c>
      <c r="J20" s="188">
        <v>35.5</v>
      </c>
      <c r="K20" s="188">
        <v>25</v>
      </c>
      <c r="L20" s="188">
        <v>26</v>
      </c>
      <c r="M20" s="188">
        <v>11.1</v>
      </c>
      <c r="N20" s="188">
        <v>0</v>
      </c>
      <c r="O20" s="188">
        <v>1000.9</v>
      </c>
      <c r="P20" s="188">
        <v>1000</v>
      </c>
      <c r="Q20" s="188">
        <v>997.9</v>
      </c>
    </row>
    <row r="21" spans="2:17" x14ac:dyDescent="0.25">
      <c r="B21" s="188">
        <v>14</v>
      </c>
      <c r="C21" s="188">
        <v>38</v>
      </c>
      <c r="D21" s="188">
        <v>33.5</v>
      </c>
      <c r="E21" s="188">
        <v>30</v>
      </c>
      <c r="F21" s="188">
        <v>21</v>
      </c>
      <c r="G21" s="188">
        <v>19.3</v>
      </c>
      <c r="H21" s="188">
        <v>17</v>
      </c>
      <c r="I21" s="188">
        <v>55</v>
      </c>
      <c r="J21" s="188">
        <v>43.4</v>
      </c>
      <c r="K21" s="188">
        <v>35</v>
      </c>
      <c r="L21" s="188">
        <v>35</v>
      </c>
      <c r="M21" s="188">
        <v>20.7</v>
      </c>
      <c r="N21" s="188">
        <v>0</v>
      </c>
      <c r="O21" s="188">
        <v>998.9</v>
      </c>
      <c r="P21" s="188">
        <v>997.7</v>
      </c>
      <c r="Q21" s="188">
        <v>996</v>
      </c>
    </row>
    <row r="22" spans="2:17" x14ac:dyDescent="0.25">
      <c r="B22" s="188">
        <v>15</v>
      </c>
      <c r="C22" s="188">
        <v>35</v>
      </c>
      <c r="D22" s="188">
        <v>30.5</v>
      </c>
      <c r="E22" s="188">
        <v>26</v>
      </c>
      <c r="F22" s="188">
        <v>21</v>
      </c>
      <c r="G22" s="188">
        <v>19.7</v>
      </c>
      <c r="H22" s="188">
        <v>18</v>
      </c>
      <c r="I22" s="188">
        <v>61</v>
      </c>
      <c r="J22" s="188">
        <v>52.7</v>
      </c>
      <c r="K22" s="188">
        <v>44</v>
      </c>
      <c r="L22" s="188">
        <v>35</v>
      </c>
      <c r="M22" s="188">
        <v>26.9</v>
      </c>
      <c r="N22" s="188">
        <v>19</v>
      </c>
      <c r="O22" s="188">
        <v>1001.9</v>
      </c>
      <c r="P22" s="188">
        <v>1000.2</v>
      </c>
      <c r="Q22" s="188">
        <v>997.9</v>
      </c>
    </row>
    <row r="23" spans="2:17" x14ac:dyDescent="0.25">
      <c r="B23" s="188">
        <v>16</v>
      </c>
      <c r="C23" s="188">
        <v>37</v>
      </c>
      <c r="D23" s="188">
        <v>30.9</v>
      </c>
      <c r="E23" s="188">
        <v>26</v>
      </c>
      <c r="F23" s="188">
        <v>23</v>
      </c>
      <c r="G23" s="188">
        <v>19.5</v>
      </c>
      <c r="H23" s="188">
        <v>7</v>
      </c>
      <c r="I23" s="188">
        <v>65</v>
      </c>
      <c r="J23" s="188">
        <v>51.6</v>
      </c>
      <c r="K23" s="188">
        <v>26</v>
      </c>
      <c r="L23" s="188">
        <v>31</v>
      </c>
      <c r="M23" s="188">
        <v>21.7</v>
      </c>
      <c r="N23" s="188">
        <v>4</v>
      </c>
      <c r="O23" s="188">
        <v>1002.9</v>
      </c>
      <c r="P23" s="188">
        <v>1001.2</v>
      </c>
      <c r="Q23" s="188">
        <v>999.9</v>
      </c>
    </row>
    <row r="24" spans="2:17" x14ac:dyDescent="0.25">
      <c r="B24" s="188">
        <v>17</v>
      </c>
      <c r="C24" s="188">
        <v>41</v>
      </c>
      <c r="D24" s="188">
        <v>34.200000000000003</v>
      </c>
      <c r="E24" s="188">
        <v>29</v>
      </c>
      <c r="F24" s="188">
        <v>23</v>
      </c>
      <c r="G24" s="188">
        <v>20.399999999999999</v>
      </c>
      <c r="H24" s="188">
        <v>17</v>
      </c>
      <c r="I24" s="188">
        <v>70</v>
      </c>
      <c r="J24" s="188">
        <v>45.8</v>
      </c>
      <c r="K24" s="188">
        <v>27</v>
      </c>
      <c r="L24" s="188">
        <v>31</v>
      </c>
      <c r="M24" s="188">
        <v>21.3</v>
      </c>
      <c r="N24" s="188">
        <v>11</v>
      </c>
      <c r="O24" s="188">
        <v>1002.9</v>
      </c>
      <c r="P24" s="188">
        <v>1001.2</v>
      </c>
      <c r="Q24" s="188">
        <v>999.9</v>
      </c>
    </row>
    <row r="25" spans="2:17" x14ac:dyDescent="0.25">
      <c r="B25" s="188">
        <v>18</v>
      </c>
      <c r="C25" s="188">
        <v>39</v>
      </c>
      <c r="D25" s="188">
        <v>33.4</v>
      </c>
      <c r="E25" s="188">
        <v>29</v>
      </c>
      <c r="F25" s="188">
        <v>22</v>
      </c>
      <c r="G25" s="188">
        <v>18.3</v>
      </c>
      <c r="H25" s="188">
        <v>13</v>
      </c>
      <c r="I25" s="188">
        <v>66</v>
      </c>
      <c r="J25" s="188">
        <v>42.6</v>
      </c>
      <c r="K25" s="188">
        <v>22</v>
      </c>
      <c r="L25" s="188">
        <v>35</v>
      </c>
      <c r="M25" s="188">
        <v>14.3</v>
      </c>
      <c r="N25" s="188">
        <v>0</v>
      </c>
      <c r="O25" s="188">
        <v>1001.9</v>
      </c>
      <c r="P25" s="188">
        <v>1000.2</v>
      </c>
      <c r="Q25" s="188">
        <v>998.9</v>
      </c>
    </row>
    <row r="26" spans="2:17" x14ac:dyDescent="0.25">
      <c r="B26" s="188">
        <v>19</v>
      </c>
      <c r="C26" s="188">
        <v>36</v>
      </c>
      <c r="D26" s="188">
        <v>30.3</v>
      </c>
      <c r="E26" s="188">
        <v>26</v>
      </c>
      <c r="F26" s="188">
        <v>23</v>
      </c>
      <c r="G26" s="188">
        <v>20.6</v>
      </c>
      <c r="H26" s="188">
        <v>18</v>
      </c>
      <c r="I26" s="188">
        <v>74</v>
      </c>
      <c r="J26" s="188">
        <v>57.2</v>
      </c>
      <c r="K26" s="188">
        <v>34</v>
      </c>
      <c r="L26" s="188">
        <v>35</v>
      </c>
      <c r="M26" s="188">
        <v>28.3</v>
      </c>
      <c r="N26" s="188">
        <v>19</v>
      </c>
      <c r="O26" s="188">
        <v>1002.9</v>
      </c>
      <c r="P26" s="188">
        <v>1001.3</v>
      </c>
      <c r="Q26" s="188">
        <v>998.9</v>
      </c>
    </row>
    <row r="27" spans="2:17" x14ac:dyDescent="0.25">
      <c r="B27" s="188">
        <v>20</v>
      </c>
      <c r="C27" s="188">
        <v>35</v>
      </c>
      <c r="D27" s="188">
        <v>30.2</v>
      </c>
      <c r="E27" s="188">
        <v>25</v>
      </c>
      <c r="F27" s="188">
        <v>23</v>
      </c>
      <c r="G27" s="188">
        <v>20.8</v>
      </c>
      <c r="H27" s="188">
        <v>19</v>
      </c>
      <c r="I27" s="188">
        <v>74</v>
      </c>
      <c r="J27" s="188">
        <v>57.9</v>
      </c>
      <c r="K27" s="188">
        <v>44</v>
      </c>
      <c r="L27" s="188">
        <v>31</v>
      </c>
      <c r="M27" s="188">
        <v>25.1</v>
      </c>
      <c r="N27" s="188">
        <v>11</v>
      </c>
      <c r="O27" s="188">
        <v>1003.9</v>
      </c>
      <c r="P27" s="188">
        <v>1001.8</v>
      </c>
      <c r="Q27" s="188">
        <v>1000.9</v>
      </c>
    </row>
    <row r="28" spans="2:17" x14ac:dyDescent="0.25">
      <c r="B28" s="188">
        <v>21</v>
      </c>
      <c r="C28" s="188">
        <v>37</v>
      </c>
      <c r="D28" s="188">
        <v>31.8</v>
      </c>
      <c r="E28" s="188">
        <v>26</v>
      </c>
      <c r="F28" s="188">
        <v>26</v>
      </c>
      <c r="G28" s="188">
        <v>20.7</v>
      </c>
      <c r="H28" s="188">
        <v>14</v>
      </c>
      <c r="I28" s="188">
        <v>74</v>
      </c>
      <c r="J28" s="188">
        <v>53.5</v>
      </c>
      <c r="K28" s="188">
        <v>28</v>
      </c>
      <c r="L28" s="188">
        <v>30</v>
      </c>
      <c r="M28" s="188">
        <v>15.3</v>
      </c>
      <c r="N28" s="188">
        <v>0</v>
      </c>
      <c r="O28" s="188">
        <v>1003.9</v>
      </c>
      <c r="P28" s="188">
        <v>1002.1</v>
      </c>
      <c r="Q28" s="188">
        <v>1000.9</v>
      </c>
    </row>
    <row r="29" spans="2:17" x14ac:dyDescent="0.25">
      <c r="B29" s="188">
        <v>22</v>
      </c>
      <c r="C29" s="188">
        <v>40</v>
      </c>
      <c r="D29" s="188">
        <v>34.799999999999997</v>
      </c>
      <c r="E29" s="188">
        <v>28</v>
      </c>
      <c r="F29" s="188">
        <v>20</v>
      </c>
      <c r="G29" s="188">
        <v>13.3</v>
      </c>
      <c r="H29" s="188">
        <v>9</v>
      </c>
      <c r="I29" s="188">
        <v>48</v>
      </c>
      <c r="J29" s="188">
        <v>28.8</v>
      </c>
      <c r="K29" s="188">
        <v>17</v>
      </c>
      <c r="L29" s="188">
        <v>20</v>
      </c>
      <c r="M29" s="188">
        <v>9.1</v>
      </c>
      <c r="N29" s="188">
        <v>0</v>
      </c>
      <c r="O29" s="188">
        <v>1002.9</v>
      </c>
      <c r="P29" s="188">
        <v>1001.2</v>
      </c>
      <c r="Q29" s="188">
        <v>999.9</v>
      </c>
    </row>
    <row r="30" spans="2:17" x14ac:dyDescent="0.25">
      <c r="B30" s="188">
        <v>23</v>
      </c>
      <c r="C30" s="188">
        <v>39</v>
      </c>
      <c r="D30" s="188">
        <v>34.299999999999997</v>
      </c>
      <c r="E30" s="188">
        <v>29</v>
      </c>
      <c r="F30" s="188">
        <v>17</v>
      </c>
      <c r="G30" s="188">
        <v>11.7</v>
      </c>
      <c r="H30" s="188">
        <v>9</v>
      </c>
      <c r="I30" s="188">
        <v>48</v>
      </c>
      <c r="J30" s="188">
        <v>26.2</v>
      </c>
      <c r="K30" s="188">
        <v>17</v>
      </c>
      <c r="L30" s="188">
        <v>33</v>
      </c>
      <c r="M30" s="188">
        <v>23.9</v>
      </c>
      <c r="N30" s="188">
        <v>11</v>
      </c>
      <c r="O30" s="188">
        <v>1004.9</v>
      </c>
      <c r="P30" s="188">
        <v>1003.2</v>
      </c>
      <c r="Q30" s="188">
        <v>1000.9</v>
      </c>
    </row>
    <row r="31" spans="2:17" x14ac:dyDescent="0.25">
      <c r="B31" s="188">
        <v>24</v>
      </c>
      <c r="C31" s="188">
        <v>37</v>
      </c>
      <c r="D31" s="188">
        <v>32.200000000000003</v>
      </c>
      <c r="E31" s="188">
        <v>28</v>
      </c>
      <c r="F31" s="188">
        <v>16</v>
      </c>
      <c r="G31" s="188">
        <v>12.5</v>
      </c>
      <c r="H31" s="188">
        <v>9</v>
      </c>
      <c r="I31" s="188">
        <v>45</v>
      </c>
      <c r="J31" s="188">
        <v>30.5</v>
      </c>
      <c r="K31" s="188">
        <v>19</v>
      </c>
      <c r="L31" s="188">
        <v>37</v>
      </c>
      <c r="M31" s="188">
        <v>28.6</v>
      </c>
      <c r="N31" s="188">
        <v>19</v>
      </c>
      <c r="O31" s="188">
        <v>1005.9</v>
      </c>
      <c r="P31" s="188">
        <v>1004</v>
      </c>
      <c r="Q31" s="188">
        <v>1002.9</v>
      </c>
    </row>
    <row r="32" spans="2:17" x14ac:dyDescent="0.25">
      <c r="B32" s="188">
        <v>25</v>
      </c>
      <c r="C32" s="188">
        <v>36</v>
      </c>
      <c r="D32" s="188">
        <v>30.8</v>
      </c>
      <c r="E32" s="188">
        <v>26</v>
      </c>
      <c r="F32" s="188">
        <v>17</v>
      </c>
      <c r="G32" s="188">
        <v>14.5</v>
      </c>
      <c r="H32" s="188">
        <v>12</v>
      </c>
      <c r="I32" s="188">
        <v>57</v>
      </c>
      <c r="J32" s="188">
        <v>38.299999999999997</v>
      </c>
      <c r="K32" s="188">
        <v>26</v>
      </c>
      <c r="L32" s="188">
        <v>41</v>
      </c>
      <c r="M32" s="188">
        <v>28.1</v>
      </c>
      <c r="N32" s="188">
        <v>19</v>
      </c>
      <c r="O32" s="188">
        <v>1002.9</v>
      </c>
      <c r="P32" s="188">
        <v>1001</v>
      </c>
      <c r="Q32" s="188">
        <v>998.9</v>
      </c>
    </row>
    <row r="33" spans="2:17" x14ac:dyDescent="0.25">
      <c r="B33" s="188">
        <v>26</v>
      </c>
      <c r="C33" s="188">
        <v>36</v>
      </c>
      <c r="D33" s="188">
        <v>31.5</v>
      </c>
      <c r="E33" s="188">
        <v>26</v>
      </c>
      <c r="F33" s="188">
        <v>19</v>
      </c>
      <c r="G33" s="188">
        <v>15.4</v>
      </c>
      <c r="H33" s="188">
        <v>9</v>
      </c>
      <c r="I33" s="188">
        <v>65</v>
      </c>
      <c r="J33" s="188">
        <v>39.6</v>
      </c>
      <c r="K33" s="188">
        <v>19</v>
      </c>
      <c r="L33" s="188">
        <v>30</v>
      </c>
      <c r="M33" s="188">
        <v>23.5</v>
      </c>
      <c r="N33" s="188">
        <v>15</v>
      </c>
      <c r="O33" s="188">
        <v>999.9</v>
      </c>
      <c r="P33" s="188">
        <v>998.6</v>
      </c>
      <c r="Q33" s="188">
        <v>997</v>
      </c>
    </row>
    <row r="34" spans="2:17" x14ac:dyDescent="0.25">
      <c r="B34" s="188">
        <v>27</v>
      </c>
      <c r="C34" s="188">
        <v>38</v>
      </c>
      <c r="D34" s="188">
        <v>32.1</v>
      </c>
      <c r="E34" s="188">
        <v>28</v>
      </c>
      <c r="F34" s="188">
        <v>19</v>
      </c>
      <c r="G34" s="188">
        <v>16.2</v>
      </c>
      <c r="H34" s="188">
        <v>13</v>
      </c>
      <c r="I34" s="188">
        <v>58</v>
      </c>
      <c r="J34" s="188">
        <v>39.1</v>
      </c>
      <c r="K34" s="188">
        <v>25</v>
      </c>
      <c r="L34" s="188">
        <v>26</v>
      </c>
      <c r="M34" s="188">
        <v>15.1</v>
      </c>
      <c r="N34" s="188">
        <v>0</v>
      </c>
      <c r="O34" s="188">
        <v>999.9</v>
      </c>
      <c r="P34" s="188">
        <v>998.8</v>
      </c>
      <c r="Q34" s="188">
        <v>997.9</v>
      </c>
    </row>
    <row r="35" spans="2:17" x14ac:dyDescent="0.25">
      <c r="B35" s="188">
        <v>28</v>
      </c>
      <c r="C35" s="188">
        <v>39</v>
      </c>
      <c r="D35" s="188">
        <v>33.4</v>
      </c>
      <c r="E35" s="188">
        <v>28</v>
      </c>
      <c r="F35" s="188">
        <v>18</v>
      </c>
      <c r="G35" s="188">
        <v>15.5</v>
      </c>
      <c r="H35" s="188">
        <v>12</v>
      </c>
      <c r="I35" s="188">
        <v>54</v>
      </c>
      <c r="J35" s="188">
        <v>35.1</v>
      </c>
      <c r="K35" s="188">
        <v>20</v>
      </c>
      <c r="L35" s="188">
        <v>26</v>
      </c>
      <c r="M35" s="188">
        <v>14.2</v>
      </c>
      <c r="N35" s="188">
        <v>0</v>
      </c>
      <c r="O35" s="188">
        <v>999.9</v>
      </c>
      <c r="P35" s="188">
        <v>998.6</v>
      </c>
      <c r="Q35" s="188">
        <v>997</v>
      </c>
    </row>
    <row r="36" spans="2:17" x14ac:dyDescent="0.25">
      <c r="B36" s="188">
        <v>29</v>
      </c>
      <c r="C36" s="188">
        <v>38</v>
      </c>
      <c r="D36" s="188">
        <v>33.5</v>
      </c>
      <c r="E36" s="188">
        <v>29</v>
      </c>
      <c r="F36" s="188">
        <v>16</v>
      </c>
      <c r="G36" s="188">
        <v>13.3</v>
      </c>
      <c r="H36" s="188">
        <v>10</v>
      </c>
      <c r="I36" s="188">
        <v>45</v>
      </c>
      <c r="J36" s="188">
        <v>30</v>
      </c>
      <c r="K36" s="188">
        <v>20</v>
      </c>
      <c r="L36" s="188">
        <v>31</v>
      </c>
      <c r="M36" s="188">
        <v>18.2</v>
      </c>
      <c r="N36" s="188">
        <v>0</v>
      </c>
      <c r="O36" s="188">
        <v>998.9</v>
      </c>
      <c r="P36" s="188">
        <v>997.7</v>
      </c>
      <c r="Q36" s="188">
        <v>996</v>
      </c>
    </row>
    <row r="37" spans="2:17" x14ac:dyDescent="0.25">
      <c r="B37" s="188">
        <v>30</v>
      </c>
      <c r="C37" s="188">
        <v>37</v>
      </c>
      <c r="D37" s="188">
        <v>33.700000000000003</v>
      </c>
      <c r="E37" s="188">
        <v>29</v>
      </c>
      <c r="F37" s="188">
        <v>15</v>
      </c>
      <c r="G37" s="188">
        <v>11.5</v>
      </c>
      <c r="H37" s="188">
        <v>8</v>
      </c>
      <c r="I37" s="188">
        <v>40</v>
      </c>
      <c r="J37" s="188">
        <v>26.3</v>
      </c>
      <c r="K37" s="188">
        <v>19</v>
      </c>
      <c r="L37" s="188">
        <v>26</v>
      </c>
      <c r="M37" s="188">
        <v>17.100000000000001</v>
      </c>
      <c r="N37" s="188">
        <v>7</v>
      </c>
      <c r="O37" s="188">
        <v>998.9</v>
      </c>
      <c r="P37" s="188">
        <v>997</v>
      </c>
      <c r="Q37" s="188">
        <v>996</v>
      </c>
    </row>
    <row r="38" spans="2:17" ht="13.8" x14ac:dyDescent="0.25">
      <c r="L38" s="186"/>
      <c r="M38" s="186"/>
      <c r="N38" s="186"/>
    </row>
  </sheetData>
  <mergeCells count="6">
    <mergeCell ref="B5:R5"/>
    <mergeCell ref="C6:E6"/>
    <mergeCell ref="F6:H6"/>
    <mergeCell ref="I6:K6"/>
    <mergeCell ref="L6:N6"/>
    <mergeCell ref="O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Total</vt:lpstr>
      <vt:lpstr>Cost.2.25</vt:lpstr>
      <vt:lpstr>Reading.2.25</vt:lpstr>
      <vt:lpstr>Sheet1</vt:lpstr>
      <vt:lpstr>Electricity Chart</vt:lpstr>
      <vt:lpstr>Water Consumption</vt:lpstr>
      <vt:lpstr>Energy Per Occ. Room</vt:lpstr>
      <vt:lpstr>Reading.2.25!Print_Area</vt:lpstr>
      <vt:lpstr>Cost.2.25!Print_Titles</vt:lpstr>
    </vt:vector>
  </TitlesOfParts>
  <Manager/>
  <Company>Rotana Hotels Co.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T.Elserougi</dc:creator>
  <cp:keywords/>
  <dc:description/>
  <cp:lastModifiedBy>Joe Alkhoury</cp:lastModifiedBy>
  <cp:revision/>
  <dcterms:created xsi:type="dcterms:W3CDTF">2006-04-11T08:27:10Z</dcterms:created>
  <dcterms:modified xsi:type="dcterms:W3CDTF">2025-03-13T18:46:39Z</dcterms:modified>
  <cp:category/>
  <cp:contentStatus/>
</cp:coreProperties>
</file>