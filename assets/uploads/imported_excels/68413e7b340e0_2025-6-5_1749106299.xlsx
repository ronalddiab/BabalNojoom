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5\"/>
    </mc:Choice>
  </mc:AlternateContent>
  <xr:revisionPtr revIDLastSave="0" documentId="13_ncr:1_{22FA2BCD-C924-4230-A268-385B09B03079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May 31" sheetId="1528" r:id="rId3"/>
    <sheet name="May 30" sheetId="1527" r:id="rId4"/>
    <sheet name="May 29" sheetId="1526" r:id="rId5"/>
    <sheet name="May 28" sheetId="1525" r:id="rId6"/>
    <sheet name="May 27" sheetId="1524" r:id="rId7"/>
    <sheet name="May 26" sheetId="1523" r:id="rId8"/>
    <sheet name="May 25" sheetId="1522" r:id="rId9"/>
    <sheet name="May 24" sheetId="1521" r:id="rId10"/>
    <sheet name="May 23" sheetId="1520" r:id="rId11"/>
    <sheet name="May 22" sheetId="1519" r:id="rId12"/>
    <sheet name="May 21" sheetId="1518" r:id="rId13"/>
    <sheet name="May 20" sheetId="1517" r:id="rId14"/>
    <sheet name="May 19" sheetId="1516" r:id="rId15"/>
    <sheet name="May 18" sheetId="1515" r:id="rId16"/>
    <sheet name="May 17" sheetId="1514" r:id="rId17"/>
    <sheet name="May 16" sheetId="1513" r:id="rId18"/>
    <sheet name="May 15" sheetId="1512" r:id="rId19"/>
    <sheet name="May 14" sheetId="1511" r:id="rId20"/>
    <sheet name="May 13" sheetId="1510" r:id="rId21"/>
    <sheet name="May 12" sheetId="1509" r:id="rId22"/>
    <sheet name="May 11" sheetId="1508" r:id="rId23"/>
    <sheet name="May 10" sheetId="1507" r:id="rId24"/>
    <sheet name="May 09" sheetId="1506" r:id="rId25"/>
    <sheet name="May 08" sheetId="1505" r:id="rId26"/>
    <sheet name="May 07" sheetId="1504" r:id="rId27"/>
    <sheet name="May 06" sheetId="1503" r:id="rId28"/>
    <sheet name="May 05" sheetId="1502" r:id="rId29"/>
    <sheet name="May 04" sheetId="1501" r:id="rId30"/>
    <sheet name="May 03" sheetId="1500" r:id="rId31"/>
    <sheet name="May 02" sheetId="1499" r:id="rId32"/>
    <sheet name="May 01" sheetId="1498" r:id="rId33"/>
  </sheets>
  <definedNames>
    <definedName name="_xlnm._FilterDatabase" localSheetId="1" hidden="1">'MTD Utility Sheet'!$A$1:$J$35</definedName>
    <definedName name="_xlnm.Print_Area" localSheetId="32">'May 01'!$A$1:$H$36</definedName>
    <definedName name="_xlnm.Print_Area" localSheetId="31">'May 02'!$A$1:$H$36</definedName>
    <definedName name="_xlnm.Print_Area" localSheetId="30">'May 03'!$A$1:$H$36</definedName>
    <definedName name="_xlnm.Print_Area" localSheetId="29">'May 04'!$A$1:$H$36</definedName>
    <definedName name="_xlnm.Print_Area" localSheetId="28">'May 05'!$A$1:$H$36</definedName>
    <definedName name="_xlnm.Print_Area" localSheetId="27">'May 06'!$A$1:$H$36</definedName>
    <definedName name="_xlnm.Print_Area" localSheetId="26">'May 07'!$A$1:$H$36</definedName>
    <definedName name="_xlnm.Print_Area" localSheetId="25">'May 08'!$A$1:$H$36</definedName>
    <definedName name="_xlnm.Print_Area" localSheetId="24">'May 09'!$A$1:$H$36</definedName>
    <definedName name="_xlnm.Print_Area" localSheetId="23">'May 10'!$A$1:$H$36</definedName>
    <definedName name="_xlnm.Print_Area" localSheetId="22">'May 11'!$A$1:$H$36</definedName>
    <definedName name="_xlnm.Print_Area" localSheetId="21">'May 12'!$A$1:$H$36</definedName>
    <definedName name="_xlnm.Print_Area" localSheetId="20">'May 13'!$A$1:$H$36</definedName>
    <definedName name="_xlnm.Print_Area" localSheetId="19">'May 14'!$A$1:$H$36</definedName>
    <definedName name="_xlnm.Print_Area" localSheetId="18">'May 15'!$A$1:$H$36</definedName>
    <definedName name="_xlnm.Print_Area" localSheetId="17">'May 16'!$A$1:$H$36</definedName>
    <definedName name="_xlnm.Print_Area" localSheetId="16">'May 17'!$A$1:$H$36</definedName>
    <definedName name="_xlnm.Print_Area" localSheetId="15">'May 18'!$A$1:$H$36</definedName>
    <definedName name="_xlnm.Print_Area" localSheetId="14">'May 19'!$A$1:$H$36</definedName>
    <definedName name="_xlnm.Print_Area" localSheetId="13">'May 20'!$A$1:$H$36</definedName>
    <definedName name="_xlnm.Print_Area" localSheetId="12">'May 21'!$A$1:$H$36</definedName>
    <definedName name="_xlnm.Print_Area" localSheetId="11">'May 22'!$A$1:$H$36</definedName>
    <definedName name="_xlnm.Print_Area" localSheetId="10">'May 23'!$A$1:$H$36</definedName>
    <definedName name="_xlnm.Print_Area" localSheetId="9">'May 24'!$A$1:$H$36</definedName>
    <definedName name="_xlnm.Print_Area" localSheetId="8">'May 25'!$A$1:$H$36</definedName>
    <definedName name="_xlnm.Print_Area" localSheetId="7">'May 26'!$A$1:$H$36</definedName>
    <definedName name="_xlnm.Print_Area" localSheetId="6">'May 27'!$A$1:$H$36</definedName>
    <definedName name="_xlnm.Print_Area" localSheetId="5">'May 28'!$A$1:$H$36</definedName>
    <definedName name="_xlnm.Print_Area" localSheetId="4">'May 29'!$A$1:$H$36</definedName>
    <definedName name="_xlnm.Print_Area" localSheetId="3">'May 30'!$A$1:$H$36</definedName>
    <definedName name="_xlnm.Print_Area" localSheetId="2">'May 31'!$A$1:$H$36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094" l="1"/>
  <c r="G5" i="1094" l="1"/>
  <c r="H33" i="1528"/>
  <c r="H34" i="1528"/>
  <c r="F24" i="1528"/>
  <c r="H24" i="1528" s="1"/>
  <c r="H13" i="1528"/>
  <c r="H12" i="1528"/>
  <c r="H11" i="1528"/>
  <c r="F4" i="1528"/>
  <c r="H4" i="1528" s="1"/>
  <c r="D7" i="1528" s="1"/>
  <c r="H35" i="1528" l="1"/>
  <c r="H14" i="1528"/>
  <c r="H15" i="1528" s="1"/>
  <c r="D20" i="1528" s="1"/>
  <c r="D30" i="1528"/>
  <c r="D29" i="1528"/>
  <c r="D28" i="1528"/>
  <c r="D6" i="1528"/>
  <c r="D9" i="1528" s="1"/>
  <c r="H34" i="1527"/>
  <c r="H33" i="1527"/>
  <c r="F24" i="1527"/>
  <c r="H24" i="1527" s="1"/>
  <c r="H13" i="1527"/>
  <c r="H12" i="1527"/>
  <c r="H11" i="1527"/>
  <c r="F4" i="1527"/>
  <c r="H4" i="1527" s="1"/>
  <c r="D7" i="1527" s="1"/>
  <c r="H35" i="1527" l="1"/>
  <c r="D31" i="1528"/>
  <c r="D21" i="1528"/>
  <c r="D22" i="1528" s="1"/>
  <c r="H36" i="1528" s="1"/>
  <c r="H14" i="1527"/>
  <c r="H15" i="1527" s="1"/>
  <c r="D20" i="1527" s="1"/>
  <c r="D30" i="1527"/>
  <c r="D29" i="1527"/>
  <c r="D28" i="1527"/>
  <c r="D6" i="1527"/>
  <c r="D9" i="1527" s="1"/>
  <c r="H34" i="1526"/>
  <c r="H33" i="1526"/>
  <c r="F24" i="1526"/>
  <c r="H24" i="1526" s="1"/>
  <c r="H13" i="1526"/>
  <c r="H12" i="1526"/>
  <c r="H11" i="1526"/>
  <c r="F4" i="1526"/>
  <c r="H4" i="1526" s="1"/>
  <c r="H35" i="1526" l="1"/>
  <c r="D21" i="1527"/>
  <c r="D22" i="1527" s="1"/>
  <c r="D31" i="1527"/>
  <c r="H14" i="1526"/>
  <c r="H15" i="1526" s="1"/>
  <c r="D20" i="1526" s="1"/>
  <c r="D30" i="1526"/>
  <c r="D28" i="1526"/>
  <c r="D6" i="1526"/>
  <c r="D7" i="1526"/>
  <c r="D29" i="1526"/>
  <c r="H34" i="1525"/>
  <c r="H33" i="1525"/>
  <c r="F24" i="1525"/>
  <c r="H24" i="1525" s="1"/>
  <c r="D30" i="1525" s="1"/>
  <c r="H13" i="1525"/>
  <c r="H12" i="1525"/>
  <c r="H11" i="1525"/>
  <c r="F4" i="1525"/>
  <c r="H4" i="1525" s="1"/>
  <c r="D31" i="1526" l="1"/>
  <c r="H14" i="1525"/>
  <c r="H15" i="1525" s="1"/>
  <c r="D21" i="1525" s="1"/>
  <c r="H35" i="1525"/>
  <c r="H36" i="1527"/>
  <c r="D21" i="1526"/>
  <c r="D22" i="1526"/>
  <c r="D9" i="1526"/>
  <c r="D7" i="1525"/>
  <c r="D6" i="1525"/>
  <c r="D20" i="1525"/>
  <c r="D28" i="1525"/>
  <c r="D29" i="1525"/>
  <c r="H34" i="1524"/>
  <c r="H33" i="1524"/>
  <c r="H35" i="1524" s="1"/>
  <c r="F24" i="1524"/>
  <c r="H24" i="1524" s="1"/>
  <c r="D30" i="1524" s="1"/>
  <c r="H13" i="1524"/>
  <c r="H12" i="1524"/>
  <c r="H11" i="1524"/>
  <c r="F4" i="1524"/>
  <c r="H4" i="1524" s="1"/>
  <c r="D22" i="1525" l="1"/>
  <c r="H36" i="1526"/>
  <c r="D9" i="1525"/>
  <c r="D31" i="1525"/>
  <c r="H14" i="1524"/>
  <c r="H15" i="1524" s="1"/>
  <c r="D21" i="1524" s="1"/>
  <c r="D6" i="1524"/>
  <c r="D7" i="1524"/>
  <c r="D29" i="1524"/>
  <c r="D28" i="1524"/>
  <c r="H34" i="1523"/>
  <c r="H33" i="1523"/>
  <c r="H35" i="1523" s="1"/>
  <c r="F24" i="1523"/>
  <c r="H24" i="1523" s="1"/>
  <c r="D30" i="1523" s="1"/>
  <c r="H13" i="1523"/>
  <c r="H12" i="1523"/>
  <c r="H11" i="1523"/>
  <c r="F4" i="1523"/>
  <c r="H4" i="1523" s="1"/>
  <c r="D31" i="1524" l="1"/>
  <c r="H36" i="1525"/>
  <c r="D20" i="1524"/>
  <c r="D22" i="1524" s="1"/>
  <c r="D9" i="1524"/>
  <c r="H14" i="1523"/>
  <c r="H15" i="1523" s="1"/>
  <c r="D21" i="1523" s="1"/>
  <c r="D7" i="1523"/>
  <c r="D6" i="1523"/>
  <c r="D28" i="1523"/>
  <c r="D29" i="1523"/>
  <c r="H34" i="1522"/>
  <c r="H33" i="1522"/>
  <c r="H35" i="1522" s="1"/>
  <c r="F24" i="1522"/>
  <c r="H24" i="1522" s="1"/>
  <c r="H13" i="1522"/>
  <c r="H12" i="1522"/>
  <c r="H11" i="1522"/>
  <c r="F4" i="1522"/>
  <c r="H4" i="1522" s="1"/>
  <c r="D6" i="1522" s="1"/>
  <c r="H36" i="1524" l="1"/>
  <c r="D31" i="1523"/>
  <c r="D20" i="1523"/>
  <c r="D22" i="1523" s="1"/>
  <c r="D9" i="1523"/>
  <c r="H14" i="1522"/>
  <c r="H15" i="1522" s="1"/>
  <c r="D21" i="1522" s="1"/>
  <c r="D30" i="1522"/>
  <c r="D29" i="1522"/>
  <c r="D28" i="1522"/>
  <c r="D20" i="1522"/>
  <c r="D7" i="1522"/>
  <c r="D9" i="1522" s="1"/>
  <c r="H34" i="1521"/>
  <c r="H33" i="1521"/>
  <c r="F24" i="1521"/>
  <c r="H24" i="1521" s="1"/>
  <c r="D30" i="1521" s="1"/>
  <c r="H13" i="1521"/>
  <c r="H12" i="1521"/>
  <c r="H11" i="1521"/>
  <c r="F4" i="1521"/>
  <c r="H4" i="1521" s="1"/>
  <c r="D31" i="1522" l="1"/>
  <c r="H36" i="1522" s="1"/>
  <c r="H35" i="1521"/>
  <c r="H36" i="1523"/>
  <c r="D22" i="1522"/>
  <c r="H14" i="1521"/>
  <c r="H15" i="1521" s="1"/>
  <c r="D21" i="1521" s="1"/>
  <c r="D6" i="1521"/>
  <c r="D7" i="1521"/>
  <c r="D28" i="1521"/>
  <c r="D29" i="1521"/>
  <c r="H34" i="1520"/>
  <c r="H33" i="1520"/>
  <c r="F24" i="1520"/>
  <c r="H24" i="1520" s="1"/>
  <c r="H13" i="1520"/>
  <c r="H12" i="1520"/>
  <c r="H11" i="1520"/>
  <c r="F4" i="1520"/>
  <c r="H4" i="1520" s="1"/>
  <c r="D20" i="1521" l="1"/>
  <c r="D22" i="1521" s="1"/>
  <c r="D9" i="1521"/>
  <c r="D31" i="1521"/>
  <c r="H35" i="1520"/>
  <c r="H14" i="1520"/>
  <c r="H15" i="1520" s="1"/>
  <c r="D20" i="1520" s="1"/>
  <c r="D6" i="1520"/>
  <c r="D7" i="1520"/>
  <c r="D30" i="1520"/>
  <c r="D29" i="1520"/>
  <c r="D28" i="1520"/>
  <c r="H34" i="1519"/>
  <c r="H33" i="1519"/>
  <c r="F24" i="1519"/>
  <c r="H24" i="1519" s="1"/>
  <c r="D30" i="1519" s="1"/>
  <c r="H13" i="1519"/>
  <c r="H12" i="1519"/>
  <c r="H11" i="1519"/>
  <c r="F4" i="1519"/>
  <c r="H4" i="1519" s="1"/>
  <c r="H36" i="1521" l="1"/>
  <c r="D31" i="1520"/>
  <c r="D21" i="1520"/>
  <c r="D22" i="1520" s="1"/>
  <c r="D9" i="1520"/>
  <c r="H14" i="1519"/>
  <c r="H15" i="1519" s="1"/>
  <c r="D21" i="1519" s="1"/>
  <c r="H35" i="1519"/>
  <c r="D7" i="1519"/>
  <c r="D6" i="1519"/>
  <c r="D29" i="1519"/>
  <c r="D28" i="1519"/>
  <c r="H34" i="1518"/>
  <c r="H33" i="1518"/>
  <c r="F24" i="1518"/>
  <c r="H24" i="1518" s="1"/>
  <c r="H13" i="1518"/>
  <c r="H12" i="1518"/>
  <c r="H11" i="1518"/>
  <c r="F4" i="1518"/>
  <c r="H4" i="1518" s="1"/>
  <c r="D7" i="1518" s="1"/>
  <c r="D31" i="1519" l="1"/>
  <c r="D20" i="1519"/>
  <c r="D22" i="1519" s="1"/>
  <c r="D9" i="1519"/>
  <c r="H36" i="1519" s="1"/>
  <c r="H36" i="1520"/>
  <c r="H35" i="1518"/>
  <c r="H14" i="1518"/>
  <c r="H15" i="1518" s="1"/>
  <c r="D20" i="1518" s="1"/>
  <c r="D29" i="1518"/>
  <c r="D28" i="1518"/>
  <c r="D30" i="1518"/>
  <c r="D6" i="1518"/>
  <c r="D9" i="1518" s="1"/>
  <c r="H34" i="1517"/>
  <c r="H35" i="1517" s="1"/>
  <c r="H33" i="1517"/>
  <c r="F24" i="1517"/>
  <c r="H24" i="1517" s="1"/>
  <c r="H13" i="1517"/>
  <c r="H12" i="1517"/>
  <c r="H11" i="1517"/>
  <c r="F4" i="1517"/>
  <c r="H4" i="1517" s="1"/>
  <c r="D21" i="1518" l="1"/>
  <c r="D22" i="1518" s="1"/>
  <c r="D31" i="1518"/>
  <c r="H14" i="1517"/>
  <c r="H15" i="1517" s="1"/>
  <c r="D21" i="1517" s="1"/>
  <c r="D28" i="1517"/>
  <c r="D30" i="1517"/>
  <c r="D29" i="1517"/>
  <c r="D6" i="1517"/>
  <c r="D7" i="1517"/>
  <c r="H34" i="1516"/>
  <c r="H33" i="1516"/>
  <c r="F24" i="1516"/>
  <c r="H24" i="1516" s="1"/>
  <c r="H13" i="1516"/>
  <c r="H12" i="1516"/>
  <c r="H11" i="1516"/>
  <c r="F4" i="1516"/>
  <c r="H4" i="1516" s="1"/>
  <c r="D9" i="1517" l="1"/>
  <c r="H35" i="1516"/>
  <c r="H36" i="1518"/>
  <c r="D20" i="1517"/>
  <c r="D22" i="1517" s="1"/>
  <c r="D31" i="1517"/>
  <c r="D30" i="1516"/>
  <c r="D28" i="1516"/>
  <c r="H14" i="1516"/>
  <c r="H15" i="1516" s="1"/>
  <c r="D20" i="1516" s="1"/>
  <c r="D6" i="1516"/>
  <c r="D7" i="1516"/>
  <c r="D29" i="1516"/>
  <c r="H34" i="1515"/>
  <c r="H33" i="1515"/>
  <c r="F24" i="1515"/>
  <c r="H24" i="1515" s="1"/>
  <c r="D30" i="1515" s="1"/>
  <c r="H13" i="1515"/>
  <c r="H12" i="1515"/>
  <c r="H11" i="1515"/>
  <c r="F4" i="1515"/>
  <c r="H4" i="1515" s="1"/>
  <c r="H35" i="1515" l="1"/>
  <c r="H36" i="1517"/>
  <c r="D31" i="1516"/>
  <c r="D21" i="1516"/>
  <c r="D22" i="1516" s="1"/>
  <c r="D9" i="1516"/>
  <c r="H14" i="1515"/>
  <c r="H15" i="1515" s="1"/>
  <c r="D21" i="1515" s="1"/>
  <c r="D7" i="1515"/>
  <c r="D6" i="1515"/>
  <c r="D28" i="1515"/>
  <c r="D29" i="1515"/>
  <c r="H34" i="1514"/>
  <c r="H33" i="1514"/>
  <c r="F24" i="1514"/>
  <c r="H24" i="1514" s="1"/>
  <c r="H13" i="1514"/>
  <c r="H12" i="1514"/>
  <c r="H11" i="1514"/>
  <c r="F4" i="1514"/>
  <c r="H4" i="1514" s="1"/>
  <c r="D6" i="1514" s="1"/>
  <c r="H35" i="1514" l="1"/>
  <c r="H36" i="1516"/>
  <c r="D20" i="1515"/>
  <c r="D22" i="1515" s="1"/>
  <c r="D9" i="1515"/>
  <c r="D31" i="1515"/>
  <c r="H14" i="1514"/>
  <c r="H15" i="1514" s="1"/>
  <c r="D21" i="1514" s="1"/>
  <c r="D30" i="1514"/>
  <c r="D29" i="1514"/>
  <c r="D28" i="1514"/>
  <c r="D31" i="1514" s="1"/>
  <c r="D7" i="1514"/>
  <c r="D9" i="1514" s="1"/>
  <c r="H34" i="1513"/>
  <c r="H33" i="1513"/>
  <c r="F24" i="1513"/>
  <c r="H24" i="1513" s="1"/>
  <c r="H13" i="1513"/>
  <c r="H12" i="1513"/>
  <c r="H11" i="1513"/>
  <c r="F4" i="1513"/>
  <c r="H4" i="1513" s="1"/>
  <c r="D7" i="1513" s="1"/>
  <c r="H35" i="1513" l="1"/>
  <c r="H36" i="1515"/>
  <c r="D20" i="1514"/>
  <c r="D22" i="1514" s="1"/>
  <c r="H36" i="1514" s="1"/>
  <c r="H14" i="1513"/>
  <c r="H15" i="1513" s="1"/>
  <c r="D20" i="1513" s="1"/>
  <c r="D29" i="1513"/>
  <c r="D28" i="1513"/>
  <c r="D30" i="1513"/>
  <c r="D6" i="1513"/>
  <c r="D9" i="1513" s="1"/>
  <c r="H34" i="1512"/>
  <c r="H33" i="1512"/>
  <c r="F24" i="1512"/>
  <c r="H24" i="1512" s="1"/>
  <c r="H13" i="1512"/>
  <c r="H12" i="1512"/>
  <c r="H11" i="1512"/>
  <c r="F4" i="1512"/>
  <c r="H4" i="1512" s="1"/>
  <c r="D7" i="1512" s="1"/>
  <c r="H35" i="1512" l="1"/>
  <c r="D21" i="1513"/>
  <c r="D22" i="1513"/>
  <c r="D31" i="1513"/>
  <c r="H14" i="1512"/>
  <c r="H15" i="1512" s="1"/>
  <c r="D20" i="1512" s="1"/>
  <c r="D29" i="1512"/>
  <c r="D28" i="1512"/>
  <c r="D30" i="1512"/>
  <c r="D6" i="1512"/>
  <c r="D9" i="1512" s="1"/>
  <c r="H34" i="1511"/>
  <c r="H33" i="1511"/>
  <c r="F24" i="1511"/>
  <c r="H24" i="1511" s="1"/>
  <c r="H13" i="1511"/>
  <c r="H12" i="1511"/>
  <c r="H11" i="1511"/>
  <c r="F4" i="1511"/>
  <c r="H4" i="1511" s="1"/>
  <c r="D7" i="1511" s="1"/>
  <c r="H35" i="1511" l="1"/>
  <c r="D21" i="1512"/>
  <c r="H36" i="1513"/>
  <c r="D31" i="1512"/>
  <c r="D22" i="1512"/>
  <c r="H14" i="1511"/>
  <c r="H15" i="1511" s="1"/>
  <c r="D20" i="1511" s="1"/>
  <c r="D29" i="1511"/>
  <c r="D28" i="1511"/>
  <c r="D30" i="1511"/>
  <c r="D6" i="1511"/>
  <c r="D9" i="1511" s="1"/>
  <c r="H34" i="1510"/>
  <c r="H33" i="1510"/>
  <c r="F24" i="1510"/>
  <c r="H24" i="1510" s="1"/>
  <c r="H13" i="1510"/>
  <c r="H12" i="1510"/>
  <c r="H11" i="1510"/>
  <c r="F4" i="1510"/>
  <c r="H4" i="1510" s="1"/>
  <c r="D21" i="1511" l="1"/>
  <c r="D22" i="1511" s="1"/>
  <c r="H36" i="1512"/>
  <c r="D31" i="1511"/>
  <c r="H35" i="1510"/>
  <c r="D30" i="1510"/>
  <c r="D28" i="1510"/>
  <c r="H14" i="1510"/>
  <c r="H15" i="1510" s="1"/>
  <c r="D21" i="1510" s="1"/>
  <c r="D6" i="1510"/>
  <c r="D7" i="1510"/>
  <c r="D29" i="1510"/>
  <c r="H34" i="1509"/>
  <c r="H33" i="1509"/>
  <c r="F24" i="1509"/>
  <c r="H24" i="1509" s="1"/>
  <c r="H13" i="1509"/>
  <c r="H12" i="1509"/>
  <c r="H11" i="1509"/>
  <c r="F4" i="1509"/>
  <c r="H4" i="1509" s="1"/>
  <c r="D7" i="1509" s="1"/>
  <c r="H36" i="1511" l="1"/>
  <c r="H35" i="1509"/>
  <c r="D31" i="1510"/>
  <c r="D20" i="1510"/>
  <c r="D22" i="1510"/>
  <c r="D9" i="1510"/>
  <c r="H14" i="1509"/>
  <c r="H15" i="1509" s="1"/>
  <c r="D20" i="1509" s="1"/>
  <c r="D29" i="1509"/>
  <c r="D28" i="1509"/>
  <c r="D30" i="1509"/>
  <c r="D6" i="1509"/>
  <c r="D9" i="1509" s="1"/>
  <c r="H34" i="1508"/>
  <c r="H33" i="1508"/>
  <c r="F24" i="1508"/>
  <c r="H24" i="1508" s="1"/>
  <c r="D29" i="1508" s="1"/>
  <c r="H13" i="1508"/>
  <c r="H12" i="1508"/>
  <c r="H11" i="1508"/>
  <c r="F4" i="1508"/>
  <c r="H4" i="1508" s="1"/>
  <c r="D7" i="1508" s="1"/>
  <c r="H35" i="1508" l="1"/>
  <c r="H36" i="1510"/>
  <c r="D21" i="1509"/>
  <c r="D22" i="1509" s="1"/>
  <c r="D31" i="1509"/>
  <c r="H14" i="1508"/>
  <c r="H15" i="1508" s="1"/>
  <c r="D20" i="1508" s="1"/>
  <c r="D30" i="1508"/>
  <c r="D6" i="1508"/>
  <c r="D9" i="1508" s="1"/>
  <c r="D28" i="1508"/>
  <c r="H34" i="1507"/>
  <c r="H33" i="1507"/>
  <c r="F24" i="1507"/>
  <c r="H24" i="1507" s="1"/>
  <c r="D30" i="1507" s="1"/>
  <c r="H13" i="1507"/>
  <c r="H12" i="1507"/>
  <c r="H11" i="1507"/>
  <c r="F4" i="1507"/>
  <c r="H4" i="1507" s="1"/>
  <c r="H36" i="1509" l="1"/>
  <c r="D31" i="1508"/>
  <c r="D21" i="1508"/>
  <c r="D22" i="1508" s="1"/>
  <c r="H35" i="1507"/>
  <c r="H14" i="1507"/>
  <c r="H15" i="1507" s="1"/>
  <c r="D21" i="1507" s="1"/>
  <c r="D7" i="1507"/>
  <c r="D6" i="1507"/>
  <c r="D28" i="1507"/>
  <c r="D29" i="1507"/>
  <c r="H34" i="1506"/>
  <c r="H33" i="1506"/>
  <c r="F24" i="1506"/>
  <c r="H24" i="1506" s="1"/>
  <c r="D30" i="1506" s="1"/>
  <c r="H13" i="1506"/>
  <c r="H12" i="1506"/>
  <c r="H11" i="1506"/>
  <c r="F4" i="1506"/>
  <c r="H4" i="1506" s="1"/>
  <c r="H36" i="1508" l="1"/>
  <c r="D20" i="1507"/>
  <c r="D22" i="1507" s="1"/>
  <c r="D9" i="1507"/>
  <c r="D31" i="1507"/>
  <c r="H35" i="1506"/>
  <c r="H14" i="1506"/>
  <c r="H15" i="1506" s="1"/>
  <c r="D20" i="1506" s="1"/>
  <c r="D6" i="1506"/>
  <c r="D7" i="1506"/>
  <c r="D28" i="1506"/>
  <c r="D29" i="1506"/>
  <c r="H34" i="1505"/>
  <c r="H33" i="1505"/>
  <c r="F24" i="1505"/>
  <c r="H24" i="1505" s="1"/>
  <c r="D30" i="1505" s="1"/>
  <c r="H13" i="1505"/>
  <c r="H12" i="1505"/>
  <c r="H11" i="1505"/>
  <c r="F4" i="1505"/>
  <c r="H4" i="1505" s="1"/>
  <c r="H36" i="1507" l="1"/>
  <c r="D21" i="1506"/>
  <c r="D22" i="1506" s="1"/>
  <c r="D31" i="1506"/>
  <c r="D9" i="1506"/>
  <c r="H35" i="1505"/>
  <c r="H14" i="1505"/>
  <c r="H15" i="1505" s="1"/>
  <c r="D21" i="1505" s="1"/>
  <c r="D7" i="1505"/>
  <c r="D6" i="1505"/>
  <c r="D28" i="1505"/>
  <c r="D29" i="1505"/>
  <c r="H34" i="1504"/>
  <c r="H33" i="1504"/>
  <c r="F24" i="1504"/>
  <c r="H24" i="1504" s="1"/>
  <c r="D30" i="1504" s="1"/>
  <c r="H13" i="1504"/>
  <c r="H12" i="1504"/>
  <c r="H11" i="1504"/>
  <c r="F4" i="1504"/>
  <c r="H4" i="1504" s="1"/>
  <c r="H36" i="1506" l="1"/>
  <c r="D20" i="1505"/>
  <c r="D22" i="1505" s="1"/>
  <c r="D9" i="1505"/>
  <c r="D31" i="1505"/>
  <c r="H35" i="1504"/>
  <c r="H14" i="1504"/>
  <c r="H15" i="1504" s="1"/>
  <c r="D21" i="1504" s="1"/>
  <c r="D7" i="1504"/>
  <c r="D6" i="1504"/>
  <c r="D9" i="1504" s="1"/>
  <c r="D28" i="1504"/>
  <c r="D29" i="1504"/>
  <c r="H34" i="1503"/>
  <c r="H33" i="1503"/>
  <c r="F24" i="1503"/>
  <c r="H24" i="1503" s="1"/>
  <c r="H13" i="1503"/>
  <c r="H12" i="1503"/>
  <c r="H11" i="1503"/>
  <c r="F4" i="1503"/>
  <c r="H4" i="1503" s="1"/>
  <c r="D20" i="1504" l="1"/>
  <c r="H36" i="1505"/>
  <c r="D31" i="1504"/>
  <c r="D22" i="1504"/>
  <c r="H35" i="1503"/>
  <c r="D30" i="1503"/>
  <c r="D28" i="1503"/>
  <c r="H14" i="1503"/>
  <c r="H15" i="1503" s="1"/>
  <c r="D20" i="1503" s="1"/>
  <c r="D6" i="1503"/>
  <c r="D7" i="1503"/>
  <c r="D29" i="1503"/>
  <c r="H34" i="1502"/>
  <c r="H33" i="1502"/>
  <c r="F24" i="1502"/>
  <c r="H24" i="1502" s="1"/>
  <c r="H13" i="1502"/>
  <c r="H12" i="1502"/>
  <c r="H11" i="1502"/>
  <c r="F4" i="1502"/>
  <c r="H4" i="1502" s="1"/>
  <c r="D7" i="1502" s="1"/>
  <c r="H36" i="1504" l="1"/>
  <c r="D9" i="1503"/>
  <c r="D31" i="1503"/>
  <c r="D21" i="1503"/>
  <c r="D22" i="1503" s="1"/>
  <c r="H35" i="1502"/>
  <c r="H14" i="1502"/>
  <c r="H15" i="1502" s="1"/>
  <c r="D20" i="1502" s="1"/>
  <c r="D29" i="1502"/>
  <c r="D28" i="1502"/>
  <c r="D30" i="1502"/>
  <c r="D6" i="1502"/>
  <c r="D9" i="1502" s="1"/>
  <c r="H34" i="1501"/>
  <c r="H33" i="1501"/>
  <c r="F24" i="1501"/>
  <c r="H24" i="1501" s="1"/>
  <c r="D30" i="1501" s="1"/>
  <c r="H13" i="1501"/>
  <c r="H12" i="1501"/>
  <c r="H11" i="1501"/>
  <c r="F4" i="1501"/>
  <c r="H4" i="1501" s="1"/>
  <c r="D21" i="1502" l="1"/>
  <c r="H36" i="1503"/>
  <c r="H35" i="1501"/>
  <c r="D22" i="1502"/>
  <c r="D31" i="1502"/>
  <c r="H14" i="1501"/>
  <c r="H15" i="1501" s="1"/>
  <c r="D20" i="1501" s="1"/>
  <c r="D7" i="1501"/>
  <c r="D6" i="1501"/>
  <c r="D9" i="1501" s="1"/>
  <c r="D28" i="1501"/>
  <c r="D29" i="1501"/>
  <c r="H34" i="1500"/>
  <c r="H33" i="1500"/>
  <c r="F24" i="1500"/>
  <c r="H24" i="1500" s="1"/>
  <c r="H13" i="1500"/>
  <c r="H12" i="1500"/>
  <c r="H11" i="1500"/>
  <c r="F4" i="1500"/>
  <c r="H4" i="1500" s="1"/>
  <c r="H34" i="1499"/>
  <c r="H33" i="1499"/>
  <c r="F24" i="1499"/>
  <c r="H24" i="1499" s="1"/>
  <c r="H13" i="1499"/>
  <c r="H12" i="1499"/>
  <c r="H11" i="1499"/>
  <c r="F4" i="1499"/>
  <c r="H4" i="1499" s="1"/>
  <c r="D6" i="1499" s="1"/>
  <c r="H35" i="1500" l="1"/>
  <c r="H35" i="1499"/>
  <c r="H36" i="1502"/>
  <c r="D21" i="1501"/>
  <c r="D22" i="1501" s="1"/>
  <c r="D31" i="1501"/>
  <c r="H14" i="1500"/>
  <c r="H15" i="1500" s="1"/>
  <c r="D21" i="1500" s="1"/>
  <c r="D7" i="1500"/>
  <c r="D6" i="1500"/>
  <c r="D29" i="1500"/>
  <c r="D28" i="1500"/>
  <c r="D30" i="1500"/>
  <c r="H14" i="1499"/>
  <c r="H15" i="1499" s="1"/>
  <c r="D21" i="1499" s="1"/>
  <c r="D29" i="1499"/>
  <c r="D28" i="1499"/>
  <c r="D30" i="1499"/>
  <c r="D7" i="1499"/>
  <c r="D9" i="1499" s="1"/>
  <c r="H34" i="1498"/>
  <c r="H33" i="1498"/>
  <c r="F24" i="1498"/>
  <c r="H24" i="1498" s="1"/>
  <c r="H13" i="1498"/>
  <c r="H12" i="1498"/>
  <c r="H11" i="1498"/>
  <c r="F4" i="1498"/>
  <c r="H4" i="1498" s="1"/>
  <c r="D7" i="1498" s="1"/>
  <c r="D9" i="1500" l="1"/>
  <c r="H36" i="1501"/>
  <c r="D31" i="1500"/>
  <c r="D20" i="1500"/>
  <c r="D22" i="1500" s="1"/>
  <c r="D20" i="1499"/>
  <c r="D22" i="1499" s="1"/>
  <c r="D31" i="1499"/>
  <c r="H35" i="1498"/>
  <c r="H14" i="1498"/>
  <c r="H15" i="1498" s="1"/>
  <c r="D21" i="1498" s="1"/>
  <c r="D29" i="1498"/>
  <c r="D28" i="1498"/>
  <c r="D30" i="1498"/>
  <c r="D6" i="1498"/>
  <c r="D9" i="1498" s="1"/>
  <c r="H36" i="1500" l="1"/>
  <c r="H36" i="1499"/>
  <c r="D20" i="1498"/>
  <c r="D22" i="1498" s="1"/>
  <c r="D31" i="1498"/>
  <c r="H36" i="1498" l="1"/>
  <c r="J31" i="133" l="1"/>
  <c r="C36" i="133" l="1"/>
  <c r="E32" i="1094" l="1"/>
  <c r="I32" i="1094"/>
  <c r="K32" i="1094"/>
  <c r="L32" i="1094" s="1"/>
  <c r="M32" i="1094"/>
  <c r="F35" i="133" l="1"/>
  <c r="F36" i="133" s="1"/>
  <c r="G35" i="133"/>
  <c r="G36" i="133" s="1"/>
  <c r="H35" i="133"/>
  <c r="H36" i="133" s="1"/>
  <c r="I35" i="133"/>
  <c r="I36" i="133" s="1"/>
  <c r="B36" i="133"/>
  <c r="D36" i="133"/>
  <c r="E36" i="133"/>
  <c r="J34" i="133" l="1"/>
  <c r="J33" i="133"/>
  <c r="J32" i="133"/>
  <c r="J30" i="133"/>
  <c r="M3" i="1094" l="1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  <c r="L18" i="133"/>
</calcChain>
</file>

<file path=xl/sharedStrings.xml><?xml version="1.0" encoding="utf-8"?>
<sst xmlns="http://schemas.openxmlformats.org/spreadsheetml/2006/main" count="1822" uniqueCount="113">
  <si>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</si>
  <si>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</si>
  <si>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</si>
  <si>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</si>
  <si>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</si>
  <si>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</si>
  <si>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</si>
  <si>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</si>
  <si>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</si>
  <si>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</si>
  <si>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</si>
  <si>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</si>
  <si>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</si>
  <si>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</si>
  <si>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</si>
  <si>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</si>
  <si>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</si>
  <si>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</si>
  <si>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</si>
  <si>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</si>
  <si>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</si>
  <si>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</si>
  <si>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</si>
  <si>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</si>
  <si>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</si>
  <si>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</si>
  <si>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</si>
  <si>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</si>
  <si>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</si>
  <si>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</si>
  <si>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</si>
  <si>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</si>
  <si>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</si>
  <si>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</si>
  <si>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</si>
  <si>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</si>
  <si>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</si>
  <si>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</si>
  <si>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</si>
  <si>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</si>
  <si>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</si>
  <si>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</si>
  <si>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</si>
  <si>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</si>
  <si>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</si>
  <si>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</si>
  <si>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</si>
  <si>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</si>
  <si>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</si>
  <si>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</si>
  <si>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</si>
  <si>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</si>
  <si>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</si>
  <si>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</si>
  <si>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</si>
  <si>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</si>
  <si>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</si>
  <si>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</si>
  <si>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</si>
  <si>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</si>
  <si>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</si>
  <si>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</si>
  <si>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</si>
  <si>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</si>
  <si>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</si>
  <si>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</si>
  <si>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</si>
  <si>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</si>
  <si>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Fuel Surcharge @ 0.005 / IG</t>
  </si>
  <si>
    <t>01.05.2025</t>
  </si>
  <si>
    <t>Daily Utilities May -2025</t>
  </si>
  <si>
    <t>38.5c</t>
  </si>
  <si>
    <t>02.05.2025</t>
  </si>
  <si>
    <t>38.0c</t>
  </si>
  <si>
    <t>03.05.2025</t>
  </si>
  <si>
    <t>39.0c</t>
  </si>
  <si>
    <t>04.05.2025</t>
  </si>
  <si>
    <t>40.5c</t>
  </si>
  <si>
    <t>05.05.2025</t>
  </si>
  <si>
    <t>06.05.2025</t>
  </si>
  <si>
    <t>07.05.2025</t>
  </si>
  <si>
    <t>36.0c</t>
  </si>
  <si>
    <t>08.05.2025</t>
  </si>
  <si>
    <t>09.05.2025</t>
  </si>
  <si>
    <t>10.05.2025</t>
  </si>
  <si>
    <t>11.05.2025</t>
  </si>
  <si>
    <t>12.05.2025</t>
  </si>
  <si>
    <t>40.0c</t>
  </si>
  <si>
    <t>13.05.2025</t>
  </si>
  <si>
    <t>14.05.2025</t>
  </si>
  <si>
    <t>15.05.2025</t>
  </si>
  <si>
    <t>16.05.2025</t>
  </si>
  <si>
    <t>17.05.2025</t>
  </si>
  <si>
    <t>18.05.2025</t>
  </si>
  <si>
    <t>39.5c</t>
  </si>
  <si>
    <t>19.05.2025</t>
  </si>
  <si>
    <t>20.05.2025</t>
  </si>
  <si>
    <t>21.05.2025</t>
  </si>
  <si>
    <t>42c</t>
  </si>
  <si>
    <t>22.05.2025</t>
  </si>
  <si>
    <t>44c</t>
  </si>
  <si>
    <t>23.05.2025</t>
  </si>
  <si>
    <t>45c</t>
  </si>
  <si>
    <t>24.05.2025</t>
  </si>
  <si>
    <t>47c</t>
  </si>
  <si>
    <t>25.05.2025</t>
  </si>
  <si>
    <t>46c</t>
  </si>
  <si>
    <t>26.05.2025</t>
  </si>
  <si>
    <t>27.05.2025</t>
  </si>
  <si>
    <t>28.05.2025</t>
  </si>
  <si>
    <t>29.05.2025</t>
  </si>
  <si>
    <t>30.05.2025</t>
  </si>
  <si>
    <t>31.05.2025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</si>
</sst>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_-&quot;£&quot;* #,##0_-;\-&quot;£&quot;* #,##0_-;_-&quot;£&quot;* &quot;-&quot;_-;_-@_-"/>
    <numFmt numFmtId="169" formatCode="_-&quot;£&quot;* #,##0.00_-;\-&quot;£&quot;* #,##0.00_-;_-&quot;£&quot;* &quot;-&quot;??_-;_-@_-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7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4" fontId="13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5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44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5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  <xf numFmtId="2" fontId="153" fillId="0" borderId="0" xfId="0" applyNumberFormat="1" applyFont="1" applyFill="1" applyAlignment="1">
      <alignment horizontal="center"/>
    </xf>
    <xf numFmtId="0" fontId="153" fillId="0" borderId="0" xfId="0" applyFont="1" applyFill="1" applyAlignment="1">
      <alignment horizont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May- 2025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59818648877825E-2"/>
          <c:y val="0.14134507111255151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May -2025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0.97340000000000004</c:v>
                </c:pt>
                <c:pt idx="1">
                  <c:v>0.99339999999999995</c:v>
                </c:pt>
                <c:pt idx="2">
                  <c:v>0.99</c:v>
                </c:pt>
                <c:pt idx="3">
                  <c:v>1</c:v>
                </c:pt>
                <c:pt idx="4">
                  <c:v>0.91359999999999997</c:v>
                </c:pt>
                <c:pt idx="5">
                  <c:v>0.98660000000000003</c:v>
                </c:pt>
                <c:pt idx="6">
                  <c:v>0.97009999999999996</c:v>
                </c:pt>
                <c:pt idx="7">
                  <c:v>0.98029999999999995</c:v>
                </c:pt>
                <c:pt idx="8">
                  <c:v>0.98340000000000005</c:v>
                </c:pt>
                <c:pt idx="9">
                  <c:v>0.93020000000000003</c:v>
                </c:pt>
                <c:pt idx="10">
                  <c:v>0.90029999999999999</c:v>
                </c:pt>
                <c:pt idx="11">
                  <c:v>0.90369999999999995</c:v>
                </c:pt>
                <c:pt idx="12">
                  <c:v>0.87709999999999999</c:v>
                </c:pt>
                <c:pt idx="13">
                  <c:v>0.88370000000000004</c:v>
                </c:pt>
                <c:pt idx="14">
                  <c:v>0.89039999999999997</c:v>
                </c:pt>
                <c:pt idx="15">
                  <c:v>0.98009999999999997</c:v>
                </c:pt>
                <c:pt idx="16">
                  <c:v>0.99</c:v>
                </c:pt>
                <c:pt idx="17">
                  <c:v>0.97</c:v>
                </c:pt>
                <c:pt idx="18">
                  <c:v>0.86380000000000001</c:v>
                </c:pt>
                <c:pt idx="19">
                  <c:v>0.88349999999999995</c:v>
                </c:pt>
                <c:pt idx="20">
                  <c:v>0.82</c:v>
                </c:pt>
                <c:pt idx="21">
                  <c:v>0.86</c:v>
                </c:pt>
                <c:pt idx="22">
                  <c:v>0.98</c:v>
                </c:pt>
                <c:pt idx="23">
                  <c:v>0.96</c:v>
                </c:pt>
                <c:pt idx="24">
                  <c:v>0.98</c:v>
                </c:pt>
                <c:pt idx="25">
                  <c:v>0.86670000000000003</c:v>
                </c:pt>
                <c:pt idx="26">
                  <c:v>0.8306</c:v>
                </c:pt>
                <c:pt idx="27">
                  <c:v>0.96</c:v>
                </c:pt>
                <c:pt idx="28">
                  <c:v>0.98</c:v>
                </c:pt>
                <c:pt idx="29">
                  <c:v>0.96</c:v>
                </c:pt>
                <c:pt idx="3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May -2025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May -2025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0.74</c:v>
                </c:pt>
                <c:pt idx="1">
                  <c:v>0.79</c:v>
                </c:pt>
                <c:pt idx="2">
                  <c:v>0.72</c:v>
                </c:pt>
                <c:pt idx="3">
                  <c:v>0.63</c:v>
                </c:pt>
                <c:pt idx="4">
                  <c:v>0.66</c:v>
                </c:pt>
                <c:pt idx="5">
                  <c:v>0.62</c:v>
                </c:pt>
                <c:pt idx="6">
                  <c:v>0.6</c:v>
                </c:pt>
                <c:pt idx="7">
                  <c:v>0.65</c:v>
                </c:pt>
                <c:pt idx="8">
                  <c:v>0.85</c:v>
                </c:pt>
                <c:pt idx="9">
                  <c:v>0.8</c:v>
                </c:pt>
                <c:pt idx="10">
                  <c:v>0.78</c:v>
                </c:pt>
                <c:pt idx="11">
                  <c:v>0.65</c:v>
                </c:pt>
                <c:pt idx="12">
                  <c:v>0.56000000000000005</c:v>
                </c:pt>
                <c:pt idx="13">
                  <c:v>0.6</c:v>
                </c:pt>
                <c:pt idx="14">
                  <c:v>0.55000000000000004</c:v>
                </c:pt>
                <c:pt idx="15">
                  <c:v>0.86</c:v>
                </c:pt>
                <c:pt idx="16">
                  <c:v>0.77</c:v>
                </c:pt>
                <c:pt idx="17">
                  <c:v>0.86</c:v>
                </c:pt>
                <c:pt idx="18">
                  <c:v>0.93</c:v>
                </c:pt>
                <c:pt idx="19">
                  <c:v>0.86</c:v>
                </c:pt>
                <c:pt idx="20">
                  <c:v>0.82</c:v>
                </c:pt>
                <c:pt idx="21">
                  <c:v>0.78</c:v>
                </c:pt>
                <c:pt idx="22">
                  <c:v>0.67</c:v>
                </c:pt>
                <c:pt idx="23">
                  <c:v>0.68</c:v>
                </c:pt>
                <c:pt idx="24">
                  <c:v>0.72</c:v>
                </c:pt>
                <c:pt idx="25">
                  <c:v>0.7</c:v>
                </c:pt>
                <c:pt idx="26">
                  <c:v>0.72</c:v>
                </c:pt>
                <c:pt idx="27">
                  <c:v>0.78</c:v>
                </c:pt>
                <c:pt idx="28">
                  <c:v>0.82</c:v>
                </c:pt>
                <c:pt idx="29">
                  <c:v>0.78</c:v>
                </c:pt>
                <c:pt idx="30">
                  <c:v>0.67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May -2025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8868.5400000000009</c:v>
                </c:pt>
                <c:pt idx="1">
                  <c:v>8950.82</c:v>
                </c:pt>
                <c:pt idx="2">
                  <c:v>8939.85</c:v>
                </c:pt>
                <c:pt idx="3">
                  <c:v>8427.9</c:v>
                </c:pt>
                <c:pt idx="4">
                  <c:v>8455.33</c:v>
                </c:pt>
                <c:pt idx="5">
                  <c:v>9418.8799999999992</c:v>
                </c:pt>
                <c:pt idx="6">
                  <c:v>8603.43</c:v>
                </c:pt>
                <c:pt idx="7">
                  <c:v>8808.02</c:v>
                </c:pt>
                <c:pt idx="8">
                  <c:v>8729.58</c:v>
                </c:pt>
                <c:pt idx="9">
                  <c:v>9400.6</c:v>
                </c:pt>
                <c:pt idx="10">
                  <c:v>9506.64</c:v>
                </c:pt>
                <c:pt idx="11">
                  <c:v>8848.43</c:v>
                </c:pt>
                <c:pt idx="12">
                  <c:v>8709.4699999999993</c:v>
                </c:pt>
                <c:pt idx="13">
                  <c:v>8736.9</c:v>
                </c:pt>
                <c:pt idx="14">
                  <c:v>9331.1200000000008</c:v>
                </c:pt>
                <c:pt idx="15">
                  <c:v>9325.6299999999992</c:v>
                </c:pt>
                <c:pt idx="16">
                  <c:v>10166.68</c:v>
                </c:pt>
                <c:pt idx="17">
                  <c:v>9274.44</c:v>
                </c:pt>
                <c:pt idx="18">
                  <c:v>10093.549999999999</c:v>
                </c:pt>
                <c:pt idx="19">
                  <c:v>10110</c:v>
                </c:pt>
                <c:pt idx="20">
                  <c:v>10046.01</c:v>
                </c:pt>
                <c:pt idx="21">
                  <c:v>10477.51</c:v>
                </c:pt>
                <c:pt idx="22">
                  <c:v>9638.2800000000007</c:v>
                </c:pt>
                <c:pt idx="23">
                  <c:v>9541.3799999999992</c:v>
                </c:pt>
                <c:pt idx="24">
                  <c:v>9819.2900000000009</c:v>
                </c:pt>
                <c:pt idx="25">
                  <c:v>10870.61</c:v>
                </c:pt>
                <c:pt idx="26">
                  <c:v>10298.33</c:v>
                </c:pt>
                <c:pt idx="27">
                  <c:v>10552.47</c:v>
                </c:pt>
                <c:pt idx="28">
                  <c:v>10472.02</c:v>
                </c:pt>
                <c:pt idx="29">
                  <c:v>10676.8</c:v>
                </c:pt>
                <c:pt idx="30">
                  <c:v>10570.75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May -2025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6859.78</c:v>
                </c:pt>
                <c:pt idx="1">
                  <c:v>6645.41</c:v>
                </c:pt>
                <c:pt idx="2">
                  <c:v>7074.14</c:v>
                </c:pt>
                <c:pt idx="3">
                  <c:v>6859.78</c:v>
                </c:pt>
                <c:pt idx="4">
                  <c:v>6859.78</c:v>
                </c:pt>
                <c:pt idx="5">
                  <c:v>7074.14</c:v>
                </c:pt>
                <c:pt idx="6">
                  <c:v>6645.41</c:v>
                </c:pt>
                <c:pt idx="7">
                  <c:v>6859.78</c:v>
                </c:pt>
                <c:pt idx="8">
                  <c:v>6645.41</c:v>
                </c:pt>
                <c:pt idx="9">
                  <c:v>7074.14</c:v>
                </c:pt>
                <c:pt idx="10">
                  <c:v>6645.41</c:v>
                </c:pt>
                <c:pt idx="11">
                  <c:v>6645.41</c:v>
                </c:pt>
                <c:pt idx="12">
                  <c:v>6859.78</c:v>
                </c:pt>
                <c:pt idx="13">
                  <c:v>6431.04</c:v>
                </c:pt>
                <c:pt idx="14">
                  <c:v>6859.78</c:v>
                </c:pt>
                <c:pt idx="15">
                  <c:v>7074.14</c:v>
                </c:pt>
                <c:pt idx="16">
                  <c:v>7074.14</c:v>
                </c:pt>
                <c:pt idx="17">
                  <c:v>6859.78</c:v>
                </c:pt>
                <c:pt idx="18">
                  <c:v>6645.41</c:v>
                </c:pt>
                <c:pt idx="19">
                  <c:v>6645.41</c:v>
                </c:pt>
                <c:pt idx="20">
                  <c:v>7074.14</c:v>
                </c:pt>
                <c:pt idx="21">
                  <c:v>6645.41</c:v>
                </c:pt>
                <c:pt idx="22">
                  <c:v>7288.51</c:v>
                </c:pt>
                <c:pt idx="23">
                  <c:v>6645.41</c:v>
                </c:pt>
                <c:pt idx="24">
                  <c:v>7074.14</c:v>
                </c:pt>
                <c:pt idx="25">
                  <c:v>6859.78</c:v>
                </c:pt>
                <c:pt idx="26">
                  <c:v>6645.41</c:v>
                </c:pt>
                <c:pt idx="27">
                  <c:v>7288.51</c:v>
                </c:pt>
                <c:pt idx="28">
                  <c:v>6859.78</c:v>
                </c:pt>
                <c:pt idx="29">
                  <c:v>6859.78</c:v>
                </c:pt>
                <c:pt idx="30">
                  <c:v>7074.14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May -2025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3499.32</c:v>
                </c:pt>
                <c:pt idx="1">
                  <c:v>3339.6</c:v>
                </c:pt>
                <c:pt idx="2">
                  <c:v>3397.68</c:v>
                </c:pt>
                <c:pt idx="3">
                  <c:v>3441.24</c:v>
                </c:pt>
                <c:pt idx="4">
                  <c:v>3397.68</c:v>
                </c:pt>
                <c:pt idx="5">
                  <c:v>3150.84</c:v>
                </c:pt>
                <c:pt idx="6">
                  <c:v>3267</c:v>
                </c:pt>
                <c:pt idx="7">
                  <c:v>3179.88</c:v>
                </c:pt>
                <c:pt idx="8">
                  <c:v>3267</c:v>
                </c:pt>
                <c:pt idx="9">
                  <c:v>3325.08</c:v>
                </c:pt>
                <c:pt idx="10">
                  <c:v>3310.56</c:v>
                </c:pt>
                <c:pt idx="11">
                  <c:v>3078.24</c:v>
                </c:pt>
                <c:pt idx="12">
                  <c:v>2976.6</c:v>
                </c:pt>
                <c:pt idx="13">
                  <c:v>2802.36</c:v>
                </c:pt>
                <c:pt idx="14">
                  <c:v>2991.12</c:v>
                </c:pt>
                <c:pt idx="15">
                  <c:v>2933.04</c:v>
                </c:pt>
                <c:pt idx="16">
                  <c:v>2991.12</c:v>
                </c:pt>
                <c:pt idx="17">
                  <c:v>3092.76</c:v>
                </c:pt>
                <c:pt idx="18">
                  <c:v>2599.08</c:v>
                </c:pt>
                <c:pt idx="19">
                  <c:v>2657.16</c:v>
                </c:pt>
                <c:pt idx="20">
                  <c:v>2889.48</c:v>
                </c:pt>
                <c:pt idx="21">
                  <c:v>2657.16</c:v>
                </c:pt>
                <c:pt idx="22">
                  <c:v>2933.04</c:v>
                </c:pt>
                <c:pt idx="23">
                  <c:v>3165.36</c:v>
                </c:pt>
                <c:pt idx="24">
                  <c:v>2831.4</c:v>
                </c:pt>
                <c:pt idx="25">
                  <c:v>3383.16</c:v>
                </c:pt>
                <c:pt idx="26">
                  <c:v>2802.36</c:v>
                </c:pt>
                <c:pt idx="27">
                  <c:v>3063.72</c:v>
                </c:pt>
                <c:pt idx="28">
                  <c:v>3107.28</c:v>
                </c:pt>
                <c:pt idx="29">
                  <c:v>3179.88</c:v>
                </c:pt>
                <c:pt idx="30">
                  <c:v>3208.72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May -2025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488.49</c:v>
                </c:pt>
                <c:pt idx="1">
                  <c:v>488.08</c:v>
                </c:pt>
                <c:pt idx="2">
                  <c:v>577.29999999999995</c:v>
                </c:pt>
                <c:pt idx="3">
                  <c:v>532.9</c:v>
                </c:pt>
                <c:pt idx="4">
                  <c:v>532.9</c:v>
                </c:pt>
                <c:pt idx="5">
                  <c:v>488.49</c:v>
                </c:pt>
                <c:pt idx="6">
                  <c:v>488.08</c:v>
                </c:pt>
                <c:pt idx="7">
                  <c:v>355.26</c:v>
                </c:pt>
                <c:pt idx="8">
                  <c:v>444.08</c:v>
                </c:pt>
                <c:pt idx="9">
                  <c:v>444.08</c:v>
                </c:pt>
                <c:pt idx="10">
                  <c:v>532.9</c:v>
                </c:pt>
                <c:pt idx="11">
                  <c:v>444.08</c:v>
                </c:pt>
                <c:pt idx="12">
                  <c:v>444.08</c:v>
                </c:pt>
                <c:pt idx="13">
                  <c:v>355.26</c:v>
                </c:pt>
                <c:pt idx="14">
                  <c:v>355.26</c:v>
                </c:pt>
                <c:pt idx="15">
                  <c:v>399.67</c:v>
                </c:pt>
                <c:pt idx="16">
                  <c:v>488.89</c:v>
                </c:pt>
                <c:pt idx="17">
                  <c:v>577.29999999999995</c:v>
                </c:pt>
                <c:pt idx="18">
                  <c:v>444.08</c:v>
                </c:pt>
                <c:pt idx="19">
                  <c:v>532.9</c:v>
                </c:pt>
                <c:pt idx="20">
                  <c:v>444.08</c:v>
                </c:pt>
                <c:pt idx="21">
                  <c:v>444.08</c:v>
                </c:pt>
                <c:pt idx="22">
                  <c:v>444.08</c:v>
                </c:pt>
                <c:pt idx="23">
                  <c:v>444.08</c:v>
                </c:pt>
                <c:pt idx="24">
                  <c:v>444.08</c:v>
                </c:pt>
                <c:pt idx="25">
                  <c:v>444.08</c:v>
                </c:pt>
                <c:pt idx="26">
                  <c:v>444.08</c:v>
                </c:pt>
                <c:pt idx="27">
                  <c:v>488.49</c:v>
                </c:pt>
                <c:pt idx="28">
                  <c:v>444.08</c:v>
                </c:pt>
                <c:pt idx="29">
                  <c:v>444.08</c:v>
                </c:pt>
                <c:pt idx="30">
                  <c:v>444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May -2025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19716.13</c:v>
                </c:pt>
                <c:pt idx="1">
                  <c:v>19423.91</c:v>
                </c:pt>
                <c:pt idx="2">
                  <c:v>19988.97</c:v>
                </c:pt>
                <c:pt idx="3">
                  <c:v>19261.82</c:v>
                </c:pt>
                <c:pt idx="4">
                  <c:v>19245.690000000002</c:v>
                </c:pt>
                <c:pt idx="5">
                  <c:v>20132.350000000002</c:v>
                </c:pt>
                <c:pt idx="6">
                  <c:v>19003.920000000002</c:v>
                </c:pt>
                <c:pt idx="7">
                  <c:v>19202.939999999999</c:v>
                </c:pt>
                <c:pt idx="8">
                  <c:v>19086.07</c:v>
                </c:pt>
                <c:pt idx="9">
                  <c:v>20243.900000000001</c:v>
                </c:pt>
                <c:pt idx="10">
                  <c:v>19995.510000000002</c:v>
                </c:pt>
                <c:pt idx="11">
                  <c:v>19016.160000000003</c:v>
                </c:pt>
                <c:pt idx="12">
                  <c:v>18989.93</c:v>
                </c:pt>
                <c:pt idx="13">
                  <c:v>18325.559999999998</c:v>
                </c:pt>
                <c:pt idx="14">
                  <c:v>19537.28</c:v>
                </c:pt>
                <c:pt idx="15">
                  <c:v>19732.48</c:v>
                </c:pt>
                <c:pt idx="16">
                  <c:v>20720.829999999998</c:v>
                </c:pt>
                <c:pt idx="17">
                  <c:v>19804.280000000002</c:v>
                </c:pt>
                <c:pt idx="18">
                  <c:v>19782.120000000003</c:v>
                </c:pt>
                <c:pt idx="19">
                  <c:v>19945.47</c:v>
                </c:pt>
                <c:pt idx="20">
                  <c:v>20453.710000000003</c:v>
                </c:pt>
                <c:pt idx="21">
                  <c:v>20224.16</c:v>
                </c:pt>
                <c:pt idx="22">
                  <c:v>20303.910000000003</c:v>
                </c:pt>
                <c:pt idx="23">
                  <c:v>19796.23</c:v>
                </c:pt>
                <c:pt idx="24">
                  <c:v>20168.910000000003</c:v>
                </c:pt>
                <c:pt idx="25">
                  <c:v>21557.63</c:v>
                </c:pt>
                <c:pt idx="26">
                  <c:v>20190.18</c:v>
                </c:pt>
                <c:pt idx="27">
                  <c:v>21393.190000000002</c:v>
                </c:pt>
                <c:pt idx="28">
                  <c:v>20883.16</c:v>
                </c:pt>
                <c:pt idx="29">
                  <c:v>21160.54</c:v>
                </c:pt>
                <c:pt idx="30">
                  <c:v>21297.61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43517760"/>
        <c:axId val="-43523744"/>
        <c:extLst/>
      </c:lineChart>
      <c:catAx>
        <c:axId val="-4351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523744"/>
        <c:crosses val="autoZero"/>
        <c:auto val="1"/>
        <c:lblAlgn val="ctr"/>
        <c:lblOffset val="100"/>
        <c:noMultiLvlLbl val="0"/>
      </c:catAx>
      <c:valAx>
        <c:axId val="-43523744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517760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1.bin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2.bin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3.bin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3"/>
  <sheetViews>
    <sheetView tabSelected="1" workbookViewId="0">
      <selection activeCell="Q20" sqref="Q20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5" customWidth="1"/>
    <col min="7" max="7" width="11.5703125" style="40"/>
    <col min="8" max="8" width="11.5703125" style="45"/>
    <col min="9" max="9" width="11.5703125" style="40"/>
    <col min="10" max="10" width="11.5703125" style="43"/>
    <col min="11" max="11" width="11.5703125" style="44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52</v>
      </c>
      <c r="B1" s="28" t="s">
        <v>53</v>
      </c>
      <c r="C1" s="29" t="s">
        <v>54</v>
      </c>
      <c r="D1" s="30" t="s">
        <v>55</v>
      </c>
      <c r="E1" s="31" t="s">
        <v>56</v>
      </c>
      <c r="F1" s="32" t="s">
        <v>57</v>
      </c>
      <c r="G1" s="31" t="s">
        <v>66</v>
      </c>
      <c r="H1" s="32" t="s">
        <v>67</v>
      </c>
      <c r="I1" s="33" t="s">
        <v>58</v>
      </c>
      <c r="J1" s="34" t="s">
        <v>59</v>
      </c>
      <c r="K1" s="35" t="s">
        <v>60</v>
      </c>
      <c r="L1" s="36" t="s">
        <v>61</v>
      </c>
      <c r="M1" s="37" t="s">
        <v>62</v>
      </c>
      <c r="N1" s="31" t="s">
        <v>63</v>
      </c>
    </row>
    <row r="2" spans="1:15">
      <c r="A2" s="39" t="s">
        <v>65</v>
      </c>
      <c r="B2" s="40">
        <v>1</v>
      </c>
      <c r="C2" s="41">
        <v>5</v>
      </c>
      <c r="D2" s="40">
        <v>2025</v>
      </c>
      <c r="E2" s="42">
        <f>'MTD Utility Sheet'!G4/0.439</f>
        <v>15625.922551252846</v>
      </c>
      <c r="F2" s="43">
        <v>0.439</v>
      </c>
      <c r="G2" s="42">
        <f>('MTD Utility Sheet'!I4/1.82)/0.5</f>
        <v>536.80219780219784</v>
      </c>
      <c r="H2" s="80">
        <v>1.75</v>
      </c>
      <c r="I2" s="42">
        <f>'MTD Utility Sheet'!H4/12.38</f>
        <v>282.65912762520196</v>
      </c>
      <c r="J2" s="43">
        <v>12.38</v>
      </c>
      <c r="K2" s="44">
        <f>IF(('MTD Utility Sheet'!F4-2866)&lt;0,"0",('MTD Utility Sheet'!F4-2866)/(0.568+0.075))</f>
        <v>9335.2099533437049</v>
      </c>
      <c r="L2" s="43">
        <f>'MTD Utility Sheet'!F4/K2</f>
        <v>0.95000969922732681</v>
      </c>
      <c r="M2" s="42">
        <f>'MTD Utility Sheet'!B4*301</f>
        <v>292.99340000000001</v>
      </c>
      <c r="N2" s="40" t="s">
        <v>64</v>
      </c>
      <c r="O2" s="38"/>
    </row>
    <row r="3" spans="1:15">
      <c r="A3" s="39" t="s">
        <v>65</v>
      </c>
      <c r="B3" s="40">
        <f t="shared" ref="B3:B32" si="0">B2+1</f>
        <v>2</v>
      </c>
      <c r="C3" s="41">
        <v>5</v>
      </c>
      <c r="D3" s="40">
        <v>2025</v>
      </c>
      <c r="E3" s="42">
        <f>'MTD Utility Sheet'!G5/0.439</f>
        <v>15137.608200455581</v>
      </c>
      <c r="F3" s="43">
        <v>0.439</v>
      </c>
      <c r="G3" s="42">
        <f>('MTD Utility Sheet'!I5/1.82)/0.5</f>
        <v>536.35164835164835</v>
      </c>
      <c r="H3" s="80">
        <v>1.75</v>
      </c>
      <c r="I3" s="42">
        <f>'MTD Utility Sheet'!H5/12.38</f>
        <v>269.75767366720515</v>
      </c>
      <c r="J3" s="43">
        <v>12.38</v>
      </c>
      <c r="K3" s="44">
        <f>IF(('MTD Utility Sheet'!F5-2866)&lt;0,"0",('MTD Utility Sheet'!F5-2866)/(0.568+0.075))</f>
        <v>9463.1726283048229</v>
      </c>
      <c r="L3" s="43">
        <f>'MTD Utility Sheet'!F5/K3</f>
        <v>0.94585826039225462</v>
      </c>
      <c r="M3" s="42">
        <f>'MTD Utility Sheet'!B5*301</f>
        <v>299.01339999999999</v>
      </c>
      <c r="N3" s="40" t="s">
        <v>64</v>
      </c>
      <c r="O3" s="38"/>
    </row>
    <row r="4" spans="1:15">
      <c r="A4" s="39" t="s">
        <v>65</v>
      </c>
      <c r="B4" s="40">
        <f t="shared" si="0"/>
        <v>3</v>
      </c>
      <c r="C4" s="41">
        <v>5</v>
      </c>
      <c r="D4" s="40">
        <v>2025</v>
      </c>
      <c r="E4" s="42">
        <f>'MTD Utility Sheet'!G6/0.439</f>
        <v>16114.214123006834</v>
      </c>
      <c r="F4" s="43">
        <v>0.439</v>
      </c>
      <c r="G4" s="42">
        <f>('MTD Utility Sheet'!I6/1.82)/0.5</f>
        <v>634.39560439560432</v>
      </c>
      <c r="H4" s="80">
        <v>1.75</v>
      </c>
      <c r="I4" s="42">
        <f>'MTD Utility Sheet'!H6/12.38</f>
        <v>274.44911147011305</v>
      </c>
      <c r="J4" s="43">
        <v>12.38</v>
      </c>
      <c r="K4" s="44">
        <f>IF(('MTD Utility Sheet'!F6-2866)&lt;0,"0",('MTD Utility Sheet'!F6-2866)/(0.568+0.075))</f>
        <v>9446.1119751166425</v>
      </c>
      <c r="L4" s="43">
        <f>'MTD Utility Sheet'!F6/K4</f>
        <v>0.94640525366941874</v>
      </c>
      <c r="M4" s="42">
        <f>'MTD Utility Sheet'!B6*301</f>
        <v>297.99</v>
      </c>
      <c r="N4" s="40" t="s">
        <v>64</v>
      </c>
      <c r="O4" s="38"/>
    </row>
    <row r="5" spans="1:15">
      <c r="A5" s="39" t="s">
        <v>65</v>
      </c>
      <c r="B5" s="40">
        <f t="shared" si="0"/>
        <v>4</v>
      </c>
      <c r="C5" s="41">
        <v>5</v>
      </c>
      <c r="D5" s="40">
        <v>2025</v>
      </c>
      <c r="E5" s="42">
        <f>'MTD Utility Sheet'!G7/0.439</f>
        <v>15625.922551252846</v>
      </c>
      <c r="F5" s="43">
        <v>0.439</v>
      </c>
      <c r="G5" s="42">
        <f>('MTD Utility Sheet'!I7/1.82)/0.5</f>
        <v>585.60439560439556</v>
      </c>
      <c r="H5" s="80">
        <v>1.75</v>
      </c>
      <c r="I5" s="42">
        <f>'MTD Utility Sheet'!H7/12.38</f>
        <v>277.96768982229401</v>
      </c>
      <c r="J5" s="43">
        <v>12.38</v>
      </c>
      <c r="K5" s="44">
        <f>IF(('MTD Utility Sheet'!F7-2866)&lt;0,"0",('MTD Utility Sheet'!F7-2866)/(0.568+0.075))</f>
        <v>8649.9222395023335</v>
      </c>
      <c r="L5" s="43">
        <f>'MTD Utility Sheet'!F7/K5</f>
        <v>0.97433245833258408</v>
      </c>
      <c r="M5" s="42">
        <f>'MTD Utility Sheet'!B7*301</f>
        <v>301</v>
      </c>
      <c r="N5" s="40" t="s">
        <v>64</v>
      </c>
      <c r="O5" s="38"/>
    </row>
    <row r="6" spans="1:15">
      <c r="A6" s="39" t="s">
        <v>65</v>
      </c>
      <c r="B6" s="40">
        <f t="shared" si="0"/>
        <v>5</v>
      </c>
      <c r="C6" s="41">
        <v>5</v>
      </c>
      <c r="D6" s="40">
        <v>2025</v>
      </c>
      <c r="E6" s="42">
        <f>'MTD Utility Sheet'!G8/0.439</f>
        <v>15625.922551252846</v>
      </c>
      <c r="F6" s="43">
        <v>0.439</v>
      </c>
      <c r="G6" s="42">
        <f>('MTD Utility Sheet'!I8/1.82)/0.5</f>
        <v>585.60439560439556</v>
      </c>
      <c r="H6" s="80">
        <v>1.75</v>
      </c>
      <c r="I6" s="42">
        <f>'MTD Utility Sheet'!H8/12.38</f>
        <v>274.44911147011305</v>
      </c>
      <c r="J6" s="43">
        <v>12.38</v>
      </c>
      <c r="K6" s="44">
        <f>IF(('MTD Utility Sheet'!F8-2866)&lt;0,"0",('MTD Utility Sheet'!F8-2866)/(0.568+0.075))</f>
        <v>8692.5816485225514</v>
      </c>
      <c r="L6" s="43">
        <f>'MTD Utility Sheet'!F8/K6</f>
        <v>0.97270642277339137</v>
      </c>
      <c r="M6" s="42">
        <f>'MTD Utility Sheet'!B8*301</f>
        <v>274.99360000000001</v>
      </c>
      <c r="N6" s="40" t="s">
        <v>64</v>
      </c>
      <c r="O6" s="38"/>
    </row>
    <row r="7" spans="1:15">
      <c r="A7" s="39" t="s">
        <v>65</v>
      </c>
      <c r="B7" s="40">
        <f t="shared" si="0"/>
        <v>6</v>
      </c>
      <c r="C7" s="41">
        <v>5</v>
      </c>
      <c r="D7" s="40">
        <v>2025</v>
      </c>
      <c r="E7" s="42">
        <f>'MTD Utility Sheet'!G9/0.439</f>
        <v>16114.214123006834</v>
      </c>
      <c r="F7" s="43">
        <v>0.439</v>
      </c>
      <c r="G7" s="42">
        <f>('MTD Utility Sheet'!I9/1.82)/0.5</f>
        <v>536.80219780219784</v>
      </c>
      <c r="H7" s="80">
        <v>1.75</v>
      </c>
      <c r="I7" s="42">
        <f>'MTD Utility Sheet'!H9/12.38</f>
        <v>254.51050080775443</v>
      </c>
      <c r="J7" s="43">
        <v>12.38</v>
      </c>
      <c r="K7" s="44">
        <f>IF(('MTD Utility Sheet'!F9-2866)&lt;0,"0",('MTD Utility Sheet'!F9-2866)/(0.568+0.075))</f>
        <v>10191.104199066875</v>
      </c>
      <c r="L7" s="43">
        <f>'MTD Utility Sheet'!F9/K7</f>
        <v>0.92422565955732428</v>
      </c>
      <c r="M7" s="42">
        <f>'MTD Utility Sheet'!B9*301</f>
        <v>296.96660000000003</v>
      </c>
      <c r="N7" s="40" t="s">
        <v>64</v>
      </c>
    </row>
    <row r="8" spans="1:15">
      <c r="A8" s="39" t="s">
        <v>65</v>
      </c>
      <c r="B8" s="40">
        <f t="shared" si="0"/>
        <v>7</v>
      </c>
      <c r="C8" s="41">
        <v>5</v>
      </c>
      <c r="D8" s="40">
        <v>2025</v>
      </c>
      <c r="E8" s="42">
        <f>'MTD Utility Sheet'!G10/0.439</f>
        <v>15137.608200455581</v>
      </c>
      <c r="F8" s="43">
        <v>0.439</v>
      </c>
      <c r="G8" s="42">
        <f>('MTD Utility Sheet'!I10/1.82)/0.5</f>
        <v>536.35164835164835</v>
      </c>
      <c r="H8" s="80">
        <v>1.75</v>
      </c>
      <c r="I8" s="42">
        <f>'MTD Utility Sheet'!H10/12.38</f>
        <v>263.89337641357025</v>
      </c>
      <c r="J8" s="43">
        <v>12.38</v>
      </c>
      <c r="K8" s="44">
        <f>IF(('MTD Utility Sheet'!F10-2866)&lt;0,"0",('MTD Utility Sheet'!F10-2866)/(0.568+0.075))</f>
        <v>8922.9082426127552</v>
      </c>
      <c r="L8" s="43">
        <f>'MTD Utility Sheet'!F10/K8</f>
        <v>0.96419572700669087</v>
      </c>
      <c r="M8" s="42">
        <f>'MTD Utility Sheet'!B10*301</f>
        <v>292.00009999999997</v>
      </c>
      <c r="N8" s="40" t="s">
        <v>64</v>
      </c>
    </row>
    <row r="9" spans="1:15">
      <c r="A9" s="39" t="s">
        <v>65</v>
      </c>
      <c r="B9" s="40">
        <f t="shared" si="0"/>
        <v>8</v>
      </c>
      <c r="C9" s="41">
        <v>5</v>
      </c>
      <c r="D9" s="40">
        <v>2025</v>
      </c>
      <c r="E9" s="42">
        <f>'MTD Utility Sheet'!G11/0.439</f>
        <v>15625.922551252846</v>
      </c>
      <c r="F9" s="43">
        <v>0.439</v>
      </c>
      <c r="G9" s="42">
        <f>('MTD Utility Sheet'!I11/1.82)/0.5</f>
        <v>390.39560439560438</v>
      </c>
      <c r="H9" s="80">
        <v>1.75</v>
      </c>
      <c r="I9" s="42">
        <f>'MTD Utility Sheet'!H11/12.38</f>
        <v>256.8562197092084</v>
      </c>
      <c r="J9" s="43">
        <v>12.38</v>
      </c>
      <c r="K9" s="44">
        <f>IF(('MTD Utility Sheet'!F11-2866)&lt;0,"0",('MTD Utility Sheet'!F11-2866)/(0.568+0.075))</f>
        <v>9241.0886469673424</v>
      </c>
      <c r="L9" s="43">
        <f>'MTD Utility Sheet'!F11/K9</f>
        <v>0.95313662020659629</v>
      </c>
      <c r="M9" s="42">
        <f>'MTD Utility Sheet'!B11*301</f>
        <v>295.07029999999997</v>
      </c>
      <c r="N9" s="40" t="s">
        <v>64</v>
      </c>
    </row>
    <row r="10" spans="1:15">
      <c r="A10" s="39" t="s">
        <v>65</v>
      </c>
      <c r="B10" s="40">
        <f t="shared" si="0"/>
        <v>9</v>
      </c>
      <c r="C10" s="41">
        <v>5</v>
      </c>
      <c r="D10" s="40">
        <v>2025</v>
      </c>
      <c r="E10" s="42">
        <f>'MTD Utility Sheet'!G12/0.439</f>
        <v>15137.608200455581</v>
      </c>
      <c r="F10" s="43">
        <v>0.439</v>
      </c>
      <c r="G10" s="42">
        <f>('MTD Utility Sheet'!I12/1.82)/0.5</f>
        <v>487.99999999999994</v>
      </c>
      <c r="H10" s="80">
        <v>1.75</v>
      </c>
      <c r="I10" s="42">
        <f>'MTD Utility Sheet'!H12/12.38</f>
        <v>263.89337641357025</v>
      </c>
      <c r="J10" s="43">
        <v>12.38</v>
      </c>
      <c r="K10" s="44">
        <f>IF(('MTD Utility Sheet'!F12-2866)&lt;0,"0",('MTD Utility Sheet'!F12-2866)/(0.568+0.075))</f>
        <v>9119.0979782270624</v>
      </c>
      <c r="L10" s="43">
        <f>'MTD Utility Sheet'!F12/K10</f>
        <v>0.95728547065103553</v>
      </c>
      <c r="M10" s="42">
        <f>'MTD Utility Sheet'!B12*301</f>
        <v>296.0034</v>
      </c>
      <c r="N10" s="40" t="s">
        <v>64</v>
      </c>
    </row>
    <row r="11" spans="1:15">
      <c r="A11" s="39" t="s">
        <v>65</v>
      </c>
      <c r="B11" s="40">
        <f t="shared" si="0"/>
        <v>10</v>
      </c>
      <c r="C11" s="41">
        <v>5</v>
      </c>
      <c r="D11" s="40">
        <v>2025</v>
      </c>
      <c r="E11" s="42">
        <f>'MTD Utility Sheet'!G13/0.439</f>
        <v>16114.214123006834</v>
      </c>
      <c r="F11" s="43">
        <v>0.439</v>
      </c>
      <c r="G11" s="42">
        <f>('MTD Utility Sheet'!I13/1.82)/0.5</f>
        <v>487.99999999999994</v>
      </c>
      <c r="H11" s="80">
        <v>1.75</v>
      </c>
      <c r="I11" s="42">
        <f>'MTD Utility Sheet'!H13/12.38</f>
        <v>268.58481421647815</v>
      </c>
      <c r="J11" s="43">
        <v>12.38</v>
      </c>
      <c r="K11" s="44">
        <f>IF(('MTD Utility Sheet'!F13-2866)&lt;0,"0",('MTD Utility Sheet'!F13-2866)/(0.568+0.075))</f>
        <v>10162.674961119754</v>
      </c>
      <c r="L11" s="43">
        <f>'MTD Utility Sheet'!F13/K11</f>
        <v>0.92501236494965244</v>
      </c>
      <c r="M11" s="42">
        <f>'MTD Utility Sheet'!B13*301</f>
        <v>279.99020000000002</v>
      </c>
      <c r="N11" s="40" t="s">
        <v>64</v>
      </c>
    </row>
    <row r="12" spans="1:15">
      <c r="A12" s="39" t="s">
        <v>65</v>
      </c>
      <c r="B12" s="40">
        <f t="shared" si="0"/>
        <v>11</v>
      </c>
      <c r="C12" s="41">
        <v>5</v>
      </c>
      <c r="D12" s="40">
        <v>2025</v>
      </c>
      <c r="E12" s="42">
        <f>'MTD Utility Sheet'!G14/0.439</f>
        <v>15137.608200455581</v>
      </c>
      <c r="F12" s="43">
        <v>0.439</v>
      </c>
      <c r="G12" s="42">
        <f>('MTD Utility Sheet'!I14/1.82)/0.5</f>
        <v>585.60439560439556</v>
      </c>
      <c r="H12" s="80">
        <v>1.75</v>
      </c>
      <c r="I12" s="42">
        <f>'MTD Utility Sheet'!H14/12.38</f>
        <v>267.4119547657512</v>
      </c>
      <c r="J12" s="43">
        <v>12.38</v>
      </c>
      <c r="K12" s="44">
        <f>IF(('MTD Utility Sheet'!F14-2866)&lt;0,"0",('MTD Utility Sheet'!F14-2866)/(0.568+0.075))</f>
        <v>10327.589424572318</v>
      </c>
      <c r="L12" s="43">
        <f>'MTD Utility Sheet'!F14/K12</f>
        <v>0.9205090955088665</v>
      </c>
      <c r="M12" s="42">
        <f>'MTD Utility Sheet'!B14*301</f>
        <v>270.99029999999999</v>
      </c>
      <c r="N12" s="40" t="s">
        <v>64</v>
      </c>
    </row>
    <row r="13" spans="1:15">
      <c r="A13" s="39" t="s">
        <v>65</v>
      </c>
      <c r="B13" s="40">
        <f t="shared" si="0"/>
        <v>12</v>
      </c>
      <c r="C13" s="41">
        <v>5</v>
      </c>
      <c r="D13" s="40">
        <v>2025</v>
      </c>
      <c r="E13" s="42">
        <f>'MTD Utility Sheet'!G15/0.439</f>
        <v>15137.608200455581</v>
      </c>
      <c r="F13" s="43">
        <v>0.439</v>
      </c>
      <c r="G13" s="42">
        <f>('MTD Utility Sheet'!I15/1.82)/0.5</f>
        <v>487.99999999999994</v>
      </c>
      <c r="H13" s="80">
        <v>1.75</v>
      </c>
      <c r="I13" s="42">
        <f>'MTD Utility Sheet'!H15/12.38</f>
        <v>248.64620355411952</v>
      </c>
      <c r="J13" s="43">
        <v>12.38</v>
      </c>
      <c r="K13" s="44">
        <f>IF(('MTD Utility Sheet'!F15-2866)&lt;0,"0",('MTD Utility Sheet'!F15-2866)/(0.568+0.075))</f>
        <v>9303.9346811819614</v>
      </c>
      <c r="L13" s="43">
        <f>'MTD Utility Sheet'!F15/K13</f>
        <v>0.95104171549019367</v>
      </c>
      <c r="M13" s="42">
        <f>'MTD Utility Sheet'!B15*301</f>
        <v>272.01369999999997</v>
      </c>
      <c r="N13" s="40" t="s">
        <v>64</v>
      </c>
    </row>
    <row r="14" spans="1:15">
      <c r="A14" s="39" t="s">
        <v>65</v>
      </c>
      <c r="B14" s="40">
        <f t="shared" si="0"/>
        <v>13</v>
      </c>
      <c r="C14" s="41">
        <v>5</v>
      </c>
      <c r="D14" s="40">
        <v>2025</v>
      </c>
      <c r="E14" s="42">
        <f>'MTD Utility Sheet'!G16/0.439</f>
        <v>15625.922551252846</v>
      </c>
      <c r="F14" s="43">
        <v>0.439</v>
      </c>
      <c r="G14" s="42">
        <f>('MTD Utility Sheet'!I16/1.82)/0.5</f>
        <v>487.99999999999994</v>
      </c>
      <c r="H14" s="80">
        <v>1.75</v>
      </c>
      <c r="I14" s="42">
        <f>'MTD Utility Sheet'!H16/12.38</f>
        <v>240.43618739903067</v>
      </c>
      <c r="J14" s="43">
        <v>12.38</v>
      </c>
      <c r="K14" s="44">
        <f>IF(('MTD Utility Sheet'!F16-2866)&lt;0,"0",('MTD Utility Sheet'!F16-2866)/(0.568+0.075))</f>
        <v>9087.8227060653189</v>
      </c>
      <c r="L14" s="43">
        <f>'MTD Utility Sheet'!F16/K14</f>
        <v>0.95836706785522974</v>
      </c>
      <c r="M14" s="42">
        <f>'MTD Utility Sheet'!B16*301</f>
        <v>264.00709999999998</v>
      </c>
      <c r="N14" s="40" t="s">
        <v>64</v>
      </c>
    </row>
    <row r="15" spans="1:15">
      <c r="A15" s="39" t="s">
        <v>65</v>
      </c>
      <c r="B15" s="40">
        <f t="shared" si="0"/>
        <v>14</v>
      </c>
      <c r="C15" s="41">
        <v>5</v>
      </c>
      <c r="D15" s="40">
        <v>2025</v>
      </c>
      <c r="E15" s="42">
        <f>'MTD Utility Sheet'!G17/0.439</f>
        <v>14649.293849658314</v>
      </c>
      <c r="F15" s="43">
        <v>0.439</v>
      </c>
      <c r="G15" s="42">
        <f>('MTD Utility Sheet'!I17/1.82)/0.5</f>
        <v>390.39560439560438</v>
      </c>
      <c r="H15" s="80">
        <v>1.75</v>
      </c>
      <c r="I15" s="42">
        <f>'MTD Utility Sheet'!H17/12.38</f>
        <v>226.36187399030695</v>
      </c>
      <c r="J15" s="43">
        <v>12.38</v>
      </c>
      <c r="K15" s="44">
        <f>IF(('MTD Utility Sheet'!F17-2866)&lt;0,"0",('MTD Utility Sheet'!F17-2866)/(0.568+0.075))</f>
        <v>9130.4821150855369</v>
      </c>
      <c r="L15" s="43">
        <f>'MTD Utility Sheet'!F17/K15</f>
        <v>0.95689361086034497</v>
      </c>
      <c r="M15" s="42">
        <f>'MTD Utility Sheet'!B17*301</f>
        <v>265.99369999999999</v>
      </c>
      <c r="N15" s="40" t="s">
        <v>64</v>
      </c>
    </row>
    <row r="16" spans="1:15">
      <c r="A16" s="39" t="s">
        <v>65</v>
      </c>
      <c r="B16" s="40">
        <f t="shared" si="0"/>
        <v>15</v>
      </c>
      <c r="C16" s="41">
        <v>5</v>
      </c>
      <c r="D16" s="40">
        <v>2025</v>
      </c>
      <c r="E16" s="42">
        <f>'MTD Utility Sheet'!G18/0.439</f>
        <v>15625.922551252846</v>
      </c>
      <c r="F16" s="43">
        <v>0.439</v>
      </c>
      <c r="G16" s="42">
        <f>('MTD Utility Sheet'!I18/1.82)/0.5</f>
        <v>390.39560439560438</v>
      </c>
      <c r="H16" s="80">
        <v>1.75</v>
      </c>
      <c r="I16" s="42">
        <f>'MTD Utility Sheet'!H18/12.38</f>
        <v>241.60904684975765</v>
      </c>
      <c r="J16" s="43">
        <v>12.38</v>
      </c>
      <c r="K16" s="44">
        <f>IF(('MTD Utility Sheet'!F18-2866)&lt;0,"0",('MTD Utility Sheet'!F18-2866)/(0.568+0.075))</f>
        <v>10054.618973561433</v>
      </c>
      <c r="L16" s="43">
        <f>'MTD Utility Sheet'!F18/K16</f>
        <v>0.92804312371618758</v>
      </c>
      <c r="M16" s="42">
        <f>'MTD Utility Sheet'!B18*301</f>
        <v>268.0104</v>
      </c>
      <c r="N16" s="40" t="s">
        <v>64</v>
      </c>
    </row>
    <row r="17" spans="1:14">
      <c r="A17" s="39" t="s">
        <v>65</v>
      </c>
      <c r="B17" s="40">
        <f t="shared" si="0"/>
        <v>16</v>
      </c>
      <c r="C17" s="41">
        <v>5</v>
      </c>
      <c r="D17" s="40">
        <v>2025</v>
      </c>
      <c r="E17" s="42">
        <f>'MTD Utility Sheet'!G19/0.439</f>
        <v>16114.214123006834</v>
      </c>
      <c r="F17" s="43">
        <v>0.439</v>
      </c>
      <c r="G17" s="42">
        <f>('MTD Utility Sheet'!I19/1.82)/0.5</f>
        <v>439.19780219780222</v>
      </c>
      <c r="H17" s="80">
        <v>1.75</v>
      </c>
      <c r="I17" s="42">
        <f>'MTD Utility Sheet'!H19/12.38</f>
        <v>236.91760904684975</v>
      </c>
      <c r="J17" s="43">
        <v>12.38</v>
      </c>
      <c r="K17" s="44">
        <f>IF(('MTD Utility Sheet'!F19-2866)&lt;0,"0",('MTD Utility Sheet'!F19-2866)/(0.568+0.075))</f>
        <v>10046.080870917574</v>
      </c>
      <c r="L17" s="43">
        <f>'MTD Utility Sheet'!F19/K17</f>
        <v>0.92828538012239081</v>
      </c>
      <c r="M17" s="42">
        <f>'MTD Utility Sheet'!B19*301</f>
        <v>295.01009999999997</v>
      </c>
      <c r="N17" s="40" t="s">
        <v>64</v>
      </c>
    </row>
    <row r="18" spans="1:14">
      <c r="A18" s="39" t="s">
        <v>65</v>
      </c>
      <c r="B18" s="40">
        <f t="shared" si="0"/>
        <v>17</v>
      </c>
      <c r="C18" s="41">
        <v>5</v>
      </c>
      <c r="D18" s="40">
        <v>2025</v>
      </c>
      <c r="E18" s="42">
        <f>'MTD Utility Sheet'!G20/0.439</f>
        <v>16114.214123006834</v>
      </c>
      <c r="F18" s="43">
        <v>0.439</v>
      </c>
      <c r="G18" s="42">
        <f>('MTD Utility Sheet'!I20/1.82)/0.5</f>
        <v>537.24175824175825</v>
      </c>
      <c r="H18" s="80">
        <v>1.75</v>
      </c>
      <c r="I18" s="42">
        <f>'MTD Utility Sheet'!H20/12.38</f>
        <v>241.60904684975765</v>
      </c>
      <c r="J18" s="43">
        <v>12.38</v>
      </c>
      <c r="K18" s="44">
        <f>IF(('MTD Utility Sheet'!F20-2866)&lt;0,"0",('MTD Utility Sheet'!F20-2866)/(0.568+0.075))</f>
        <v>11354.090202177296</v>
      </c>
      <c r="L18" s="43">
        <f>'MTD Utility Sheet'!F20/K18</f>
        <v>0.89542004854342316</v>
      </c>
      <c r="M18" s="42">
        <f>'MTD Utility Sheet'!B20*301</f>
        <v>297.99</v>
      </c>
      <c r="N18" s="40" t="s">
        <v>64</v>
      </c>
    </row>
    <row r="19" spans="1:14">
      <c r="A19" s="39" t="s">
        <v>65</v>
      </c>
      <c r="B19" s="40">
        <f t="shared" si="0"/>
        <v>18</v>
      </c>
      <c r="C19" s="41">
        <v>5</v>
      </c>
      <c r="D19" s="40">
        <v>2025</v>
      </c>
      <c r="E19" s="42">
        <f>'MTD Utility Sheet'!G21/0.439</f>
        <v>15625.922551252846</v>
      </c>
      <c r="F19" s="43">
        <v>0.439</v>
      </c>
      <c r="G19" s="42">
        <f>('MTD Utility Sheet'!I21/1.82)/0.5</f>
        <v>634.39560439560432</v>
      </c>
      <c r="H19" s="80">
        <v>1.75</v>
      </c>
      <c r="I19" s="42">
        <f>'MTD Utility Sheet'!H21/12.38</f>
        <v>249.81906300484653</v>
      </c>
      <c r="J19" s="43">
        <v>12.38</v>
      </c>
      <c r="K19" s="44">
        <f>IF(('MTD Utility Sheet'!F21-2866)&lt;0,"0",('MTD Utility Sheet'!F21-2866)/(0.568+0.075))</f>
        <v>9966.4696734059125</v>
      </c>
      <c r="L19" s="43">
        <f>'MTD Utility Sheet'!F21/K19</f>
        <v>0.93056421219516738</v>
      </c>
      <c r="M19" s="42">
        <f>'MTD Utility Sheet'!B21*301</f>
        <v>291.96999999999997</v>
      </c>
      <c r="N19" s="40" t="s">
        <v>64</v>
      </c>
    </row>
    <row r="20" spans="1:14">
      <c r="A20" s="39" t="s">
        <v>65</v>
      </c>
      <c r="B20" s="40">
        <f t="shared" si="0"/>
        <v>19</v>
      </c>
      <c r="C20" s="41">
        <v>5</v>
      </c>
      <c r="D20" s="40">
        <v>2025</v>
      </c>
      <c r="E20" s="42">
        <f>'MTD Utility Sheet'!G22/0.439</f>
        <v>15137.608200455581</v>
      </c>
      <c r="F20" s="43">
        <v>0.439</v>
      </c>
      <c r="G20" s="42">
        <f>('MTD Utility Sheet'!I22/1.82)/0.5</f>
        <v>487.99999999999994</v>
      </c>
      <c r="H20" s="80">
        <v>1.75</v>
      </c>
      <c r="I20" s="42">
        <f>'MTD Utility Sheet'!H22/12.38</f>
        <v>209.94184168012922</v>
      </c>
      <c r="J20" s="43">
        <v>12.38</v>
      </c>
      <c r="K20" s="44">
        <f>IF(('MTD Utility Sheet'!F22-2866)&lt;0,"0",('MTD Utility Sheet'!F22-2866)/(0.568+0.075))</f>
        <v>11240.35769828927</v>
      </c>
      <c r="L20" s="43">
        <f>'MTD Utility Sheet'!F22/K20</f>
        <v>0.89797409218891588</v>
      </c>
      <c r="M20" s="42">
        <f>'MTD Utility Sheet'!B22*301</f>
        <v>260.00380000000001</v>
      </c>
      <c r="N20" s="40" t="s">
        <v>64</v>
      </c>
    </row>
    <row r="21" spans="1:14">
      <c r="A21" s="39" t="s">
        <v>65</v>
      </c>
      <c r="B21" s="40">
        <f t="shared" si="0"/>
        <v>20</v>
      </c>
      <c r="C21" s="41">
        <v>5</v>
      </c>
      <c r="D21" s="40">
        <v>2025</v>
      </c>
      <c r="E21" s="42">
        <f>'MTD Utility Sheet'!G23/0.439</f>
        <v>15137.608200455581</v>
      </c>
      <c r="F21" s="43">
        <v>0.439</v>
      </c>
      <c r="G21" s="42">
        <f>('MTD Utility Sheet'!I23/1.82)/0.5</f>
        <v>585.60439560439556</v>
      </c>
      <c r="H21" s="80">
        <v>1.75</v>
      </c>
      <c r="I21" s="42">
        <f>'MTD Utility Sheet'!H23/12.38</f>
        <v>214.63327948303714</v>
      </c>
      <c r="J21" s="43">
        <v>12.38</v>
      </c>
      <c r="K21" s="44">
        <f>IF(('MTD Utility Sheet'!F23-2866)&lt;0,"0",('MTD Utility Sheet'!F23-2866)/(0.568+0.075))</f>
        <v>11265.940902021775</v>
      </c>
      <c r="L21" s="43">
        <f>'MTD Utility Sheet'!F23/K21</f>
        <v>0.89739508558807268</v>
      </c>
      <c r="M21" s="42">
        <f>'MTD Utility Sheet'!B23*301</f>
        <v>265.93349999999998</v>
      </c>
      <c r="N21" s="40" t="s">
        <v>64</v>
      </c>
    </row>
    <row r="22" spans="1:14">
      <c r="A22" s="39" t="s">
        <v>65</v>
      </c>
      <c r="B22" s="40">
        <f t="shared" si="0"/>
        <v>21</v>
      </c>
      <c r="C22" s="41">
        <v>5</v>
      </c>
      <c r="D22" s="40">
        <v>2025</v>
      </c>
      <c r="E22" s="42">
        <f>'MTD Utility Sheet'!G24/0.439</f>
        <v>16114.214123006834</v>
      </c>
      <c r="F22" s="43">
        <v>0.439</v>
      </c>
      <c r="G22" s="42">
        <f>('MTD Utility Sheet'!I24/1.82)/0.5</f>
        <v>487.99999999999994</v>
      </c>
      <c r="H22" s="80">
        <v>1.75</v>
      </c>
      <c r="I22" s="42">
        <f>'MTD Utility Sheet'!H24/12.38</f>
        <v>233.3990306946688</v>
      </c>
      <c r="J22" s="43">
        <v>12.38</v>
      </c>
      <c r="K22" s="44">
        <f>IF(('MTD Utility Sheet'!F24-2866)&lt;0,"0",('MTD Utility Sheet'!F24-2866)/(0.568+0.075))</f>
        <v>11166.423017107312</v>
      </c>
      <c r="L22" s="43">
        <f>'MTD Utility Sheet'!F24/K22</f>
        <v>0.89966231662629981</v>
      </c>
      <c r="M22" s="42">
        <f>'MTD Utility Sheet'!B24*301</f>
        <v>246.82</v>
      </c>
      <c r="N22" s="40" t="s">
        <v>64</v>
      </c>
    </row>
    <row r="23" spans="1:14">
      <c r="A23" s="39" t="s">
        <v>65</v>
      </c>
      <c r="B23" s="40">
        <f t="shared" si="0"/>
        <v>22</v>
      </c>
      <c r="C23" s="41">
        <v>5</v>
      </c>
      <c r="D23" s="40">
        <v>2025</v>
      </c>
      <c r="E23" s="42">
        <f>'MTD Utility Sheet'!G25/0.439</f>
        <v>15137.608200455581</v>
      </c>
      <c r="F23" s="43">
        <v>0.439</v>
      </c>
      <c r="G23" s="42">
        <f>('MTD Utility Sheet'!I25/1.82)/0.5</f>
        <v>487.99999999999994</v>
      </c>
      <c r="H23" s="80">
        <v>1.75</v>
      </c>
      <c r="I23" s="42">
        <f>'MTD Utility Sheet'!H25/12.38</f>
        <v>214.63327948303714</v>
      </c>
      <c r="J23" s="43">
        <v>12.38</v>
      </c>
      <c r="K23" s="44">
        <f>IF(('MTD Utility Sheet'!F25-2866)&lt;0,"0",('MTD Utility Sheet'!F25-2866)/(0.568+0.075))</f>
        <v>11837.496111975119</v>
      </c>
      <c r="L23" s="43">
        <f>'MTD Utility Sheet'!F25/K23</f>
        <v>0.88511201193981204</v>
      </c>
      <c r="M23" s="42">
        <f>'MTD Utility Sheet'!B25*301</f>
        <v>258.86</v>
      </c>
      <c r="N23" s="40" t="s">
        <v>64</v>
      </c>
    </row>
    <row r="24" spans="1:14">
      <c r="A24" s="39" t="s">
        <v>65</v>
      </c>
      <c r="B24" s="40">
        <f t="shared" si="0"/>
        <v>23</v>
      </c>
      <c r="C24" s="41">
        <v>5</v>
      </c>
      <c r="D24" s="40">
        <v>2025</v>
      </c>
      <c r="E24" s="42">
        <f>'MTD Utility Sheet'!G26/0.439</f>
        <v>16602.528473804101</v>
      </c>
      <c r="F24" s="43">
        <v>0.439</v>
      </c>
      <c r="G24" s="42">
        <f>('MTD Utility Sheet'!I26/1.82)/0.5</f>
        <v>487.99999999999994</v>
      </c>
      <c r="H24" s="80">
        <v>1.75</v>
      </c>
      <c r="I24" s="42">
        <f>'MTD Utility Sheet'!H26/12.38</f>
        <v>236.91760904684975</v>
      </c>
      <c r="J24" s="43">
        <v>12.38</v>
      </c>
      <c r="K24" s="44">
        <f>IF(('MTD Utility Sheet'!F26-2866)&lt;0,"0",('MTD Utility Sheet'!F26-2866)/(0.568+0.075))</f>
        <v>10532.317262830486</v>
      </c>
      <c r="L24" s="43">
        <f>'MTD Utility Sheet'!F26/K24</f>
        <v>0.91511485644421053</v>
      </c>
      <c r="M24" s="42">
        <f>'MTD Utility Sheet'!B26*301</f>
        <v>294.98</v>
      </c>
      <c r="N24" s="40" t="s">
        <v>64</v>
      </c>
    </row>
    <row r="25" spans="1:14">
      <c r="A25" s="39" t="s">
        <v>65</v>
      </c>
      <c r="B25" s="40">
        <f t="shared" si="0"/>
        <v>24</v>
      </c>
      <c r="C25" s="41">
        <v>5</v>
      </c>
      <c r="D25" s="40">
        <v>2025</v>
      </c>
      <c r="E25" s="42">
        <f>'MTD Utility Sheet'!G27/0.439</f>
        <v>15137.608200455581</v>
      </c>
      <c r="F25" s="43">
        <v>0.439</v>
      </c>
      <c r="G25" s="42">
        <f>('MTD Utility Sheet'!I27/1.82)/0.5</f>
        <v>487.99999999999994</v>
      </c>
      <c r="H25" s="80">
        <v>1.75</v>
      </c>
      <c r="I25" s="42">
        <f>'MTD Utility Sheet'!H27/12.38</f>
        <v>255.68336025848143</v>
      </c>
      <c r="J25" s="43">
        <v>12.38</v>
      </c>
      <c r="K25" s="44">
        <f>IF(('MTD Utility Sheet'!F27-2866)&lt;0,"0",('MTD Utility Sheet'!F27-2866)/(0.568+0.075))</f>
        <v>10381.617418351478</v>
      </c>
      <c r="L25" s="43">
        <f>'MTD Utility Sheet'!F27/K25</f>
        <v>0.91906488319766055</v>
      </c>
      <c r="M25" s="42">
        <f>'MTD Utility Sheet'!B27*301</f>
        <v>288.95999999999998</v>
      </c>
      <c r="N25" s="40" t="s">
        <v>64</v>
      </c>
    </row>
    <row r="26" spans="1:14">
      <c r="A26" s="39" t="s">
        <v>65</v>
      </c>
      <c r="B26" s="40">
        <f t="shared" si="0"/>
        <v>25</v>
      </c>
      <c r="C26" s="41">
        <v>5</v>
      </c>
      <c r="D26" s="40">
        <v>2025</v>
      </c>
      <c r="E26" s="42">
        <f>'MTD Utility Sheet'!G28/0.439</f>
        <v>16114.214123006834</v>
      </c>
      <c r="F26" s="43">
        <v>0.439</v>
      </c>
      <c r="G26" s="42">
        <f>('MTD Utility Sheet'!I28/1.82)/0.5</f>
        <v>487.99999999999994</v>
      </c>
      <c r="H26" s="80">
        <v>1.75</v>
      </c>
      <c r="I26" s="42">
        <f>'MTD Utility Sheet'!H28/12.38</f>
        <v>228.7075928917609</v>
      </c>
      <c r="J26" s="43">
        <v>12.38</v>
      </c>
      <c r="K26" s="44">
        <f>IF(('MTD Utility Sheet'!F28-2866)&lt;0,"0",('MTD Utility Sheet'!F28-2866)/(0.568+0.075))</f>
        <v>10813.825816485229</v>
      </c>
      <c r="L26" s="43">
        <f>'MTD Utility Sheet'!F28/K26</f>
        <v>0.90803108600389149</v>
      </c>
      <c r="M26" s="42">
        <f>'MTD Utility Sheet'!B28*301</f>
        <v>294.98</v>
      </c>
      <c r="N26" s="40" t="s">
        <v>64</v>
      </c>
    </row>
    <row r="27" spans="1:14">
      <c r="A27" s="39" t="s">
        <v>65</v>
      </c>
      <c r="B27" s="40">
        <f t="shared" si="0"/>
        <v>26</v>
      </c>
      <c r="C27" s="41">
        <v>5</v>
      </c>
      <c r="D27" s="40">
        <v>2025</v>
      </c>
      <c r="E27" s="42">
        <f>'MTD Utility Sheet'!G29/0.439</f>
        <v>15625.922551252846</v>
      </c>
      <c r="F27" s="43">
        <v>0.439</v>
      </c>
      <c r="G27" s="42">
        <f>('MTD Utility Sheet'!I29/1.82)/0.5</f>
        <v>487.99999999999994</v>
      </c>
      <c r="H27" s="80">
        <v>1.75</v>
      </c>
      <c r="I27" s="42">
        <f>'MTD Utility Sheet'!H29/12.38</f>
        <v>273.27625201938605</v>
      </c>
      <c r="J27" s="43">
        <v>12.38</v>
      </c>
      <c r="K27" s="44">
        <f>IF(('MTD Utility Sheet'!F29-2866)&lt;0,"0",('MTD Utility Sheet'!F29-2866)/(0.568+0.075))</f>
        <v>12448.849144634529</v>
      </c>
      <c r="L27" s="43">
        <f>'MTD Utility Sheet'!F29/K27</f>
        <v>0.87322208452379302</v>
      </c>
      <c r="M27" s="42">
        <f>'MTD Utility Sheet'!B29*301</f>
        <v>260.87670000000003</v>
      </c>
      <c r="N27" s="40" t="s">
        <v>64</v>
      </c>
    </row>
    <row r="28" spans="1:14">
      <c r="A28" s="39" t="s">
        <v>65</v>
      </c>
      <c r="B28" s="40">
        <f t="shared" si="0"/>
        <v>27</v>
      </c>
      <c r="C28" s="41">
        <v>5</v>
      </c>
      <c r="D28" s="40">
        <v>2025</v>
      </c>
      <c r="E28" s="42">
        <f>'MTD Utility Sheet'!G30/0.439</f>
        <v>15137.608200455581</v>
      </c>
      <c r="F28" s="43">
        <v>0.439</v>
      </c>
      <c r="G28" s="42">
        <f>('MTD Utility Sheet'!I30/1.82)/0.5</f>
        <v>487.99999999999994</v>
      </c>
      <c r="H28" s="80">
        <v>1.75</v>
      </c>
      <c r="I28" s="42">
        <f>'MTD Utility Sheet'!H30/12.38</f>
        <v>226.36187399030695</v>
      </c>
      <c r="J28" s="43">
        <v>12.38</v>
      </c>
      <c r="K28" s="44">
        <f>IF(('MTD Utility Sheet'!F30-2866)&lt;0,"0",('MTD Utility Sheet'!F30-2866)/(0.568+0.075))</f>
        <v>11558.833592534993</v>
      </c>
      <c r="L28" s="43">
        <f>'MTD Utility Sheet'!F30/K28</f>
        <v>0.89094889355020557</v>
      </c>
      <c r="M28" s="42">
        <f>'MTD Utility Sheet'!B30*301</f>
        <v>250.01060000000001</v>
      </c>
      <c r="N28" s="40" t="s">
        <v>64</v>
      </c>
    </row>
    <row r="29" spans="1:14">
      <c r="A29" s="39" t="s">
        <v>65</v>
      </c>
      <c r="B29" s="40">
        <f t="shared" si="0"/>
        <v>28</v>
      </c>
      <c r="C29" s="41">
        <v>5</v>
      </c>
      <c r="D29" s="40">
        <v>2025</v>
      </c>
      <c r="E29" s="42">
        <f>'MTD Utility Sheet'!G31/0.439</f>
        <v>16602.528473804101</v>
      </c>
      <c r="F29" s="43">
        <v>0.439</v>
      </c>
      <c r="G29" s="42">
        <f>('MTD Utility Sheet'!I31/1.82)/0.5</f>
        <v>536.80219780219784</v>
      </c>
      <c r="H29" s="80">
        <v>1.75</v>
      </c>
      <c r="I29" s="42">
        <f>'MTD Utility Sheet'!H31/12.38</f>
        <v>247.47334410339255</v>
      </c>
      <c r="J29" s="43">
        <v>12.38</v>
      </c>
      <c r="K29" s="44">
        <f>IF(('MTD Utility Sheet'!F31-2866)&lt;0,"0",('MTD Utility Sheet'!F31-2866)/(0.568+0.075))</f>
        <v>11954.07465007776</v>
      </c>
      <c r="L29" s="43">
        <f>'MTD Utility Sheet'!F31/K29</f>
        <v>0.88275088694810488</v>
      </c>
      <c r="M29" s="42">
        <f>'MTD Utility Sheet'!B31*301</f>
        <v>288.95999999999998</v>
      </c>
      <c r="N29" s="40" t="s">
        <v>64</v>
      </c>
    </row>
    <row r="30" spans="1:14">
      <c r="A30" s="39" t="s">
        <v>65</v>
      </c>
      <c r="B30" s="40">
        <f t="shared" si="0"/>
        <v>29</v>
      </c>
      <c r="C30" s="41">
        <v>5</v>
      </c>
      <c r="D30" s="40">
        <v>2025</v>
      </c>
      <c r="E30" s="42">
        <f>'MTD Utility Sheet'!G32/0.439</f>
        <v>15625.922551252846</v>
      </c>
      <c r="F30" s="43">
        <v>0.439</v>
      </c>
      <c r="G30" s="42">
        <f>('MTD Utility Sheet'!I32/1.82)/0.5</f>
        <v>487.99999999999994</v>
      </c>
      <c r="H30" s="80">
        <v>1.75</v>
      </c>
      <c r="I30" s="42">
        <f>'MTD Utility Sheet'!H32/12.38</f>
        <v>250.9919224555735</v>
      </c>
      <c r="J30" s="43">
        <v>12.38</v>
      </c>
      <c r="K30" s="44">
        <f>IF(('MTD Utility Sheet'!F32-2866)&lt;0,"0",('MTD Utility Sheet'!F32-2866)/(0.568+0.075))</f>
        <v>11828.958009331262</v>
      </c>
      <c r="L30" s="43">
        <f>'MTD Utility Sheet'!F32/K30</f>
        <v>0.88528676758672731</v>
      </c>
      <c r="M30" s="42">
        <f>'MTD Utility Sheet'!B32*301</f>
        <v>294.98</v>
      </c>
      <c r="N30" s="40" t="s">
        <v>64</v>
      </c>
    </row>
    <row r="31" spans="1:14">
      <c r="A31" s="39" t="s">
        <v>65</v>
      </c>
      <c r="B31" s="40">
        <f t="shared" si="0"/>
        <v>30</v>
      </c>
      <c r="C31" s="41">
        <v>5</v>
      </c>
      <c r="D31" s="40">
        <v>2025</v>
      </c>
      <c r="E31" s="42">
        <f>'MTD Utility Sheet'!G33/0.439</f>
        <v>15625.922551252846</v>
      </c>
      <c r="F31" s="43">
        <v>0.439</v>
      </c>
      <c r="G31" s="42">
        <f>('MTD Utility Sheet'!I33/1.82)/0.5</f>
        <v>487.99999999999994</v>
      </c>
      <c r="H31" s="80">
        <v>1.75</v>
      </c>
      <c r="I31" s="42">
        <f>'MTD Utility Sheet'!H33/12.38</f>
        <v>256.8562197092084</v>
      </c>
      <c r="J31" s="43">
        <v>12.38</v>
      </c>
      <c r="K31" s="44">
        <f>IF(('MTD Utility Sheet'!F33-2866)&lt;0,"0",('MTD Utility Sheet'!F33-2866)/(0.568+0.075))</f>
        <v>12147.433903576984</v>
      </c>
      <c r="L31" s="43">
        <f>'MTD Utility Sheet'!F33/K31</f>
        <v>0.87893460336969309</v>
      </c>
      <c r="M31" s="42">
        <f>'MTD Utility Sheet'!B33*301</f>
        <v>288.95999999999998</v>
      </c>
    </row>
    <row r="32" spans="1:14">
      <c r="A32" s="39" t="s">
        <v>65</v>
      </c>
      <c r="B32" s="40">
        <f t="shared" si="0"/>
        <v>31</v>
      </c>
      <c r="C32" s="41">
        <v>5</v>
      </c>
      <c r="D32" s="40">
        <v>2025</v>
      </c>
      <c r="E32" s="42">
        <f>'MTD Utility Sheet'!G34/0.439</f>
        <v>16114.214123006834</v>
      </c>
      <c r="F32" s="43">
        <v>1.4390000000000001</v>
      </c>
      <c r="G32" s="42">
        <f>('MTD Utility Sheet'!I34/1.82)*2</f>
        <v>487.91208791208788</v>
      </c>
      <c r="H32" s="80">
        <v>1.75</v>
      </c>
      <c r="I32" s="42">
        <f>'MTD Utility Sheet'!H34/12.38</f>
        <v>259.18578352180936</v>
      </c>
      <c r="J32" s="43">
        <v>13.38</v>
      </c>
      <c r="K32" s="44">
        <f>IF(('MTD Utility Sheet'!F34-2866)&lt;0,"0",('MTD Utility Sheet'!F34-2866)/(0.568+0.075))</f>
        <v>11982.503888024885</v>
      </c>
      <c r="L32" s="43">
        <f>'MTD Utility Sheet'!F34/K32</f>
        <v>0.88218206301307622</v>
      </c>
      <c r="M32" s="42">
        <f>'MTD Utility Sheet'!B34*301</f>
        <v>301</v>
      </c>
    </row>
    <row r="33" spans="8:8">
      <c r="H33" s="81"/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7"/>
  <sheetViews>
    <sheetView zoomScaleNormal="100" zoomScaleSheetLayoutView="100" workbookViewId="0">
      <pane ySplit="3" topLeftCell="A16" activePane="bottomLeft" state="frozen"/>
      <selection activeCell="A5" sqref="A5:H5"/>
      <selection pane="bottomLeft" activeCell="I34" sqref="I34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  <col min="12" max="12" width="9.140625" hidden="1" customWidth="1"/>
  </cols>
  <sheetData>
    <row r="1" spans="1:10">
      <c r="A1" s="56" t="s">
        <v>70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s="4" customFormat="1" ht="30.75" customHeight="1">
      <c r="A3" s="15"/>
      <c r="B3" s="16" t="s">
        <v>10</v>
      </c>
      <c r="C3" s="22" t="s">
        <v>47</v>
      </c>
      <c r="D3" s="16" t="s">
        <v>11</v>
      </c>
      <c r="E3" s="22" t="s">
        <v>44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49">
        <v>0.97340000000000004</v>
      </c>
      <c r="C4" s="52" t="s">
        <v>71</v>
      </c>
      <c r="D4" s="49">
        <v>0.74</v>
      </c>
      <c r="E4" s="50">
        <v>1571</v>
      </c>
      <c r="F4" s="51">
        <v>8868.5400000000009</v>
      </c>
      <c r="G4" s="51">
        <v>6859.78</v>
      </c>
      <c r="H4" s="51">
        <v>3499.32</v>
      </c>
      <c r="I4" s="51">
        <v>488.49</v>
      </c>
      <c r="J4" s="19">
        <f t="shared" ref="J4:J34" si="0">SUM(F4+G4+H4+I4)</f>
        <v>19716.13</v>
      </c>
    </row>
    <row r="5" spans="1:10" s="4" customFormat="1" ht="21" customHeight="1">
      <c r="A5" s="18">
        <v>2</v>
      </c>
      <c r="B5" s="49">
        <v>0.99339999999999995</v>
      </c>
      <c r="C5" s="52" t="s">
        <v>73</v>
      </c>
      <c r="D5" s="49">
        <v>0.79</v>
      </c>
      <c r="E5" s="50">
        <v>1985</v>
      </c>
      <c r="F5" s="51">
        <v>8950.82</v>
      </c>
      <c r="G5" s="51">
        <v>6645.41</v>
      </c>
      <c r="H5" s="51">
        <v>3339.6</v>
      </c>
      <c r="I5" s="51">
        <v>488.08</v>
      </c>
      <c r="J5" s="19">
        <f t="shared" si="0"/>
        <v>19423.91</v>
      </c>
    </row>
    <row r="6" spans="1:10" s="4" customFormat="1" ht="21" customHeight="1">
      <c r="A6" s="18">
        <v>3</v>
      </c>
      <c r="B6" s="49">
        <v>0.99</v>
      </c>
      <c r="C6" s="52" t="s">
        <v>75</v>
      </c>
      <c r="D6" s="49">
        <v>0.72</v>
      </c>
      <c r="E6" s="50">
        <v>1638</v>
      </c>
      <c r="F6" s="51">
        <v>8939.85</v>
      </c>
      <c r="G6" s="51">
        <v>7074.14</v>
      </c>
      <c r="H6" s="51">
        <v>3397.68</v>
      </c>
      <c r="I6" s="51">
        <v>577.29999999999995</v>
      </c>
      <c r="J6" s="19">
        <f t="shared" si="0"/>
        <v>19988.97</v>
      </c>
    </row>
    <row r="7" spans="1:10" s="4" customFormat="1" ht="21" customHeight="1">
      <c r="A7" s="18">
        <v>4</v>
      </c>
      <c r="B7" s="49">
        <v>1</v>
      </c>
      <c r="C7" s="52" t="s">
        <v>77</v>
      </c>
      <c r="D7" s="49">
        <v>0.63</v>
      </c>
      <c r="E7" s="50">
        <v>1637</v>
      </c>
      <c r="F7" s="51">
        <v>8427.9</v>
      </c>
      <c r="G7" s="51">
        <v>6859.78</v>
      </c>
      <c r="H7" s="51">
        <v>3441.24</v>
      </c>
      <c r="I7" s="51">
        <v>532.9</v>
      </c>
      <c r="J7" s="19">
        <f t="shared" si="0"/>
        <v>19261.82</v>
      </c>
    </row>
    <row r="8" spans="1:10" s="4" customFormat="1" ht="21" customHeight="1">
      <c r="A8" s="18">
        <v>5</v>
      </c>
      <c r="B8" s="49">
        <v>0.91359999999999997</v>
      </c>
      <c r="C8" s="52" t="s">
        <v>71</v>
      </c>
      <c r="D8" s="49">
        <v>0.66</v>
      </c>
      <c r="E8" s="50">
        <v>1415</v>
      </c>
      <c r="F8" s="51">
        <v>8455.33</v>
      </c>
      <c r="G8" s="51">
        <v>6859.78</v>
      </c>
      <c r="H8" s="51">
        <v>3397.68</v>
      </c>
      <c r="I8" s="51">
        <v>532.9</v>
      </c>
      <c r="J8" s="19">
        <f t="shared" si="0"/>
        <v>19245.690000000002</v>
      </c>
    </row>
    <row r="9" spans="1:10" s="4" customFormat="1" ht="21" customHeight="1">
      <c r="A9" s="18">
        <v>6</v>
      </c>
      <c r="B9" s="49">
        <v>0.98660000000000003</v>
      </c>
      <c r="C9" s="52" t="s">
        <v>73</v>
      </c>
      <c r="D9" s="49">
        <v>0.62</v>
      </c>
      <c r="E9" s="50">
        <v>1424</v>
      </c>
      <c r="F9" s="51">
        <v>9418.8799999999992</v>
      </c>
      <c r="G9" s="51">
        <v>7074.14</v>
      </c>
      <c r="H9" s="51">
        <v>3150.84</v>
      </c>
      <c r="I9" s="51">
        <v>488.49</v>
      </c>
      <c r="J9" s="19">
        <f t="shared" si="0"/>
        <v>20132.350000000002</v>
      </c>
    </row>
    <row r="10" spans="1:10" s="4" customFormat="1" ht="21" customHeight="1">
      <c r="A10" s="18">
        <v>7</v>
      </c>
      <c r="B10" s="49">
        <v>0.97009999999999996</v>
      </c>
      <c r="C10" s="52" t="s">
        <v>81</v>
      </c>
      <c r="D10" s="49">
        <v>0.6</v>
      </c>
      <c r="E10" s="50">
        <v>1482</v>
      </c>
      <c r="F10" s="51">
        <v>8603.43</v>
      </c>
      <c r="G10" s="51">
        <v>6645.41</v>
      </c>
      <c r="H10" s="51">
        <v>3267</v>
      </c>
      <c r="I10" s="51">
        <v>488.08</v>
      </c>
      <c r="J10" s="19">
        <f t="shared" si="0"/>
        <v>19003.920000000002</v>
      </c>
    </row>
    <row r="11" spans="1:10" s="4" customFormat="1" ht="21" customHeight="1">
      <c r="A11" s="18">
        <v>8</v>
      </c>
      <c r="B11" s="49">
        <v>0.98029999999999995</v>
      </c>
      <c r="C11" s="52" t="s">
        <v>73</v>
      </c>
      <c r="D11" s="49">
        <v>0.65</v>
      </c>
      <c r="E11" s="50">
        <v>1323</v>
      </c>
      <c r="F11" s="51">
        <v>8808.02</v>
      </c>
      <c r="G11" s="51">
        <v>6859.78</v>
      </c>
      <c r="H11" s="51">
        <v>3179.88</v>
      </c>
      <c r="I11" s="51">
        <v>355.26</v>
      </c>
      <c r="J11" s="19">
        <f t="shared" si="0"/>
        <v>19202.939999999999</v>
      </c>
    </row>
    <row r="12" spans="1:10" s="4" customFormat="1" ht="21" customHeight="1">
      <c r="A12" s="18">
        <v>9</v>
      </c>
      <c r="B12" s="49">
        <v>0.98340000000000005</v>
      </c>
      <c r="C12" s="52" t="s">
        <v>71</v>
      </c>
      <c r="D12" s="49">
        <v>0.85</v>
      </c>
      <c r="E12" s="50">
        <v>1323</v>
      </c>
      <c r="F12" s="51">
        <v>8729.58</v>
      </c>
      <c r="G12" s="51">
        <v>6645.41</v>
      </c>
      <c r="H12" s="51">
        <v>3267</v>
      </c>
      <c r="I12" s="51">
        <v>444.08</v>
      </c>
      <c r="J12" s="19">
        <f t="shared" si="0"/>
        <v>19086.07</v>
      </c>
    </row>
    <row r="13" spans="1:10" s="4" customFormat="1" ht="21" customHeight="1">
      <c r="A13" s="18">
        <v>10</v>
      </c>
      <c r="B13" s="49">
        <v>0.93020000000000003</v>
      </c>
      <c r="C13" s="52" t="s">
        <v>73</v>
      </c>
      <c r="D13" s="49">
        <v>0.8</v>
      </c>
      <c r="E13" s="50">
        <v>1399</v>
      </c>
      <c r="F13" s="51">
        <v>9400.6</v>
      </c>
      <c r="G13" s="51">
        <v>7074.14</v>
      </c>
      <c r="H13" s="51">
        <v>3325.08</v>
      </c>
      <c r="I13" s="51">
        <v>444.08</v>
      </c>
      <c r="J13" s="19">
        <f t="shared" si="0"/>
        <v>20243.900000000001</v>
      </c>
    </row>
    <row r="14" spans="1:10" s="4" customFormat="1" ht="21" customHeight="1">
      <c r="A14" s="18">
        <v>11</v>
      </c>
      <c r="B14" s="49">
        <v>0.90029999999999999</v>
      </c>
      <c r="C14" s="52" t="s">
        <v>75</v>
      </c>
      <c r="D14" s="49">
        <v>0.78</v>
      </c>
      <c r="E14" s="50">
        <v>1309</v>
      </c>
      <c r="F14" s="51">
        <v>9506.64</v>
      </c>
      <c r="G14" s="51">
        <v>6645.41</v>
      </c>
      <c r="H14" s="51">
        <v>3310.56</v>
      </c>
      <c r="I14" s="51">
        <v>532.9</v>
      </c>
      <c r="J14" s="19">
        <f t="shared" si="0"/>
        <v>19995.510000000002</v>
      </c>
    </row>
    <row r="15" spans="1:10" s="4" customFormat="1" ht="21" customHeight="1">
      <c r="A15" s="18">
        <v>12</v>
      </c>
      <c r="B15" s="49">
        <v>0.90369999999999995</v>
      </c>
      <c r="C15" s="52" t="s">
        <v>87</v>
      </c>
      <c r="D15" s="49">
        <v>0.65</v>
      </c>
      <c r="E15" s="50">
        <v>1413</v>
      </c>
      <c r="F15" s="51">
        <v>8848.43</v>
      </c>
      <c r="G15" s="51">
        <v>6645.41</v>
      </c>
      <c r="H15" s="51">
        <v>3078.24</v>
      </c>
      <c r="I15" s="51">
        <v>444.08</v>
      </c>
      <c r="J15" s="19">
        <f t="shared" si="0"/>
        <v>19016.160000000003</v>
      </c>
    </row>
    <row r="16" spans="1:10" s="4" customFormat="1" ht="21" customHeight="1">
      <c r="A16" s="18">
        <v>13</v>
      </c>
      <c r="B16" s="49">
        <v>0.87709999999999999</v>
      </c>
      <c r="C16" s="52" t="s">
        <v>87</v>
      </c>
      <c r="D16" s="49">
        <v>0.56000000000000005</v>
      </c>
      <c r="E16" s="50">
        <v>1274</v>
      </c>
      <c r="F16" s="51">
        <v>8709.4699999999993</v>
      </c>
      <c r="G16" s="51">
        <v>6859.78</v>
      </c>
      <c r="H16" s="51">
        <v>2976.6</v>
      </c>
      <c r="I16" s="51">
        <v>444.08</v>
      </c>
      <c r="J16" s="19">
        <f t="shared" si="0"/>
        <v>18989.93</v>
      </c>
    </row>
    <row r="17" spans="1:12" s="4" customFormat="1" ht="21" customHeight="1">
      <c r="A17" s="18">
        <v>14</v>
      </c>
      <c r="B17" s="49">
        <v>0.88370000000000004</v>
      </c>
      <c r="C17" s="52" t="s">
        <v>73</v>
      </c>
      <c r="D17" s="49">
        <v>0.6</v>
      </c>
      <c r="E17" s="50">
        <v>1313</v>
      </c>
      <c r="F17" s="51">
        <v>8736.9</v>
      </c>
      <c r="G17" s="51">
        <v>6431.04</v>
      </c>
      <c r="H17" s="51">
        <v>2802.36</v>
      </c>
      <c r="I17" s="51">
        <v>355.26</v>
      </c>
      <c r="J17" s="19">
        <f t="shared" si="0"/>
        <v>18325.559999999998</v>
      </c>
    </row>
    <row r="18" spans="1:12" s="4" customFormat="1" ht="21" customHeight="1">
      <c r="A18" s="18">
        <v>15</v>
      </c>
      <c r="B18" s="49">
        <v>0.89039999999999997</v>
      </c>
      <c r="C18" s="52" t="s">
        <v>87</v>
      </c>
      <c r="D18" s="49">
        <v>0.55000000000000004</v>
      </c>
      <c r="E18" s="50">
        <v>1233</v>
      </c>
      <c r="F18" s="51">
        <v>9331.1200000000008</v>
      </c>
      <c r="G18" s="51">
        <v>6859.78</v>
      </c>
      <c r="H18" s="51">
        <v>2991.12</v>
      </c>
      <c r="I18" s="51">
        <v>355.26</v>
      </c>
      <c r="J18" s="19">
        <f t="shared" si="0"/>
        <v>19537.28</v>
      </c>
      <c r="L18" s="4">
        <f ca="1">+L18:O27</f>
        <v>0</v>
      </c>
    </row>
    <row r="19" spans="1:12" s="4" customFormat="1" ht="21" customHeight="1">
      <c r="A19" s="18">
        <v>16</v>
      </c>
      <c r="B19" s="49">
        <v>0.98009999999999997</v>
      </c>
      <c r="C19" s="52" t="s">
        <v>87</v>
      </c>
      <c r="D19" s="49">
        <v>0.86</v>
      </c>
      <c r="E19" s="50">
        <v>1199</v>
      </c>
      <c r="F19" s="51">
        <v>9325.6299999999992</v>
      </c>
      <c r="G19" s="51">
        <v>7074.14</v>
      </c>
      <c r="H19" s="51">
        <v>2933.04</v>
      </c>
      <c r="I19" s="51">
        <v>399.67</v>
      </c>
      <c r="J19" s="19">
        <f t="shared" si="0"/>
        <v>19732.48</v>
      </c>
    </row>
    <row r="20" spans="1:12" s="4" customFormat="1" ht="21" customHeight="1">
      <c r="A20" s="18">
        <v>17</v>
      </c>
      <c r="B20" s="49">
        <v>0.99</v>
      </c>
      <c r="C20" s="52" t="s">
        <v>75</v>
      </c>
      <c r="D20" s="49">
        <v>0.77</v>
      </c>
      <c r="E20" s="50">
        <v>1348</v>
      </c>
      <c r="F20" s="51">
        <v>10166.68</v>
      </c>
      <c r="G20" s="51">
        <v>7074.14</v>
      </c>
      <c r="H20" s="51">
        <v>2991.12</v>
      </c>
      <c r="I20" s="51">
        <v>488.89</v>
      </c>
      <c r="J20" s="19">
        <f t="shared" si="0"/>
        <v>20720.829999999998</v>
      </c>
    </row>
    <row r="21" spans="1:12" s="4" customFormat="1" ht="21" customHeight="1">
      <c r="A21" s="18">
        <v>18</v>
      </c>
      <c r="B21" s="49">
        <v>0.97</v>
      </c>
      <c r="C21" s="52" t="s">
        <v>94</v>
      </c>
      <c r="D21" s="49">
        <v>0.86</v>
      </c>
      <c r="E21" s="50">
        <v>1496</v>
      </c>
      <c r="F21" s="51">
        <v>9274.44</v>
      </c>
      <c r="G21" s="51">
        <v>6859.78</v>
      </c>
      <c r="H21" s="51">
        <v>3092.76</v>
      </c>
      <c r="I21" s="51">
        <v>577.29999999999995</v>
      </c>
      <c r="J21" s="19">
        <f t="shared" si="0"/>
        <v>19804.280000000002</v>
      </c>
    </row>
    <row r="22" spans="1:12" s="4" customFormat="1" ht="21" customHeight="1">
      <c r="A22" s="18">
        <v>19</v>
      </c>
      <c r="B22" s="49">
        <v>0.86380000000000001</v>
      </c>
      <c r="C22" s="52" t="s">
        <v>75</v>
      </c>
      <c r="D22" s="49">
        <v>0.93</v>
      </c>
      <c r="E22" s="50">
        <v>1389</v>
      </c>
      <c r="F22" s="51">
        <v>10093.549999999999</v>
      </c>
      <c r="G22" s="51">
        <v>6645.41</v>
      </c>
      <c r="H22" s="51">
        <v>2599.08</v>
      </c>
      <c r="I22" s="51">
        <v>444.08</v>
      </c>
      <c r="J22" s="19">
        <f t="shared" si="0"/>
        <v>19782.120000000003</v>
      </c>
    </row>
    <row r="23" spans="1:12" s="4" customFormat="1" ht="21" customHeight="1">
      <c r="A23" s="18">
        <v>20</v>
      </c>
      <c r="B23" s="49">
        <v>0.88349999999999995</v>
      </c>
      <c r="C23" s="52" t="s">
        <v>87</v>
      </c>
      <c r="D23" s="49">
        <v>0.86</v>
      </c>
      <c r="E23" s="50">
        <v>1197</v>
      </c>
      <c r="F23" s="51">
        <v>10110</v>
      </c>
      <c r="G23" s="51">
        <v>6645.41</v>
      </c>
      <c r="H23" s="51">
        <v>2657.16</v>
      </c>
      <c r="I23" s="51">
        <v>532.9</v>
      </c>
      <c r="J23" s="19">
        <f t="shared" si="0"/>
        <v>19945.47</v>
      </c>
    </row>
    <row r="24" spans="1:12" s="4" customFormat="1" ht="21" customHeight="1">
      <c r="A24" s="18">
        <v>21</v>
      </c>
      <c r="B24" s="49">
        <v>0.82</v>
      </c>
      <c r="C24" s="52" t="s">
        <v>98</v>
      </c>
      <c r="D24" s="49">
        <v>0.82</v>
      </c>
      <c r="E24" s="50">
        <v>1249</v>
      </c>
      <c r="F24" s="51">
        <v>10046.01</v>
      </c>
      <c r="G24" s="51">
        <v>7074.14</v>
      </c>
      <c r="H24" s="51">
        <v>2889.48</v>
      </c>
      <c r="I24" s="51">
        <v>444.08</v>
      </c>
      <c r="J24" s="19">
        <f t="shared" si="0"/>
        <v>20453.710000000003</v>
      </c>
    </row>
    <row r="25" spans="1:12" s="4" customFormat="1" ht="21" customHeight="1">
      <c r="A25" s="18">
        <v>22</v>
      </c>
      <c r="B25" s="49">
        <v>0.86</v>
      </c>
      <c r="C25" s="52" t="s">
        <v>100</v>
      </c>
      <c r="D25" s="49">
        <v>0.78</v>
      </c>
      <c r="E25" s="50">
        <v>1230</v>
      </c>
      <c r="F25" s="51">
        <v>10477.51</v>
      </c>
      <c r="G25" s="51">
        <v>6645.41</v>
      </c>
      <c r="H25" s="51">
        <v>2657.16</v>
      </c>
      <c r="I25" s="51">
        <v>444.08</v>
      </c>
      <c r="J25" s="19">
        <f t="shared" si="0"/>
        <v>20224.16</v>
      </c>
    </row>
    <row r="26" spans="1:12" s="4" customFormat="1" ht="21" customHeight="1">
      <c r="A26" s="18">
        <v>23</v>
      </c>
      <c r="B26" s="49">
        <v>0.98</v>
      </c>
      <c r="C26" s="52" t="s">
        <v>102</v>
      </c>
      <c r="D26" s="49">
        <v>0.67</v>
      </c>
      <c r="E26" s="50">
        <v>1404</v>
      </c>
      <c r="F26" s="51">
        <v>9638.2800000000007</v>
      </c>
      <c r="G26" s="51">
        <v>7288.51</v>
      </c>
      <c r="H26" s="51">
        <v>2933.04</v>
      </c>
      <c r="I26" s="51">
        <v>444.08</v>
      </c>
      <c r="J26" s="19">
        <f t="shared" si="0"/>
        <v>20303.910000000003</v>
      </c>
    </row>
    <row r="27" spans="1:12" s="4" customFormat="1" ht="21" customHeight="1">
      <c r="A27" s="18">
        <v>24</v>
      </c>
      <c r="B27" s="49">
        <v>0.96</v>
      </c>
      <c r="C27" s="52" t="s">
        <v>104</v>
      </c>
      <c r="D27" s="49">
        <v>0.68</v>
      </c>
      <c r="E27" s="50">
        <v>1485</v>
      </c>
      <c r="F27" s="51">
        <v>9541.3799999999992</v>
      </c>
      <c r="G27" s="51">
        <v>6645.41</v>
      </c>
      <c r="H27" s="51">
        <v>3165.36</v>
      </c>
      <c r="I27" s="51">
        <v>444.08</v>
      </c>
      <c r="J27" s="19">
        <f t="shared" si="0"/>
        <v>19796.23</v>
      </c>
    </row>
    <row r="28" spans="1:12" s="4" customFormat="1" ht="21" customHeight="1">
      <c r="A28" s="18">
        <v>25</v>
      </c>
      <c r="B28" s="49">
        <v>0.98</v>
      </c>
      <c r="C28" s="52" t="s">
        <v>106</v>
      </c>
      <c r="D28" s="49">
        <v>0.72</v>
      </c>
      <c r="E28" s="50">
        <v>1481</v>
      </c>
      <c r="F28" s="51">
        <v>9819.2900000000009</v>
      </c>
      <c r="G28" s="51">
        <v>7074.14</v>
      </c>
      <c r="H28" s="51">
        <v>2831.4</v>
      </c>
      <c r="I28" s="51">
        <v>444.08</v>
      </c>
      <c r="J28" s="19">
        <f t="shared" si="0"/>
        <v>20168.910000000003</v>
      </c>
    </row>
    <row r="29" spans="1:12" s="4" customFormat="1" ht="21" customHeight="1">
      <c r="A29" s="18">
        <v>26</v>
      </c>
      <c r="B29" s="49">
        <v>0.86670000000000003</v>
      </c>
      <c r="C29" s="52" t="s">
        <v>104</v>
      </c>
      <c r="D29" s="49">
        <v>0.7</v>
      </c>
      <c r="E29" s="50">
        <v>1369</v>
      </c>
      <c r="F29" s="51">
        <v>10870.61</v>
      </c>
      <c r="G29" s="51">
        <v>6859.78</v>
      </c>
      <c r="H29" s="51">
        <v>3383.16</v>
      </c>
      <c r="I29" s="51">
        <v>444.08</v>
      </c>
      <c r="J29" s="19">
        <f t="shared" si="0"/>
        <v>21557.63</v>
      </c>
    </row>
    <row r="30" spans="1:12" s="4" customFormat="1" ht="21" customHeight="1">
      <c r="A30" s="18">
        <v>27</v>
      </c>
      <c r="B30" s="49">
        <v>0.8306</v>
      </c>
      <c r="C30" s="52" t="s">
        <v>106</v>
      </c>
      <c r="D30" s="49">
        <v>0.72</v>
      </c>
      <c r="E30" s="50">
        <v>1305</v>
      </c>
      <c r="F30" s="51">
        <v>10298.33</v>
      </c>
      <c r="G30" s="51">
        <v>6645.41</v>
      </c>
      <c r="H30" s="51">
        <v>2802.36</v>
      </c>
      <c r="I30" s="51">
        <v>444.08</v>
      </c>
      <c r="J30" s="51">
        <f t="shared" si="0"/>
        <v>20190.18</v>
      </c>
    </row>
    <row r="31" spans="1:12" s="4" customFormat="1" ht="21" customHeight="1">
      <c r="A31" s="18">
        <v>28</v>
      </c>
      <c r="B31" s="49">
        <v>0.96</v>
      </c>
      <c r="C31" s="52" t="s">
        <v>102</v>
      </c>
      <c r="D31" s="49">
        <v>0.78</v>
      </c>
      <c r="E31" s="50">
        <v>1368</v>
      </c>
      <c r="F31" s="51">
        <v>10552.47</v>
      </c>
      <c r="G31" s="51">
        <v>7288.51</v>
      </c>
      <c r="H31" s="51">
        <v>3063.72</v>
      </c>
      <c r="I31" s="51">
        <v>488.49</v>
      </c>
      <c r="J31" s="51">
        <f>SUM(F31+G31+H31+I31)</f>
        <v>21393.190000000002</v>
      </c>
    </row>
    <row r="32" spans="1:12" s="4" customFormat="1" ht="21" customHeight="1">
      <c r="A32" s="18">
        <v>29</v>
      </c>
      <c r="B32" s="49">
        <v>0.98</v>
      </c>
      <c r="C32" s="52" t="s">
        <v>100</v>
      </c>
      <c r="D32" s="49">
        <v>0.82</v>
      </c>
      <c r="E32" s="50">
        <v>1602</v>
      </c>
      <c r="F32" s="51">
        <v>10472.02</v>
      </c>
      <c r="G32" s="51">
        <v>6859.78</v>
      </c>
      <c r="H32" s="51">
        <v>3107.28</v>
      </c>
      <c r="I32" s="51">
        <v>444.08</v>
      </c>
      <c r="J32" s="51">
        <f t="shared" si="0"/>
        <v>20883.16</v>
      </c>
    </row>
    <row r="33" spans="1:10" s="4" customFormat="1" ht="21" customHeight="1">
      <c r="A33" s="20">
        <v>30</v>
      </c>
      <c r="B33" s="49">
        <v>0.96</v>
      </c>
      <c r="C33" s="52" t="s">
        <v>102</v>
      </c>
      <c r="D33" s="49">
        <v>0.78</v>
      </c>
      <c r="E33" s="50">
        <v>1457</v>
      </c>
      <c r="F33" s="51">
        <v>10676.8</v>
      </c>
      <c r="G33" s="51">
        <v>6859.78</v>
      </c>
      <c r="H33" s="51">
        <v>3179.88</v>
      </c>
      <c r="I33" s="51">
        <v>444.08</v>
      </c>
      <c r="J33" s="51">
        <f t="shared" si="0"/>
        <v>21160.54</v>
      </c>
    </row>
    <row r="34" spans="1:10" s="4" customFormat="1" ht="21" customHeight="1">
      <c r="A34" s="18">
        <v>31</v>
      </c>
      <c r="B34" s="49">
        <v>1</v>
      </c>
      <c r="C34" s="52" t="s">
        <v>98</v>
      </c>
      <c r="D34" s="49">
        <v>0.67</v>
      </c>
      <c r="E34" s="50">
        <v>1553</v>
      </c>
      <c r="F34" s="51">
        <v>10570.75</v>
      </c>
      <c r="G34" s="51">
        <v>7074.14</v>
      </c>
      <c r="H34" s="51">
        <v>3208.72</v>
      </c>
      <c r="I34" s="51">
        <v>444</v>
      </c>
      <c r="J34" s="51">
        <f t="shared" si="0"/>
        <v>21297.61</v>
      </c>
    </row>
    <row r="35" spans="1:10" s="5" customFormat="1" ht="22.5" customHeight="1">
      <c r="A35" s="11" t="s">
        <v>45</v>
      </c>
      <c r="B35" s="12"/>
      <c r="C35" s="53"/>
      <c r="D35" s="12"/>
      <c r="E35" s="13"/>
      <c r="F35" s="6">
        <f>SUM(F4:F34)</f>
        <v>295669.26</v>
      </c>
      <c r="G35" s="6">
        <f>SUM(G4:G34)</f>
        <v>212653.08000000007</v>
      </c>
      <c r="H35" s="6">
        <f>SUM(H4:H34)</f>
        <v>95918.92</v>
      </c>
      <c r="I35" s="6">
        <f>SUM(I4:I34)</f>
        <v>14343.289999999999</v>
      </c>
      <c r="J35" s="6">
        <f t="shared" ref="J35" si="1">SUM(J4:J34)</f>
        <v>618584.55000000028</v>
      </c>
    </row>
    <row r="36" spans="1:10" s="9" customFormat="1" ht="22.5" customHeight="1">
      <c r="A36" s="7" t="s">
        <v>46</v>
      </c>
      <c r="B36" s="14">
        <f>AVERAGE(B4:B34)</f>
        <v>0.93744838709677436</v>
      </c>
      <c r="C36" s="8" t="e">
        <f>AVERAGE(C4:C34)</f>
        <v>#DIV/0!</v>
      </c>
      <c r="D36" s="14">
        <f>AVERAGE(D4:D34)</f>
        <v>0.72967741935483876</v>
      </c>
      <c r="E36" s="8">
        <f>SUM(E4:E34)</f>
        <v>43871</v>
      </c>
      <c r="F36" s="8">
        <f>F35*0.38</f>
        <v>112354.31880000001</v>
      </c>
      <c r="G36" s="8">
        <f>G35/12.9</f>
        <v>16484.734883720936</v>
      </c>
      <c r="H36" s="8">
        <f>H35/0.92</f>
        <v>104259.6956521739</v>
      </c>
      <c r="I36" s="8">
        <f>I35/1.76</f>
        <v>8149.5965909090901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6"/>
  <sheetViews>
    <sheetView topLeftCell="A10" zoomScaleNormal="100" workbookViewId="0">
      <selection activeCell="H34" sqref="H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112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72942.960000000006</v>
      </c>
      <c r="C4" s="55" t="s">
        <v>15</v>
      </c>
      <c r="D4" s="25">
        <v>74074.149999999994</v>
      </c>
      <c r="E4" s="55" t="s">
        <v>16</v>
      </c>
      <c r="F4" s="55">
        <f>D4-B4</f>
        <v>1131.1899999999878</v>
      </c>
      <c r="G4" s="55" t="s">
        <v>17</v>
      </c>
      <c r="H4" s="55">
        <f>F4*284.35</f>
        <v>321653.87649999658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182699.40185199803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24124.040737499741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209689.44258949778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44240</v>
      </c>
      <c r="E11" s="55" t="s">
        <v>23</v>
      </c>
      <c r="F11" s="25">
        <v>44469</v>
      </c>
      <c r="G11" s="55" t="s">
        <v>24</v>
      </c>
      <c r="H11" s="55">
        <f>F11-D11</f>
        <v>229</v>
      </c>
    </row>
    <row r="12" spans="1:8" ht="16.5" customHeight="1">
      <c r="A12" s="60" t="s">
        <v>25</v>
      </c>
      <c r="B12" s="60"/>
      <c r="C12" s="46" t="s">
        <v>22</v>
      </c>
      <c r="D12" s="25">
        <v>73637</v>
      </c>
      <c r="E12" s="55" t="s">
        <v>23</v>
      </c>
      <c r="F12" s="25">
        <v>74048</v>
      </c>
      <c r="G12" s="55" t="s">
        <v>24</v>
      </c>
      <c r="H12" s="55">
        <f>F12-D12</f>
        <v>411</v>
      </c>
    </row>
    <row r="13" spans="1:8" ht="16.5" customHeight="1">
      <c r="A13" s="60" t="s">
        <v>26</v>
      </c>
      <c r="B13" s="60"/>
      <c r="C13" s="46" t="s">
        <v>22</v>
      </c>
      <c r="D13" s="25">
        <v>74116</v>
      </c>
      <c r="E13" s="55" t="s">
        <v>23</v>
      </c>
      <c r="F13" s="25">
        <v>74468</v>
      </c>
      <c r="G13" s="55" t="s">
        <v>24</v>
      </c>
      <c r="H13" s="55">
        <f>F13-D13</f>
        <v>352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992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483302.39999999997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183654.91199999998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28998.143999999997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212653.05599999998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335340</v>
      </c>
      <c r="C24" s="55" t="s">
        <v>1</v>
      </c>
      <c r="D24" s="26">
        <v>341946</v>
      </c>
      <c r="E24" s="55" t="s">
        <v>32</v>
      </c>
      <c r="F24" s="55">
        <f>D24-B24</f>
        <v>6606</v>
      </c>
      <c r="G24" s="55" t="s">
        <v>33</v>
      </c>
      <c r="H24" s="55">
        <f>F24*220</f>
        <v>1453320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65932.72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7266.6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21969.8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95919.12000000001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80</v>
      </c>
      <c r="E33" s="55" t="s">
        <v>40</v>
      </c>
      <c r="F33" s="21">
        <v>80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65</v>
      </c>
      <c r="E34" s="55" t="s">
        <v>40</v>
      </c>
      <c r="F34" s="21">
        <v>55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518705.69858949771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H36"/>
  <sheetViews>
    <sheetView topLeftCell="A6" zoomScaleNormal="100" workbookViewId="0">
      <selection activeCell="H35" sqref="H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111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73989.289999999994</v>
      </c>
      <c r="C4" s="55" t="s">
        <v>15</v>
      </c>
      <c r="D4" s="25">
        <v>74032.009999999995</v>
      </c>
      <c r="E4" s="55" t="s">
        <v>16</v>
      </c>
      <c r="F4" s="55">
        <f>D4-B4</f>
        <v>42.720000000001164</v>
      </c>
      <c r="G4" s="55" t="s">
        <v>17</v>
      </c>
      <c r="H4" s="55">
        <f>F4*284.35</f>
        <v>12147.432000000332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6899.7413760001882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911.05740000002481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10676.798776000214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44455</v>
      </c>
      <c r="E11" s="55" t="s">
        <v>23</v>
      </c>
      <c r="F11" s="25">
        <v>44462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74020</v>
      </c>
      <c r="E12" s="55" t="s">
        <v>23</v>
      </c>
      <c r="F12" s="25">
        <v>74034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74445</v>
      </c>
      <c r="E13" s="55" t="s">
        <v>23</v>
      </c>
      <c r="F13" s="25">
        <v>74456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341506</v>
      </c>
      <c r="C24" s="55" t="s">
        <v>1</v>
      </c>
      <c r="D24" s="26">
        <v>341725</v>
      </c>
      <c r="E24" s="55" t="s">
        <v>32</v>
      </c>
      <c r="F24" s="55">
        <f>D24-B24</f>
        <v>219</v>
      </c>
      <c r="G24" s="55" t="s">
        <v>33</v>
      </c>
      <c r="H24" s="55">
        <f>F24*220</f>
        <v>48180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1296.28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240.9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892.69999999999993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3179.8799999999997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80</v>
      </c>
      <c r="E33" s="55" t="s">
        <v>40</v>
      </c>
      <c r="F33" s="21">
        <v>80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75</v>
      </c>
      <c r="E34" s="55" t="s">
        <v>40</v>
      </c>
      <c r="F34" s="21">
        <v>65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21160.534776000215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36"/>
  <sheetViews>
    <sheetView topLeftCell="A5" zoomScaleNormal="100" workbookViewId="0">
      <selection activeCell="H35" sqref="H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110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73947.69</v>
      </c>
      <c r="C4" s="55" t="s">
        <v>15</v>
      </c>
      <c r="D4" s="25">
        <v>73989.289999999994</v>
      </c>
      <c r="E4" s="55" t="s">
        <v>16</v>
      </c>
      <c r="F4" s="55">
        <f>D4-B4</f>
        <v>41.599999999991269</v>
      </c>
      <c r="G4" s="55" t="s">
        <v>17</v>
      </c>
      <c r="H4" s="55">
        <f>F4*284.35</f>
        <v>11828.959999997518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6718.8492799985897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887.17199999981381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10472.021279998404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44448</v>
      </c>
      <c r="E11" s="55" t="s">
        <v>23</v>
      </c>
      <c r="F11" s="25">
        <v>44455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74006</v>
      </c>
      <c r="E12" s="55" t="s">
        <v>23</v>
      </c>
      <c r="F12" s="25">
        <v>74020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74434</v>
      </c>
      <c r="E13" s="55" t="s">
        <v>23</v>
      </c>
      <c r="F13" s="25">
        <v>74445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341292</v>
      </c>
      <c r="C24" s="55" t="s">
        <v>1</v>
      </c>
      <c r="D24" s="26">
        <v>341506</v>
      </c>
      <c r="E24" s="55" t="s">
        <v>32</v>
      </c>
      <c r="F24" s="55">
        <f>D24-B24</f>
        <v>214</v>
      </c>
      <c r="G24" s="55" t="s">
        <v>33</v>
      </c>
      <c r="H24" s="55">
        <f>F24*220</f>
        <v>47080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1245.68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235.4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876.19999999999993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3107.2799999999997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80</v>
      </c>
      <c r="E33" s="55" t="s">
        <v>40</v>
      </c>
      <c r="F33" s="21">
        <v>80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85</v>
      </c>
      <c r="E34" s="55" t="s">
        <v>40</v>
      </c>
      <c r="F34" s="21">
        <v>75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20883.157279998402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H36"/>
  <sheetViews>
    <sheetView topLeftCell="A4" zoomScaleNormal="100" workbookViewId="0">
      <selection activeCell="H35" sqref="H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109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73905.649999999994</v>
      </c>
      <c r="C4" s="55" t="s">
        <v>15</v>
      </c>
      <c r="D4" s="25">
        <v>73947.69</v>
      </c>
      <c r="E4" s="55" t="s">
        <v>16</v>
      </c>
      <c r="F4" s="55">
        <f>D4-B4</f>
        <v>42.040000000008149</v>
      </c>
      <c r="G4" s="55" t="s">
        <v>17</v>
      </c>
      <c r="H4" s="55">
        <f>F4*284.35</f>
        <v>11954.074000002318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6789.9140320013157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896.55555000017387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10552.469582001489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44440</v>
      </c>
      <c r="E11" s="55" t="s">
        <v>23</v>
      </c>
      <c r="F11" s="25">
        <v>44448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73992</v>
      </c>
      <c r="E12" s="55" t="s">
        <v>23</v>
      </c>
      <c r="F12" s="25">
        <v>74006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74422</v>
      </c>
      <c r="E13" s="55" t="s">
        <v>23</v>
      </c>
      <c r="F13" s="25">
        <v>74434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34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16564.8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6294.6239999999998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993.88799999999992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7288.5119999999997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341081</v>
      </c>
      <c r="C24" s="55" t="s">
        <v>1</v>
      </c>
      <c r="D24" s="26">
        <v>341292</v>
      </c>
      <c r="E24" s="55" t="s">
        <v>32</v>
      </c>
      <c r="F24" s="55">
        <f>D24-B24</f>
        <v>211</v>
      </c>
      <c r="G24" s="55" t="s">
        <v>33</v>
      </c>
      <c r="H24" s="55">
        <f>F24*220</f>
        <v>46420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1215.32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232.1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866.3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3063.7200000000003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25</v>
      </c>
      <c r="E33" s="55" t="s">
        <v>40</v>
      </c>
      <c r="F33" s="21">
        <v>25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69</v>
      </c>
      <c r="G34" s="55" t="s">
        <v>41</v>
      </c>
      <c r="H34" s="48">
        <f>(D34-F34)*48.8</f>
        <v>536.79999999999995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488.488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21393.189582001491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H36"/>
  <sheetViews>
    <sheetView topLeftCell="A8" zoomScaleNormal="100" workbookViewId="0">
      <selection activeCell="J14" sqref="J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108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73865</v>
      </c>
      <c r="C4" s="55" t="s">
        <v>15</v>
      </c>
      <c r="D4" s="25">
        <v>73905.649999999994</v>
      </c>
      <c r="E4" s="55" t="s">
        <v>16</v>
      </c>
      <c r="F4" s="55">
        <f>D4-B4</f>
        <v>40.649999999994179</v>
      </c>
      <c r="G4" s="55" t="s">
        <v>17</v>
      </c>
      <c r="H4" s="55">
        <f>F4*284.35</f>
        <v>11558.827499998346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6565.4140199990597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866.9120624998759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10298.326082498936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44433</v>
      </c>
      <c r="E11" s="55" t="s">
        <v>23</v>
      </c>
      <c r="F11" s="25">
        <v>44440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73979</v>
      </c>
      <c r="E12" s="55" t="s">
        <v>23</v>
      </c>
      <c r="F12" s="25">
        <v>73992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74411</v>
      </c>
      <c r="E13" s="55" t="s">
        <v>23</v>
      </c>
      <c r="F13" s="25">
        <v>74422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340888</v>
      </c>
      <c r="C24" s="55" t="s">
        <v>1</v>
      </c>
      <c r="D24" s="26">
        <v>341081</v>
      </c>
      <c r="E24" s="55" t="s">
        <v>32</v>
      </c>
      <c r="F24" s="55">
        <f>D24-B24</f>
        <v>193</v>
      </c>
      <c r="G24" s="55" t="s">
        <v>33</v>
      </c>
      <c r="H24" s="55">
        <f>F24*220</f>
        <v>42460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1033.1600000000001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212.3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806.9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2802.36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35</v>
      </c>
      <c r="E33" s="55" t="s">
        <v>40</v>
      </c>
      <c r="F33" s="21">
        <v>25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20190.174082498936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107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73821.22</v>
      </c>
      <c r="C4" s="55" t="s">
        <v>15</v>
      </c>
      <c r="D4" s="25">
        <v>73865</v>
      </c>
      <c r="E4" s="55" t="s">
        <v>16</v>
      </c>
      <c r="F4" s="55">
        <f>D4-B4</f>
        <v>43.779999999998836</v>
      </c>
      <c r="G4" s="55" t="s">
        <v>17</v>
      </c>
      <c r="H4" s="55">
        <f>F4*284.35</f>
        <v>12448.84299999967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7070.9428239998115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933.66322499997523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10870.606048999787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44426</v>
      </c>
      <c r="E11" s="55" t="s">
        <v>23</v>
      </c>
      <c r="F11" s="25">
        <v>44433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73966</v>
      </c>
      <c r="E12" s="55" t="s">
        <v>23</v>
      </c>
      <c r="F12" s="25">
        <v>73979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74399</v>
      </c>
      <c r="E13" s="55" t="s">
        <v>23</v>
      </c>
      <c r="F13" s="25">
        <v>74411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340655</v>
      </c>
      <c r="C24" s="55" t="s">
        <v>1</v>
      </c>
      <c r="D24" s="26">
        <v>340888</v>
      </c>
      <c r="E24" s="55" t="s">
        <v>32</v>
      </c>
      <c r="F24" s="55">
        <f>D24-B24</f>
        <v>233</v>
      </c>
      <c r="G24" s="55" t="s">
        <v>33</v>
      </c>
      <c r="H24" s="55">
        <f>F24*220</f>
        <v>51260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1437.96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256.3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938.9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3383.1600000000003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45</v>
      </c>
      <c r="E33" s="55" t="s">
        <v>40</v>
      </c>
      <c r="F33" s="21">
        <v>35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21557.622048999787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36"/>
  <sheetViews>
    <sheetView topLeftCell="A5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105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73783.19</v>
      </c>
      <c r="C4" s="55" t="s">
        <v>15</v>
      </c>
      <c r="D4" s="25">
        <v>73821.22</v>
      </c>
      <c r="E4" s="55" t="s">
        <v>16</v>
      </c>
      <c r="F4" s="55">
        <f>D4-B4</f>
        <v>38.029999999998836</v>
      </c>
      <c r="G4" s="55" t="s">
        <v>17</v>
      </c>
      <c r="H4" s="55">
        <f>F4*284.35</f>
        <v>10813.830499999669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6142.2557239998114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811.03728749997515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9819.2930114997871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44418</v>
      </c>
      <c r="E11" s="55" t="s">
        <v>23</v>
      </c>
      <c r="F11" s="25">
        <v>44426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73953</v>
      </c>
      <c r="E12" s="55" t="s">
        <v>23</v>
      </c>
      <c r="F12" s="25">
        <v>73966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74387</v>
      </c>
      <c r="E13" s="55" t="s">
        <v>23</v>
      </c>
      <c r="F13" s="25">
        <v>74399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340460</v>
      </c>
      <c r="C24" s="55" t="s">
        <v>1</v>
      </c>
      <c r="D24" s="26">
        <v>340655</v>
      </c>
      <c r="E24" s="55" t="s">
        <v>32</v>
      </c>
      <c r="F24" s="55">
        <f>D24-B24</f>
        <v>195</v>
      </c>
      <c r="G24" s="55" t="s">
        <v>33</v>
      </c>
      <c r="H24" s="55">
        <f>F24*220</f>
        <v>42900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1053.4000000000001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214.5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813.5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2831.4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55</v>
      </c>
      <c r="E33" s="55" t="s">
        <v>40</v>
      </c>
      <c r="F33" s="21">
        <v>45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20168.917011499791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36"/>
  <sheetViews>
    <sheetView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103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73746.679999999993</v>
      </c>
      <c r="C4" s="55" t="s">
        <v>15</v>
      </c>
      <c r="D4" s="25">
        <v>73783.19</v>
      </c>
      <c r="E4" s="55" t="s">
        <v>16</v>
      </c>
      <c r="F4" s="55">
        <f>D4-B4</f>
        <v>36.510000000009313</v>
      </c>
      <c r="G4" s="55" t="s">
        <v>17</v>
      </c>
      <c r="H4" s="55">
        <f>F4*284.35</f>
        <v>10381.618500002649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5896.759308001504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778.62138750019869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9541.3806955017026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44411</v>
      </c>
      <c r="E11" s="55" t="s">
        <v>23</v>
      </c>
      <c r="F11" s="25">
        <v>44418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73940</v>
      </c>
      <c r="E12" s="55" t="s">
        <v>23</v>
      </c>
      <c r="F12" s="25">
        <v>73953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74376</v>
      </c>
      <c r="E13" s="55" t="s">
        <v>23</v>
      </c>
      <c r="F13" s="25">
        <v>74387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340242</v>
      </c>
      <c r="C24" s="55" t="s">
        <v>1</v>
      </c>
      <c r="D24" s="26">
        <v>340460</v>
      </c>
      <c r="E24" s="55" t="s">
        <v>32</v>
      </c>
      <c r="F24" s="55">
        <f>D24-B24</f>
        <v>218</v>
      </c>
      <c r="G24" s="55" t="s">
        <v>33</v>
      </c>
      <c r="H24" s="55">
        <f>F24*220</f>
        <v>47960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1286.1600000000001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239.8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889.4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3165.36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65</v>
      </c>
      <c r="E33" s="55" t="s">
        <v>40</v>
      </c>
      <c r="F33" s="21">
        <v>55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19796.228695501704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H36"/>
  <sheetViews>
    <sheetView topLeftCell="A8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101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73709.64</v>
      </c>
      <c r="C4" s="55" t="s">
        <v>15</v>
      </c>
      <c r="D4" s="25">
        <v>73746.679999999993</v>
      </c>
      <c r="E4" s="55" t="s">
        <v>16</v>
      </c>
      <c r="F4" s="55">
        <f>D4-B4</f>
        <v>37.039999999993597</v>
      </c>
      <c r="G4" s="55" t="s">
        <v>17</v>
      </c>
      <c r="H4" s="55">
        <f>F4*284.35</f>
        <v>10532.32399999818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5982.3600319989655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789.92429999986348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9638.2843319988278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44403</v>
      </c>
      <c r="E11" s="55" t="s">
        <v>23</v>
      </c>
      <c r="F11" s="25">
        <v>44411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73926</v>
      </c>
      <c r="E12" s="55" t="s">
        <v>23</v>
      </c>
      <c r="F12" s="25">
        <v>73940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74364</v>
      </c>
      <c r="E13" s="55" t="s">
        <v>23</v>
      </c>
      <c r="F13" s="25">
        <v>74376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34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16564.8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6294.6239999999998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993.88799999999992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7288.5119999999997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340040</v>
      </c>
      <c r="C24" s="55" t="s">
        <v>1</v>
      </c>
      <c r="D24" s="26">
        <v>340242</v>
      </c>
      <c r="E24" s="55" t="s">
        <v>32</v>
      </c>
      <c r="F24" s="55">
        <f>D24-B24</f>
        <v>202</v>
      </c>
      <c r="G24" s="55" t="s">
        <v>33</v>
      </c>
      <c r="H24" s="55">
        <f>F24*220</f>
        <v>44440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1124.24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222.20000000000002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836.6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2933.04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75</v>
      </c>
      <c r="E33" s="55" t="s">
        <v>40</v>
      </c>
      <c r="F33" s="21">
        <v>65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20303.916331998829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36"/>
  <sheetViews>
    <sheetView topLeftCell="A5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99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73668.009999999995</v>
      </c>
      <c r="C4" s="55" t="s">
        <v>15</v>
      </c>
      <c r="D4" s="25">
        <v>73709.64</v>
      </c>
      <c r="E4" s="55" t="s">
        <v>16</v>
      </c>
      <c r="F4" s="55">
        <f>D4-B4</f>
        <v>41.630000000004657</v>
      </c>
      <c r="G4" s="55" t="s">
        <v>17</v>
      </c>
      <c r="H4" s="55">
        <f>F4*284.35</f>
        <v>11837.490500001326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6723.6946040007524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887.8117875000994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10477.506391500852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44396</v>
      </c>
      <c r="E11" s="55" t="s">
        <v>23</v>
      </c>
      <c r="F11" s="25">
        <v>44403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73913</v>
      </c>
      <c r="E12" s="55" t="s">
        <v>23</v>
      </c>
      <c r="F12" s="25">
        <v>73926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74353</v>
      </c>
      <c r="E13" s="55" t="s">
        <v>23</v>
      </c>
      <c r="F13" s="25">
        <v>74364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339857</v>
      </c>
      <c r="C24" s="55" t="s">
        <v>1</v>
      </c>
      <c r="D24" s="26">
        <v>340040</v>
      </c>
      <c r="E24" s="55" t="s">
        <v>32</v>
      </c>
      <c r="F24" s="55">
        <f>D24-B24</f>
        <v>183</v>
      </c>
      <c r="G24" s="55" t="s">
        <v>33</v>
      </c>
      <c r="H24" s="55">
        <f>F24*220</f>
        <v>40260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931.96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201.3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773.9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2657.16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85</v>
      </c>
      <c r="E33" s="55" t="s">
        <v>40</v>
      </c>
      <c r="F33" s="21">
        <v>75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80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20224.154391500851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H36"/>
  <sheetViews>
    <sheetView topLeftCell="A7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97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73628.740000000005</v>
      </c>
      <c r="C4" s="55" t="s">
        <v>15</v>
      </c>
      <c r="D4" s="25">
        <v>73668.009999999995</v>
      </c>
      <c r="E4" s="55" t="s">
        <v>16</v>
      </c>
      <c r="F4" s="55">
        <f>D4-B4</f>
        <v>39.269999999989523</v>
      </c>
      <c r="G4" s="55" t="s">
        <v>17</v>
      </c>
      <c r="H4" s="55">
        <f>F4*284.35</f>
        <v>11166.424499997021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6342.529115998308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837.48183749977659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10046.010953498084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44388</v>
      </c>
      <c r="E11" s="55" t="s">
        <v>23</v>
      </c>
      <c r="F11" s="25">
        <v>44396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73900</v>
      </c>
      <c r="E12" s="55" t="s">
        <v>23</v>
      </c>
      <c r="F12" s="25">
        <v>73913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74341</v>
      </c>
      <c r="E13" s="55" t="s">
        <v>23</v>
      </c>
      <c r="F13" s="25">
        <v>74353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339658</v>
      </c>
      <c r="C24" s="55" t="s">
        <v>1</v>
      </c>
      <c r="D24" s="26">
        <v>339857</v>
      </c>
      <c r="E24" s="55" t="s">
        <v>32</v>
      </c>
      <c r="F24" s="55">
        <f>D24-B24</f>
        <v>199</v>
      </c>
      <c r="G24" s="55" t="s">
        <v>33</v>
      </c>
      <c r="H24" s="55">
        <f>F24*220</f>
        <v>43780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1093.8799999999999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218.9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826.69999999999993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2889.4799999999996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68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17</v>
      </c>
      <c r="E34" s="55" t="s">
        <v>40</v>
      </c>
      <c r="F34" s="21">
        <v>17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20453.714953498082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H36"/>
  <sheetViews>
    <sheetView topLeftCell="A13"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96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73589.119999999995</v>
      </c>
      <c r="C4" s="55" t="s">
        <v>15</v>
      </c>
      <c r="D4" s="25">
        <v>73628.740000000005</v>
      </c>
      <c r="E4" s="55" t="s">
        <v>16</v>
      </c>
      <c r="F4" s="55">
        <f>D4-B4</f>
        <v>39.620000000009895</v>
      </c>
      <c r="G4" s="55" t="s">
        <v>17</v>
      </c>
      <c r="H4" s="55">
        <f>F4*284.35</f>
        <v>11265.947000002814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6399.0578960015982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844.94602500021108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10110.003921001809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44381</v>
      </c>
      <c r="E11" s="55" t="s">
        <v>23</v>
      </c>
      <c r="F11" s="25">
        <v>44388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73887</v>
      </c>
      <c r="E12" s="55" t="s">
        <v>23</v>
      </c>
      <c r="F12" s="25">
        <v>73900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74330</v>
      </c>
      <c r="E13" s="55" t="s">
        <v>23</v>
      </c>
      <c r="F13" s="25">
        <v>74341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339475</v>
      </c>
      <c r="C24" s="55" t="s">
        <v>1</v>
      </c>
      <c r="D24" s="26">
        <v>339658</v>
      </c>
      <c r="E24" s="55" t="s">
        <v>32</v>
      </c>
      <c r="F24" s="55">
        <f>D24-B24</f>
        <v>183</v>
      </c>
      <c r="G24" s="55" t="s">
        <v>33</v>
      </c>
      <c r="H24" s="55">
        <f>F24*220</f>
        <v>40260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931.96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201.3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773.9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2657.16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29</v>
      </c>
      <c r="E34" s="55" t="s">
        <v>40</v>
      </c>
      <c r="F34" s="21">
        <v>17</v>
      </c>
      <c r="G34" s="55" t="s">
        <v>41</v>
      </c>
      <c r="H34" s="48">
        <f>(D34-F34)*48.8</f>
        <v>585.59999999999991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532.89599999999996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19945.467921001808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95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73549.59</v>
      </c>
      <c r="C4" s="55" t="s">
        <v>15</v>
      </c>
      <c r="D4" s="25">
        <v>73589.119999999995</v>
      </c>
      <c r="E4" s="55" t="s">
        <v>16</v>
      </c>
      <c r="F4" s="55">
        <f>D4-B4</f>
        <v>39.529999999998836</v>
      </c>
      <c r="G4" s="55" t="s">
        <v>17</v>
      </c>
      <c r="H4" s="55">
        <f>F4*284.35</f>
        <v>11240.35549999967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6384.5219239998123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843.02666249997526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10093.548586499786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44374</v>
      </c>
      <c r="E11" s="55" t="s">
        <v>23</v>
      </c>
      <c r="F11" s="25">
        <v>44381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73874</v>
      </c>
      <c r="E12" s="55" t="s">
        <v>23</v>
      </c>
      <c r="F12" s="25">
        <v>73887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74319</v>
      </c>
      <c r="E13" s="55" t="s">
        <v>23</v>
      </c>
      <c r="F13" s="25">
        <v>74330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339296</v>
      </c>
      <c r="C24" s="55" t="s">
        <v>1</v>
      </c>
      <c r="D24" s="26">
        <v>339475</v>
      </c>
      <c r="E24" s="55" t="s">
        <v>32</v>
      </c>
      <c r="F24" s="55">
        <f>D24-B24</f>
        <v>179</v>
      </c>
      <c r="G24" s="55" t="s">
        <v>33</v>
      </c>
      <c r="H24" s="55">
        <f>F24*220</f>
        <v>39380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891.48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196.9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760.69999999999993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2599.08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39</v>
      </c>
      <c r="E34" s="55" t="s">
        <v>40</v>
      </c>
      <c r="F34" s="21">
        <v>29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19782.116586499789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H36"/>
  <sheetViews>
    <sheetView topLeftCell="A7" zoomScaleNormal="100" workbookViewId="0">
      <selection activeCell="H35" sqref="H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93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73514.539999999994</v>
      </c>
      <c r="C4" s="55" t="s">
        <v>15</v>
      </c>
      <c r="D4" s="25">
        <v>73549.59</v>
      </c>
      <c r="E4" s="55" t="s">
        <v>16</v>
      </c>
      <c r="F4" s="55">
        <f>D4-B4</f>
        <v>35.05000000000291</v>
      </c>
      <c r="G4" s="55" t="s">
        <v>17</v>
      </c>
      <c r="H4" s="55">
        <f>F4*284.35</f>
        <v>9966.4675000008283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5660.9535400004697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747.4850625000621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9274.4386025005315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44366</v>
      </c>
      <c r="E11" s="55" t="s">
        <v>23</v>
      </c>
      <c r="F11" s="25">
        <v>44374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73861</v>
      </c>
      <c r="E12" s="55" t="s">
        <v>23</v>
      </c>
      <c r="F12" s="25">
        <v>73874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74308</v>
      </c>
      <c r="E13" s="55" t="s">
        <v>23</v>
      </c>
      <c r="F13" s="25">
        <v>74319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339083</v>
      </c>
      <c r="C24" s="55" t="s">
        <v>1</v>
      </c>
      <c r="D24" s="26">
        <v>339296</v>
      </c>
      <c r="E24" s="55" t="s">
        <v>32</v>
      </c>
      <c r="F24" s="55">
        <f>D24-B24</f>
        <v>213</v>
      </c>
      <c r="G24" s="55" t="s">
        <v>33</v>
      </c>
      <c r="H24" s="55">
        <f>F24*220</f>
        <v>46860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1235.56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234.3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872.9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3092.76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52</v>
      </c>
      <c r="E34" s="55" t="s">
        <v>40</v>
      </c>
      <c r="F34" s="21">
        <v>39</v>
      </c>
      <c r="G34" s="55" t="s">
        <v>41</v>
      </c>
      <c r="H34" s="48">
        <f>(D34-F34)*48.8</f>
        <v>634.4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577.30399999999997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19804.278602500533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92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73474.61</v>
      </c>
      <c r="C4" s="55" t="s">
        <v>15</v>
      </c>
      <c r="D4" s="25">
        <v>73514.539999999994</v>
      </c>
      <c r="E4" s="55" t="s">
        <v>16</v>
      </c>
      <c r="F4" s="55">
        <f>D4-B4</f>
        <v>39.929999999993015</v>
      </c>
      <c r="G4" s="55" t="s">
        <v>17</v>
      </c>
      <c r="H4" s="55">
        <f>F4*284.35</f>
        <v>11354.095499998015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6449.1262439988723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851.55716249985107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10166.683406498723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44359</v>
      </c>
      <c r="E11" s="55" t="s">
        <v>23</v>
      </c>
      <c r="F11" s="25">
        <v>44366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73847</v>
      </c>
      <c r="E12" s="55" t="s">
        <v>23</v>
      </c>
      <c r="F12" s="25">
        <v>73861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74296</v>
      </c>
      <c r="E13" s="55" t="s">
        <v>23</v>
      </c>
      <c r="F13" s="25">
        <v>74308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338877</v>
      </c>
      <c r="C24" s="55" t="s">
        <v>1</v>
      </c>
      <c r="D24" s="26">
        <v>339083</v>
      </c>
      <c r="E24" s="55" t="s">
        <v>32</v>
      </c>
      <c r="F24" s="55">
        <f>D24-B24</f>
        <v>206</v>
      </c>
      <c r="G24" s="55" t="s">
        <v>33</v>
      </c>
      <c r="H24" s="55">
        <f>F24*220</f>
        <v>45320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1164.72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226.6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849.8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2991.12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63</v>
      </c>
      <c r="E34" s="55" t="s">
        <v>40</v>
      </c>
      <c r="F34" s="21">
        <v>52</v>
      </c>
      <c r="G34" s="55" t="s">
        <v>41</v>
      </c>
      <c r="H34" s="48">
        <f>(D34-F34)*48.8</f>
        <v>536.79999999999995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488.488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20720.435406498724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91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73439.28</v>
      </c>
      <c r="C4" s="55" t="s">
        <v>15</v>
      </c>
      <c r="D4" s="25">
        <v>73474.61</v>
      </c>
      <c r="E4" s="55" t="s">
        <v>16</v>
      </c>
      <c r="F4" s="55">
        <f>D4-B4</f>
        <v>35.330000000001746</v>
      </c>
      <c r="G4" s="55" t="s">
        <v>17</v>
      </c>
      <c r="H4" s="55">
        <f>F4*284.35</f>
        <v>10046.085500000498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5706.1765640002823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753.45641250003735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9325.6329765003193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44351</v>
      </c>
      <c r="E11" s="55" t="s">
        <v>23</v>
      </c>
      <c r="F11" s="25">
        <v>44359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73833</v>
      </c>
      <c r="E12" s="55" t="s">
        <v>23</v>
      </c>
      <c r="F12" s="25">
        <v>73847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74285</v>
      </c>
      <c r="E13" s="55" t="s">
        <v>23</v>
      </c>
      <c r="F13" s="25">
        <v>74296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338675</v>
      </c>
      <c r="C24" s="55" t="s">
        <v>1</v>
      </c>
      <c r="D24" s="26">
        <v>338877</v>
      </c>
      <c r="E24" s="55" t="s">
        <v>32</v>
      </c>
      <c r="F24" s="55">
        <f>D24-B24</f>
        <v>202</v>
      </c>
      <c r="G24" s="55" t="s">
        <v>33</v>
      </c>
      <c r="H24" s="55">
        <f>F24*220</f>
        <v>44440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1124.24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222.20000000000002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836.6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2933.04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72</v>
      </c>
      <c r="E34" s="55" t="s">
        <v>40</v>
      </c>
      <c r="F34" s="21">
        <v>63</v>
      </c>
      <c r="G34" s="55" t="s">
        <v>41</v>
      </c>
      <c r="H34" s="48">
        <f>(D34-F34)*48.8</f>
        <v>439.2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399.67200000000003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19732.488976500321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90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73403.92</v>
      </c>
      <c r="C4" s="55" t="s">
        <v>15</v>
      </c>
      <c r="D4" s="25">
        <v>73439.28</v>
      </c>
      <c r="E4" s="55" t="s">
        <v>16</v>
      </c>
      <c r="F4" s="55">
        <f>D4-B4</f>
        <v>35.360000000000582</v>
      </c>
      <c r="G4" s="55" t="s">
        <v>17</v>
      </c>
      <c r="H4" s="55">
        <f>F4*284.35</f>
        <v>10054.616000000166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5711.0218880000939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754.09620000001235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9331.1180880001066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44344</v>
      </c>
      <c r="E11" s="55" t="s">
        <v>23</v>
      </c>
      <c r="F11" s="25">
        <v>44351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73820</v>
      </c>
      <c r="E12" s="55" t="s">
        <v>23</v>
      </c>
      <c r="F12" s="25">
        <v>73833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74273</v>
      </c>
      <c r="E13" s="55" t="s">
        <v>23</v>
      </c>
      <c r="F13" s="25">
        <v>74285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338469</v>
      </c>
      <c r="C24" s="55" t="s">
        <v>1</v>
      </c>
      <c r="D24" s="26">
        <v>338675</v>
      </c>
      <c r="E24" s="55" t="s">
        <v>32</v>
      </c>
      <c r="F24" s="55">
        <f>D24-B24</f>
        <v>206</v>
      </c>
      <c r="G24" s="55" t="s">
        <v>33</v>
      </c>
      <c r="H24" s="55">
        <f>F24*220</f>
        <v>45320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1164.72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226.6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849.8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2991.12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80</v>
      </c>
      <c r="E34" s="55" t="s">
        <v>40</v>
      </c>
      <c r="F34" s="21">
        <v>72</v>
      </c>
      <c r="G34" s="55" t="s">
        <v>41</v>
      </c>
      <c r="H34" s="48">
        <f>(D34-F34)*48.8</f>
        <v>390.4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355.26400000000001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19537.278088000105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H36"/>
  <sheetViews>
    <sheetView topLeftCell="A4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89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73371.81</v>
      </c>
      <c r="C4" s="55" t="s">
        <v>15</v>
      </c>
      <c r="D4" s="25">
        <v>73403.92</v>
      </c>
      <c r="E4" s="55" t="s">
        <v>16</v>
      </c>
      <c r="F4" s="55">
        <f>D4-B4</f>
        <v>32.110000000000582</v>
      </c>
      <c r="G4" s="55" t="s">
        <v>17</v>
      </c>
      <c r="H4" s="55">
        <f>F4*284.35</f>
        <v>9130.4785000001666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5186.1117880000938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684.78588750001245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8736.8976755001058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44337</v>
      </c>
      <c r="E11" s="55" t="s">
        <v>23</v>
      </c>
      <c r="F11" s="25">
        <v>44344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73807</v>
      </c>
      <c r="E12" s="55" t="s">
        <v>23</v>
      </c>
      <c r="F12" s="25">
        <v>73820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74263</v>
      </c>
      <c r="E13" s="55" t="s">
        <v>23</v>
      </c>
      <c r="F13" s="25">
        <v>74273</v>
      </c>
      <c r="G13" s="55" t="s">
        <v>24</v>
      </c>
      <c r="H13" s="55">
        <f>F13-D13</f>
        <v>10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30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14616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5554.08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6431.04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338276</v>
      </c>
      <c r="C24" s="55" t="s">
        <v>1</v>
      </c>
      <c r="D24" s="26">
        <v>338469</v>
      </c>
      <c r="E24" s="55" t="s">
        <v>32</v>
      </c>
      <c r="F24" s="55">
        <f>D24-B24</f>
        <v>193</v>
      </c>
      <c r="G24" s="55" t="s">
        <v>33</v>
      </c>
      <c r="H24" s="55">
        <f>F24*220</f>
        <v>42460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1033.1600000000001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212.3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806.9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2802.36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28</v>
      </c>
      <c r="E33" s="55" t="s">
        <v>40</v>
      </c>
      <c r="F33" s="21">
        <v>28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68</v>
      </c>
      <c r="E34" s="55" t="s">
        <v>40</v>
      </c>
      <c r="F34" s="21">
        <v>60</v>
      </c>
      <c r="G34" s="55" t="s">
        <v>41</v>
      </c>
      <c r="H34" s="48">
        <f>(D34-F34)*48.8</f>
        <v>390.4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355.26400000000001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18325.561675500107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88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73339.850000000006</v>
      </c>
      <c r="C4" s="55" t="s">
        <v>15</v>
      </c>
      <c r="D4" s="25">
        <v>73371.81</v>
      </c>
      <c r="E4" s="55" t="s">
        <v>16</v>
      </c>
      <c r="F4" s="55">
        <f>D4-B4</f>
        <v>31.959999999991851</v>
      </c>
      <c r="G4" s="55" t="s">
        <v>17</v>
      </c>
      <c r="H4" s="55">
        <f>F4*284.35</f>
        <v>9087.8259999976835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5161.8851679986838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681.58694999982629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8709.4721179985099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44329</v>
      </c>
      <c r="E11" s="55" t="s">
        <v>23</v>
      </c>
      <c r="F11" s="25">
        <v>44337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73795</v>
      </c>
      <c r="E12" s="55" t="s">
        <v>23</v>
      </c>
      <c r="F12" s="25">
        <v>73807</v>
      </c>
      <c r="G12" s="55" t="s">
        <v>24</v>
      </c>
      <c r="H12" s="55">
        <f>F12-D12</f>
        <v>12</v>
      </c>
    </row>
    <row r="13" spans="1:8" ht="16.5" customHeight="1">
      <c r="A13" s="60" t="s">
        <v>26</v>
      </c>
      <c r="B13" s="60"/>
      <c r="C13" s="46" t="s">
        <v>22</v>
      </c>
      <c r="D13" s="25">
        <v>74251</v>
      </c>
      <c r="E13" s="55" t="s">
        <v>23</v>
      </c>
      <c r="F13" s="25">
        <v>74263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338071</v>
      </c>
      <c r="C24" s="55" t="s">
        <v>1</v>
      </c>
      <c r="D24" s="26">
        <v>338276</v>
      </c>
      <c r="E24" s="55" t="s">
        <v>32</v>
      </c>
      <c r="F24" s="55">
        <f>D24-B24</f>
        <v>205</v>
      </c>
      <c r="G24" s="55" t="s">
        <v>33</v>
      </c>
      <c r="H24" s="55">
        <f>F24*220</f>
        <v>45100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1154.5999999999999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225.5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846.5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2976.6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28</v>
      </c>
      <c r="E33" s="55" t="s">
        <v>40</v>
      </c>
      <c r="F33" s="21">
        <v>28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68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18989.928117998508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H36"/>
  <sheetViews>
    <sheetView topLeftCell="A4"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86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73307.13</v>
      </c>
      <c r="C4" s="55" t="s">
        <v>15</v>
      </c>
      <c r="D4" s="25">
        <v>73339.850000000006</v>
      </c>
      <c r="E4" s="55" t="s">
        <v>16</v>
      </c>
      <c r="F4" s="55">
        <f>D4-B4</f>
        <v>32.720000000001164</v>
      </c>
      <c r="G4" s="55" t="s">
        <v>17</v>
      </c>
      <c r="H4" s="55">
        <f>F4*284.35</f>
        <v>9303.9320000003318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5284.633376000188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697.79490000002488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8848.4282760002134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44322</v>
      </c>
      <c r="E11" s="55" t="s">
        <v>23</v>
      </c>
      <c r="F11" s="25">
        <v>44329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73782</v>
      </c>
      <c r="E12" s="55" t="s">
        <v>23</v>
      </c>
      <c r="F12" s="25">
        <v>73795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74240</v>
      </c>
      <c r="E13" s="55" t="s">
        <v>23</v>
      </c>
      <c r="F13" s="25">
        <v>74251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337859</v>
      </c>
      <c r="C24" s="55" t="s">
        <v>1</v>
      </c>
      <c r="D24" s="26">
        <v>338071</v>
      </c>
      <c r="E24" s="55" t="s">
        <v>32</v>
      </c>
      <c r="F24" s="55">
        <f>D24-B24</f>
        <v>212</v>
      </c>
      <c r="G24" s="55" t="s">
        <v>33</v>
      </c>
      <c r="H24" s="55">
        <f>F24*220</f>
        <v>46640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1225.44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233.20000000000002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869.6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3078.24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38</v>
      </c>
      <c r="E33" s="55" t="s">
        <v>40</v>
      </c>
      <c r="F33" s="21">
        <v>28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78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19016.156276000213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H36"/>
  <sheetViews>
    <sheetView topLeftCell="A13"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85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73270.81</v>
      </c>
      <c r="C4" s="55" t="s">
        <v>15</v>
      </c>
      <c r="D4" s="25">
        <v>73307.13</v>
      </c>
      <c r="E4" s="55" t="s">
        <v>16</v>
      </c>
      <c r="F4" s="55">
        <f>D4-B4</f>
        <v>36.320000000006985</v>
      </c>
      <c r="G4" s="55" t="s">
        <v>17</v>
      </c>
      <c r="H4" s="55">
        <f>F4*284.35</f>
        <v>10327.592000001987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5866.0722560011282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774.56940000014902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9506.6416560012767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44315</v>
      </c>
      <c r="E11" s="55" t="s">
        <v>23</v>
      </c>
      <c r="F11" s="25">
        <v>44322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73769</v>
      </c>
      <c r="E12" s="55" t="s">
        <v>23</v>
      </c>
      <c r="F12" s="25">
        <v>73782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74229</v>
      </c>
      <c r="E13" s="55" t="s">
        <v>23</v>
      </c>
      <c r="F13" s="25">
        <v>74240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337631</v>
      </c>
      <c r="C24" s="55" t="s">
        <v>1</v>
      </c>
      <c r="D24" s="26">
        <v>337859</v>
      </c>
      <c r="E24" s="55" t="s">
        <v>32</v>
      </c>
      <c r="F24" s="55">
        <f>D24-B24</f>
        <v>228</v>
      </c>
      <c r="G24" s="55" t="s">
        <v>33</v>
      </c>
      <c r="H24" s="55">
        <f>F24*220</f>
        <v>50160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1387.36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250.8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922.4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3310.56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50</v>
      </c>
      <c r="E33" s="55" t="s">
        <v>40</v>
      </c>
      <c r="F33" s="21">
        <v>38</v>
      </c>
      <c r="G33" s="55" t="s">
        <v>41</v>
      </c>
      <c r="H33" s="48">
        <f>(D33-F33)*48.8</f>
        <v>585.59999999999991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78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532.89599999999996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19995.505656001278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84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73235.070000000007</v>
      </c>
      <c r="C4" s="55" t="s">
        <v>15</v>
      </c>
      <c r="D4" s="25">
        <v>73270.81</v>
      </c>
      <c r="E4" s="55" t="s">
        <v>16</v>
      </c>
      <c r="F4" s="55">
        <f>D4-B4</f>
        <v>35.739999999990687</v>
      </c>
      <c r="G4" s="55" t="s">
        <v>17</v>
      </c>
      <c r="H4" s="55">
        <f>F4*284.35</f>
        <v>10162.668999997353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5772.3959919984964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762.20017499980145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9400.5961669982971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44307</v>
      </c>
      <c r="E11" s="55" t="s">
        <v>23</v>
      </c>
      <c r="F11" s="25">
        <v>44315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73756</v>
      </c>
      <c r="E12" s="55" t="s">
        <v>23</v>
      </c>
      <c r="F12" s="25">
        <v>73769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74217</v>
      </c>
      <c r="E13" s="55" t="s">
        <v>23</v>
      </c>
      <c r="F13" s="25">
        <v>74229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337402</v>
      </c>
      <c r="C24" s="55" t="s">
        <v>1</v>
      </c>
      <c r="D24" s="26">
        <v>337631</v>
      </c>
      <c r="E24" s="55" t="s">
        <v>32</v>
      </c>
      <c r="F24" s="55">
        <f>D24-B24</f>
        <v>229</v>
      </c>
      <c r="G24" s="55" t="s">
        <v>33</v>
      </c>
      <c r="H24" s="55">
        <f>F24*220</f>
        <v>50380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1397.48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251.9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925.69999999999993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3325.08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60</v>
      </c>
      <c r="E33" s="55" t="s">
        <v>40</v>
      </c>
      <c r="F33" s="21">
        <v>50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78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20243.900166998297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H36"/>
  <sheetViews>
    <sheetView topLeftCell="A10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83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73203</v>
      </c>
      <c r="C4" s="55" t="s">
        <v>15</v>
      </c>
      <c r="D4" s="25">
        <v>73235.070000000007</v>
      </c>
      <c r="E4" s="55" t="s">
        <v>16</v>
      </c>
      <c r="F4" s="55">
        <f>D4-B4</f>
        <v>32.070000000006985</v>
      </c>
      <c r="G4" s="55" t="s">
        <v>17</v>
      </c>
      <c r="H4" s="55">
        <f>F4*284.35</f>
        <v>9119.1045000019876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5179.6513560011281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683.93283750014905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8729.5841935012759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44300</v>
      </c>
      <c r="E11" s="55" t="s">
        <v>23</v>
      </c>
      <c r="F11" s="25">
        <v>44307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73743</v>
      </c>
      <c r="E12" s="55" t="s">
        <v>23</v>
      </c>
      <c r="F12" s="25">
        <v>73756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74206</v>
      </c>
      <c r="E13" s="55" t="s">
        <v>23</v>
      </c>
      <c r="F13" s="25">
        <v>74217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337177</v>
      </c>
      <c r="C24" s="55" t="s">
        <v>1</v>
      </c>
      <c r="D24" s="26">
        <v>337402</v>
      </c>
      <c r="E24" s="55" t="s">
        <v>32</v>
      </c>
      <c r="F24" s="55">
        <f>D24-B24</f>
        <v>225</v>
      </c>
      <c r="G24" s="55" t="s">
        <v>33</v>
      </c>
      <c r="H24" s="55">
        <f>F24*220</f>
        <v>49500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1357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247.5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912.5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3267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70</v>
      </c>
      <c r="E33" s="55" t="s">
        <v>40</v>
      </c>
      <c r="F33" s="21">
        <v>60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78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19086.072193501277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82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73170.5</v>
      </c>
      <c r="C4" s="55" t="s">
        <v>15</v>
      </c>
      <c r="D4" s="25">
        <v>73203</v>
      </c>
      <c r="E4" s="55" t="s">
        <v>16</v>
      </c>
      <c r="F4" s="55">
        <f>D4-B4</f>
        <v>32.5</v>
      </c>
      <c r="G4" s="55" t="s">
        <v>17</v>
      </c>
      <c r="H4" s="55">
        <f>F4*284.35</f>
        <v>9241.375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5249.1009999999997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693.10312499999998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8808.2041250000002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44292</v>
      </c>
      <c r="E11" s="55" t="s">
        <v>23</v>
      </c>
      <c r="F11" s="25">
        <v>44300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73730</v>
      </c>
      <c r="E12" s="55" t="s">
        <v>23</v>
      </c>
      <c r="F12" s="25">
        <v>73743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74195</v>
      </c>
      <c r="E13" s="55" t="s">
        <v>23</v>
      </c>
      <c r="F13" s="25">
        <v>74206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336958</v>
      </c>
      <c r="C24" s="55" t="s">
        <v>1</v>
      </c>
      <c r="D24" s="26">
        <v>337177</v>
      </c>
      <c r="E24" s="55" t="s">
        <v>32</v>
      </c>
      <c r="F24" s="55">
        <f>D24-B24</f>
        <v>219</v>
      </c>
      <c r="G24" s="55" t="s">
        <v>33</v>
      </c>
      <c r="H24" s="55">
        <f>F24*220</f>
        <v>48180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1296.28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240.9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892.69999999999993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3179.8799999999997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78</v>
      </c>
      <c r="E33" s="55" t="s">
        <v>40</v>
      </c>
      <c r="F33" s="21">
        <v>70</v>
      </c>
      <c r="G33" s="55" t="s">
        <v>41</v>
      </c>
      <c r="H33" s="48">
        <f>(D33-F33)*48.8</f>
        <v>390.4</v>
      </c>
    </row>
    <row r="34" spans="1:8" ht="16.5" customHeight="1">
      <c r="A34" s="60" t="s">
        <v>42</v>
      </c>
      <c r="B34" s="60"/>
      <c r="C34" s="46" t="s">
        <v>39</v>
      </c>
      <c r="D34" s="21">
        <v>78</v>
      </c>
      <c r="E34" s="55" t="s">
        <v>40</v>
      </c>
      <c r="F34" s="21">
        <v>78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355.26400000000001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19203.124125000002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80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73139.12</v>
      </c>
      <c r="C4" s="55" t="s">
        <v>15</v>
      </c>
      <c r="D4" s="25">
        <v>73170.5</v>
      </c>
      <c r="E4" s="55" t="s">
        <v>16</v>
      </c>
      <c r="F4" s="55">
        <f>D4-B4</f>
        <v>31.380000000004657</v>
      </c>
      <c r="G4" s="55" t="s">
        <v>17</v>
      </c>
      <c r="H4" s="55">
        <f>F4*284.35</f>
        <v>8922.9030000013245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5068.2089040007522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669.21772500009934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8603.4266290008527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44285</v>
      </c>
      <c r="E11" s="55" t="s">
        <v>23</v>
      </c>
      <c r="F11" s="25">
        <v>44292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73717</v>
      </c>
      <c r="E12" s="55" t="s">
        <v>23</v>
      </c>
      <c r="F12" s="25">
        <v>73730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74184</v>
      </c>
      <c r="E13" s="55" t="s">
        <v>23</v>
      </c>
      <c r="F13" s="25">
        <v>74195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336733</v>
      </c>
      <c r="C24" s="55" t="s">
        <v>1</v>
      </c>
      <c r="D24" s="26">
        <v>336958</v>
      </c>
      <c r="E24" s="55" t="s">
        <v>32</v>
      </c>
      <c r="F24" s="55">
        <f>D24-B24</f>
        <v>225</v>
      </c>
      <c r="G24" s="55" t="s">
        <v>33</v>
      </c>
      <c r="H24" s="55">
        <f>F24*220</f>
        <v>49500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1357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247.5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912.5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3267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75</v>
      </c>
      <c r="E33" s="55" t="s">
        <v>40</v>
      </c>
      <c r="F33" s="21">
        <v>65</v>
      </c>
      <c r="G33" s="55" t="s">
        <v>41</v>
      </c>
      <c r="H33" s="48">
        <f>(D33-F33)*48.8</f>
        <v>488</v>
      </c>
    </row>
    <row r="34" spans="1:8" ht="16.5" customHeight="1">
      <c r="A34" s="60" t="s">
        <v>42</v>
      </c>
      <c r="B34" s="60"/>
      <c r="C34" s="46" t="s">
        <v>39</v>
      </c>
      <c r="D34" s="21">
        <v>17</v>
      </c>
      <c r="E34" s="55" t="s">
        <v>40</v>
      </c>
      <c r="F34" s="21">
        <v>17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18959.91462900085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79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73103.28</v>
      </c>
      <c r="C4" s="55" t="s">
        <v>15</v>
      </c>
      <c r="D4" s="25">
        <v>73139.12</v>
      </c>
      <c r="E4" s="55" t="s">
        <v>16</v>
      </c>
      <c r="F4" s="55">
        <f>D4-B4</f>
        <v>35.839999999996508</v>
      </c>
      <c r="G4" s="55" t="s">
        <v>17</v>
      </c>
      <c r="H4" s="55">
        <f>F4*284.35</f>
        <v>10191.103999999008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5788.5470719994364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764.33279999992556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9418.8798719993611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44277</v>
      </c>
      <c r="E11" s="55" t="s">
        <v>23</v>
      </c>
      <c r="F11" s="25">
        <v>44285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73703</v>
      </c>
      <c r="E12" s="55" t="s">
        <v>23</v>
      </c>
      <c r="F12" s="25">
        <v>73717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74173</v>
      </c>
      <c r="E13" s="55" t="s">
        <v>23</v>
      </c>
      <c r="F13" s="25">
        <v>74184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336516</v>
      </c>
      <c r="C24" s="55" t="s">
        <v>1</v>
      </c>
      <c r="D24" s="26">
        <v>336733</v>
      </c>
      <c r="E24" s="55" t="s">
        <v>32</v>
      </c>
      <c r="F24" s="55">
        <f>D24-B24</f>
        <v>217</v>
      </c>
      <c r="G24" s="55" t="s">
        <v>33</v>
      </c>
      <c r="H24" s="55">
        <f>F24*220</f>
        <v>47740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1276.04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238.70000000000002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886.1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3150.8399999999997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75</v>
      </c>
      <c r="G33" s="55" t="s">
        <v>41</v>
      </c>
      <c r="H33" s="48">
        <f>(D33-F33)*48.8</f>
        <v>536.79999999999995</v>
      </c>
    </row>
    <row r="34" spans="1:8" ht="16.5" customHeight="1">
      <c r="A34" s="60" t="s">
        <v>42</v>
      </c>
      <c r="B34" s="60"/>
      <c r="C34" s="46" t="s">
        <v>39</v>
      </c>
      <c r="D34" s="21">
        <v>17</v>
      </c>
      <c r="E34" s="55" t="s">
        <v>40</v>
      </c>
      <c r="F34" s="21">
        <v>17</v>
      </c>
      <c r="G34" s="55" t="s">
        <v>41</v>
      </c>
      <c r="H34" s="48">
        <f>(D34-F34)*48.8</f>
        <v>0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488.488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20132.351871999363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H36"/>
  <sheetViews>
    <sheetView topLeftCell="A4" zoomScaleNormal="100" workbookViewId="0">
      <selection activeCell="D39" sqref="D3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78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73072.710000000006</v>
      </c>
      <c r="C4" s="55" t="s">
        <v>15</v>
      </c>
      <c r="D4" s="25">
        <v>73103.28</v>
      </c>
      <c r="E4" s="55" t="s">
        <v>16</v>
      </c>
      <c r="F4" s="55">
        <f>D4-B4</f>
        <v>30.569999999992433</v>
      </c>
      <c r="G4" s="55" t="s">
        <v>17</v>
      </c>
      <c r="H4" s="55">
        <f>F4*284.35</f>
        <v>8692.5794999978498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4937.3851559987779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651.94346249983869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8455.3286184986173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44270</v>
      </c>
      <c r="E11" s="55" t="s">
        <v>23</v>
      </c>
      <c r="F11" s="25">
        <v>44277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73690</v>
      </c>
      <c r="E12" s="55" t="s">
        <v>23</v>
      </c>
      <c r="F12" s="25">
        <v>73703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74161</v>
      </c>
      <c r="E13" s="55" t="s">
        <v>23</v>
      </c>
      <c r="F13" s="25">
        <v>74173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336282</v>
      </c>
      <c r="C24" s="55" t="s">
        <v>1</v>
      </c>
      <c r="D24" s="26">
        <v>336516</v>
      </c>
      <c r="E24" s="55" t="s">
        <v>32</v>
      </c>
      <c r="F24" s="55">
        <f>D24-B24</f>
        <v>234</v>
      </c>
      <c r="G24" s="55" t="s">
        <v>33</v>
      </c>
      <c r="H24" s="55">
        <f>F24*220</f>
        <v>51480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1448.08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257.39999999999998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942.19999999999993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3397.68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86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29</v>
      </c>
      <c r="E34" s="55" t="s">
        <v>40</v>
      </c>
      <c r="F34" s="21">
        <v>17</v>
      </c>
      <c r="G34" s="55" t="s">
        <v>41</v>
      </c>
      <c r="H34" s="48">
        <f>(D34-F34)*48.8</f>
        <v>585.59999999999991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532.89599999999996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19245.680618498616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H36"/>
  <sheetViews>
    <sheetView topLeftCell="A10" zoomScaleNormal="100" workbookViewId="0">
      <selection activeCell="D33" sqref="D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76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73042.289999999994</v>
      </c>
      <c r="C4" s="55" t="s">
        <v>15</v>
      </c>
      <c r="D4" s="25">
        <v>73072.710000000006</v>
      </c>
      <c r="E4" s="55" t="s">
        <v>16</v>
      </c>
      <c r="F4" s="55">
        <f>D4-B4</f>
        <v>30.420000000012806</v>
      </c>
      <c r="G4" s="55" t="s">
        <v>17</v>
      </c>
      <c r="H4" s="55">
        <f>F4*284.35</f>
        <v>8649.9270000036413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4913.1585360020681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648.74452500027303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8427.9030610023401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44262</v>
      </c>
      <c r="E11" s="55" t="s">
        <v>23</v>
      </c>
      <c r="F11" s="25">
        <v>44270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73677</v>
      </c>
      <c r="E12" s="55" t="s">
        <v>23</v>
      </c>
      <c r="F12" s="25">
        <v>73690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74150</v>
      </c>
      <c r="E13" s="55" t="s">
        <v>23</v>
      </c>
      <c r="F13" s="25">
        <v>74161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336045</v>
      </c>
      <c r="C24" s="55" t="s">
        <v>1</v>
      </c>
      <c r="D24" s="26">
        <v>336282</v>
      </c>
      <c r="E24" s="55" t="s">
        <v>32</v>
      </c>
      <c r="F24" s="55">
        <f>D24-B24</f>
        <v>237</v>
      </c>
      <c r="G24" s="55" t="s">
        <v>33</v>
      </c>
      <c r="H24" s="55">
        <f>F24*220</f>
        <v>52140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1478.44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260.7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952.1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3441.24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86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41</v>
      </c>
      <c r="E34" s="55" t="s">
        <v>40</v>
      </c>
      <c r="F34" s="21">
        <v>29</v>
      </c>
      <c r="G34" s="55" t="s">
        <v>41</v>
      </c>
      <c r="H34" s="48">
        <f>(D34-F34)*48.8</f>
        <v>585.59999999999991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532.89599999999996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19261.815061002337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H36"/>
  <sheetViews>
    <sheetView topLeftCell="A7" zoomScaleNormal="100" workbookViewId="0">
      <selection activeCell="D33" sqref="D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74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73009.070000000007</v>
      </c>
      <c r="C4" s="55" t="s">
        <v>15</v>
      </c>
      <c r="D4" s="25">
        <v>73042.289999999994</v>
      </c>
      <c r="E4" s="55" t="s">
        <v>16</v>
      </c>
      <c r="F4" s="55">
        <f>D4-B4</f>
        <v>33.219999999986612</v>
      </c>
      <c r="G4" s="55" t="s">
        <v>17</v>
      </c>
      <c r="H4" s="55">
        <f>F4*284.35</f>
        <v>9446.1069999961946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5365.3887759978379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708.45802499971455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8939.8468009975513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44254</v>
      </c>
      <c r="E11" s="55" t="s">
        <v>23</v>
      </c>
      <c r="F11" s="25">
        <v>44262</v>
      </c>
      <c r="G11" s="55" t="s">
        <v>24</v>
      </c>
      <c r="H11" s="55">
        <f>F11-D11</f>
        <v>8</v>
      </c>
    </row>
    <row r="12" spans="1:8" ht="16.5" customHeight="1">
      <c r="A12" s="60" t="s">
        <v>25</v>
      </c>
      <c r="B12" s="60"/>
      <c r="C12" s="46" t="s">
        <v>22</v>
      </c>
      <c r="D12" s="25">
        <v>73663</v>
      </c>
      <c r="E12" s="55" t="s">
        <v>23</v>
      </c>
      <c r="F12" s="25">
        <v>73677</v>
      </c>
      <c r="G12" s="55" t="s">
        <v>24</v>
      </c>
      <c r="H12" s="55">
        <f>F12-D12</f>
        <v>14</v>
      </c>
    </row>
    <row r="13" spans="1:8" ht="16.5" customHeight="1">
      <c r="A13" s="60" t="s">
        <v>26</v>
      </c>
      <c r="B13" s="60"/>
      <c r="C13" s="46" t="s">
        <v>22</v>
      </c>
      <c r="D13" s="25">
        <v>74139</v>
      </c>
      <c r="E13" s="55" t="s">
        <v>23</v>
      </c>
      <c r="F13" s="25">
        <v>74150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33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16077.6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6109.4880000000003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964.65599999999995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7074.1440000000002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335811</v>
      </c>
      <c r="C24" s="55" t="s">
        <v>1</v>
      </c>
      <c r="D24" s="26">
        <v>336045</v>
      </c>
      <c r="E24" s="55" t="s">
        <v>32</v>
      </c>
      <c r="F24" s="55">
        <f>D24-B24</f>
        <v>234</v>
      </c>
      <c r="G24" s="55" t="s">
        <v>33</v>
      </c>
      <c r="H24" s="55">
        <f>F24*220</f>
        <v>51480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1448.08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257.39999999999998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942.19999999999993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3397.68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86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54</v>
      </c>
      <c r="E34" s="55" t="s">
        <v>40</v>
      </c>
      <c r="F34" s="21">
        <v>41</v>
      </c>
      <c r="G34" s="55" t="s">
        <v>41</v>
      </c>
      <c r="H34" s="48">
        <f>(D34-F34)*48.8</f>
        <v>634.4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577.30399999999997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19988.974800997552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H36"/>
  <sheetViews>
    <sheetView topLeftCell="A16" zoomScaleNormal="100" workbookViewId="0">
      <selection activeCell="D33" sqref="D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72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72975.789999999994</v>
      </c>
      <c r="C4" s="55" t="s">
        <v>15</v>
      </c>
      <c r="D4" s="25">
        <v>73009.070000000007</v>
      </c>
      <c r="E4" s="55" t="s">
        <v>16</v>
      </c>
      <c r="F4" s="55">
        <f>D4-B4</f>
        <v>33.280000000013388</v>
      </c>
      <c r="G4" s="55" t="s">
        <v>17</v>
      </c>
      <c r="H4" s="55">
        <f>F4*284.35</f>
        <v>9463.1680000038068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5375.0794240021614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709.73760000028551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8950.8170240024465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44247</v>
      </c>
      <c r="E11" s="55" t="s">
        <v>23</v>
      </c>
      <c r="F11" s="25">
        <v>44254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73650</v>
      </c>
      <c r="E12" s="55" t="s">
        <v>23</v>
      </c>
      <c r="F12" s="25">
        <v>73663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74128</v>
      </c>
      <c r="E13" s="55" t="s">
        <v>23</v>
      </c>
      <c r="F13" s="25">
        <v>74139</v>
      </c>
      <c r="G13" s="55" t="s">
        <v>24</v>
      </c>
      <c r="H13" s="55">
        <f>F13-D13</f>
        <v>11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31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15103.199999999999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6645.4079999999994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335581</v>
      </c>
      <c r="C24" s="55" t="s">
        <v>1</v>
      </c>
      <c r="D24" s="26">
        <v>335811</v>
      </c>
      <c r="E24" s="55" t="s">
        <v>32</v>
      </c>
      <c r="F24" s="55">
        <f>D24-B24</f>
        <v>230</v>
      </c>
      <c r="G24" s="55" t="s">
        <v>33</v>
      </c>
      <c r="H24" s="55">
        <f>F24*220</f>
        <v>50600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1407.6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253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929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3339.6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86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64</v>
      </c>
      <c r="E34" s="55" t="s">
        <v>40</v>
      </c>
      <c r="F34" s="21">
        <v>54</v>
      </c>
      <c r="G34" s="55" t="s">
        <v>41</v>
      </c>
      <c r="H34" s="48">
        <f>(D34-F34)*48.8</f>
        <v>488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444.08000000000004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19379.905024002444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1:H36"/>
  <sheetViews>
    <sheetView topLeftCell="A12" zoomScaleNormal="100" workbookViewId="0">
      <selection activeCell="D41" sqref="D41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7" t="s">
        <v>12</v>
      </c>
      <c r="B1" s="77"/>
      <c r="C1" s="77"/>
      <c r="D1" s="77"/>
      <c r="E1" s="77"/>
      <c r="F1" s="77"/>
      <c r="G1" s="77"/>
      <c r="H1" s="77"/>
    </row>
    <row r="2" spans="1:8" ht="16.5" customHeight="1">
      <c r="A2" s="78" t="s">
        <v>69</v>
      </c>
      <c r="B2" s="78"/>
      <c r="C2" s="78"/>
      <c r="D2" s="78"/>
      <c r="E2" s="78"/>
      <c r="F2" s="78"/>
      <c r="G2" s="78"/>
      <c r="H2" s="7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72942.960000000006</v>
      </c>
      <c r="C4" s="55" t="s">
        <v>15</v>
      </c>
      <c r="D4" s="25">
        <v>72975.789999999994</v>
      </c>
      <c r="E4" s="55" t="s">
        <v>16</v>
      </c>
      <c r="F4" s="55">
        <f>D4-B4</f>
        <v>32.829999999987194</v>
      </c>
      <c r="G4" s="55" t="s">
        <v>17</v>
      </c>
      <c r="H4" s="55">
        <f>F4*284.35</f>
        <v>9335.2104999963594</v>
      </c>
    </row>
    <row r="5" spans="1:8" s="4" customFormat="1" ht="10.5" customHeight="1">
      <c r="A5" s="79" t="s">
        <v>64</v>
      </c>
      <c r="B5" s="79"/>
      <c r="C5" s="79"/>
      <c r="D5" s="79"/>
      <c r="E5" s="79"/>
      <c r="F5" s="79"/>
      <c r="G5" s="79"/>
      <c r="H5" s="79"/>
    </row>
    <row r="6" spans="1:8" ht="16.5" customHeight="1">
      <c r="A6" s="70" t="s">
        <v>18</v>
      </c>
      <c r="B6" s="70"/>
      <c r="C6" s="70"/>
      <c r="D6" s="61">
        <f>H4*0.568</f>
        <v>5302.3995639979321</v>
      </c>
      <c r="E6" s="61"/>
      <c r="F6" s="61"/>
      <c r="G6" s="61"/>
      <c r="H6" s="61"/>
    </row>
    <row r="7" spans="1:8" ht="16.5" customHeight="1">
      <c r="A7" s="70" t="s">
        <v>50</v>
      </c>
      <c r="B7" s="70"/>
      <c r="C7" s="70"/>
      <c r="D7" s="61">
        <f>H4*0.075</f>
        <v>700.14078749972691</v>
      </c>
      <c r="E7" s="61"/>
      <c r="F7" s="61"/>
      <c r="G7" s="61"/>
      <c r="H7" s="61"/>
    </row>
    <row r="8" spans="1:8" ht="16.5" customHeight="1">
      <c r="A8" s="71" t="s">
        <v>19</v>
      </c>
      <c r="B8" s="72"/>
      <c r="C8" s="73"/>
      <c r="D8" s="74">
        <v>2866</v>
      </c>
      <c r="E8" s="75"/>
      <c r="F8" s="75"/>
      <c r="G8" s="75"/>
      <c r="H8" s="76"/>
    </row>
    <row r="9" spans="1:8" ht="16.5" customHeight="1">
      <c r="A9" s="57" t="s">
        <v>20</v>
      </c>
      <c r="B9" s="57"/>
      <c r="C9" s="57"/>
      <c r="D9" s="58">
        <f>SUM(D6:H8)</f>
        <v>8868.5403514976588</v>
      </c>
      <c r="E9" s="58"/>
      <c r="F9" s="58"/>
      <c r="G9" s="58"/>
      <c r="H9" s="58"/>
    </row>
    <row r="10" spans="1:8" ht="16.5" customHeight="1">
      <c r="A10" s="59" t="s">
        <v>48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60" t="s">
        <v>21</v>
      </c>
      <c r="B11" s="60"/>
      <c r="C11" s="46" t="s">
        <v>22</v>
      </c>
      <c r="D11" s="25">
        <v>44240</v>
      </c>
      <c r="E11" s="55" t="s">
        <v>23</v>
      </c>
      <c r="F11" s="25">
        <v>44247</v>
      </c>
      <c r="G11" s="55" t="s">
        <v>24</v>
      </c>
      <c r="H11" s="55">
        <f>F11-D11</f>
        <v>7</v>
      </c>
    </row>
    <row r="12" spans="1:8" ht="16.5" customHeight="1">
      <c r="A12" s="60" t="s">
        <v>25</v>
      </c>
      <c r="B12" s="60"/>
      <c r="C12" s="46" t="s">
        <v>22</v>
      </c>
      <c r="D12" s="25">
        <v>73637</v>
      </c>
      <c r="E12" s="55" t="s">
        <v>23</v>
      </c>
      <c r="F12" s="25">
        <v>73650</v>
      </c>
      <c r="G12" s="55" t="s">
        <v>24</v>
      </c>
      <c r="H12" s="55">
        <f>F12-D12</f>
        <v>13</v>
      </c>
    </row>
    <row r="13" spans="1:8" ht="16.5" customHeight="1">
      <c r="A13" s="60" t="s">
        <v>26</v>
      </c>
      <c r="B13" s="60"/>
      <c r="C13" s="46" t="s">
        <v>22</v>
      </c>
      <c r="D13" s="25">
        <v>74116</v>
      </c>
      <c r="E13" s="55" t="s">
        <v>23</v>
      </c>
      <c r="F13" s="25">
        <v>74128</v>
      </c>
      <c r="G13" s="55" t="s">
        <v>24</v>
      </c>
      <c r="H13" s="55">
        <f>F13-D13</f>
        <v>12</v>
      </c>
    </row>
    <row r="14" spans="1:8" ht="16.5" customHeight="1">
      <c r="A14" s="68"/>
      <c r="B14" s="68"/>
      <c r="C14" s="68"/>
      <c r="D14" s="68"/>
      <c r="E14" s="68"/>
      <c r="F14" s="68"/>
      <c r="G14" s="68"/>
      <c r="H14" s="55">
        <f>SUM(H11:H13)</f>
        <v>32</v>
      </c>
    </row>
    <row r="15" spans="1:8" ht="16.5" customHeight="1">
      <c r="A15" s="68" t="s">
        <v>27</v>
      </c>
      <c r="B15" s="68"/>
      <c r="C15" s="68"/>
      <c r="D15" s="68"/>
      <c r="E15" s="68"/>
      <c r="F15" s="68"/>
      <c r="G15" s="68"/>
      <c r="H15" s="55">
        <f>H14*487.2</f>
        <v>15590.4</v>
      </c>
    </row>
    <row r="16" spans="1:8" s="4" customFormat="1" ht="10.5" customHeight="1">
      <c r="A16" s="69" t="s">
        <v>3</v>
      </c>
      <c r="B16" s="69"/>
      <c r="C16" s="69"/>
      <c r="D16" s="69"/>
      <c r="E16" s="69"/>
      <c r="F16" s="69"/>
      <c r="G16" s="69"/>
      <c r="H16" s="69"/>
    </row>
    <row r="17" spans="1:8" ht="16.5" customHeight="1">
      <c r="A17" s="60" t="s">
        <v>28</v>
      </c>
      <c r="B17" s="60"/>
      <c r="C17" s="60"/>
      <c r="D17" s="61">
        <v>460</v>
      </c>
      <c r="E17" s="61"/>
      <c r="F17" s="61"/>
      <c r="G17" s="61"/>
      <c r="H17" s="61"/>
    </row>
    <row r="18" spans="1:8" ht="16.5" customHeight="1">
      <c r="A18" s="60" t="s">
        <v>29</v>
      </c>
      <c r="B18" s="60"/>
      <c r="C18" s="60"/>
      <c r="D18" s="61">
        <v>560</v>
      </c>
      <c r="E18" s="61"/>
      <c r="F18" s="61"/>
      <c r="G18" s="61"/>
      <c r="H18" s="61"/>
    </row>
    <row r="19" spans="1:8" ht="16.5" customHeight="1">
      <c r="A19" s="60" t="s">
        <v>30</v>
      </c>
      <c r="B19" s="60"/>
      <c r="C19" s="60"/>
      <c r="D19" s="61">
        <v>640</v>
      </c>
      <c r="E19" s="61"/>
      <c r="F19" s="61"/>
      <c r="G19" s="61"/>
      <c r="H19" s="61"/>
    </row>
    <row r="20" spans="1:8" ht="16.5" customHeight="1">
      <c r="A20" s="60" t="s">
        <v>31</v>
      </c>
      <c r="B20" s="60"/>
      <c r="C20" s="60"/>
      <c r="D20" s="61">
        <f>H15*0.38</f>
        <v>5924.3519999999999</v>
      </c>
      <c r="E20" s="61"/>
      <c r="F20" s="61"/>
      <c r="G20" s="61"/>
      <c r="H20" s="61"/>
    </row>
    <row r="21" spans="1:8" ht="16.5" customHeight="1">
      <c r="A21" s="60" t="s">
        <v>51</v>
      </c>
      <c r="B21" s="60"/>
      <c r="C21" s="60"/>
      <c r="D21" s="61">
        <f>H15*0.06</f>
        <v>935.42399999999998</v>
      </c>
      <c r="E21" s="61"/>
      <c r="F21" s="61"/>
      <c r="G21" s="61"/>
      <c r="H21" s="61"/>
    </row>
    <row r="22" spans="1:8" ht="16.5" customHeight="1">
      <c r="A22" s="57" t="s">
        <v>20</v>
      </c>
      <c r="B22" s="57"/>
      <c r="C22" s="57"/>
      <c r="D22" s="58">
        <f>D20+D21</f>
        <v>6859.7759999999998</v>
      </c>
      <c r="E22" s="58"/>
      <c r="F22" s="58"/>
      <c r="G22" s="58"/>
      <c r="H22" s="58"/>
    </row>
    <row r="23" spans="1:8" ht="16.5" customHeight="1">
      <c r="A23" s="62" t="s">
        <v>2</v>
      </c>
      <c r="B23" s="63"/>
      <c r="C23" s="63"/>
      <c r="D23" s="63"/>
      <c r="E23" s="63"/>
      <c r="F23" s="63"/>
      <c r="G23" s="63"/>
      <c r="H23" s="64"/>
    </row>
    <row r="24" spans="1:8" ht="16.5" customHeight="1">
      <c r="A24" s="47" t="s">
        <v>0</v>
      </c>
      <c r="B24" s="26">
        <v>335340</v>
      </c>
      <c r="C24" s="55" t="s">
        <v>1</v>
      </c>
      <c r="D24" s="26">
        <v>335581</v>
      </c>
      <c r="E24" s="55" t="s">
        <v>32</v>
      </c>
      <c r="F24" s="55">
        <f>D24-B24</f>
        <v>241</v>
      </c>
      <c r="G24" s="55" t="s">
        <v>33</v>
      </c>
      <c r="H24" s="55">
        <f>F24*220</f>
        <v>53020</v>
      </c>
    </row>
    <row r="25" spans="1:8" s="4" customFormat="1" ht="10.5" customHeight="1">
      <c r="A25" s="65" t="s">
        <v>4</v>
      </c>
      <c r="B25" s="66"/>
      <c r="C25" s="66"/>
      <c r="D25" s="66"/>
      <c r="E25" s="66"/>
      <c r="F25" s="66"/>
      <c r="G25" s="66"/>
      <c r="H25" s="67"/>
    </row>
    <row r="26" spans="1:8" ht="16.5" customHeight="1">
      <c r="A26" s="60" t="s">
        <v>34</v>
      </c>
      <c r="B26" s="60"/>
      <c r="C26" s="60"/>
      <c r="D26" s="61">
        <v>350</v>
      </c>
      <c r="E26" s="61"/>
      <c r="F26" s="61"/>
      <c r="G26" s="61"/>
      <c r="H26" s="61"/>
    </row>
    <row r="27" spans="1:8" ht="16.5" customHeight="1">
      <c r="A27" s="60" t="s">
        <v>35</v>
      </c>
      <c r="B27" s="60"/>
      <c r="C27" s="60"/>
      <c r="D27" s="61">
        <v>400</v>
      </c>
      <c r="E27" s="61"/>
      <c r="F27" s="61"/>
      <c r="G27" s="61"/>
      <c r="H27" s="61"/>
    </row>
    <row r="28" spans="1:8" ht="16.5" customHeight="1">
      <c r="A28" s="60" t="s">
        <v>36</v>
      </c>
      <c r="B28" s="60"/>
      <c r="C28" s="60"/>
      <c r="D28" s="61">
        <f>(H24-20000)*0.046</f>
        <v>1518.92</v>
      </c>
      <c r="E28" s="61"/>
      <c r="F28" s="61"/>
      <c r="G28" s="61"/>
      <c r="H28" s="61"/>
    </row>
    <row r="29" spans="1:8" ht="16.5" customHeight="1">
      <c r="A29" s="60" t="s">
        <v>68</v>
      </c>
      <c r="B29" s="60"/>
      <c r="C29" s="60"/>
      <c r="D29" s="61">
        <f>H24*0.005</f>
        <v>265.10000000000002</v>
      </c>
      <c r="E29" s="61"/>
      <c r="F29" s="61"/>
      <c r="G29" s="61"/>
      <c r="H29" s="61"/>
    </row>
    <row r="30" spans="1:8" ht="16.5" customHeight="1">
      <c r="A30" s="60" t="s">
        <v>37</v>
      </c>
      <c r="B30" s="60"/>
      <c r="C30" s="60"/>
      <c r="D30" s="61">
        <f>(H24*0.015)+170</f>
        <v>965.3</v>
      </c>
      <c r="E30" s="61"/>
      <c r="F30" s="61"/>
      <c r="G30" s="61"/>
      <c r="H30" s="61"/>
    </row>
    <row r="31" spans="1:8" ht="16.5" customHeight="1">
      <c r="A31" s="57" t="s">
        <v>20</v>
      </c>
      <c r="B31" s="57"/>
      <c r="C31" s="57"/>
      <c r="D31" s="58">
        <f>SUM(D26:H30)</f>
        <v>3499.3199999999997</v>
      </c>
      <c r="E31" s="58"/>
      <c r="F31" s="58"/>
      <c r="G31" s="58"/>
      <c r="H31" s="58"/>
    </row>
    <row r="32" spans="1:8" ht="16.5" customHeight="1">
      <c r="A32" s="59" t="s">
        <v>49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60" t="s">
        <v>38</v>
      </c>
      <c r="B33" s="60"/>
      <c r="C33" s="46" t="s">
        <v>39</v>
      </c>
      <c r="D33" s="21">
        <v>86</v>
      </c>
      <c r="E33" s="55" t="s">
        <v>40</v>
      </c>
      <c r="F33" s="21">
        <v>86</v>
      </c>
      <c r="G33" s="55" t="s">
        <v>41</v>
      </c>
      <c r="H33" s="48">
        <f>(D33-F33)*48.8</f>
        <v>0</v>
      </c>
    </row>
    <row r="34" spans="1:8" ht="16.5" customHeight="1">
      <c r="A34" s="60" t="s">
        <v>42</v>
      </c>
      <c r="B34" s="60"/>
      <c r="C34" s="46" t="s">
        <v>39</v>
      </c>
      <c r="D34" s="21">
        <v>75</v>
      </c>
      <c r="E34" s="55" t="s">
        <v>40</v>
      </c>
      <c r="F34" s="21">
        <v>64</v>
      </c>
      <c r="G34" s="55" t="s">
        <v>41</v>
      </c>
      <c r="H34" s="48">
        <f>(D34-F34)*48.8</f>
        <v>536.79999999999995</v>
      </c>
    </row>
    <row r="35" spans="1:8" ht="16.5" customHeight="1">
      <c r="A35" s="57">
        <v>322908</v>
      </c>
      <c r="B35" s="57"/>
      <c r="C35" s="57"/>
      <c r="D35" s="57"/>
      <c r="E35" s="57"/>
      <c r="F35" s="57"/>
      <c r="G35" s="57"/>
      <c r="H35" s="54">
        <f>((H34+H33)*1.82)*0.5</f>
        <v>488.488</v>
      </c>
    </row>
    <row r="36" spans="1:8" ht="16.5" customHeight="1">
      <c r="A36" s="57" t="s">
        <v>43</v>
      </c>
      <c r="B36" s="57"/>
      <c r="C36" s="57"/>
      <c r="D36" s="57"/>
      <c r="E36" s="57"/>
      <c r="F36" s="57"/>
      <c r="G36" s="57"/>
      <c r="H36" s="54">
        <f>H35+D22+D9+D31</f>
        <v>19716.12435149766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customProperties>
    <customPr name="QAA_DRILLPATH_NODE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May 31</vt:lpstr>
      <vt:lpstr>May 30</vt:lpstr>
      <vt:lpstr>May 29</vt:lpstr>
      <vt:lpstr>May 28</vt:lpstr>
      <vt:lpstr>May 27</vt:lpstr>
      <vt:lpstr>May 26</vt:lpstr>
      <vt:lpstr>May 25</vt:lpstr>
      <vt:lpstr>May 24</vt:lpstr>
      <vt:lpstr>May 23</vt:lpstr>
      <vt:lpstr>May 22</vt:lpstr>
      <vt:lpstr>May 21</vt:lpstr>
      <vt:lpstr>May 20</vt:lpstr>
      <vt:lpstr>May 19</vt:lpstr>
      <vt:lpstr>May 18</vt:lpstr>
      <vt:lpstr>May 17</vt:lpstr>
      <vt:lpstr>May 16</vt:lpstr>
      <vt:lpstr>May 15</vt:lpstr>
      <vt:lpstr>May 14</vt:lpstr>
      <vt:lpstr>May 13</vt:lpstr>
      <vt:lpstr>May 12</vt:lpstr>
      <vt:lpstr>May 11</vt:lpstr>
      <vt:lpstr>May 10</vt:lpstr>
      <vt:lpstr>May 09</vt:lpstr>
      <vt:lpstr>May 08</vt:lpstr>
      <vt:lpstr>May 07</vt:lpstr>
      <vt:lpstr>May 06</vt:lpstr>
      <vt:lpstr>May 05</vt:lpstr>
      <vt:lpstr>May 04</vt:lpstr>
      <vt:lpstr>May 03</vt:lpstr>
      <vt:lpstr>May 02</vt:lpstr>
      <vt:lpstr>May 01</vt:lpstr>
      <vt:lpstr>'May 01'!Print_Area</vt:lpstr>
      <vt:lpstr>'May 02'!Print_Area</vt:lpstr>
      <vt:lpstr>'May 03'!Print_Area</vt:lpstr>
      <vt:lpstr>'May 04'!Print_Area</vt:lpstr>
      <vt:lpstr>'May 05'!Print_Area</vt:lpstr>
      <vt:lpstr>'May 06'!Print_Area</vt:lpstr>
      <vt:lpstr>'May 07'!Print_Area</vt:lpstr>
      <vt:lpstr>'May 08'!Print_Area</vt:lpstr>
      <vt:lpstr>'May 09'!Print_Area</vt:lpstr>
      <vt:lpstr>'May 10'!Print_Area</vt:lpstr>
      <vt:lpstr>'May 11'!Print_Area</vt:lpstr>
      <vt:lpstr>'May 12'!Print_Area</vt:lpstr>
      <vt:lpstr>'May 13'!Print_Area</vt:lpstr>
      <vt:lpstr>'May 14'!Print_Area</vt:lpstr>
      <vt:lpstr>'May 15'!Print_Area</vt:lpstr>
      <vt:lpstr>'May 16'!Print_Area</vt:lpstr>
      <vt:lpstr>'May 17'!Print_Area</vt:lpstr>
      <vt:lpstr>'May 18'!Print_Area</vt:lpstr>
      <vt:lpstr>'May 19'!Print_Area</vt:lpstr>
      <vt:lpstr>'May 20'!Print_Area</vt:lpstr>
      <vt:lpstr>'May 21'!Print_Area</vt:lpstr>
      <vt:lpstr>'May 22'!Print_Area</vt:lpstr>
      <vt:lpstr>'May 23'!Print_Area</vt:lpstr>
      <vt:lpstr>'May 24'!Print_Area</vt:lpstr>
      <vt:lpstr>'May 25'!Print_Area</vt:lpstr>
      <vt:lpstr>'May 26'!Print_Area</vt:lpstr>
      <vt:lpstr>'May 27'!Print_Area</vt:lpstr>
      <vt:lpstr>'May 28'!Print_Area</vt:lpstr>
      <vt:lpstr>'May 29'!Print_Area</vt:lpstr>
      <vt:lpstr>'May 30'!Print_Area</vt:lpstr>
      <vt:lpstr>'May 31'!Print_Area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2025-06-01T04:14:59Z</cp:lastPrinted>
  <dcterms:created xsi:type="dcterms:W3CDTF">2009-10-25T07:14:49Z</dcterms:created>
  <dcterms:modified xsi:type="dcterms:W3CDTF">2025-06-05T04:54:40Z</dcterms:modified>
</cp:coreProperties>
</file>