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0ACE4031-4B9C-40F8-B53A-1357062B103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<sst xmlns="http://schemas.openxmlformats.org/spreadsheetml/2006/main" count="65" uniqueCount="31">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</sst>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L22" sqref="L22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>
        <v>229</v>
      </c>
      <c r="L20" s="49">
        <v>265</v>
      </c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12886</v>
      </c>
      <c r="F21" s="14">
        <v>0.2</v>
      </c>
      <c r="G21" s="13"/>
      <c r="I21" s="13">
        <f>'Consum.'!K27</f>
        <v>57</v>
      </c>
      <c r="J21" s="15">
        <v>7.84</v>
      </c>
      <c r="K21" s="49">
        <v>229</v>
      </c>
      <c r="L21" s="49">
        <v>267</v>
      </c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13667</v>
      </c>
      <c r="F22" s="14">
        <v>0.2</v>
      </c>
      <c r="G22" s="13"/>
      <c r="I22" s="13">
        <f>'Consum.'!K28</f>
        <v>80</v>
      </c>
      <c r="J22" s="15">
        <v>7.84</v>
      </c>
      <c r="K22" s="49"/>
      <c r="L22" s="49"/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-28542889</v>
      </c>
      <c r="F23" s="14">
        <v>0.2</v>
      </c>
      <c r="G23" s="13"/>
      <c r="I23" s="13">
        <f>'Consum.'!K29</f>
        <v>-74670</v>
      </c>
      <c r="J23" s="15">
        <v>7.84</v>
      </c>
      <c r="K23" s="49"/>
      <c r="L23" s="49"/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49"/>
      <c r="L24" s="49"/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49"/>
      <c r="L25" s="49"/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49"/>
      <c r="L26" s="49"/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49"/>
      <c r="L27" s="49"/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49"/>
      <c r="L28" s="49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49"/>
      <c r="L29" s="49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49"/>
      <c r="L30" s="49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49"/>
      <c r="L31" s="49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opLeftCell="A2" zoomScale="70" zoomScaleNormal="70" zoomScaleSheetLayoutView="100" workbookViewId="0">
      <selection activeCell="I29" sqref="I29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>
        <v>22459276</v>
      </c>
      <c r="E27" s="46">
        <v>6069946</v>
      </c>
      <c r="F27" s="30">
        <f t="shared" si="4"/>
        <v>28529222</v>
      </c>
      <c r="G27" s="30">
        <f t="shared" si="5"/>
        <v>12886</v>
      </c>
      <c r="H27" s="44">
        <v>27445</v>
      </c>
      <c r="I27" s="44">
        <v>47145</v>
      </c>
      <c r="J27" s="30">
        <f t="shared" si="6"/>
        <v>74590</v>
      </c>
      <c r="K27" s="30">
        <f t="shared" si="7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>
        <v>22470275</v>
      </c>
      <c r="E28" s="44">
        <v>6072614</v>
      </c>
      <c r="F28" s="30">
        <f t="shared" si="4"/>
        <v>28542889</v>
      </c>
      <c r="G28" s="30">
        <f t="shared" si="5"/>
        <v>13667</v>
      </c>
      <c r="H28" s="44">
        <v>27490</v>
      </c>
      <c r="I28" s="44">
        <v>47180</v>
      </c>
      <c r="J28" s="30">
        <f t="shared" si="6"/>
        <v>74670</v>
      </c>
      <c r="K28" s="30">
        <f t="shared" si="7"/>
        <v>80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/>
      <c r="E29" s="44"/>
      <c r="F29" s="30">
        <f t="shared" si="4"/>
        <v>0</v>
      </c>
      <c r="G29" s="30">
        <f t="shared" si="5"/>
        <v>-28542889</v>
      </c>
      <c r="H29" s="44"/>
      <c r="I29" s="44"/>
      <c r="J29" s="30">
        <f t="shared" si="6"/>
        <v>0</v>
      </c>
      <c r="K29" s="30">
        <f t="shared" si="7"/>
        <v>-74670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/>
      <c r="E30" s="44"/>
      <c r="F30" s="30">
        <f t="shared" si="4"/>
        <v>0</v>
      </c>
      <c r="G30" s="30">
        <f t="shared" si="5"/>
        <v>0</v>
      </c>
      <c r="H30" s="44"/>
      <c r="I30" s="44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/>
      <c r="E31" s="44"/>
      <c r="F31" s="30">
        <f t="shared" si="4"/>
        <v>0</v>
      </c>
      <c r="G31" s="30">
        <f t="shared" si="5"/>
        <v>0</v>
      </c>
      <c r="H31" s="44"/>
      <c r="I31" s="44"/>
      <c r="J31" s="30">
        <f t="shared" si="6"/>
        <v>0</v>
      </c>
      <c r="K31" s="30">
        <f t="shared" si="7"/>
        <v>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/>
      <c r="E32" s="44"/>
      <c r="F32" s="30">
        <f t="shared" si="4"/>
        <v>0</v>
      </c>
      <c r="G32" s="30">
        <f t="shared" si="5"/>
        <v>0</v>
      </c>
      <c r="H32" s="44"/>
      <c r="I32" s="44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/>
      <c r="E33" s="44"/>
      <c r="F33" s="30">
        <f t="shared" si="4"/>
        <v>0</v>
      </c>
      <c r="G33" s="30">
        <f t="shared" si="5"/>
        <v>0</v>
      </c>
      <c r="H33" s="44"/>
      <c r="I33" s="44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/>
      <c r="E34" s="44"/>
      <c r="F34" s="30">
        <f t="shared" si="4"/>
        <v>0</v>
      </c>
      <c r="G34" s="30">
        <f t="shared" si="5"/>
        <v>0</v>
      </c>
      <c r="H34" s="44"/>
      <c r="I34" s="44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/>
      <c r="E35" s="44"/>
      <c r="F35" s="30">
        <f t="shared" si="4"/>
        <v>0</v>
      </c>
      <c r="G35" s="30">
        <f t="shared" si="5"/>
        <v>0</v>
      </c>
      <c r="H35" s="44"/>
      <c r="I35" s="44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/>
      <c r="E36" s="44"/>
      <c r="F36" s="30">
        <f t="shared" si="4"/>
        <v>0</v>
      </c>
      <c r="G36" s="30">
        <f t="shared" si="5"/>
        <v>0</v>
      </c>
      <c r="H36" s="44"/>
      <c r="I36" s="44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/>
      <c r="E37" s="44"/>
      <c r="F37" s="30">
        <f t="shared" si="4"/>
        <v>0</v>
      </c>
      <c r="G37" s="30">
        <f t="shared" si="5"/>
        <v>0</v>
      </c>
      <c r="H37" s="44"/>
      <c r="I37" s="44"/>
      <c r="J37" s="30">
        <f>H37+I37</f>
        <v>0</v>
      </c>
      <c r="K37" s="30">
        <f t="shared" si="7"/>
        <v>0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0</v>
      </c>
      <c r="H38" s="44"/>
      <c r="I38" s="44"/>
      <c r="J38" s="30">
        <f>H38+I38</f>
        <v>0</v>
      </c>
      <c r="K38" s="30">
        <f t="shared" si="7"/>
        <v>0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2025-05-22T13:49:25Z</dcterms:modified>
</cp:coreProperties>
</file>