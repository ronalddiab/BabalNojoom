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19/"/>
    </mc:Choice>
  </mc:AlternateContent>
  <xr:revisionPtr revIDLastSave="816" documentId="8_{8847650D-614C-4264-8C87-30D8B5EB4252}" xr6:coauthVersionLast="47" xr6:coauthVersionMax="47" xr10:uidLastSave="{3F1728E4-E82E-4B71-885F-0F7A376E352B}"/>
  <bookViews>
    <workbookView xWindow="-120" yWindow="-120" windowWidth="29040" windowHeight="15720" activeTab="4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4" i="5" l="1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E14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E16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E18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E20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C4" i="6"/>
  <c r="G2" i="2" s="1"/>
  <c r="AF15" i="5" l="1"/>
  <c r="AH15" i="5"/>
  <c r="AG15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21" i="3" l="1"/>
  <c r="AG21" i="3"/>
  <c r="AH21" i="3"/>
  <c r="C35" i="6" l="1"/>
  <c r="AE15" i="5" l="1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E16" i="5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<sst xmlns="http://schemas.openxmlformats.org/spreadsheetml/2006/main" count="122" uniqueCount="87">
  <si>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</si>
  <si>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</si>
  <si>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</si>
  <si>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</si>
  <si>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</si>
  <si>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</si>
  <si>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</si>
  <si>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</si>
  <si>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</si>
  <si>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</si>
  <si>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</si>
  <si>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</si>
  <si>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Park Rotana and Park Arjaan Abu Dhabi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</si>
  <si>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</si>
  <si>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</si>
  <si>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</si>
  <si>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</si>
  <si>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</si>
  <si>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</si>
  <si>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</si>
  <si>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</si>
  <si>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</si>
  <si>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</si>
  <si>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</si>
  <si>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</si>
  <si>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</si>
  <si>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</si>
  <si>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</si>
  <si>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</si>
  <si>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</si>
  <si>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</si>
  <si>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</si>
  <si>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</si>
  <si>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</si>
  <si>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</si>
  <si>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</si>
  <si>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</si>
  <si>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</si>
  <si>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</si>
  <si>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</si>
  <si>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</si>
  <si>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</si>
  <si>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</si>
  <si>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</si>
  <si>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</si>
  <si>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</si>
  <si>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</si>
  <si>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</si>
  <si>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</si>
  <si>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</si>
  <si>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</si>
  <si>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</si>
  <si>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</si>
  <si>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</si>
  <si>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</si>
  <si>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</si>
  <si>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</si>
  <si>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</si>
  <si>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</si>
  <si>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</si>
  <si>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</si>
  <si>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</si>
  <si>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</si>
  <si>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</si>
  <si>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</si>
  <si>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</si>
  <si>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</si>
  <si>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48242051 (Hotel &amp; Arjaan Main Meter)</t>
  </si>
  <si>
    <t>Hotel &amp; Arjaan / Raw Water Tank for Hotel,Arjaan,Kitchen,Laundry,Staff Locker,Hotel Swimming Pool</t>
  </si>
  <si>
    <t>EMK17100DA17081056 (Cooling Tower Meter)</t>
  </si>
  <si>
    <t>Cooling Towers, Irrigation Tank,CHW Make up Line,Residence Pool, Cooling Tower Blow Down</t>
  </si>
  <si>
    <t>2045000686(Sub Meter)</t>
  </si>
  <si>
    <t>Irrigation water Tank</t>
  </si>
  <si>
    <t>Hotel &amp; Arjaan Spa</t>
  </si>
  <si>
    <t>Hotel  &amp; Arjaan Gym</t>
  </si>
  <si>
    <t>Total Daily Consumption (m3)</t>
  </si>
  <si>
    <t>Total Monthly Consumption (m3)</t>
  </si>
  <si>
    <t xml:space="preserve">                                       </t>
  </si>
  <si>
    <t>TOTAL Consumption</t>
  </si>
  <si>
    <t>Date</t>
  </si>
  <si>
    <t>Occupied</t>
  </si>
  <si>
    <t># Guest</t>
  </si>
  <si>
    <t>TOTAL MTD</t>
  </si>
  <si>
    <t>DAILY ELECTRICITY METER READINGS &amp; CONSUMPTION JUNE 2019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</si>
  <si>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JUNE  2019</t>
    </r>
  </si>
  <si>
    <t>DAILY GAS METER READINGS &amp; CONSUMPTION (Liters) JUNE 2019</t>
  </si>
  <si>
    <t>Occupied Room &amp; Number of Guest
June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</si>
</sst>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  <numFmt numFmtId="168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10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6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9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1" fillId="11" borderId="0" xfId="1" applyNumberFormat="1" applyFont="1" applyFill="1"/>
    <xf numFmtId="4" fontId="21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7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0" fillId="6" borderId="0" xfId="0" applyFill="1"/>
    <xf numFmtId="3" fontId="14" fillId="11" borderId="0" xfId="0" applyNumberFormat="1" applyFont="1" applyFill="1" applyAlignment="1">
      <alignment horizontal="center" vertical="center"/>
    </xf>
    <xf numFmtId="3" fontId="21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3" fontId="2" fillId="0" borderId="0" xfId="0" applyNumberFormat="1" applyFont="1"/>
    <xf numFmtId="3" fontId="0" fillId="0" borderId="0" xfId="0" applyNumberFormat="1"/>
    <xf numFmtId="168" fontId="26" fillId="0" borderId="21" xfId="1" applyNumberFormat="1" applyFont="1" applyFill="1" applyBorder="1"/>
    <xf numFmtId="166" fontId="15" fillId="0" borderId="2" xfId="0" applyNumberFormat="1" applyFont="1" applyBorder="1" applyAlignment="1">
      <alignment horizontal="center" vertical="center"/>
    </xf>
    <xf numFmtId="166" fontId="15" fillId="6" borderId="2" xfId="0" applyNumberFormat="1" applyFont="1" applyFill="1" applyBorder="1" applyAlignment="1">
      <alignment horizontal="center" vertical="center"/>
    </xf>
    <xf numFmtId="3" fontId="16" fillId="10" borderId="2" xfId="0" applyNumberFormat="1" applyFont="1" applyFill="1" applyBorder="1" applyAlignment="1">
      <alignment horizontal="center" vertical="center"/>
    </xf>
    <xf numFmtId="3" fontId="15" fillId="0" borderId="2" xfId="0" applyNumberFormat="1" applyFont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 wrapText="1"/>
    </xf>
    <xf numFmtId="165" fontId="16" fillId="10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4" fontId="21" fillId="11" borderId="0" xfId="1" applyNumberFormat="1" applyFont="1" applyFill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4" fontId="21" fillId="11" borderId="13" xfId="1" applyNumberFormat="1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4" fontId="23" fillId="11" borderId="13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6" borderId="12" xfId="0" quotePrefix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4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workbookViewId="0">
      <selection activeCell="H2" sqref="H2:H32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7" t="s">
        <v>9</v>
      </c>
      <c r="K1" s="5" t="s">
        <v>10</v>
      </c>
      <c r="L1" s="5" t="s">
        <v>11</v>
      </c>
    </row>
    <row r="2" spans="1:12" x14ac:dyDescent="0.25">
      <c r="A2" s="9" t="s">
        <v>12</v>
      </c>
      <c r="B2" s="10">
        <v>1</v>
      </c>
      <c r="C2" s="10">
        <v>6</v>
      </c>
      <c r="D2" s="10">
        <v>2019</v>
      </c>
      <c r="E2" s="4" cm="1">
        <f t="array" ref="E2:E32">TRANSPOSE(Electricity!E21:AI21)</f>
        <v>38338</v>
      </c>
      <c r="F2" s="11">
        <v>0.2</v>
      </c>
      <c r="G2" s="4">
        <f>LPG!C4</f>
        <v>1672.8493333333333</v>
      </c>
      <c r="H2" s="11">
        <v>1.240009261643009</v>
      </c>
      <c r="I2" s="4" cm="1">
        <f t="array" ref="I2:I32">TRANSPOSE(Water!E15:AI15)</f>
        <v>348.54000000000531</v>
      </c>
      <c r="J2" s="11">
        <v>7.84</v>
      </c>
      <c r="K2" s="4">
        <f>'Occupied &amp; No. of Guest'!B3</f>
        <v>167</v>
      </c>
      <c r="L2" s="4">
        <f>'Occupied &amp; No. of Guest'!C3</f>
        <v>222</v>
      </c>
    </row>
    <row r="3" spans="1:12" x14ac:dyDescent="0.25">
      <c r="A3" s="9" t="s">
        <v>12</v>
      </c>
      <c r="B3" s="10">
        <f>B2+1</f>
        <v>2</v>
      </c>
      <c r="C3" s="10">
        <v>6</v>
      </c>
      <c r="D3" s="10">
        <v>2019</v>
      </c>
      <c r="E3" s="4">
        <v>37725</v>
      </c>
      <c r="F3" s="11">
        <v>0.2</v>
      </c>
      <c r="G3" s="4">
        <f>LPG!C5</f>
        <v>1672.8493333333333</v>
      </c>
      <c r="H3" s="11">
        <v>1.240009261643009</v>
      </c>
      <c r="I3" s="4">
        <v>364.68599999999572</v>
      </c>
      <c r="J3" s="11">
        <v>7.84</v>
      </c>
      <c r="K3" s="4">
        <f>'Occupied &amp; No. of Guest'!B4</f>
        <v>162</v>
      </c>
      <c r="L3" s="4">
        <f>'Occupied &amp; No. of Guest'!C4</f>
        <v>220</v>
      </c>
    </row>
    <row r="4" spans="1:12" x14ac:dyDescent="0.25">
      <c r="A4" s="9" t="s">
        <v>12</v>
      </c>
      <c r="B4" s="10">
        <f t="shared" ref="B4:B32" si="0">B3+1</f>
        <v>3</v>
      </c>
      <c r="C4" s="10">
        <v>6</v>
      </c>
      <c r="D4" s="10">
        <v>2019</v>
      </c>
      <c r="E4" s="4">
        <v>38280</v>
      </c>
      <c r="F4" s="11">
        <v>0.2</v>
      </c>
      <c r="G4" s="4">
        <f>LPG!C6</f>
        <v>1672.8493333333333</v>
      </c>
      <c r="H4" s="11">
        <v>1.240009261643009</v>
      </c>
      <c r="I4" s="4">
        <v>392.73200000000696</v>
      </c>
      <c r="J4" s="11">
        <v>7.84</v>
      </c>
      <c r="K4" s="4">
        <f>'Occupied &amp; No. of Guest'!B5</f>
        <v>261</v>
      </c>
      <c r="L4" s="4">
        <f>'Occupied &amp; No. of Guest'!C5</f>
        <v>494</v>
      </c>
    </row>
    <row r="5" spans="1:12" x14ac:dyDescent="0.25">
      <c r="A5" s="9" t="s">
        <v>12</v>
      </c>
      <c r="B5" s="10">
        <f t="shared" si="0"/>
        <v>4</v>
      </c>
      <c r="C5" s="10">
        <v>6</v>
      </c>
      <c r="D5" s="10">
        <v>2019</v>
      </c>
      <c r="E5" s="4">
        <v>39587</v>
      </c>
      <c r="F5" s="11">
        <v>0.2</v>
      </c>
      <c r="G5" s="4">
        <f>LPG!C7</f>
        <v>1672.8493333333333</v>
      </c>
      <c r="H5" s="11">
        <v>1.240009261643009</v>
      </c>
      <c r="I5" s="4">
        <v>359.99299999998567</v>
      </c>
      <c r="J5" s="11">
        <v>7.84</v>
      </c>
      <c r="K5" s="4">
        <f>'Occupied &amp; No. of Guest'!B6</f>
        <v>335</v>
      </c>
      <c r="L5" s="4">
        <f>'Occupied &amp; No. of Guest'!C6</f>
        <v>768</v>
      </c>
    </row>
    <row r="6" spans="1:12" x14ac:dyDescent="0.25">
      <c r="A6" s="9" t="s">
        <v>12</v>
      </c>
      <c r="B6" s="10">
        <f t="shared" si="0"/>
        <v>5</v>
      </c>
      <c r="C6" s="10">
        <v>6</v>
      </c>
      <c r="D6" s="10">
        <v>2019</v>
      </c>
      <c r="E6" s="4">
        <v>38970</v>
      </c>
      <c r="F6" s="11">
        <v>0.2</v>
      </c>
      <c r="G6" s="4">
        <f>LPG!C8</f>
        <v>1672.8493333333333</v>
      </c>
      <c r="H6" s="11">
        <v>1.240009261643009</v>
      </c>
      <c r="I6" s="4">
        <v>506.70800000000128</v>
      </c>
      <c r="J6" s="11">
        <v>7.84</v>
      </c>
      <c r="K6" s="4">
        <f>'Occupied &amp; No. of Guest'!B7</f>
        <v>486</v>
      </c>
      <c r="L6" s="4">
        <f>'Occupied &amp; No. of Guest'!C7</f>
        <v>1257</v>
      </c>
    </row>
    <row r="7" spans="1:12" x14ac:dyDescent="0.25">
      <c r="A7" s="9" t="s">
        <v>12</v>
      </c>
      <c r="B7" s="10">
        <f t="shared" si="0"/>
        <v>6</v>
      </c>
      <c r="C7" s="10">
        <v>6</v>
      </c>
      <c r="D7" s="10">
        <v>2019</v>
      </c>
      <c r="E7" s="4">
        <v>41195</v>
      </c>
      <c r="F7" s="11">
        <v>0.2</v>
      </c>
      <c r="G7" s="4">
        <f>LPG!C9</f>
        <v>1672.8493333333333</v>
      </c>
      <c r="H7" s="11">
        <v>1.240009261643009</v>
      </c>
      <c r="I7" s="4">
        <v>540.9230000000083</v>
      </c>
      <c r="J7" s="11">
        <v>7.84</v>
      </c>
      <c r="K7" s="4">
        <f>'Occupied &amp; No. of Guest'!B8</f>
        <v>485</v>
      </c>
      <c r="L7" s="4">
        <f>'Occupied &amp; No. of Guest'!C8</f>
        <v>1220</v>
      </c>
    </row>
    <row r="8" spans="1:12" x14ac:dyDescent="0.25">
      <c r="A8" s="9" t="s">
        <v>12</v>
      </c>
      <c r="B8" s="10">
        <f t="shared" si="0"/>
        <v>7</v>
      </c>
      <c r="C8" s="10">
        <v>6</v>
      </c>
      <c r="D8" s="10">
        <v>2019</v>
      </c>
      <c r="E8" s="4">
        <v>42583</v>
      </c>
      <c r="F8" s="11">
        <v>0.2</v>
      </c>
      <c r="G8" s="4">
        <f>LPG!C10</f>
        <v>1672.8493333333333</v>
      </c>
      <c r="H8" s="11">
        <v>1.240009261643009</v>
      </c>
      <c r="I8" s="4">
        <v>432.60100000000267</v>
      </c>
      <c r="J8" s="11">
        <v>7.84</v>
      </c>
      <c r="K8" s="4">
        <f>'Occupied &amp; No. of Guest'!B9</f>
        <v>287</v>
      </c>
      <c r="L8" s="4">
        <f>'Occupied &amp; No. of Guest'!C9</f>
        <v>565</v>
      </c>
    </row>
    <row r="9" spans="1:12" x14ac:dyDescent="0.25">
      <c r="A9" s="9" t="s">
        <v>12</v>
      </c>
      <c r="B9" s="10">
        <f t="shared" si="0"/>
        <v>8</v>
      </c>
      <c r="C9" s="10">
        <v>6</v>
      </c>
      <c r="D9" s="10">
        <v>2019</v>
      </c>
      <c r="E9" s="4">
        <v>42007</v>
      </c>
      <c r="F9" s="11">
        <v>0.2</v>
      </c>
      <c r="G9" s="4">
        <f>LPG!C11</f>
        <v>1672.8493333333333</v>
      </c>
      <c r="H9" s="11">
        <v>1.240009261643009</v>
      </c>
      <c r="I9" s="4">
        <v>522.79499999999337</v>
      </c>
      <c r="J9" s="11">
        <v>7.84</v>
      </c>
      <c r="K9" s="4">
        <f>'Occupied &amp; No. of Guest'!B10</f>
        <v>195</v>
      </c>
      <c r="L9" s="4">
        <f>'Occupied &amp; No. of Guest'!C10</f>
        <v>252</v>
      </c>
    </row>
    <row r="10" spans="1:12" x14ac:dyDescent="0.25">
      <c r="A10" s="9" t="s">
        <v>12</v>
      </c>
      <c r="B10" s="10">
        <f t="shared" si="0"/>
        <v>9</v>
      </c>
      <c r="C10" s="10">
        <v>6</v>
      </c>
      <c r="D10" s="10">
        <v>2019</v>
      </c>
      <c r="E10" s="4">
        <v>42959</v>
      </c>
      <c r="F10" s="11">
        <v>0.2</v>
      </c>
      <c r="G10" s="4">
        <f>LPG!C12</f>
        <v>1672.8493333333333</v>
      </c>
      <c r="H10" s="11">
        <v>1.240009261643009</v>
      </c>
      <c r="I10" s="4">
        <v>448.68299999999863</v>
      </c>
      <c r="J10" s="11">
        <v>7.84</v>
      </c>
      <c r="K10" s="4">
        <f>'Occupied &amp; No. of Guest'!B11</f>
        <v>247</v>
      </c>
      <c r="L10" s="4">
        <f>'Occupied &amp; No. of Guest'!C11</f>
        <v>328</v>
      </c>
    </row>
    <row r="11" spans="1:12" x14ac:dyDescent="0.25">
      <c r="A11" s="9" t="s">
        <v>12</v>
      </c>
      <c r="B11" s="10">
        <f t="shared" si="0"/>
        <v>10</v>
      </c>
      <c r="C11" s="10">
        <v>6</v>
      </c>
      <c r="D11" s="10">
        <v>2019</v>
      </c>
      <c r="E11" s="4">
        <v>42768</v>
      </c>
      <c r="F11" s="11">
        <v>0.2</v>
      </c>
      <c r="G11" s="4">
        <f>LPG!C13</f>
        <v>1672.8493333333333</v>
      </c>
      <c r="H11" s="11">
        <v>1.240009261643009</v>
      </c>
      <c r="I11" s="4">
        <v>453.23700000000537</v>
      </c>
      <c r="J11" s="11">
        <v>7.84</v>
      </c>
      <c r="K11" s="4">
        <f>'Occupied &amp; No. of Guest'!B12</f>
        <v>247</v>
      </c>
      <c r="L11" s="4">
        <f>'Occupied &amp; No. of Guest'!C12</f>
        <v>315</v>
      </c>
    </row>
    <row r="12" spans="1:12" x14ac:dyDescent="0.25">
      <c r="A12" s="9" t="s">
        <v>12</v>
      </c>
      <c r="B12" s="10">
        <f t="shared" si="0"/>
        <v>11</v>
      </c>
      <c r="C12" s="10">
        <v>6</v>
      </c>
      <c r="D12" s="10">
        <v>2019</v>
      </c>
      <c r="E12" s="4">
        <v>42963</v>
      </c>
      <c r="F12" s="11">
        <v>0.2</v>
      </c>
      <c r="G12" s="4">
        <f>LPG!C14</f>
        <v>1672.8493333333333</v>
      </c>
      <c r="H12" s="11">
        <v>1.240009261643009</v>
      </c>
      <c r="I12" s="4">
        <v>480.86200000000036</v>
      </c>
      <c r="J12" s="11">
        <v>7.84</v>
      </c>
      <c r="K12" s="4">
        <f>'Occupied &amp; No. of Guest'!B13</f>
        <v>290</v>
      </c>
      <c r="L12" s="4">
        <f>'Occupied &amp; No. of Guest'!C13</f>
        <v>376</v>
      </c>
    </row>
    <row r="13" spans="1:12" x14ac:dyDescent="0.25">
      <c r="A13" s="9" t="s">
        <v>12</v>
      </c>
      <c r="B13" s="10">
        <f t="shared" si="0"/>
        <v>12</v>
      </c>
      <c r="C13" s="10">
        <v>6</v>
      </c>
      <c r="D13" s="10">
        <v>2019</v>
      </c>
      <c r="E13" s="4">
        <v>44336</v>
      </c>
      <c r="F13" s="11">
        <v>0.2</v>
      </c>
      <c r="G13" s="4">
        <f>LPG!C15</f>
        <v>1672.8493333333333</v>
      </c>
      <c r="H13" s="11">
        <v>1.240009261643009</v>
      </c>
      <c r="I13" s="4">
        <v>564.17799999999875</v>
      </c>
      <c r="J13" s="11">
        <v>7.84</v>
      </c>
      <c r="K13" s="4">
        <f>'Occupied &amp; No. of Guest'!B14</f>
        <v>290</v>
      </c>
      <c r="L13" s="4">
        <f>'Occupied &amp; No. of Guest'!C14</f>
        <v>386</v>
      </c>
    </row>
    <row r="14" spans="1:12" x14ac:dyDescent="0.25">
      <c r="A14" s="9" t="s">
        <v>12</v>
      </c>
      <c r="B14" s="10">
        <f t="shared" si="0"/>
        <v>13</v>
      </c>
      <c r="C14" s="10">
        <v>6</v>
      </c>
      <c r="D14" s="10">
        <v>2019</v>
      </c>
      <c r="E14" s="4">
        <v>44151</v>
      </c>
      <c r="F14" s="11">
        <v>0.2</v>
      </c>
      <c r="G14" s="4">
        <f>LPG!C16</f>
        <v>1672.8493333333333</v>
      </c>
      <c r="H14" s="11">
        <v>1.240009261643009</v>
      </c>
      <c r="I14" s="4">
        <v>452.55699999999865</v>
      </c>
      <c r="J14" s="11">
        <v>7.84</v>
      </c>
      <c r="K14" s="4">
        <f>'Occupied &amp; No. of Guest'!B15</f>
        <v>263</v>
      </c>
      <c r="L14" s="4">
        <f>'Occupied &amp; No. of Guest'!C15</f>
        <v>383</v>
      </c>
    </row>
    <row r="15" spans="1:12" x14ac:dyDescent="0.25">
      <c r="A15" s="9" t="s">
        <v>12</v>
      </c>
      <c r="B15" s="10">
        <f t="shared" si="0"/>
        <v>14</v>
      </c>
      <c r="C15" s="10">
        <v>6</v>
      </c>
      <c r="D15" s="10">
        <v>2019</v>
      </c>
      <c r="E15" s="4">
        <v>47363</v>
      </c>
      <c r="F15" s="11">
        <v>0.2</v>
      </c>
      <c r="G15" s="4">
        <f>LPG!C17</f>
        <v>1672.8493333333333</v>
      </c>
      <c r="H15" s="11">
        <v>1.240009261643009</v>
      </c>
      <c r="I15" s="4">
        <v>385.08600000000536</v>
      </c>
      <c r="J15" s="11">
        <v>7.84</v>
      </c>
      <c r="K15" s="4">
        <f>'Occupied &amp; No. of Guest'!B16</f>
        <v>265</v>
      </c>
      <c r="L15" s="4">
        <f>'Occupied &amp; No. of Guest'!C16</f>
        <v>412</v>
      </c>
    </row>
    <row r="16" spans="1:12" x14ac:dyDescent="0.25">
      <c r="A16" s="9" t="s">
        <v>12</v>
      </c>
      <c r="B16" s="10">
        <f t="shared" si="0"/>
        <v>15</v>
      </c>
      <c r="C16" s="10">
        <v>6</v>
      </c>
      <c r="D16" s="10">
        <v>2019</v>
      </c>
      <c r="E16" s="4">
        <v>44789</v>
      </c>
      <c r="F16" s="11">
        <v>0.2</v>
      </c>
      <c r="G16" s="4">
        <f>LPG!C18</f>
        <v>1672.8493333333333</v>
      </c>
      <c r="H16" s="11">
        <v>1.240009261643009</v>
      </c>
      <c r="I16" s="4">
        <v>502.76200000000097</v>
      </c>
      <c r="J16" s="11">
        <v>7.84</v>
      </c>
      <c r="K16" s="4">
        <f>'Occupied &amp; No. of Guest'!B17</f>
        <v>268</v>
      </c>
      <c r="L16" s="4">
        <f>'Occupied &amp; No. of Guest'!C17</f>
        <v>338</v>
      </c>
    </row>
    <row r="17" spans="1:12" x14ac:dyDescent="0.25">
      <c r="A17" s="9" t="s">
        <v>12</v>
      </c>
      <c r="B17" s="10">
        <f t="shared" si="0"/>
        <v>16</v>
      </c>
      <c r="C17" s="10">
        <v>6</v>
      </c>
      <c r="D17" s="10">
        <v>2019</v>
      </c>
      <c r="E17" s="4">
        <v>45574</v>
      </c>
      <c r="F17" s="11">
        <v>0.2</v>
      </c>
      <c r="G17" s="4">
        <f>LPG!C19</f>
        <v>1672.8493333333333</v>
      </c>
      <c r="H17" s="11">
        <v>1.240009261643009</v>
      </c>
      <c r="I17" s="4">
        <v>487.33899999998903</v>
      </c>
      <c r="J17" s="11">
        <v>7.84</v>
      </c>
      <c r="K17" s="4">
        <f>'Occupied &amp; No. of Guest'!B18</f>
        <v>317</v>
      </c>
      <c r="L17" s="4">
        <f>'Occupied &amp; No. of Guest'!C18</f>
        <v>398</v>
      </c>
    </row>
    <row r="18" spans="1:12" x14ac:dyDescent="0.25">
      <c r="A18" s="9" t="s">
        <v>12</v>
      </c>
      <c r="B18" s="10">
        <f t="shared" si="0"/>
        <v>17</v>
      </c>
      <c r="C18" s="10">
        <v>6</v>
      </c>
      <c r="D18" s="10">
        <v>2019</v>
      </c>
      <c r="E18" s="4">
        <v>45567</v>
      </c>
      <c r="F18" s="11">
        <v>0.2</v>
      </c>
      <c r="G18" s="4">
        <f>LPG!C20</f>
        <v>1672.8493333333333</v>
      </c>
      <c r="H18" s="11">
        <v>1.240009261643009</v>
      </c>
      <c r="I18" s="4">
        <v>466.28300000000883</v>
      </c>
      <c r="J18" s="11">
        <v>7.84</v>
      </c>
      <c r="K18" s="4">
        <f>'Occupied &amp; No. of Guest'!B19</f>
        <v>289</v>
      </c>
      <c r="L18" s="4">
        <f>'Occupied &amp; No. of Guest'!C19</f>
        <v>352</v>
      </c>
    </row>
    <row r="19" spans="1:12" x14ac:dyDescent="0.25">
      <c r="A19" s="9" t="s">
        <v>12</v>
      </c>
      <c r="B19" s="10">
        <f t="shared" si="0"/>
        <v>18</v>
      </c>
      <c r="C19" s="10">
        <v>6</v>
      </c>
      <c r="D19" s="10">
        <v>2019</v>
      </c>
      <c r="E19" s="4">
        <v>44548</v>
      </c>
      <c r="F19" s="11">
        <v>0.2</v>
      </c>
      <c r="G19" s="4">
        <f>LPG!C21</f>
        <v>1672.8493333333333</v>
      </c>
      <c r="H19" s="11">
        <v>1.240009261643009</v>
      </c>
      <c r="I19" s="4">
        <v>473.18499999999614</v>
      </c>
      <c r="J19" s="11">
        <v>7.84</v>
      </c>
      <c r="K19" s="4">
        <f>'Occupied &amp; No. of Guest'!B20</f>
        <v>301</v>
      </c>
      <c r="L19" s="4">
        <f>'Occupied &amp; No. of Guest'!C20</f>
        <v>367</v>
      </c>
    </row>
    <row r="20" spans="1:12" x14ac:dyDescent="0.25">
      <c r="A20" s="9" t="s">
        <v>12</v>
      </c>
      <c r="B20" s="10">
        <f t="shared" si="0"/>
        <v>19</v>
      </c>
      <c r="C20" s="10">
        <v>6</v>
      </c>
      <c r="D20" s="10">
        <v>2019</v>
      </c>
      <c r="E20" s="4">
        <v>44728</v>
      </c>
      <c r="F20" s="11">
        <v>0.2</v>
      </c>
      <c r="G20" s="4">
        <f>LPG!C22</f>
        <v>1672.8493333333333</v>
      </c>
      <c r="H20" s="11">
        <v>1.240009261643009</v>
      </c>
      <c r="I20" s="4">
        <v>488.39200000000386</v>
      </c>
      <c r="J20" s="11">
        <v>7.84</v>
      </c>
      <c r="K20" s="4">
        <f>'Occupied &amp; No. of Guest'!B21</f>
        <v>274</v>
      </c>
      <c r="L20" s="4">
        <f>'Occupied &amp; No. of Guest'!C21</f>
        <v>334</v>
      </c>
    </row>
    <row r="21" spans="1:12" x14ac:dyDescent="0.25">
      <c r="A21" s="9" t="s">
        <v>12</v>
      </c>
      <c r="B21" s="10">
        <f t="shared" si="0"/>
        <v>20</v>
      </c>
      <c r="C21" s="10">
        <v>6</v>
      </c>
      <c r="D21" s="10">
        <v>2019</v>
      </c>
      <c r="E21" s="4">
        <v>44738</v>
      </c>
      <c r="F21" s="11">
        <v>0.2</v>
      </c>
      <c r="G21" s="4">
        <f>LPG!C23</f>
        <v>1672.8493333333333</v>
      </c>
      <c r="H21" s="11">
        <v>1.240009261643009</v>
      </c>
      <c r="I21" s="4">
        <v>442.34399999999277</v>
      </c>
      <c r="J21" s="11">
        <v>7.84</v>
      </c>
      <c r="K21" s="4">
        <f>'Occupied &amp; No. of Guest'!B22</f>
        <v>210</v>
      </c>
      <c r="L21" s="4">
        <f>'Occupied &amp; No. of Guest'!C22</f>
        <v>302</v>
      </c>
    </row>
    <row r="22" spans="1:12" x14ac:dyDescent="0.25">
      <c r="A22" s="9" t="s">
        <v>12</v>
      </c>
      <c r="B22" s="10">
        <f t="shared" si="0"/>
        <v>21</v>
      </c>
      <c r="C22" s="10">
        <v>6</v>
      </c>
      <c r="D22" s="10">
        <v>2019</v>
      </c>
      <c r="E22" s="4">
        <v>45943</v>
      </c>
      <c r="F22" s="11">
        <v>0.2</v>
      </c>
      <c r="G22" s="4">
        <f>LPG!C24</f>
        <v>1672.8493333333333</v>
      </c>
      <c r="H22" s="11">
        <v>1.240009261643009</v>
      </c>
      <c r="I22" s="4">
        <v>354.65600000000984</v>
      </c>
      <c r="J22" s="11">
        <v>7.84</v>
      </c>
      <c r="K22" s="4">
        <f>'Occupied &amp; No. of Guest'!B23</f>
        <v>230</v>
      </c>
      <c r="L22" s="4">
        <f>'Occupied &amp; No. of Guest'!C23</f>
        <v>372</v>
      </c>
    </row>
    <row r="23" spans="1:12" x14ac:dyDescent="0.25">
      <c r="A23" s="9" t="s">
        <v>12</v>
      </c>
      <c r="B23" s="10">
        <f t="shared" si="0"/>
        <v>22</v>
      </c>
      <c r="C23" s="10">
        <v>6</v>
      </c>
      <c r="D23" s="10">
        <v>2019</v>
      </c>
      <c r="E23" s="4">
        <v>44138</v>
      </c>
      <c r="F23" s="11">
        <v>0.2</v>
      </c>
      <c r="G23" s="4">
        <f>LPG!C25</f>
        <v>1672.8493333333333</v>
      </c>
      <c r="H23" s="11">
        <v>1.240009261643009</v>
      </c>
      <c r="I23" s="4">
        <v>478.254999999993</v>
      </c>
      <c r="J23" s="11">
        <v>7.84</v>
      </c>
      <c r="K23" s="4">
        <f>'Occupied &amp; No. of Guest'!B24</f>
        <v>335</v>
      </c>
      <c r="L23" s="4">
        <f>'Occupied &amp; No. of Guest'!C24</f>
        <v>512</v>
      </c>
    </row>
    <row r="24" spans="1:12" x14ac:dyDescent="0.25">
      <c r="A24" s="9" t="s">
        <v>12</v>
      </c>
      <c r="B24" s="10">
        <f t="shared" si="0"/>
        <v>23</v>
      </c>
      <c r="C24" s="10">
        <v>6</v>
      </c>
      <c r="D24" s="10">
        <v>2019</v>
      </c>
      <c r="E24" s="4">
        <v>44547</v>
      </c>
      <c r="F24" s="11">
        <v>0.2</v>
      </c>
      <c r="G24" s="4">
        <f>LPG!C26</f>
        <v>1672.8493333333333</v>
      </c>
      <c r="H24" s="11">
        <v>1.240009261643009</v>
      </c>
      <c r="I24" s="4">
        <v>459.20500000000425</v>
      </c>
      <c r="J24" s="11">
        <v>7.84</v>
      </c>
      <c r="K24" s="4">
        <f>'Occupied &amp; No. of Guest'!B25</f>
        <v>302</v>
      </c>
      <c r="L24" s="4">
        <f>'Occupied &amp; No. of Guest'!C25</f>
        <v>409</v>
      </c>
    </row>
    <row r="25" spans="1:12" x14ac:dyDescent="0.25">
      <c r="A25" s="9" t="s">
        <v>12</v>
      </c>
      <c r="B25" s="10">
        <f t="shared" si="0"/>
        <v>24</v>
      </c>
      <c r="C25" s="10">
        <v>6</v>
      </c>
      <c r="D25" s="10">
        <v>2019</v>
      </c>
      <c r="E25" s="4">
        <v>44344</v>
      </c>
      <c r="F25" s="11">
        <v>0.2</v>
      </c>
      <c r="G25" s="4">
        <f>LPG!C27</f>
        <v>1672.8493333333333</v>
      </c>
      <c r="H25" s="11">
        <v>1.240009261643009</v>
      </c>
      <c r="I25" s="4">
        <v>496.64599999999319</v>
      </c>
      <c r="J25" s="11">
        <v>7.84</v>
      </c>
      <c r="K25" s="4">
        <f>'Occupied &amp; No. of Guest'!B26</f>
        <v>313</v>
      </c>
      <c r="L25" s="4">
        <f>'Occupied &amp; No. of Guest'!C26</f>
        <v>429</v>
      </c>
    </row>
    <row r="26" spans="1:12" x14ac:dyDescent="0.25">
      <c r="A26" s="9" t="s">
        <v>12</v>
      </c>
      <c r="B26" s="10">
        <f>B25+1</f>
        <v>25</v>
      </c>
      <c r="C26" s="10">
        <v>6</v>
      </c>
      <c r="D26" s="10">
        <v>2019</v>
      </c>
      <c r="E26" s="4">
        <v>44131</v>
      </c>
      <c r="F26" s="11">
        <v>0.2</v>
      </c>
      <c r="G26" s="4">
        <f>LPG!C28</f>
        <v>1672.8493333333333</v>
      </c>
      <c r="H26" s="11">
        <v>1.240009261643009</v>
      </c>
      <c r="I26" s="4">
        <v>469.27999999999923</v>
      </c>
      <c r="J26" s="11">
        <v>7.84</v>
      </c>
      <c r="K26" s="4">
        <f>'Occupied &amp; No. of Guest'!B27</f>
        <v>342</v>
      </c>
      <c r="L26" s="4">
        <f>'Occupied &amp; No. of Guest'!C27</f>
        <v>485</v>
      </c>
    </row>
    <row r="27" spans="1:12" x14ac:dyDescent="0.25">
      <c r="A27" s="9" t="s">
        <v>12</v>
      </c>
      <c r="B27" s="10">
        <f t="shared" si="0"/>
        <v>26</v>
      </c>
      <c r="C27" s="10">
        <v>6</v>
      </c>
      <c r="D27" s="10">
        <v>2019</v>
      </c>
      <c r="E27" s="4">
        <v>43731</v>
      </c>
      <c r="F27" s="11">
        <v>0.2</v>
      </c>
      <c r="G27" s="4">
        <f>LPG!C29</f>
        <v>1672.8493333333333</v>
      </c>
      <c r="H27" s="11">
        <v>1.240009261643009</v>
      </c>
      <c r="I27" s="4">
        <v>508.19800000000657</v>
      </c>
      <c r="J27" s="11">
        <v>7.84</v>
      </c>
      <c r="K27" s="4">
        <f>'Occupied &amp; No. of Guest'!B28</f>
        <v>239</v>
      </c>
      <c r="L27" s="4">
        <f>'Occupied &amp; No. of Guest'!C28</f>
        <v>302</v>
      </c>
    </row>
    <row r="28" spans="1:12" x14ac:dyDescent="0.25">
      <c r="A28" s="9" t="s">
        <v>12</v>
      </c>
      <c r="B28" s="10">
        <f t="shared" si="0"/>
        <v>27</v>
      </c>
      <c r="C28" s="10">
        <v>6</v>
      </c>
      <c r="D28" s="10">
        <v>2019</v>
      </c>
      <c r="E28" s="4">
        <v>45931</v>
      </c>
      <c r="F28" s="11">
        <v>0.2</v>
      </c>
      <c r="G28" s="4">
        <f>LPG!C30</f>
        <v>1672.8493333333333</v>
      </c>
      <c r="H28" s="11">
        <v>1.240009261643009</v>
      </c>
      <c r="I28" s="4">
        <v>476.65499999999213</v>
      </c>
      <c r="J28" s="11">
        <v>7.84</v>
      </c>
      <c r="K28" s="4">
        <f>'Occupied &amp; No. of Guest'!B29</f>
        <v>251</v>
      </c>
      <c r="L28" s="4">
        <f>'Occupied &amp; No. of Guest'!C29</f>
        <v>367</v>
      </c>
    </row>
    <row r="29" spans="1:12" x14ac:dyDescent="0.25">
      <c r="A29" s="9" t="s">
        <v>12</v>
      </c>
      <c r="B29" s="10">
        <f t="shared" si="0"/>
        <v>28</v>
      </c>
      <c r="C29" s="10">
        <v>6</v>
      </c>
      <c r="D29" s="10">
        <v>2019</v>
      </c>
      <c r="E29" s="4">
        <v>45540</v>
      </c>
      <c r="F29" s="11">
        <v>0.2</v>
      </c>
      <c r="G29" s="4">
        <f>LPG!C31</f>
        <v>1672.8493333333333</v>
      </c>
      <c r="H29" s="11">
        <v>1.240009261643009</v>
      </c>
      <c r="I29" s="4">
        <v>373.02300000001208</v>
      </c>
      <c r="J29" s="11">
        <v>7.84</v>
      </c>
      <c r="K29" s="4">
        <f>'Occupied &amp; No. of Guest'!B30</f>
        <v>250</v>
      </c>
      <c r="L29" s="4">
        <f>'Occupied &amp; No. of Guest'!C30</f>
        <v>389</v>
      </c>
    </row>
    <row r="30" spans="1:12" x14ac:dyDescent="0.25">
      <c r="A30" s="9" t="s">
        <v>12</v>
      </c>
      <c r="B30" s="10">
        <f t="shared" si="0"/>
        <v>29</v>
      </c>
      <c r="C30" s="10">
        <v>6</v>
      </c>
      <c r="D30" s="10">
        <v>2019</v>
      </c>
      <c r="E30" s="4">
        <v>43949</v>
      </c>
      <c r="F30" s="11">
        <v>0.2</v>
      </c>
      <c r="G30" s="4">
        <f>LPG!C32</f>
        <v>1672.8493333333333</v>
      </c>
      <c r="H30" s="11">
        <v>1.240009261643009</v>
      </c>
      <c r="I30" s="4">
        <v>481.82500000000022</v>
      </c>
      <c r="J30" s="11">
        <v>7.84</v>
      </c>
      <c r="K30" s="4">
        <f>'Occupied &amp; No. of Guest'!B31</f>
        <v>251</v>
      </c>
      <c r="L30" s="4">
        <f>'Occupied &amp; No. of Guest'!C31</f>
        <v>328</v>
      </c>
    </row>
    <row r="31" spans="1:12" x14ac:dyDescent="0.25">
      <c r="A31" s="9" t="s">
        <v>12</v>
      </c>
      <c r="B31" s="10">
        <f t="shared" si="0"/>
        <v>30</v>
      </c>
      <c r="C31" s="10">
        <v>6</v>
      </c>
      <c r="D31" s="10">
        <v>2019</v>
      </c>
      <c r="E31" s="4">
        <v>43144</v>
      </c>
      <c r="F31" s="11">
        <v>0.2</v>
      </c>
      <c r="G31" s="4">
        <f>LPG!C33</f>
        <v>1672.8493333333333</v>
      </c>
      <c r="H31" s="11">
        <v>1.240009261643009</v>
      </c>
      <c r="I31" s="4">
        <v>415.59699999999805</v>
      </c>
      <c r="J31" s="11">
        <v>7.84</v>
      </c>
      <c r="K31" s="4">
        <f>'Occupied &amp; No. of Guest'!B32</f>
        <v>291</v>
      </c>
      <c r="L31" s="4">
        <f>'Occupied &amp; No. of Guest'!C32</f>
        <v>374</v>
      </c>
    </row>
    <row r="32" spans="1:12" x14ac:dyDescent="0.25">
      <c r="A32" s="9" t="s">
        <v>12</v>
      </c>
      <c r="B32" s="10">
        <f t="shared" si="0"/>
        <v>31</v>
      </c>
      <c r="C32" s="10">
        <v>6</v>
      </c>
      <c r="D32" s="10">
        <v>2019</v>
      </c>
      <c r="E32" s="4">
        <v>0</v>
      </c>
      <c r="F32" s="11">
        <v>0.2</v>
      </c>
      <c r="G32" s="4">
        <f>LPG!C34</f>
        <v>0</v>
      </c>
      <c r="H32" s="11">
        <v>1.240009261643009</v>
      </c>
      <c r="I32" s="4">
        <v>0</v>
      </c>
      <c r="J32" s="11">
        <v>7.84</v>
      </c>
      <c r="K32" s="4">
        <f>'Occupied &amp; No. of Guest'!B33</f>
        <v>0</v>
      </c>
      <c r="L32" s="4">
        <f>'Occupied &amp; No. of Guest'!C33</f>
        <v>0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zoomScale="115" zoomScaleNormal="115" zoomScaleSheetLayoutView="85" workbookViewId="0">
      <pane xSplit="4" ySplit="4" topLeftCell="E16" activePane="bottomRight" state="frozen"/>
      <selection pane="topRight" activeCell="E1" sqref="E1"/>
      <selection pane="bottomLeft" activeCell="A5" sqref="A5"/>
      <selection pane="bottomRight" activeCell="E22" sqref="E22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72" t="s">
        <v>83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</row>
    <row r="3" spans="1:67" s="14" customFormat="1" ht="29.25" customHeight="1" thickBot="1" x14ac:dyDescent="0.3"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</row>
    <row r="4" spans="1:67" ht="39" thickBot="1" x14ac:dyDescent="0.25">
      <c r="A4" s="15" t="s">
        <v>13</v>
      </c>
      <c r="B4" s="16" t="s">
        <v>14</v>
      </c>
      <c r="C4" s="17" t="s">
        <v>15</v>
      </c>
      <c r="D4" s="18" t="s">
        <v>16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/>
    </row>
    <row r="5" spans="1:67" ht="26.25" customHeight="1" x14ac:dyDescent="0.2">
      <c r="A5" s="74">
        <v>1</v>
      </c>
      <c r="B5" s="20" t="s">
        <v>17</v>
      </c>
      <c r="C5" s="76" t="s">
        <v>18</v>
      </c>
      <c r="D5" s="21">
        <v>66424</v>
      </c>
      <c r="E5" s="21">
        <v>66424</v>
      </c>
      <c r="F5" s="21">
        <v>66424</v>
      </c>
      <c r="G5" s="21">
        <v>66424</v>
      </c>
      <c r="H5" s="21">
        <v>66424</v>
      </c>
      <c r="I5" s="21">
        <v>66424</v>
      </c>
      <c r="J5" s="21">
        <v>66424</v>
      </c>
      <c r="K5" s="21">
        <v>66424</v>
      </c>
      <c r="L5" s="21">
        <v>66424</v>
      </c>
      <c r="M5" s="21">
        <v>66424</v>
      </c>
      <c r="N5" s="21">
        <v>66424</v>
      </c>
      <c r="O5" s="21">
        <v>66424</v>
      </c>
      <c r="P5" s="21">
        <v>66424</v>
      </c>
      <c r="Q5" s="21">
        <v>66424</v>
      </c>
      <c r="R5" s="21">
        <v>66424</v>
      </c>
      <c r="S5" s="21">
        <v>66424</v>
      </c>
      <c r="T5" s="21">
        <v>66424</v>
      </c>
      <c r="U5" s="21">
        <v>66424</v>
      </c>
      <c r="V5" s="21">
        <v>66424</v>
      </c>
      <c r="W5" s="21">
        <v>66424</v>
      </c>
      <c r="X5" s="21">
        <v>66424</v>
      </c>
      <c r="Y5" s="21">
        <v>66424</v>
      </c>
      <c r="Z5" s="21">
        <v>66424</v>
      </c>
      <c r="AA5" s="21">
        <v>66424</v>
      </c>
      <c r="AB5" s="21">
        <v>66424</v>
      </c>
      <c r="AC5" s="21">
        <v>66424</v>
      </c>
      <c r="AD5" s="21">
        <v>66424</v>
      </c>
      <c r="AE5" s="21">
        <v>66424</v>
      </c>
      <c r="AF5" s="21">
        <v>66424</v>
      </c>
      <c r="AG5" s="21">
        <v>66424</v>
      </c>
      <c r="AH5" s="21">
        <v>66424</v>
      </c>
    </row>
    <row r="6" spans="1:67" s="24" customFormat="1" ht="21.75" customHeight="1" x14ac:dyDescent="0.2">
      <c r="A6" s="75"/>
      <c r="B6" s="22"/>
      <c r="C6" s="77"/>
      <c r="D6" s="23"/>
      <c r="E6" s="23">
        <f>(E5-D5)*1000</f>
        <v>0</v>
      </c>
      <c r="F6" s="23">
        <f t="shared" ref="F6:AH6" si="0">(F5-E5)*1000</f>
        <v>0</v>
      </c>
      <c r="G6" s="23">
        <f t="shared" si="0"/>
        <v>0</v>
      </c>
      <c r="H6" s="23">
        <f t="shared" si="0"/>
        <v>0</v>
      </c>
      <c r="I6" s="23">
        <f t="shared" si="0"/>
        <v>0</v>
      </c>
      <c r="J6" s="23">
        <f t="shared" si="0"/>
        <v>0</v>
      </c>
      <c r="K6" s="23">
        <f t="shared" si="0"/>
        <v>0</v>
      </c>
      <c r="L6" s="23">
        <f t="shared" si="0"/>
        <v>0</v>
      </c>
      <c r="M6" s="23">
        <f t="shared" si="0"/>
        <v>0</v>
      </c>
      <c r="N6" s="23">
        <f t="shared" si="0"/>
        <v>0</v>
      </c>
      <c r="O6" s="23">
        <f t="shared" si="0"/>
        <v>0</v>
      </c>
      <c r="P6" s="23">
        <f t="shared" si="0"/>
        <v>0</v>
      </c>
      <c r="Q6" s="23">
        <f t="shared" si="0"/>
        <v>0</v>
      </c>
      <c r="R6" s="23">
        <f t="shared" si="0"/>
        <v>0</v>
      </c>
      <c r="S6" s="23">
        <f t="shared" si="0"/>
        <v>0</v>
      </c>
      <c r="T6" s="23">
        <f t="shared" si="0"/>
        <v>0</v>
      </c>
      <c r="U6" s="23">
        <f t="shared" si="0"/>
        <v>0</v>
      </c>
      <c r="V6" s="23">
        <f t="shared" si="0"/>
        <v>0</v>
      </c>
      <c r="W6" s="23">
        <f t="shared" si="0"/>
        <v>0</v>
      </c>
      <c r="X6" s="23">
        <f t="shared" si="0"/>
        <v>0</v>
      </c>
      <c r="Y6" s="23">
        <f t="shared" si="0"/>
        <v>0</v>
      </c>
      <c r="Z6" s="23">
        <f t="shared" si="0"/>
        <v>0</v>
      </c>
      <c r="AA6" s="23">
        <f t="shared" si="0"/>
        <v>0</v>
      </c>
      <c r="AB6" s="23">
        <f t="shared" si="0"/>
        <v>0</v>
      </c>
      <c r="AC6" s="23">
        <f t="shared" si="0"/>
        <v>0</v>
      </c>
      <c r="AD6" s="23">
        <f t="shared" si="0"/>
        <v>0</v>
      </c>
      <c r="AE6" s="23">
        <f t="shared" si="0"/>
        <v>0</v>
      </c>
      <c r="AF6" s="23">
        <f t="shared" si="0"/>
        <v>0</v>
      </c>
      <c r="AG6" s="23">
        <f t="shared" si="0"/>
        <v>0</v>
      </c>
      <c r="AH6" s="23">
        <f t="shared" si="0"/>
        <v>0</v>
      </c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78">
        <v>2</v>
      </c>
      <c r="B7" s="25" t="s">
        <v>19</v>
      </c>
      <c r="C7" s="80" t="s">
        <v>20</v>
      </c>
      <c r="D7" s="21">
        <v>27160</v>
      </c>
      <c r="E7" s="21">
        <v>27182</v>
      </c>
      <c r="F7" s="21">
        <v>27203</v>
      </c>
      <c r="G7" s="21">
        <v>27225</v>
      </c>
      <c r="H7" s="21">
        <v>27247</v>
      </c>
      <c r="I7" s="21">
        <v>27270</v>
      </c>
      <c r="J7" s="21">
        <v>27294</v>
      </c>
      <c r="K7" s="21">
        <v>27319</v>
      </c>
      <c r="L7" s="21">
        <v>27343</v>
      </c>
      <c r="M7" s="21">
        <v>27366</v>
      </c>
      <c r="N7" s="21">
        <v>27388</v>
      </c>
      <c r="O7" s="21">
        <v>27411</v>
      </c>
      <c r="P7" s="21">
        <v>27435</v>
      </c>
      <c r="Q7" s="21">
        <v>27458</v>
      </c>
      <c r="R7" s="21">
        <v>27483</v>
      </c>
      <c r="S7" s="21">
        <v>27507</v>
      </c>
      <c r="T7" s="21">
        <v>27531</v>
      </c>
      <c r="U7" s="21">
        <v>27555</v>
      </c>
      <c r="V7" s="21">
        <v>27578</v>
      </c>
      <c r="W7" s="21">
        <v>27602</v>
      </c>
      <c r="X7" s="21">
        <v>27626</v>
      </c>
      <c r="Y7" s="21">
        <v>27650</v>
      </c>
      <c r="Z7" s="21">
        <v>27673</v>
      </c>
      <c r="AA7" s="21">
        <v>27696</v>
      </c>
      <c r="AB7" s="21">
        <v>27720</v>
      </c>
      <c r="AC7" s="21">
        <v>27743</v>
      </c>
      <c r="AD7" s="21">
        <v>27766</v>
      </c>
      <c r="AE7" s="21">
        <v>27790</v>
      </c>
      <c r="AF7" s="21">
        <v>27814</v>
      </c>
      <c r="AG7" s="21">
        <v>27838</v>
      </c>
      <c r="AH7" s="21">
        <v>27862</v>
      </c>
    </row>
    <row r="8" spans="1:67" s="24" customFormat="1" ht="21.75" customHeight="1" x14ac:dyDescent="0.2">
      <c r="A8" s="79"/>
      <c r="B8" s="22"/>
      <c r="C8" s="77"/>
      <c r="D8" s="23"/>
      <c r="E8" s="23">
        <f>(E7-D7)*1000</f>
        <v>22000</v>
      </c>
      <c r="F8" s="23">
        <f t="shared" ref="F8" si="1">(F7-E7)*1000</f>
        <v>21000</v>
      </c>
      <c r="G8" s="23">
        <f t="shared" ref="G8" si="2">(G7-F7)*1000</f>
        <v>22000</v>
      </c>
      <c r="H8" s="23">
        <f t="shared" ref="H8" si="3">(H7-G7)*1000</f>
        <v>22000</v>
      </c>
      <c r="I8" s="23">
        <f t="shared" ref="I8" si="4">(I7-H7)*1000</f>
        <v>23000</v>
      </c>
      <c r="J8" s="23">
        <f t="shared" ref="J8" si="5">(J7-I7)*1000</f>
        <v>24000</v>
      </c>
      <c r="K8" s="23">
        <f t="shared" ref="K8" si="6">(K7-J7)*1000</f>
        <v>25000</v>
      </c>
      <c r="L8" s="23">
        <f t="shared" ref="L8" si="7">(L7-K7)*1000</f>
        <v>24000</v>
      </c>
      <c r="M8" s="23">
        <f t="shared" ref="M8" si="8">(M7-L7)*1000</f>
        <v>23000</v>
      </c>
      <c r="N8" s="23">
        <f t="shared" ref="N8" si="9">(N7-M7)*1000</f>
        <v>22000</v>
      </c>
      <c r="O8" s="23">
        <f t="shared" ref="O8" si="10">(O7-N7)*1000</f>
        <v>23000</v>
      </c>
      <c r="P8" s="23">
        <f t="shared" ref="P8" si="11">(P7-O7)*1000</f>
        <v>24000</v>
      </c>
      <c r="Q8" s="23">
        <f t="shared" ref="Q8" si="12">(Q7-P7)*1000</f>
        <v>23000</v>
      </c>
      <c r="R8" s="23">
        <f t="shared" ref="R8" si="13">(R7-Q7)*1000</f>
        <v>25000</v>
      </c>
      <c r="S8" s="23">
        <f t="shared" ref="S8" si="14">(S7-R7)*1000</f>
        <v>24000</v>
      </c>
      <c r="T8" s="23">
        <f t="shared" ref="T8" si="15">(T7-S7)*1000</f>
        <v>24000</v>
      </c>
      <c r="U8" s="23">
        <f t="shared" ref="U8" si="16">(U7-T7)*1000</f>
        <v>24000</v>
      </c>
      <c r="V8" s="23">
        <f t="shared" ref="V8" si="17">(V7-U7)*1000</f>
        <v>23000</v>
      </c>
      <c r="W8" s="23">
        <f t="shared" ref="W8" si="18">(W7-V7)*1000</f>
        <v>24000</v>
      </c>
      <c r="X8" s="23">
        <f t="shared" ref="X8" si="19">(X7-W7)*1000</f>
        <v>24000</v>
      </c>
      <c r="Y8" s="23">
        <f t="shared" ref="Y8" si="20">(Y7-X7)*1000</f>
        <v>24000</v>
      </c>
      <c r="Z8" s="23">
        <f t="shared" ref="Z8" si="21">(Z7-Y7)*1000</f>
        <v>23000</v>
      </c>
      <c r="AA8" s="23">
        <f t="shared" ref="AA8" si="22">(AA7-Z7)*1000</f>
        <v>23000</v>
      </c>
      <c r="AB8" s="23">
        <f t="shared" ref="AB8" si="23">(AB7-AA7)*1000</f>
        <v>24000</v>
      </c>
      <c r="AC8" s="23">
        <f t="shared" ref="AC8" si="24">(AC7-AB7)*1000</f>
        <v>23000</v>
      </c>
      <c r="AD8" s="23">
        <f t="shared" ref="AD8" si="25">(AD7-AC7)*1000</f>
        <v>23000</v>
      </c>
      <c r="AE8" s="23">
        <f t="shared" ref="AE8" si="26">(AE7-AD7)*1000</f>
        <v>24000</v>
      </c>
      <c r="AF8" s="23">
        <f t="shared" ref="AF8" si="27">(AF7-AE7)*1000</f>
        <v>24000</v>
      </c>
      <c r="AG8" s="23">
        <f t="shared" ref="AG8" si="28">(AG7-AF7)*1000</f>
        <v>24000</v>
      </c>
      <c r="AH8" s="23">
        <f t="shared" ref="AH8" si="29">(AH7-AG7)*1000</f>
        <v>24000</v>
      </c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85">
        <v>3</v>
      </c>
      <c r="B9" s="36" t="s">
        <v>21</v>
      </c>
      <c r="C9" s="87" t="s">
        <v>22</v>
      </c>
      <c r="D9" s="21">
        <v>80109</v>
      </c>
      <c r="E9" s="21">
        <v>80146</v>
      </c>
      <c r="F9" s="21">
        <v>80183</v>
      </c>
      <c r="G9" s="21">
        <v>80220</v>
      </c>
      <c r="H9" s="21">
        <v>80259</v>
      </c>
      <c r="I9" s="21">
        <v>80294</v>
      </c>
      <c r="J9" s="21">
        <v>80328</v>
      </c>
      <c r="K9" s="21">
        <v>80368</v>
      </c>
      <c r="L9" s="21">
        <v>80409</v>
      </c>
      <c r="M9" s="21">
        <v>80454</v>
      </c>
      <c r="N9" s="21">
        <v>80501</v>
      </c>
      <c r="O9" s="21">
        <v>80545</v>
      </c>
      <c r="P9" s="21">
        <v>80591</v>
      </c>
      <c r="Q9" s="21">
        <v>80638</v>
      </c>
      <c r="R9" s="21">
        <v>80688</v>
      </c>
      <c r="S9" s="21">
        <v>80735</v>
      </c>
      <c r="T9" s="21">
        <v>80784</v>
      </c>
      <c r="U9" s="21">
        <v>80832</v>
      </c>
      <c r="V9" s="21">
        <v>80880</v>
      </c>
      <c r="W9" s="21">
        <v>80926</v>
      </c>
      <c r="X9" s="21">
        <v>80972</v>
      </c>
      <c r="Y9" s="21">
        <v>81021</v>
      </c>
      <c r="Z9" s="21">
        <v>81066</v>
      </c>
      <c r="AA9" s="21">
        <v>81112</v>
      </c>
      <c r="AB9" s="21">
        <v>81157</v>
      </c>
      <c r="AC9" s="21">
        <v>81203</v>
      </c>
      <c r="AD9" s="21">
        <v>81246</v>
      </c>
      <c r="AE9" s="21">
        <v>81293</v>
      </c>
      <c r="AF9" s="21">
        <v>81331</v>
      </c>
      <c r="AG9" s="21">
        <v>81358</v>
      </c>
      <c r="AH9" s="21">
        <v>81384</v>
      </c>
    </row>
    <row r="10" spans="1:67" s="24" customFormat="1" ht="21.75" customHeight="1" x14ac:dyDescent="0.2">
      <c r="A10" s="86"/>
      <c r="B10" s="37"/>
      <c r="C10" s="84"/>
      <c r="D10" s="23"/>
      <c r="E10" s="23">
        <f>(E9-D9)*1000</f>
        <v>37000</v>
      </c>
      <c r="F10" s="23">
        <f t="shared" ref="F10" si="30">(F9-E9)*1000</f>
        <v>37000</v>
      </c>
      <c r="G10" s="23">
        <f t="shared" ref="G10" si="31">(G9-F9)*1000</f>
        <v>37000</v>
      </c>
      <c r="H10" s="23">
        <f t="shared" ref="H10" si="32">(H9-G9)*1000</f>
        <v>39000</v>
      </c>
      <c r="I10" s="23">
        <f t="shared" ref="I10" si="33">(I9-H9)*1000</f>
        <v>35000</v>
      </c>
      <c r="J10" s="23">
        <f t="shared" ref="J10" si="34">(J9-I9)*1000</f>
        <v>34000</v>
      </c>
      <c r="K10" s="23">
        <f t="shared" ref="K10" si="35">(K9-J9)*1000</f>
        <v>40000</v>
      </c>
      <c r="L10" s="23">
        <f t="shared" ref="L10" si="36">(L9-K9)*1000</f>
        <v>41000</v>
      </c>
      <c r="M10" s="23">
        <f t="shared" ref="M10" si="37">(M9-L9)*1000</f>
        <v>45000</v>
      </c>
      <c r="N10" s="23">
        <f t="shared" ref="N10" si="38">(N9-M9)*1000</f>
        <v>47000</v>
      </c>
      <c r="O10" s="23">
        <f t="shared" ref="O10" si="39">(O9-N9)*1000</f>
        <v>44000</v>
      </c>
      <c r="P10" s="23">
        <f t="shared" ref="P10" si="40">(P9-O9)*1000</f>
        <v>46000</v>
      </c>
      <c r="Q10" s="23">
        <f t="shared" ref="Q10" si="41">(Q9-P9)*1000</f>
        <v>47000</v>
      </c>
      <c r="R10" s="23">
        <f t="shared" ref="R10" si="42">(R9-Q9)*1000</f>
        <v>50000</v>
      </c>
      <c r="S10" s="23">
        <f t="shared" ref="S10" si="43">(S9-R9)*1000</f>
        <v>47000</v>
      </c>
      <c r="T10" s="23">
        <f t="shared" ref="T10" si="44">(T9-S9)*1000</f>
        <v>49000</v>
      </c>
      <c r="U10" s="23">
        <f t="shared" ref="U10" si="45">(U9-T9)*1000</f>
        <v>48000</v>
      </c>
      <c r="V10" s="23">
        <f t="shared" ref="V10" si="46">(V9-U9)*1000</f>
        <v>48000</v>
      </c>
      <c r="W10" s="23">
        <f t="shared" ref="W10" si="47">(W9-V9)*1000</f>
        <v>46000</v>
      </c>
      <c r="X10" s="23">
        <f t="shared" ref="X10" si="48">(X9-W9)*1000</f>
        <v>46000</v>
      </c>
      <c r="Y10" s="23">
        <f t="shared" ref="Y10" si="49">(Y9-X9)*1000</f>
        <v>49000</v>
      </c>
      <c r="Z10" s="23">
        <f t="shared" ref="Z10" si="50">(Z9-Y9)*1000</f>
        <v>45000</v>
      </c>
      <c r="AA10" s="23">
        <f t="shared" ref="AA10" si="51">(AA9-Z9)*1000</f>
        <v>46000</v>
      </c>
      <c r="AB10" s="23">
        <f t="shared" ref="AB10" si="52">(AB9-AA9)*1000</f>
        <v>45000</v>
      </c>
      <c r="AC10" s="23">
        <f t="shared" ref="AC10" si="53">(AC9-AB9)*1000</f>
        <v>46000</v>
      </c>
      <c r="AD10" s="23">
        <f t="shared" ref="AD10" si="54">(AD9-AC9)*1000</f>
        <v>43000</v>
      </c>
      <c r="AE10" s="23">
        <f t="shared" ref="AE10" si="55">(AE9-AD9)*1000</f>
        <v>47000</v>
      </c>
      <c r="AF10" s="23">
        <f t="shared" ref="AF10" si="56">(AF9-AE9)*1000</f>
        <v>38000</v>
      </c>
      <c r="AG10" s="23">
        <f t="shared" ref="AG10" si="57">(AG9-AF9)*1000</f>
        <v>27000</v>
      </c>
      <c r="AH10" s="23">
        <f t="shared" ref="AH10" si="58">(AH9-AG9)*1000</f>
        <v>26000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81">
        <v>4</v>
      </c>
      <c r="B11" s="36" t="s">
        <v>23</v>
      </c>
      <c r="C11" s="87" t="s">
        <v>24</v>
      </c>
      <c r="D11" s="21">
        <v>66260</v>
      </c>
      <c r="E11" s="21">
        <v>66263</v>
      </c>
      <c r="F11" s="21">
        <v>66267</v>
      </c>
      <c r="G11" s="21">
        <v>66270</v>
      </c>
      <c r="H11" s="21">
        <v>66274</v>
      </c>
      <c r="I11" s="21">
        <v>66278</v>
      </c>
      <c r="J11" s="21">
        <v>66286</v>
      </c>
      <c r="K11" s="21">
        <v>66289</v>
      </c>
      <c r="L11" s="21">
        <v>66292</v>
      </c>
      <c r="M11" s="21">
        <v>66296</v>
      </c>
      <c r="N11" s="21">
        <v>66300</v>
      </c>
      <c r="O11" s="21">
        <v>66305</v>
      </c>
      <c r="P11" s="21">
        <v>66309</v>
      </c>
      <c r="Q11" s="21">
        <v>66314</v>
      </c>
      <c r="R11" s="21">
        <v>66319</v>
      </c>
      <c r="S11" s="21">
        <v>66323</v>
      </c>
      <c r="T11" s="21">
        <v>66327</v>
      </c>
      <c r="U11" s="21">
        <v>66332</v>
      </c>
      <c r="V11" s="21">
        <v>66337</v>
      </c>
      <c r="W11" s="21">
        <v>66342</v>
      </c>
      <c r="X11" s="21">
        <v>66347</v>
      </c>
      <c r="Y11" s="21">
        <v>66352</v>
      </c>
      <c r="Z11" s="21">
        <v>66359</v>
      </c>
      <c r="AA11" s="21">
        <v>66366</v>
      </c>
      <c r="AB11" s="21">
        <v>66371</v>
      </c>
      <c r="AC11" s="21">
        <v>66377</v>
      </c>
      <c r="AD11" s="21">
        <v>66385</v>
      </c>
      <c r="AE11" s="21">
        <v>66392</v>
      </c>
      <c r="AF11" s="21">
        <v>66407</v>
      </c>
      <c r="AG11" s="21">
        <v>66429</v>
      </c>
      <c r="AH11" s="21">
        <v>66450</v>
      </c>
    </row>
    <row r="12" spans="1:67" s="38" customFormat="1" ht="21.75" customHeight="1" x14ac:dyDescent="0.2">
      <c r="A12" s="82"/>
      <c r="B12" s="37"/>
      <c r="C12" s="84"/>
      <c r="D12" s="23"/>
      <c r="E12" s="23">
        <f>(E11-D11)*1000</f>
        <v>3000</v>
      </c>
      <c r="F12" s="23">
        <f t="shared" ref="F12" si="59">(F11-E11)*1000</f>
        <v>4000</v>
      </c>
      <c r="G12" s="23">
        <f t="shared" ref="G12" si="60">(G11-F11)*1000</f>
        <v>3000</v>
      </c>
      <c r="H12" s="23">
        <f t="shared" ref="H12" si="61">(H11-G11)*1000</f>
        <v>4000</v>
      </c>
      <c r="I12" s="23">
        <f t="shared" ref="I12" si="62">(I11-H11)*1000</f>
        <v>4000</v>
      </c>
      <c r="J12" s="23">
        <f t="shared" ref="J12" si="63">(J11-I11)*1000</f>
        <v>8000</v>
      </c>
      <c r="K12" s="23">
        <f t="shared" ref="K12" si="64">(K11-J11)*1000</f>
        <v>3000</v>
      </c>
      <c r="L12" s="23">
        <f t="shared" ref="L12" si="65">(L11-K11)*1000</f>
        <v>3000</v>
      </c>
      <c r="M12" s="23">
        <f t="shared" ref="M12" si="66">(M11-L11)*1000</f>
        <v>4000</v>
      </c>
      <c r="N12" s="23">
        <f t="shared" ref="N12" si="67">(N11-M11)*1000</f>
        <v>4000</v>
      </c>
      <c r="O12" s="23">
        <f t="shared" ref="O12" si="68">(O11-N11)*1000</f>
        <v>5000</v>
      </c>
      <c r="P12" s="23">
        <f t="shared" ref="P12" si="69">(P11-O11)*1000</f>
        <v>4000</v>
      </c>
      <c r="Q12" s="23">
        <f t="shared" ref="Q12" si="70">(Q11-P11)*1000</f>
        <v>5000</v>
      </c>
      <c r="R12" s="23">
        <f t="shared" ref="R12" si="71">(R11-Q11)*1000</f>
        <v>5000</v>
      </c>
      <c r="S12" s="23">
        <f t="shared" ref="S12" si="72">(S11-R11)*1000</f>
        <v>4000</v>
      </c>
      <c r="T12" s="23">
        <f t="shared" ref="T12" si="73">(T11-S11)*1000</f>
        <v>4000</v>
      </c>
      <c r="U12" s="23">
        <f t="shared" ref="U12" si="74">(U11-T11)*1000</f>
        <v>5000</v>
      </c>
      <c r="V12" s="23">
        <f t="shared" ref="V12" si="75">(V11-U11)*1000</f>
        <v>5000</v>
      </c>
      <c r="W12" s="23">
        <f t="shared" ref="W12" si="76">(W11-V11)*1000</f>
        <v>5000</v>
      </c>
      <c r="X12" s="23">
        <f t="shared" ref="X12" si="77">(X11-W11)*1000</f>
        <v>5000</v>
      </c>
      <c r="Y12" s="23">
        <f t="shared" ref="Y12" si="78">(Y11-X11)*1000</f>
        <v>5000</v>
      </c>
      <c r="Z12" s="23">
        <f t="shared" ref="Z12" si="79">(Z11-Y11)*1000</f>
        <v>7000</v>
      </c>
      <c r="AA12" s="23">
        <f t="shared" ref="AA12" si="80">(AA11-Z11)*1000</f>
        <v>7000</v>
      </c>
      <c r="AB12" s="23">
        <f t="shared" ref="AB12" si="81">(AB11-AA11)*1000</f>
        <v>5000</v>
      </c>
      <c r="AC12" s="23">
        <f t="shared" ref="AC12" si="82">(AC11-AB11)*1000</f>
        <v>6000</v>
      </c>
      <c r="AD12" s="23">
        <f t="shared" ref="AD12" si="83">(AD11-AC11)*1000</f>
        <v>8000</v>
      </c>
      <c r="AE12" s="23">
        <f t="shared" ref="AE12" si="84">(AE11-AD11)*1000</f>
        <v>7000</v>
      </c>
      <c r="AF12" s="23">
        <f t="shared" ref="AF12" si="85">(AF11-AE11)*1000</f>
        <v>15000</v>
      </c>
      <c r="AG12" s="23">
        <f t="shared" ref="AG12" si="86">(AG11-AF11)*1000</f>
        <v>22000</v>
      </c>
      <c r="AH12" s="23">
        <f t="shared" ref="AH12" si="87">(AH11-AG11)*1000</f>
        <v>21000</v>
      </c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85">
        <v>7</v>
      </c>
      <c r="B13" s="39" t="s">
        <v>25</v>
      </c>
      <c r="C13" s="83" t="s">
        <v>26</v>
      </c>
      <c r="D13" s="40">
        <v>2866</v>
      </c>
      <c r="E13" s="40">
        <v>2866</v>
      </c>
      <c r="F13" s="40">
        <v>2866</v>
      </c>
      <c r="G13" s="40">
        <v>2867</v>
      </c>
      <c r="H13" s="40">
        <v>2867</v>
      </c>
      <c r="I13" s="40">
        <v>2867</v>
      </c>
      <c r="J13" s="40">
        <v>2867</v>
      </c>
      <c r="K13" s="40">
        <v>2867</v>
      </c>
      <c r="L13" s="40">
        <v>2867</v>
      </c>
      <c r="M13" s="40">
        <v>2867</v>
      </c>
      <c r="N13" s="40">
        <v>2867</v>
      </c>
      <c r="O13" s="40">
        <v>2867</v>
      </c>
      <c r="P13" s="40">
        <v>2868</v>
      </c>
      <c r="Q13" s="40">
        <v>2871</v>
      </c>
      <c r="R13" s="40">
        <v>2877</v>
      </c>
      <c r="S13" s="40">
        <v>2877</v>
      </c>
      <c r="T13" s="40">
        <v>2877</v>
      </c>
      <c r="U13" s="40">
        <v>2877</v>
      </c>
      <c r="V13" s="40">
        <v>2877</v>
      </c>
      <c r="W13" s="40">
        <v>2877</v>
      </c>
      <c r="X13" s="40">
        <v>2877</v>
      </c>
      <c r="Y13" s="40">
        <v>2877</v>
      </c>
      <c r="Z13" s="40">
        <v>2877</v>
      </c>
      <c r="AA13" s="40">
        <v>2877</v>
      </c>
      <c r="AB13" s="40">
        <v>2877</v>
      </c>
      <c r="AC13" s="40">
        <v>2877</v>
      </c>
      <c r="AD13" s="40">
        <v>2877</v>
      </c>
      <c r="AE13" s="40">
        <v>2877</v>
      </c>
      <c r="AF13" s="40">
        <v>2877</v>
      </c>
      <c r="AG13" s="40">
        <v>2877</v>
      </c>
      <c r="AH13" s="40">
        <v>2877</v>
      </c>
      <c r="AI13" s="40"/>
    </row>
    <row r="14" spans="1:67" s="24" customFormat="1" ht="21.75" customHeight="1" x14ac:dyDescent="0.2">
      <c r="A14" s="86"/>
      <c r="B14" s="41"/>
      <c r="C14" s="84"/>
      <c r="D14" s="42"/>
      <c r="E14" s="42">
        <f>E13-D13</f>
        <v>0</v>
      </c>
      <c r="F14" s="42">
        <f t="shared" ref="F14:AH14" si="88">F13-E13</f>
        <v>0</v>
      </c>
      <c r="G14" s="42">
        <f t="shared" si="88"/>
        <v>1</v>
      </c>
      <c r="H14" s="42">
        <f t="shared" si="88"/>
        <v>0</v>
      </c>
      <c r="I14" s="42">
        <f t="shared" si="88"/>
        <v>0</v>
      </c>
      <c r="J14" s="42">
        <f t="shared" si="88"/>
        <v>0</v>
      </c>
      <c r="K14" s="42">
        <f t="shared" si="88"/>
        <v>0</v>
      </c>
      <c r="L14" s="42">
        <f t="shared" si="88"/>
        <v>0</v>
      </c>
      <c r="M14" s="42">
        <f t="shared" si="88"/>
        <v>0</v>
      </c>
      <c r="N14" s="42">
        <f t="shared" si="88"/>
        <v>0</v>
      </c>
      <c r="O14" s="42">
        <f t="shared" si="88"/>
        <v>0</v>
      </c>
      <c r="P14" s="42">
        <f t="shared" si="88"/>
        <v>1</v>
      </c>
      <c r="Q14" s="42">
        <f t="shared" si="88"/>
        <v>3</v>
      </c>
      <c r="R14" s="42">
        <f t="shared" si="88"/>
        <v>6</v>
      </c>
      <c r="S14" s="42">
        <f t="shared" si="88"/>
        <v>0</v>
      </c>
      <c r="T14" s="42">
        <f t="shared" si="88"/>
        <v>0</v>
      </c>
      <c r="U14" s="42">
        <f t="shared" si="88"/>
        <v>0</v>
      </c>
      <c r="V14" s="42">
        <f t="shared" si="88"/>
        <v>0</v>
      </c>
      <c r="W14" s="42">
        <f t="shared" si="88"/>
        <v>0</v>
      </c>
      <c r="X14" s="42">
        <f t="shared" si="88"/>
        <v>0</v>
      </c>
      <c r="Y14" s="42">
        <f t="shared" si="88"/>
        <v>0</v>
      </c>
      <c r="Z14" s="42">
        <f t="shared" si="88"/>
        <v>0</v>
      </c>
      <c r="AA14" s="42">
        <f t="shared" si="88"/>
        <v>0</v>
      </c>
      <c r="AB14" s="42">
        <f t="shared" si="88"/>
        <v>0</v>
      </c>
      <c r="AC14" s="42">
        <f t="shared" si="88"/>
        <v>0</v>
      </c>
      <c r="AD14" s="42">
        <f t="shared" si="88"/>
        <v>0</v>
      </c>
      <c r="AE14" s="42">
        <f t="shared" si="88"/>
        <v>0</v>
      </c>
      <c r="AF14" s="42">
        <f t="shared" si="88"/>
        <v>0</v>
      </c>
      <c r="AG14" s="42">
        <f t="shared" si="88"/>
        <v>0</v>
      </c>
      <c r="AH14" s="42">
        <f t="shared" si="88"/>
        <v>0</v>
      </c>
      <c r="AI14" s="42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81">
        <v>8</v>
      </c>
      <c r="B15" s="39" t="s">
        <v>27</v>
      </c>
      <c r="C15" s="83" t="s">
        <v>28</v>
      </c>
      <c r="D15" s="40">
        <v>261</v>
      </c>
      <c r="E15" s="40">
        <v>261</v>
      </c>
      <c r="F15" s="40">
        <v>261</v>
      </c>
      <c r="G15" s="40">
        <v>261</v>
      </c>
      <c r="H15" s="40">
        <v>261</v>
      </c>
      <c r="I15" s="40">
        <v>261</v>
      </c>
      <c r="J15" s="40">
        <v>261</v>
      </c>
      <c r="K15" s="40">
        <v>261</v>
      </c>
      <c r="L15" s="40">
        <v>261</v>
      </c>
      <c r="M15" s="40">
        <v>261</v>
      </c>
      <c r="N15" s="40">
        <v>261</v>
      </c>
      <c r="O15" s="40">
        <v>261</v>
      </c>
      <c r="P15" s="40">
        <v>261</v>
      </c>
      <c r="Q15" s="40">
        <v>262</v>
      </c>
      <c r="R15" s="40">
        <v>265</v>
      </c>
      <c r="S15" s="40">
        <v>265</v>
      </c>
      <c r="T15" s="40">
        <v>265</v>
      </c>
      <c r="U15" s="40">
        <v>265</v>
      </c>
      <c r="V15" s="40">
        <v>265</v>
      </c>
      <c r="W15" s="40">
        <v>265</v>
      </c>
      <c r="X15" s="40">
        <v>266</v>
      </c>
      <c r="Y15" s="40">
        <v>266</v>
      </c>
      <c r="Z15" s="40">
        <v>266</v>
      </c>
      <c r="AA15" s="40">
        <v>266</v>
      </c>
      <c r="AB15" s="40">
        <v>266</v>
      </c>
      <c r="AC15" s="40">
        <v>266</v>
      </c>
      <c r="AD15" s="40">
        <v>266</v>
      </c>
      <c r="AE15" s="40">
        <v>266</v>
      </c>
      <c r="AF15" s="40">
        <v>266</v>
      </c>
      <c r="AG15" s="40">
        <v>266</v>
      </c>
      <c r="AH15" s="40">
        <v>266</v>
      </c>
      <c r="AI15" s="40"/>
    </row>
    <row r="16" spans="1:67" s="24" customFormat="1" ht="21.75" customHeight="1" x14ac:dyDescent="0.2">
      <c r="A16" s="82"/>
      <c r="B16" s="41"/>
      <c r="C16" s="84"/>
      <c r="D16" s="42"/>
      <c r="E16" s="42">
        <f>E15-D15</f>
        <v>0</v>
      </c>
      <c r="F16" s="42">
        <f t="shared" ref="F16:AH16" si="89">F15-E15</f>
        <v>0</v>
      </c>
      <c r="G16" s="42">
        <f t="shared" si="89"/>
        <v>0</v>
      </c>
      <c r="H16" s="42">
        <f t="shared" si="89"/>
        <v>0</v>
      </c>
      <c r="I16" s="42">
        <f t="shared" si="89"/>
        <v>0</v>
      </c>
      <c r="J16" s="42">
        <f t="shared" si="89"/>
        <v>0</v>
      </c>
      <c r="K16" s="42">
        <f t="shared" si="89"/>
        <v>0</v>
      </c>
      <c r="L16" s="42">
        <f t="shared" si="89"/>
        <v>0</v>
      </c>
      <c r="M16" s="42">
        <f t="shared" si="89"/>
        <v>0</v>
      </c>
      <c r="N16" s="42">
        <f t="shared" si="89"/>
        <v>0</v>
      </c>
      <c r="O16" s="42">
        <f t="shared" si="89"/>
        <v>0</v>
      </c>
      <c r="P16" s="42">
        <f t="shared" si="89"/>
        <v>0</v>
      </c>
      <c r="Q16" s="42">
        <f t="shared" si="89"/>
        <v>1</v>
      </c>
      <c r="R16" s="42">
        <f t="shared" si="89"/>
        <v>3</v>
      </c>
      <c r="S16" s="42">
        <f t="shared" si="89"/>
        <v>0</v>
      </c>
      <c r="T16" s="42">
        <f t="shared" si="89"/>
        <v>0</v>
      </c>
      <c r="U16" s="42">
        <f t="shared" si="89"/>
        <v>0</v>
      </c>
      <c r="V16" s="42">
        <f t="shared" si="89"/>
        <v>0</v>
      </c>
      <c r="W16" s="42">
        <f t="shared" si="89"/>
        <v>0</v>
      </c>
      <c r="X16" s="42">
        <f t="shared" si="89"/>
        <v>1</v>
      </c>
      <c r="Y16" s="42">
        <f t="shared" si="89"/>
        <v>0</v>
      </c>
      <c r="Z16" s="42">
        <f t="shared" si="89"/>
        <v>0</v>
      </c>
      <c r="AA16" s="42">
        <f t="shared" si="89"/>
        <v>0</v>
      </c>
      <c r="AB16" s="42">
        <f t="shared" si="89"/>
        <v>0</v>
      </c>
      <c r="AC16" s="42">
        <f t="shared" si="89"/>
        <v>0</v>
      </c>
      <c r="AD16" s="42">
        <f t="shared" si="89"/>
        <v>0</v>
      </c>
      <c r="AE16" s="42">
        <f t="shared" si="89"/>
        <v>0</v>
      </c>
      <c r="AF16" s="42">
        <f t="shared" si="89"/>
        <v>0</v>
      </c>
      <c r="AG16" s="42">
        <f t="shared" si="89"/>
        <v>0</v>
      </c>
      <c r="AH16" s="42">
        <f t="shared" si="89"/>
        <v>0</v>
      </c>
      <c r="AI16" s="42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81">
        <v>13</v>
      </c>
      <c r="B17" s="39" t="s">
        <v>29</v>
      </c>
      <c r="C17" s="83" t="s">
        <v>30</v>
      </c>
      <c r="D17" s="40">
        <v>996375</v>
      </c>
      <c r="E17" s="40">
        <v>996654</v>
      </c>
      <c r="F17" s="40">
        <v>996924</v>
      </c>
      <c r="G17" s="40">
        <v>997147</v>
      </c>
      <c r="H17" s="40">
        <v>997476</v>
      </c>
      <c r="I17" s="40">
        <v>997785</v>
      </c>
      <c r="J17" s="40">
        <v>998119</v>
      </c>
      <c r="K17" s="40">
        <v>998442</v>
      </c>
      <c r="L17" s="40">
        <v>998793</v>
      </c>
      <c r="M17" s="40">
        <v>999098</v>
      </c>
      <c r="N17" s="40">
        <v>999410</v>
      </c>
      <c r="O17" s="40">
        <v>999714</v>
      </c>
      <c r="P17" s="40">
        <v>999994</v>
      </c>
      <c r="Q17" s="40">
        <v>1000288</v>
      </c>
      <c r="R17" s="40">
        <v>1000587</v>
      </c>
      <c r="S17" s="40">
        <v>1000917</v>
      </c>
      <c r="T17" s="40">
        <v>1001234</v>
      </c>
      <c r="U17" s="40">
        <v>1001545</v>
      </c>
      <c r="V17" s="40">
        <v>1001843</v>
      </c>
      <c r="W17" s="40">
        <v>1002118</v>
      </c>
      <c r="X17" s="40">
        <v>1002402</v>
      </c>
      <c r="Y17" s="40">
        <v>1002691</v>
      </c>
      <c r="Z17" s="40">
        <v>1002978</v>
      </c>
      <c r="AA17" s="40">
        <v>1003269</v>
      </c>
      <c r="AB17" s="40">
        <v>1003558</v>
      </c>
      <c r="AC17" s="40">
        <v>1003835</v>
      </c>
      <c r="AD17" s="40">
        <v>1004116</v>
      </c>
      <c r="AE17" s="40">
        <v>1004397</v>
      </c>
      <c r="AF17" s="40">
        <v>1004689</v>
      </c>
      <c r="AG17" s="40">
        <v>1004987</v>
      </c>
      <c r="AH17" s="40">
        <v>1005279</v>
      </c>
      <c r="AI17" s="40"/>
    </row>
    <row r="18" spans="1:35" ht="21.75" customHeight="1" x14ac:dyDescent="0.2">
      <c r="A18" s="89"/>
      <c r="B18" s="43"/>
      <c r="C18" s="90"/>
      <c r="D18" s="42"/>
      <c r="E18" s="42">
        <f>E17-D17</f>
        <v>279</v>
      </c>
      <c r="F18" s="42">
        <f t="shared" ref="F18:AH18" si="90">F17-E17</f>
        <v>270</v>
      </c>
      <c r="G18" s="42">
        <f t="shared" si="90"/>
        <v>223</v>
      </c>
      <c r="H18" s="42">
        <f t="shared" si="90"/>
        <v>329</v>
      </c>
      <c r="I18" s="42">
        <f t="shared" si="90"/>
        <v>309</v>
      </c>
      <c r="J18" s="42">
        <f t="shared" si="90"/>
        <v>334</v>
      </c>
      <c r="K18" s="42">
        <f t="shared" si="90"/>
        <v>323</v>
      </c>
      <c r="L18" s="42">
        <f t="shared" si="90"/>
        <v>351</v>
      </c>
      <c r="M18" s="42">
        <f t="shared" si="90"/>
        <v>305</v>
      </c>
      <c r="N18" s="42">
        <f t="shared" si="90"/>
        <v>312</v>
      </c>
      <c r="O18" s="42">
        <f t="shared" si="90"/>
        <v>304</v>
      </c>
      <c r="P18" s="42">
        <f t="shared" si="90"/>
        <v>280</v>
      </c>
      <c r="Q18" s="42">
        <f t="shared" si="90"/>
        <v>294</v>
      </c>
      <c r="R18" s="42">
        <f t="shared" si="90"/>
        <v>299</v>
      </c>
      <c r="S18" s="42">
        <f t="shared" si="90"/>
        <v>330</v>
      </c>
      <c r="T18" s="42">
        <f t="shared" si="90"/>
        <v>317</v>
      </c>
      <c r="U18" s="42">
        <f t="shared" si="90"/>
        <v>311</v>
      </c>
      <c r="V18" s="42">
        <f t="shared" si="90"/>
        <v>298</v>
      </c>
      <c r="W18" s="42">
        <f t="shared" si="90"/>
        <v>275</v>
      </c>
      <c r="X18" s="42">
        <f t="shared" si="90"/>
        <v>284</v>
      </c>
      <c r="Y18" s="42">
        <f t="shared" si="90"/>
        <v>289</v>
      </c>
      <c r="Z18" s="42">
        <f t="shared" si="90"/>
        <v>287</v>
      </c>
      <c r="AA18" s="42">
        <f t="shared" si="90"/>
        <v>291</v>
      </c>
      <c r="AB18" s="42">
        <f t="shared" si="90"/>
        <v>289</v>
      </c>
      <c r="AC18" s="42">
        <f t="shared" si="90"/>
        <v>277</v>
      </c>
      <c r="AD18" s="42">
        <f t="shared" si="90"/>
        <v>281</v>
      </c>
      <c r="AE18" s="42">
        <f t="shared" si="90"/>
        <v>281</v>
      </c>
      <c r="AF18" s="42">
        <f t="shared" si="90"/>
        <v>292</v>
      </c>
      <c r="AG18" s="42">
        <f t="shared" si="90"/>
        <v>298</v>
      </c>
      <c r="AH18" s="42">
        <f t="shared" si="90"/>
        <v>292</v>
      </c>
      <c r="AI18" s="42"/>
    </row>
    <row r="19" spans="1:35" ht="21.75" customHeight="1" x14ac:dyDescent="0.2">
      <c r="A19" s="91">
        <v>14</v>
      </c>
      <c r="B19" s="39" t="s">
        <v>31</v>
      </c>
      <c r="C19" s="83" t="s">
        <v>32</v>
      </c>
      <c r="D19" s="40">
        <v>297806</v>
      </c>
      <c r="E19" s="40">
        <v>297865</v>
      </c>
      <c r="F19" s="40">
        <v>297920</v>
      </c>
      <c r="G19" s="40">
        <v>297976</v>
      </c>
      <c r="H19" s="40">
        <v>298034</v>
      </c>
      <c r="I19" s="40">
        <v>298095</v>
      </c>
      <c r="J19" s="40">
        <v>298156</v>
      </c>
      <c r="K19" s="40">
        <v>298216</v>
      </c>
      <c r="L19" s="40">
        <v>298272</v>
      </c>
      <c r="M19" s="40">
        <v>298326</v>
      </c>
      <c r="N19" s="40">
        <v>298382</v>
      </c>
      <c r="O19" s="40">
        <v>298441</v>
      </c>
      <c r="P19" s="40">
        <v>298496</v>
      </c>
      <c r="Q19" s="40">
        <v>298549</v>
      </c>
      <c r="R19" s="40">
        <v>298604</v>
      </c>
      <c r="S19" s="40">
        <v>298663</v>
      </c>
      <c r="T19" s="40">
        <v>298720</v>
      </c>
      <c r="U19" s="40">
        <v>298776</v>
      </c>
      <c r="V19" s="40">
        <v>298826</v>
      </c>
      <c r="W19" s="40">
        <v>298879</v>
      </c>
      <c r="X19" s="40">
        <v>298932</v>
      </c>
      <c r="Y19" s="40">
        <v>298986</v>
      </c>
      <c r="Z19" s="40">
        <v>299037</v>
      </c>
      <c r="AA19" s="40">
        <v>299093</v>
      </c>
      <c r="AB19" s="40">
        <v>299148</v>
      </c>
      <c r="AC19" s="40">
        <v>299202</v>
      </c>
      <c r="AD19" s="40">
        <v>299252</v>
      </c>
      <c r="AE19" s="40">
        <v>299302</v>
      </c>
      <c r="AF19" s="40">
        <v>299350</v>
      </c>
      <c r="AG19" s="40">
        <v>299401</v>
      </c>
      <c r="AH19" s="40">
        <v>299453</v>
      </c>
      <c r="AI19" s="40"/>
    </row>
    <row r="20" spans="1:35" ht="21.75" customHeight="1" x14ac:dyDescent="0.2">
      <c r="A20" s="86"/>
      <c r="B20" s="43"/>
      <c r="C20" s="90"/>
      <c r="D20" s="42"/>
      <c r="E20" s="42">
        <f t="shared" ref="E20" si="91">E19-D19</f>
        <v>59</v>
      </c>
      <c r="F20" s="42">
        <f t="shared" ref="F20" si="92">F19-E19</f>
        <v>55</v>
      </c>
      <c r="G20" s="42">
        <f t="shared" ref="G20" si="93">G19-F19</f>
        <v>56</v>
      </c>
      <c r="H20" s="42">
        <f t="shared" ref="H20" si="94">H19-G19</f>
        <v>58</v>
      </c>
      <c r="I20" s="42">
        <f t="shared" ref="I20" si="95">I19-H19</f>
        <v>61</v>
      </c>
      <c r="J20" s="42">
        <f t="shared" ref="J20" si="96">J19-I19</f>
        <v>61</v>
      </c>
      <c r="K20" s="42">
        <f t="shared" ref="K20" si="97">K19-J19</f>
        <v>60</v>
      </c>
      <c r="L20" s="42">
        <f t="shared" ref="L20" si="98">L19-K19</f>
        <v>56</v>
      </c>
      <c r="M20" s="42">
        <f t="shared" ref="M20" si="99">M19-L19</f>
        <v>54</v>
      </c>
      <c r="N20" s="42">
        <f t="shared" ref="N20" si="100">N19-M19</f>
        <v>56</v>
      </c>
      <c r="O20" s="42">
        <f t="shared" ref="O20" si="101">O19-N19</f>
        <v>59</v>
      </c>
      <c r="P20" s="42">
        <f t="shared" ref="P20" si="102">P19-O19</f>
        <v>55</v>
      </c>
      <c r="Q20" s="42">
        <f t="shared" ref="Q20" si="103">Q19-P19</f>
        <v>53</v>
      </c>
      <c r="R20" s="42">
        <f t="shared" ref="R20" si="104">R19-Q19</f>
        <v>55</v>
      </c>
      <c r="S20" s="42">
        <f t="shared" ref="S20" si="105">S19-R19</f>
        <v>59</v>
      </c>
      <c r="T20" s="42">
        <f t="shared" ref="T20" si="106">T19-S19</f>
        <v>57</v>
      </c>
      <c r="U20" s="42">
        <f t="shared" ref="U20" si="107">U19-T19</f>
        <v>56</v>
      </c>
      <c r="V20" s="42">
        <f t="shared" ref="V20" si="108">V19-U19</f>
        <v>50</v>
      </c>
      <c r="W20" s="42">
        <f t="shared" ref="W20" si="109">W19-V19</f>
        <v>53</v>
      </c>
      <c r="X20" s="42">
        <f t="shared" ref="X20" si="110">X19-W19</f>
        <v>53</v>
      </c>
      <c r="Y20" s="42">
        <f t="shared" ref="Y20" si="111">Y19-X19</f>
        <v>54</v>
      </c>
      <c r="Z20" s="42">
        <f t="shared" ref="Z20" si="112">Z19-Y19</f>
        <v>51</v>
      </c>
      <c r="AA20" s="42">
        <f t="shared" ref="AA20" si="113">AA19-Z19</f>
        <v>56</v>
      </c>
      <c r="AB20" s="42">
        <f t="shared" ref="AB20" si="114">AB19-AA19</f>
        <v>55</v>
      </c>
      <c r="AC20" s="42">
        <f t="shared" ref="AC20" si="115">AC19-AB19</f>
        <v>54</v>
      </c>
      <c r="AD20" s="42">
        <f t="shared" ref="AD20" si="116">AD19-AC19</f>
        <v>50</v>
      </c>
      <c r="AE20" s="42">
        <f t="shared" ref="AE20" si="117">AE19-AD19</f>
        <v>50</v>
      </c>
      <c r="AF20" s="42">
        <f t="shared" ref="AF20" si="118">AF19-AE19</f>
        <v>48</v>
      </c>
      <c r="AG20" s="42">
        <f t="shared" ref="AG20" si="119">AG19-AF19</f>
        <v>51</v>
      </c>
      <c r="AH20" s="42">
        <f t="shared" ref="AH20" si="120">AH19-AG19</f>
        <v>52</v>
      </c>
      <c r="AI20" s="42"/>
    </row>
    <row r="21" spans="1:35" ht="27" customHeight="1" x14ac:dyDescent="0.3">
      <c r="B21" s="92" t="s">
        <v>33</v>
      </c>
      <c r="C21" s="92"/>
      <c r="D21" s="44"/>
      <c r="E21" s="58">
        <f>((E6+E8)+((E10+E12)*40%)+(E14+E16+E18+E20))</f>
        <v>38338</v>
      </c>
      <c r="F21" s="58">
        <f t="shared" ref="F21:AH21" si="121">((F6+F8)+((F10+F12)*40%)+(F14+F16+F18+F20))</f>
        <v>37725</v>
      </c>
      <c r="G21" s="58">
        <f t="shared" si="121"/>
        <v>38280</v>
      </c>
      <c r="H21" s="58">
        <f t="shared" si="121"/>
        <v>39587</v>
      </c>
      <c r="I21" s="58">
        <f t="shared" si="121"/>
        <v>38970</v>
      </c>
      <c r="J21" s="58">
        <f t="shared" si="121"/>
        <v>41195</v>
      </c>
      <c r="K21" s="58">
        <f t="shared" si="121"/>
        <v>42583</v>
      </c>
      <c r="L21" s="58">
        <f t="shared" si="121"/>
        <v>42007</v>
      </c>
      <c r="M21" s="58">
        <f t="shared" si="121"/>
        <v>42959</v>
      </c>
      <c r="N21" s="58">
        <f t="shared" si="121"/>
        <v>42768</v>
      </c>
      <c r="O21" s="58">
        <f t="shared" si="121"/>
        <v>42963</v>
      </c>
      <c r="P21" s="58">
        <f t="shared" si="121"/>
        <v>44336</v>
      </c>
      <c r="Q21" s="58">
        <f t="shared" si="121"/>
        <v>44151</v>
      </c>
      <c r="R21" s="58">
        <f t="shared" si="121"/>
        <v>47363</v>
      </c>
      <c r="S21" s="58">
        <f t="shared" si="121"/>
        <v>44789</v>
      </c>
      <c r="T21" s="58">
        <f t="shared" si="121"/>
        <v>45574</v>
      </c>
      <c r="U21" s="58">
        <f t="shared" si="121"/>
        <v>45567</v>
      </c>
      <c r="V21" s="58">
        <f t="shared" si="121"/>
        <v>44548</v>
      </c>
      <c r="W21" s="58">
        <f t="shared" si="121"/>
        <v>44728</v>
      </c>
      <c r="X21" s="58">
        <f t="shared" si="121"/>
        <v>44738</v>
      </c>
      <c r="Y21" s="58">
        <f t="shared" si="121"/>
        <v>45943</v>
      </c>
      <c r="Z21" s="58">
        <f t="shared" si="121"/>
        <v>44138</v>
      </c>
      <c r="AA21" s="58">
        <f t="shared" si="121"/>
        <v>44547</v>
      </c>
      <c r="AB21" s="58">
        <f t="shared" si="121"/>
        <v>44344</v>
      </c>
      <c r="AC21" s="58">
        <f t="shared" si="121"/>
        <v>44131</v>
      </c>
      <c r="AD21" s="58">
        <f t="shared" si="121"/>
        <v>43731</v>
      </c>
      <c r="AE21" s="58">
        <f t="shared" si="121"/>
        <v>45931</v>
      </c>
      <c r="AF21" s="58">
        <f t="shared" si="121"/>
        <v>45540</v>
      </c>
      <c r="AG21" s="58">
        <f t="shared" si="121"/>
        <v>43949</v>
      </c>
      <c r="AH21" s="58">
        <f t="shared" si="121"/>
        <v>43144</v>
      </c>
      <c r="AI21" s="58"/>
    </row>
    <row r="22" spans="1:35" ht="27" customHeight="1" x14ac:dyDescent="0.3">
      <c r="B22" s="88" t="s">
        <v>34</v>
      </c>
      <c r="C22" s="88"/>
      <c r="D22" s="44"/>
      <c r="E22" s="58">
        <f>SUM(E21:AI21)</f>
        <v>1298567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B22:C22"/>
    <mergeCell ref="A17:A18"/>
    <mergeCell ref="C17:C18"/>
    <mergeCell ref="A19:A20"/>
    <mergeCell ref="C19:C20"/>
    <mergeCell ref="B21:C21"/>
    <mergeCell ref="A15:A16"/>
    <mergeCell ref="C15:C16"/>
    <mergeCell ref="A9:A10"/>
    <mergeCell ref="C9:C10"/>
    <mergeCell ref="A11:A12"/>
    <mergeCell ref="C11:C12"/>
    <mergeCell ref="A13:A14"/>
    <mergeCell ref="C13:C14"/>
    <mergeCell ref="A2:AI2"/>
    <mergeCell ref="C3:AI3"/>
    <mergeCell ref="A5:A6"/>
    <mergeCell ref="C5:C6"/>
    <mergeCell ref="A7:A8"/>
    <mergeCell ref="C7:C8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pane xSplit="3" ySplit="4" topLeftCell="D12" activePane="bottomRight" state="frozen"/>
      <selection pane="topRight" activeCell="D1" sqref="D1"/>
      <selection pane="bottomLeft" activeCell="A5" sqref="A5"/>
      <selection pane="bottomRight" activeCell="E16" sqref="E16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95" t="s">
        <v>84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</row>
    <row r="3" spans="1:42" s="8" customFormat="1" ht="30" customHeight="1" thickBot="1" x14ac:dyDescent="0.3"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</row>
    <row r="4" spans="1:42" s="30" customFormat="1" ht="57.75" customHeight="1" thickBot="1" x14ac:dyDescent="0.3">
      <c r="A4" s="15" t="s">
        <v>13</v>
      </c>
      <c r="B4" s="27" t="s">
        <v>35</v>
      </c>
      <c r="C4" s="27" t="s">
        <v>15</v>
      </c>
      <c r="D4" s="28" t="s">
        <v>36</v>
      </c>
      <c r="E4" s="29" t="s">
        <v>37</v>
      </c>
      <c r="F4" s="29" t="s">
        <v>38</v>
      </c>
      <c r="G4" s="29" t="s">
        <v>39</v>
      </c>
      <c r="H4" s="29" t="s">
        <v>40</v>
      </c>
      <c r="I4" s="29" t="s">
        <v>41</v>
      </c>
      <c r="J4" s="29" t="s">
        <v>42</v>
      </c>
      <c r="K4" s="29" t="s">
        <v>43</v>
      </c>
      <c r="L4" s="29" t="s">
        <v>44</v>
      </c>
      <c r="M4" s="29" t="s">
        <v>45</v>
      </c>
      <c r="N4" s="29" t="s">
        <v>46</v>
      </c>
      <c r="O4" s="29" t="s">
        <v>47</v>
      </c>
      <c r="P4" s="29" t="s">
        <v>48</v>
      </c>
      <c r="Q4" s="29" t="s">
        <v>49</v>
      </c>
      <c r="R4" s="29" t="s">
        <v>50</v>
      </c>
      <c r="S4" s="29" t="s">
        <v>51</v>
      </c>
      <c r="T4" s="29" t="s">
        <v>52</v>
      </c>
      <c r="U4" s="29" t="s">
        <v>53</v>
      </c>
      <c r="V4" s="29" t="s">
        <v>54</v>
      </c>
      <c r="W4" s="29" t="s">
        <v>55</v>
      </c>
      <c r="X4" s="29" t="s">
        <v>56</v>
      </c>
      <c r="Y4" s="29" t="s">
        <v>57</v>
      </c>
      <c r="Z4" s="29" t="s">
        <v>58</v>
      </c>
      <c r="AA4" s="29" t="s">
        <v>59</v>
      </c>
      <c r="AB4" s="29" t="s">
        <v>60</v>
      </c>
      <c r="AC4" s="29" t="s">
        <v>61</v>
      </c>
      <c r="AD4" s="29" t="s">
        <v>62</v>
      </c>
      <c r="AE4" s="29" t="s">
        <v>63</v>
      </c>
      <c r="AF4" s="29" t="s">
        <v>64</v>
      </c>
      <c r="AG4" s="29" t="s">
        <v>65</v>
      </c>
      <c r="AH4" s="29" t="s">
        <v>66</v>
      </c>
      <c r="AI4" s="29"/>
    </row>
    <row r="5" spans="1:42" s="8" customFormat="1" ht="40.5" customHeight="1" x14ac:dyDescent="0.25">
      <c r="A5" s="98" t="s">
        <v>37</v>
      </c>
      <c r="B5" s="27" t="s">
        <v>67</v>
      </c>
      <c r="C5" s="100" t="s">
        <v>68</v>
      </c>
      <c r="D5" s="66">
        <v>78424.7</v>
      </c>
      <c r="E5" s="67">
        <v>78583.100000000006</v>
      </c>
      <c r="F5" s="67">
        <v>78741</v>
      </c>
      <c r="G5" s="67">
        <v>78942.600000000006</v>
      </c>
      <c r="H5" s="67">
        <v>79191.399999999994</v>
      </c>
      <c r="I5" s="67">
        <v>79475.899999999994</v>
      </c>
      <c r="J5" s="67">
        <v>79791</v>
      </c>
      <c r="K5" s="66">
        <v>80089.3</v>
      </c>
      <c r="L5" s="66">
        <v>80333.5</v>
      </c>
      <c r="M5" s="66">
        <v>80517.5</v>
      </c>
      <c r="N5" s="66">
        <v>80701.3</v>
      </c>
      <c r="O5" s="66">
        <v>80941.3</v>
      </c>
      <c r="P5" s="66">
        <v>81247.8</v>
      </c>
      <c r="Q5" s="66">
        <v>81443.3</v>
      </c>
      <c r="R5" s="66">
        <v>81693.3</v>
      </c>
      <c r="S5" s="66">
        <v>81907.600000000006</v>
      </c>
      <c r="T5" s="66">
        <v>82135.199999999997</v>
      </c>
      <c r="U5" s="66">
        <v>82328.100000000006</v>
      </c>
      <c r="V5" s="66">
        <v>82519.3</v>
      </c>
      <c r="W5" s="66">
        <v>82748.800000000003</v>
      </c>
      <c r="X5" s="66">
        <v>82968</v>
      </c>
      <c r="Y5" s="66">
        <v>83188.100000000006</v>
      </c>
      <c r="Z5" s="66">
        <v>83421.2</v>
      </c>
      <c r="AA5" s="66">
        <v>83617.8</v>
      </c>
      <c r="AB5" s="66">
        <v>83862.5</v>
      </c>
      <c r="AC5" s="66">
        <v>84061.9</v>
      </c>
      <c r="AD5" s="66">
        <v>84297.600000000006</v>
      </c>
      <c r="AE5" s="66">
        <v>84489.9</v>
      </c>
      <c r="AF5" s="66">
        <v>84725.1</v>
      </c>
      <c r="AG5" s="66">
        <v>84941.6</v>
      </c>
      <c r="AH5" s="66">
        <v>85147.8</v>
      </c>
      <c r="AI5" s="31"/>
    </row>
    <row r="6" spans="1:42" s="34" customFormat="1" ht="25.7" customHeight="1" x14ac:dyDescent="0.25">
      <c r="A6" s="99"/>
      <c r="B6" s="32"/>
      <c r="C6" s="100"/>
      <c r="D6" s="68"/>
      <c r="E6" s="68">
        <f t="shared" ref="E6:AH6" si="0">E5-D5</f>
        <v>158.40000000000873</v>
      </c>
      <c r="F6" s="68">
        <f t="shared" si="0"/>
        <v>157.89999999999418</v>
      </c>
      <c r="G6" s="68">
        <f t="shared" si="0"/>
        <v>201.60000000000582</v>
      </c>
      <c r="H6" s="68">
        <f t="shared" si="0"/>
        <v>248.79999999998836</v>
      </c>
      <c r="I6" s="68">
        <f t="shared" si="0"/>
        <v>284.5</v>
      </c>
      <c r="J6" s="68">
        <f t="shared" si="0"/>
        <v>315.10000000000582</v>
      </c>
      <c r="K6" s="68">
        <f t="shared" si="0"/>
        <v>298.30000000000291</v>
      </c>
      <c r="L6" s="68">
        <f t="shared" si="0"/>
        <v>244.19999999999709</v>
      </c>
      <c r="M6" s="68">
        <f t="shared" si="0"/>
        <v>184</v>
      </c>
      <c r="N6" s="68">
        <f t="shared" si="0"/>
        <v>183.80000000000291</v>
      </c>
      <c r="O6" s="68">
        <f t="shared" si="0"/>
        <v>240</v>
      </c>
      <c r="P6" s="68">
        <f t="shared" si="0"/>
        <v>306.5</v>
      </c>
      <c r="Q6" s="68">
        <f t="shared" si="0"/>
        <v>195.5</v>
      </c>
      <c r="R6" s="68">
        <f t="shared" si="0"/>
        <v>250</v>
      </c>
      <c r="S6" s="68">
        <f t="shared" si="0"/>
        <v>214.30000000000291</v>
      </c>
      <c r="T6" s="68">
        <f t="shared" si="0"/>
        <v>227.59999999999127</v>
      </c>
      <c r="U6" s="68">
        <f t="shared" si="0"/>
        <v>192.90000000000873</v>
      </c>
      <c r="V6" s="68">
        <f t="shared" si="0"/>
        <v>191.19999999999709</v>
      </c>
      <c r="W6" s="68">
        <f t="shared" si="0"/>
        <v>229.5</v>
      </c>
      <c r="X6" s="68">
        <f t="shared" si="0"/>
        <v>219.19999999999709</v>
      </c>
      <c r="Y6" s="68">
        <f t="shared" si="0"/>
        <v>220.10000000000582</v>
      </c>
      <c r="Z6" s="68">
        <f t="shared" si="0"/>
        <v>233.09999999999127</v>
      </c>
      <c r="AA6" s="68">
        <f t="shared" si="0"/>
        <v>196.60000000000582</v>
      </c>
      <c r="AB6" s="68">
        <f t="shared" si="0"/>
        <v>244.69999999999709</v>
      </c>
      <c r="AC6" s="68">
        <f t="shared" si="0"/>
        <v>199.39999999999418</v>
      </c>
      <c r="AD6" s="68">
        <f t="shared" si="0"/>
        <v>235.70000000001164</v>
      </c>
      <c r="AE6" s="68">
        <f t="shared" si="0"/>
        <v>192.29999999998836</v>
      </c>
      <c r="AF6" s="68">
        <f t="shared" si="0"/>
        <v>235.20000000001164</v>
      </c>
      <c r="AG6" s="68">
        <f t="shared" si="0"/>
        <v>216.5</v>
      </c>
      <c r="AH6" s="68">
        <f t="shared" si="0"/>
        <v>206.19999999999709</v>
      </c>
      <c r="AI6" s="33"/>
      <c r="AJ6" s="8"/>
      <c r="AK6" s="8"/>
      <c r="AL6" s="8"/>
      <c r="AM6" s="8"/>
      <c r="AN6" s="8"/>
      <c r="AO6" s="8"/>
      <c r="AP6" s="8"/>
    </row>
    <row r="7" spans="1:42" s="8" customFormat="1" ht="39.75" customHeight="1" x14ac:dyDescent="0.25">
      <c r="A7" s="98" t="s">
        <v>39</v>
      </c>
      <c r="B7" s="49" t="s">
        <v>69</v>
      </c>
      <c r="C7" s="100" t="s">
        <v>70</v>
      </c>
      <c r="D7" s="67">
        <v>84426.6</v>
      </c>
      <c r="E7" s="67">
        <v>84742.7</v>
      </c>
      <c r="F7" s="67">
        <v>85070.5</v>
      </c>
      <c r="G7" s="67">
        <v>85382.3</v>
      </c>
      <c r="H7" s="67">
        <v>85620.2</v>
      </c>
      <c r="I7" s="67">
        <v>85969</v>
      </c>
      <c r="J7" s="67">
        <v>86332.6</v>
      </c>
      <c r="K7" s="67">
        <v>86596.6</v>
      </c>
      <c r="L7" s="67">
        <v>87024.7</v>
      </c>
      <c r="M7" s="67">
        <v>87435.4</v>
      </c>
      <c r="N7" s="67">
        <v>87864</v>
      </c>
      <c r="O7" s="67">
        <v>88264.5</v>
      </c>
      <c r="P7" s="67">
        <v>88687.7</v>
      </c>
      <c r="Q7" s="67">
        <v>89109.4</v>
      </c>
      <c r="R7" s="67">
        <v>89402.1</v>
      </c>
      <c r="S7" s="67">
        <v>89890.3</v>
      </c>
      <c r="T7" s="67">
        <v>90283.7</v>
      </c>
      <c r="U7" s="67">
        <v>90720.7</v>
      </c>
      <c r="V7" s="67">
        <v>91176.4</v>
      </c>
      <c r="W7" s="67">
        <v>91585.3</v>
      </c>
      <c r="X7" s="67">
        <v>91964.9</v>
      </c>
      <c r="Y7" s="67">
        <v>92257.3</v>
      </c>
      <c r="Z7" s="67">
        <v>92646.1</v>
      </c>
      <c r="AA7" s="67">
        <v>93082.8</v>
      </c>
      <c r="AB7" s="67">
        <v>93498.9</v>
      </c>
      <c r="AC7" s="67">
        <v>93937.600000000006</v>
      </c>
      <c r="AD7" s="67">
        <v>94380.9</v>
      </c>
      <c r="AE7" s="67">
        <v>94842.8</v>
      </c>
      <c r="AF7" s="67">
        <v>95140.800000000003</v>
      </c>
      <c r="AG7" s="67">
        <v>95571.8</v>
      </c>
      <c r="AH7" s="67">
        <v>95953.600000000006</v>
      </c>
      <c r="AI7" s="31"/>
    </row>
    <row r="8" spans="1:42" s="34" customFormat="1" ht="25.7" customHeight="1" x14ac:dyDescent="0.25">
      <c r="A8" s="99"/>
      <c r="B8" s="47"/>
      <c r="C8" s="100"/>
      <c r="D8" s="68"/>
      <c r="E8" s="68">
        <f t="shared" ref="E8:AH8" si="1">E7-D7</f>
        <v>316.09999999999127</v>
      </c>
      <c r="F8" s="68">
        <f t="shared" si="1"/>
        <v>327.80000000000291</v>
      </c>
      <c r="G8" s="68">
        <f t="shared" si="1"/>
        <v>311.80000000000291</v>
      </c>
      <c r="H8" s="68">
        <f t="shared" si="1"/>
        <v>237.89999999999418</v>
      </c>
      <c r="I8" s="68">
        <f t="shared" si="1"/>
        <v>348.80000000000291</v>
      </c>
      <c r="J8" s="68">
        <f t="shared" si="1"/>
        <v>363.60000000000582</v>
      </c>
      <c r="K8" s="68">
        <f t="shared" si="1"/>
        <v>264</v>
      </c>
      <c r="L8" s="68">
        <f t="shared" si="1"/>
        <v>428.09999999999127</v>
      </c>
      <c r="M8" s="68">
        <f t="shared" si="1"/>
        <v>410.69999999999709</v>
      </c>
      <c r="N8" s="68">
        <f t="shared" si="1"/>
        <v>428.60000000000582</v>
      </c>
      <c r="O8" s="68">
        <f t="shared" si="1"/>
        <v>400.5</v>
      </c>
      <c r="P8" s="68">
        <f t="shared" si="1"/>
        <v>423.19999999999709</v>
      </c>
      <c r="Q8" s="68">
        <f t="shared" si="1"/>
        <v>421.69999999999709</v>
      </c>
      <c r="R8" s="68">
        <f t="shared" si="1"/>
        <v>292.70000000001164</v>
      </c>
      <c r="S8" s="68">
        <f t="shared" si="1"/>
        <v>488.19999999999709</v>
      </c>
      <c r="T8" s="68">
        <f t="shared" si="1"/>
        <v>393.39999999999418</v>
      </c>
      <c r="U8" s="68">
        <f t="shared" si="1"/>
        <v>437</v>
      </c>
      <c r="V8" s="68">
        <f t="shared" si="1"/>
        <v>455.69999999999709</v>
      </c>
      <c r="W8" s="68">
        <f t="shared" si="1"/>
        <v>408.90000000000873</v>
      </c>
      <c r="X8" s="68">
        <f t="shared" si="1"/>
        <v>379.59999999999127</v>
      </c>
      <c r="Y8" s="68">
        <f t="shared" si="1"/>
        <v>292.40000000000873</v>
      </c>
      <c r="Z8" s="68">
        <f t="shared" si="1"/>
        <v>388.80000000000291</v>
      </c>
      <c r="AA8" s="68">
        <f t="shared" si="1"/>
        <v>436.69999999999709</v>
      </c>
      <c r="AB8" s="68">
        <f t="shared" si="1"/>
        <v>416.09999999999127</v>
      </c>
      <c r="AC8" s="68">
        <f t="shared" si="1"/>
        <v>438.70000000001164</v>
      </c>
      <c r="AD8" s="68">
        <f t="shared" si="1"/>
        <v>443.29999999998836</v>
      </c>
      <c r="AE8" s="68">
        <f t="shared" si="1"/>
        <v>461.90000000000873</v>
      </c>
      <c r="AF8" s="68">
        <f t="shared" si="1"/>
        <v>298</v>
      </c>
      <c r="AG8" s="68">
        <f t="shared" si="1"/>
        <v>431</v>
      </c>
      <c r="AH8" s="68">
        <f t="shared" si="1"/>
        <v>381.80000000000291</v>
      </c>
      <c r="AI8" s="33"/>
      <c r="AJ8" s="8"/>
      <c r="AK8" s="8"/>
      <c r="AL8" s="8"/>
      <c r="AM8" s="8"/>
      <c r="AN8" s="8"/>
      <c r="AO8" s="8"/>
      <c r="AP8" s="8"/>
    </row>
    <row r="9" spans="1:42" s="8" customFormat="1" ht="25.7" customHeight="1" x14ac:dyDescent="0.25">
      <c r="A9" s="98">
        <v>4</v>
      </c>
      <c r="B9" s="46" t="s">
        <v>71</v>
      </c>
      <c r="C9" s="100" t="s">
        <v>72</v>
      </c>
      <c r="D9" s="69">
        <v>20663</v>
      </c>
      <c r="E9" s="69">
        <v>20761</v>
      </c>
      <c r="F9" s="69">
        <v>20878</v>
      </c>
      <c r="G9" s="69">
        <v>20984</v>
      </c>
      <c r="H9" s="69">
        <v>20984</v>
      </c>
      <c r="I9" s="69">
        <v>21091</v>
      </c>
      <c r="J9" s="69">
        <v>21208</v>
      </c>
      <c r="K9" s="69">
        <v>21208</v>
      </c>
      <c r="L9" s="69">
        <v>21375</v>
      </c>
      <c r="M9" s="69">
        <v>21540</v>
      </c>
      <c r="N9" s="69">
        <v>21694</v>
      </c>
      <c r="O9" s="69">
        <v>21815</v>
      </c>
      <c r="P9" s="69">
        <v>21954</v>
      </c>
      <c r="Q9" s="69">
        <v>22094</v>
      </c>
      <c r="R9" s="69">
        <v>22094</v>
      </c>
      <c r="S9" s="69">
        <v>22236</v>
      </c>
      <c r="T9" s="69">
        <v>22409</v>
      </c>
      <c r="U9" s="69">
        <v>22561</v>
      </c>
      <c r="V9" s="69">
        <v>22725</v>
      </c>
      <c r="W9" s="69">
        <v>22886</v>
      </c>
      <c r="X9" s="69">
        <v>22996</v>
      </c>
      <c r="Y9" s="69">
        <v>22996</v>
      </c>
      <c r="Z9" s="69">
        <v>23140</v>
      </c>
      <c r="AA9" s="69">
        <v>23275</v>
      </c>
      <c r="AB9" s="69">
        <v>23410</v>
      </c>
      <c r="AC9" s="69">
        <v>23563</v>
      </c>
      <c r="AD9" s="69">
        <v>23717</v>
      </c>
      <c r="AE9" s="69">
        <v>23881</v>
      </c>
      <c r="AF9" s="69">
        <v>23881</v>
      </c>
      <c r="AG9" s="69">
        <v>24027</v>
      </c>
      <c r="AH9" s="69">
        <v>24100</v>
      </c>
      <c r="AI9" s="31"/>
    </row>
    <row r="10" spans="1:42" s="34" customFormat="1" ht="25.7" customHeight="1" x14ac:dyDescent="0.25">
      <c r="A10" s="99"/>
      <c r="B10" s="47"/>
      <c r="C10" s="100"/>
      <c r="D10" s="68"/>
      <c r="E10" s="68">
        <f t="shared" ref="E10:AH14" si="2">E9-D9</f>
        <v>98</v>
      </c>
      <c r="F10" s="68">
        <f t="shared" si="2"/>
        <v>117</v>
      </c>
      <c r="G10" s="68">
        <f t="shared" si="2"/>
        <v>106</v>
      </c>
      <c r="H10" s="68">
        <f t="shared" si="2"/>
        <v>0</v>
      </c>
      <c r="I10" s="68">
        <f t="shared" si="2"/>
        <v>107</v>
      </c>
      <c r="J10" s="68">
        <f t="shared" si="2"/>
        <v>117</v>
      </c>
      <c r="K10" s="68">
        <f t="shared" si="2"/>
        <v>0</v>
      </c>
      <c r="L10" s="68">
        <f t="shared" si="2"/>
        <v>167</v>
      </c>
      <c r="M10" s="68">
        <f t="shared" si="2"/>
        <v>165</v>
      </c>
      <c r="N10" s="68">
        <f t="shared" si="2"/>
        <v>154</v>
      </c>
      <c r="O10" s="68">
        <f t="shared" si="2"/>
        <v>121</v>
      </c>
      <c r="P10" s="68">
        <f t="shared" si="2"/>
        <v>139</v>
      </c>
      <c r="Q10" s="68">
        <f t="shared" si="2"/>
        <v>140</v>
      </c>
      <c r="R10" s="68">
        <f t="shared" si="2"/>
        <v>0</v>
      </c>
      <c r="S10" s="68">
        <f t="shared" si="2"/>
        <v>142</v>
      </c>
      <c r="T10" s="68">
        <f t="shared" si="2"/>
        <v>173</v>
      </c>
      <c r="U10" s="68">
        <f t="shared" si="2"/>
        <v>152</v>
      </c>
      <c r="V10" s="68">
        <f t="shared" si="2"/>
        <v>164</v>
      </c>
      <c r="W10" s="68">
        <f t="shared" si="2"/>
        <v>161</v>
      </c>
      <c r="X10" s="68">
        <f t="shared" si="2"/>
        <v>110</v>
      </c>
      <c r="Y10" s="68">
        <f t="shared" si="2"/>
        <v>0</v>
      </c>
      <c r="Z10" s="68">
        <f t="shared" si="2"/>
        <v>144</v>
      </c>
      <c r="AA10" s="68">
        <f t="shared" si="2"/>
        <v>135</v>
      </c>
      <c r="AB10" s="68">
        <f t="shared" si="2"/>
        <v>135</v>
      </c>
      <c r="AC10" s="68">
        <f t="shared" si="2"/>
        <v>153</v>
      </c>
      <c r="AD10" s="68">
        <f t="shared" si="2"/>
        <v>154</v>
      </c>
      <c r="AE10" s="68">
        <f t="shared" si="2"/>
        <v>164</v>
      </c>
      <c r="AF10" s="68">
        <f t="shared" si="2"/>
        <v>0</v>
      </c>
      <c r="AG10" s="68">
        <f t="shared" si="2"/>
        <v>146</v>
      </c>
      <c r="AH10" s="68">
        <f t="shared" si="2"/>
        <v>73</v>
      </c>
      <c r="AI10" s="33"/>
      <c r="AJ10" s="8"/>
      <c r="AK10" s="8"/>
      <c r="AL10" s="8"/>
      <c r="AM10" s="8"/>
      <c r="AN10" s="8"/>
      <c r="AO10" s="8"/>
      <c r="AP10" s="8"/>
    </row>
    <row r="11" spans="1:42" s="8" customFormat="1" ht="25.7" customHeight="1" x14ac:dyDescent="0.25">
      <c r="A11" s="101">
        <v>5</v>
      </c>
      <c r="B11" s="27">
        <v>68864837</v>
      </c>
      <c r="C11" s="100" t="s">
        <v>73</v>
      </c>
      <c r="D11" s="31">
        <v>3980.8049999999998</v>
      </c>
      <c r="E11" s="31">
        <v>3983.2370000000001</v>
      </c>
      <c r="F11" s="31">
        <v>3984.3609999999999</v>
      </c>
      <c r="G11" s="31">
        <v>3985.4940000000001</v>
      </c>
      <c r="H11" s="31">
        <v>3986.4119999999998</v>
      </c>
      <c r="I11" s="31">
        <v>3988.114</v>
      </c>
      <c r="J11" s="31">
        <v>3990.4029999999998</v>
      </c>
      <c r="K11" s="31">
        <v>3994.174</v>
      </c>
      <c r="L11" s="31">
        <v>3997.2359999999999</v>
      </c>
      <c r="M11" s="31">
        <v>3999.6309999999999</v>
      </c>
      <c r="N11" s="31">
        <v>4001.14</v>
      </c>
      <c r="O11" s="31">
        <v>4002.59</v>
      </c>
      <c r="P11" s="31">
        <v>4003.7809999999999</v>
      </c>
      <c r="Q11" s="31">
        <v>4004.9609999999998</v>
      </c>
      <c r="R11" s="31">
        <v>4006.8290000000002</v>
      </c>
      <c r="S11" s="31">
        <v>4008.2469999999998</v>
      </c>
      <c r="T11" s="31">
        <v>4009.9450000000002</v>
      </c>
      <c r="U11" s="31">
        <v>4011.5320000000002</v>
      </c>
      <c r="V11" s="70">
        <v>4012.7660000000001</v>
      </c>
      <c r="W11" s="31">
        <v>4013.636</v>
      </c>
      <c r="X11" s="31">
        <v>4014.895</v>
      </c>
      <c r="Y11" s="31">
        <v>4016.2860000000001</v>
      </c>
      <c r="Z11" s="31">
        <v>4018.3310000000001</v>
      </c>
      <c r="AA11" s="31">
        <v>4020.2350000000001</v>
      </c>
      <c r="AB11" s="31">
        <v>4021.828</v>
      </c>
      <c r="AC11" s="31">
        <v>4023.3020000000001</v>
      </c>
      <c r="AD11" s="31">
        <v>4024.3980000000001</v>
      </c>
      <c r="AE11" s="31">
        <v>4025.4290000000001</v>
      </c>
      <c r="AF11" s="31">
        <v>4026.4810000000002</v>
      </c>
      <c r="AG11" s="31">
        <v>4028.1759999999999</v>
      </c>
      <c r="AH11" s="31">
        <v>4029.6329999999998</v>
      </c>
      <c r="AI11" s="31"/>
    </row>
    <row r="12" spans="1:42" s="8" customFormat="1" ht="25.7" customHeight="1" x14ac:dyDescent="0.25">
      <c r="A12" s="102"/>
      <c r="B12" s="48"/>
      <c r="C12" s="100"/>
      <c r="D12" s="71"/>
      <c r="E12" s="71">
        <f t="shared" si="2"/>
        <v>2.4320000000002437</v>
      </c>
      <c r="F12" s="71">
        <f t="shared" si="2"/>
        <v>1.1239999999997963</v>
      </c>
      <c r="G12" s="71">
        <f t="shared" si="2"/>
        <v>1.1330000000002656</v>
      </c>
      <c r="H12" s="71">
        <f t="shared" si="2"/>
        <v>0.91799999999966531</v>
      </c>
      <c r="I12" s="71">
        <f t="shared" si="2"/>
        <v>1.7020000000002256</v>
      </c>
      <c r="J12" s="71">
        <f t="shared" si="2"/>
        <v>2.2889999999997599</v>
      </c>
      <c r="K12" s="71">
        <f t="shared" si="2"/>
        <v>3.7710000000001855</v>
      </c>
      <c r="L12" s="71">
        <f t="shared" si="2"/>
        <v>3.0619999999998981</v>
      </c>
      <c r="M12" s="71">
        <f t="shared" si="2"/>
        <v>2.3949999999999818</v>
      </c>
      <c r="N12" s="71">
        <f t="shared" si="2"/>
        <v>1.5090000000000146</v>
      </c>
      <c r="O12" s="71">
        <f t="shared" si="2"/>
        <v>1.4500000000002728</v>
      </c>
      <c r="P12" s="71">
        <f t="shared" si="2"/>
        <v>1.1909999999998035</v>
      </c>
      <c r="Q12" s="71">
        <f t="shared" si="2"/>
        <v>1.1799999999998363</v>
      </c>
      <c r="R12" s="71">
        <f t="shared" si="2"/>
        <v>1.8680000000003929</v>
      </c>
      <c r="S12" s="71">
        <f t="shared" si="2"/>
        <v>1.4179999999996653</v>
      </c>
      <c r="T12" s="71">
        <f t="shared" si="2"/>
        <v>1.6980000000003201</v>
      </c>
      <c r="U12" s="71">
        <f t="shared" si="2"/>
        <v>1.5869999999999891</v>
      </c>
      <c r="V12" s="71">
        <f t="shared" si="2"/>
        <v>1.2339999999999236</v>
      </c>
      <c r="W12" s="71">
        <f t="shared" si="2"/>
        <v>0.86999999999989086</v>
      </c>
      <c r="X12" s="71">
        <f t="shared" si="2"/>
        <v>1.2590000000000146</v>
      </c>
      <c r="Y12" s="71">
        <f t="shared" si="2"/>
        <v>1.3910000000000764</v>
      </c>
      <c r="Z12" s="71">
        <f t="shared" si="2"/>
        <v>2.0450000000000728</v>
      </c>
      <c r="AA12" s="71">
        <f t="shared" si="2"/>
        <v>1.9039999999999964</v>
      </c>
      <c r="AB12" s="71">
        <f t="shared" si="2"/>
        <v>1.5929999999998472</v>
      </c>
      <c r="AC12" s="71">
        <f t="shared" si="2"/>
        <v>1.4740000000001601</v>
      </c>
      <c r="AD12" s="71">
        <f t="shared" si="2"/>
        <v>1.0960000000000036</v>
      </c>
      <c r="AE12" s="71">
        <f t="shared" si="2"/>
        <v>1.0309999999999491</v>
      </c>
      <c r="AF12" s="71">
        <f t="shared" si="2"/>
        <v>1.0520000000001346</v>
      </c>
      <c r="AG12" s="71">
        <f t="shared" si="2"/>
        <v>1.694999999999709</v>
      </c>
      <c r="AH12" s="71">
        <f t="shared" si="2"/>
        <v>1.4569999999998799</v>
      </c>
      <c r="AI12" s="33"/>
    </row>
    <row r="13" spans="1:42" s="8" customFormat="1" ht="25.7" customHeight="1" x14ac:dyDescent="0.25">
      <c r="A13" s="101">
        <v>6</v>
      </c>
      <c r="B13" s="27">
        <v>65296485</v>
      </c>
      <c r="C13" s="100" t="s">
        <v>74</v>
      </c>
      <c r="D13" s="31">
        <v>6948.1769999999997</v>
      </c>
      <c r="E13" s="31">
        <v>6949.54</v>
      </c>
      <c r="F13" s="31">
        <v>6955.0420000000004</v>
      </c>
      <c r="G13" s="31">
        <v>6957.0309999999999</v>
      </c>
      <c r="H13" s="31">
        <v>6960.2510000000002</v>
      </c>
      <c r="I13" s="31">
        <v>6975.6469999999999</v>
      </c>
      <c r="J13" s="31">
        <v>6982.9110000000001</v>
      </c>
      <c r="K13" s="31">
        <v>6994.6409999999996</v>
      </c>
      <c r="L13" s="31">
        <v>7002.3789999999999</v>
      </c>
      <c r="M13" s="31">
        <v>7005.6019999999999</v>
      </c>
      <c r="N13" s="31">
        <v>7011.36</v>
      </c>
      <c r="O13" s="31">
        <v>7016.0969999999998</v>
      </c>
      <c r="P13" s="31">
        <v>7019.5940000000001</v>
      </c>
      <c r="Q13" s="31">
        <v>7022.7060000000001</v>
      </c>
      <c r="R13" s="31">
        <v>7024.2089999999998</v>
      </c>
      <c r="S13" s="31">
        <v>7027.6629999999996</v>
      </c>
      <c r="T13" s="31">
        <v>7030.8239999999996</v>
      </c>
      <c r="U13" s="31">
        <v>7037.57</v>
      </c>
      <c r="V13" s="70">
        <v>7039.4560000000001</v>
      </c>
      <c r="W13" s="31">
        <v>7041.0230000000001</v>
      </c>
      <c r="X13" s="31">
        <v>7042.5879999999997</v>
      </c>
      <c r="Y13" s="31">
        <v>7044.1729999999998</v>
      </c>
      <c r="Z13" s="31">
        <v>7047.5230000000001</v>
      </c>
      <c r="AA13" s="31">
        <v>7050.9589999999998</v>
      </c>
      <c r="AB13" s="31">
        <v>7053.317</v>
      </c>
      <c r="AC13" s="31">
        <v>7055.4579999999996</v>
      </c>
      <c r="AD13" s="31">
        <v>7058.0749999999998</v>
      </c>
      <c r="AE13" s="31">
        <v>7059.7439999999997</v>
      </c>
      <c r="AF13" s="31">
        <v>7062.415</v>
      </c>
      <c r="AG13" s="31">
        <v>7066.3950000000004</v>
      </c>
      <c r="AH13" s="31">
        <v>7069.6750000000002</v>
      </c>
      <c r="AI13" s="31"/>
    </row>
    <row r="14" spans="1:42" s="8" customFormat="1" ht="25.7" customHeight="1" x14ac:dyDescent="0.25">
      <c r="A14" s="102"/>
      <c r="B14" s="48"/>
      <c r="C14" s="100"/>
      <c r="D14" s="71"/>
      <c r="E14" s="71">
        <f t="shared" si="2"/>
        <v>1.3630000000002838</v>
      </c>
      <c r="F14" s="71">
        <f t="shared" si="2"/>
        <v>5.5020000000004075</v>
      </c>
      <c r="G14" s="71">
        <f t="shared" si="2"/>
        <v>1.988999999999578</v>
      </c>
      <c r="H14" s="71">
        <f t="shared" si="2"/>
        <v>3.2200000000002547</v>
      </c>
      <c r="I14" s="71">
        <f t="shared" si="2"/>
        <v>15.395999999999731</v>
      </c>
      <c r="J14" s="71">
        <f t="shared" si="2"/>
        <v>7.2640000000001237</v>
      </c>
      <c r="K14" s="71">
        <f t="shared" si="2"/>
        <v>11.729999999999563</v>
      </c>
      <c r="L14" s="71">
        <f t="shared" si="2"/>
        <v>7.7380000000002838</v>
      </c>
      <c r="M14" s="71">
        <f t="shared" si="2"/>
        <v>3.2229999999999563</v>
      </c>
      <c r="N14" s="71">
        <f t="shared" si="2"/>
        <v>5.7579999999998108</v>
      </c>
      <c r="O14" s="71">
        <f t="shared" si="2"/>
        <v>4.73700000000008</v>
      </c>
      <c r="P14" s="71">
        <f t="shared" si="2"/>
        <v>3.4970000000002983</v>
      </c>
      <c r="Q14" s="71">
        <f t="shared" si="2"/>
        <v>3.11200000000008</v>
      </c>
      <c r="R14" s="71">
        <f t="shared" si="2"/>
        <v>1.5029999999997017</v>
      </c>
      <c r="S14" s="71">
        <f t="shared" si="2"/>
        <v>3.4539999999997235</v>
      </c>
      <c r="T14" s="71">
        <f t="shared" si="2"/>
        <v>3.1610000000000582</v>
      </c>
      <c r="U14" s="71">
        <f t="shared" si="2"/>
        <v>6.7460000000000946</v>
      </c>
      <c r="V14" s="71">
        <f t="shared" si="2"/>
        <v>1.886000000000422</v>
      </c>
      <c r="W14" s="71">
        <f t="shared" si="2"/>
        <v>1.5670000000000073</v>
      </c>
      <c r="X14" s="71">
        <f t="shared" si="2"/>
        <v>1.5649999999995998</v>
      </c>
      <c r="Y14" s="71">
        <f t="shared" si="2"/>
        <v>1.5850000000000364</v>
      </c>
      <c r="Z14" s="71">
        <f t="shared" si="2"/>
        <v>3.3500000000003638</v>
      </c>
      <c r="AA14" s="71">
        <f t="shared" si="2"/>
        <v>3.4359999999996944</v>
      </c>
      <c r="AB14" s="71">
        <f t="shared" si="2"/>
        <v>2.3580000000001746</v>
      </c>
      <c r="AC14" s="71">
        <f t="shared" si="2"/>
        <v>2.1409999999996217</v>
      </c>
      <c r="AD14" s="71">
        <f t="shared" si="2"/>
        <v>2.6170000000001892</v>
      </c>
      <c r="AE14" s="71">
        <f t="shared" si="2"/>
        <v>1.668999999999869</v>
      </c>
      <c r="AF14" s="71">
        <f t="shared" si="2"/>
        <v>2.6710000000002765</v>
      </c>
      <c r="AG14" s="71">
        <f t="shared" si="2"/>
        <v>3.9800000000004729</v>
      </c>
      <c r="AH14" s="71">
        <f t="shared" si="2"/>
        <v>3.2799999999997453</v>
      </c>
      <c r="AI14" s="33"/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94" t="s">
        <v>75</v>
      </c>
      <c r="C15" s="94"/>
      <c r="D15" s="50"/>
      <c r="E15" s="57">
        <f>E6+((E8*45%)+(E10*45%)+(E12+E14))</f>
        <v>348.54000000000531</v>
      </c>
      <c r="F15" s="57">
        <f t="shared" ref="F15:AH15" si="3">F6+((F8*45%)+(F10*45%)+(F12+F14))</f>
        <v>364.68599999999572</v>
      </c>
      <c r="G15" s="57">
        <f t="shared" si="3"/>
        <v>392.73200000000696</v>
      </c>
      <c r="H15" s="57">
        <f t="shared" si="3"/>
        <v>359.99299999998567</v>
      </c>
      <c r="I15" s="57">
        <f t="shared" si="3"/>
        <v>506.70800000000128</v>
      </c>
      <c r="J15" s="57">
        <f t="shared" si="3"/>
        <v>540.9230000000083</v>
      </c>
      <c r="K15" s="57">
        <f t="shared" si="3"/>
        <v>432.60100000000267</v>
      </c>
      <c r="L15" s="57">
        <f t="shared" si="3"/>
        <v>522.79499999999337</v>
      </c>
      <c r="M15" s="57">
        <f t="shared" si="3"/>
        <v>448.68299999999863</v>
      </c>
      <c r="N15" s="57">
        <f t="shared" si="3"/>
        <v>453.23700000000537</v>
      </c>
      <c r="O15" s="57">
        <f t="shared" si="3"/>
        <v>480.86200000000036</v>
      </c>
      <c r="P15" s="57">
        <f t="shared" si="3"/>
        <v>564.17799999999875</v>
      </c>
      <c r="Q15" s="57">
        <f t="shared" si="3"/>
        <v>452.55699999999865</v>
      </c>
      <c r="R15" s="57">
        <f t="shared" si="3"/>
        <v>385.08600000000536</v>
      </c>
      <c r="S15" s="57">
        <f t="shared" si="3"/>
        <v>502.76200000000097</v>
      </c>
      <c r="T15" s="57">
        <f t="shared" si="3"/>
        <v>487.33899999998903</v>
      </c>
      <c r="U15" s="57">
        <f t="shared" si="3"/>
        <v>466.28300000000883</v>
      </c>
      <c r="V15" s="57">
        <f t="shared" si="3"/>
        <v>473.18499999999614</v>
      </c>
      <c r="W15" s="57">
        <f t="shared" si="3"/>
        <v>488.39200000000386</v>
      </c>
      <c r="X15" s="57">
        <f t="shared" si="3"/>
        <v>442.34399999999277</v>
      </c>
      <c r="Y15" s="57">
        <f t="shared" si="3"/>
        <v>354.65600000000984</v>
      </c>
      <c r="Z15" s="57">
        <f t="shared" si="3"/>
        <v>478.254999999993</v>
      </c>
      <c r="AA15" s="57">
        <f t="shared" si="3"/>
        <v>459.20500000000425</v>
      </c>
      <c r="AB15" s="57">
        <f t="shared" si="3"/>
        <v>496.64599999999319</v>
      </c>
      <c r="AC15" s="57">
        <f t="shared" si="3"/>
        <v>469.27999999999923</v>
      </c>
      <c r="AD15" s="57">
        <f t="shared" si="3"/>
        <v>508.19800000000657</v>
      </c>
      <c r="AE15" s="57">
        <f t="shared" si="3"/>
        <v>476.65499999999213</v>
      </c>
      <c r="AF15" s="57">
        <f t="shared" si="3"/>
        <v>373.02300000001208</v>
      </c>
      <c r="AG15" s="57">
        <f t="shared" si="3"/>
        <v>481.82500000000022</v>
      </c>
      <c r="AH15" s="57">
        <f t="shared" si="3"/>
        <v>415.59699999999805</v>
      </c>
      <c r="AI15" s="57"/>
    </row>
    <row r="16" spans="1:42" ht="33" customHeight="1" x14ac:dyDescent="0.25">
      <c r="B16" s="93" t="s">
        <v>76</v>
      </c>
      <c r="C16" s="93"/>
      <c r="D16" s="50"/>
      <c r="E16" s="57">
        <f>SUM(E15:AI15)</f>
        <v>13627.226000000006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25"/>
    <row r="22" s="2" customFormat="1" ht="70.5" customHeight="1" x14ac:dyDescent="0.25"/>
    <row r="23" s="2" customFormat="1" ht="70.5" customHeight="1" x14ac:dyDescent="0.25"/>
    <row r="24" s="2" customFormat="1" ht="70.5" customHeight="1" x14ac:dyDescent="0.25"/>
    <row r="25" s="2" customFormat="1" ht="70.5" customHeight="1" x14ac:dyDescent="0.25"/>
    <row r="26" s="2" customFormat="1" ht="70.5" customHeight="1" x14ac:dyDescent="0.25"/>
    <row r="27" s="2" customFormat="1" ht="70.5" customHeight="1" x14ac:dyDescent="0.25"/>
    <row r="28" s="2" customFormat="1" ht="70.5" customHeight="1" x14ac:dyDescent="0.25"/>
    <row r="29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5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6"/>
  <sheetViews>
    <sheetView zoomScaleNormal="100" workbookViewId="0">
      <pane ySplit="3" topLeftCell="A26" activePane="bottomLeft" state="frozen"/>
      <selection pane="bottomLeft" activeCell="C5" sqref="C5:C33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</cols>
  <sheetData>
    <row r="1" spans="1:7" ht="50.25" customHeight="1" x14ac:dyDescent="0.25">
      <c r="A1" s="104" t="s">
        <v>85</v>
      </c>
      <c r="B1" s="104"/>
      <c r="C1" s="104"/>
    </row>
    <row r="3" spans="1:7" ht="48" x14ac:dyDescent="0.25">
      <c r="A3" s="51" t="s">
        <v>36</v>
      </c>
      <c r="B3" s="52">
        <v>50185.48</v>
      </c>
      <c r="C3" s="53"/>
    </row>
    <row r="4" spans="1:7" ht="28.5" customHeight="1" x14ac:dyDescent="0.25">
      <c r="A4" s="54">
        <v>1</v>
      </c>
      <c r="B4" s="52"/>
      <c r="C4" s="53">
        <f>B3/30</f>
        <v>1672.8493333333333</v>
      </c>
    </row>
    <row r="5" spans="1:7" ht="28.5" customHeight="1" x14ac:dyDescent="0.25">
      <c r="A5" s="54">
        <v>2</v>
      </c>
      <c r="B5" s="52"/>
      <c r="C5" s="53">
        <v>1672.8493333333333</v>
      </c>
    </row>
    <row r="6" spans="1:7" ht="28.5" customHeight="1" x14ac:dyDescent="0.25">
      <c r="A6" s="55">
        <v>3</v>
      </c>
      <c r="B6" s="52"/>
      <c r="C6" s="53">
        <v>1672.8493333333333</v>
      </c>
    </row>
    <row r="7" spans="1:7" ht="28.5" customHeight="1" x14ac:dyDescent="0.25">
      <c r="A7" s="54">
        <v>4</v>
      </c>
      <c r="B7" s="52"/>
      <c r="C7" s="53">
        <v>1672.8493333333333</v>
      </c>
    </row>
    <row r="8" spans="1:7" ht="28.5" customHeight="1" x14ac:dyDescent="0.25">
      <c r="A8" s="54">
        <v>5</v>
      </c>
      <c r="B8" s="52"/>
      <c r="C8" s="53">
        <v>1672.8493333333333</v>
      </c>
    </row>
    <row r="9" spans="1:7" ht="28.5" customHeight="1" x14ac:dyDescent="0.25">
      <c r="A9" s="54">
        <v>6</v>
      </c>
      <c r="B9" s="52"/>
      <c r="C9" s="53">
        <v>1672.8493333333333</v>
      </c>
      <c r="G9" t="s">
        <v>77</v>
      </c>
    </row>
    <row r="10" spans="1:7" ht="28.5" customHeight="1" x14ac:dyDescent="0.25">
      <c r="A10" s="54">
        <v>7</v>
      </c>
      <c r="B10" s="52"/>
      <c r="C10" s="53">
        <v>1672.8493333333333</v>
      </c>
    </row>
    <row r="11" spans="1:7" ht="28.5" customHeight="1" x14ac:dyDescent="0.25">
      <c r="A11" s="54">
        <v>8</v>
      </c>
      <c r="B11" s="52"/>
      <c r="C11" s="53">
        <v>1672.8493333333333</v>
      </c>
    </row>
    <row r="12" spans="1:7" ht="28.5" customHeight="1" x14ac:dyDescent="0.25">
      <c r="A12" s="54">
        <v>9</v>
      </c>
      <c r="B12" s="52"/>
      <c r="C12" s="53">
        <v>1672.8493333333333</v>
      </c>
    </row>
    <row r="13" spans="1:7" ht="28.5" customHeight="1" x14ac:dyDescent="0.25">
      <c r="A13" s="54">
        <v>10</v>
      </c>
      <c r="B13" s="52"/>
      <c r="C13" s="53">
        <v>1672.8493333333333</v>
      </c>
    </row>
    <row r="14" spans="1:7" ht="28.5" customHeight="1" x14ac:dyDescent="0.25">
      <c r="A14" s="54">
        <v>11</v>
      </c>
      <c r="B14" s="52"/>
      <c r="C14" s="53">
        <v>1672.8493333333333</v>
      </c>
    </row>
    <row r="15" spans="1:7" ht="28.5" customHeight="1" x14ac:dyDescent="0.25">
      <c r="A15" s="54">
        <v>12</v>
      </c>
      <c r="B15" s="52"/>
      <c r="C15" s="53">
        <v>1672.8493333333333</v>
      </c>
    </row>
    <row r="16" spans="1:7" ht="28.5" customHeight="1" x14ac:dyDescent="0.25">
      <c r="A16" s="54">
        <v>13</v>
      </c>
      <c r="B16" s="52"/>
      <c r="C16" s="53">
        <v>1672.8493333333333</v>
      </c>
    </row>
    <row r="17" spans="1:4" ht="28.5" customHeight="1" x14ac:dyDescent="0.25">
      <c r="A17" s="54">
        <v>14</v>
      </c>
      <c r="B17" s="52"/>
      <c r="C17" s="53">
        <v>1672.8493333333333</v>
      </c>
    </row>
    <row r="18" spans="1:4" ht="28.5" customHeight="1" x14ac:dyDescent="0.25">
      <c r="A18" s="54">
        <v>15</v>
      </c>
      <c r="B18" s="52"/>
      <c r="C18" s="53">
        <v>1672.8493333333333</v>
      </c>
    </row>
    <row r="19" spans="1:4" ht="28.5" customHeight="1" x14ac:dyDescent="0.25">
      <c r="A19" s="54">
        <v>16</v>
      </c>
      <c r="B19" s="52"/>
      <c r="C19" s="53">
        <v>1672.8493333333333</v>
      </c>
    </row>
    <row r="20" spans="1:4" ht="28.5" customHeight="1" x14ac:dyDescent="0.25">
      <c r="A20" s="54">
        <v>17</v>
      </c>
      <c r="B20" s="52"/>
      <c r="C20" s="53">
        <v>1672.8493333333333</v>
      </c>
    </row>
    <row r="21" spans="1:4" ht="28.5" customHeight="1" x14ac:dyDescent="0.25">
      <c r="A21" s="54">
        <v>18</v>
      </c>
      <c r="B21" s="52"/>
      <c r="C21" s="53">
        <v>1672.8493333333333</v>
      </c>
    </row>
    <row r="22" spans="1:4" ht="28.5" customHeight="1" x14ac:dyDescent="0.25">
      <c r="A22" s="54">
        <v>19</v>
      </c>
      <c r="B22" s="52"/>
      <c r="C22" s="53">
        <v>1672.8493333333333</v>
      </c>
    </row>
    <row r="23" spans="1:4" ht="28.5" customHeight="1" x14ac:dyDescent="0.25">
      <c r="A23" s="54">
        <v>20</v>
      </c>
      <c r="B23" s="52"/>
      <c r="C23" s="53">
        <v>1672.8493333333333</v>
      </c>
    </row>
    <row r="24" spans="1:4" ht="28.5" customHeight="1" x14ac:dyDescent="0.25">
      <c r="A24" s="54">
        <v>21</v>
      </c>
      <c r="B24" s="52"/>
      <c r="C24" s="53">
        <v>1672.8493333333333</v>
      </c>
    </row>
    <row r="25" spans="1:4" ht="28.5" customHeight="1" x14ac:dyDescent="0.25">
      <c r="A25" s="54">
        <v>22</v>
      </c>
      <c r="B25" s="52"/>
      <c r="C25" s="53">
        <v>1672.8493333333333</v>
      </c>
    </row>
    <row r="26" spans="1:4" ht="28.5" customHeight="1" x14ac:dyDescent="0.25">
      <c r="A26" s="54">
        <v>23</v>
      </c>
      <c r="B26" s="52"/>
      <c r="C26" s="53">
        <v>1672.8493333333333</v>
      </c>
    </row>
    <row r="27" spans="1:4" ht="28.5" customHeight="1" x14ac:dyDescent="0.25">
      <c r="A27" s="54">
        <v>24</v>
      </c>
      <c r="B27" s="52"/>
      <c r="C27" s="53">
        <v>1672.8493333333333</v>
      </c>
    </row>
    <row r="28" spans="1:4" ht="28.5" customHeight="1" x14ac:dyDescent="0.25">
      <c r="A28" s="54">
        <v>25</v>
      </c>
      <c r="B28" s="52"/>
      <c r="C28" s="53">
        <v>1672.8493333333333</v>
      </c>
      <c r="D28" s="56"/>
    </row>
    <row r="29" spans="1:4" ht="28.5" customHeight="1" x14ac:dyDescent="0.25">
      <c r="A29" s="54">
        <v>26</v>
      </c>
      <c r="B29" s="52"/>
      <c r="C29" s="53">
        <v>1672.8493333333333</v>
      </c>
      <c r="D29" s="56"/>
    </row>
    <row r="30" spans="1:4" ht="28.5" customHeight="1" x14ac:dyDescent="0.25">
      <c r="A30" s="54">
        <v>27</v>
      </c>
      <c r="B30" s="52"/>
      <c r="C30" s="53">
        <v>1672.8493333333333</v>
      </c>
    </row>
    <row r="31" spans="1:4" ht="28.5" customHeight="1" x14ac:dyDescent="0.25">
      <c r="A31" s="54">
        <v>28</v>
      </c>
      <c r="B31" s="52"/>
      <c r="C31" s="53">
        <v>1672.8493333333333</v>
      </c>
    </row>
    <row r="32" spans="1:4" ht="28.5" customHeight="1" x14ac:dyDescent="0.25">
      <c r="A32" s="54">
        <v>29</v>
      </c>
      <c r="B32" s="52"/>
      <c r="C32" s="53">
        <v>1672.8493333333333</v>
      </c>
    </row>
    <row r="33" spans="1:3" ht="28.5" customHeight="1" x14ac:dyDescent="0.25">
      <c r="A33" s="54">
        <v>30</v>
      </c>
      <c r="B33" s="52"/>
      <c r="C33" s="53">
        <v>1672.8493333333333</v>
      </c>
    </row>
    <row r="34" spans="1:3" ht="28.5" customHeight="1" x14ac:dyDescent="0.25">
      <c r="A34" s="54"/>
      <c r="B34" s="52"/>
      <c r="C34" s="53"/>
    </row>
    <row r="35" spans="1:3" x14ac:dyDescent="0.25">
      <c r="A35" s="103" t="s">
        <v>78</v>
      </c>
      <c r="B35" s="103"/>
      <c r="C35" s="63">
        <f>SUM(C4:C34)</f>
        <v>50185.479999999967</v>
      </c>
    </row>
    <row r="36" spans="1:3" x14ac:dyDescent="0.25">
      <c r="C36" s="64"/>
    </row>
  </sheetData>
  <mergeCells count="2">
    <mergeCell ref="A35:B35"/>
    <mergeCell ref="A1:C1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abSelected="1" topLeftCell="A13" zoomScaleNormal="100" workbookViewId="0">
      <selection activeCell="D32" sqref="D32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104" t="s">
        <v>86</v>
      </c>
      <c r="B1" s="104"/>
      <c r="C1" s="104"/>
    </row>
    <row r="2" spans="1:3" ht="24.95" customHeight="1" x14ac:dyDescent="0.25">
      <c r="A2" s="59" t="s">
        <v>79</v>
      </c>
      <c r="B2" s="59" t="s">
        <v>80</v>
      </c>
      <c r="C2" s="59" t="s">
        <v>81</v>
      </c>
    </row>
    <row r="3" spans="1:3" ht="24.95" customHeight="1" x14ac:dyDescent="0.25">
      <c r="A3" s="60">
        <v>43617</v>
      </c>
      <c r="B3" s="65">
        <v>167</v>
      </c>
      <c r="C3" s="65">
        <v>222</v>
      </c>
    </row>
    <row r="4" spans="1:3" ht="24.95" customHeight="1" x14ac:dyDescent="0.25">
      <c r="A4" s="60">
        <v>43618</v>
      </c>
      <c r="B4" s="65">
        <v>162</v>
      </c>
      <c r="C4" s="65">
        <v>220</v>
      </c>
    </row>
    <row r="5" spans="1:3" ht="24.95" customHeight="1" x14ac:dyDescent="0.25">
      <c r="A5" s="60">
        <v>43619</v>
      </c>
      <c r="B5" s="65">
        <v>261</v>
      </c>
      <c r="C5" s="65">
        <v>494</v>
      </c>
    </row>
    <row r="6" spans="1:3" ht="24.95" customHeight="1" x14ac:dyDescent="0.25">
      <c r="A6" s="60">
        <v>43620</v>
      </c>
      <c r="B6" s="65">
        <v>335</v>
      </c>
      <c r="C6" s="65">
        <v>768</v>
      </c>
    </row>
    <row r="7" spans="1:3" ht="24.95" customHeight="1" x14ac:dyDescent="0.25">
      <c r="A7" s="60">
        <v>43621</v>
      </c>
      <c r="B7" s="65">
        <v>486</v>
      </c>
      <c r="C7" s="65">
        <v>1257</v>
      </c>
    </row>
    <row r="8" spans="1:3" ht="24.95" customHeight="1" x14ac:dyDescent="0.25">
      <c r="A8" s="60">
        <v>43622</v>
      </c>
      <c r="B8" s="65">
        <v>485</v>
      </c>
      <c r="C8" s="65">
        <v>1220</v>
      </c>
    </row>
    <row r="9" spans="1:3" ht="24.95" customHeight="1" x14ac:dyDescent="0.25">
      <c r="A9" s="60">
        <v>43623</v>
      </c>
      <c r="B9" s="65">
        <v>287</v>
      </c>
      <c r="C9" s="65">
        <v>565</v>
      </c>
    </row>
    <row r="10" spans="1:3" ht="24.95" customHeight="1" x14ac:dyDescent="0.25">
      <c r="A10" s="60">
        <v>43624</v>
      </c>
      <c r="B10" s="65">
        <v>195</v>
      </c>
      <c r="C10" s="65">
        <v>252</v>
      </c>
    </row>
    <row r="11" spans="1:3" ht="24.95" customHeight="1" x14ac:dyDescent="0.25">
      <c r="A11" s="60">
        <v>43625</v>
      </c>
      <c r="B11" s="65">
        <v>247</v>
      </c>
      <c r="C11" s="65">
        <v>328</v>
      </c>
    </row>
    <row r="12" spans="1:3" ht="24.95" customHeight="1" x14ac:dyDescent="0.25">
      <c r="A12" s="60">
        <v>43626</v>
      </c>
      <c r="B12" s="65">
        <v>247</v>
      </c>
      <c r="C12" s="65">
        <v>315</v>
      </c>
    </row>
    <row r="13" spans="1:3" ht="24.95" customHeight="1" x14ac:dyDescent="0.25">
      <c r="A13" s="60">
        <v>43627</v>
      </c>
      <c r="B13" s="65">
        <v>290</v>
      </c>
      <c r="C13" s="65">
        <v>376</v>
      </c>
    </row>
    <row r="14" spans="1:3" ht="24.95" customHeight="1" x14ac:dyDescent="0.25">
      <c r="A14" s="60">
        <v>43628</v>
      </c>
      <c r="B14" s="65">
        <v>290</v>
      </c>
      <c r="C14" s="65">
        <v>386</v>
      </c>
    </row>
    <row r="15" spans="1:3" ht="24.95" customHeight="1" x14ac:dyDescent="0.25">
      <c r="A15" s="60">
        <v>43629</v>
      </c>
      <c r="B15" s="65">
        <v>263</v>
      </c>
      <c r="C15" s="65">
        <v>383</v>
      </c>
    </row>
    <row r="16" spans="1:3" ht="24.95" customHeight="1" x14ac:dyDescent="0.25">
      <c r="A16" s="60">
        <v>43630</v>
      </c>
      <c r="B16" s="65">
        <v>265</v>
      </c>
      <c r="C16" s="65">
        <v>412</v>
      </c>
    </row>
    <row r="17" spans="1:3" ht="24.95" customHeight="1" x14ac:dyDescent="0.25">
      <c r="A17" s="60">
        <v>43631</v>
      </c>
      <c r="B17" s="65">
        <v>268</v>
      </c>
      <c r="C17" s="65">
        <v>338</v>
      </c>
    </row>
    <row r="18" spans="1:3" ht="24.95" customHeight="1" x14ac:dyDescent="0.25">
      <c r="A18" s="60">
        <v>43632</v>
      </c>
      <c r="B18" s="65">
        <v>317</v>
      </c>
      <c r="C18" s="65">
        <v>398</v>
      </c>
    </row>
    <row r="19" spans="1:3" ht="24.95" customHeight="1" x14ac:dyDescent="0.25">
      <c r="A19" s="60">
        <v>43633</v>
      </c>
      <c r="B19" s="65">
        <v>289</v>
      </c>
      <c r="C19" s="65">
        <v>352</v>
      </c>
    </row>
    <row r="20" spans="1:3" ht="24.95" customHeight="1" x14ac:dyDescent="0.25">
      <c r="A20" s="60">
        <v>43634</v>
      </c>
      <c r="B20" s="65">
        <v>301</v>
      </c>
      <c r="C20" s="65">
        <v>367</v>
      </c>
    </row>
    <row r="21" spans="1:3" ht="24.95" customHeight="1" x14ac:dyDescent="0.25">
      <c r="A21" s="60">
        <v>43635</v>
      </c>
      <c r="B21" s="65">
        <v>274</v>
      </c>
      <c r="C21" s="65">
        <v>334</v>
      </c>
    </row>
    <row r="22" spans="1:3" ht="24.95" customHeight="1" x14ac:dyDescent="0.25">
      <c r="A22" s="60">
        <v>43636</v>
      </c>
      <c r="B22" s="65">
        <v>210</v>
      </c>
      <c r="C22" s="65">
        <v>302</v>
      </c>
    </row>
    <row r="23" spans="1:3" ht="24.95" customHeight="1" x14ac:dyDescent="0.25">
      <c r="A23" s="60">
        <v>43637</v>
      </c>
      <c r="B23" s="65">
        <v>230</v>
      </c>
      <c r="C23" s="65">
        <v>372</v>
      </c>
    </row>
    <row r="24" spans="1:3" ht="24.95" customHeight="1" x14ac:dyDescent="0.25">
      <c r="A24" s="60">
        <v>43638</v>
      </c>
      <c r="B24" s="65">
        <v>335</v>
      </c>
      <c r="C24" s="65">
        <v>512</v>
      </c>
    </row>
    <row r="25" spans="1:3" ht="24.95" customHeight="1" x14ac:dyDescent="0.25">
      <c r="A25" s="60">
        <v>43639</v>
      </c>
      <c r="B25" s="65">
        <v>302</v>
      </c>
      <c r="C25" s="65">
        <v>409</v>
      </c>
    </row>
    <row r="26" spans="1:3" ht="24.95" customHeight="1" x14ac:dyDescent="0.25">
      <c r="A26" s="60">
        <v>43640</v>
      </c>
      <c r="B26" s="65">
        <v>313</v>
      </c>
      <c r="C26" s="65">
        <v>429</v>
      </c>
    </row>
    <row r="27" spans="1:3" ht="24.95" customHeight="1" x14ac:dyDescent="0.25">
      <c r="A27" s="60">
        <v>43641</v>
      </c>
      <c r="B27" s="65">
        <v>342</v>
      </c>
      <c r="C27" s="65">
        <v>485</v>
      </c>
    </row>
    <row r="28" spans="1:3" ht="24.95" customHeight="1" x14ac:dyDescent="0.25">
      <c r="A28" s="60">
        <v>43642</v>
      </c>
      <c r="B28" s="65">
        <v>239</v>
      </c>
      <c r="C28" s="65">
        <v>302</v>
      </c>
    </row>
    <row r="29" spans="1:3" ht="24.95" customHeight="1" x14ac:dyDescent="0.25">
      <c r="A29" s="60">
        <v>43643</v>
      </c>
      <c r="B29" s="65">
        <v>251</v>
      </c>
      <c r="C29" s="65">
        <v>367</v>
      </c>
    </row>
    <row r="30" spans="1:3" ht="24.95" customHeight="1" x14ac:dyDescent="0.25">
      <c r="A30" s="60">
        <v>43644</v>
      </c>
      <c r="B30" s="65">
        <v>250</v>
      </c>
      <c r="C30" s="65">
        <v>389</v>
      </c>
    </row>
    <row r="31" spans="1:3" ht="24.95" customHeight="1" x14ac:dyDescent="0.25">
      <c r="A31" s="60">
        <v>43645</v>
      </c>
      <c r="B31" s="65">
        <v>251</v>
      </c>
      <c r="C31" s="65">
        <v>328</v>
      </c>
    </row>
    <row r="32" spans="1:3" ht="24.95" customHeight="1" x14ac:dyDescent="0.25">
      <c r="A32" s="60">
        <v>43646</v>
      </c>
      <c r="B32" s="65">
        <v>291</v>
      </c>
      <c r="C32" s="65">
        <v>374</v>
      </c>
    </row>
    <row r="33" spans="1:3" ht="24.95" customHeight="1" x14ac:dyDescent="0.25">
      <c r="A33" s="60"/>
      <c r="B33" s="61"/>
      <c r="C33" s="61"/>
    </row>
    <row r="34" spans="1:3" ht="30.75" customHeight="1" x14ac:dyDescent="0.25">
      <c r="A34" s="59" t="s">
        <v>82</v>
      </c>
      <c r="B34" s="62">
        <f>SUM(B3:B33)</f>
        <v>8443</v>
      </c>
      <c r="C34" s="62">
        <f>SUM(C3:C33)</f>
        <v>13256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 Chitian</dc:creator>
  <cp:keywords/>
  <dc:description/>
  <cp:lastModifiedBy>Lesley Ann Almazan</cp:lastModifiedBy>
  <cp:revision/>
  <dcterms:created xsi:type="dcterms:W3CDTF">2019-05-13T11:08:30Z</dcterms:created>
  <dcterms:modified xsi:type="dcterms:W3CDTF">2025-03-21T11:22:47Z</dcterms:modified>
  <cp:category/>
  <cp:contentStatus/>
</cp:coreProperties>
</file>