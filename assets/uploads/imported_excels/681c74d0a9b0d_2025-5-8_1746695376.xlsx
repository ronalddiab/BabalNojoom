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13_ncr:1_{CA77597F-698E-4DB0-899F-5CD47B30AC2F}" xr6:coauthVersionLast="47" xr6:coauthVersionMax="47" xr10:uidLastSave="{00000000-0000-0000-0000-000000000000}"/>
  <bookViews>
    <workbookView showVerticalScroll="0" xWindow="-108" yWindow="-108" windowWidth="23256" windowHeight="12456" xr2:uid="{00000000-000D-0000-FFFF-FFFF00000000}"/>
  </bookViews>
  <sheets>
    <sheet name="Total" sheetId="3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38" l="1"/>
  <c r="F5" i="38"/>
  <c r="B3" i="38"/>
  <c r="F3" i="38"/>
  <c r="F4" i="38"/>
  <c r="F6" i="38"/>
  <c r="F7" i="38"/>
  <c r="F8" i="38"/>
  <c r="F9" i="38"/>
  <c r="F10" i="38"/>
  <c r="F11" i="38"/>
  <c r="F12" i="38"/>
  <c r="F13" i="38"/>
  <c r="F14" i="38"/>
  <c r="F15" i="38"/>
  <c r="F16" i="38"/>
  <c r="F17" i="38"/>
  <c r="F18" i="38"/>
  <c r="F19" i="38"/>
  <c r="F20" i="38"/>
  <c r="F21" i="38"/>
  <c r="F22" i="38"/>
  <c r="F23" i="38"/>
  <c r="F24" i="38"/>
  <c r="F25" i="38"/>
  <c r="F26" i="38"/>
  <c r="F27" i="38"/>
  <c r="F28" i="38"/>
  <c r="F29" i="38"/>
  <c r="F30" i="38"/>
  <c r="F31" i="38"/>
  <c r="F32" i="38"/>
  <c r="F2" i="38"/>
  <c r="J3" i="38"/>
  <c r="J4" i="38"/>
  <c r="J5" i="38"/>
  <c r="J6" i="38"/>
  <c r="J7" i="38"/>
  <c r="J8" i="38"/>
  <c r="J9" i="38"/>
  <c r="J10" i="38"/>
  <c r="J11" i="38"/>
  <c r="J12" i="38"/>
  <c r="J13" i="38"/>
  <c r="J14" i="38"/>
  <c r="J15" i="38"/>
  <c r="J16" i="38"/>
  <c r="J17" i="38"/>
  <c r="J18" i="38"/>
  <c r="J19" i="38"/>
  <c r="J20" i="38"/>
  <c r="J21" i="38"/>
  <c r="J22" i="38"/>
  <c r="J23" i="38"/>
  <c r="J24" i="38"/>
  <c r="J25" i="38"/>
  <c r="J26" i="38"/>
  <c r="J27" i="38"/>
  <c r="J28" i="38"/>
  <c r="J29" i="38"/>
  <c r="J30" i="38"/>
  <c r="J31" i="38"/>
  <c r="J32" i="38"/>
  <c r="J2" i="38"/>
  <c r="H3" i="38"/>
  <c r="H4" i="38"/>
  <c r="H5" i="38"/>
  <c r="H6" i="38"/>
  <c r="H7" i="38"/>
  <c r="H8" i="38"/>
  <c r="H9" i="38"/>
  <c r="H10" i="38"/>
  <c r="H11" i="38"/>
  <c r="H13" i="38"/>
  <c r="H14" i="38"/>
  <c r="H15" i="38"/>
  <c r="H16" i="38"/>
  <c r="H17" i="38"/>
  <c r="H18" i="38"/>
  <c r="H19" i="38"/>
  <c r="H20" i="38"/>
  <c r="H21" i="38"/>
  <c r="H22" i="38"/>
  <c r="H23" i="38"/>
  <c r="H24" i="38"/>
  <c r="H25" i="38"/>
  <c r="H26" i="38"/>
  <c r="H27" i="38"/>
  <c r="H28" i="38"/>
  <c r="H29" i="38"/>
  <c r="H30" i="38"/>
  <c r="H31" i="38"/>
  <c r="H32" i="38"/>
  <c r="H2" i="38"/>
  <c r="L3" i="38"/>
  <c r="L4" i="38"/>
  <c r="L5" i="38"/>
  <c r="L6" i="38"/>
  <c r="L7" i="38"/>
  <c r="L8" i="38"/>
  <c r="L9" i="38"/>
  <c r="L10" i="38"/>
  <c r="L11" i="38"/>
  <c r="L12" i="38"/>
  <c r="L13" i="38"/>
  <c r="L14" i="38"/>
  <c r="L15" i="38"/>
  <c r="L16" i="38"/>
  <c r="L17" i="38"/>
  <c r="L18" i="38"/>
  <c r="L19" i="38"/>
  <c r="L20" i="38"/>
  <c r="L21" i="38"/>
  <c r="L22" i="38"/>
  <c r="L23" i="38"/>
  <c r="L24" i="38"/>
  <c r="L25" i="38"/>
  <c r="L26" i="38"/>
  <c r="L27" i="38"/>
  <c r="L28" i="38"/>
  <c r="L29" i="38"/>
  <c r="L30" i="38"/>
  <c r="L31" i="38"/>
  <c r="L32" i="38"/>
  <c r="L2" i="38"/>
  <c r="B4" i="38" l="1"/>
  <c r="B5" i="38" s="1"/>
  <c r="B6" i="38" s="1"/>
  <c r="B7" i="38" s="1"/>
  <c r="B8" i="38" s="1"/>
  <c r="B9" i="38" s="1"/>
  <c r="B10" i="38" s="1"/>
  <c r="B11" i="38" s="1"/>
  <c r="B12" i="38" s="1"/>
  <c r="B13" i="38" s="1"/>
  <c r="B14" i="38" s="1"/>
  <c r="B15" i="38" s="1"/>
  <c r="B16" i="38" s="1"/>
  <c r="B17" i="38" s="1"/>
  <c r="B18" i="38" s="1"/>
  <c r="B19" i="38" s="1"/>
  <c r="B20" i="38" s="1"/>
  <c r="B21" i="38" s="1"/>
  <c r="B22" i="38" s="1"/>
  <c r="B23" i="38" s="1"/>
  <c r="B24" i="38" s="1"/>
  <c r="B25" i="38" s="1"/>
  <c r="B26" i="38" s="1"/>
  <c r="B27" i="38" s="1"/>
  <c r="B28" i="38" s="1"/>
  <c r="B29" i="38" s="1"/>
  <c r="B30" i="38" s="1"/>
  <c r="B31" i="38" s="1"/>
  <c r="B32" i="38" s="1"/>
</calcChain>
</file>

<file path=xl/sharedStrings.xml><?xml version="1.0" encoding="utf-8"?>
<sst xmlns="http://schemas.openxmlformats.org/spreadsheetml/2006/main" count="49" uniqueCount="15">
  <si>
    <t>Day</t>
  </si>
  <si>
    <t>Month</t>
  </si>
  <si>
    <t>Year</t>
  </si>
  <si>
    <t>Total Electricity Kwh</t>
  </si>
  <si>
    <t>Electricity Tariff ($/Kwh)</t>
  </si>
  <si>
    <t xml:space="preserve">Room Nights </t>
  </si>
  <si>
    <t xml:space="preserve">Total Guests </t>
  </si>
  <si>
    <t>Water Utility Supply (m3) m3</t>
  </si>
  <si>
    <t>Water Utility Supply (m3) $/m3</t>
  </si>
  <si>
    <t xml:space="preserve">LPG (Liters) </t>
  </si>
  <si>
    <t>LPG $/Liters</t>
  </si>
  <si>
    <t>Slemani Rotana</t>
  </si>
  <si>
    <t>Fuel Oil  $/Liter</t>
  </si>
  <si>
    <t xml:space="preserve">Total Fuel Oil  (Liter) </t>
  </si>
  <si>
    <t>Site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</si>
</sst>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_(* #,##0.00_);_(* \(#,##0.00\);_(* &quot;-&quot;??_);_(@_)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31">
    <xf numFmtId="0" fontId="0" fillId="0" borderId="0"/>
    <xf numFmtId="165" fontId="4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4" fillId="0" borderId="0"/>
    <xf numFmtId="165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165" fontId="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165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0" fontId="1" fillId="0" borderId="0"/>
    <xf numFmtId="165" fontId="1" fillId="0" borderId="0" applyFont="0" applyFill="0" applyBorder="0" applyAlignment="0" applyProtection="0"/>
    <xf numFmtId="164" fontId="14" fillId="0" borderId="0" applyFont="0" applyFill="0" applyBorder="0" applyAlignment="0" applyProtection="0"/>
  </cellStyleXfs>
  <cellXfs count="32">
    <xf numFmtId="0" fontId="0" fillId="0" borderId="0" xfId="0"/>
    <xf numFmtId="0" fontId="11" fillId="0" borderId="0" xfId="127" applyFont="1" applyAlignment="1">
      <alignment horizontal="center" vertical="center"/>
    </xf>
    <xf numFmtId="0" fontId="11" fillId="0" borderId="0" xfId="127" applyFont="1" applyAlignment="1">
      <alignment horizontal="center"/>
    </xf>
    <xf numFmtId="1" fontId="2" fillId="0" borderId="0" xfId="127" applyNumberFormat="1" applyAlignment="1">
      <alignment horizontal="center"/>
    </xf>
    <xf numFmtId="2" fontId="10" fillId="0" borderId="0" xfId="127" applyNumberFormat="1" applyFont="1" applyAlignment="1">
      <alignment horizontal="center"/>
    </xf>
    <xf numFmtId="0" fontId="2" fillId="0" borderId="0" xfId="127" applyAlignment="1">
      <alignment horizontal="center"/>
    </xf>
    <xf numFmtId="0" fontId="11" fillId="0" borderId="0" xfId="127" applyFont="1"/>
    <xf numFmtId="0" fontId="10" fillId="0" borderId="0" xfId="127" applyFont="1" applyAlignment="1">
      <alignment horizontal="center"/>
    </xf>
    <xf numFmtId="0" fontId="2" fillId="0" borderId="0" xfId="127"/>
    <xf numFmtId="0" fontId="11" fillId="0" borderId="1" xfId="127" applyFont="1" applyBorder="1" applyAlignment="1">
      <alignment horizontal="center"/>
    </xf>
    <xf numFmtId="164" fontId="2" fillId="0" borderId="4" xfId="130" applyFont="1" applyBorder="1" applyAlignment="1">
      <alignment horizontal="center"/>
    </xf>
    <xf numFmtId="164" fontId="2" fillId="0" borderId="6" xfId="130" applyFont="1" applyBorder="1" applyAlignment="1">
      <alignment horizontal="center"/>
    </xf>
    <xf numFmtId="164" fontId="2" fillId="0" borderId="9" xfId="130" applyFont="1" applyBorder="1" applyAlignment="1">
      <alignment horizontal="center"/>
    </xf>
    <xf numFmtId="0" fontId="13" fillId="0" borderId="1" xfId="127" applyFont="1" applyBorder="1" applyAlignment="1">
      <alignment horizontal="center"/>
    </xf>
    <xf numFmtId="1" fontId="2" fillId="0" borderId="1" xfId="127" applyNumberFormat="1" applyBorder="1" applyAlignment="1">
      <alignment horizontal="center"/>
    </xf>
    <xf numFmtId="2" fontId="10" fillId="0" borderId="1" xfId="127" applyNumberFormat="1" applyFont="1" applyBorder="1" applyAlignment="1">
      <alignment horizontal="center"/>
    </xf>
    <xf numFmtId="0" fontId="13" fillId="0" borderId="10" xfId="127" applyFont="1" applyBorder="1" applyAlignment="1">
      <alignment horizontal="center"/>
    </xf>
    <xf numFmtId="0" fontId="11" fillId="0" borderId="10" xfId="127" applyFont="1" applyBorder="1" applyAlignment="1">
      <alignment horizontal="center"/>
    </xf>
    <xf numFmtId="1" fontId="2" fillId="0" borderId="10" xfId="127" applyNumberFormat="1" applyBorder="1" applyAlignment="1">
      <alignment horizontal="center"/>
    </xf>
    <xf numFmtId="2" fontId="10" fillId="0" borderId="10" xfId="127" applyNumberFormat="1" applyFont="1" applyBorder="1" applyAlignment="1">
      <alignment horizontal="center"/>
    </xf>
    <xf numFmtId="0" fontId="11" fillId="0" borderId="11" xfId="127" applyFont="1" applyBorder="1" applyAlignment="1">
      <alignment horizontal="center" vertical="center"/>
    </xf>
    <xf numFmtId="0" fontId="11" fillId="0" borderId="12" xfId="127" applyFont="1" applyBorder="1" applyAlignment="1">
      <alignment horizontal="center" vertical="center"/>
    </xf>
    <xf numFmtId="0" fontId="11" fillId="0" borderId="12" xfId="127" applyFont="1" applyBorder="1" applyAlignment="1">
      <alignment horizontal="center" vertical="center" wrapText="1"/>
    </xf>
    <xf numFmtId="2" fontId="12" fillId="0" borderId="12" xfId="127" applyNumberFormat="1" applyFont="1" applyBorder="1" applyAlignment="1">
      <alignment horizontal="center" vertical="center" wrapText="1"/>
    </xf>
    <xf numFmtId="0" fontId="12" fillId="0" borderId="12" xfId="127" applyFont="1" applyBorder="1" applyAlignment="1">
      <alignment horizontal="center" vertical="center" wrapText="1"/>
    </xf>
    <xf numFmtId="0" fontId="11" fillId="0" borderId="13" xfId="127" applyFont="1" applyBorder="1" applyAlignment="1">
      <alignment horizontal="center" vertical="center" wrapText="1"/>
    </xf>
    <xf numFmtId="0" fontId="11" fillId="0" borderId="7" xfId="127" applyFont="1" applyBorder="1" applyAlignment="1">
      <alignment horizontal="center"/>
    </xf>
    <xf numFmtId="0" fontId="11" fillId="0" borderId="8" xfId="127" applyFont="1" applyBorder="1" applyAlignment="1">
      <alignment horizontal="center"/>
    </xf>
    <xf numFmtId="0" fontId="11" fillId="0" borderId="2" xfId="127" applyFont="1" applyBorder="1" applyAlignment="1">
      <alignment horizontal="center"/>
    </xf>
    <xf numFmtId="0" fontId="11" fillId="0" borderId="3" xfId="127" applyFont="1" applyBorder="1" applyAlignment="1">
      <alignment horizontal="center"/>
    </xf>
    <xf numFmtId="0" fontId="11" fillId="0" borderId="5" xfId="127" applyFont="1" applyBorder="1" applyAlignment="1">
      <alignment horizontal="center"/>
    </xf>
    <xf numFmtId="0" fontId="11" fillId="0" borderId="1" xfId="127" applyFont="1" applyBorder="1" applyAlignment="1">
      <alignment horizontal="center"/>
    </xf>
  </cellXfs>
  <cellStyles count="131">
    <cellStyle name="Comma 2" xfId="1" xr:uid="{00000000-0005-0000-0000-000001000000}"/>
    <cellStyle name="Comma 2 10" xfId="66" xr:uid="{00000000-0005-0000-0000-000002000000}"/>
    <cellStyle name="Comma 2 11" xfId="105" xr:uid="{00000000-0005-0000-0000-000003000000}"/>
    <cellStyle name="Comma 2 12" xfId="91" xr:uid="{00000000-0005-0000-0000-000004000000}"/>
    <cellStyle name="Comma 2 13" xfId="101" xr:uid="{00000000-0005-0000-0000-000005000000}"/>
    <cellStyle name="Comma 2 14" xfId="76" xr:uid="{00000000-0005-0000-0000-000006000000}"/>
    <cellStyle name="Comma 2 15" xfId="90" xr:uid="{00000000-0005-0000-0000-000007000000}"/>
    <cellStyle name="Comma 2 16" xfId="93" xr:uid="{00000000-0005-0000-0000-000008000000}"/>
    <cellStyle name="Comma 2 17" xfId="88" xr:uid="{00000000-0005-0000-0000-000009000000}"/>
    <cellStyle name="Comma 2 18" xfId="104" xr:uid="{00000000-0005-0000-0000-00000A000000}"/>
    <cellStyle name="Comma 2 2" xfId="10" xr:uid="{00000000-0005-0000-0000-00000B000000}"/>
    <cellStyle name="Comma 2 3" xfId="13" xr:uid="{00000000-0005-0000-0000-00000C000000}"/>
    <cellStyle name="Comma 2 4" xfId="20" xr:uid="{00000000-0005-0000-0000-00000D000000}"/>
    <cellStyle name="Comma 2 5" xfId="27" xr:uid="{00000000-0005-0000-0000-00000E000000}"/>
    <cellStyle name="Comma 2 6" xfId="34" xr:uid="{00000000-0005-0000-0000-00000F000000}"/>
    <cellStyle name="Comma 2 7" xfId="41" xr:uid="{00000000-0005-0000-0000-000010000000}"/>
    <cellStyle name="Comma 2 8" xfId="48" xr:uid="{00000000-0005-0000-0000-000011000000}"/>
    <cellStyle name="Comma 2 9" xfId="54" xr:uid="{00000000-0005-0000-0000-000012000000}"/>
    <cellStyle name="Comma 3" xfId="2" xr:uid="{00000000-0005-0000-0000-000013000000}"/>
    <cellStyle name="Comma 3 10" xfId="67" xr:uid="{00000000-0005-0000-0000-000014000000}"/>
    <cellStyle name="Comma 3 11" xfId="99" xr:uid="{00000000-0005-0000-0000-000015000000}"/>
    <cellStyle name="Comma 3 12" xfId="74" xr:uid="{00000000-0005-0000-0000-000016000000}"/>
    <cellStyle name="Comma 3 13" xfId="103" xr:uid="{00000000-0005-0000-0000-000017000000}"/>
    <cellStyle name="Comma 3 14" xfId="102" xr:uid="{00000000-0005-0000-0000-000018000000}"/>
    <cellStyle name="Comma 3 15" xfId="107" xr:uid="{00000000-0005-0000-0000-000019000000}"/>
    <cellStyle name="Comma 3 16" xfId="78" xr:uid="{00000000-0005-0000-0000-00001A000000}"/>
    <cellStyle name="Comma 3 17" xfId="79" xr:uid="{00000000-0005-0000-0000-00001B000000}"/>
    <cellStyle name="Comma 3 18" xfId="64" xr:uid="{00000000-0005-0000-0000-00001C000000}"/>
    <cellStyle name="Comma 3 2" xfId="11" xr:uid="{00000000-0005-0000-0000-00001D000000}"/>
    <cellStyle name="Comma 3 3" xfId="9" xr:uid="{00000000-0005-0000-0000-00001E000000}"/>
    <cellStyle name="Comma 3 4" xfId="8" xr:uid="{00000000-0005-0000-0000-00001F000000}"/>
    <cellStyle name="Comma 3 5" xfId="15" xr:uid="{00000000-0005-0000-0000-000020000000}"/>
    <cellStyle name="Comma 3 6" xfId="22" xr:uid="{00000000-0005-0000-0000-000021000000}"/>
    <cellStyle name="Comma 3 7" xfId="29" xr:uid="{00000000-0005-0000-0000-000022000000}"/>
    <cellStyle name="Comma 3 8" xfId="36" xr:uid="{00000000-0005-0000-0000-000023000000}"/>
    <cellStyle name="Comma 3 9" xfId="43" xr:uid="{00000000-0005-0000-0000-000024000000}"/>
    <cellStyle name="Comma 4" xfId="3" xr:uid="{00000000-0005-0000-0000-000025000000}"/>
    <cellStyle name="Comma 4 10" xfId="68" xr:uid="{00000000-0005-0000-0000-000026000000}"/>
    <cellStyle name="Comma 4 11" xfId="94" xr:uid="{00000000-0005-0000-0000-000027000000}"/>
    <cellStyle name="Comma 4 12" xfId="83" xr:uid="{00000000-0005-0000-0000-000028000000}"/>
    <cellStyle name="Comma 4 13" xfId="95" xr:uid="{00000000-0005-0000-0000-000029000000}"/>
    <cellStyle name="Comma 4 14" xfId="77" xr:uid="{00000000-0005-0000-0000-00002A000000}"/>
    <cellStyle name="Comma 4 15" xfId="84" xr:uid="{00000000-0005-0000-0000-00002B000000}"/>
    <cellStyle name="Comma 4 16" xfId="87" xr:uid="{00000000-0005-0000-0000-00002C000000}"/>
    <cellStyle name="Comma 4 17" xfId="109" xr:uid="{00000000-0005-0000-0000-00002D000000}"/>
    <cellStyle name="Comma 4 18" xfId="65" xr:uid="{00000000-0005-0000-0000-00002E000000}"/>
    <cellStyle name="Comma 4 2" xfId="12" xr:uid="{00000000-0005-0000-0000-00002F000000}"/>
    <cellStyle name="Comma 4 3" xfId="19" xr:uid="{00000000-0005-0000-0000-000030000000}"/>
    <cellStyle name="Comma 4 4" xfId="26" xr:uid="{00000000-0005-0000-0000-000031000000}"/>
    <cellStyle name="Comma 4 5" xfId="33" xr:uid="{00000000-0005-0000-0000-000032000000}"/>
    <cellStyle name="Comma 4 6" xfId="40" xr:uid="{00000000-0005-0000-0000-000033000000}"/>
    <cellStyle name="Comma 4 7" xfId="47" xr:uid="{00000000-0005-0000-0000-000034000000}"/>
    <cellStyle name="Comma 4 8" xfId="53" xr:uid="{00000000-0005-0000-0000-000035000000}"/>
    <cellStyle name="Comma 4 9" xfId="59" xr:uid="{00000000-0005-0000-0000-000036000000}"/>
    <cellStyle name="Comma 5" xfId="5" xr:uid="{00000000-0005-0000-0000-000037000000}"/>
    <cellStyle name="Comma 5 10" xfId="71" xr:uid="{00000000-0005-0000-0000-000038000000}"/>
    <cellStyle name="Comma 5 11" xfId="70" xr:uid="{00000000-0005-0000-0000-000039000000}"/>
    <cellStyle name="Comma 5 12" xfId="81" xr:uid="{00000000-0005-0000-0000-00003A000000}"/>
    <cellStyle name="Comma 5 13" xfId="106" xr:uid="{00000000-0005-0000-0000-00003B000000}"/>
    <cellStyle name="Comma 5 14" xfId="89" xr:uid="{00000000-0005-0000-0000-00003C000000}"/>
    <cellStyle name="Comma 5 15" xfId="98" xr:uid="{00000000-0005-0000-0000-00003D000000}"/>
    <cellStyle name="Comma 5 16" xfId="80" xr:uid="{00000000-0005-0000-0000-00003E000000}"/>
    <cellStyle name="Comma 5 17" xfId="112" xr:uid="{00000000-0005-0000-0000-00003F000000}"/>
    <cellStyle name="Comma 5 18" xfId="115" xr:uid="{00000000-0005-0000-0000-000040000000}"/>
    <cellStyle name="Comma 5 2" xfId="16" xr:uid="{00000000-0005-0000-0000-000041000000}"/>
    <cellStyle name="Comma 5 3" xfId="23" xr:uid="{00000000-0005-0000-0000-000042000000}"/>
    <cellStyle name="Comma 5 4" xfId="30" xr:uid="{00000000-0005-0000-0000-000043000000}"/>
    <cellStyle name="Comma 5 5" xfId="37" xr:uid="{00000000-0005-0000-0000-000044000000}"/>
    <cellStyle name="Comma 5 6" xfId="44" xr:uid="{00000000-0005-0000-0000-000045000000}"/>
    <cellStyle name="Comma 5 7" xfId="50" xr:uid="{00000000-0005-0000-0000-000046000000}"/>
    <cellStyle name="Comma 5 8" xfId="56" xr:uid="{00000000-0005-0000-0000-000047000000}"/>
    <cellStyle name="Comma 5 9" xfId="61" xr:uid="{00000000-0005-0000-0000-000048000000}"/>
    <cellStyle name="Comma 6" xfId="129" xr:uid="{14BC9F93-272F-48BA-85C5-3C2905A78B8C}"/>
    <cellStyle name="Currency" xfId="130" builtinId="4"/>
    <cellStyle name="Hyperlink 2" xfId="7" xr:uid="{00000000-0005-0000-0000-00004A000000}"/>
    <cellStyle name="Hyperlink 2 10" xfId="73" xr:uid="{00000000-0005-0000-0000-00004B000000}"/>
    <cellStyle name="Hyperlink 2 11" xfId="108" xr:uid="{00000000-0005-0000-0000-00004C000000}"/>
    <cellStyle name="Hyperlink 2 12" xfId="75" xr:uid="{00000000-0005-0000-0000-00004D000000}"/>
    <cellStyle name="Hyperlink 2 13" xfId="92" xr:uid="{00000000-0005-0000-0000-00004E000000}"/>
    <cellStyle name="Hyperlink 2 14" xfId="96" xr:uid="{00000000-0005-0000-0000-00004F000000}"/>
    <cellStyle name="Hyperlink 2 15" xfId="97" xr:uid="{00000000-0005-0000-0000-000050000000}"/>
    <cellStyle name="Hyperlink 2 16" xfId="85" xr:uid="{00000000-0005-0000-0000-000051000000}"/>
    <cellStyle name="Hyperlink 2 17" xfId="82" xr:uid="{00000000-0005-0000-0000-000052000000}"/>
    <cellStyle name="Hyperlink 2 18" xfId="100" xr:uid="{00000000-0005-0000-0000-000053000000}"/>
    <cellStyle name="Hyperlink 2 2" xfId="18" xr:uid="{00000000-0005-0000-0000-000054000000}"/>
    <cellStyle name="Hyperlink 2 3" xfId="25" xr:uid="{00000000-0005-0000-0000-000055000000}"/>
    <cellStyle name="Hyperlink 2 4" xfId="32" xr:uid="{00000000-0005-0000-0000-000056000000}"/>
    <cellStyle name="Hyperlink 2 5" xfId="39" xr:uid="{00000000-0005-0000-0000-000057000000}"/>
    <cellStyle name="Hyperlink 2 6" xfId="46" xr:uid="{00000000-0005-0000-0000-000058000000}"/>
    <cellStyle name="Hyperlink 2 7" xfId="52" xr:uid="{00000000-0005-0000-0000-000059000000}"/>
    <cellStyle name="Hyperlink 2 8" xfId="58" xr:uid="{00000000-0005-0000-0000-00005A000000}"/>
    <cellStyle name="Hyperlink 2 9" xfId="63" xr:uid="{00000000-0005-0000-0000-00005B000000}"/>
    <cellStyle name="Normal" xfId="0" builtinId="0"/>
    <cellStyle name="Normal 2" xfId="4" xr:uid="{00000000-0005-0000-0000-00005D000000}"/>
    <cellStyle name="Normal 2 10" xfId="69" xr:uid="{00000000-0005-0000-0000-00005E000000}"/>
    <cellStyle name="Normal 2 11" xfId="86" xr:uid="{00000000-0005-0000-0000-00005F000000}"/>
    <cellStyle name="Normal 2 12" xfId="111" xr:uid="{00000000-0005-0000-0000-000060000000}"/>
    <cellStyle name="Normal 2 13" xfId="114" xr:uid="{00000000-0005-0000-0000-000061000000}"/>
    <cellStyle name="Normal 2 14" xfId="117" xr:uid="{00000000-0005-0000-0000-000062000000}"/>
    <cellStyle name="Normal 2 15" xfId="119" xr:uid="{00000000-0005-0000-0000-000063000000}"/>
    <cellStyle name="Normal 2 16" xfId="121" xr:uid="{00000000-0005-0000-0000-000064000000}"/>
    <cellStyle name="Normal 2 17" xfId="123" xr:uid="{00000000-0005-0000-0000-000065000000}"/>
    <cellStyle name="Normal 2 18" xfId="125" xr:uid="{00000000-0005-0000-0000-000066000000}"/>
    <cellStyle name="Normal 2 2" xfId="14" xr:uid="{00000000-0005-0000-0000-000067000000}"/>
    <cellStyle name="Normal 2 3" xfId="21" xr:uid="{00000000-0005-0000-0000-000068000000}"/>
    <cellStyle name="Normal 2 4" xfId="28" xr:uid="{00000000-0005-0000-0000-000069000000}"/>
    <cellStyle name="Normal 2 5" xfId="35" xr:uid="{00000000-0005-0000-0000-00006A000000}"/>
    <cellStyle name="Normal 2 6" xfId="42" xr:uid="{00000000-0005-0000-0000-00006B000000}"/>
    <cellStyle name="Normal 2 7" xfId="49" xr:uid="{00000000-0005-0000-0000-00006C000000}"/>
    <cellStyle name="Normal 2 8" xfId="55" xr:uid="{00000000-0005-0000-0000-00006D000000}"/>
    <cellStyle name="Normal 2 9" xfId="60" xr:uid="{00000000-0005-0000-0000-00006E000000}"/>
    <cellStyle name="Normal 3" xfId="127" xr:uid="{7A2A2037-D085-4A6E-AB41-E865E3DF52F4}"/>
    <cellStyle name="Normal 4" xfId="128" xr:uid="{BBA50316-FD07-4654-8812-D8F294408716}"/>
    <cellStyle name="Percent 2" xfId="6" xr:uid="{00000000-0005-0000-0000-000070000000}"/>
    <cellStyle name="Percent 2 10" xfId="72" xr:uid="{00000000-0005-0000-0000-000071000000}"/>
    <cellStyle name="Percent 2 11" xfId="110" xr:uid="{00000000-0005-0000-0000-000072000000}"/>
    <cellStyle name="Percent 2 12" xfId="113" xr:uid="{00000000-0005-0000-0000-000073000000}"/>
    <cellStyle name="Percent 2 13" xfId="116" xr:uid="{00000000-0005-0000-0000-000074000000}"/>
    <cellStyle name="Percent 2 14" xfId="118" xr:uid="{00000000-0005-0000-0000-000075000000}"/>
    <cellStyle name="Percent 2 15" xfId="120" xr:uid="{00000000-0005-0000-0000-000076000000}"/>
    <cellStyle name="Percent 2 16" xfId="122" xr:uid="{00000000-0005-0000-0000-000077000000}"/>
    <cellStyle name="Percent 2 17" xfId="124" xr:uid="{00000000-0005-0000-0000-000078000000}"/>
    <cellStyle name="Percent 2 18" xfId="126" xr:uid="{00000000-0005-0000-0000-000079000000}"/>
    <cellStyle name="Percent 2 2" xfId="17" xr:uid="{00000000-0005-0000-0000-00007A000000}"/>
    <cellStyle name="Percent 2 3" xfId="24" xr:uid="{00000000-0005-0000-0000-00007B000000}"/>
    <cellStyle name="Percent 2 4" xfId="31" xr:uid="{00000000-0005-0000-0000-00007C000000}"/>
    <cellStyle name="Percent 2 5" xfId="38" xr:uid="{00000000-0005-0000-0000-00007D000000}"/>
    <cellStyle name="Percent 2 6" xfId="45" xr:uid="{00000000-0005-0000-0000-00007E000000}"/>
    <cellStyle name="Percent 2 7" xfId="51" xr:uid="{00000000-0005-0000-0000-00007F000000}"/>
    <cellStyle name="Percent 2 8" xfId="57" xr:uid="{00000000-0005-0000-0000-000080000000}"/>
    <cellStyle name="Percent 2 9" xfId="62" xr:uid="{00000000-0005-0000-0000-000081000000}"/>
  </cellStyles>
  <dxfs count="0"/>
  <tableStyles count="0" defaultTableStyle="TableStyleMedium9" defaultPivotStyle="PivotStyleLight16"/>
  <colors>
    <mruColors>
      <color rgb="FF2C22F2"/>
      <color rgb="FFE7E200"/>
      <color rgb="FF3333CC"/>
      <color rgb="FF00A44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DCF30-0531-4103-9999-295F0C76E335}">
  <dimension ref="A1:Z38"/>
  <sheetViews>
    <sheetView tabSelected="1" workbookViewId="0">
      <selection activeCell="A2" sqref="A2"/>
    </sheetView>
  </sheetViews>
  <sheetFormatPr defaultColWidth="11.5546875" defaultRowHeight="14.4" x14ac:dyDescent="0.3"/>
  <cols>
    <col min="1" max="1" width="29.109375" style="6" bestFit="1" customWidth="1"/>
    <col min="2" max="3" width="11.5546875" style="2"/>
    <col min="4" max="4" width="13.44140625" style="2" customWidth="1"/>
    <col min="5" max="5" width="12.5546875" style="5" customWidth="1"/>
    <col min="6" max="6" width="12.5546875" style="4" customWidth="1"/>
    <col min="7" max="7" width="11.5546875" style="5"/>
    <col min="8" max="8" width="11.5546875" style="4"/>
    <col min="9" max="9" width="11.5546875" style="5"/>
    <col min="10" max="10" width="11.5546875" style="7"/>
    <col min="11" max="11" width="11.5546875" style="5"/>
    <col min="12" max="12" width="11.5546875" style="7"/>
    <col min="13" max="26" width="11.5546875" style="5"/>
    <col min="27" max="16384" width="11.5546875" style="8"/>
  </cols>
  <sheetData>
    <row r="1" spans="1:15" s="1" customFormat="1" ht="43.8" thickBot="1" x14ac:dyDescent="0.3">
      <c r="A1" s="20" t="s">
        <v>14</v>
      </c>
      <c r="B1" s="21" t="s">
        <v>0</v>
      </c>
      <c r="C1" s="21" t="s">
        <v>1</v>
      </c>
      <c r="D1" s="21" t="s">
        <v>2</v>
      </c>
      <c r="E1" s="22" t="s">
        <v>3</v>
      </c>
      <c r="F1" s="23" t="s">
        <v>4</v>
      </c>
      <c r="G1" s="22" t="s">
        <v>9</v>
      </c>
      <c r="H1" s="23" t="s">
        <v>10</v>
      </c>
      <c r="I1" s="22" t="s">
        <v>7</v>
      </c>
      <c r="J1" s="24" t="s">
        <v>8</v>
      </c>
      <c r="K1" s="22" t="s">
        <v>13</v>
      </c>
      <c r="L1" s="24" t="s">
        <v>12</v>
      </c>
      <c r="M1" s="22" t="s">
        <v>5</v>
      </c>
      <c r="N1" s="25" t="s">
        <v>6</v>
      </c>
    </row>
    <row r="2" spans="1:15" x14ac:dyDescent="0.3">
      <c r="A2" s="16" t="s">
        <v>11</v>
      </c>
      <c r="B2" s="17">
        <v>1</v>
      </c>
      <c r="C2" s="17">
        <v>3</v>
      </c>
      <c r="D2" s="17">
        <v>2025</v>
      </c>
      <c r="E2" s="18">
        <v>5022</v>
      </c>
      <c r="F2" s="19">
        <f>E2*0.11</f>
        <v>552.41999999999996</v>
      </c>
      <c r="G2" s="18">
        <v>150</v>
      </c>
      <c r="H2" s="19">
        <f>G2*0.35</f>
        <v>52.5</v>
      </c>
      <c r="I2" s="18">
        <v>116</v>
      </c>
      <c r="J2" s="19">
        <f>I2*0.4</f>
        <v>46.400000000000006</v>
      </c>
      <c r="K2" s="18">
        <v>3270</v>
      </c>
      <c r="L2" s="19">
        <f>K2*0.11</f>
        <v>359.7</v>
      </c>
      <c r="M2" s="18">
        <v>56</v>
      </c>
      <c r="N2" s="18">
        <v>81</v>
      </c>
      <c r="O2" s="2"/>
    </row>
    <row r="3" spans="1:15" x14ac:dyDescent="0.3">
      <c r="A3" s="13" t="s">
        <v>11</v>
      </c>
      <c r="B3" s="9">
        <f>B2+1</f>
        <v>2</v>
      </c>
      <c r="C3" s="9">
        <v>3</v>
      </c>
      <c r="D3" s="9">
        <v>2025</v>
      </c>
      <c r="E3" s="14">
        <v>4480.3</v>
      </c>
      <c r="F3" s="15">
        <f t="shared" ref="F3:F32" si="0">E3*0.11</f>
        <v>492.83300000000003</v>
      </c>
      <c r="G3" s="14">
        <v>100</v>
      </c>
      <c r="H3" s="15">
        <f t="shared" ref="H3:H32" si="1">G3*0.35</f>
        <v>35</v>
      </c>
      <c r="I3" s="14">
        <v>65</v>
      </c>
      <c r="J3" s="15">
        <f t="shared" ref="J3:J32" si="2">I3*0.4</f>
        <v>26</v>
      </c>
      <c r="K3" s="14">
        <v>3570</v>
      </c>
      <c r="L3" s="15">
        <f t="shared" ref="L3:L32" si="3">K3*0.11</f>
        <v>392.7</v>
      </c>
      <c r="M3" s="14">
        <v>37</v>
      </c>
      <c r="N3" s="14">
        <v>41</v>
      </c>
      <c r="O3" s="2"/>
    </row>
    <row r="4" spans="1:15" x14ac:dyDescent="0.3">
      <c r="A4" s="13" t="s">
        <v>11</v>
      </c>
      <c r="B4" s="9">
        <f t="shared" ref="B4:B31" si="4">B3+1</f>
        <v>3</v>
      </c>
      <c r="C4" s="9">
        <v>3</v>
      </c>
      <c r="D4" s="9">
        <v>2025</v>
      </c>
      <c r="E4" s="14">
        <v>4870.0600000000004</v>
      </c>
      <c r="F4" s="15">
        <f t="shared" si="0"/>
        <v>535.70660000000009</v>
      </c>
      <c r="G4" s="14">
        <v>150</v>
      </c>
      <c r="H4" s="15">
        <f t="shared" si="1"/>
        <v>52.5</v>
      </c>
      <c r="I4" s="14">
        <v>89</v>
      </c>
      <c r="J4" s="15">
        <f t="shared" si="2"/>
        <v>35.6</v>
      </c>
      <c r="K4" s="14">
        <v>3770</v>
      </c>
      <c r="L4" s="15">
        <f t="shared" si="3"/>
        <v>414.7</v>
      </c>
      <c r="M4" s="14">
        <v>42</v>
      </c>
      <c r="N4" s="14">
        <v>43</v>
      </c>
      <c r="O4" s="2"/>
    </row>
    <row r="5" spans="1:15" x14ac:dyDescent="0.3">
      <c r="A5" s="13" t="s">
        <v>11</v>
      </c>
      <c r="B5" s="9">
        <f t="shared" si="4"/>
        <v>4</v>
      </c>
      <c r="C5" s="9">
        <v>3</v>
      </c>
      <c r="D5" s="9">
        <v>2025</v>
      </c>
      <c r="E5" s="14">
        <v>4980.1400000000003</v>
      </c>
      <c r="F5" s="15">
        <f>E5*0.11</f>
        <v>547.81540000000007</v>
      </c>
      <c r="G5" s="14">
        <v>250</v>
      </c>
      <c r="H5" s="15">
        <f t="shared" si="1"/>
        <v>87.5</v>
      </c>
      <c r="I5" s="14">
        <v>89</v>
      </c>
      <c r="J5" s="15">
        <f t="shared" si="2"/>
        <v>35.6</v>
      </c>
      <c r="K5" s="14">
        <v>2470</v>
      </c>
      <c r="L5" s="15">
        <f t="shared" si="3"/>
        <v>271.7</v>
      </c>
      <c r="M5" s="14">
        <v>51</v>
      </c>
      <c r="N5" s="14">
        <v>52</v>
      </c>
      <c r="O5" s="2"/>
    </row>
    <row r="6" spans="1:15" x14ac:dyDescent="0.3">
      <c r="A6" s="13" t="s">
        <v>11</v>
      </c>
      <c r="B6" s="9">
        <f t="shared" si="4"/>
        <v>5</v>
      </c>
      <c r="C6" s="9">
        <v>3</v>
      </c>
      <c r="D6" s="9">
        <v>2025</v>
      </c>
      <c r="E6" s="14">
        <v>4901.13</v>
      </c>
      <c r="F6" s="15">
        <f t="shared" si="0"/>
        <v>539.12430000000006</v>
      </c>
      <c r="G6" s="14">
        <v>100</v>
      </c>
      <c r="H6" s="15">
        <f t="shared" si="1"/>
        <v>35</v>
      </c>
      <c r="I6" s="14">
        <v>90</v>
      </c>
      <c r="J6" s="15">
        <f t="shared" si="2"/>
        <v>36</v>
      </c>
      <c r="K6" s="14">
        <v>2270</v>
      </c>
      <c r="L6" s="15">
        <f t="shared" si="3"/>
        <v>249.7</v>
      </c>
      <c r="M6" s="14">
        <v>47</v>
      </c>
      <c r="N6" s="14">
        <v>50</v>
      </c>
      <c r="O6" s="2"/>
    </row>
    <row r="7" spans="1:15" x14ac:dyDescent="0.3">
      <c r="A7" s="13" t="s">
        <v>11</v>
      </c>
      <c r="B7" s="9">
        <f t="shared" si="4"/>
        <v>6</v>
      </c>
      <c r="C7" s="9">
        <v>3</v>
      </c>
      <c r="D7" s="9">
        <v>2025</v>
      </c>
      <c r="E7" s="14">
        <v>4530.16</v>
      </c>
      <c r="F7" s="15">
        <f t="shared" si="0"/>
        <v>498.31759999999997</v>
      </c>
      <c r="G7" s="14">
        <v>200</v>
      </c>
      <c r="H7" s="15">
        <f t="shared" si="1"/>
        <v>70</v>
      </c>
      <c r="I7" s="14">
        <v>64</v>
      </c>
      <c r="J7" s="15">
        <f t="shared" si="2"/>
        <v>25.6</v>
      </c>
      <c r="K7" s="14">
        <v>3420</v>
      </c>
      <c r="L7" s="15">
        <f t="shared" si="3"/>
        <v>376.2</v>
      </c>
      <c r="M7" s="14">
        <v>39</v>
      </c>
      <c r="N7" s="14">
        <v>44</v>
      </c>
      <c r="O7" s="2"/>
    </row>
    <row r="8" spans="1:15" x14ac:dyDescent="0.3">
      <c r="A8" s="13" t="s">
        <v>11</v>
      </c>
      <c r="B8" s="9">
        <f t="shared" si="4"/>
        <v>7</v>
      </c>
      <c r="C8" s="9">
        <v>3</v>
      </c>
      <c r="D8" s="9">
        <v>2025</v>
      </c>
      <c r="E8" s="14">
        <v>4870.0600000000004</v>
      </c>
      <c r="F8" s="15">
        <f t="shared" si="0"/>
        <v>535.70660000000009</v>
      </c>
      <c r="G8" s="14">
        <v>200</v>
      </c>
      <c r="H8" s="15">
        <f t="shared" si="1"/>
        <v>70</v>
      </c>
      <c r="I8" s="14">
        <v>85</v>
      </c>
      <c r="J8" s="15">
        <f t="shared" si="2"/>
        <v>34</v>
      </c>
      <c r="K8" s="14">
        <v>3220</v>
      </c>
      <c r="L8" s="15">
        <f t="shared" si="3"/>
        <v>354.2</v>
      </c>
      <c r="M8" s="14">
        <v>37</v>
      </c>
      <c r="N8" s="14">
        <v>40</v>
      </c>
      <c r="O8" s="2"/>
    </row>
    <row r="9" spans="1:15" x14ac:dyDescent="0.3">
      <c r="A9" s="13" t="s">
        <v>11</v>
      </c>
      <c r="B9" s="9">
        <f t="shared" si="4"/>
        <v>8</v>
      </c>
      <c r="C9" s="9">
        <v>3</v>
      </c>
      <c r="D9" s="9">
        <v>2025</v>
      </c>
      <c r="E9" s="14">
        <v>4800.16</v>
      </c>
      <c r="F9" s="15">
        <f t="shared" si="0"/>
        <v>528.01760000000002</v>
      </c>
      <c r="G9" s="14">
        <v>100</v>
      </c>
      <c r="H9" s="15">
        <f t="shared" si="1"/>
        <v>35</v>
      </c>
      <c r="I9" s="14">
        <v>75</v>
      </c>
      <c r="J9" s="15">
        <f t="shared" si="2"/>
        <v>30</v>
      </c>
      <c r="K9" s="14">
        <v>1350</v>
      </c>
      <c r="L9" s="15">
        <f t="shared" si="3"/>
        <v>148.5</v>
      </c>
      <c r="M9" s="14">
        <v>35</v>
      </c>
      <c r="N9" s="14">
        <v>42</v>
      </c>
      <c r="O9" s="2"/>
    </row>
    <row r="10" spans="1:15" x14ac:dyDescent="0.3">
      <c r="A10" s="13" t="s">
        <v>11</v>
      </c>
      <c r="B10" s="9">
        <f t="shared" si="4"/>
        <v>9</v>
      </c>
      <c r="C10" s="9">
        <v>3</v>
      </c>
      <c r="D10" s="9">
        <v>2025</v>
      </c>
      <c r="E10" s="14">
        <v>5010</v>
      </c>
      <c r="F10" s="15">
        <f t="shared" si="0"/>
        <v>551.1</v>
      </c>
      <c r="G10" s="14">
        <v>200</v>
      </c>
      <c r="H10" s="15">
        <f t="shared" si="1"/>
        <v>70</v>
      </c>
      <c r="I10" s="14">
        <v>109</v>
      </c>
      <c r="J10" s="15">
        <f t="shared" si="2"/>
        <v>43.6</v>
      </c>
      <c r="K10" s="14">
        <v>1030</v>
      </c>
      <c r="L10" s="15">
        <f t="shared" si="3"/>
        <v>113.3</v>
      </c>
      <c r="M10" s="14">
        <v>57</v>
      </c>
      <c r="N10" s="14">
        <v>70</v>
      </c>
      <c r="O10" s="2"/>
    </row>
    <row r="11" spans="1:15" x14ac:dyDescent="0.3">
      <c r="A11" s="13" t="s">
        <v>11</v>
      </c>
      <c r="B11" s="9">
        <f t="shared" si="4"/>
        <v>10</v>
      </c>
      <c r="C11" s="9">
        <v>3</v>
      </c>
      <c r="D11" s="9">
        <v>2025</v>
      </c>
      <c r="E11" s="14">
        <v>5000.18</v>
      </c>
      <c r="F11" s="15">
        <f t="shared" si="0"/>
        <v>550.01980000000003</v>
      </c>
      <c r="G11" s="14">
        <v>200</v>
      </c>
      <c r="H11" s="15">
        <f t="shared" si="1"/>
        <v>70</v>
      </c>
      <c r="I11" s="14">
        <v>85</v>
      </c>
      <c r="J11" s="15">
        <f t="shared" si="2"/>
        <v>34</v>
      </c>
      <c r="K11" s="14">
        <v>1130</v>
      </c>
      <c r="L11" s="15">
        <f t="shared" si="3"/>
        <v>124.3</v>
      </c>
      <c r="M11" s="14">
        <v>57</v>
      </c>
      <c r="N11" s="14">
        <v>66</v>
      </c>
      <c r="O11" s="2"/>
    </row>
    <row r="12" spans="1:15" x14ac:dyDescent="0.3">
      <c r="A12" s="13" t="s">
        <v>11</v>
      </c>
      <c r="B12" s="9">
        <f t="shared" si="4"/>
        <v>11</v>
      </c>
      <c r="C12" s="9">
        <v>3</v>
      </c>
      <c r="D12" s="9">
        <v>2025</v>
      </c>
      <c r="E12" s="14">
        <v>4980</v>
      </c>
      <c r="F12" s="15">
        <f t="shared" si="0"/>
        <v>547.79999999999995</v>
      </c>
      <c r="G12" s="14">
        <v>200</v>
      </c>
      <c r="H12" s="15">
        <f>G12*0.35</f>
        <v>70</v>
      </c>
      <c r="I12" s="14">
        <v>109</v>
      </c>
      <c r="J12" s="15">
        <f t="shared" si="2"/>
        <v>43.6</v>
      </c>
      <c r="K12" s="14">
        <v>1100</v>
      </c>
      <c r="L12" s="15">
        <f t="shared" si="3"/>
        <v>121</v>
      </c>
      <c r="M12" s="14">
        <v>65</v>
      </c>
      <c r="N12" s="14">
        <v>70</v>
      </c>
      <c r="O12" s="2"/>
    </row>
    <row r="13" spans="1:15" x14ac:dyDescent="0.3">
      <c r="A13" s="13" t="s">
        <v>11</v>
      </c>
      <c r="B13" s="9">
        <f t="shared" si="4"/>
        <v>12</v>
      </c>
      <c r="C13" s="9">
        <v>3</v>
      </c>
      <c r="D13" s="9">
        <v>2025</v>
      </c>
      <c r="E13" s="14">
        <v>5030</v>
      </c>
      <c r="F13" s="15">
        <f t="shared" si="0"/>
        <v>553.29999999999995</v>
      </c>
      <c r="G13" s="14">
        <v>200</v>
      </c>
      <c r="H13" s="15">
        <f t="shared" si="1"/>
        <v>70</v>
      </c>
      <c r="I13" s="14">
        <v>85</v>
      </c>
      <c r="J13" s="15">
        <f t="shared" si="2"/>
        <v>34</v>
      </c>
      <c r="K13" s="14">
        <v>1480</v>
      </c>
      <c r="L13" s="15">
        <f t="shared" si="3"/>
        <v>162.80000000000001</v>
      </c>
      <c r="M13" s="14">
        <v>60</v>
      </c>
      <c r="N13" s="14">
        <v>65</v>
      </c>
      <c r="O13" s="2"/>
    </row>
    <row r="14" spans="1:15" x14ac:dyDescent="0.3">
      <c r="A14" s="13" t="s">
        <v>11</v>
      </c>
      <c r="B14" s="9">
        <f t="shared" si="4"/>
        <v>13</v>
      </c>
      <c r="C14" s="9">
        <v>3</v>
      </c>
      <c r="D14" s="9">
        <v>2025</v>
      </c>
      <c r="E14" s="14">
        <v>5013</v>
      </c>
      <c r="F14" s="15">
        <f t="shared" si="0"/>
        <v>551.42999999999995</v>
      </c>
      <c r="G14" s="14">
        <v>100</v>
      </c>
      <c r="H14" s="15">
        <f t="shared" si="1"/>
        <v>35</v>
      </c>
      <c r="I14" s="14">
        <v>96</v>
      </c>
      <c r="J14" s="15">
        <f t="shared" si="2"/>
        <v>38.400000000000006</v>
      </c>
      <c r="K14" s="14">
        <v>2300</v>
      </c>
      <c r="L14" s="15">
        <f t="shared" si="3"/>
        <v>253</v>
      </c>
      <c r="M14" s="14">
        <v>66</v>
      </c>
      <c r="N14" s="14">
        <v>72</v>
      </c>
      <c r="O14" s="2"/>
    </row>
    <row r="15" spans="1:15" x14ac:dyDescent="0.3">
      <c r="A15" s="13" t="s">
        <v>11</v>
      </c>
      <c r="B15" s="9">
        <f t="shared" si="4"/>
        <v>14</v>
      </c>
      <c r="C15" s="9">
        <v>3</v>
      </c>
      <c r="D15" s="9">
        <v>2025</v>
      </c>
      <c r="E15" s="14">
        <v>5019</v>
      </c>
      <c r="F15" s="15">
        <f t="shared" si="0"/>
        <v>552.09</v>
      </c>
      <c r="G15" s="14">
        <v>100</v>
      </c>
      <c r="H15" s="15">
        <f t="shared" si="1"/>
        <v>35</v>
      </c>
      <c r="I15" s="14">
        <v>83</v>
      </c>
      <c r="J15" s="15">
        <f t="shared" si="2"/>
        <v>33.200000000000003</v>
      </c>
      <c r="K15" s="14">
        <v>2520</v>
      </c>
      <c r="L15" s="15">
        <f t="shared" si="3"/>
        <v>277.2</v>
      </c>
      <c r="M15" s="14">
        <v>66</v>
      </c>
      <c r="N15" s="14">
        <v>88</v>
      </c>
      <c r="O15" s="2"/>
    </row>
    <row r="16" spans="1:15" x14ac:dyDescent="0.3">
      <c r="A16" s="13" t="s">
        <v>11</v>
      </c>
      <c r="B16" s="9">
        <f t="shared" si="4"/>
        <v>15</v>
      </c>
      <c r="C16" s="9">
        <v>3</v>
      </c>
      <c r="D16" s="9">
        <v>2025</v>
      </c>
      <c r="E16" s="14">
        <v>4870.0600000000004</v>
      </c>
      <c r="F16" s="15">
        <f t="shared" si="0"/>
        <v>535.70660000000009</v>
      </c>
      <c r="G16" s="14">
        <v>100</v>
      </c>
      <c r="H16" s="15">
        <f t="shared" si="1"/>
        <v>35</v>
      </c>
      <c r="I16" s="14">
        <v>75</v>
      </c>
      <c r="J16" s="15">
        <f t="shared" si="2"/>
        <v>30</v>
      </c>
      <c r="K16" s="14">
        <v>1170</v>
      </c>
      <c r="L16" s="15">
        <f t="shared" si="3"/>
        <v>128.69999999999999</v>
      </c>
      <c r="M16" s="14">
        <v>60</v>
      </c>
      <c r="N16" s="14">
        <v>73</v>
      </c>
      <c r="O16" s="2"/>
    </row>
    <row r="17" spans="1:15" x14ac:dyDescent="0.3">
      <c r="A17" s="13" t="s">
        <v>11</v>
      </c>
      <c r="B17" s="9">
        <f t="shared" si="4"/>
        <v>16</v>
      </c>
      <c r="C17" s="9">
        <v>3</v>
      </c>
      <c r="D17" s="9">
        <v>2025</v>
      </c>
      <c r="E17" s="14">
        <v>4990</v>
      </c>
      <c r="F17" s="15">
        <f t="shared" si="0"/>
        <v>548.9</v>
      </c>
      <c r="G17" s="14">
        <v>100</v>
      </c>
      <c r="H17" s="15">
        <f t="shared" si="1"/>
        <v>35</v>
      </c>
      <c r="I17" s="14">
        <v>73</v>
      </c>
      <c r="J17" s="15">
        <f t="shared" si="2"/>
        <v>29.200000000000003</v>
      </c>
      <c r="K17" s="14">
        <v>1170</v>
      </c>
      <c r="L17" s="15">
        <f t="shared" si="3"/>
        <v>128.69999999999999</v>
      </c>
      <c r="M17" s="14">
        <v>57</v>
      </c>
      <c r="N17" s="14">
        <v>64</v>
      </c>
      <c r="O17" s="2"/>
    </row>
    <row r="18" spans="1:15" x14ac:dyDescent="0.3">
      <c r="A18" s="13" t="s">
        <v>11</v>
      </c>
      <c r="B18" s="9">
        <f t="shared" si="4"/>
        <v>17</v>
      </c>
      <c r="C18" s="9">
        <v>3</v>
      </c>
      <c r="D18" s="9">
        <v>2025</v>
      </c>
      <c r="E18" s="14">
        <v>4912</v>
      </c>
      <c r="F18" s="15">
        <f t="shared" si="0"/>
        <v>540.32000000000005</v>
      </c>
      <c r="G18" s="14">
        <v>150</v>
      </c>
      <c r="H18" s="15">
        <f t="shared" si="1"/>
        <v>52.5</v>
      </c>
      <c r="I18" s="14">
        <v>83</v>
      </c>
      <c r="J18" s="15">
        <f t="shared" si="2"/>
        <v>33.200000000000003</v>
      </c>
      <c r="K18" s="14">
        <v>1910</v>
      </c>
      <c r="L18" s="15">
        <f t="shared" si="3"/>
        <v>210.1</v>
      </c>
      <c r="M18" s="14">
        <v>55</v>
      </c>
      <c r="N18" s="14">
        <v>61</v>
      </c>
      <c r="O18" s="2"/>
    </row>
    <row r="19" spans="1:15" x14ac:dyDescent="0.3">
      <c r="A19" s="13" t="s">
        <v>11</v>
      </c>
      <c r="B19" s="9">
        <f t="shared" si="4"/>
        <v>18</v>
      </c>
      <c r="C19" s="9">
        <v>3</v>
      </c>
      <c r="D19" s="9">
        <v>2025</v>
      </c>
      <c r="E19" s="14">
        <v>4890</v>
      </c>
      <c r="F19" s="15">
        <f t="shared" si="0"/>
        <v>537.9</v>
      </c>
      <c r="G19" s="14">
        <v>100</v>
      </c>
      <c r="H19" s="15">
        <f t="shared" si="1"/>
        <v>35</v>
      </c>
      <c r="I19" s="14">
        <v>81</v>
      </c>
      <c r="J19" s="15">
        <f t="shared" si="2"/>
        <v>32.4</v>
      </c>
      <c r="K19" s="14">
        <v>650</v>
      </c>
      <c r="L19" s="15">
        <f t="shared" si="3"/>
        <v>71.5</v>
      </c>
      <c r="M19" s="14">
        <v>58</v>
      </c>
      <c r="N19" s="14">
        <v>62</v>
      </c>
      <c r="O19" s="2"/>
    </row>
    <row r="20" spans="1:15" x14ac:dyDescent="0.3">
      <c r="A20" s="13" t="s">
        <v>11</v>
      </c>
      <c r="B20" s="9">
        <f t="shared" si="4"/>
        <v>19</v>
      </c>
      <c r="C20" s="9">
        <v>3</v>
      </c>
      <c r="D20" s="9">
        <v>2025</v>
      </c>
      <c r="E20" s="14">
        <v>4875</v>
      </c>
      <c r="F20" s="15">
        <f t="shared" si="0"/>
        <v>536.25</v>
      </c>
      <c r="G20" s="14">
        <v>150</v>
      </c>
      <c r="H20" s="15">
        <f t="shared" si="1"/>
        <v>52.5</v>
      </c>
      <c r="I20" s="14">
        <v>109</v>
      </c>
      <c r="J20" s="15">
        <f t="shared" si="2"/>
        <v>43.6</v>
      </c>
      <c r="K20" s="14">
        <v>1570</v>
      </c>
      <c r="L20" s="15">
        <f t="shared" si="3"/>
        <v>172.7</v>
      </c>
      <c r="M20" s="14">
        <v>51</v>
      </c>
      <c r="N20" s="14">
        <v>57</v>
      </c>
      <c r="O20" s="2"/>
    </row>
    <row r="21" spans="1:15" x14ac:dyDescent="0.3">
      <c r="A21" s="13" t="s">
        <v>11</v>
      </c>
      <c r="B21" s="9">
        <f t="shared" si="4"/>
        <v>20</v>
      </c>
      <c r="C21" s="9">
        <v>3</v>
      </c>
      <c r="D21" s="9">
        <v>2025</v>
      </c>
      <c r="E21" s="14">
        <v>4880</v>
      </c>
      <c r="F21" s="15">
        <f t="shared" si="0"/>
        <v>536.79999999999995</v>
      </c>
      <c r="G21" s="14">
        <v>100</v>
      </c>
      <c r="H21" s="15">
        <f t="shared" si="1"/>
        <v>35</v>
      </c>
      <c r="I21" s="14">
        <v>95</v>
      </c>
      <c r="J21" s="15">
        <f t="shared" si="2"/>
        <v>38</v>
      </c>
      <c r="K21" s="14">
        <v>1020</v>
      </c>
      <c r="L21" s="15">
        <f t="shared" si="3"/>
        <v>112.2</v>
      </c>
      <c r="M21" s="14">
        <v>48</v>
      </c>
      <c r="N21" s="14">
        <v>54</v>
      </c>
      <c r="O21" s="2"/>
    </row>
    <row r="22" spans="1:15" x14ac:dyDescent="0.3">
      <c r="A22" s="13" t="s">
        <v>11</v>
      </c>
      <c r="B22" s="9">
        <f t="shared" si="4"/>
        <v>21</v>
      </c>
      <c r="C22" s="9">
        <v>3</v>
      </c>
      <c r="D22" s="9">
        <v>2025</v>
      </c>
      <c r="E22" s="14">
        <v>4734</v>
      </c>
      <c r="F22" s="15">
        <f t="shared" si="0"/>
        <v>520.74</v>
      </c>
      <c r="G22" s="14">
        <v>100</v>
      </c>
      <c r="H22" s="15">
        <f t="shared" si="1"/>
        <v>35</v>
      </c>
      <c r="I22" s="14">
        <v>85</v>
      </c>
      <c r="J22" s="15">
        <f t="shared" si="2"/>
        <v>34</v>
      </c>
      <c r="K22" s="14">
        <v>2650</v>
      </c>
      <c r="L22" s="15">
        <f t="shared" si="3"/>
        <v>291.5</v>
      </c>
      <c r="M22" s="14">
        <v>38</v>
      </c>
      <c r="N22" s="14">
        <v>46</v>
      </c>
      <c r="O22" s="2"/>
    </row>
    <row r="23" spans="1:15" x14ac:dyDescent="0.3">
      <c r="A23" s="13" t="s">
        <v>11</v>
      </c>
      <c r="B23" s="9">
        <f t="shared" si="4"/>
        <v>22</v>
      </c>
      <c r="C23" s="9">
        <v>3</v>
      </c>
      <c r="D23" s="9">
        <v>2025</v>
      </c>
      <c r="E23" s="14">
        <v>4590</v>
      </c>
      <c r="F23" s="15">
        <f t="shared" si="0"/>
        <v>504.9</v>
      </c>
      <c r="G23" s="14">
        <v>100</v>
      </c>
      <c r="H23" s="15">
        <f t="shared" si="1"/>
        <v>35</v>
      </c>
      <c r="I23" s="14">
        <v>91.12</v>
      </c>
      <c r="J23" s="15">
        <f t="shared" si="2"/>
        <v>36.448</v>
      </c>
      <c r="K23" s="14">
        <v>1070</v>
      </c>
      <c r="L23" s="15">
        <f t="shared" si="3"/>
        <v>117.7</v>
      </c>
      <c r="M23" s="14">
        <v>36</v>
      </c>
      <c r="N23" s="14">
        <v>43</v>
      </c>
      <c r="O23" s="2"/>
    </row>
    <row r="24" spans="1:15" x14ac:dyDescent="0.3">
      <c r="A24" s="13" t="s">
        <v>11</v>
      </c>
      <c r="B24" s="9">
        <f t="shared" si="4"/>
        <v>23</v>
      </c>
      <c r="C24" s="9">
        <v>3</v>
      </c>
      <c r="D24" s="9">
        <v>2025</v>
      </c>
      <c r="E24" s="14">
        <v>4511</v>
      </c>
      <c r="F24" s="15">
        <f t="shared" si="0"/>
        <v>496.21</v>
      </c>
      <c r="G24" s="14">
        <v>300</v>
      </c>
      <c r="H24" s="15">
        <f t="shared" si="1"/>
        <v>105</v>
      </c>
      <c r="I24" s="14">
        <v>83</v>
      </c>
      <c r="J24" s="15">
        <f t="shared" si="2"/>
        <v>33.200000000000003</v>
      </c>
      <c r="K24" s="14">
        <v>2470</v>
      </c>
      <c r="L24" s="15">
        <f t="shared" si="3"/>
        <v>271.7</v>
      </c>
      <c r="M24" s="14">
        <v>31</v>
      </c>
      <c r="N24" s="14">
        <v>38</v>
      </c>
      <c r="O24" s="2"/>
    </row>
    <row r="25" spans="1:15" x14ac:dyDescent="0.3">
      <c r="A25" s="13" t="s">
        <v>11</v>
      </c>
      <c r="B25" s="9">
        <f t="shared" si="4"/>
        <v>24</v>
      </c>
      <c r="C25" s="9">
        <v>3</v>
      </c>
      <c r="D25" s="9">
        <v>2025</v>
      </c>
      <c r="E25" s="14">
        <v>4660</v>
      </c>
      <c r="F25" s="15">
        <f t="shared" si="0"/>
        <v>512.6</v>
      </c>
      <c r="G25" s="14">
        <v>200</v>
      </c>
      <c r="H25" s="15">
        <f t="shared" si="1"/>
        <v>70</v>
      </c>
      <c r="I25" s="14">
        <v>83</v>
      </c>
      <c r="J25" s="15">
        <f t="shared" si="2"/>
        <v>33.200000000000003</v>
      </c>
      <c r="K25" s="14">
        <v>1520</v>
      </c>
      <c r="L25" s="15">
        <f t="shared" si="3"/>
        <v>167.2</v>
      </c>
      <c r="M25" s="14">
        <v>34</v>
      </c>
      <c r="N25" s="14">
        <v>41</v>
      </c>
      <c r="O25" s="2"/>
    </row>
    <row r="26" spans="1:15" x14ac:dyDescent="0.3">
      <c r="A26" s="13" t="s">
        <v>11</v>
      </c>
      <c r="B26" s="9">
        <f>B25+1</f>
        <v>25</v>
      </c>
      <c r="C26" s="9">
        <v>3</v>
      </c>
      <c r="D26" s="9">
        <v>2025</v>
      </c>
      <c r="E26" s="14">
        <v>4680</v>
      </c>
      <c r="F26" s="15">
        <f t="shared" si="0"/>
        <v>514.79999999999995</v>
      </c>
      <c r="G26" s="14">
        <v>200</v>
      </c>
      <c r="H26" s="15">
        <f t="shared" si="1"/>
        <v>70</v>
      </c>
      <c r="I26" s="14">
        <v>98</v>
      </c>
      <c r="J26" s="15">
        <f t="shared" si="2"/>
        <v>39.200000000000003</v>
      </c>
      <c r="K26" s="14">
        <v>3470</v>
      </c>
      <c r="L26" s="15">
        <f t="shared" si="3"/>
        <v>381.7</v>
      </c>
      <c r="M26" s="14">
        <v>39</v>
      </c>
      <c r="N26" s="14">
        <v>45</v>
      </c>
      <c r="O26" s="2"/>
    </row>
    <row r="27" spans="1:15" x14ac:dyDescent="0.3">
      <c r="A27" s="13" t="s">
        <v>11</v>
      </c>
      <c r="B27" s="9">
        <f t="shared" si="4"/>
        <v>26</v>
      </c>
      <c r="C27" s="9">
        <v>3</v>
      </c>
      <c r="D27" s="9">
        <v>2025</v>
      </c>
      <c r="E27" s="14">
        <v>4866</v>
      </c>
      <c r="F27" s="15">
        <f t="shared" si="0"/>
        <v>535.26</v>
      </c>
      <c r="G27" s="14">
        <v>350</v>
      </c>
      <c r="H27" s="15">
        <f t="shared" si="1"/>
        <v>122.49999999999999</v>
      </c>
      <c r="I27" s="14">
        <v>96</v>
      </c>
      <c r="J27" s="15">
        <f t="shared" si="2"/>
        <v>38.400000000000006</v>
      </c>
      <c r="K27" s="14">
        <v>1520</v>
      </c>
      <c r="L27" s="15">
        <f t="shared" si="3"/>
        <v>167.2</v>
      </c>
      <c r="M27" s="14">
        <v>42</v>
      </c>
      <c r="N27" s="14">
        <v>48</v>
      </c>
      <c r="O27" s="2"/>
    </row>
    <row r="28" spans="1:15" x14ac:dyDescent="0.3">
      <c r="A28" s="13" t="s">
        <v>11</v>
      </c>
      <c r="B28" s="9">
        <f t="shared" si="4"/>
        <v>27</v>
      </c>
      <c r="C28" s="9">
        <v>3</v>
      </c>
      <c r="D28" s="9">
        <v>2025</v>
      </c>
      <c r="E28" s="14">
        <v>4883</v>
      </c>
      <c r="F28" s="15">
        <f t="shared" si="0"/>
        <v>537.13</v>
      </c>
      <c r="G28" s="14">
        <v>100</v>
      </c>
      <c r="H28" s="15">
        <f t="shared" si="1"/>
        <v>35</v>
      </c>
      <c r="I28" s="14">
        <v>98</v>
      </c>
      <c r="J28" s="15">
        <f t="shared" si="2"/>
        <v>39.200000000000003</v>
      </c>
      <c r="K28" s="14">
        <v>1380</v>
      </c>
      <c r="L28" s="15">
        <f t="shared" si="3"/>
        <v>151.80000000000001</v>
      </c>
      <c r="M28" s="14">
        <v>44</v>
      </c>
      <c r="N28" s="14">
        <v>48</v>
      </c>
      <c r="O28" s="2"/>
    </row>
    <row r="29" spans="1:15" x14ac:dyDescent="0.3">
      <c r="A29" s="13" t="s">
        <v>11</v>
      </c>
      <c r="B29" s="9">
        <f t="shared" si="4"/>
        <v>28</v>
      </c>
      <c r="C29" s="9">
        <v>3</v>
      </c>
      <c r="D29" s="9">
        <v>2025</v>
      </c>
      <c r="E29" s="14">
        <v>4875</v>
      </c>
      <c r="F29" s="15">
        <f t="shared" si="0"/>
        <v>536.25</v>
      </c>
      <c r="G29" s="14">
        <v>100</v>
      </c>
      <c r="H29" s="15">
        <f t="shared" si="1"/>
        <v>35</v>
      </c>
      <c r="I29" s="14">
        <v>95</v>
      </c>
      <c r="J29" s="15">
        <f t="shared" si="2"/>
        <v>38</v>
      </c>
      <c r="K29" s="14">
        <v>2470</v>
      </c>
      <c r="L29" s="15">
        <f t="shared" si="3"/>
        <v>271.7</v>
      </c>
      <c r="M29" s="14">
        <v>45</v>
      </c>
      <c r="N29" s="14">
        <v>65</v>
      </c>
      <c r="O29" s="2"/>
    </row>
    <row r="30" spans="1:15" x14ac:dyDescent="0.3">
      <c r="A30" s="13" t="s">
        <v>11</v>
      </c>
      <c r="B30" s="9">
        <f t="shared" si="4"/>
        <v>29</v>
      </c>
      <c r="C30" s="9">
        <v>3</v>
      </c>
      <c r="D30" s="9">
        <v>2025</v>
      </c>
      <c r="E30" s="14">
        <v>4960</v>
      </c>
      <c r="F30" s="15">
        <f t="shared" si="0"/>
        <v>545.6</v>
      </c>
      <c r="G30" s="14">
        <v>100</v>
      </c>
      <c r="H30" s="15">
        <f t="shared" si="1"/>
        <v>35</v>
      </c>
      <c r="I30" s="14">
        <v>103</v>
      </c>
      <c r="J30" s="15">
        <f t="shared" si="2"/>
        <v>41.2</v>
      </c>
      <c r="K30" s="14">
        <v>3720</v>
      </c>
      <c r="L30" s="15">
        <f t="shared" si="3"/>
        <v>409.2</v>
      </c>
      <c r="M30" s="14">
        <v>52</v>
      </c>
      <c r="N30" s="14">
        <v>82</v>
      </c>
      <c r="O30" s="2"/>
    </row>
    <row r="31" spans="1:15" x14ac:dyDescent="0.3">
      <c r="A31" s="13" t="s">
        <v>11</v>
      </c>
      <c r="B31" s="9">
        <f t="shared" si="4"/>
        <v>30</v>
      </c>
      <c r="C31" s="9">
        <v>3</v>
      </c>
      <c r="D31" s="9">
        <v>2025</v>
      </c>
      <c r="E31" s="14">
        <v>5120</v>
      </c>
      <c r="F31" s="15">
        <f t="shared" si="0"/>
        <v>563.20000000000005</v>
      </c>
      <c r="G31" s="14">
        <v>200</v>
      </c>
      <c r="H31" s="15">
        <f t="shared" si="1"/>
        <v>70</v>
      </c>
      <c r="I31" s="14">
        <v>112</v>
      </c>
      <c r="J31" s="15">
        <f t="shared" si="2"/>
        <v>44.800000000000004</v>
      </c>
      <c r="K31" s="14">
        <v>1470</v>
      </c>
      <c r="L31" s="15">
        <f t="shared" si="3"/>
        <v>161.69999999999999</v>
      </c>
      <c r="M31" s="14">
        <v>65</v>
      </c>
      <c r="N31" s="14">
        <v>117</v>
      </c>
      <c r="O31" s="2"/>
    </row>
    <row r="32" spans="1:15" x14ac:dyDescent="0.3">
      <c r="A32" s="13" t="s">
        <v>11</v>
      </c>
      <c r="B32" s="9">
        <f>B31+1</f>
        <v>31</v>
      </c>
      <c r="C32" s="9">
        <v>3</v>
      </c>
      <c r="D32" s="9">
        <v>2025</v>
      </c>
      <c r="E32" s="14">
        <v>5170</v>
      </c>
      <c r="F32" s="15">
        <f t="shared" si="0"/>
        <v>568.70000000000005</v>
      </c>
      <c r="G32" s="14">
        <v>250</v>
      </c>
      <c r="H32" s="15">
        <f t="shared" si="1"/>
        <v>87.5</v>
      </c>
      <c r="I32" s="14">
        <v>125</v>
      </c>
      <c r="J32" s="15">
        <f t="shared" si="2"/>
        <v>50</v>
      </c>
      <c r="K32" s="14">
        <v>3870</v>
      </c>
      <c r="L32" s="15">
        <f t="shared" si="3"/>
        <v>425.7</v>
      </c>
      <c r="M32" s="14">
        <v>94</v>
      </c>
      <c r="N32" s="14">
        <v>188</v>
      </c>
      <c r="O32" s="2"/>
    </row>
    <row r="33" spans="2:11" x14ac:dyDescent="0.3">
      <c r="E33" s="3"/>
      <c r="G33" s="3"/>
      <c r="I33" s="3"/>
      <c r="K33" s="3"/>
    </row>
    <row r="34" spans="2:11" ht="15" thickBot="1" x14ac:dyDescent="0.35"/>
    <row r="35" spans="2:11" x14ac:dyDescent="0.3">
      <c r="B35" s="28" t="s">
        <v>10</v>
      </c>
      <c r="C35" s="29"/>
      <c r="D35" s="29"/>
      <c r="E35" s="10">
        <v>0.35</v>
      </c>
    </row>
    <row r="36" spans="2:11" x14ac:dyDescent="0.3">
      <c r="B36" s="30" t="s">
        <v>4</v>
      </c>
      <c r="C36" s="31"/>
      <c r="D36" s="31"/>
      <c r="E36" s="11">
        <v>0.11</v>
      </c>
    </row>
    <row r="37" spans="2:11" x14ac:dyDescent="0.3">
      <c r="B37" s="30" t="s">
        <v>12</v>
      </c>
      <c r="C37" s="31"/>
      <c r="D37" s="31"/>
      <c r="E37" s="11">
        <v>0.48</v>
      </c>
    </row>
    <row r="38" spans="2:11" ht="15" thickBot="1" x14ac:dyDescent="0.35">
      <c r="B38" s="26" t="s">
        <v>8</v>
      </c>
      <c r="C38" s="27"/>
      <c r="D38" s="27"/>
      <c r="E38" s="12">
        <v>0.4</v>
      </c>
    </row>
  </sheetData>
  <mergeCells count="4">
    <mergeCell ref="B38:D38"/>
    <mergeCell ref="B35:D35"/>
    <mergeCell ref="B36:D36"/>
    <mergeCell ref="B37:D3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>Rotana Hotels Co.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T.Elserougi</dc:creator>
  <cp:keywords/>
  <dc:description/>
  <cp:lastModifiedBy>Joe Alkhoury</cp:lastModifiedBy>
  <cp:revision/>
  <dcterms:created xsi:type="dcterms:W3CDTF">2006-04-11T08:27:10Z</dcterms:created>
  <dcterms:modified xsi:type="dcterms:W3CDTF">2025-05-08T09:09:16Z</dcterms:modified>
  <cp:category/>
  <cp:contentStatus/>
</cp:coreProperties>
</file>