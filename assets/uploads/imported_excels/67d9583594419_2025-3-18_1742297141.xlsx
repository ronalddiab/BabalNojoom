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2/"/>
    </mc:Choice>
  </mc:AlternateContent>
  <xr:revisionPtr revIDLastSave="698" documentId="8_{8847650D-614C-4264-8C87-30D8B5EB4252}" xr6:coauthVersionLast="47" xr6:coauthVersionMax="47" xr10:uidLastSave="{D30A90B6-CD17-4295-8645-32FC22A8599A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<sst xmlns="http://schemas.openxmlformats.org/spreadsheetml/2006/main" count="123" uniqueCount="88">
  <si>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</si>
  <si>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</si>
  <si>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</si>
  <si>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</si>
  <si>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</si>
  <si>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</si>
  <si>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</si>
  <si>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</si>
  <si>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</si>
  <si>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</si>
  <si>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</si>
  <si>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</si>
  <si>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</si>
  <si>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</si>
  <si>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</si>
  <si>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</si>
  <si>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</si>
  <si>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</si>
  <si>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</si>
  <si>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</si>
  <si>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</si>
  <si>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</si>
  <si>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</si>
  <si>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</si>
  <si>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</si>
  <si>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</si>
  <si>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</si>
  <si>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</si>
  <si>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</si>
  <si>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</si>
  <si>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</si>
  <si>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</si>
  <si>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</si>
  <si>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</si>
  <si>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</si>
  <si>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</si>
  <si>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</si>
  <si>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</si>
  <si>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</si>
  <si>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</si>
  <si>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</si>
  <si>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</si>
  <si>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</si>
  <si>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</si>
  <si>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</si>
  <si>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</si>
  <si>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</si>
  <si>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</si>
  <si>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</si>
  <si>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</si>
  <si>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</si>
  <si>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</si>
  <si>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</si>
  <si>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</si>
  <si>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</si>
  <si>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</si>
  <si>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</si>
  <si>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</si>
  <si>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</si>
  <si>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</si>
  <si>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</si>
  <si>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</si>
  <si>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</si>
  <si>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</si>
  <si>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</si>
  <si>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</si>
  <si>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</si>
  <si>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</si>
  <si>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</si>
  <si>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</si>
  <si>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</si>
  <si>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</si>
  <si>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</si>
  <si>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</si>
  <si>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</si>
  <si>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</si>
  <si>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</si>
  <si>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</si>
  <si>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</si>
  <si>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</si>
  <si>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</si>
  <si>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</si>
  <si>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</si>
  <si>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</si>
  <si>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GAS METER READINGS &amp; CONSUMPTION (Liters) JULY 2023</t>
  </si>
  <si>
    <t>Occupied Room &amp; Number of Guest
July 2022</t>
  </si>
  <si>
    <t>DAILY ELECTRICITY METER READINGS &amp; CONSUMPTION JULY 2022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</si>
  <si>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JULY 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</si>
</sst>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9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 wrapText="1"/>
    </xf>
    <xf numFmtId="169" fontId="29" fillId="0" borderId="2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7</v>
      </c>
      <c r="D2" s="10">
        <v>2022</v>
      </c>
      <c r="E2" s="4" cm="1">
        <f t="array" ref="E2:E32">TRANSPOSE(Electricity!E21:AI21)</f>
        <v>44511</v>
      </c>
      <c r="F2" s="11">
        <v>0.2</v>
      </c>
      <c r="G2" s="4">
        <f>LPG!C4</f>
        <v>1794.0270967741935</v>
      </c>
      <c r="H2" s="11">
        <v>1.8200030783150685</v>
      </c>
      <c r="I2" s="4" cm="1">
        <f t="array" ref="I2:I32">TRANSPOSE(Water!E15:AI15)</f>
        <v>240.47599999999889</v>
      </c>
      <c r="J2" s="11">
        <v>7.84</v>
      </c>
      <c r="K2" s="4">
        <f>'Occupied &amp; No. of Guest'!B3</f>
        <v>340</v>
      </c>
      <c r="L2" s="4">
        <f>'Occupied &amp; No. of Guest'!C3</f>
        <v>414</v>
      </c>
    </row>
    <row r="3" spans="1:12" x14ac:dyDescent="0.25">
      <c r="A3" s="9" t="s">
        <v>52</v>
      </c>
      <c r="B3" s="10">
        <f>B2+1</f>
        <v>2</v>
      </c>
      <c r="C3" s="10">
        <v>7</v>
      </c>
      <c r="D3" s="10">
        <v>2022</v>
      </c>
      <c r="E3" s="4">
        <v>45896</v>
      </c>
      <c r="F3" s="11">
        <v>0.2</v>
      </c>
      <c r="G3" s="4">
        <f>LPG!C5</f>
        <v>1794.0270967741935</v>
      </c>
      <c r="H3" s="11">
        <v>1.8200030783150685</v>
      </c>
      <c r="I3" s="4">
        <v>283.78399999995469</v>
      </c>
      <c r="J3" s="11">
        <v>7.84</v>
      </c>
      <c r="K3" s="4">
        <f>'Occupied &amp; No. of Guest'!B4</f>
        <v>368</v>
      </c>
      <c r="L3" s="4">
        <f>'Occupied &amp; No. of Guest'!C4</f>
        <v>477</v>
      </c>
    </row>
    <row r="4" spans="1:12" x14ac:dyDescent="0.25">
      <c r="A4" s="9" t="s">
        <v>52</v>
      </c>
      <c r="B4" s="10">
        <f t="shared" ref="B4:B32" si="0">B3+1</f>
        <v>3</v>
      </c>
      <c r="C4" s="10">
        <v>7</v>
      </c>
      <c r="D4" s="10">
        <v>2022</v>
      </c>
      <c r="E4" s="4">
        <v>47494</v>
      </c>
      <c r="F4" s="11">
        <v>0.2</v>
      </c>
      <c r="G4" s="4">
        <f>LPG!C6</f>
        <v>1794.0270967741935</v>
      </c>
      <c r="H4" s="11">
        <v>1.8200030783150685</v>
      </c>
      <c r="I4" s="4">
        <v>242.30600000005046</v>
      </c>
      <c r="J4" s="11">
        <v>7.84</v>
      </c>
      <c r="K4" s="4">
        <f>'Occupied &amp; No. of Guest'!B5</f>
        <v>351</v>
      </c>
      <c r="L4" s="4">
        <f>'Occupied &amp; No. of Guest'!C5</f>
        <v>434</v>
      </c>
    </row>
    <row r="5" spans="1:12" x14ac:dyDescent="0.25">
      <c r="A5" s="9" t="s">
        <v>52</v>
      </c>
      <c r="B5" s="10">
        <f t="shared" si="0"/>
        <v>4</v>
      </c>
      <c r="C5" s="10">
        <v>7</v>
      </c>
      <c r="D5" s="10">
        <v>2022</v>
      </c>
      <c r="E5" s="4">
        <v>46093</v>
      </c>
      <c r="F5" s="11">
        <v>0.2</v>
      </c>
      <c r="G5" s="4">
        <f>LPG!C7</f>
        <v>1794.0270967741935</v>
      </c>
      <c r="H5" s="11">
        <v>1.8200030783150685</v>
      </c>
      <c r="I5" s="4">
        <v>269.56399999994937</v>
      </c>
      <c r="J5" s="11">
        <v>7.84</v>
      </c>
      <c r="K5" s="4">
        <f>'Occupied &amp; No. of Guest'!B6</f>
        <v>381</v>
      </c>
      <c r="L5" s="4">
        <f>'Occupied &amp; No. of Guest'!C6</f>
        <v>466</v>
      </c>
    </row>
    <row r="6" spans="1:12" x14ac:dyDescent="0.25">
      <c r="A6" s="9" t="s">
        <v>52</v>
      </c>
      <c r="B6" s="10">
        <f t="shared" si="0"/>
        <v>5</v>
      </c>
      <c r="C6" s="10">
        <v>7</v>
      </c>
      <c r="D6" s="10">
        <v>2022</v>
      </c>
      <c r="E6" s="4">
        <v>45705</v>
      </c>
      <c r="F6" s="11">
        <v>0.2</v>
      </c>
      <c r="G6" s="4">
        <f>LPG!C8</f>
        <v>1794.0270967741935</v>
      </c>
      <c r="H6" s="11">
        <v>1.8200030783150685</v>
      </c>
      <c r="I6" s="4">
        <v>305.87600000005068</v>
      </c>
      <c r="J6" s="11">
        <v>7.84</v>
      </c>
      <c r="K6" s="4">
        <f>'Occupied &amp; No. of Guest'!B7</f>
        <v>385</v>
      </c>
      <c r="L6" s="4">
        <f>'Occupied &amp; No. of Guest'!C7</f>
        <v>465</v>
      </c>
    </row>
    <row r="7" spans="1:12" x14ac:dyDescent="0.25">
      <c r="A7" s="9" t="s">
        <v>52</v>
      </c>
      <c r="B7" s="10">
        <f t="shared" si="0"/>
        <v>6</v>
      </c>
      <c r="C7" s="10">
        <v>7</v>
      </c>
      <c r="D7" s="10">
        <v>2022</v>
      </c>
      <c r="E7" s="4">
        <v>46447</v>
      </c>
      <c r="F7" s="11">
        <v>0.2</v>
      </c>
      <c r="G7" s="4">
        <f>LPG!C9</f>
        <v>1794.0270967741935</v>
      </c>
      <c r="H7" s="11">
        <v>1.8200030783150685</v>
      </c>
      <c r="I7" s="4">
        <v>272.28699999999588</v>
      </c>
      <c r="J7" s="11">
        <v>7.84</v>
      </c>
      <c r="K7" s="4">
        <f>'Occupied &amp; No. of Guest'!B8</f>
        <v>383</v>
      </c>
      <c r="L7" s="4">
        <f>'Occupied &amp; No. of Guest'!C8</f>
        <v>457</v>
      </c>
    </row>
    <row r="8" spans="1:12" x14ac:dyDescent="0.25">
      <c r="A8" s="9" t="s">
        <v>52</v>
      </c>
      <c r="B8" s="10">
        <f t="shared" si="0"/>
        <v>7</v>
      </c>
      <c r="C8" s="10">
        <v>7</v>
      </c>
      <c r="D8" s="10">
        <v>2022</v>
      </c>
      <c r="E8" s="4">
        <v>41919</v>
      </c>
      <c r="F8" s="11">
        <v>0.2</v>
      </c>
      <c r="G8" s="4">
        <f>LPG!C10</f>
        <v>1794.0270967741935</v>
      </c>
      <c r="H8" s="11">
        <v>1.8200030783150685</v>
      </c>
      <c r="I8" s="4">
        <v>266.34199999999998</v>
      </c>
      <c r="J8" s="11">
        <v>7.84</v>
      </c>
      <c r="K8" s="4">
        <f>'Occupied &amp; No. of Guest'!B9</f>
        <v>363</v>
      </c>
      <c r="L8" s="4">
        <f>'Occupied &amp; No. of Guest'!C9</f>
        <v>430</v>
      </c>
    </row>
    <row r="9" spans="1:12" x14ac:dyDescent="0.25">
      <c r="A9" s="9" t="s">
        <v>52</v>
      </c>
      <c r="B9" s="10">
        <f t="shared" si="0"/>
        <v>8</v>
      </c>
      <c r="C9" s="10">
        <v>7</v>
      </c>
      <c r="D9" s="10">
        <v>2022</v>
      </c>
      <c r="E9" s="4">
        <v>43487</v>
      </c>
      <c r="F9" s="11">
        <v>0.2</v>
      </c>
      <c r="G9" s="4">
        <f>LPG!C11</f>
        <v>1794.0270967741935</v>
      </c>
      <c r="H9" s="11">
        <v>1.8200030783150685</v>
      </c>
      <c r="I9" s="4">
        <v>191.80399999997024</v>
      </c>
      <c r="J9" s="11">
        <v>7.84</v>
      </c>
      <c r="K9" s="4">
        <f>'Occupied &amp; No. of Guest'!B10</f>
        <v>353</v>
      </c>
      <c r="L9" s="4">
        <f>'Occupied &amp; No. of Guest'!C10</f>
        <v>437</v>
      </c>
    </row>
    <row r="10" spans="1:12" x14ac:dyDescent="0.25">
      <c r="A10" s="9" t="s">
        <v>52</v>
      </c>
      <c r="B10" s="10">
        <f t="shared" si="0"/>
        <v>9</v>
      </c>
      <c r="C10" s="10">
        <v>7</v>
      </c>
      <c r="D10" s="10">
        <v>2022</v>
      </c>
      <c r="E10" s="4">
        <v>40689</v>
      </c>
      <c r="F10" s="11">
        <v>0.2</v>
      </c>
      <c r="G10" s="4">
        <f>LPG!C12</f>
        <v>1794.0270967741935</v>
      </c>
      <c r="H10" s="11">
        <v>1.8200030783150685</v>
      </c>
      <c r="I10" s="4">
        <v>213.18900000002856</v>
      </c>
      <c r="J10" s="11">
        <v>7.84</v>
      </c>
      <c r="K10" s="4">
        <f>'Occupied &amp; No. of Guest'!B11</f>
        <v>369</v>
      </c>
      <c r="L10" s="4">
        <f>'Occupied &amp; No. of Guest'!C11</f>
        <v>467</v>
      </c>
    </row>
    <row r="11" spans="1:12" x14ac:dyDescent="0.25">
      <c r="A11" s="9" t="s">
        <v>52</v>
      </c>
      <c r="B11" s="10">
        <f t="shared" si="0"/>
        <v>10</v>
      </c>
      <c r="C11" s="10">
        <v>7</v>
      </c>
      <c r="D11" s="10">
        <v>2022</v>
      </c>
      <c r="E11" s="4">
        <v>42299</v>
      </c>
      <c r="F11" s="11">
        <v>0.2</v>
      </c>
      <c r="G11" s="4">
        <f>LPG!C13</f>
        <v>1794.0270967741935</v>
      </c>
      <c r="H11" s="11">
        <v>1.8200030783150685</v>
      </c>
      <c r="I11" s="4">
        <v>278.70499999996508</v>
      </c>
      <c r="J11" s="11">
        <v>7.84</v>
      </c>
      <c r="K11" s="4">
        <f>'Occupied &amp; No. of Guest'!B12</f>
        <v>369</v>
      </c>
      <c r="L11" s="4">
        <f>'Occupied &amp; No. of Guest'!C12</f>
        <v>457</v>
      </c>
    </row>
    <row r="12" spans="1:12" x14ac:dyDescent="0.25">
      <c r="A12" s="9" t="s">
        <v>52</v>
      </c>
      <c r="B12" s="10">
        <f t="shared" si="0"/>
        <v>11</v>
      </c>
      <c r="C12" s="10">
        <v>7</v>
      </c>
      <c r="D12" s="10">
        <v>2022</v>
      </c>
      <c r="E12" s="4">
        <v>41495</v>
      </c>
      <c r="F12" s="11">
        <v>0.2</v>
      </c>
      <c r="G12" s="4">
        <f>LPG!C14</f>
        <v>1794.0270967741935</v>
      </c>
      <c r="H12" s="11">
        <v>1.8200030783150685</v>
      </c>
      <c r="I12" s="4">
        <v>171.55300000001168</v>
      </c>
      <c r="J12" s="11">
        <v>7.84</v>
      </c>
      <c r="K12" s="4">
        <f>'Occupied &amp; No. of Guest'!B13</f>
        <v>355</v>
      </c>
      <c r="L12" s="4">
        <f>'Occupied &amp; No. of Guest'!C13</f>
        <v>425</v>
      </c>
    </row>
    <row r="13" spans="1:12" x14ac:dyDescent="0.25">
      <c r="A13" s="9" t="s">
        <v>52</v>
      </c>
      <c r="B13" s="10">
        <f t="shared" si="0"/>
        <v>12</v>
      </c>
      <c r="C13" s="10">
        <v>7</v>
      </c>
      <c r="D13" s="10">
        <v>2022</v>
      </c>
      <c r="E13" s="4">
        <v>44890</v>
      </c>
      <c r="F13" s="11">
        <v>0.2</v>
      </c>
      <c r="G13" s="4">
        <f>LPG!C15</f>
        <v>1794.0270967741935</v>
      </c>
      <c r="H13" s="11">
        <v>1.8200030783150685</v>
      </c>
      <c r="I13" s="4">
        <v>262.28699999999361</v>
      </c>
      <c r="J13" s="11">
        <v>7.84</v>
      </c>
      <c r="K13" s="4">
        <f>'Occupied &amp; No. of Guest'!B14</f>
        <v>374</v>
      </c>
      <c r="L13" s="4">
        <f>'Occupied &amp; No. of Guest'!C14</f>
        <v>443</v>
      </c>
    </row>
    <row r="14" spans="1:12" x14ac:dyDescent="0.25">
      <c r="A14" s="9" t="s">
        <v>52</v>
      </c>
      <c r="B14" s="10">
        <f t="shared" si="0"/>
        <v>13</v>
      </c>
      <c r="C14" s="10">
        <v>7</v>
      </c>
      <c r="D14" s="10">
        <v>2022</v>
      </c>
      <c r="E14" s="4">
        <v>44895</v>
      </c>
      <c r="F14" s="11">
        <v>0.2</v>
      </c>
      <c r="G14" s="4">
        <f>LPG!C16</f>
        <v>1794.0270967741935</v>
      </c>
      <c r="H14" s="11">
        <v>1.8200030783150685</v>
      </c>
      <c r="I14" s="4">
        <v>259.42699999999581</v>
      </c>
      <c r="J14" s="11">
        <v>7.84</v>
      </c>
      <c r="K14" s="4">
        <f>'Occupied &amp; No. of Guest'!B15</f>
        <v>374</v>
      </c>
      <c r="L14" s="4">
        <f>'Occupied &amp; No. of Guest'!C15</f>
        <v>434</v>
      </c>
    </row>
    <row r="15" spans="1:12" x14ac:dyDescent="0.25">
      <c r="A15" s="9" t="s">
        <v>52</v>
      </c>
      <c r="B15" s="10">
        <f t="shared" si="0"/>
        <v>14</v>
      </c>
      <c r="C15" s="10">
        <v>7</v>
      </c>
      <c r="D15" s="10">
        <v>2022</v>
      </c>
      <c r="E15" s="4">
        <v>45708</v>
      </c>
      <c r="F15" s="11">
        <v>0.2</v>
      </c>
      <c r="G15" s="4">
        <f>LPG!C17</f>
        <v>1794.0270967741935</v>
      </c>
      <c r="H15" s="11">
        <v>1.8200030783150685</v>
      </c>
      <c r="I15" s="4">
        <v>284.99600000004426</v>
      </c>
      <c r="J15" s="11">
        <v>7.84</v>
      </c>
      <c r="K15" s="4">
        <f>'Occupied &amp; No. of Guest'!B16</f>
        <v>373</v>
      </c>
      <c r="L15" s="4">
        <f>'Occupied &amp; No. of Guest'!C16</f>
        <v>435</v>
      </c>
    </row>
    <row r="16" spans="1:12" x14ac:dyDescent="0.25">
      <c r="A16" s="9" t="s">
        <v>52</v>
      </c>
      <c r="B16" s="10">
        <f t="shared" si="0"/>
        <v>15</v>
      </c>
      <c r="C16" s="10">
        <v>7</v>
      </c>
      <c r="D16" s="10">
        <v>2022</v>
      </c>
      <c r="E16" s="4">
        <v>45892</v>
      </c>
      <c r="F16" s="11">
        <v>0.2</v>
      </c>
      <c r="G16" s="4">
        <f>LPG!C18</f>
        <v>1794.0270967741935</v>
      </c>
      <c r="H16" s="11">
        <v>1.8200030783150685</v>
      </c>
      <c r="I16" s="4">
        <v>239.76299999994424</v>
      </c>
      <c r="J16" s="11">
        <v>7.84</v>
      </c>
      <c r="K16" s="4">
        <f>'Occupied &amp; No. of Guest'!B17</f>
        <v>336</v>
      </c>
      <c r="L16" s="4">
        <f>'Occupied &amp; No. of Guest'!C17</f>
        <v>390</v>
      </c>
    </row>
    <row r="17" spans="1:12" x14ac:dyDescent="0.25">
      <c r="A17" s="9" t="s">
        <v>52</v>
      </c>
      <c r="B17" s="10">
        <f t="shared" si="0"/>
        <v>16</v>
      </c>
      <c r="C17" s="10">
        <v>7</v>
      </c>
      <c r="D17" s="10">
        <v>2022</v>
      </c>
      <c r="E17" s="4">
        <v>43491</v>
      </c>
      <c r="F17" s="11">
        <v>0.2</v>
      </c>
      <c r="G17" s="4">
        <f>LPG!C19</f>
        <v>1794.0270967741935</v>
      </c>
      <c r="H17" s="11">
        <v>1.8200030783150685</v>
      </c>
      <c r="I17" s="4">
        <v>303.91700000002839</v>
      </c>
      <c r="J17" s="11">
        <v>7.84</v>
      </c>
      <c r="K17" s="4">
        <f>'Occupied &amp; No. of Guest'!B18</f>
        <v>342</v>
      </c>
      <c r="L17" s="4">
        <f>'Occupied &amp; No. of Guest'!C18</f>
        <v>410</v>
      </c>
    </row>
    <row r="18" spans="1:12" x14ac:dyDescent="0.25">
      <c r="A18" s="9" t="s">
        <v>52</v>
      </c>
      <c r="B18" s="10">
        <f t="shared" si="0"/>
        <v>17</v>
      </c>
      <c r="C18" s="10">
        <v>7</v>
      </c>
      <c r="D18" s="10">
        <v>2022</v>
      </c>
      <c r="E18" s="4">
        <v>45292</v>
      </c>
      <c r="F18" s="11">
        <v>0.2</v>
      </c>
      <c r="G18" s="4">
        <f>LPG!C20</f>
        <v>1794.0270967741935</v>
      </c>
      <c r="H18" s="11">
        <v>1.8200030783150685</v>
      </c>
      <c r="I18" s="4">
        <v>271.63800000000651</v>
      </c>
      <c r="J18" s="11">
        <v>7.84</v>
      </c>
      <c r="K18" s="4">
        <f>'Occupied &amp; No. of Guest'!B19</f>
        <v>346</v>
      </c>
      <c r="L18" s="4">
        <f>'Occupied &amp; No. of Guest'!C19</f>
        <v>419</v>
      </c>
    </row>
    <row r="19" spans="1:12" x14ac:dyDescent="0.25">
      <c r="A19" s="9" t="s">
        <v>52</v>
      </c>
      <c r="B19" s="10">
        <f t="shared" si="0"/>
        <v>18</v>
      </c>
      <c r="C19" s="10">
        <v>7</v>
      </c>
      <c r="D19" s="10">
        <v>2022</v>
      </c>
      <c r="E19" s="4">
        <v>45492</v>
      </c>
      <c r="F19" s="11">
        <v>0.2</v>
      </c>
      <c r="G19" s="4">
        <f>LPG!C21</f>
        <v>1794.0270967741935</v>
      </c>
      <c r="H19" s="11">
        <v>1.8200030783150685</v>
      </c>
      <c r="I19" s="4">
        <v>266.86299999996504</v>
      </c>
      <c r="J19" s="11">
        <v>7.84</v>
      </c>
      <c r="K19" s="4">
        <f>'Occupied &amp; No. of Guest'!B20</f>
        <v>382</v>
      </c>
      <c r="L19" s="4">
        <f>'Occupied &amp; No. of Guest'!C20</f>
        <v>472</v>
      </c>
    </row>
    <row r="20" spans="1:12" x14ac:dyDescent="0.25">
      <c r="A20" s="9" t="s">
        <v>52</v>
      </c>
      <c r="B20" s="10">
        <f t="shared" si="0"/>
        <v>19</v>
      </c>
      <c r="C20" s="10">
        <v>7</v>
      </c>
      <c r="D20" s="10">
        <v>2022</v>
      </c>
      <c r="E20" s="4">
        <v>44288</v>
      </c>
      <c r="F20" s="11">
        <v>0.2</v>
      </c>
      <c r="G20" s="4">
        <f>LPG!C22</f>
        <v>1794.0270967741935</v>
      </c>
      <c r="H20" s="11">
        <v>1.8200030783150685</v>
      </c>
      <c r="I20" s="4">
        <v>301.4050000000467</v>
      </c>
      <c r="J20" s="11">
        <v>7.84</v>
      </c>
      <c r="K20" s="4">
        <f>'Occupied &amp; No. of Guest'!B21</f>
        <v>377</v>
      </c>
      <c r="L20" s="4">
        <f>'Occupied &amp; No. of Guest'!C21</f>
        <v>469</v>
      </c>
    </row>
    <row r="21" spans="1:12" x14ac:dyDescent="0.25">
      <c r="A21" s="9" t="s">
        <v>52</v>
      </c>
      <c r="B21" s="10">
        <f t="shared" si="0"/>
        <v>20</v>
      </c>
      <c r="C21" s="10">
        <v>7</v>
      </c>
      <c r="D21" s="10">
        <v>2022</v>
      </c>
      <c r="E21" s="4">
        <v>43675</v>
      </c>
      <c r="F21" s="11">
        <v>0.2</v>
      </c>
      <c r="G21" s="4">
        <f>LPG!C23</f>
        <v>1794.0270967741935</v>
      </c>
      <c r="H21" s="11">
        <v>1.8200030783150685</v>
      </c>
      <c r="I21" s="4">
        <v>290.26599999999235</v>
      </c>
      <c r="J21" s="11">
        <v>7.84</v>
      </c>
      <c r="K21" s="4">
        <f>'Occupied &amp; No. of Guest'!B22</f>
        <v>377</v>
      </c>
      <c r="L21" s="4">
        <f>'Occupied &amp; No. of Guest'!C22</f>
        <v>465</v>
      </c>
    </row>
    <row r="22" spans="1:12" x14ac:dyDescent="0.25">
      <c r="A22" s="9" t="s">
        <v>52</v>
      </c>
      <c r="B22" s="10">
        <f t="shared" si="0"/>
        <v>21</v>
      </c>
      <c r="C22" s="10">
        <v>7</v>
      </c>
      <c r="D22" s="10">
        <v>2022</v>
      </c>
      <c r="E22" s="4">
        <v>43490</v>
      </c>
      <c r="F22" s="11">
        <v>0.2</v>
      </c>
      <c r="G22" s="4">
        <f>LPG!C24</f>
        <v>1794.0270967741935</v>
      </c>
      <c r="H22" s="11">
        <v>1.8200030783150685</v>
      </c>
      <c r="I22" s="4">
        <v>268.64699999996628</v>
      </c>
      <c r="J22" s="11">
        <v>7.84</v>
      </c>
      <c r="K22" s="4">
        <f>'Occupied &amp; No. of Guest'!B23</f>
        <v>348</v>
      </c>
      <c r="L22" s="4">
        <f>'Occupied &amp; No. of Guest'!C23</f>
        <v>418</v>
      </c>
    </row>
    <row r="23" spans="1:12" x14ac:dyDescent="0.25">
      <c r="A23" s="9" t="s">
        <v>52</v>
      </c>
      <c r="B23" s="10">
        <f t="shared" si="0"/>
        <v>22</v>
      </c>
      <c r="C23" s="10">
        <v>7</v>
      </c>
      <c r="D23" s="10">
        <v>2022</v>
      </c>
      <c r="E23" s="4">
        <v>47092</v>
      </c>
      <c r="F23" s="11">
        <v>0.2</v>
      </c>
      <c r="G23" s="4">
        <f>LPG!C25</f>
        <v>1794.0270967741935</v>
      </c>
      <c r="H23" s="11">
        <v>1.8200030783150685</v>
      </c>
      <c r="I23" s="4">
        <v>174.122000000057</v>
      </c>
      <c r="J23" s="11">
        <v>7.84</v>
      </c>
      <c r="K23" s="4">
        <f>'Occupied &amp; No. of Guest'!B24</f>
        <v>380</v>
      </c>
      <c r="L23" s="4">
        <f>'Occupied &amp; No. of Guest'!C24</f>
        <v>489</v>
      </c>
    </row>
    <row r="24" spans="1:12" x14ac:dyDescent="0.25">
      <c r="A24" s="9" t="s">
        <v>52</v>
      </c>
      <c r="B24" s="10">
        <f t="shared" si="0"/>
        <v>23</v>
      </c>
      <c r="C24" s="10">
        <v>7</v>
      </c>
      <c r="D24" s="10">
        <v>2022</v>
      </c>
      <c r="E24" s="4">
        <v>47705</v>
      </c>
      <c r="F24" s="11">
        <v>0.2</v>
      </c>
      <c r="G24" s="4">
        <f>LPG!C26</f>
        <v>1794.0270967741935</v>
      </c>
      <c r="H24" s="11">
        <v>1.8200030783150685</v>
      </c>
      <c r="I24" s="4">
        <v>326.69799999995348</v>
      </c>
      <c r="J24" s="11">
        <v>7.84</v>
      </c>
      <c r="K24" s="4">
        <f>'Occupied &amp; No. of Guest'!B25</f>
        <v>372</v>
      </c>
      <c r="L24" s="4">
        <f>'Occupied &amp; No. of Guest'!C25</f>
        <v>494</v>
      </c>
    </row>
    <row r="25" spans="1:12" x14ac:dyDescent="0.25">
      <c r="A25" s="9" t="s">
        <v>52</v>
      </c>
      <c r="B25" s="10">
        <f t="shared" si="0"/>
        <v>24</v>
      </c>
      <c r="C25" s="10">
        <v>7</v>
      </c>
      <c r="D25" s="10">
        <v>2022</v>
      </c>
      <c r="E25" s="4">
        <v>47895</v>
      </c>
      <c r="F25" s="11">
        <v>0.2</v>
      </c>
      <c r="G25" s="4">
        <f>LPG!C27</f>
        <v>1794.0270967741935</v>
      </c>
      <c r="H25" s="11">
        <v>1.8200030783150685</v>
      </c>
      <c r="I25" s="4">
        <v>277.00000000004019</v>
      </c>
      <c r="J25" s="11">
        <v>7.84</v>
      </c>
      <c r="K25" s="4">
        <f>'Occupied &amp; No. of Guest'!B26</f>
        <v>345</v>
      </c>
      <c r="L25" s="4">
        <f>'Occupied &amp; No. of Guest'!C26</f>
        <v>417</v>
      </c>
    </row>
    <row r="26" spans="1:12" x14ac:dyDescent="0.25">
      <c r="A26" s="9" t="s">
        <v>52</v>
      </c>
      <c r="B26" s="10">
        <f>B25+1</f>
        <v>25</v>
      </c>
      <c r="C26" s="10">
        <v>7</v>
      </c>
      <c r="D26" s="10">
        <v>2022</v>
      </c>
      <c r="E26" s="4">
        <v>46488</v>
      </c>
      <c r="F26" s="11">
        <v>0.2</v>
      </c>
      <c r="G26" s="4">
        <f>LPG!C28</f>
        <v>1794.0270967741935</v>
      </c>
      <c r="H26" s="11">
        <v>1.8200030783150685</v>
      </c>
      <c r="I26" s="4">
        <v>265.93599999996746</v>
      </c>
      <c r="J26" s="11">
        <v>7.84</v>
      </c>
      <c r="K26" s="4">
        <f>'Occupied &amp; No. of Guest'!B27</f>
        <v>382</v>
      </c>
      <c r="L26" s="4">
        <f>'Occupied &amp; No. of Guest'!C27</f>
        <v>469</v>
      </c>
    </row>
    <row r="27" spans="1:12" x14ac:dyDescent="0.25">
      <c r="A27" s="9" t="s">
        <v>52</v>
      </c>
      <c r="B27" s="10">
        <f t="shared" si="0"/>
        <v>26</v>
      </c>
      <c r="C27" s="10">
        <v>7</v>
      </c>
      <c r="D27" s="10">
        <v>2022</v>
      </c>
      <c r="E27" s="4">
        <v>41896</v>
      </c>
      <c r="F27" s="11">
        <v>0.2</v>
      </c>
      <c r="G27" s="4">
        <f>LPG!C29</f>
        <v>1794.0270967741935</v>
      </c>
      <c r="H27" s="11">
        <v>1.8200030783150685</v>
      </c>
      <c r="I27" s="4">
        <v>296.42300000003905</v>
      </c>
      <c r="J27" s="11">
        <v>7.84</v>
      </c>
      <c r="K27" s="4">
        <f>'Occupied &amp; No. of Guest'!B28</f>
        <v>380</v>
      </c>
      <c r="L27" s="4">
        <f>'Occupied &amp; No. of Guest'!C28</f>
        <v>456</v>
      </c>
    </row>
    <row r="28" spans="1:12" x14ac:dyDescent="0.25">
      <c r="A28" s="9" t="s">
        <v>52</v>
      </c>
      <c r="B28" s="10">
        <f t="shared" si="0"/>
        <v>27</v>
      </c>
      <c r="C28" s="10">
        <v>7</v>
      </c>
      <c r="D28" s="10">
        <v>2022</v>
      </c>
      <c r="E28" s="4">
        <v>40502</v>
      </c>
      <c r="F28" s="11">
        <v>0.2</v>
      </c>
      <c r="G28" s="4">
        <f>LPG!C30</f>
        <v>1794.0270967741935</v>
      </c>
      <c r="H28" s="11">
        <v>1.8200030783150685</v>
      </c>
      <c r="I28" s="4">
        <v>259.7379999999493</v>
      </c>
      <c r="J28" s="11">
        <v>7.84</v>
      </c>
      <c r="K28" s="4">
        <f>'Occupied &amp; No. of Guest'!B29</f>
        <v>357</v>
      </c>
      <c r="L28" s="4">
        <f>'Occupied &amp; No. of Guest'!C29</f>
        <v>427</v>
      </c>
    </row>
    <row r="29" spans="1:12" x14ac:dyDescent="0.25">
      <c r="A29" s="9" t="s">
        <v>52</v>
      </c>
      <c r="B29" s="10">
        <f t="shared" si="0"/>
        <v>28</v>
      </c>
      <c r="C29" s="10">
        <v>7</v>
      </c>
      <c r="D29" s="10">
        <v>2022</v>
      </c>
      <c r="E29" s="4">
        <v>44303</v>
      </c>
      <c r="F29" s="11">
        <v>0.2</v>
      </c>
      <c r="G29" s="4">
        <f>LPG!C31</f>
        <v>1794.0270967741935</v>
      </c>
      <c r="H29" s="11">
        <v>1.8200030783150685</v>
      </c>
      <c r="I29" s="4">
        <v>273.15380000005587</v>
      </c>
      <c r="J29" s="11">
        <v>7.84</v>
      </c>
      <c r="K29" s="4">
        <f>'Occupied &amp; No. of Guest'!B30</f>
        <v>336</v>
      </c>
      <c r="L29" s="4">
        <f>'Occupied &amp; No. of Guest'!C30</f>
        <v>415</v>
      </c>
    </row>
    <row r="30" spans="1:12" x14ac:dyDescent="0.25">
      <c r="A30" s="9" t="s">
        <v>52</v>
      </c>
      <c r="B30" s="10">
        <f t="shared" si="0"/>
        <v>29</v>
      </c>
      <c r="C30" s="10">
        <v>7</v>
      </c>
      <c r="D30" s="10">
        <v>2022</v>
      </c>
      <c r="E30" s="4">
        <v>42106</v>
      </c>
      <c r="F30" s="11">
        <v>0.2</v>
      </c>
      <c r="G30" s="4">
        <f>LPG!C32</f>
        <v>1794.0270967741935</v>
      </c>
      <c r="H30" s="11">
        <v>1.8200030783150685</v>
      </c>
      <c r="I30" s="4">
        <v>210.95619999999471</v>
      </c>
      <c r="J30" s="11">
        <v>7.84</v>
      </c>
      <c r="K30" s="4">
        <f>'Occupied &amp; No. of Guest'!B31</f>
        <v>321</v>
      </c>
      <c r="L30" s="4">
        <f>'Occupied &amp; No. of Guest'!C31</f>
        <v>418</v>
      </c>
    </row>
    <row r="31" spans="1:12" x14ac:dyDescent="0.25">
      <c r="A31" s="9" t="s">
        <v>52</v>
      </c>
      <c r="B31" s="10">
        <f t="shared" si="0"/>
        <v>30</v>
      </c>
      <c r="C31" s="10">
        <v>7</v>
      </c>
      <c r="D31" s="10">
        <v>2022</v>
      </c>
      <c r="E31" s="4">
        <v>43901</v>
      </c>
      <c r="F31" s="11">
        <v>0.2</v>
      </c>
      <c r="G31" s="4">
        <f>LPG!C33</f>
        <v>1794.0270967741935</v>
      </c>
      <c r="H31" s="11">
        <v>1.8200030783150685</v>
      </c>
      <c r="I31" s="4">
        <v>245.68299999994809</v>
      </c>
      <c r="J31" s="11">
        <v>7.84</v>
      </c>
      <c r="K31" s="4">
        <f>'Occupied &amp; No. of Guest'!B32</f>
        <v>331</v>
      </c>
      <c r="L31" s="4">
        <f>'Occupied &amp; No. of Guest'!C32</f>
        <v>451</v>
      </c>
    </row>
    <row r="32" spans="1:12" x14ac:dyDescent="0.25">
      <c r="A32" s="9" t="s">
        <v>52</v>
      </c>
      <c r="B32" s="10">
        <f t="shared" si="0"/>
        <v>31</v>
      </c>
      <c r="C32" s="10">
        <v>7</v>
      </c>
      <c r="D32" s="10">
        <v>2022</v>
      </c>
      <c r="E32" s="4">
        <v>43870</v>
      </c>
      <c r="F32" s="11">
        <v>0.2</v>
      </c>
      <c r="G32" s="4">
        <f>LPG!C34</f>
        <v>1794.0270967741935</v>
      </c>
      <c r="H32" s="11">
        <v>1.8200030783150685</v>
      </c>
      <c r="I32" s="4">
        <v>292.81799999999475</v>
      </c>
      <c r="J32" s="11">
        <v>7.84</v>
      </c>
      <c r="K32" s="4">
        <f>'Occupied &amp; No. of Guest'!B33</f>
        <v>334</v>
      </c>
      <c r="L32" s="4">
        <f>'Occupied &amp; No. of Guest'!C33</f>
        <v>428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D17" sqref="D17:AI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6" t="s">
        <v>86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</row>
    <row r="3" spans="1:67" s="14" customFormat="1" ht="29.25" customHeight="1" thickBot="1" x14ac:dyDescent="0.3"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78">
        <v>1</v>
      </c>
      <c r="B5" s="20" t="s">
        <v>14</v>
      </c>
      <c r="C5" s="80" t="s">
        <v>15</v>
      </c>
      <c r="D5" s="21">
        <v>88211</v>
      </c>
      <c r="E5" s="21">
        <v>88236</v>
      </c>
      <c r="F5" s="21">
        <v>88260</v>
      </c>
      <c r="G5" s="21">
        <v>88284</v>
      </c>
      <c r="H5" s="21">
        <v>88307</v>
      </c>
      <c r="I5" s="21">
        <v>88330</v>
      </c>
      <c r="J5" s="21">
        <v>88353</v>
      </c>
      <c r="K5" s="21">
        <v>88375</v>
      </c>
      <c r="L5" s="21">
        <v>88397</v>
      </c>
      <c r="M5" s="21">
        <v>88419</v>
      </c>
      <c r="N5" s="21">
        <v>88441</v>
      </c>
      <c r="O5" s="21">
        <v>88463</v>
      </c>
      <c r="P5" s="21">
        <v>88486</v>
      </c>
      <c r="Q5" s="21">
        <v>88509</v>
      </c>
      <c r="R5" s="21">
        <v>88532</v>
      </c>
      <c r="S5" s="21">
        <v>88556</v>
      </c>
      <c r="T5" s="21">
        <v>88580</v>
      </c>
      <c r="U5" s="21">
        <v>88603</v>
      </c>
      <c r="V5" s="21">
        <v>88627</v>
      </c>
      <c r="W5" s="21">
        <v>88651</v>
      </c>
      <c r="X5" s="21">
        <v>88674</v>
      </c>
      <c r="Y5" s="21">
        <v>88696</v>
      </c>
      <c r="Z5" s="21">
        <v>88720</v>
      </c>
      <c r="AA5" s="21">
        <v>88745</v>
      </c>
      <c r="AB5" s="21">
        <v>88769</v>
      </c>
      <c r="AC5" s="21">
        <v>88792</v>
      </c>
      <c r="AD5" s="21">
        <v>88814</v>
      </c>
      <c r="AE5" s="21">
        <v>88837</v>
      </c>
      <c r="AF5" s="21">
        <v>88861</v>
      </c>
      <c r="AG5" s="21">
        <v>88884</v>
      </c>
      <c r="AH5" s="21">
        <v>88908</v>
      </c>
      <c r="AI5" s="21">
        <v>88932</v>
      </c>
    </row>
    <row r="6" spans="1:67" s="24" customFormat="1" ht="21.75" customHeight="1" thickBot="1" x14ac:dyDescent="0.25">
      <c r="A6" s="79"/>
      <c r="B6" s="22"/>
      <c r="C6" s="81"/>
      <c r="D6" s="23"/>
      <c r="E6" s="23">
        <f>(E5-D5)*1000</f>
        <v>25000</v>
      </c>
      <c r="F6" s="23">
        <f t="shared" ref="F6:AI6" si="0">(F5-E5)*1000</f>
        <v>24000</v>
      </c>
      <c r="G6" s="23">
        <f t="shared" si="0"/>
        <v>24000</v>
      </c>
      <c r="H6" s="23">
        <f t="shared" si="0"/>
        <v>23000</v>
      </c>
      <c r="I6" s="23">
        <f t="shared" si="0"/>
        <v>23000</v>
      </c>
      <c r="J6" s="23">
        <f t="shared" si="0"/>
        <v>23000</v>
      </c>
      <c r="K6" s="23">
        <f t="shared" si="0"/>
        <v>22000</v>
      </c>
      <c r="L6" s="23">
        <f t="shared" si="0"/>
        <v>22000</v>
      </c>
      <c r="M6" s="23">
        <f t="shared" si="0"/>
        <v>22000</v>
      </c>
      <c r="N6" s="23">
        <f t="shared" si="0"/>
        <v>22000</v>
      </c>
      <c r="O6" s="23">
        <f t="shared" si="0"/>
        <v>22000</v>
      </c>
      <c r="P6" s="23">
        <f t="shared" si="0"/>
        <v>23000</v>
      </c>
      <c r="Q6" s="23">
        <f t="shared" si="0"/>
        <v>23000</v>
      </c>
      <c r="R6" s="23">
        <f t="shared" si="0"/>
        <v>23000</v>
      </c>
      <c r="S6" s="23">
        <f t="shared" si="0"/>
        <v>24000</v>
      </c>
      <c r="T6" s="23">
        <f t="shared" si="0"/>
        <v>24000</v>
      </c>
      <c r="U6" s="23">
        <f t="shared" si="0"/>
        <v>23000</v>
      </c>
      <c r="V6" s="23">
        <f t="shared" si="0"/>
        <v>24000</v>
      </c>
      <c r="W6" s="23">
        <f t="shared" si="0"/>
        <v>24000</v>
      </c>
      <c r="X6" s="23">
        <f t="shared" si="0"/>
        <v>23000</v>
      </c>
      <c r="Y6" s="23">
        <f t="shared" si="0"/>
        <v>22000</v>
      </c>
      <c r="Z6" s="23">
        <f t="shared" si="0"/>
        <v>24000</v>
      </c>
      <c r="AA6" s="23">
        <f t="shared" si="0"/>
        <v>25000</v>
      </c>
      <c r="AB6" s="23">
        <f t="shared" si="0"/>
        <v>24000</v>
      </c>
      <c r="AC6" s="23">
        <f t="shared" si="0"/>
        <v>23000</v>
      </c>
      <c r="AD6" s="23">
        <f t="shared" si="0"/>
        <v>22000</v>
      </c>
      <c r="AE6" s="23">
        <f t="shared" si="0"/>
        <v>23000</v>
      </c>
      <c r="AF6" s="23">
        <f t="shared" si="0"/>
        <v>24000</v>
      </c>
      <c r="AG6" s="23">
        <f t="shared" si="0"/>
        <v>23000</v>
      </c>
      <c r="AH6" s="23">
        <f t="shared" si="0"/>
        <v>24000</v>
      </c>
      <c r="AI6" s="23">
        <f t="shared" si="0"/>
        <v>24000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2">
        <v>2</v>
      </c>
      <c r="B7" s="25" t="s">
        <v>16</v>
      </c>
      <c r="C7" s="84" t="s">
        <v>17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thickBot="1" x14ac:dyDescent="0.25">
      <c r="A8" s="83"/>
      <c r="B8" s="22"/>
      <c r="C8" s="81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4">
        <v>3</v>
      </c>
      <c r="B9" s="36" t="s">
        <v>53</v>
      </c>
      <c r="C9" s="75" t="s">
        <v>54</v>
      </c>
      <c r="D9" s="21">
        <v>99817</v>
      </c>
      <c r="E9" s="21">
        <v>99843</v>
      </c>
      <c r="F9" s="21">
        <v>99874</v>
      </c>
      <c r="G9" s="21">
        <v>99917</v>
      </c>
      <c r="H9" s="21">
        <v>99942</v>
      </c>
      <c r="I9" s="21">
        <v>99965</v>
      </c>
      <c r="J9" s="21">
        <v>99988</v>
      </c>
      <c r="K9" s="21">
        <v>100001</v>
      </c>
      <c r="L9" s="21">
        <v>100025</v>
      </c>
      <c r="M9" s="21">
        <v>100050</v>
      </c>
      <c r="N9" s="21">
        <v>100075</v>
      </c>
      <c r="O9" s="21">
        <v>100101</v>
      </c>
      <c r="P9" s="21">
        <v>100130</v>
      </c>
      <c r="Q9" s="21">
        <v>100150</v>
      </c>
      <c r="R9" s="21">
        <v>100172</v>
      </c>
      <c r="S9" s="21">
        <v>100193</v>
      </c>
      <c r="T9" s="21">
        <v>100213</v>
      </c>
      <c r="U9" s="21">
        <v>100234</v>
      </c>
      <c r="V9" s="21">
        <v>100256</v>
      </c>
      <c r="W9" s="21">
        <v>100278</v>
      </c>
      <c r="X9" s="21">
        <v>100303</v>
      </c>
      <c r="Y9" s="21">
        <v>100342</v>
      </c>
      <c r="Z9" s="21">
        <v>100381</v>
      </c>
      <c r="AA9" s="21">
        <v>100421</v>
      </c>
      <c r="AB9" s="21">
        <v>100457</v>
      </c>
      <c r="AC9" s="21">
        <v>100498</v>
      </c>
      <c r="AD9" s="21">
        <v>100523</v>
      </c>
      <c r="AE9" s="21">
        <v>100553</v>
      </c>
      <c r="AF9" s="21">
        <v>100584</v>
      </c>
      <c r="AG9" s="21">
        <v>100622</v>
      </c>
      <c r="AH9" s="21">
        <v>100646</v>
      </c>
      <c r="AI9" s="21">
        <v>100677</v>
      </c>
    </row>
    <row r="10" spans="1:67" s="24" customFormat="1" ht="21.75" customHeight="1" thickBot="1" x14ac:dyDescent="0.25">
      <c r="A10" s="70"/>
      <c r="B10" s="37"/>
      <c r="C10" s="73"/>
      <c r="D10" s="23"/>
      <c r="E10" s="23">
        <f>(E9-D9)*1000</f>
        <v>26000</v>
      </c>
      <c r="F10" s="23">
        <f t="shared" ref="F10" si="31">(F9-E9)*1000</f>
        <v>31000</v>
      </c>
      <c r="G10" s="23">
        <f t="shared" ref="G10" si="32">(G9-F9)*1000</f>
        <v>43000</v>
      </c>
      <c r="H10" s="23">
        <f t="shared" ref="H10" si="33">(H9-G9)*1000</f>
        <v>25000</v>
      </c>
      <c r="I10" s="23">
        <f t="shared" ref="I10" si="34">(I9-H9)*1000</f>
        <v>23000</v>
      </c>
      <c r="J10" s="23">
        <f t="shared" ref="J10" si="35">(J9-I9)*1000</f>
        <v>23000</v>
      </c>
      <c r="K10" s="23">
        <f t="shared" ref="K10" si="36">(K9-J9)*1000</f>
        <v>13000</v>
      </c>
      <c r="L10" s="23">
        <f t="shared" ref="L10" si="37">(L9-K9)*1000</f>
        <v>24000</v>
      </c>
      <c r="M10" s="23">
        <f t="shared" ref="M10" si="38">(M9-L9)*1000</f>
        <v>25000</v>
      </c>
      <c r="N10" s="23">
        <f t="shared" ref="N10" si="39">(N9-M9)*1000</f>
        <v>25000</v>
      </c>
      <c r="O10" s="23">
        <f t="shared" ref="O10" si="40">(O9-N9)*1000</f>
        <v>26000</v>
      </c>
      <c r="P10" s="23">
        <f t="shared" ref="P10" si="41">(P9-O9)*1000</f>
        <v>29000</v>
      </c>
      <c r="Q10" s="23">
        <f t="shared" ref="Q10" si="42">(Q9-P9)*1000</f>
        <v>20000</v>
      </c>
      <c r="R10" s="23">
        <f t="shared" ref="R10" si="43">(R9-Q9)*1000</f>
        <v>22000</v>
      </c>
      <c r="S10" s="23">
        <f t="shared" ref="S10" si="44">(S9-R9)*1000</f>
        <v>21000</v>
      </c>
      <c r="T10" s="23">
        <f t="shared" ref="T10" si="45">(T9-S9)*1000</f>
        <v>20000</v>
      </c>
      <c r="U10" s="23">
        <f t="shared" ref="U10" si="46">(U9-T9)*1000</f>
        <v>21000</v>
      </c>
      <c r="V10" s="23">
        <f t="shared" ref="V10" si="47">(V9-U9)*1000</f>
        <v>22000</v>
      </c>
      <c r="W10" s="23">
        <f t="shared" ref="W10" si="48">(W9-V9)*1000</f>
        <v>22000</v>
      </c>
      <c r="X10" s="23">
        <f t="shared" ref="X10" si="49">(X9-W9)*1000</f>
        <v>25000</v>
      </c>
      <c r="Y10" s="23">
        <f t="shared" ref="Y10" si="50">(Y9-X9)*1000</f>
        <v>39000</v>
      </c>
      <c r="Z10" s="23">
        <f t="shared" ref="Z10" si="51">(Z9-Y9)*1000</f>
        <v>39000</v>
      </c>
      <c r="AA10" s="23">
        <f t="shared" ref="AA10" si="52">(AA9-Z9)*1000</f>
        <v>40000</v>
      </c>
      <c r="AB10" s="23">
        <f t="shared" ref="AB10" si="53">(AB9-AA9)*1000</f>
        <v>36000</v>
      </c>
      <c r="AC10" s="23">
        <f t="shared" ref="AC10" si="54">(AC9-AB9)*1000</f>
        <v>41000</v>
      </c>
      <c r="AD10" s="23">
        <f t="shared" ref="AD10" si="55">(AD9-AC9)*1000</f>
        <v>25000</v>
      </c>
      <c r="AE10" s="23">
        <f t="shared" ref="AE10" si="56">(AE9-AD9)*1000</f>
        <v>30000</v>
      </c>
      <c r="AF10" s="23">
        <f t="shared" ref="AF10" si="57">(AF9-AE9)*1000</f>
        <v>31000</v>
      </c>
      <c r="AG10" s="23">
        <f t="shared" ref="AG10" si="58">(AG9-AF9)*1000</f>
        <v>38000</v>
      </c>
      <c r="AH10" s="23">
        <f t="shared" ref="AH10" si="59">(AH9-AG9)*1000</f>
        <v>24000</v>
      </c>
      <c r="AI10" s="23">
        <f t="shared" ref="AI10" si="60">(AI9-AH9)*1000</f>
        <v>31000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5">
        <v>4</v>
      </c>
      <c r="B11" s="36" t="s">
        <v>55</v>
      </c>
      <c r="C11" s="75" t="s">
        <v>56</v>
      </c>
      <c r="D11" s="21">
        <v>85930</v>
      </c>
      <c r="E11" s="21">
        <v>85952</v>
      </c>
      <c r="F11" s="21">
        <v>85975</v>
      </c>
      <c r="G11" s="21">
        <v>85990</v>
      </c>
      <c r="H11" s="21">
        <v>86022</v>
      </c>
      <c r="I11" s="21">
        <v>86055</v>
      </c>
      <c r="J11" s="21">
        <v>86090</v>
      </c>
      <c r="K11" s="21">
        <v>86126</v>
      </c>
      <c r="L11" s="21">
        <v>86155</v>
      </c>
      <c r="M11" s="21">
        <v>86176</v>
      </c>
      <c r="N11" s="21">
        <v>86201</v>
      </c>
      <c r="O11" s="21">
        <v>86223</v>
      </c>
      <c r="P11" s="21">
        <v>86248</v>
      </c>
      <c r="Q11" s="21">
        <v>86282</v>
      </c>
      <c r="R11" s="21">
        <v>86316</v>
      </c>
      <c r="S11" s="21">
        <v>86349</v>
      </c>
      <c r="T11" s="21">
        <v>86377</v>
      </c>
      <c r="U11" s="21">
        <v>86411</v>
      </c>
      <c r="V11" s="21">
        <v>86442</v>
      </c>
      <c r="W11" s="21">
        <v>86470</v>
      </c>
      <c r="X11" s="21">
        <v>86496</v>
      </c>
      <c r="Y11" s="21">
        <v>86510</v>
      </c>
      <c r="Z11" s="21">
        <v>86528</v>
      </c>
      <c r="AA11" s="21">
        <v>86544</v>
      </c>
      <c r="AB11" s="21">
        <v>86567</v>
      </c>
      <c r="AC11" s="21">
        <v>86584</v>
      </c>
      <c r="AD11" s="21">
        <v>86608</v>
      </c>
      <c r="AE11" s="21">
        <v>86621</v>
      </c>
      <c r="AF11" s="21">
        <v>86640</v>
      </c>
      <c r="AG11" s="21">
        <v>86649</v>
      </c>
      <c r="AH11" s="21">
        <v>86674</v>
      </c>
      <c r="AI11" s="21">
        <v>86692</v>
      </c>
    </row>
    <row r="12" spans="1:67" s="38" customFormat="1" ht="21.75" customHeight="1" thickBot="1" x14ac:dyDescent="0.25">
      <c r="A12" s="72"/>
      <c r="B12" s="37"/>
      <c r="C12" s="73"/>
      <c r="D12" s="23"/>
      <c r="E12" s="23">
        <f>(E11-D11)*1000</f>
        <v>22000</v>
      </c>
      <c r="F12" s="23">
        <f t="shared" ref="F12" si="61">(F11-E11)*1000</f>
        <v>23000</v>
      </c>
      <c r="G12" s="23">
        <f t="shared" ref="G12" si="62">(G11-F11)*1000</f>
        <v>15000</v>
      </c>
      <c r="H12" s="23">
        <f t="shared" ref="H12" si="63">(H11-G11)*1000</f>
        <v>32000</v>
      </c>
      <c r="I12" s="23">
        <f t="shared" ref="I12" si="64">(I11-H11)*1000</f>
        <v>33000</v>
      </c>
      <c r="J12" s="23">
        <f t="shared" ref="J12" si="65">(J11-I11)*1000</f>
        <v>35000</v>
      </c>
      <c r="K12" s="23">
        <f t="shared" ref="K12" si="66">(K11-J11)*1000</f>
        <v>36000</v>
      </c>
      <c r="L12" s="23">
        <f t="shared" ref="L12" si="67">(L11-K11)*1000</f>
        <v>29000</v>
      </c>
      <c r="M12" s="23">
        <f t="shared" ref="M12" si="68">(M11-L11)*1000</f>
        <v>21000</v>
      </c>
      <c r="N12" s="23">
        <f t="shared" ref="N12" si="69">(N11-M11)*1000</f>
        <v>25000</v>
      </c>
      <c r="O12" s="23">
        <f t="shared" ref="O12" si="70">(O11-N11)*1000</f>
        <v>22000</v>
      </c>
      <c r="P12" s="23">
        <f t="shared" ref="P12" si="71">(P11-O11)*1000</f>
        <v>25000</v>
      </c>
      <c r="Q12" s="23">
        <f t="shared" ref="Q12" si="72">(Q11-P11)*1000</f>
        <v>34000</v>
      </c>
      <c r="R12" s="23">
        <f t="shared" ref="R12" si="73">(R11-Q11)*1000</f>
        <v>34000</v>
      </c>
      <c r="S12" s="23">
        <f t="shared" ref="S12" si="74">(S11-R11)*1000</f>
        <v>33000</v>
      </c>
      <c r="T12" s="23">
        <f t="shared" ref="T12" si="75">(T11-S11)*1000</f>
        <v>28000</v>
      </c>
      <c r="U12" s="23">
        <f t="shared" ref="U12" si="76">(U11-T11)*1000</f>
        <v>34000</v>
      </c>
      <c r="V12" s="23">
        <f t="shared" ref="V12" si="77">(V11-U11)*1000</f>
        <v>31000</v>
      </c>
      <c r="W12" s="23">
        <f t="shared" ref="W12" si="78">(W11-V11)*1000</f>
        <v>28000</v>
      </c>
      <c r="X12" s="23">
        <f t="shared" ref="X12" si="79">(X11-W11)*1000</f>
        <v>26000</v>
      </c>
      <c r="Y12" s="23">
        <f t="shared" ref="Y12" si="80">(Y11-X11)*1000</f>
        <v>14000</v>
      </c>
      <c r="Z12" s="23">
        <f t="shared" ref="Z12" si="81">(Z11-Y11)*1000</f>
        <v>18000</v>
      </c>
      <c r="AA12" s="23">
        <f t="shared" ref="AA12" si="82">(AA11-Z11)*1000</f>
        <v>16000</v>
      </c>
      <c r="AB12" s="23">
        <f t="shared" ref="AB12" si="83">(AB11-AA11)*1000</f>
        <v>23000</v>
      </c>
      <c r="AC12" s="23">
        <f t="shared" ref="AC12" si="84">(AC11-AB11)*1000</f>
        <v>17000</v>
      </c>
      <c r="AD12" s="23">
        <f t="shared" ref="AD12" si="85">(AD11-AC11)*1000</f>
        <v>24000</v>
      </c>
      <c r="AE12" s="23">
        <f t="shared" ref="AE12" si="86">(AE11-AD11)*1000</f>
        <v>13000</v>
      </c>
      <c r="AF12" s="23">
        <f t="shared" ref="AF12" si="87">(AF11-AE11)*1000</f>
        <v>19000</v>
      </c>
      <c r="AG12" s="23">
        <f t="shared" ref="AG12" si="88">(AG11-AF11)*1000</f>
        <v>9000</v>
      </c>
      <c r="AH12" s="23">
        <f t="shared" ref="AH12" si="89">(AH11-AG11)*1000</f>
        <v>25000</v>
      </c>
      <c r="AI12" s="23">
        <f t="shared" ref="AI12" si="90">(AI11-AH11)*1000</f>
        <v>18000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4">
        <v>7</v>
      </c>
      <c r="B13" s="39" t="s">
        <v>57</v>
      </c>
      <c r="C13" s="67" t="s">
        <v>58</v>
      </c>
      <c r="D13" s="40">
        <v>3111</v>
      </c>
      <c r="E13" s="40">
        <v>3111</v>
      </c>
      <c r="F13" s="40">
        <v>3111</v>
      </c>
      <c r="G13" s="40">
        <v>3111</v>
      </c>
      <c r="H13" s="40">
        <v>3111</v>
      </c>
      <c r="I13" s="40">
        <v>3111</v>
      </c>
      <c r="J13" s="40">
        <v>3111</v>
      </c>
      <c r="K13" s="40">
        <v>3111</v>
      </c>
      <c r="L13" s="40">
        <v>3111</v>
      </c>
      <c r="M13" s="40">
        <v>3111</v>
      </c>
      <c r="N13" s="40">
        <v>3111</v>
      </c>
      <c r="O13" s="40">
        <v>3111</v>
      </c>
      <c r="P13" s="40">
        <v>3111</v>
      </c>
      <c r="Q13" s="40">
        <v>3111</v>
      </c>
      <c r="R13" s="40">
        <v>3111</v>
      </c>
      <c r="S13" s="40">
        <v>3111</v>
      </c>
      <c r="T13" s="40">
        <v>3111</v>
      </c>
      <c r="U13" s="40">
        <v>3111</v>
      </c>
      <c r="V13" s="40">
        <v>3111</v>
      </c>
      <c r="W13" s="40">
        <v>3111</v>
      </c>
      <c r="X13" s="40">
        <v>3111</v>
      </c>
      <c r="Y13" s="40">
        <v>3111</v>
      </c>
      <c r="Z13" s="40">
        <v>3111</v>
      </c>
      <c r="AA13" s="40">
        <v>3111</v>
      </c>
      <c r="AB13" s="40">
        <v>3111</v>
      </c>
      <c r="AC13" s="40">
        <v>3111</v>
      </c>
      <c r="AD13" s="40">
        <v>3111</v>
      </c>
      <c r="AE13" s="40">
        <v>3111</v>
      </c>
      <c r="AF13" s="40">
        <v>3111</v>
      </c>
      <c r="AG13" s="40">
        <v>3111</v>
      </c>
      <c r="AH13" s="40">
        <v>3111</v>
      </c>
      <c r="AI13" s="40">
        <v>3111</v>
      </c>
    </row>
    <row r="14" spans="1:67" s="24" customFormat="1" ht="21.75" customHeight="1" thickBot="1" x14ac:dyDescent="0.25">
      <c r="A14" s="70"/>
      <c r="B14" s="41"/>
      <c r="C14" s="73"/>
      <c r="D14" s="42"/>
      <c r="E14" s="42">
        <f t="shared" ref="E14:AH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0</v>
      </c>
      <c r="Y14" s="42">
        <f t="shared" si="91"/>
        <v>0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0</v>
      </c>
      <c r="AE14" s="42">
        <f t="shared" si="91"/>
        <v>0</v>
      </c>
      <c r="AF14" s="42">
        <f t="shared" si="91"/>
        <v>0</v>
      </c>
      <c r="AG14" s="42">
        <f t="shared" si="91"/>
        <v>0</v>
      </c>
      <c r="AH14" s="42">
        <f t="shared" si="91"/>
        <v>0</v>
      </c>
      <c r="AI14" s="42">
        <f>AI13-AH13</f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5">
        <v>8</v>
      </c>
      <c r="B15" s="39" t="s">
        <v>59</v>
      </c>
      <c r="C15" s="67" t="s">
        <v>60</v>
      </c>
      <c r="D15" s="40">
        <v>370</v>
      </c>
      <c r="E15" s="40">
        <v>370</v>
      </c>
      <c r="F15" s="40">
        <v>370</v>
      </c>
      <c r="G15" s="40">
        <v>370</v>
      </c>
      <c r="H15" s="40">
        <v>370</v>
      </c>
      <c r="I15" s="40">
        <v>370</v>
      </c>
      <c r="J15" s="40">
        <v>370</v>
      </c>
      <c r="K15" s="40">
        <v>370</v>
      </c>
      <c r="L15" s="40">
        <v>370</v>
      </c>
      <c r="M15" s="40">
        <v>370</v>
      </c>
      <c r="N15" s="40">
        <v>371</v>
      </c>
      <c r="O15" s="40">
        <v>371</v>
      </c>
      <c r="P15" s="40">
        <v>371</v>
      </c>
      <c r="Q15" s="40">
        <v>371</v>
      </c>
      <c r="R15" s="40">
        <v>371</v>
      </c>
      <c r="S15" s="40">
        <v>371</v>
      </c>
      <c r="T15" s="40">
        <v>371</v>
      </c>
      <c r="U15" s="40">
        <v>371</v>
      </c>
      <c r="V15" s="40">
        <v>371</v>
      </c>
      <c r="W15" s="40">
        <v>371</v>
      </c>
      <c r="X15" s="40">
        <v>371</v>
      </c>
      <c r="Y15" s="40">
        <v>371</v>
      </c>
      <c r="Z15" s="40">
        <v>371</v>
      </c>
      <c r="AA15" s="40">
        <v>371</v>
      </c>
      <c r="AB15" s="40">
        <v>371</v>
      </c>
      <c r="AC15" s="40">
        <v>371</v>
      </c>
      <c r="AD15" s="40">
        <v>372</v>
      </c>
      <c r="AE15" s="40">
        <v>372</v>
      </c>
      <c r="AF15" s="40">
        <v>372</v>
      </c>
      <c r="AG15" s="40">
        <v>372</v>
      </c>
      <c r="AH15" s="40">
        <v>372</v>
      </c>
      <c r="AI15" s="40">
        <v>372</v>
      </c>
    </row>
    <row r="16" spans="1:67" s="24" customFormat="1" ht="21.75" customHeight="1" thickBot="1" x14ac:dyDescent="0.25">
      <c r="A16" s="72"/>
      <c r="B16" s="41"/>
      <c r="C16" s="73"/>
      <c r="D16" s="42"/>
      <c r="E16" s="42">
        <f t="shared" ref="E16:AI16" si="92">E15-D15</f>
        <v>0</v>
      </c>
      <c r="F16" s="42">
        <f t="shared" si="92"/>
        <v>0</v>
      </c>
      <c r="G16" s="42">
        <f t="shared" si="92"/>
        <v>0</v>
      </c>
      <c r="H16" s="42">
        <f t="shared" si="92"/>
        <v>0</v>
      </c>
      <c r="I16" s="42">
        <f t="shared" si="92"/>
        <v>0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0</v>
      </c>
      <c r="N16" s="42">
        <f t="shared" si="92"/>
        <v>1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0</v>
      </c>
      <c r="T16" s="42">
        <f t="shared" si="92"/>
        <v>0</v>
      </c>
      <c r="U16" s="42">
        <f t="shared" si="92"/>
        <v>0</v>
      </c>
      <c r="V16" s="42">
        <f t="shared" si="92"/>
        <v>0</v>
      </c>
      <c r="W16" s="42">
        <f t="shared" si="92"/>
        <v>0</v>
      </c>
      <c r="X16" s="42">
        <f t="shared" si="92"/>
        <v>0</v>
      </c>
      <c r="Y16" s="42">
        <f t="shared" si="92"/>
        <v>0</v>
      </c>
      <c r="Z16" s="42">
        <f t="shared" si="92"/>
        <v>0</v>
      </c>
      <c r="AA16" s="42">
        <f t="shared" si="92"/>
        <v>0</v>
      </c>
      <c r="AB16" s="42">
        <f t="shared" si="92"/>
        <v>0</v>
      </c>
      <c r="AC16" s="42">
        <f t="shared" si="92"/>
        <v>0</v>
      </c>
      <c r="AD16" s="42">
        <f t="shared" si="92"/>
        <v>1</v>
      </c>
      <c r="AE16" s="42">
        <f t="shared" si="92"/>
        <v>0</v>
      </c>
      <c r="AF16" s="42">
        <f t="shared" si="92"/>
        <v>0</v>
      </c>
      <c r="AG16" s="42">
        <f t="shared" si="92"/>
        <v>0</v>
      </c>
      <c r="AH16" s="42">
        <f t="shared" si="92"/>
        <v>0</v>
      </c>
      <c r="AI16" s="42">
        <f t="shared" si="92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5">
        <v>13</v>
      </c>
      <c r="B17" s="39" t="s">
        <v>61</v>
      </c>
      <c r="C17" s="67" t="s">
        <v>62</v>
      </c>
      <c r="D17" s="40">
        <v>1218780</v>
      </c>
      <c r="E17" s="40">
        <v>1219051</v>
      </c>
      <c r="F17" s="40">
        <v>1219309</v>
      </c>
      <c r="G17" s="40">
        <v>1219564</v>
      </c>
      <c r="H17" s="40">
        <v>1219818</v>
      </c>
      <c r="I17" s="40">
        <v>1220085</v>
      </c>
      <c r="J17" s="40">
        <v>1220326</v>
      </c>
      <c r="K17" s="40">
        <v>1220577</v>
      </c>
      <c r="L17" s="40">
        <v>1220827</v>
      </c>
      <c r="M17" s="40">
        <v>1221076</v>
      </c>
      <c r="N17" s="40">
        <v>1221337</v>
      </c>
      <c r="O17" s="40">
        <v>1221594</v>
      </c>
      <c r="P17" s="40">
        <v>1221844</v>
      </c>
      <c r="Q17" s="40">
        <v>1222100</v>
      </c>
      <c r="R17" s="40">
        <v>1222369</v>
      </c>
      <c r="S17" s="40">
        <v>1222622</v>
      </c>
      <c r="T17" s="40">
        <v>1222874</v>
      </c>
      <c r="U17" s="40">
        <v>1223127</v>
      </c>
      <c r="V17" s="40">
        <v>1223380</v>
      </c>
      <c r="W17" s="40">
        <v>1223629</v>
      </c>
      <c r="X17" s="40">
        <v>1223866</v>
      </c>
      <c r="Y17" s="40">
        <v>1224114</v>
      </c>
      <c r="Z17" s="40">
        <v>1224368</v>
      </c>
      <c r="AA17" s="40">
        <v>1224631</v>
      </c>
      <c r="AB17" s="40">
        <v>1224885</v>
      </c>
      <c r="AC17" s="40">
        <v>1225132</v>
      </c>
      <c r="AD17" s="40">
        <v>1225387</v>
      </c>
      <c r="AE17" s="40">
        <v>1225649</v>
      </c>
      <c r="AF17" s="40">
        <v>1225913</v>
      </c>
      <c r="AG17" s="40">
        <v>1226180</v>
      </c>
      <c r="AH17" s="40">
        <v>1226442</v>
      </c>
      <c r="AI17" s="40">
        <v>1226679</v>
      </c>
    </row>
    <row r="18" spans="1:35" ht="21.75" customHeight="1" thickBot="1" x14ac:dyDescent="0.25">
      <c r="A18" s="66"/>
      <c r="B18" s="43"/>
      <c r="C18" s="68"/>
      <c r="D18" s="42"/>
      <c r="E18" s="42">
        <f t="shared" ref="E18:AI18" si="93">E17-D17</f>
        <v>271</v>
      </c>
      <c r="F18" s="42">
        <f t="shared" si="93"/>
        <v>258</v>
      </c>
      <c r="G18" s="42">
        <f t="shared" si="93"/>
        <v>255</v>
      </c>
      <c r="H18" s="42">
        <f t="shared" si="93"/>
        <v>254</v>
      </c>
      <c r="I18" s="42">
        <f t="shared" si="93"/>
        <v>267</v>
      </c>
      <c r="J18" s="42">
        <f t="shared" si="93"/>
        <v>241</v>
      </c>
      <c r="K18" s="42">
        <f t="shared" si="93"/>
        <v>251</v>
      </c>
      <c r="L18" s="42">
        <f t="shared" si="93"/>
        <v>250</v>
      </c>
      <c r="M18" s="42">
        <f t="shared" si="93"/>
        <v>249</v>
      </c>
      <c r="N18" s="42">
        <f t="shared" si="93"/>
        <v>261</v>
      </c>
      <c r="O18" s="42">
        <f t="shared" si="93"/>
        <v>257</v>
      </c>
      <c r="P18" s="42">
        <f t="shared" si="93"/>
        <v>250</v>
      </c>
      <c r="Q18" s="42">
        <f t="shared" si="93"/>
        <v>256</v>
      </c>
      <c r="R18" s="42">
        <f t="shared" si="93"/>
        <v>269</v>
      </c>
      <c r="S18" s="42">
        <f t="shared" si="93"/>
        <v>253</v>
      </c>
      <c r="T18" s="42">
        <f t="shared" si="93"/>
        <v>252</v>
      </c>
      <c r="U18" s="42">
        <f t="shared" si="93"/>
        <v>253</v>
      </c>
      <c r="V18" s="42">
        <f t="shared" si="93"/>
        <v>253</v>
      </c>
      <c r="W18" s="42">
        <f t="shared" si="93"/>
        <v>249</v>
      </c>
      <c r="X18" s="42">
        <f t="shared" si="93"/>
        <v>237</v>
      </c>
      <c r="Y18" s="42">
        <f t="shared" si="93"/>
        <v>248</v>
      </c>
      <c r="Z18" s="42">
        <f t="shared" si="93"/>
        <v>254</v>
      </c>
      <c r="AA18" s="42">
        <f t="shared" si="93"/>
        <v>263</v>
      </c>
      <c r="AB18" s="42">
        <f t="shared" si="93"/>
        <v>254</v>
      </c>
      <c r="AC18" s="42">
        <f t="shared" si="93"/>
        <v>247</v>
      </c>
      <c r="AD18" s="42">
        <f t="shared" si="93"/>
        <v>255</v>
      </c>
      <c r="AE18" s="42">
        <f t="shared" si="93"/>
        <v>262</v>
      </c>
      <c r="AF18" s="42">
        <f t="shared" si="93"/>
        <v>264</v>
      </c>
      <c r="AG18" s="42">
        <f t="shared" si="93"/>
        <v>267</v>
      </c>
      <c r="AH18" s="42">
        <f t="shared" si="93"/>
        <v>262</v>
      </c>
      <c r="AI18" s="42">
        <f t="shared" si="93"/>
        <v>237</v>
      </c>
    </row>
    <row r="19" spans="1:35" ht="21.75" customHeight="1" x14ac:dyDescent="0.2">
      <c r="A19" s="69">
        <v>14</v>
      </c>
      <c r="B19" s="39" t="s">
        <v>63</v>
      </c>
      <c r="C19" s="67" t="s">
        <v>64</v>
      </c>
      <c r="D19" s="40">
        <v>345626</v>
      </c>
      <c r="E19" s="40">
        <v>345666</v>
      </c>
      <c r="F19" s="40">
        <v>345704</v>
      </c>
      <c r="G19" s="40">
        <v>345743</v>
      </c>
      <c r="H19" s="40">
        <v>345782</v>
      </c>
      <c r="I19" s="40">
        <v>345820</v>
      </c>
      <c r="J19" s="40">
        <v>345826</v>
      </c>
      <c r="K19" s="40">
        <v>345894</v>
      </c>
      <c r="L19" s="40">
        <v>345931</v>
      </c>
      <c r="M19" s="40">
        <v>345971</v>
      </c>
      <c r="N19" s="40">
        <v>346008</v>
      </c>
      <c r="O19" s="40">
        <v>346046</v>
      </c>
      <c r="P19" s="40">
        <v>346086</v>
      </c>
      <c r="Q19" s="40">
        <v>346125</v>
      </c>
      <c r="R19" s="40">
        <v>346164</v>
      </c>
      <c r="S19" s="40">
        <v>346203</v>
      </c>
      <c r="T19" s="40">
        <v>346242</v>
      </c>
      <c r="U19" s="40">
        <v>346281</v>
      </c>
      <c r="V19" s="40">
        <v>346320</v>
      </c>
      <c r="W19" s="40">
        <v>346359</v>
      </c>
      <c r="X19" s="40">
        <v>346397</v>
      </c>
      <c r="Y19" s="40">
        <v>346439</v>
      </c>
      <c r="Z19" s="40">
        <v>346477</v>
      </c>
      <c r="AA19" s="40">
        <v>346519</v>
      </c>
      <c r="AB19" s="40">
        <v>346560</v>
      </c>
      <c r="AC19" s="40">
        <v>346601</v>
      </c>
      <c r="AD19" s="40">
        <v>346641</v>
      </c>
      <c r="AE19" s="40">
        <v>346681</v>
      </c>
      <c r="AF19" s="40">
        <v>346720</v>
      </c>
      <c r="AG19" s="40">
        <v>346759</v>
      </c>
      <c r="AH19" s="40">
        <v>346798</v>
      </c>
      <c r="AI19" s="40">
        <v>346831</v>
      </c>
    </row>
    <row r="20" spans="1:35" ht="21.75" customHeight="1" thickBot="1" x14ac:dyDescent="0.25">
      <c r="A20" s="70"/>
      <c r="B20" s="43"/>
      <c r="C20" s="68"/>
      <c r="D20" s="42"/>
      <c r="E20" s="42">
        <f t="shared" ref="E20:AI20" si="94">E19-D19</f>
        <v>40</v>
      </c>
      <c r="F20" s="42">
        <f t="shared" si="94"/>
        <v>38</v>
      </c>
      <c r="G20" s="42">
        <f t="shared" si="94"/>
        <v>39</v>
      </c>
      <c r="H20" s="42">
        <f t="shared" si="94"/>
        <v>39</v>
      </c>
      <c r="I20" s="42">
        <f t="shared" si="94"/>
        <v>38</v>
      </c>
      <c r="J20" s="42">
        <f t="shared" si="94"/>
        <v>6</v>
      </c>
      <c r="K20" s="42">
        <f t="shared" si="94"/>
        <v>68</v>
      </c>
      <c r="L20" s="42">
        <f t="shared" si="94"/>
        <v>37</v>
      </c>
      <c r="M20" s="42">
        <f t="shared" si="94"/>
        <v>40</v>
      </c>
      <c r="N20" s="42">
        <f t="shared" si="94"/>
        <v>37</v>
      </c>
      <c r="O20" s="42">
        <f t="shared" si="94"/>
        <v>38</v>
      </c>
      <c r="P20" s="42">
        <f t="shared" si="94"/>
        <v>40</v>
      </c>
      <c r="Q20" s="42">
        <f t="shared" si="94"/>
        <v>39</v>
      </c>
      <c r="R20" s="42">
        <f t="shared" si="94"/>
        <v>39</v>
      </c>
      <c r="S20" s="42">
        <f t="shared" si="94"/>
        <v>39</v>
      </c>
      <c r="T20" s="42">
        <f t="shared" si="94"/>
        <v>39</v>
      </c>
      <c r="U20" s="42">
        <f t="shared" si="94"/>
        <v>39</v>
      </c>
      <c r="V20" s="42">
        <f t="shared" si="94"/>
        <v>39</v>
      </c>
      <c r="W20" s="42">
        <f t="shared" si="94"/>
        <v>39</v>
      </c>
      <c r="X20" s="42">
        <f t="shared" si="94"/>
        <v>38</v>
      </c>
      <c r="Y20" s="42">
        <f t="shared" si="94"/>
        <v>42</v>
      </c>
      <c r="Z20" s="42">
        <f t="shared" si="94"/>
        <v>38</v>
      </c>
      <c r="AA20" s="42">
        <f t="shared" si="94"/>
        <v>42</v>
      </c>
      <c r="AB20" s="42">
        <f t="shared" si="94"/>
        <v>41</v>
      </c>
      <c r="AC20" s="42">
        <f t="shared" si="94"/>
        <v>41</v>
      </c>
      <c r="AD20" s="42">
        <f t="shared" si="94"/>
        <v>40</v>
      </c>
      <c r="AE20" s="42">
        <f t="shared" si="94"/>
        <v>40</v>
      </c>
      <c r="AF20" s="42">
        <f t="shared" si="94"/>
        <v>39</v>
      </c>
      <c r="AG20" s="42">
        <f t="shared" si="94"/>
        <v>39</v>
      </c>
      <c r="AH20" s="42">
        <f t="shared" si="94"/>
        <v>39</v>
      </c>
      <c r="AI20" s="42">
        <f t="shared" si="94"/>
        <v>33</v>
      </c>
    </row>
    <row r="21" spans="1:35" ht="27" customHeight="1" x14ac:dyDescent="0.3">
      <c r="B21" s="71" t="s">
        <v>65</v>
      </c>
      <c r="C21" s="71"/>
      <c r="D21" s="44"/>
      <c r="E21" s="58">
        <f>((E6+E8)+((E10+E12)*40%)+(E14+E16+E18+E20))</f>
        <v>44511</v>
      </c>
      <c r="F21" s="58">
        <f t="shared" ref="F21:AI21" si="95">((F6+F8)+((F10+F12)*40%)+(F14+F16+F18+F20))</f>
        <v>45896</v>
      </c>
      <c r="G21" s="58">
        <f t="shared" si="95"/>
        <v>47494</v>
      </c>
      <c r="H21" s="58">
        <f t="shared" si="95"/>
        <v>46093</v>
      </c>
      <c r="I21" s="58">
        <f t="shared" si="95"/>
        <v>45705</v>
      </c>
      <c r="J21" s="58">
        <f t="shared" si="95"/>
        <v>46447</v>
      </c>
      <c r="K21" s="58">
        <f t="shared" si="95"/>
        <v>41919</v>
      </c>
      <c r="L21" s="58">
        <f t="shared" si="95"/>
        <v>43487</v>
      </c>
      <c r="M21" s="58">
        <f t="shared" si="95"/>
        <v>40689</v>
      </c>
      <c r="N21" s="58">
        <f t="shared" si="95"/>
        <v>42299</v>
      </c>
      <c r="O21" s="58">
        <f t="shared" si="95"/>
        <v>41495</v>
      </c>
      <c r="P21" s="58">
        <f t="shared" si="95"/>
        <v>44890</v>
      </c>
      <c r="Q21" s="58">
        <f t="shared" si="95"/>
        <v>44895</v>
      </c>
      <c r="R21" s="58">
        <f t="shared" si="95"/>
        <v>45708</v>
      </c>
      <c r="S21" s="58">
        <f t="shared" si="95"/>
        <v>45892</v>
      </c>
      <c r="T21" s="58">
        <f t="shared" si="95"/>
        <v>43491</v>
      </c>
      <c r="U21" s="58">
        <f t="shared" si="95"/>
        <v>45292</v>
      </c>
      <c r="V21" s="58">
        <f t="shared" si="95"/>
        <v>45492</v>
      </c>
      <c r="W21" s="58">
        <f t="shared" si="95"/>
        <v>44288</v>
      </c>
      <c r="X21" s="58">
        <f t="shared" si="95"/>
        <v>43675</v>
      </c>
      <c r="Y21" s="58">
        <f t="shared" si="95"/>
        <v>43490</v>
      </c>
      <c r="Z21" s="58">
        <f t="shared" si="95"/>
        <v>47092</v>
      </c>
      <c r="AA21" s="58">
        <f t="shared" si="95"/>
        <v>47705</v>
      </c>
      <c r="AB21" s="58">
        <f t="shared" si="95"/>
        <v>47895</v>
      </c>
      <c r="AC21" s="58">
        <f t="shared" si="95"/>
        <v>46488</v>
      </c>
      <c r="AD21" s="58">
        <f t="shared" si="95"/>
        <v>41896</v>
      </c>
      <c r="AE21" s="58">
        <f t="shared" si="95"/>
        <v>40502</v>
      </c>
      <c r="AF21" s="58">
        <f t="shared" si="95"/>
        <v>44303</v>
      </c>
      <c r="AG21" s="58">
        <f t="shared" si="95"/>
        <v>42106</v>
      </c>
      <c r="AH21" s="58">
        <f t="shared" si="95"/>
        <v>43901</v>
      </c>
      <c r="AI21" s="58">
        <f t="shared" si="95"/>
        <v>43870</v>
      </c>
    </row>
    <row r="22" spans="1:35" ht="27" customHeight="1" x14ac:dyDescent="0.3">
      <c r="B22" s="64" t="s">
        <v>66</v>
      </c>
      <c r="C22" s="64"/>
      <c r="D22" s="44"/>
      <c r="E22" s="58">
        <f>SUM(E21:AI21)</f>
        <v>1378906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7" t="s">
        <v>87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42" s="8" customFormat="1" ht="30" customHeight="1" thickBot="1" x14ac:dyDescent="0.3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90" t="s">
        <v>20</v>
      </c>
      <c r="B5" s="27" t="s">
        <v>48</v>
      </c>
      <c r="C5" s="92" t="s">
        <v>49</v>
      </c>
      <c r="D5" s="31">
        <v>317370.90000000002</v>
      </c>
      <c r="E5" s="31">
        <v>317560.7</v>
      </c>
      <c r="F5" s="31">
        <v>317711.59999999998</v>
      </c>
      <c r="G5" s="31">
        <v>317895.2</v>
      </c>
      <c r="H5" s="31">
        <v>318058.09999999998</v>
      </c>
      <c r="I5" s="31">
        <v>318221.2</v>
      </c>
      <c r="J5" s="31">
        <v>318378.90000000002</v>
      </c>
      <c r="K5" s="31">
        <v>318542.40000000002</v>
      </c>
      <c r="L5" s="31">
        <v>318671.3</v>
      </c>
      <c r="M5" s="31">
        <v>318824.2</v>
      </c>
      <c r="N5" s="31">
        <v>318977.09999999998</v>
      </c>
      <c r="O5" s="31">
        <v>319113.3</v>
      </c>
      <c r="P5" s="31">
        <v>319251.59999999998</v>
      </c>
      <c r="Q5" s="31">
        <v>319392.3</v>
      </c>
      <c r="R5" s="31">
        <v>319536.2</v>
      </c>
      <c r="S5" s="31">
        <v>319720.09999999998</v>
      </c>
      <c r="T5" s="31">
        <v>319870</v>
      </c>
      <c r="U5" s="31">
        <v>320017.2</v>
      </c>
      <c r="V5" s="31">
        <v>320146.09999999998</v>
      </c>
      <c r="W5" s="31">
        <v>320301.40000000002</v>
      </c>
      <c r="X5" s="31">
        <v>320481</v>
      </c>
      <c r="Y5" s="31">
        <v>320627.09999999998</v>
      </c>
      <c r="Z5" s="31">
        <v>320760.90000000002</v>
      </c>
      <c r="AA5" s="31">
        <v>320945.09999999998</v>
      </c>
      <c r="AB5" s="31">
        <v>321088.2</v>
      </c>
      <c r="AC5" s="31">
        <v>321222</v>
      </c>
      <c r="AD5" s="31">
        <v>321391.90000000002</v>
      </c>
      <c r="AE5" s="31">
        <v>321535.8</v>
      </c>
      <c r="AF5" s="31">
        <v>321690.90000000002</v>
      </c>
      <c r="AG5" s="31">
        <v>321862.90000000002</v>
      </c>
      <c r="AH5" s="31">
        <v>322004.09999999998</v>
      </c>
      <c r="AI5" s="31">
        <v>322170.09999999998</v>
      </c>
    </row>
    <row r="6" spans="1:42" s="34" customFormat="1" ht="25.7" customHeight="1" thickBot="1" x14ac:dyDescent="0.3">
      <c r="A6" s="91"/>
      <c r="B6" s="32"/>
      <c r="C6" s="92"/>
      <c r="D6" s="33"/>
      <c r="E6" s="33">
        <f t="shared" ref="E6:AI6" si="0">E5-D5</f>
        <v>189.79999999998836</v>
      </c>
      <c r="F6" s="33">
        <f t="shared" si="0"/>
        <v>150.89999999996508</v>
      </c>
      <c r="G6" s="33">
        <f t="shared" si="0"/>
        <v>183.60000000003492</v>
      </c>
      <c r="H6" s="33">
        <f t="shared" si="0"/>
        <v>162.89999999996508</v>
      </c>
      <c r="I6" s="33">
        <f t="shared" si="0"/>
        <v>163.10000000003492</v>
      </c>
      <c r="J6" s="33">
        <f t="shared" si="0"/>
        <v>157.70000000001164</v>
      </c>
      <c r="K6" s="33">
        <f t="shared" si="0"/>
        <v>163.5</v>
      </c>
      <c r="L6" s="33">
        <f t="shared" si="0"/>
        <v>128.89999999996508</v>
      </c>
      <c r="M6" s="33">
        <f t="shared" si="0"/>
        <v>152.90000000002328</v>
      </c>
      <c r="N6" s="33">
        <f t="shared" si="0"/>
        <v>152.89999999996508</v>
      </c>
      <c r="O6" s="33">
        <f t="shared" si="0"/>
        <v>136.20000000001164</v>
      </c>
      <c r="P6" s="33">
        <f t="shared" si="0"/>
        <v>138.29999999998836</v>
      </c>
      <c r="Q6" s="33">
        <f t="shared" si="0"/>
        <v>140.70000000001164</v>
      </c>
      <c r="R6" s="33">
        <f t="shared" si="0"/>
        <v>143.90000000002328</v>
      </c>
      <c r="S6" s="33">
        <f t="shared" si="0"/>
        <v>183.89999999996508</v>
      </c>
      <c r="T6" s="33">
        <f t="shared" si="0"/>
        <v>149.90000000002328</v>
      </c>
      <c r="U6" s="33">
        <f t="shared" si="0"/>
        <v>147.20000000001164</v>
      </c>
      <c r="V6" s="33">
        <f t="shared" si="0"/>
        <v>128.89999999996508</v>
      </c>
      <c r="W6" s="33">
        <f t="shared" si="0"/>
        <v>155.30000000004657</v>
      </c>
      <c r="X6" s="33">
        <f t="shared" si="0"/>
        <v>179.59999999997672</v>
      </c>
      <c r="Y6" s="33">
        <f t="shared" si="0"/>
        <v>146.09999999997672</v>
      </c>
      <c r="Z6" s="33">
        <f t="shared" si="0"/>
        <v>133.80000000004657</v>
      </c>
      <c r="AA6" s="33">
        <f t="shared" si="0"/>
        <v>184.19999999995343</v>
      </c>
      <c r="AB6" s="33">
        <f t="shared" si="0"/>
        <v>143.10000000003492</v>
      </c>
      <c r="AC6" s="33">
        <f t="shared" si="0"/>
        <v>133.79999999998836</v>
      </c>
      <c r="AD6" s="33">
        <f t="shared" si="0"/>
        <v>169.90000000002328</v>
      </c>
      <c r="AE6" s="33">
        <f t="shared" si="0"/>
        <v>143.89999999996508</v>
      </c>
      <c r="AF6" s="33">
        <f t="shared" si="0"/>
        <v>155.10000000003492</v>
      </c>
      <c r="AG6" s="33">
        <f t="shared" si="0"/>
        <v>172</v>
      </c>
      <c r="AH6" s="33">
        <f t="shared" si="0"/>
        <v>141.19999999995343</v>
      </c>
      <c r="AI6" s="33">
        <f t="shared" si="0"/>
        <v>166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0" t="s">
        <v>22</v>
      </c>
      <c r="B7" s="49" t="s">
        <v>69</v>
      </c>
      <c r="C7" s="92" t="s">
        <v>70</v>
      </c>
      <c r="D7" s="31">
        <v>358263.1</v>
      </c>
      <c r="E7" s="31">
        <v>358350</v>
      </c>
      <c r="F7" s="31">
        <v>358478.1</v>
      </c>
      <c r="G7" s="31">
        <v>358567.2</v>
      </c>
      <c r="H7" s="31">
        <v>358679.1</v>
      </c>
      <c r="I7" s="31">
        <v>358838.2</v>
      </c>
      <c r="J7" s="31">
        <v>358950.1</v>
      </c>
      <c r="K7" s="31">
        <v>359048.1</v>
      </c>
      <c r="L7" s="31">
        <v>359141.3</v>
      </c>
      <c r="M7" s="31">
        <v>359223</v>
      </c>
      <c r="N7" s="31">
        <v>359345</v>
      </c>
      <c r="O7" s="31">
        <v>359413</v>
      </c>
      <c r="P7" s="31">
        <v>359519.7</v>
      </c>
      <c r="Q7" s="31">
        <v>359624.1</v>
      </c>
      <c r="R7" s="31">
        <v>359772.9</v>
      </c>
      <c r="S7" s="31">
        <v>359870.1</v>
      </c>
      <c r="T7" s="31">
        <v>360036.8</v>
      </c>
      <c r="U7" s="31">
        <v>360146.1</v>
      </c>
      <c r="V7" s="31">
        <v>360264.1</v>
      </c>
      <c r="W7" s="31">
        <v>360393.1</v>
      </c>
      <c r="X7" s="31">
        <v>360495.2</v>
      </c>
      <c r="Y7" s="31">
        <v>360604.8</v>
      </c>
      <c r="Z7" s="31">
        <v>360692.2</v>
      </c>
      <c r="AA7" s="31">
        <v>360841.2</v>
      </c>
      <c r="AB7" s="31">
        <v>360956.9</v>
      </c>
      <c r="AC7" s="31">
        <v>361069.1</v>
      </c>
      <c r="AD7" s="31">
        <v>361196.7</v>
      </c>
      <c r="AE7" s="31">
        <v>361304.6</v>
      </c>
      <c r="AF7" s="31">
        <v>361407.4</v>
      </c>
      <c r="AG7" s="31">
        <v>361488.2</v>
      </c>
      <c r="AH7" s="31">
        <v>361588</v>
      </c>
      <c r="AI7" s="31">
        <v>361703.3</v>
      </c>
    </row>
    <row r="8" spans="1:42" s="34" customFormat="1" ht="25.7" customHeight="1" thickBot="1" x14ac:dyDescent="0.3">
      <c r="A8" s="91"/>
      <c r="B8" s="47"/>
      <c r="C8" s="92"/>
      <c r="D8" s="33"/>
      <c r="E8" s="33">
        <f t="shared" ref="E8:AI14" si="1">E7-D7</f>
        <v>86.900000000023283</v>
      </c>
      <c r="F8" s="33">
        <f t="shared" si="1"/>
        <v>128.09999999997672</v>
      </c>
      <c r="G8" s="33">
        <f t="shared" si="1"/>
        <v>89.100000000034925</v>
      </c>
      <c r="H8" s="33">
        <f t="shared" si="1"/>
        <v>111.89999999996508</v>
      </c>
      <c r="I8" s="33">
        <f t="shared" si="1"/>
        <v>159.10000000003492</v>
      </c>
      <c r="J8" s="33">
        <f t="shared" si="1"/>
        <v>111.89999999996508</v>
      </c>
      <c r="K8" s="33">
        <f t="shared" si="1"/>
        <v>98</v>
      </c>
      <c r="L8" s="33">
        <f t="shared" si="1"/>
        <v>93.200000000011642</v>
      </c>
      <c r="M8" s="33">
        <f t="shared" si="1"/>
        <v>81.700000000011642</v>
      </c>
      <c r="N8" s="33">
        <f t="shared" si="1"/>
        <v>122</v>
      </c>
      <c r="O8" s="33">
        <f t="shared" si="1"/>
        <v>68</v>
      </c>
      <c r="P8" s="33">
        <f t="shared" si="1"/>
        <v>106.70000000001164</v>
      </c>
      <c r="Q8" s="33">
        <f t="shared" si="1"/>
        <v>104.39999999996508</v>
      </c>
      <c r="R8" s="33">
        <f t="shared" si="1"/>
        <v>148.80000000004657</v>
      </c>
      <c r="S8" s="33">
        <f t="shared" si="1"/>
        <v>97.199999999953434</v>
      </c>
      <c r="T8" s="33">
        <f t="shared" si="1"/>
        <v>166.70000000001164</v>
      </c>
      <c r="U8" s="33">
        <f t="shared" si="1"/>
        <v>109.29999999998836</v>
      </c>
      <c r="V8" s="33">
        <f t="shared" si="1"/>
        <v>118</v>
      </c>
      <c r="W8" s="33">
        <f t="shared" si="1"/>
        <v>129</v>
      </c>
      <c r="X8" s="33">
        <f t="shared" si="1"/>
        <v>102.10000000003492</v>
      </c>
      <c r="Y8" s="33">
        <f t="shared" si="1"/>
        <v>109.59999999997672</v>
      </c>
      <c r="Z8" s="33">
        <f t="shared" si="1"/>
        <v>87.400000000023283</v>
      </c>
      <c r="AA8" s="33">
        <f t="shared" si="1"/>
        <v>149</v>
      </c>
      <c r="AB8" s="33">
        <f t="shared" si="1"/>
        <v>115.70000000001164</v>
      </c>
      <c r="AC8" s="33">
        <f t="shared" si="1"/>
        <v>112.19999999995343</v>
      </c>
      <c r="AD8" s="33">
        <f t="shared" si="1"/>
        <v>127.60000000003492</v>
      </c>
      <c r="AE8" s="33">
        <f t="shared" si="1"/>
        <v>107.89999999996508</v>
      </c>
      <c r="AF8" s="33">
        <f t="shared" si="1"/>
        <v>102.80000000004657</v>
      </c>
      <c r="AG8" s="33">
        <f t="shared" si="1"/>
        <v>80.799999999988358</v>
      </c>
      <c r="AH8" s="33">
        <f t="shared" si="1"/>
        <v>99.799999999988358</v>
      </c>
      <c r="AI8" s="33">
        <f t="shared" si="1"/>
        <v>115.29999999998836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0">
        <v>4</v>
      </c>
      <c r="B9" s="46" t="s">
        <v>67</v>
      </c>
      <c r="C9" s="92" t="s">
        <v>68</v>
      </c>
      <c r="D9" s="31">
        <v>16892</v>
      </c>
      <c r="E9" s="31">
        <v>16909</v>
      </c>
      <c r="F9" s="31">
        <v>17063</v>
      </c>
      <c r="G9" s="31">
        <v>17099</v>
      </c>
      <c r="H9" s="31">
        <v>17215</v>
      </c>
      <c r="I9" s="31">
        <v>17367</v>
      </c>
      <c r="J9" s="31">
        <v>17507</v>
      </c>
      <c r="K9" s="31">
        <v>17626</v>
      </c>
      <c r="L9" s="31">
        <v>17671</v>
      </c>
      <c r="M9" s="31">
        <v>17700</v>
      </c>
      <c r="N9" s="31">
        <v>17854</v>
      </c>
      <c r="O9" s="31">
        <v>17854</v>
      </c>
      <c r="P9" s="31">
        <v>18016</v>
      </c>
      <c r="Q9" s="31">
        <v>18170</v>
      </c>
      <c r="R9" s="31">
        <v>18334</v>
      </c>
      <c r="S9" s="31">
        <v>18350</v>
      </c>
      <c r="T9" s="31">
        <v>18519</v>
      </c>
      <c r="U9" s="31">
        <v>18680</v>
      </c>
      <c r="V9" s="31">
        <v>18858</v>
      </c>
      <c r="W9" s="31">
        <v>19050</v>
      </c>
      <c r="X9" s="31">
        <v>19180</v>
      </c>
      <c r="Y9" s="31">
        <v>19336</v>
      </c>
      <c r="Z9" s="31">
        <v>19336</v>
      </c>
      <c r="AA9" s="31">
        <v>19500</v>
      </c>
      <c r="AB9" s="31">
        <v>19673</v>
      </c>
      <c r="AC9" s="31">
        <v>19836</v>
      </c>
      <c r="AD9" s="31">
        <v>19984</v>
      </c>
      <c r="AE9" s="31">
        <v>20128</v>
      </c>
      <c r="AF9" s="31">
        <v>20281</v>
      </c>
      <c r="AG9" s="31">
        <v>20281</v>
      </c>
      <c r="AH9" s="31">
        <v>20410</v>
      </c>
      <c r="AI9" s="31">
        <v>20570</v>
      </c>
    </row>
    <row r="10" spans="1:42" s="34" customFormat="1" ht="25.7" customHeight="1" thickBot="1" x14ac:dyDescent="0.3">
      <c r="A10" s="91"/>
      <c r="B10" s="47"/>
      <c r="C10" s="92"/>
      <c r="D10" s="33"/>
      <c r="E10" s="33">
        <f t="shared" ref="E10" si="2">E9-D9</f>
        <v>17</v>
      </c>
      <c r="F10" s="33">
        <f t="shared" si="1"/>
        <v>154</v>
      </c>
      <c r="G10" s="33">
        <f t="shared" si="1"/>
        <v>36</v>
      </c>
      <c r="H10" s="33">
        <f t="shared" si="1"/>
        <v>116</v>
      </c>
      <c r="I10" s="33">
        <f t="shared" si="1"/>
        <v>152</v>
      </c>
      <c r="J10" s="33">
        <f t="shared" si="1"/>
        <v>140</v>
      </c>
      <c r="K10" s="33">
        <f t="shared" si="1"/>
        <v>119</v>
      </c>
      <c r="L10" s="33">
        <f t="shared" si="1"/>
        <v>45</v>
      </c>
      <c r="M10" s="33">
        <f t="shared" si="1"/>
        <v>29</v>
      </c>
      <c r="N10" s="33">
        <f t="shared" si="1"/>
        <v>154</v>
      </c>
      <c r="O10" s="33">
        <f t="shared" si="1"/>
        <v>0</v>
      </c>
      <c r="P10" s="33">
        <f t="shared" si="1"/>
        <v>162</v>
      </c>
      <c r="Q10" s="33">
        <f t="shared" si="1"/>
        <v>154</v>
      </c>
      <c r="R10" s="33">
        <f t="shared" si="1"/>
        <v>164</v>
      </c>
      <c r="S10" s="33">
        <f t="shared" si="1"/>
        <v>16</v>
      </c>
      <c r="T10" s="33">
        <f t="shared" si="1"/>
        <v>169</v>
      </c>
      <c r="U10" s="33">
        <f t="shared" si="1"/>
        <v>161</v>
      </c>
      <c r="V10" s="33">
        <f t="shared" si="1"/>
        <v>178</v>
      </c>
      <c r="W10" s="33">
        <f t="shared" si="1"/>
        <v>192</v>
      </c>
      <c r="X10" s="33">
        <f t="shared" si="1"/>
        <v>130</v>
      </c>
      <c r="Y10" s="33">
        <f t="shared" si="1"/>
        <v>156</v>
      </c>
      <c r="Z10" s="33">
        <f t="shared" si="1"/>
        <v>0</v>
      </c>
      <c r="AA10" s="33">
        <f t="shared" si="1"/>
        <v>164</v>
      </c>
      <c r="AB10" s="33">
        <f t="shared" si="1"/>
        <v>173</v>
      </c>
      <c r="AC10" s="33">
        <f t="shared" si="1"/>
        <v>163</v>
      </c>
      <c r="AD10" s="33">
        <f t="shared" si="1"/>
        <v>148</v>
      </c>
      <c r="AE10" s="33">
        <f t="shared" si="1"/>
        <v>144</v>
      </c>
      <c r="AF10" s="33">
        <f t="shared" si="1"/>
        <v>153</v>
      </c>
      <c r="AG10" s="33">
        <f t="shared" si="1"/>
        <v>0</v>
      </c>
      <c r="AH10" s="33">
        <f t="shared" si="1"/>
        <v>129</v>
      </c>
      <c r="AI10" s="33">
        <f t="shared" si="1"/>
        <v>160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3">
        <v>5</v>
      </c>
      <c r="B11" s="27">
        <v>68864837</v>
      </c>
      <c r="C11" s="92" t="s">
        <v>74</v>
      </c>
      <c r="D11" s="31">
        <v>602.04399999999998</v>
      </c>
      <c r="E11" s="31">
        <v>603.84900000000005</v>
      </c>
      <c r="F11" s="31">
        <v>604.02700000000004</v>
      </c>
      <c r="G11" s="31">
        <v>604.95799999999997</v>
      </c>
      <c r="H11" s="31">
        <v>606.36599999999999</v>
      </c>
      <c r="I11" s="31">
        <v>607.60500000000002</v>
      </c>
      <c r="J11" s="31">
        <v>608.28</v>
      </c>
      <c r="K11" s="31">
        <v>610.44799999999998</v>
      </c>
      <c r="L11" s="31">
        <v>610.75599999999997</v>
      </c>
      <c r="M11" s="31">
        <v>613.05799999999999</v>
      </c>
      <c r="N11" s="31">
        <v>613.45799999999997</v>
      </c>
      <c r="O11" s="31">
        <v>614.99900000000002</v>
      </c>
      <c r="P11" s="31">
        <v>615.59500000000003</v>
      </c>
      <c r="Q11" s="31">
        <v>616.15899999999999</v>
      </c>
      <c r="R11" s="31">
        <v>616.495</v>
      </c>
      <c r="S11" s="31">
        <v>617.91200000000003</v>
      </c>
      <c r="T11" s="31">
        <v>618.46799999999996</v>
      </c>
      <c r="U11" s="31">
        <v>619.45100000000002</v>
      </c>
      <c r="V11" s="31">
        <v>622.33600000000001</v>
      </c>
      <c r="W11" s="31">
        <v>623.32500000000005</v>
      </c>
      <c r="X11" s="31">
        <v>625.15499999999997</v>
      </c>
      <c r="Y11" s="31">
        <v>626.43799999999999</v>
      </c>
      <c r="Z11" s="31">
        <v>626.66999999999996</v>
      </c>
      <c r="AA11" s="31">
        <v>627.49400000000003</v>
      </c>
      <c r="AB11" s="31">
        <v>629.08799999999997</v>
      </c>
      <c r="AC11" s="31">
        <v>629.846</v>
      </c>
      <c r="AD11" s="31">
        <v>630.89700000000005</v>
      </c>
      <c r="AE11" s="31">
        <v>632.86800000000005</v>
      </c>
      <c r="AF11" s="31">
        <v>634.0258</v>
      </c>
      <c r="AG11" s="31">
        <v>635.63300000000004</v>
      </c>
      <c r="AH11" s="31">
        <v>635.85299999999995</v>
      </c>
      <c r="AI11" s="31">
        <v>636.89599999999996</v>
      </c>
    </row>
    <row r="12" spans="1:42" s="8" customFormat="1" ht="25.7" customHeight="1" thickBot="1" x14ac:dyDescent="0.3">
      <c r="A12" s="94"/>
      <c r="B12" s="48"/>
      <c r="C12" s="92"/>
      <c r="D12" s="33"/>
      <c r="E12" s="33">
        <f t="shared" ref="E12" si="3">E11-D11</f>
        <v>1.8050000000000637</v>
      </c>
      <c r="F12" s="33">
        <f t="shared" si="1"/>
        <v>0.17799999999999727</v>
      </c>
      <c r="G12" s="33">
        <f t="shared" si="1"/>
        <v>0.93099999999992633</v>
      </c>
      <c r="H12" s="33">
        <f t="shared" si="1"/>
        <v>1.4080000000000155</v>
      </c>
      <c r="I12" s="33">
        <f t="shared" si="1"/>
        <v>1.2390000000000327</v>
      </c>
      <c r="J12" s="33">
        <f t="shared" si="1"/>
        <v>0.67499999999995453</v>
      </c>
      <c r="K12" s="33">
        <f t="shared" si="1"/>
        <v>2.1680000000000064</v>
      </c>
      <c r="L12" s="33">
        <f t="shared" si="1"/>
        <v>0.30799999999999272</v>
      </c>
      <c r="M12" s="33">
        <f t="shared" si="1"/>
        <v>2.3020000000000209</v>
      </c>
      <c r="N12" s="33">
        <f t="shared" si="1"/>
        <v>0.39999999999997726</v>
      </c>
      <c r="O12" s="33">
        <f t="shared" si="1"/>
        <v>1.5410000000000537</v>
      </c>
      <c r="P12" s="33">
        <f t="shared" si="1"/>
        <v>0.59600000000000364</v>
      </c>
      <c r="Q12" s="33">
        <f t="shared" si="1"/>
        <v>0.56399999999996453</v>
      </c>
      <c r="R12" s="33">
        <f t="shared" si="1"/>
        <v>0.33600000000001273</v>
      </c>
      <c r="S12" s="33">
        <f t="shared" si="1"/>
        <v>1.41700000000003</v>
      </c>
      <c r="T12" s="33">
        <f t="shared" si="1"/>
        <v>0.55599999999992633</v>
      </c>
      <c r="U12" s="33">
        <f t="shared" si="1"/>
        <v>0.98300000000006094</v>
      </c>
      <c r="V12" s="33">
        <f t="shared" si="1"/>
        <v>2.8849999999999909</v>
      </c>
      <c r="W12" s="33">
        <f t="shared" si="1"/>
        <v>0.98900000000003274</v>
      </c>
      <c r="X12" s="33">
        <f t="shared" si="1"/>
        <v>1.8299999999999272</v>
      </c>
      <c r="Y12" s="33">
        <f t="shared" si="1"/>
        <v>1.2830000000000155</v>
      </c>
      <c r="Z12" s="33">
        <f t="shared" si="1"/>
        <v>0.2319999999999709</v>
      </c>
      <c r="AA12" s="33">
        <f t="shared" si="1"/>
        <v>0.82400000000006912</v>
      </c>
      <c r="AB12" s="33">
        <f t="shared" si="1"/>
        <v>1.5939999999999372</v>
      </c>
      <c r="AC12" s="33">
        <f t="shared" si="1"/>
        <v>0.7580000000000382</v>
      </c>
      <c r="AD12" s="33">
        <f t="shared" si="1"/>
        <v>1.0510000000000446</v>
      </c>
      <c r="AE12" s="33">
        <f t="shared" si="1"/>
        <v>1.9710000000000036</v>
      </c>
      <c r="AF12" s="33">
        <f t="shared" si="1"/>
        <v>1.157799999999952</v>
      </c>
      <c r="AG12" s="33">
        <f t="shared" si="1"/>
        <v>1.6072000000000344</v>
      </c>
      <c r="AH12" s="33">
        <f t="shared" si="1"/>
        <v>0.2199999999999136</v>
      </c>
      <c r="AI12" s="33">
        <f t="shared" si="1"/>
        <v>1.0430000000000064</v>
      </c>
    </row>
    <row r="13" spans="1:42" s="8" customFormat="1" ht="25.7" customHeight="1" thickBot="1" x14ac:dyDescent="0.3">
      <c r="A13" s="93">
        <v>6</v>
      </c>
      <c r="B13" s="27">
        <v>65296485</v>
      </c>
      <c r="C13" s="92" t="s">
        <v>73</v>
      </c>
      <c r="D13" s="31">
        <v>853.29899999999998</v>
      </c>
      <c r="E13" s="31">
        <v>855.41499999999996</v>
      </c>
      <c r="F13" s="31">
        <v>861.17600000000004</v>
      </c>
      <c r="G13" s="31">
        <v>862.65599999999995</v>
      </c>
      <c r="H13" s="31">
        <v>865.35699999999997</v>
      </c>
      <c r="I13" s="31">
        <v>866.899</v>
      </c>
      <c r="J13" s="31">
        <v>867.45600000000002</v>
      </c>
      <c r="K13" s="31">
        <v>870.48</v>
      </c>
      <c r="L13" s="31">
        <v>870.88599999999997</v>
      </c>
      <c r="M13" s="31">
        <v>879.05799999999999</v>
      </c>
      <c r="N13" s="31">
        <v>880.26300000000003</v>
      </c>
      <c r="O13" s="31">
        <v>883.47500000000002</v>
      </c>
      <c r="P13" s="31">
        <v>885.95100000000002</v>
      </c>
      <c r="Q13" s="31">
        <v>887.83399999999995</v>
      </c>
      <c r="R13" s="31">
        <v>887.83399999999995</v>
      </c>
      <c r="S13" s="31">
        <v>891.34</v>
      </c>
      <c r="T13" s="31">
        <v>893.73599999999999</v>
      </c>
      <c r="U13" s="31">
        <v>895.55600000000004</v>
      </c>
      <c r="V13" s="31">
        <v>897.43399999999997</v>
      </c>
      <c r="W13" s="31">
        <v>898.1</v>
      </c>
      <c r="X13" s="31">
        <v>902.49099999999999</v>
      </c>
      <c r="Y13" s="31">
        <v>904.23500000000001</v>
      </c>
      <c r="Z13" s="31">
        <v>904.995</v>
      </c>
      <c r="AA13" s="31">
        <v>905.81899999999996</v>
      </c>
      <c r="AB13" s="31">
        <v>908.21</v>
      </c>
      <c r="AC13" s="31">
        <v>915.74800000000005</v>
      </c>
      <c r="AD13" s="31">
        <v>917.2</v>
      </c>
      <c r="AE13" s="31">
        <v>917.71199999999999</v>
      </c>
      <c r="AF13" s="31">
        <v>919.49800000000005</v>
      </c>
      <c r="AG13" s="31">
        <v>920.48699999999997</v>
      </c>
      <c r="AH13" s="31">
        <v>921.79</v>
      </c>
      <c r="AI13" s="31">
        <v>923.68</v>
      </c>
    </row>
    <row r="14" spans="1:42" s="8" customFormat="1" ht="25.7" customHeight="1" thickBot="1" x14ac:dyDescent="0.3">
      <c r="A14" s="94"/>
      <c r="B14" s="48"/>
      <c r="C14" s="92"/>
      <c r="D14" s="33"/>
      <c r="E14" s="33">
        <f t="shared" ref="E14" si="4">E13-D13</f>
        <v>2.1159999999999854</v>
      </c>
      <c r="F14" s="33">
        <f t="shared" si="1"/>
        <v>5.7610000000000809</v>
      </c>
      <c r="G14" s="33">
        <f t="shared" si="1"/>
        <v>1.4799999999999045</v>
      </c>
      <c r="H14" s="33">
        <f t="shared" si="1"/>
        <v>2.7010000000000218</v>
      </c>
      <c r="I14" s="33">
        <f t="shared" si="1"/>
        <v>1.54200000000003</v>
      </c>
      <c r="J14" s="33">
        <f t="shared" si="1"/>
        <v>0.55700000000001637</v>
      </c>
      <c r="K14" s="33">
        <f t="shared" si="1"/>
        <v>3.0240000000000009</v>
      </c>
      <c r="L14" s="33">
        <f t="shared" si="1"/>
        <v>0.40599999999994907</v>
      </c>
      <c r="M14" s="33">
        <f t="shared" si="1"/>
        <v>8.1720000000000255</v>
      </c>
      <c r="N14" s="33">
        <f t="shared" si="1"/>
        <v>1.2050000000000409</v>
      </c>
      <c r="O14" s="33">
        <f t="shared" si="1"/>
        <v>3.2119999999999891</v>
      </c>
      <c r="P14" s="33">
        <f t="shared" si="1"/>
        <v>2.4759999999999991</v>
      </c>
      <c r="Q14" s="33">
        <f t="shared" si="1"/>
        <v>1.8829999999999245</v>
      </c>
      <c r="R14" s="33">
        <f t="shared" si="1"/>
        <v>0</v>
      </c>
      <c r="S14" s="33">
        <f t="shared" si="1"/>
        <v>3.5060000000000855</v>
      </c>
      <c r="T14" s="33">
        <f t="shared" si="1"/>
        <v>2.3959999999999582</v>
      </c>
      <c r="U14" s="33">
        <f t="shared" si="1"/>
        <v>1.82000000000005</v>
      </c>
      <c r="V14" s="33">
        <f t="shared" si="1"/>
        <v>1.8779999999999291</v>
      </c>
      <c r="W14" s="33">
        <f t="shared" si="1"/>
        <v>0.66600000000005366</v>
      </c>
      <c r="X14" s="33">
        <f t="shared" si="1"/>
        <v>4.3909999999999627</v>
      </c>
      <c r="Y14" s="33">
        <f t="shared" si="1"/>
        <v>1.7440000000000282</v>
      </c>
      <c r="Z14" s="33">
        <f t="shared" si="1"/>
        <v>0.75999999999999091</v>
      </c>
      <c r="AA14" s="33">
        <f t="shared" si="1"/>
        <v>0.82399999999995543</v>
      </c>
      <c r="AB14" s="33">
        <f t="shared" si="1"/>
        <v>2.3910000000000764</v>
      </c>
      <c r="AC14" s="33">
        <f t="shared" si="1"/>
        <v>7.5380000000000109</v>
      </c>
      <c r="AD14" s="33">
        <f t="shared" si="1"/>
        <v>1.4519999999999982</v>
      </c>
      <c r="AE14" s="33">
        <f t="shared" si="1"/>
        <v>0.51199999999994361</v>
      </c>
      <c r="AF14" s="33">
        <f t="shared" si="1"/>
        <v>1.7860000000000582</v>
      </c>
      <c r="AG14" s="33">
        <f t="shared" si="1"/>
        <v>0.98899999999991905</v>
      </c>
      <c r="AH14" s="33">
        <f t="shared" si="1"/>
        <v>1.3029999999999973</v>
      </c>
      <c r="AI14" s="33">
        <f t="shared" si="1"/>
        <v>1.8899999999999864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6" t="s">
        <v>71</v>
      </c>
      <c r="C15" s="86"/>
      <c r="D15" s="50"/>
      <c r="E15" s="57">
        <f>E6+((E8*45%)+(E10*45%)+(E12+E14))</f>
        <v>240.47599999999889</v>
      </c>
      <c r="F15" s="57">
        <f t="shared" ref="F15:AI15" si="5">F6+((F8*45%)+(F10*45%)+(F12+F14))</f>
        <v>283.78399999995469</v>
      </c>
      <c r="G15" s="57">
        <f t="shared" si="5"/>
        <v>242.30600000005046</v>
      </c>
      <c r="H15" s="57">
        <f t="shared" si="5"/>
        <v>269.56399999994937</v>
      </c>
      <c r="I15" s="57">
        <f t="shared" si="5"/>
        <v>305.87600000005068</v>
      </c>
      <c r="J15" s="57">
        <f t="shared" si="5"/>
        <v>272.28699999999588</v>
      </c>
      <c r="K15" s="57">
        <f t="shared" si="5"/>
        <v>266.34199999999998</v>
      </c>
      <c r="L15" s="57">
        <f t="shared" si="5"/>
        <v>191.80399999997024</v>
      </c>
      <c r="M15" s="57">
        <f t="shared" si="5"/>
        <v>213.18900000002856</v>
      </c>
      <c r="N15" s="57">
        <f t="shared" si="5"/>
        <v>278.70499999996508</v>
      </c>
      <c r="O15" s="57">
        <f t="shared" si="5"/>
        <v>171.55300000001168</v>
      </c>
      <c r="P15" s="57">
        <f t="shared" si="5"/>
        <v>262.28699999999361</v>
      </c>
      <c r="Q15" s="57">
        <f t="shared" si="5"/>
        <v>259.42699999999581</v>
      </c>
      <c r="R15" s="57">
        <f t="shared" si="5"/>
        <v>284.99600000004426</v>
      </c>
      <c r="S15" s="57">
        <f t="shared" si="5"/>
        <v>239.76299999994424</v>
      </c>
      <c r="T15" s="57">
        <f t="shared" si="5"/>
        <v>303.91700000002839</v>
      </c>
      <c r="U15" s="57">
        <f t="shared" si="5"/>
        <v>271.63800000000651</v>
      </c>
      <c r="V15" s="57">
        <f t="shared" si="5"/>
        <v>266.86299999996504</v>
      </c>
      <c r="W15" s="57">
        <f t="shared" si="5"/>
        <v>301.4050000000467</v>
      </c>
      <c r="X15" s="57">
        <f t="shared" si="5"/>
        <v>290.26599999999235</v>
      </c>
      <c r="Y15" s="57">
        <f t="shared" si="5"/>
        <v>268.64699999996628</v>
      </c>
      <c r="Z15" s="57">
        <f t="shared" si="5"/>
        <v>174.122000000057</v>
      </c>
      <c r="AA15" s="57">
        <f t="shared" si="5"/>
        <v>326.69799999995348</v>
      </c>
      <c r="AB15" s="57">
        <f t="shared" si="5"/>
        <v>277.00000000004019</v>
      </c>
      <c r="AC15" s="57">
        <f t="shared" si="5"/>
        <v>265.93599999996746</v>
      </c>
      <c r="AD15" s="57">
        <f t="shared" si="5"/>
        <v>296.42300000003905</v>
      </c>
      <c r="AE15" s="57">
        <f t="shared" si="5"/>
        <v>259.7379999999493</v>
      </c>
      <c r="AF15" s="57">
        <f t="shared" si="5"/>
        <v>273.15380000005587</v>
      </c>
      <c r="AG15" s="57">
        <f t="shared" si="5"/>
        <v>210.95619999999471</v>
      </c>
      <c r="AH15" s="57">
        <f t="shared" si="5"/>
        <v>245.68299999994809</v>
      </c>
      <c r="AI15" s="57">
        <f t="shared" si="5"/>
        <v>292.81799999999475</v>
      </c>
    </row>
    <row r="16" spans="1:42" ht="33" customHeight="1" x14ac:dyDescent="0.25">
      <c r="B16" s="85" t="s">
        <v>72</v>
      </c>
      <c r="C16" s="85"/>
      <c r="D16" s="50"/>
      <c r="E16" s="57">
        <f>SUM(E15:AI15)</f>
        <v>8107.6229999999596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1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95" t="s">
        <v>84</v>
      </c>
      <c r="B1" s="95"/>
      <c r="C1" s="95"/>
    </row>
    <row r="3" spans="1:7" ht="48" x14ac:dyDescent="0.25">
      <c r="A3" s="51" t="s">
        <v>19</v>
      </c>
      <c r="B3" s="52">
        <v>55614.84</v>
      </c>
      <c r="C3" s="53"/>
    </row>
    <row r="4" spans="1:7" ht="28.5" customHeight="1" x14ac:dyDescent="0.25">
      <c r="A4" s="54">
        <v>1</v>
      </c>
      <c r="B4" s="52"/>
      <c r="C4" s="53">
        <f>B3/31</f>
        <v>1794.0270967741935</v>
      </c>
    </row>
    <row r="5" spans="1:7" ht="28.5" customHeight="1" x14ac:dyDescent="0.25">
      <c r="A5" s="54">
        <v>2</v>
      </c>
      <c r="B5" s="52"/>
      <c r="C5" s="53">
        <v>1794.0270967741935</v>
      </c>
    </row>
    <row r="6" spans="1:7" ht="28.5" customHeight="1" x14ac:dyDescent="0.25">
      <c r="A6" s="55">
        <v>3</v>
      </c>
      <c r="B6" s="52"/>
      <c r="C6" s="53">
        <v>1794.0270967741935</v>
      </c>
    </row>
    <row r="7" spans="1:7" ht="28.5" customHeight="1" x14ac:dyDescent="0.25">
      <c r="A7" s="54">
        <v>4</v>
      </c>
      <c r="B7" s="52"/>
      <c r="C7" s="53">
        <v>1794.0270967741935</v>
      </c>
    </row>
    <row r="8" spans="1:7" ht="28.5" customHeight="1" x14ac:dyDescent="0.25">
      <c r="A8" s="54">
        <v>5</v>
      </c>
      <c r="B8" s="52"/>
      <c r="C8" s="53">
        <v>1794.0270967741935</v>
      </c>
    </row>
    <row r="9" spans="1:7" ht="28.5" customHeight="1" x14ac:dyDescent="0.25">
      <c r="A9" s="54">
        <v>6</v>
      </c>
      <c r="B9" s="52"/>
      <c r="C9" s="53">
        <v>1794.0270967741935</v>
      </c>
      <c r="G9" t="s">
        <v>75</v>
      </c>
    </row>
    <row r="10" spans="1:7" ht="28.5" customHeight="1" x14ac:dyDescent="0.25">
      <c r="A10" s="54">
        <v>7</v>
      </c>
      <c r="B10" s="52"/>
      <c r="C10" s="53">
        <v>1794.0270967741935</v>
      </c>
    </row>
    <row r="11" spans="1:7" ht="28.5" customHeight="1" x14ac:dyDescent="0.25">
      <c r="A11" s="54">
        <v>8</v>
      </c>
      <c r="B11" s="52"/>
      <c r="C11" s="53">
        <v>1794.0270967741935</v>
      </c>
    </row>
    <row r="12" spans="1:7" ht="28.5" customHeight="1" x14ac:dyDescent="0.25">
      <c r="A12" s="54">
        <v>9</v>
      </c>
      <c r="B12" s="52"/>
      <c r="C12" s="53">
        <v>1794.0270967741935</v>
      </c>
    </row>
    <row r="13" spans="1:7" ht="28.5" customHeight="1" x14ac:dyDescent="0.25">
      <c r="A13" s="54">
        <v>10</v>
      </c>
      <c r="B13" s="52"/>
      <c r="C13" s="53">
        <v>1794.0270967741935</v>
      </c>
    </row>
    <row r="14" spans="1:7" ht="28.5" customHeight="1" x14ac:dyDescent="0.25">
      <c r="A14" s="54">
        <v>11</v>
      </c>
      <c r="B14" s="52"/>
      <c r="C14" s="53">
        <v>1794.0270967741935</v>
      </c>
    </row>
    <row r="15" spans="1:7" ht="28.5" customHeight="1" x14ac:dyDescent="0.25">
      <c r="A15" s="54">
        <v>12</v>
      </c>
      <c r="B15" s="52"/>
      <c r="C15" s="53">
        <v>1794.0270967741935</v>
      </c>
    </row>
    <row r="16" spans="1:7" ht="28.5" customHeight="1" x14ac:dyDescent="0.25">
      <c r="A16" s="54">
        <v>13</v>
      </c>
      <c r="B16" s="52"/>
      <c r="C16" s="53">
        <v>1794.0270967741935</v>
      </c>
    </row>
    <row r="17" spans="1:4" ht="28.5" customHeight="1" x14ac:dyDescent="0.25">
      <c r="A17" s="54">
        <v>14</v>
      </c>
      <c r="B17" s="52"/>
      <c r="C17" s="53">
        <v>1794.0270967741935</v>
      </c>
    </row>
    <row r="18" spans="1:4" ht="28.5" customHeight="1" x14ac:dyDescent="0.25">
      <c r="A18" s="54">
        <v>15</v>
      </c>
      <c r="B18" s="52"/>
      <c r="C18" s="53">
        <v>1794.0270967741935</v>
      </c>
    </row>
    <row r="19" spans="1:4" ht="28.5" customHeight="1" x14ac:dyDescent="0.25">
      <c r="A19" s="54">
        <v>16</v>
      </c>
      <c r="B19" s="52"/>
      <c r="C19" s="53">
        <v>1794.0270967741935</v>
      </c>
    </row>
    <row r="20" spans="1:4" ht="28.5" customHeight="1" x14ac:dyDescent="0.25">
      <c r="A20" s="54">
        <v>17</v>
      </c>
      <c r="B20" s="52"/>
      <c r="C20" s="53">
        <v>1794.0270967741935</v>
      </c>
    </row>
    <row r="21" spans="1:4" ht="28.5" customHeight="1" x14ac:dyDescent="0.25">
      <c r="A21" s="54">
        <v>18</v>
      </c>
      <c r="B21" s="52"/>
      <c r="C21" s="53">
        <v>1794.0270967741935</v>
      </c>
    </row>
    <row r="22" spans="1:4" ht="28.5" customHeight="1" x14ac:dyDescent="0.25">
      <c r="A22" s="54">
        <v>19</v>
      </c>
      <c r="B22" s="52"/>
      <c r="C22" s="53">
        <v>1794.0270967741935</v>
      </c>
    </row>
    <row r="23" spans="1:4" ht="28.5" customHeight="1" x14ac:dyDescent="0.25">
      <c r="A23" s="54">
        <v>20</v>
      </c>
      <c r="B23" s="52"/>
      <c r="C23" s="53">
        <v>1794.0270967741935</v>
      </c>
    </row>
    <row r="24" spans="1:4" ht="28.5" customHeight="1" x14ac:dyDescent="0.25">
      <c r="A24" s="54">
        <v>21</v>
      </c>
      <c r="B24" s="52"/>
      <c r="C24" s="53">
        <v>1794.0270967741935</v>
      </c>
    </row>
    <row r="25" spans="1:4" ht="28.5" customHeight="1" x14ac:dyDescent="0.25">
      <c r="A25" s="54">
        <v>22</v>
      </c>
      <c r="B25" s="62"/>
      <c r="C25" s="53">
        <v>1794.0270967741935</v>
      </c>
    </row>
    <row r="26" spans="1:4" ht="28.5" customHeight="1" x14ac:dyDescent="0.25">
      <c r="A26" s="54">
        <v>23</v>
      </c>
      <c r="B26" s="52"/>
      <c r="C26" s="53">
        <v>1794.0270967741935</v>
      </c>
    </row>
    <row r="27" spans="1:4" ht="28.5" customHeight="1" x14ac:dyDescent="0.25">
      <c r="A27" s="54">
        <v>24</v>
      </c>
      <c r="B27" s="52"/>
      <c r="C27" s="53">
        <v>1794.0270967741935</v>
      </c>
    </row>
    <row r="28" spans="1:4" ht="28.5" customHeight="1" x14ac:dyDescent="0.25">
      <c r="A28" s="54">
        <v>25</v>
      </c>
      <c r="B28" s="52"/>
      <c r="C28" s="53">
        <v>1794.0270967741935</v>
      </c>
      <c r="D28" s="56"/>
    </row>
    <row r="29" spans="1:4" ht="28.5" customHeight="1" x14ac:dyDescent="0.25">
      <c r="A29" s="54">
        <v>26</v>
      </c>
      <c r="B29" s="52"/>
      <c r="C29" s="53">
        <v>1794.0270967741935</v>
      </c>
      <c r="D29" s="56"/>
    </row>
    <row r="30" spans="1:4" ht="28.5" customHeight="1" x14ac:dyDescent="0.25">
      <c r="A30" s="54">
        <v>27</v>
      </c>
      <c r="B30" s="52"/>
      <c r="C30" s="53">
        <v>1794.0270967741935</v>
      </c>
    </row>
    <row r="31" spans="1:4" ht="28.5" customHeight="1" x14ac:dyDescent="0.25">
      <c r="A31" s="54">
        <v>28</v>
      </c>
      <c r="B31" s="52"/>
      <c r="C31" s="53">
        <v>1794.0270967741935</v>
      </c>
    </row>
    <row r="32" spans="1:4" ht="28.5" customHeight="1" x14ac:dyDescent="0.25">
      <c r="A32" s="54">
        <v>29</v>
      </c>
      <c r="B32" s="52"/>
      <c r="C32" s="53">
        <v>1794.0270967741935</v>
      </c>
    </row>
    <row r="33" spans="1:3" ht="28.5" customHeight="1" x14ac:dyDescent="0.25">
      <c r="A33" s="54">
        <v>30</v>
      </c>
      <c r="B33" s="52"/>
      <c r="C33" s="53">
        <v>1794.0270967741935</v>
      </c>
    </row>
    <row r="34" spans="1:3" ht="28.5" customHeight="1" x14ac:dyDescent="0.25">
      <c r="A34" s="54">
        <v>31</v>
      </c>
      <c r="B34" s="52"/>
      <c r="C34" s="53">
        <v>1794.0270967741935</v>
      </c>
    </row>
    <row r="35" spans="1:3" x14ac:dyDescent="0.25">
      <c r="A35" s="96" t="s">
        <v>76</v>
      </c>
      <c r="B35" s="96"/>
      <c r="C35" s="63">
        <f>SUM(C4:C34)</f>
        <v>55614.840000000018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D33" sqref="D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7" t="s">
        <v>85</v>
      </c>
      <c r="B1" s="97"/>
      <c r="C1" s="97"/>
    </row>
    <row r="2" spans="1:3" ht="24.95" customHeight="1" x14ac:dyDescent="0.25">
      <c r="A2" s="59" t="s">
        <v>82</v>
      </c>
      <c r="B2" s="59" t="s">
        <v>80</v>
      </c>
      <c r="C2" s="59" t="s">
        <v>81</v>
      </c>
    </row>
    <row r="3" spans="1:3" ht="24.95" customHeight="1" x14ac:dyDescent="0.25">
      <c r="A3" s="60">
        <v>44743</v>
      </c>
      <c r="B3" s="98">
        <v>340</v>
      </c>
      <c r="C3" s="98">
        <v>414</v>
      </c>
    </row>
    <row r="4" spans="1:3" ht="24.95" customHeight="1" x14ac:dyDescent="0.25">
      <c r="A4" s="60">
        <v>44744</v>
      </c>
      <c r="B4" s="98">
        <v>368</v>
      </c>
      <c r="C4" s="98">
        <v>477</v>
      </c>
    </row>
    <row r="5" spans="1:3" ht="24.95" customHeight="1" x14ac:dyDescent="0.25">
      <c r="A5" s="60">
        <v>44745</v>
      </c>
      <c r="B5" s="98">
        <v>351</v>
      </c>
      <c r="C5" s="98">
        <v>434</v>
      </c>
    </row>
    <row r="6" spans="1:3" ht="24.95" customHeight="1" x14ac:dyDescent="0.25">
      <c r="A6" s="60">
        <v>44746</v>
      </c>
      <c r="B6" s="98">
        <v>381</v>
      </c>
      <c r="C6" s="98">
        <v>466</v>
      </c>
    </row>
    <row r="7" spans="1:3" ht="24.95" customHeight="1" x14ac:dyDescent="0.25">
      <c r="A7" s="60">
        <v>44747</v>
      </c>
      <c r="B7" s="98">
        <v>385</v>
      </c>
      <c r="C7" s="98">
        <v>465</v>
      </c>
    </row>
    <row r="8" spans="1:3" ht="24.95" customHeight="1" x14ac:dyDescent="0.25">
      <c r="A8" s="60">
        <v>44748</v>
      </c>
      <c r="B8" s="98">
        <v>383</v>
      </c>
      <c r="C8" s="98">
        <v>457</v>
      </c>
    </row>
    <row r="9" spans="1:3" ht="24.95" customHeight="1" x14ac:dyDescent="0.25">
      <c r="A9" s="60">
        <v>44749</v>
      </c>
      <c r="B9" s="98">
        <v>363</v>
      </c>
      <c r="C9" s="98">
        <v>430</v>
      </c>
    </row>
    <row r="10" spans="1:3" ht="24.95" customHeight="1" x14ac:dyDescent="0.25">
      <c r="A10" s="60">
        <v>44750</v>
      </c>
      <c r="B10" s="98">
        <v>353</v>
      </c>
      <c r="C10" s="98">
        <v>437</v>
      </c>
    </row>
    <row r="11" spans="1:3" ht="24.95" customHeight="1" x14ac:dyDescent="0.25">
      <c r="A11" s="60">
        <v>44751</v>
      </c>
      <c r="B11" s="98">
        <v>369</v>
      </c>
      <c r="C11" s="98">
        <v>467</v>
      </c>
    </row>
    <row r="12" spans="1:3" ht="24.95" customHeight="1" x14ac:dyDescent="0.25">
      <c r="A12" s="60">
        <v>44752</v>
      </c>
      <c r="B12" s="98">
        <v>369</v>
      </c>
      <c r="C12" s="98">
        <v>457</v>
      </c>
    </row>
    <row r="13" spans="1:3" ht="24.95" customHeight="1" x14ac:dyDescent="0.25">
      <c r="A13" s="60">
        <v>44753</v>
      </c>
      <c r="B13" s="98">
        <v>355</v>
      </c>
      <c r="C13" s="98">
        <v>425</v>
      </c>
    </row>
    <row r="14" spans="1:3" ht="24.95" customHeight="1" x14ac:dyDescent="0.25">
      <c r="A14" s="60">
        <v>44754</v>
      </c>
      <c r="B14" s="98">
        <v>374</v>
      </c>
      <c r="C14" s="98">
        <v>443</v>
      </c>
    </row>
    <row r="15" spans="1:3" ht="24.95" customHeight="1" x14ac:dyDescent="0.25">
      <c r="A15" s="60">
        <v>44755</v>
      </c>
      <c r="B15" s="98">
        <v>374</v>
      </c>
      <c r="C15" s="98">
        <v>434</v>
      </c>
    </row>
    <row r="16" spans="1:3" ht="24.95" customHeight="1" x14ac:dyDescent="0.25">
      <c r="A16" s="60">
        <v>44756</v>
      </c>
      <c r="B16" s="98">
        <v>373</v>
      </c>
      <c r="C16" s="98">
        <v>435</v>
      </c>
    </row>
    <row r="17" spans="1:3" ht="24.95" customHeight="1" x14ac:dyDescent="0.25">
      <c r="A17" s="60">
        <v>44757</v>
      </c>
      <c r="B17" s="98">
        <v>336</v>
      </c>
      <c r="C17" s="98">
        <v>390</v>
      </c>
    </row>
    <row r="18" spans="1:3" ht="24.95" customHeight="1" x14ac:dyDescent="0.25">
      <c r="A18" s="60">
        <v>44758</v>
      </c>
      <c r="B18" s="98">
        <v>342</v>
      </c>
      <c r="C18" s="98">
        <v>410</v>
      </c>
    </row>
    <row r="19" spans="1:3" ht="24.95" customHeight="1" x14ac:dyDescent="0.25">
      <c r="A19" s="60">
        <v>44759</v>
      </c>
      <c r="B19" s="98">
        <v>346</v>
      </c>
      <c r="C19" s="98">
        <v>419</v>
      </c>
    </row>
    <row r="20" spans="1:3" ht="24.95" customHeight="1" x14ac:dyDescent="0.25">
      <c r="A20" s="60">
        <v>44760</v>
      </c>
      <c r="B20" s="98">
        <v>382</v>
      </c>
      <c r="C20" s="98">
        <v>472</v>
      </c>
    </row>
    <row r="21" spans="1:3" ht="24.95" customHeight="1" x14ac:dyDescent="0.25">
      <c r="A21" s="60">
        <v>44761</v>
      </c>
      <c r="B21" s="98">
        <v>377</v>
      </c>
      <c r="C21" s="98">
        <v>469</v>
      </c>
    </row>
    <row r="22" spans="1:3" ht="24.95" customHeight="1" x14ac:dyDescent="0.25">
      <c r="A22" s="60">
        <v>44762</v>
      </c>
      <c r="B22" s="98">
        <v>377</v>
      </c>
      <c r="C22" s="98">
        <v>465</v>
      </c>
    </row>
    <row r="23" spans="1:3" ht="24.95" customHeight="1" x14ac:dyDescent="0.25">
      <c r="A23" s="60">
        <v>44763</v>
      </c>
      <c r="B23" s="98">
        <v>348</v>
      </c>
      <c r="C23" s="98">
        <v>418</v>
      </c>
    </row>
    <row r="24" spans="1:3" ht="24.95" customHeight="1" x14ac:dyDescent="0.25">
      <c r="A24" s="60">
        <v>44764</v>
      </c>
      <c r="B24" s="98">
        <v>380</v>
      </c>
      <c r="C24" s="98">
        <v>489</v>
      </c>
    </row>
    <row r="25" spans="1:3" ht="24.95" customHeight="1" x14ac:dyDescent="0.25">
      <c r="A25" s="60">
        <v>44765</v>
      </c>
      <c r="B25" s="98">
        <v>372</v>
      </c>
      <c r="C25" s="98">
        <v>494</v>
      </c>
    </row>
    <row r="26" spans="1:3" ht="24.95" customHeight="1" x14ac:dyDescent="0.25">
      <c r="A26" s="60">
        <v>44766</v>
      </c>
      <c r="B26" s="98">
        <v>345</v>
      </c>
      <c r="C26" s="98">
        <v>417</v>
      </c>
    </row>
    <row r="27" spans="1:3" ht="24.95" customHeight="1" x14ac:dyDescent="0.25">
      <c r="A27" s="60">
        <v>44767</v>
      </c>
      <c r="B27" s="98">
        <v>382</v>
      </c>
      <c r="C27" s="98">
        <v>469</v>
      </c>
    </row>
    <row r="28" spans="1:3" ht="24.95" customHeight="1" x14ac:dyDescent="0.25">
      <c r="A28" s="60">
        <v>44768</v>
      </c>
      <c r="B28" s="98">
        <v>380</v>
      </c>
      <c r="C28" s="98">
        <v>456</v>
      </c>
    </row>
    <row r="29" spans="1:3" ht="24.95" customHeight="1" x14ac:dyDescent="0.25">
      <c r="A29" s="60">
        <v>44769</v>
      </c>
      <c r="B29" s="98">
        <v>357</v>
      </c>
      <c r="C29" s="98">
        <v>427</v>
      </c>
    </row>
    <row r="30" spans="1:3" ht="24.95" customHeight="1" x14ac:dyDescent="0.25">
      <c r="A30" s="60">
        <v>44770</v>
      </c>
      <c r="B30" s="98">
        <v>336</v>
      </c>
      <c r="C30" s="98">
        <v>415</v>
      </c>
    </row>
    <row r="31" spans="1:3" ht="24.95" customHeight="1" x14ac:dyDescent="0.25">
      <c r="A31" s="60">
        <v>44771</v>
      </c>
      <c r="B31" s="98">
        <v>321</v>
      </c>
      <c r="C31" s="98">
        <v>418</v>
      </c>
    </row>
    <row r="32" spans="1:3" ht="24.95" customHeight="1" x14ac:dyDescent="0.25">
      <c r="A32" s="60">
        <v>44772</v>
      </c>
      <c r="B32" s="98">
        <v>331</v>
      </c>
      <c r="C32" s="98">
        <v>451</v>
      </c>
    </row>
    <row r="33" spans="1:3" ht="24.95" customHeight="1" x14ac:dyDescent="0.25">
      <c r="A33" s="60">
        <v>44773</v>
      </c>
      <c r="B33" s="98">
        <v>334</v>
      </c>
      <c r="C33" s="98">
        <v>428</v>
      </c>
    </row>
    <row r="34" spans="1:3" ht="30.75" customHeight="1" x14ac:dyDescent="0.25">
      <c r="A34" s="59" t="s">
        <v>83</v>
      </c>
      <c r="B34" s="61">
        <f>SUM(B3:B33)</f>
        <v>11184</v>
      </c>
      <c r="C34" s="61">
        <f>SUM(C3:C33)</f>
        <v>13748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2025-03-18T10:22:17Z</dcterms:modified>
</cp:coreProperties>
</file>