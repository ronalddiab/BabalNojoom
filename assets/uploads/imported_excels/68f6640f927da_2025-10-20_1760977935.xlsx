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8027EAD1-DC56-4BBD-8010-B3D3F446A8B0}" xr6:coauthVersionLast="47" xr6:coauthVersionMax="47" xr10:uidLastSave="{00000000-0000-0000-0000-000000000000}"/>
  <bookViews>
    <workbookView xWindow="-108" yWindow="-108" windowWidth="23256" windowHeight="12456" tabRatio="783" xr2:uid="{00000000-000D-0000-FFFF-FFFF00000000}"/>
  </bookViews>
  <sheets>
    <sheet name="Total" sheetId="15" r:id="rId1"/>
    <sheet name="BAN-M Electrical &amp; Water July25" sheetId="14" r:id="rId2"/>
  </sheets>
  <definedNames>
    <definedName name="_xlnm.Print_Area" localSheetId="1">'BAN-M Electrical &amp; Water July25'!$C$1:$U$35</definedName>
    <definedName name="شت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5" l="1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2" i="15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D38" i="14"/>
  <c r="F38" i="14"/>
  <c r="H38" i="14"/>
  <c r="J38" i="14"/>
  <c r="R35" i="14"/>
  <c r="R36" i="14"/>
  <c r="R34" i="14"/>
  <c r="J15" i="14"/>
  <c r="N24" i="14"/>
  <c r="T37" i="14"/>
  <c r="T38" i="14" s="1"/>
  <c r="T36" i="14"/>
  <c r="T35" i="14"/>
  <c r="T34" i="14"/>
  <c r="T33" i="14"/>
  <c r="T32" i="14"/>
  <c r="T31" i="14"/>
  <c r="T30" i="14"/>
  <c r="T29" i="14"/>
  <c r="T28" i="14"/>
  <c r="T27" i="14"/>
  <c r="T26" i="14"/>
  <c r="T25" i="14"/>
  <c r="T24" i="14"/>
  <c r="T23" i="14"/>
  <c r="T22" i="14"/>
  <c r="T21" i="14"/>
  <c r="T20" i="14"/>
  <c r="T19" i="14"/>
  <c r="T18" i="14"/>
  <c r="T17" i="14"/>
  <c r="T16" i="14"/>
  <c r="T15" i="14"/>
  <c r="T14" i="14"/>
  <c r="T13" i="14"/>
  <c r="T12" i="14"/>
  <c r="T11" i="14"/>
  <c r="T10" i="14"/>
  <c r="T9" i="14"/>
  <c r="T8" i="14"/>
  <c r="T7" i="14"/>
  <c r="R37" i="14"/>
  <c r="R38" i="14" s="1"/>
  <c r="R33" i="14"/>
  <c r="R32" i="14"/>
  <c r="R31" i="14"/>
  <c r="R30" i="14"/>
  <c r="R29" i="14"/>
  <c r="R28" i="14"/>
  <c r="R27" i="14"/>
  <c r="R26" i="14"/>
  <c r="R25" i="14"/>
  <c r="R24" i="14"/>
  <c r="R23" i="14"/>
  <c r="R22" i="14"/>
  <c r="R21" i="14"/>
  <c r="R20" i="14"/>
  <c r="R19" i="14"/>
  <c r="R18" i="14"/>
  <c r="R17" i="14"/>
  <c r="R16" i="14"/>
  <c r="R15" i="14"/>
  <c r="R14" i="14"/>
  <c r="R13" i="14"/>
  <c r="R12" i="14"/>
  <c r="R11" i="14"/>
  <c r="R10" i="14"/>
  <c r="R9" i="14"/>
  <c r="R8" i="14"/>
  <c r="R7" i="14"/>
  <c r="N37" i="14"/>
  <c r="N38" i="14" s="1"/>
  <c r="L37" i="14"/>
  <c r="L38" i="14" s="1"/>
  <c r="N36" i="14"/>
  <c r="L36" i="14"/>
  <c r="N35" i="14"/>
  <c r="L35" i="14"/>
  <c r="N34" i="14"/>
  <c r="L34" i="14"/>
  <c r="N33" i="14"/>
  <c r="L33" i="14"/>
  <c r="N32" i="14"/>
  <c r="L32" i="14"/>
  <c r="N31" i="14"/>
  <c r="L31" i="14"/>
  <c r="N30" i="14"/>
  <c r="L30" i="14"/>
  <c r="N29" i="14"/>
  <c r="L29" i="14"/>
  <c r="N28" i="14"/>
  <c r="L28" i="14"/>
  <c r="N27" i="14"/>
  <c r="L27" i="14"/>
  <c r="N26" i="14"/>
  <c r="L26" i="14"/>
  <c r="N25" i="14"/>
  <c r="L25" i="14"/>
  <c r="L24" i="14"/>
  <c r="N23" i="14"/>
  <c r="L23" i="14"/>
  <c r="N22" i="14"/>
  <c r="L22" i="14"/>
  <c r="N21" i="14"/>
  <c r="L21" i="14"/>
  <c r="N20" i="14"/>
  <c r="L20" i="14"/>
  <c r="N19" i="14"/>
  <c r="L19" i="14"/>
  <c r="N18" i="14"/>
  <c r="L18" i="14"/>
  <c r="N17" i="14"/>
  <c r="L17" i="14"/>
  <c r="N16" i="14"/>
  <c r="L16" i="14"/>
  <c r="N15" i="14"/>
  <c r="L15" i="14"/>
  <c r="N14" i="14"/>
  <c r="L14" i="14"/>
  <c r="N13" i="14"/>
  <c r="L13" i="14"/>
  <c r="N12" i="14"/>
  <c r="L12" i="14"/>
  <c r="N11" i="14"/>
  <c r="L11" i="14"/>
  <c r="N10" i="14"/>
  <c r="L10" i="14"/>
  <c r="N9" i="14"/>
  <c r="L9" i="14"/>
  <c r="N8" i="14"/>
  <c r="L8" i="14"/>
  <c r="N7" i="14"/>
  <c r="L7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4" i="14"/>
  <c r="J13" i="14"/>
  <c r="J12" i="14"/>
  <c r="J11" i="14"/>
  <c r="J10" i="14"/>
  <c r="J9" i="14"/>
  <c r="J8" i="14"/>
  <c r="J7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D13" i="14" l="1"/>
  <c r="P37" i="14" l="1"/>
  <c r="P38" i="14" s="1"/>
  <c r="F37" i="14"/>
  <c r="D37" i="14"/>
  <c r="P36" i="14"/>
  <c r="F36" i="14"/>
  <c r="D36" i="14"/>
  <c r="P35" i="14"/>
  <c r="F35" i="14"/>
  <c r="D35" i="14"/>
  <c r="P34" i="14"/>
  <c r="F34" i="14"/>
  <c r="D34" i="14"/>
  <c r="P33" i="14"/>
  <c r="F33" i="14"/>
  <c r="D33" i="14"/>
  <c r="P32" i="14"/>
  <c r="F32" i="14"/>
  <c r="D32" i="14"/>
  <c r="P31" i="14"/>
  <c r="F31" i="14"/>
  <c r="D31" i="14"/>
  <c r="P30" i="14"/>
  <c r="F30" i="14"/>
  <c r="D30" i="14"/>
  <c r="P29" i="14"/>
  <c r="F29" i="14"/>
  <c r="D29" i="14"/>
  <c r="P28" i="14"/>
  <c r="F28" i="14"/>
  <c r="D28" i="14"/>
  <c r="P27" i="14"/>
  <c r="F27" i="14"/>
  <c r="D27" i="14"/>
  <c r="P26" i="14"/>
  <c r="F26" i="14"/>
  <c r="D26" i="14"/>
  <c r="P25" i="14"/>
  <c r="F25" i="14"/>
  <c r="D25" i="14"/>
  <c r="P24" i="14"/>
  <c r="F24" i="14"/>
  <c r="D24" i="14"/>
  <c r="P23" i="14"/>
  <c r="F23" i="14"/>
  <c r="D23" i="14"/>
  <c r="P22" i="14"/>
  <c r="F22" i="14"/>
  <c r="D22" i="14"/>
  <c r="P21" i="14"/>
  <c r="F21" i="14"/>
  <c r="D21" i="14"/>
  <c r="P20" i="14"/>
  <c r="F20" i="14"/>
  <c r="D20" i="14"/>
  <c r="P19" i="14"/>
  <c r="F19" i="14"/>
  <c r="D19" i="14"/>
  <c r="P18" i="14"/>
  <c r="F18" i="14"/>
  <c r="D18" i="14"/>
  <c r="P17" i="14"/>
  <c r="F17" i="14"/>
  <c r="D17" i="14"/>
  <c r="P16" i="14"/>
  <c r="F16" i="14"/>
  <c r="D16" i="14"/>
  <c r="P15" i="14"/>
  <c r="F15" i="14"/>
  <c r="D15" i="14"/>
  <c r="P14" i="14"/>
  <c r="F14" i="14"/>
  <c r="D14" i="14"/>
  <c r="P13" i="14"/>
  <c r="F13" i="14"/>
  <c r="P12" i="14"/>
  <c r="F12" i="14"/>
  <c r="D12" i="14"/>
  <c r="P11" i="14"/>
  <c r="F11" i="14"/>
  <c r="D11" i="14"/>
  <c r="P10" i="14"/>
  <c r="F10" i="14"/>
  <c r="D10" i="14"/>
  <c r="P9" i="14"/>
  <c r="F9" i="14"/>
  <c r="D9" i="14"/>
  <c r="P8" i="14"/>
  <c r="F8" i="14"/>
  <c r="D8" i="14"/>
  <c r="P7" i="14"/>
  <c r="F7" i="14"/>
  <c r="D7" i="14"/>
</calcChain>
</file>

<file path=xl/sharedStrings.xml><?xml version="1.0" encoding="utf-8"?>
<sst xmlns="http://schemas.openxmlformats.org/spreadsheetml/2006/main" count="93" uniqueCount="40">
  <si>
    <t>DATE</t>
  </si>
  <si>
    <t>TYPE</t>
  </si>
  <si>
    <t>KWH</t>
  </si>
  <si>
    <t>Electricity (kWH)</t>
  </si>
  <si>
    <t>Meter</t>
  </si>
  <si>
    <t>Time</t>
  </si>
  <si>
    <t xml:space="preserve">Remarks </t>
  </si>
  <si>
    <t xml:space="preserve">Daily Consumptions </t>
  </si>
  <si>
    <t>CuM</t>
  </si>
  <si>
    <t xml:space="preserve">BAN- Bateen Liwa Utility Readings </t>
  </si>
  <si>
    <t>AC No 15T20D000097</t>
  </si>
  <si>
    <t>AC N0 15T20D000022</t>
  </si>
  <si>
    <t xml:space="preserve">BAN- Bateen Liwa Block 01 </t>
  </si>
  <si>
    <t>BAN- Bateen Liwa Block 02</t>
  </si>
  <si>
    <t>BAN- Bateen Liwa Block 03</t>
  </si>
  <si>
    <t>BAN- Bateen Liwa Block 04</t>
  </si>
  <si>
    <t>BAN- Bateen Liwa Arrival Building</t>
  </si>
  <si>
    <t>BAN- Bateen Liwa Main Building</t>
  </si>
  <si>
    <t>AC No 15T20D000062</t>
  </si>
  <si>
    <t>AC No 15T20D000064</t>
  </si>
  <si>
    <t>AC No 15T20D000174</t>
  </si>
  <si>
    <t>AC N0 15T20D000177</t>
  </si>
  <si>
    <t>BAN- Bateen Arrival Readings -Irrigation Water 01. 80W KF-24532212</t>
  </si>
  <si>
    <t>BAN- Bateen Arrival Readings -Irrigation Water 02. 50W KF-23510667</t>
  </si>
  <si>
    <t>BAN- Bateen Liwa Arrival Readings - Sweet Water.                   100W KF-24542604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</si>
  <si>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</si>
  <si>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</si>
  <si>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</si>
  <si>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</si>
  <si>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</si>
  <si>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</si>
  <si>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</si>
  <si>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</si>
  <si>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Room Nights </t>
  </si>
  <si>
    <t xml:space="preserve">Total Guests </t>
  </si>
  <si>
    <t>Bateen Liwa</t>
  </si>
  <si>
    <t>Water Utility Supply (USG) USG</t>
  </si>
  <si>
    <t>Water Utility Supply (USG) $/USG</t>
  </si>
  <si>
    <t>Irrigation Water (USG) USG</t>
  </si>
  <si>
    <t>Irrigation water  $/USG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</si>
</sst>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4" fillId="0" borderId="4" xfId="1" applyNumberFormat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12" fillId="0" borderId="0" xfId="1" applyNumberFormat="1" applyAlignment="1">
      <alignment horizontal="center"/>
    </xf>
    <xf numFmtId="2" fontId="13" fillId="0" borderId="0" xfId="1" applyNumberFormat="1" applyFont="1" applyAlignment="1">
      <alignment horizontal="center"/>
    </xf>
    <xf numFmtId="0" fontId="12" fillId="0" borderId="0" xfId="1" applyAlignment="1">
      <alignment horizontal="center"/>
    </xf>
    <xf numFmtId="0" fontId="13" fillId="0" borderId="0" xfId="1" applyFont="1" applyAlignment="1">
      <alignment horizontal="center"/>
    </xf>
    <xf numFmtId="0" fontId="1" fillId="0" borderId="0" xfId="1" applyFont="1"/>
    <xf numFmtId="0" fontId="12" fillId="0" borderId="0" xfId="1"/>
    <xf numFmtId="0" fontId="6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71D4A9FB-96CC-4ACF-A867-2973552E91BF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[$-409]d\-mmm\-yyyy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July25'!$D$6:$D$35</c:f>
              <c:numCache>
                <c:formatCode>General</c:formatCode>
                <c:ptCount val="30"/>
                <c:pt idx="0">
                  <c:v>0</c:v>
                </c:pt>
                <c:pt idx="1">
                  <c:v>2227</c:v>
                </c:pt>
                <c:pt idx="2">
                  <c:v>2186</c:v>
                </c:pt>
                <c:pt idx="3">
                  <c:v>2247</c:v>
                </c:pt>
                <c:pt idx="4">
                  <c:v>2309</c:v>
                </c:pt>
                <c:pt idx="5">
                  <c:v>2162</c:v>
                </c:pt>
                <c:pt idx="6">
                  <c:v>2087</c:v>
                </c:pt>
                <c:pt idx="7">
                  <c:v>2066</c:v>
                </c:pt>
                <c:pt idx="8">
                  <c:v>2088</c:v>
                </c:pt>
                <c:pt idx="9">
                  <c:v>2054</c:v>
                </c:pt>
                <c:pt idx="10">
                  <c:v>2120</c:v>
                </c:pt>
                <c:pt idx="11">
                  <c:v>2006</c:v>
                </c:pt>
                <c:pt idx="12">
                  <c:v>1913</c:v>
                </c:pt>
                <c:pt idx="13">
                  <c:v>1899</c:v>
                </c:pt>
                <c:pt idx="14">
                  <c:v>1934</c:v>
                </c:pt>
                <c:pt idx="15">
                  <c:v>1973</c:v>
                </c:pt>
                <c:pt idx="16">
                  <c:v>2124</c:v>
                </c:pt>
                <c:pt idx="17">
                  <c:v>2137</c:v>
                </c:pt>
                <c:pt idx="18">
                  <c:v>2190</c:v>
                </c:pt>
                <c:pt idx="19">
                  <c:v>2063</c:v>
                </c:pt>
                <c:pt idx="20">
                  <c:v>1992</c:v>
                </c:pt>
                <c:pt idx="21">
                  <c:v>1970</c:v>
                </c:pt>
                <c:pt idx="22">
                  <c:v>1705</c:v>
                </c:pt>
                <c:pt idx="23">
                  <c:v>1687</c:v>
                </c:pt>
                <c:pt idx="24">
                  <c:v>1092</c:v>
                </c:pt>
                <c:pt idx="25">
                  <c:v>989</c:v>
                </c:pt>
                <c:pt idx="26">
                  <c:v>1619</c:v>
                </c:pt>
                <c:pt idx="27">
                  <c:v>1680</c:v>
                </c:pt>
                <c:pt idx="28">
                  <c:v>1629</c:v>
                </c:pt>
                <c:pt idx="29">
                  <c:v>-1365877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July25'!$P$6:$P$35</c:f>
              <c:numCache>
                <c:formatCode>General</c:formatCode>
                <c:ptCount val="30"/>
                <c:pt idx="0">
                  <c:v>0</c:v>
                </c:pt>
                <c:pt idx="1">
                  <c:v>211</c:v>
                </c:pt>
                <c:pt idx="2">
                  <c:v>101</c:v>
                </c:pt>
                <c:pt idx="3">
                  <c:v>85</c:v>
                </c:pt>
                <c:pt idx="4">
                  <c:v>58</c:v>
                </c:pt>
                <c:pt idx="5">
                  <c:v>107</c:v>
                </c:pt>
                <c:pt idx="6">
                  <c:v>112</c:v>
                </c:pt>
                <c:pt idx="7">
                  <c:v>103</c:v>
                </c:pt>
                <c:pt idx="8">
                  <c:v>97</c:v>
                </c:pt>
                <c:pt idx="9">
                  <c:v>106</c:v>
                </c:pt>
                <c:pt idx="10">
                  <c:v>89</c:v>
                </c:pt>
                <c:pt idx="11">
                  <c:v>73</c:v>
                </c:pt>
                <c:pt idx="12">
                  <c:v>95</c:v>
                </c:pt>
                <c:pt idx="13">
                  <c:v>102</c:v>
                </c:pt>
                <c:pt idx="14">
                  <c:v>96</c:v>
                </c:pt>
                <c:pt idx="15">
                  <c:v>103</c:v>
                </c:pt>
                <c:pt idx="16">
                  <c:v>105</c:v>
                </c:pt>
                <c:pt idx="17">
                  <c:v>75</c:v>
                </c:pt>
                <c:pt idx="18">
                  <c:v>100</c:v>
                </c:pt>
                <c:pt idx="19">
                  <c:v>110</c:v>
                </c:pt>
                <c:pt idx="20">
                  <c:v>111</c:v>
                </c:pt>
                <c:pt idx="21">
                  <c:v>120</c:v>
                </c:pt>
                <c:pt idx="22">
                  <c:v>117</c:v>
                </c:pt>
                <c:pt idx="23">
                  <c:v>114</c:v>
                </c:pt>
                <c:pt idx="24">
                  <c:v>98</c:v>
                </c:pt>
                <c:pt idx="25">
                  <c:v>114</c:v>
                </c:pt>
                <c:pt idx="26">
                  <c:v>119</c:v>
                </c:pt>
                <c:pt idx="27">
                  <c:v>116</c:v>
                </c:pt>
                <c:pt idx="28">
                  <c:v>143</c:v>
                </c:pt>
                <c:pt idx="29">
                  <c:v>120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550407</xdr:colOff>
      <xdr:row>5</xdr:row>
      <xdr:rowOff>149678</xdr:rowOff>
    </xdr:from>
    <xdr:to>
      <xdr:col>37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530998</xdr:colOff>
      <xdr:row>14</xdr:row>
      <xdr:rowOff>176891</xdr:rowOff>
    </xdr:from>
    <xdr:to>
      <xdr:col>37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550689</xdr:colOff>
      <xdr:row>23</xdr:row>
      <xdr:rowOff>248929</xdr:rowOff>
    </xdr:from>
    <xdr:to>
      <xdr:col>37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124240</xdr:rowOff>
    </xdr:from>
    <xdr:to>
      <xdr:col>20</xdr:col>
      <xdr:colOff>2470978</xdr:colOff>
      <xdr:row>0</xdr:row>
      <xdr:rowOff>1090544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B755A8-E038-4DE5-A51B-C4948559478F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8805" y="124240"/>
          <a:ext cx="2470978" cy="96630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7AF2-46CC-4711-AABD-FCF3E7855600}">
  <dimension ref="A1:Z33"/>
  <sheetViews>
    <sheetView tabSelected="1" workbookViewId="0">
      <selection activeCell="H10" sqref="H10"/>
    </sheetView>
  </sheetViews>
  <sheetFormatPr defaultColWidth="11.5546875" defaultRowHeight="14.4" x14ac:dyDescent="0.3"/>
  <cols>
    <col min="1" max="1" width="29.109375" style="33" bestFit="1" customWidth="1"/>
    <col min="2" max="3" width="11.5546875" style="28"/>
    <col min="4" max="4" width="13.44140625" style="28" customWidth="1"/>
    <col min="5" max="5" width="12.5546875" style="31" customWidth="1"/>
    <col min="6" max="6" width="12.5546875" style="30" customWidth="1"/>
    <col min="7" max="7" width="11.5546875" style="31"/>
    <col min="8" max="8" width="11.5546875" style="30"/>
    <col min="9" max="9" width="11.5546875" style="31"/>
    <col min="10" max="10" width="11.5546875" style="32"/>
    <col min="11" max="11" width="11.5546875" style="31"/>
    <col min="12" max="12" width="11.5546875" style="32"/>
    <col min="13" max="26" width="11.5546875" style="31"/>
    <col min="27" max="16384" width="11.5546875" style="34"/>
  </cols>
  <sheetData>
    <row r="1" spans="1:14" s="26" customFormat="1" ht="43.2" x14ac:dyDescent="0.3">
      <c r="A1" s="22" t="s">
        <v>25</v>
      </c>
      <c r="B1" s="22" t="s">
        <v>26</v>
      </c>
      <c r="C1" s="22" t="s">
        <v>27</v>
      </c>
      <c r="D1" s="22" t="s">
        <v>28</v>
      </c>
      <c r="E1" s="23" t="s">
        <v>29</v>
      </c>
      <c r="F1" s="24" t="s">
        <v>30</v>
      </c>
      <c r="G1" s="23" t="s">
        <v>31</v>
      </c>
      <c r="H1" s="24" t="s">
        <v>32</v>
      </c>
      <c r="I1" s="23" t="s">
        <v>36</v>
      </c>
      <c r="J1" s="25" t="s">
        <v>37</v>
      </c>
      <c r="K1" s="23" t="s">
        <v>38</v>
      </c>
      <c r="L1" s="25" t="s">
        <v>39</v>
      </c>
      <c r="M1" s="23" t="s">
        <v>33</v>
      </c>
      <c r="N1" s="23" t="s">
        <v>34</v>
      </c>
    </row>
    <row r="2" spans="1:14" x14ac:dyDescent="0.3">
      <c r="A2" s="27" t="s">
        <v>35</v>
      </c>
      <c r="B2" s="28">
        <v>1</v>
      </c>
      <c r="C2" s="28">
        <v>8</v>
      </c>
      <c r="D2" s="28">
        <v>2025</v>
      </c>
      <c r="E2" s="29">
        <f>IF('BAN-M Electrical &amp; Water July25'!D7+'BAN-M Electrical &amp; Water July25'!F7+'BAN-M Electrical &amp; Water July25'!H7+'BAN-M Electrical &amp; Water July25'!J7+'BAN-M Electrical &amp; Water July25'!L7+'BAN-M Electrical &amp; Water July25'!N7&gt;0,'BAN-M Electrical &amp; Water July25'!D7+'BAN-M Electrical &amp; Water July25'!F7+'BAN-M Electrical &amp; Water July25'!H7+'BAN-M Electrical &amp; Water July25'!J7+'BAN-M Electrical &amp; Water July25'!L7+'BAN-M Electrical &amp; Water July25'!N7,0)</f>
        <v>17669</v>
      </c>
      <c r="F2" s="30">
        <v>0.2</v>
      </c>
      <c r="G2" s="29"/>
      <c r="H2" s="30">
        <v>5.42</v>
      </c>
      <c r="I2" s="29">
        <f>IF('BAN-M Electrical &amp; Water July25'!P7+'BAN-M Electrical &amp; Water July25'!R7+'BAN-M Electrical &amp; Water July25'!T7&gt;0,'BAN-M Electrical &amp; Water July25'!P7+'BAN-M Electrical &amp; Water July25'!R7+'BAN-M Electrical &amp; Water July25'!T7,0)</f>
        <v>538</v>
      </c>
      <c r="J2" s="30">
        <v>7.84</v>
      </c>
      <c r="K2" s="29"/>
      <c r="L2" s="30">
        <v>7.84</v>
      </c>
      <c r="M2" s="29"/>
      <c r="N2" s="29"/>
    </row>
    <row r="3" spans="1:14" x14ac:dyDescent="0.3">
      <c r="A3" s="27" t="s">
        <v>35</v>
      </c>
      <c r="B3" s="28">
        <f>B2+1</f>
        <v>2</v>
      </c>
      <c r="C3" s="28">
        <v>8</v>
      </c>
      <c r="D3" s="28">
        <v>2025</v>
      </c>
      <c r="E3" s="29">
        <f>IF('BAN-M Electrical &amp; Water July25'!D8+'BAN-M Electrical &amp; Water July25'!F8+'BAN-M Electrical &amp; Water July25'!H8+'BAN-M Electrical &amp; Water July25'!J8+'BAN-M Electrical &amp; Water July25'!L8+'BAN-M Electrical &amp; Water July25'!N8&gt;0,'BAN-M Electrical &amp; Water July25'!D8+'BAN-M Electrical &amp; Water July25'!F8+'BAN-M Electrical &amp; Water July25'!H8+'BAN-M Electrical &amp; Water July25'!J8+'BAN-M Electrical &amp; Water July25'!L8+'BAN-M Electrical &amp; Water July25'!N8,0)</f>
        <v>18385</v>
      </c>
      <c r="F3" s="30">
        <v>0.2</v>
      </c>
      <c r="G3" s="29"/>
      <c r="H3" s="30">
        <v>5.42</v>
      </c>
      <c r="I3" s="29">
        <f>IF('BAN-M Electrical &amp; Water July25'!P8+'BAN-M Electrical &amp; Water July25'!R8+'BAN-M Electrical &amp; Water July25'!T8&gt;0,'BAN-M Electrical &amp; Water July25'!P8+'BAN-M Electrical &amp; Water July25'!R8+'BAN-M Electrical &amp; Water July25'!T8,0)</f>
        <v>306</v>
      </c>
      <c r="J3" s="30">
        <v>7.84</v>
      </c>
      <c r="K3" s="29"/>
      <c r="L3" s="30">
        <v>7.84</v>
      </c>
      <c r="M3" s="29"/>
      <c r="N3" s="29"/>
    </row>
    <row r="4" spans="1:14" x14ac:dyDescent="0.3">
      <c r="A4" s="27" t="s">
        <v>35</v>
      </c>
      <c r="B4" s="28">
        <f t="shared" ref="B4:B32" si="0">B3+1</f>
        <v>3</v>
      </c>
      <c r="C4" s="28">
        <v>8</v>
      </c>
      <c r="D4" s="28">
        <v>2025</v>
      </c>
      <c r="E4" s="29">
        <f>IF('BAN-M Electrical &amp; Water July25'!D9+'BAN-M Electrical &amp; Water July25'!F9+'BAN-M Electrical &amp; Water July25'!H9+'BAN-M Electrical &amp; Water July25'!J9+'BAN-M Electrical &amp; Water July25'!L9+'BAN-M Electrical &amp; Water July25'!N9&gt;0,'BAN-M Electrical &amp; Water July25'!D9+'BAN-M Electrical &amp; Water July25'!F9+'BAN-M Electrical &amp; Water July25'!H9+'BAN-M Electrical &amp; Water July25'!J9+'BAN-M Electrical &amp; Water July25'!L9+'BAN-M Electrical &amp; Water July25'!N9,0)</f>
        <v>19159</v>
      </c>
      <c r="F4" s="30">
        <v>0.2</v>
      </c>
      <c r="G4" s="29"/>
      <c r="H4" s="30">
        <v>5.42</v>
      </c>
      <c r="I4" s="29">
        <f>IF('BAN-M Electrical &amp; Water July25'!P9+'BAN-M Electrical &amp; Water July25'!R9+'BAN-M Electrical &amp; Water July25'!T9&gt;0,'BAN-M Electrical &amp; Water July25'!P9+'BAN-M Electrical &amp; Water July25'!R9+'BAN-M Electrical &amp; Water July25'!T9,0)</f>
        <v>189</v>
      </c>
      <c r="J4" s="30">
        <v>7.84</v>
      </c>
      <c r="K4" s="29"/>
      <c r="L4" s="30">
        <v>7.84</v>
      </c>
      <c r="M4" s="29"/>
      <c r="N4" s="29"/>
    </row>
    <row r="5" spans="1:14" x14ac:dyDescent="0.3">
      <c r="A5" s="27" t="s">
        <v>35</v>
      </c>
      <c r="B5" s="28">
        <f t="shared" si="0"/>
        <v>4</v>
      </c>
      <c r="C5" s="28">
        <v>8</v>
      </c>
      <c r="D5" s="28">
        <v>2025</v>
      </c>
      <c r="E5" s="29">
        <f>IF('BAN-M Electrical &amp; Water July25'!D10+'BAN-M Electrical &amp; Water July25'!F10+'BAN-M Electrical &amp; Water July25'!H10+'BAN-M Electrical &amp; Water July25'!J10+'BAN-M Electrical &amp; Water July25'!L10+'BAN-M Electrical &amp; Water July25'!N10&gt;0,'BAN-M Electrical &amp; Water July25'!D10+'BAN-M Electrical &amp; Water July25'!F10+'BAN-M Electrical &amp; Water July25'!H10+'BAN-M Electrical &amp; Water July25'!J10+'BAN-M Electrical &amp; Water July25'!L10+'BAN-M Electrical &amp; Water July25'!N10,0)</f>
        <v>19009</v>
      </c>
      <c r="F5" s="30">
        <v>0.2</v>
      </c>
      <c r="G5" s="29"/>
      <c r="H5" s="30">
        <v>5.42</v>
      </c>
      <c r="I5" s="29">
        <f>IF('BAN-M Electrical &amp; Water July25'!P10+'BAN-M Electrical &amp; Water July25'!R10+'BAN-M Electrical &amp; Water July25'!T10&gt;0,'BAN-M Electrical &amp; Water July25'!P10+'BAN-M Electrical &amp; Water July25'!R10+'BAN-M Electrical &amp; Water July25'!T10,0)</f>
        <v>149</v>
      </c>
      <c r="J5" s="30">
        <v>7.84</v>
      </c>
      <c r="K5" s="29"/>
      <c r="L5" s="30">
        <v>7.84</v>
      </c>
      <c r="M5" s="29"/>
      <c r="N5" s="29"/>
    </row>
    <row r="6" spans="1:14" x14ac:dyDescent="0.3">
      <c r="A6" s="27" t="s">
        <v>35</v>
      </c>
      <c r="B6" s="28">
        <f t="shared" si="0"/>
        <v>5</v>
      </c>
      <c r="C6" s="28">
        <v>8</v>
      </c>
      <c r="D6" s="28">
        <v>2025</v>
      </c>
      <c r="E6" s="29">
        <f>IF('BAN-M Electrical &amp; Water July25'!D11+'BAN-M Electrical &amp; Water July25'!F11+'BAN-M Electrical &amp; Water July25'!H11+'BAN-M Electrical &amp; Water July25'!J11+'BAN-M Electrical &amp; Water July25'!L11+'BAN-M Electrical &amp; Water July25'!N11&gt;0,'BAN-M Electrical &amp; Water July25'!D11+'BAN-M Electrical &amp; Water July25'!F11+'BAN-M Electrical &amp; Water July25'!H11+'BAN-M Electrical &amp; Water July25'!J11+'BAN-M Electrical &amp; Water July25'!L11+'BAN-M Electrical &amp; Water July25'!N11,0)</f>
        <v>18855</v>
      </c>
      <c r="F6" s="30">
        <v>0.2</v>
      </c>
      <c r="G6" s="29"/>
      <c r="H6" s="30">
        <v>5.42</v>
      </c>
      <c r="I6" s="29">
        <f>IF('BAN-M Electrical &amp; Water July25'!P11+'BAN-M Electrical &amp; Water July25'!R11+'BAN-M Electrical &amp; Water July25'!T11&gt;0,'BAN-M Electrical &amp; Water July25'!P11+'BAN-M Electrical &amp; Water July25'!R11+'BAN-M Electrical &amp; Water July25'!T11,0)</f>
        <v>200</v>
      </c>
      <c r="J6" s="30">
        <v>7.84</v>
      </c>
      <c r="K6" s="29"/>
      <c r="L6" s="30">
        <v>7.84</v>
      </c>
      <c r="M6" s="29"/>
      <c r="N6" s="29"/>
    </row>
    <row r="7" spans="1:14" x14ac:dyDescent="0.3">
      <c r="A7" s="27" t="s">
        <v>35</v>
      </c>
      <c r="B7" s="28">
        <f t="shared" si="0"/>
        <v>6</v>
      </c>
      <c r="C7" s="28">
        <v>8</v>
      </c>
      <c r="D7" s="28">
        <v>2025</v>
      </c>
      <c r="E7" s="29">
        <f>IF('BAN-M Electrical &amp; Water July25'!D12+'BAN-M Electrical &amp; Water July25'!F12+'BAN-M Electrical &amp; Water July25'!H12+'BAN-M Electrical &amp; Water July25'!J12+'BAN-M Electrical &amp; Water July25'!L12+'BAN-M Electrical &amp; Water July25'!N12&gt;0,'BAN-M Electrical &amp; Water July25'!D12+'BAN-M Electrical &amp; Water July25'!F12+'BAN-M Electrical &amp; Water July25'!H12+'BAN-M Electrical &amp; Water July25'!J12+'BAN-M Electrical &amp; Water July25'!L12+'BAN-M Electrical &amp; Water July25'!N12,0)</f>
        <v>17924</v>
      </c>
      <c r="F7" s="30">
        <v>0.2</v>
      </c>
      <c r="G7" s="29"/>
      <c r="H7" s="30">
        <v>5.42</v>
      </c>
      <c r="I7" s="29">
        <f>IF('BAN-M Electrical &amp; Water July25'!P12+'BAN-M Electrical &amp; Water July25'!R12+'BAN-M Electrical &amp; Water July25'!T12&gt;0,'BAN-M Electrical &amp; Water July25'!P12+'BAN-M Electrical &amp; Water July25'!R12+'BAN-M Electrical &amp; Water July25'!T12,0)</f>
        <v>213</v>
      </c>
      <c r="J7" s="30">
        <v>7.84</v>
      </c>
      <c r="K7" s="29"/>
      <c r="L7" s="30">
        <v>7.84</v>
      </c>
      <c r="M7" s="29"/>
      <c r="N7" s="29"/>
    </row>
    <row r="8" spans="1:14" x14ac:dyDescent="0.3">
      <c r="A8" s="27" t="s">
        <v>35</v>
      </c>
      <c r="B8" s="28">
        <f t="shared" si="0"/>
        <v>7</v>
      </c>
      <c r="C8" s="28">
        <v>8</v>
      </c>
      <c r="D8" s="28">
        <v>2025</v>
      </c>
      <c r="E8" s="29">
        <f>IF('BAN-M Electrical &amp; Water July25'!D13+'BAN-M Electrical &amp; Water July25'!F13+'BAN-M Electrical &amp; Water July25'!H13+'BAN-M Electrical &amp; Water July25'!J13+'BAN-M Electrical &amp; Water July25'!L13+'BAN-M Electrical &amp; Water July25'!N13&gt;0,'BAN-M Electrical &amp; Water July25'!D13+'BAN-M Electrical &amp; Water July25'!F13+'BAN-M Electrical &amp; Water July25'!H13+'BAN-M Electrical &amp; Water July25'!J13+'BAN-M Electrical &amp; Water July25'!L13+'BAN-M Electrical &amp; Water July25'!N13,0)</f>
        <v>17999</v>
      </c>
      <c r="F8" s="30">
        <v>0.2</v>
      </c>
      <c r="G8" s="29"/>
      <c r="H8" s="30">
        <v>5.42</v>
      </c>
      <c r="I8" s="29">
        <f>IF('BAN-M Electrical &amp; Water July25'!P13+'BAN-M Electrical &amp; Water July25'!R13+'BAN-M Electrical &amp; Water July25'!T13&gt;0,'BAN-M Electrical &amp; Water July25'!P13+'BAN-M Electrical &amp; Water July25'!R13+'BAN-M Electrical &amp; Water July25'!T13,0)</f>
        <v>187</v>
      </c>
      <c r="J8" s="30">
        <v>7.84</v>
      </c>
      <c r="K8" s="29"/>
      <c r="L8" s="30">
        <v>7.84</v>
      </c>
      <c r="M8" s="29"/>
      <c r="N8" s="29"/>
    </row>
    <row r="9" spans="1:14" x14ac:dyDescent="0.3">
      <c r="A9" s="27" t="s">
        <v>35</v>
      </c>
      <c r="B9" s="28">
        <f t="shared" si="0"/>
        <v>8</v>
      </c>
      <c r="C9" s="28">
        <v>8</v>
      </c>
      <c r="D9" s="28">
        <v>2025</v>
      </c>
      <c r="E9" s="29">
        <f>IF('BAN-M Electrical &amp; Water July25'!D14+'BAN-M Electrical &amp; Water July25'!F14+'BAN-M Electrical &amp; Water July25'!H14+'BAN-M Electrical &amp; Water July25'!J14+'BAN-M Electrical &amp; Water July25'!L14+'BAN-M Electrical &amp; Water July25'!N14&gt;0,'BAN-M Electrical &amp; Water July25'!D14+'BAN-M Electrical &amp; Water July25'!F14+'BAN-M Electrical &amp; Water July25'!H14+'BAN-M Electrical &amp; Water July25'!J14+'BAN-M Electrical &amp; Water July25'!L14+'BAN-M Electrical &amp; Water July25'!N14,0)</f>
        <v>17898</v>
      </c>
      <c r="F9" s="30">
        <v>0.2</v>
      </c>
      <c r="G9" s="29"/>
      <c r="H9" s="30">
        <v>5.42</v>
      </c>
      <c r="I9" s="29">
        <f>IF('BAN-M Electrical &amp; Water July25'!P14+'BAN-M Electrical &amp; Water July25'!R14+'BAN-M Electrical &amp; Water July25'!T14&gt;0,'BAN-M Electrical &amp; Water July25'!P14+'BAN-M Electrical &amp; Water July25'!R14+'BAN-M Electrical &amp; Water July25'!T14,0)</f>
        <v>199</v>
      </c>
      <c r="J9" s="30">
        <v>7.84</v>
      </c>
      <c r="K9" s="29"/>
      <c r="L9" s="30">
        <v>7.84</v>
      </c>
      <c r="M9" s="29"/>
      <c r="N9" s="29"/>
    </row>
    <row r="10" spans="1:14" x14ac:dyDescent="0.3">
      <c r="A10" s="27" t="s">
        <v>35</v>
      </c>
      <c r="B10" s="28">
        <f t="shared" si="0"/>
        <v>9</v>
      </c>
      <c r="C10" s="28">
        <v>8</v>
      </c>
      <c r="D10" s="28">
        <v>2025</v>
      </c>
      <c r="E10" s="29">
        <f>IF('BAN-M Electrical &amp; Water July25'!D15+'BAN-M Electrical &amp; Water July25'!F15+'BAN-M Electrical &amp; Water July25'!H15+'BAN-M Electrical &amp; Water July25'!J15+'BAN-M Electrical &amp; Water July25'!L15+'BAN-M Electrical &amp; Water July25'!N15&gt;0,'BAN-M Electrical &amp; Water July25'!D15+'BAN-M Electrical &amp; Water July25'!F15+'BAN-M Electrical &amp; Water July25'!H15+'BAN-M Electrical &amp; Water July25'!J15+'BAN-M Electrical &amp; Water July25'!L15+'BAN-M Electrical &amp; Water July25'!N15,0)</f>
        <v>18292</v>
      </c>
      <c r="F10" s="30">
        <v>0.2</v>
      </c>
      <c r="G10" s="29"/>
      <c r="H10" s="30">
        <v>5.42</v>
      </c>
      <c r="I10" s="29">
        <f>IF('BAN-M Electrical &amp; Water July25'!P15+'BAN-M Electrical &amp; Water July25'!R15+'BAN-M Electrical &amp; Water July25'!T15&gt;0,'BAN-M Electrical &amp; Water July25'!P15+'BAN-M Electrical &amp; Water July25'!R15+'BAN-M Electrical &amp; Water July25'!T15,0)</f>
        <v>186</v>
      </c>
      <c r="J10" s="30">
        <v>7.84</v>
      </c>
      <c r="K10" s="29"/>
      <c r="L10" s="30">
        <v>7.84</v>
      </c>
      <c r="M10" s="29"/>
      <c r="N10" s="29"/>
    </row>
    <row r="11" spans="1:14" x14ac:dyDescent="0.3">
      <c r="A11" s="27" t="s">
        <v>35</v>
      </c>
      <c r="B11" s="28">
        <f t="shared" si="0"/>
        <v>10</v>
      </c>
      <c r="C11" s="28">
        <v>8</v>
      </c>
      <c r="D11" s="28">
        <v>2025</v>
      </c>
      <c r="E11" s="29">
        <f>IF('BAN-M Electrical &amp; Water July25'!D16+'BAN-M Electrical &amp; Water July25'!F16+'BAN-M Electrical &amp; Water July25'!H16+'BAN-M Electrical &amp; Water July25'!J16+'BAN-M Electrical &amp; Water July25'!L16+'BAN-M Electrical &amp; Water July25'!N16&gt;0,'BAN-M Electrical &amp; Water July25'!D16+'BAN-M Electrical &amp; Water July25'!F16+'BAN-M Electrical &amp; Water July25'!H16+'BAN-M Electrical &amp; Water July25'!J16+'BAN-M Electrical &amp; Water July25'!L16+'BAN-M Electrical &amp; Water July25'!N16,0)</f>
        <v>18602</v>
      </c>
      <c r="F11" s="30">
        <v>0.2</v>
      </c>
      <c r="G11" s="29"/>
      <c r="H11" s="30">
        <v>5.42</v>
      </c>
      <c r="I11" s="29">
        <f>IF('BAN-M Electrical &amp; Water July25'!P16+'BAN-M Electrical &amp; Water July25'!R16+'BAN-M Electrical &amp; Water July25'!T16&gt;0,'BAN-M Electrical &amp; Water July25'!P16+'BAN-M Electrical &amp; Water July25'!R16+'BAN-M Electrical &amp; Water July25'!T16,0)</f>
        <v>234</v>
      </c>
      <c r="J11" s="30">
        <v>7.84</v>
      </c>
      <c r="K11" s="29"/>
      <c r="L11" s="30">
        <v>7.84</v>
      </c>
      <c r="M11" s="29"/>
      <c r="N11" s="29"/>
    </row>
    <row r="12" spans="1:14" x14ac:dyDescent="0.3">
      <c r="A12" s="27" t="s">
        <v>35</v>
      </c>
      <c r="B12" s="28">
        <f t="shared" si="0"/>
        <v>11</v>
      </c>
      <c r="C12" s="28">
        <v>8</v>
      </c>
      <c r="D12" s="28">
        <v>2025</v>
      </c>
      <c r="E12" s="29">
        <f>IF('BAN-M Electrical &amp; Water July25'!D17+'BAN-M Electrical &amp; Water July25'!F17+'BAN-M Electrical &amp; Water July25'!H17+'BAN-M Electrical &amp; Water July25'!J17+'BAN-M Electrical &amp; Water July25'!L17+'BAN-M Electrical &amp; Water July25'!N17&gt;0,'BAN-M Electrical &amp; Water July25'!D17+'BAN-M Electrical &amp; Water July25'!F17+'BAN-M Electrical &amp; Water July25'!H17+'BAN-M Electrical &amp; Water July25'!J17+'BAN-M Electrical &amp; Water July25'!L17+'BAN-M Electrical &amp; Water July25'!N17,0)</f>
        <v>17719</v>
      </c>
      <c r="F12" s="30">
        <v>0.2</v>
      </c>
      <c r="G12" s="29"/>
      <c r="H12" s="30">
        <v>5.42</v>
      </c>
      <c r="I12" s="29">
        <f>IF('BAN-M Electrical &amp; Water July25'!P17+'BAN-M Electrical &amp; Water July25'!R17+'BAN-M Electrical &amp; Water July25'!T17&gt;0,'BAN-M Electrical &amp; Water July25'!P17+'BAN-M Electrical &amp; Water July25'!R17+'BAN-M Electrical &amp; Water July25'!T17,0)</f>
        <v>160</v>
      </c>
      <c r="J12" s="30">
        <v>7.84</v>
      </c>
      <c r="K12" s="29"/>
      <c r="L12" s="30">
        <v>7.84</v>
      </c>
      <c r="M12" s="29"/>
      <c r="N12" s="29"/>
    </row>
    <row r="13" spans="1:14" x14ac:dyDescent="0.3">
      <c r="A13" s="27" t="s">
        <v>35</v>
      </c>
      <c r="B13" s="28">
        <f t="shared" si="0"/>
        <v>12</v>
      </c>
      <c r="C13" s="28">
        <v>8</v>
      </c>
      <c r="D13" s="28">
        <v>2025</v>
      </c>
      <c r="E13" s="29">
        <f>IF('BAN-M Electrical &amp; Water July25'!D18+'BAN-M Electrical &amp; Water July25'!F18+'BAN-M Electrical &amp; Water July25'!H18+'BAN-M Electrical &amp; Water July25'!J18+'BAN-M Electrical &amp; Water July25'!L18+'BAN-M Electrical &amp; Water July25'!N18&gt;0,'BAN-M Electrical &amp; Water July25'!D18+'BAN-M Electrical &amp; Water July25'!F18+'BAN-M Electrical &amp; Water July25'!H18+'BAN-M Electrical &amp; Water July25'!J18+'BAN-M Electrical &amp; Water July25'!L18+'BAN-M Electrical &amp; Water July25'!N18,0)</f>
        <v>17062</v>
      </c>
      <c r="F13" s="30">
        <v>0.2</v>
      </c>
      <c r="G13" s="29"/>
      <c r="H13" s="30">
        <v>5.42</v>
      </c>
      <c r="I13" s="29">
        <f>IF('BAN-M Electrical &amp; Water July25'!P18+'BAN-M Electrical &amp; Water July25'!R18+'BAN-M Electrical &amp; Water July25'!T18&gt;0,'BAN-M Electrical &amp; Water July25'!P18+'BAN-M Electrical &amp; Water July25'!R18+'BAN-M Electrical &amp; Water July25'!T18,0)</f>
        <v>205</v>
      </c>
      <c r="J13" s="30">
        <v>7.84</v>
      </c>
      <c r="K13" s="29"/>
      <c r="L13" s="30">
        <v>7.84</v>
      </c>
      <c r="M13" s="29"/>
      <c r="N13" s="29"/>
    </row>
    <row r="14" spans="1:14" x14ac:dyDescent="0.3">
      <c r="A14" s="27" t="s">
        <v>35</v>
      </c>
      <c r="B14" s="28">
        <f t="shared" si="0"/>
        <v>13</v>
      </c>
      <c r="C14" s="28">
        <v>8</v>
      </c>
      <c r="D14" s="28">
        <v>2025</v>
      </c>
      <c r="E14" s="29">
        <f>IF('BAN-M Electrical &amp; Water July25'!D19+'BAN-M Electrical &amp; Water July25'!F19+'BAN-M Electrical &amp; Water July25'!H19+'BAN-M Electrical &amp; Water July25'!J19+'BAN-M Electrical &amp; Water July25'!L19+'BAN-M Electrical &amp; Water July25'!N19&gt;0,'BAN-M Electrical &amp; Water July25'!D19+'BAN-M Electrical &amp; Water July25'!F19+'BAN-M Electrical &amp; Water July25'!H19+'BAN-M Electrical &amp; Water July25'!J19+'BAN-M Electrical &amp; Water July25'!L19+'BAN-M Electrical &amp; Water July25'!N19,0)</f>
        <v>17161</v>
      </c>
      <c r="F14" s="30">
        <v>0.2</v>
      </c>
      <c r="G14" s="29"/>
      <c r="H14" s="30">
        <v>5.42</v>
      </c>
      <c r="I14" s="29">
        <f>IF('BAN-M Electrical &amp; Water July25'!P19+'BAN-M Electrical &amp; Water July25'!R19+'BAN-M Electrical &amp; Water July25'!T19&gt;0,'BAN-M Electrical &amp; Water July25'!P19+'BAN-M Electrical &amp; Water July25'!R19+'BAN-M Electrical &amp; Water July25'!T19,0)</f>
        <v>207</v>
      </c>
      <c r="J14" s="30">
        <v>7.84</v>
      </c>
      <c r="K14" s="29"/>
      <c r="L14" s="30">
        <v>7.84</v>
      </c>
      <c r="M14" s="29"/>
      <c r="N14" s="29"/>
    </row>
    <row r="15" spans="1:14" x14ac:dyDescent="0.3">
      <c r="A15" s="27" t="s">
        <v>35</v>
      </c>
      <c r="B15" s="28">
        <f t="shared" si="0"/>
        <v>14</v>
      </c>
      <c r="C15" s="28">
        <v>8</v>
      </c>
      <c r="D15" s="28">
        <v>2025</v>
      </c>
      <c r="E15" s="29">
        <f>IF('BAN-M Electrical &amp; Water July25'!D20+'BAN-M Electrical &amp; Water July25'!F20+'BAN-M Electrical &amp; Water July25'!H20+'BAN-M Electrical &amp; Water July25'!J20+'BAN-M Electrical &amp; Water July25'!L20+'BAN-M Electrical &amp; Water July25'!N20&gt;0,'BAN-M Electrical &amp; Water July25'!D20+'BAN-M Electrical &amp; Water July25'!F20+'BAN-M Electrical &amp; Water July25'!H20+'BAN-M Electrical &amp; Water July25'!J20+'BAN-M Electrical &amp; Water July25'!L20+'BAN-M Electrical &amp; Water July25'!N20,0)</f>
        <v>17126</v>
      </c>
      <c r="F15" s="30">
        <v>0.2</v>
      </c>
      <c r="G15" s="29"/>
      <c r="H15" s="30">
        <v>5.42</v>
      </c>
      <c r="I15" s="29">
        <f>IF('BAN-M Electrical &amp; Water July25'!P20+'BAN-M Electrical &amp; Water July25'!R20+'BAN-M Electrical &amp; Water July25'!T20&gt;0,'BAN-M Electrical &amp; Water July25'!P20+'BAN-M Electrical &amp; Water July25'!R20+'BAN-M Electrical &amp; Water July25'!T20,0)</f>
        <v>198</v>
      </c>
      <c r="J15" s="30">
        <v>7.84</v>
      </c>
      <c r="K15" s="29"/>
      <c r="L15" s="30">
        <v>7.84</v>
      </c>
      <c r="M15" s="29"/>
      <c r="N15" s="29"/>
    </row>
    <row r="16" spans="1:14" x14ac:dyDescent="0.3">
      <c r="A16" s="27" t="s">
        <v>35</v>
      </c>
      <c r="B16" s="28">
        <f t="shared" si="0"/>
        <v>15</v>
      </c>
      <c r="C16" s="28">
        <v>8</v>
      </c>
      <c r="D16" s="28">
        <v>2025</v>
      </c>
      <c r="E16" s="29">
        <f>IF('BAN-M Electrical &amp; Water July25'!D21+'BAN-M Electrical &amp; Water July25'!F21+'BAN-M Electrical &amp; Water July25'!H21+'BAN-M Electrical &amp; Water July25'!J21+'BAN-M Electrical &amp; Water July25'!L21+'BAN-M Electrical &amp; Water July25'!N21&gt;0,'BAN-M Electrical &amp; Water July25'!D21+'BAN-M Electrical &amp; Water July25'!F21+'BAN-M Electrical &amp; Water July25'!H21+'BAN-M Electrical &amp; Water July25'!J21+'BAN-M Electrical &amp; Water July25'!L21+'BAN-M Electrical &amp; Water July25'!N21,0)</f>
        <v>17820</v>
      </c>
      <c r="F16" s="30">
        <v>0.2</v>
      </c>
      <c r="G16" s="29"/>
      <c r="H16" s="30">
        <v>5.42</v>
      </c>
      <c r="I16" s="29">
        <f>IF('BAN-M Electrical &amp; Water July25'!P21+'BAN-M Electrical &amp; Water July25'!R21+'BAN-M Electrical &amp; Water July25'!T21&gt;0,'BAN-M Electrical &amp; Water July25'!P21+'BAN-M Electrical &amp; Water July25'!R21+'BAN-M Electrical &amp; Water July25'!T21,0)</f>
        <v>217</v>
      </c>
      <c r="J16" s="30">
        <v>7.84</v>
      </c>
      <c r="K16" s="29"/>
      <c r="L16" s="30">
        <v>7.84</v>
      </c>
      <c r="M16" s="29"/>
      <c r="N16" s="29"/>
    </row>
    <row r="17" spans="1:14" x14ac:dyDescent="0.3">
      <c r="A17" s="27" t="s">
        <v>35</v>
      </c>
      <c r="B17" s="28">
        <f t="shared" si="0"/>
        <v>16</v>
      </c>
      <c r="C17" s="28">
        <v>8</v>
      </c>
      <c r="D17" s="28">
        <v>2025</v>
      </c>
      <c r="E17" s="29">
        <f>IF('BAN-M Electrical &amp; Water July25'!D22+'BAN-M Electrical &amp; Water July25'!F22+'BAN-M Electrical &amp; Water July25'!H22+'BAN-M Electrical &amp; Water July25'!J22+'BAN-M Electrical &amp; Water July25'!L22+'BAN-M Electrical &amp; Water July25'!N22&gt;0,'BAN-M Electrical &amp; Water July25'!D22+'BAN-M Electrical &amp; Water July25'!F22+'BAN-M Electrical &amp; Water July25'!H22+'BAN-M Electrical &amp; Water July25'!J22+'BAN-M Electrical &amp; Water July25'!L22+'BAN-M Electrical &amp; Water July25'!N22,0)</f>
        <v>18104</v>
      </c>
      <c r="F17" s="30">
        <v>0.2</v>
      </c>
      <c r="G17" s="29"/>
      <c r="H17" s="30">
        <v>5.42</v>
      </c>
      <c r="I17" s="29">
        <f>IF('BAN-M Electrical &amp; Water July25'!P22+'BAN-M Electrical &amp; Water July25'!R22+'BAN-M Electrical &amp; Water July25'!T22&gt;0,'BAN-M Electrical &amp; Water July25'!P22+'BAN-M Electrical &amp; Water July25'!R22+'BAN-M Electrical &amp; Water July25'!T22,0)</f>
        <v>173</v>
      </c>
      <c r="J17" s="30">
        <v>7.84</v>
      </c>
      <c r="K17" s="29"/>
      <c r="L17" s="30">
        <v>7.84</v>
      </c>
      <c r="M17" s="29"/>
      <c r="N17" s="29"/>
    </row>
    <row r="18" spans="1:14" x14ac:dyDescent="0.3">
      <c r="A18" s="27" t="s">
        <v>35</v>
      </c>
      <c r="B18" s="28">
        <f t="shared" si="0"/>
        <v>17</v>
      </c>
      <c r="C18" s="28">
        <v>8</v>
      </c>
      <c r="D18" s="28">
        <v>2025</v>
      </c>
      <c r="E18" s="29">
        <f>IF('BAN-M Electrical &amp; Water July25'!D23+'BAN-M Electrical &amp; Water July25'!F23+'BAN-M Electrical &amp; Water July25'!H23+'BAN-M Electrical &amp; Water July25'!J23+'BAN-M Electrical &amp; Water July25'!L23+'BAN-M Electrical &amp; Water July25'!N23&gt;0,'BAN-M Electrical &amp; Water July25'!D23+'BAN-M Electrical &amp; Water July25'!F23+'BAN-M Electrical &amp; Water July25'!H23+'BAN-M Electrical &amp; Water July25'!J23+'BAN-M Electrical &amp; Water July25'!L23+'BAN-M Electrical &amp; Water July25'!N23,0)</f>
        <v>17648</v>
      </c>
      <c r="F18" s="30">
        <v>0.2</v>
      </c>
      <c r="G18" s="29"/>
      <c r="H18" s="30">
        <v>5.42</v>
      </c>
      <c r="I18" s="29">
        <f>IF('BAN-M Electrical &amp; Water July25'!P23+'BAN-M Electrical &amp; Water July25'!R23+'BAN-M Electrical &amp; Water July25'!T23&gt;0,'BAN-M Electrical &amp; Water July25'!P23+'BAN-M Electrical &amp; Water July25'!R23+'BAN-M Electrical &amp; Water July25'!T23,0)</f>
        <v>216</v>
      </c>
      <c r="J18" s="30">
        <v>7.84</v>
      </c>
      <c r="K18" s="29"/>
      <c r="L18" s="30">
        <v>7.84</v>
      </c>
      <c r="M18" s="29"/>
      <c r="N18" s="29"/>
    </row>
    <row r="19" spans="1:14" x14ac:dyDescent="0.3">
      <c r="A19" s="27" t="s">
        <v>35</v>
      </c>
      <c r="B19" s="28">
        <f t="shared" si="0"/>
        <v>18</v>
      </c>
      <c r="C19" s="28">
        <v>8</v>
      </c>
      <c r="D19" s="28">
        <v>2025</v>
      </c>
      <c r="E19" s="29">
        <f>IF('BAN-M Electrical &amp; Water July25'!D24+'BAN-M Electrical &amp; Water July25'!F24+'BAN-M Electrical &amp; Water July25'!H24+'BAN-M Electrical &amp; Water July25'!J24+'BAN-M Electrical &amp; Water July25'!L24+'BAN-M Electrical &amp; Water July25'!N24&gt;0,'BAN-M Electrical &amp; Water July25'!D24+'BAN-M Electrical &amp; Water July25'!F24+'BAN-M Electrical &amp; Water July25'!H24+'BAN-M Electrical &amp; Water July25'!J24+'BAN-M Electrical &amp; Water July25'!L24+'BAN-M Electrical &amp; Water July25'!N24,0)</f>
        <v>18572</v>
      </c>
      <c r="F19" s="30">
        <v>0.2</v>
      </c>
      <c r="G19" s="29"/>
      <c r="H19" s="30">
        <v>5.42</v>
      </c>
      <c r="I19" s="29">
        <f>IF('BAN-M Electrical &amp; Water July25'!P24+'BAN-M Electrical &amp; Water July25'!R24+'BAN-M Electrical &amp; Water July25'!T24&gt;0,'BAN-M Electrical &amp; Water July25'!P24+'BAN-M Electrical &amp; Water July25'!R24+'BAN-M Electrical &amp; Water July25'!T24,0)</f>
        <v>214</v>
      </c>
      <c r="J19" s="30">
        <v>7.84</v>
      </c>
      <c r="K19" s="29"/>
      <c r="L19" s="30">
        <v>7.84</v>
      </c>
      <c r="M19" s="29"/>
      <c r="N19" s="29"/>
    </row>
    <row r="20" spans="1:14" x14ac:dyDescent="0.3">
      <c r="A20" s="27" t="s">
        <v>35</v>
      </c>
      <c r="B20" s="28">
        <f t="shared" si="0"/>
        <v>19</v>
      </c>
      <c r="C20" s="28">
        <v>8</v>
      </c>
      <c r="D20" s="28">
        <v>2025</v>
      </c>
      <c r="E20" s="29">
        <f>IF('BAN-M Electrical &amp; Water July25'!D25+'BAN-M Electrical &amp; Water July25'!F25+'BAN-M Electrical &amp; Water July25'!H25+'BAN-M Electrical &amp; Water July25'!J25+'BAN-M Electrical &amp; Water July25'!L25+'BAN-M Electrical &amp; Water July25'!N25&gt;0,'BAN-M Electrical &amp; Water July25'!D25+'BAN-M Electrical &amp; Water July25'!F25+'BAN-M Electrical &amp; Water July25'!H25+'BAN-M Electrical &amp; Water July25'!J25+'BAN-M Electrical &amp; Water July25'!L25+'BAN-M Electrical &amp; Water July25'!N25,0)</f>
        <v>18116</v>
      </c>
      <c r="F20" s="30">
        <v>0.2</v>
      </c>
      <c r="G20" s="29"/>
      <c r="H20" s="30">
        <v>5.42</v>
      </c>
      <c r="I20" s="29">
        <f>IF('BAN-M Electrical &amp; Water July25'!P25+'BAN-M Electrical &amp; Water July25'!R25+'BAN-M Electrical &amp; Water July25'!T25&gt;0,'BAN-M Electrical &amp; Water July25'!P25+'BAN-M Electrical &amp; Water July25'!R25+'BAN-M Electrical &amp; Water July25'!T25,0)</f>
        <v>236</v>
      </c>
      <c r="J20" s="30">
        <v>7.84</v>
      </c>
      <c r="K20" s="29"/>
      <c r="L20" s="30">
        <v>7.84</v>
      </c>
      <c r="M20" s="29"/>
      <c r="N20" s="29"/>
    </row>
    <row r="21" spans="1:14" x14ac:dyDescent="0.3">
      <c r="A21" s="27" t="s">
        <v>35</v>
      </c>
      <c r="B21" s="28">
        <f t="shared" si="0"/>
        <v>20</v>
      </c>
      <c r="C21" s="28">
        <v>8</v>
      </c>
      <c r="D21" s="28">
        <v>2025</v>
      </c>
      <c r="E21" s="29">
        <f>IF('BAN-M Electrical &amp; Water July25'!D26+'BAN-M Electrical &amp; Water July25'!F26+'BAN-M Electrical &amp; Water July25'!H26+'BAN-M Electrical &amp; Water July25'!J26+'BAN-M Electrical &amp; Water July25'!L26+'BAN-M Electrical &amp; Water July25'!N26&gt;0,'BAN-M Electrical &amp; Water July25'!D26+'BAN-M Electrical &amp; Water July25'!F26+'BAN-M Electrical &amp; Water July25'!H26+'BAN-M Electrical &amp; Water July25'!J26+'BAN-M Electrical &amp; Water July25'!L26+'BAN-M Electrical &amp; Water July25'!N26,0)</f>
        <v>17555</v>
      </c>
      <c r="F21" s="30">
        <v>0.2</v>
      </c>
      <c r="G21" s="29"/>
      <c r="H21" s="30">
        <v>5.42</v>
      </c>
      <c r="I21" s="29">
        <f>IF('BAN-M Electrical &amp; Water July25'!P26+'BAN-M Electrical &amp; Water July25'!R26+'BAN-M Electrical &amp; Water July25'!T26&gt;0,'BAN-M Electrical &amp; Water July25'!P26+'BAN-M Electrical &amp; Water July25'!R26+'BAN-M Electrical &amp; Water July25'!T26,0)</f>
        <v>217</v>
      </c>
      <c r="J21" s="30">
        <v>7.84</v>
      </c>
      <c r="K21" s="29"/>
      <c r="L21" s="30">
        <v>7.84</v>
      </c>
      <c r="M21" s="29"/>
      <c r="N21" s="29"/>
    </row>
    <row r="22" spans="1:14" x14ac:dyDescent="0.3">
      <c r="A22" s="27" t="s">
        <v>35</v>
      </c>
      <c r="B22" s="28">
        <f t="shared" si="0"/>
        <v>21</v>
      </c>
      <c r="C22" s="28">
        <v>8</v>
      </c>
      <c r="D22" s="28">
        <v>2025</v>
      </c>
      <c r="E22" s="29">
        <f>IF('BAN-M Electrical &amp; Water July25'!D27+'BAN-M Electrical &amp; Water July25'!F27+'BAN-M Electrical &amp; Water July25'!H27+'BAN-M Electrical &amp; Water July25'!J27+'BAN-M Electrical &amp; Water July25'!L27+'BAN-M Electrical &amp; Water July25'!N27&gt;0,'BAN-M Electrical &amp; Water July25'!D27+'BAN-M Electrical &amp; Water July25'!F27+'BAN-M Electrical &amp; Water July25'!H27+'BAN-M Electrical &amp; Water July25'!J27+'BAN-M Electrical &amp; Water July25'!L27+'BAN-M Electrical &amp; Water July25'!N27,0)</f>
        <v>17636</v>
      </c>
      <c r="F22" s="30">
        <v>0.2</v>
      </c>
      <c r="G22" s="29"/>
      <c r="H22" s="30">
        <v>5.42</v>
      </c>
      <c r="I22" s="29">
        <f>IF('BAN-M Electrical &amp; Water July25'!P27+'BAN-M Electrical &amp; Water July25'!R27+'BAN-M Electrical &amp; Water July25'!T27&gt;0,'BAN-M Electrical &amp; Water July25'!P27+'BAN-M Electrical &amp; Water July25'!R27+'BAN-M Electrical &amp; Water July25'!T27,0)</f>
        <v>195</v>
      </c>
      <c r="J22" s="30">
        <v>7.84</v>
      </c>
      <c r="K22" s="29"/>
      <c r="L22" s="30">
        <v>7.84</v>
      </c>
      <c r="M22" s="29"/>
      <c r="N22" s="29"/>
    </row>
    <row r="23" spans="1:14" x14ac:dyDescent="0.3">
      <c r="A23" s="27" t="s">
        <v>35</v>
      </c>
      <c r="B23" s="28">
        <f t="shared" si="0"/>
        <v>22</v>
      </c>
      <c r="C23" s="28">
        <v>8</v>
      </c>
      <c r="D23" s="28">
        <v>2025</v>
      </c>
      <c r="E23" s="29">
        <f>IF('BAN-M Electrical &amp; Water July25'!D28+'BAN-M Electrical &amp; Water July25'!F28+'BAN-M Electrical &amp; Water July25'!H28+'BAN-M Electrical &amp; Water July25'!J28+'BAN-M Electrical &amp; Water July25'!L28+'BAN-M Electrical &amp; Water July25'!N28&gt;0,'BAN-M Electrical &amp; Water July25'!D28+'BAN-M Electrical &amp; Water July25'!F28+'BAN-M Electrical &amp; Water July25'!H28+'BAN-M Electrical &amp; Water July25'!J28+'BAN-M Electrical &amp; Water July25'!L28+'BAN-M Electrical &amp; Water July25'!N28,0)</f>
        <v>15954</v>
      </c>
      <c r="F23" s="30">
        <v>0.2</v>
      </c>
      <c r="G23" s="29"/>
      <c r="H23" s="30">
        <v>5.42</v>
      </c>
      <c r="I23" s="29">
        <f>IF('BAN-M Electrical &amp; Water July25'!P28+'BAN-M Electrical &amp; Water July25'!R28+'BAN-M Electrical &amp; Water July25'!T28&gt;0,'BAN-M Electrical &amp; Water July25'!P28+'BAN-M Electrical &amp; Water July25'!R28+'BAN-M Electrical &amp; Water July25'!T28,0)</f>
        <v>265</v>
      </c>
      <c r="J23" s="30">
        <v>7.84</v>
      </c>
      <c r="K23" s="29"/>
      <c r="L23" s="30">
        <v>7.84</v>
      </c>
      <c r="M23" s="29"/>
      <c r="N23" s="29"/>
    </row>
    <row r="24" spans="1:14" x14ac:dyDescent="0.3">
      <c r="A24" s="27" t="s">
        <v>35</v>
      </c>
      <c r="B24" s="28">
        <f t="shared" si="0"/>
        <v>23</v>
      </c>
      <c r="C24" s="28">
        <v>8</v>
      </c>
      <c r="D24" s="28">
        <v>2025</v>
      </c>
      <c r="E24" s="29">
        <f>IF('BAN-M Electrical &amp; Water July25'!D29+'BAN-M Electrical &amp; Water July25'!F29+'BAN-M Electrical &amp; Water July25'!H29+'BAN-M Electrical &amp; Water July25'!J29+'BAN-M Electrical &amp; Water July25'!L29+'BAN-M Electrical &amp; Water July25'!N29&gt;0,'BAN-M Electrical &amp; Water July25'!D29+'BAN-M Electrical &amp; Water July25'!F29+'BAN-M Electrical &amp; Water July25'!H29+'BAN-M Electrical &amp; Water July25'!J29+'BAN-M Electrical &amp; Water July25'!L29+'BAN-M Electrical &amp; Water July25'!N29,0)</f>
        <v>16825</v>
      </c>
      <c r="F24" s="30">
        <v>0.2</v>
      </c>
      <c r="G24" s="29"/>
      <c r="H24" s="30">
        <v>5.42</v>
      </c>
      <c r="I24" s="29">
        <f>IF('BAN-M Electrical &amp; Water July25'!P29+'BAN-M Electrical &amp; Water July25'!R29+'BAN-M Electrical &amp; Water July25'!T29&gt;0,'BAN-M Electrical &amp; Water July25'!P29+'BAN-M Electrical &amp; Water July25'!R29+'BAN-M Electrical &amp; Water July25'!T29,0)</f>
        <v>265</v>
      </c>
      <c r="J24" s="30">
        <v>7.84</v>
      </c>
      <c r="K24" s="29"/>
      <c r="L24" s="30">
        <v>7.84</v>
      </c>
      <c r="M24" s="29"/>
      <c r="N24" s="29"/>
    </row>
    <row r="25" spans="1:14" x14ac:dyDescent="0.3">
      <c r="A25" s="27" t="s">
        <v>35</v>
      </c>
      <c r="B25" s="28">
        <f t="shared" si="0"/>
        <v>24</v>
      </c>
      <c r="C25" s="28">
        <v>8</v>
      </c>
      <c r="D25" s="28">
        <v>2025</v>
      </c>
      <c r="E25" s="29">
        <f>IF('BAN-M Electrical &amp; Water July25'!D30+'BAN-M Electrical &amp; Water July25'!F30+'BAN-M Electrical &amp; Water July25'!H30+'BAN-M Electrical &amp; Water July25'!J30+'BAN-M Electrical &amp; Water July25'!L30+'BAN-M Electrical &amp; Water July25'!N30&gt;0,'BAN-M Electrical &amp; Water July25'!D30+'BAN-M Electrical &amp; Water July25'!F30+'BAN-M Electrical &amp; Water July25'!H30+'BAN-M Electrical &amp; Water July25'!J30+'BAN-M Electrical &amp; Water July25'!L30+'BAN-M Electrical &amp; Water July25'!N30,0)</f>
        <v>16357</v>
      </c>
      <c r="F25" s="30">
        <v>0.2</v>
      </c>
      <c r="G25" s="29"/>
      <c r="H25" s="30">
        <v>5.42</v>
      </c>
      <c r="I25" s="29">
        <f>IF('BAN-M Electrical &amp; Water July25'!P30+'BAN-M Electrical &amp; Water July25'!R30+'BAN-M Electrical &amp; Water July25'!T30&gt;0,'BAN-M Electrical &amp; Water July25'!P30+'BAN-M Electrical &amp; Water July25'!R30+'BAN-M Electrical &amp; Water July25'!T30,0)</f>
        <v>215</v>
      </c>
      <c r="J25" s="30">
        <v>7.84</v>
      </c>
      <c r="K25" s="29"/>
      <c r="L25" s="30">
        <v>7.84</v>
      </c>
      <c r="M25" s="29"/>
      <c r="N25" s="29"/>
    </row>
    <row r="26" spans="1:14" x14ac:dyDescent="0.3">
      <c r="A26" s="27" t="s">
        <v>35</v>
      </c>
      <c r="B26" s="28">
        <f>B25+1</f>
        <v>25</v>
      </c>
      <c r="C26" s="28">
        <v>8</v>
      </c>
      <c r="D26" s="28">
        <v>2025</v>
      </c>
      <c r="E26" s="29">
        <f>IF('BAN-M Electrical &amp; Water July25'!D31+'BAN-M Electrical &amp; Water July25'!F31+'BAN-M Electrical &amp; Water July25'!H31+'BAN-M Electrical &amp; Water July25'!J31+'BAN-M Electrical &amp; Water July25'!L31+'BAN-M Electrical &amp; Water July25'!N31&gt;0,'BAN-M Electrical &amp; Water July25'!D31+'BAN-M Electrical &amp; Water July25'!F31+'BAN-M Electrical &amp; Water July25'!H31+'BAN-M Electrical &amp; Water July25'!J31+'BAN-M Electrical &amp; Water July25'!L31+'BAN-M Electrical &amp; Water July25'!N31,0)</f>
        <v>15573</v>
      </c>
      <c r="F26" s="30">
        <v>0.2</v>
      </c>
      <c r="G26" s="29"/>
      <c r="H26" s="30">
        <v>5.42</v>
      </c>
      <c r="I26" s="29">
        <f>IF('BAN-M Electrical &amp; Water July25'!P31+'BAN-M Electrical &amp; Water July25'!R31+'BAN-M Electrical &amp; Water July25'!T31&gt;0,'BAN-M Electrical &amp; Water July25'!P31+'BAN-M Electrical &amp; Water July25'!R31+'BAN-M Electrical &amp; Water July25'!T31,0)</f>
        <v>202</v>
      </c>
      <c r="J26" s="30">
        <v>7.84</v>
      </c>
      <c r="K26" s="29"/>
      <c r="L26" s="30">
        <v>7.84</v>
      </c>
      <c r="M26" s="29"/>
      <c r="N26" s="29"/>
    </row>
    <row r="27" spans="1:14" x14ac:dyDescent="0.3">
      <c r="A27" s="27" t="s">
        <v>35</v>
      </c>
      <c r="B27" s="28">
        <f t="shared" si="0"/>
        <v>26</v>
      </c>
      <c r="C27" s="28">
        <v>8</v>
      </c>
      <c r="D27" s="28">
        <v>2025</v>
      </c>
      <c r="E27" s="29">
        <f>IF('BAN-M Electrical &amp; Water July25'!D32+'BAN-M Electrical &amp; Water July25'!F32+'BAN-M Electrical &amp; Water July25'!H32+'BAN-M Electrical &amp; Water July25'!J32+'BAN-M Electrical &amp; Water July25'!L32+'BAN-M Electrical &amp; Water July25'!N32&gt;0,'BAN-M Electrical &amp; Water July25'!D32+'BAN-M Electrical &amp; Water July25'!F32+'BAN-M Electrical &amp; Water July25'!H32+'BAN-M Electrical &amp; Water July25'!J32+'BAN-M Electrical &amp; Water July25'!L32+'BAN-M Electrical &amp; Water July25'!N32,0)</f>
        <v>16428</v>
      </c>
      <c r="F27" s="30">
        <v>0.2</v>
      </c>
      <c r="G27" s="29"/>
      <c r="H27" s="30">
        <v>5.42</v>
      </c>
      <c r="I27" s="29">
        <f>IF('BAN-M Electrical &amp; Water July25'!P32+'BAN-M Electrical &amp; Water July25'!R32+'BAN-M Electrical &amp; Water July25'!T32&gt;0,'BAN-M Electrical &amp; Water July25'!P32+'BAN-M Electrical &amp; Water July25'!R32+'BAN-M Electrical &amp; Water July25'!T32,0)</f>
        <v>214</v>
      </c>
      <c r="J27" s="30">
        <v>7.84</v>
      </c>
      <c r="K27" s="29"/>
      <c r="L27" s="30">
        <v>7.84</v>
      </c>
      <c r="M27" s="29"/>
      <c r="N27" s="29"/>
    </row>
    <row r="28" spans="1:14" x14ac:dyDescent="0.3">
      <c r="A28" s="27" t="s">
        <v>35</v>
      </c>
      <c r="B28" s="28">
        <f t="shared" si="0"/>
        <v>27</v>
      </c>
      <c r="C28" s="28">
        <v>8</v>
      </c>
      <c r="D28" s="28">
        <v>2025</v>
      </c>
      <c r="E28" s="29">
        <f>IF('BAN-M Electrical &amp; Water July25'!D33+'BAN-M Electrical &amp; Water July25'!F33+'BAN-M Electrical &amp; Water July25'!H33+'BAN-M Electrical &amp; Water July25'!J33+'BAN-M Electrical &amp; Water July25'!L33+'BAN-M Electrical &amp; Water July25'!N33&gt;0,'BAN-M Electrical &amp; Water July25'!D33+'BAN-M Electrical &amp; Water July25'!F33+'BAN-M Electrical &amp; Water July25'!H33+'BAN-M Electrical &amp; Water July25'!J33+'BAN-M Electrical &amp; Water July25'!L33+'BAN-M Electrical &amp; Water July25'!N33,0)</f>
        <v>16881</v>
      </c>
      <c r="F28" s="30">
        <v>0.2</v>
      </c>
      <c r="G28" s="29"/>
      <c r="H28" s="30">
        <v>5.42</v>
      </c>
      <c r="I28" s="29">
        <f>IF('BAN-M Electrical &amp; Water July25'!P33+'BAN-M Electrical &amp; Water July25'!R33+'BAN-M Electrical &amp; Water July25'!T33&gt;0,'BAN-M Electrical &amp; Water July25'!P33+'BAN-M Electrical &amp; Water July25'!R33+'BAN-M Electrical &amp; Water July25'!T33,0)</f>
        <v>218</v>
      </c>
      <c r="J28" s="30">
        <v>7.84</v>
      </c>
      <c r="K28" s="29"/>
      <c r="L28" s="30">
        <v>7.84</v>
      </c>
      <c r="M28" s="29"/>
      <c r="N28" s="29"/>
    </row>
    <row r="29" spans="1:14" x14ac:dyDescent="0.3">
      <c r="A29" s="27" t="s">
        <v>35</v>
      </c>
      <c r="B29" s="28">
        <f t="shared" si="0"/>
        <v>28</v>
      </c>
      <c r="C29" s="28">
        <v>8</v>
      </c>
      <c r="D29" s="28">
        <v>2025</v>
      </c>
      <c r="E29" s="29">
        <f>IF('BAN-M Electrical &amp; Water July25'!D34+'BAN-M Electrical &amp; Water July25'!F34+'BAN-M Electrical &amp; Water July25'!H34+'BAN-M Electrical &amp; Water July25'!J34+'BAN-M Electrical &amp; Water July25'!L34+'BAN-M Electrical &amp; Water July25'!N34&gt;0,'BAN-M Electrical &amp; Water July25'!D34+'BAN-M Electrical &amp; Water July25'!F34+'BAN-M Electrical &amp; Water July25'!H34+'BAN-M Electrical &amp; Water July25'!J34+'BAN-M Electrical &amp; Water July25'!L34+'BAN-M Electrical &amp; Water July25'!N34,0)</f>
        <v>16649</v>
      </c>
      <c r="F29" s="30">
        <v>0.2</v>
      </c>
      <c r="G29" s="29"/>
      <c r="H29" s="30">
        <v>5.42</v>
      </c>
      <c r="I29" s="29">
        <f>IF('BAN-M Electrical &amp; Water July25'!P34+'BAN-M Electrical &amp; Water July25'!R34+'BAN-M Electrical &amp; Water July25'!T34&gt;0,'BAN-M Electrical &amp; Water July25'!P34+'BAN-M Electrical &amp; Water July25'!R34+'BAN-M Electrical &amp; Water July25'!T34,0)</f>
        <v>282</v>
      </c>
      <c r="J29" s="30">
        <v>7.84</v>
      </c>
      <c r="K29" s="29"/>
      <c r="L29" s="30">
        <v>7.84</v>
      </c>
      <c r="M29" s="29"/>
      <c r="N29" s="29"/>
    </row>
    <row r="30" spans="1:14" x14ac:dyDescent="0.3">
      <c r="A30" s="27" t="s">
        <v>35</v>
      </c>
      <c r="B30" s="28">
        <f t="shared" si="0"/>
        <v>29</v>
      </c>
      <c r="C30" s="28">
        <v>8</v>
      </c>
      <c r="D30" s="28">
        <v>2025</v>
      </c>
      <c r="E30" s="29">
        <f>IF('BAN-M Electrical &amp; Water July25'!D35+'BAN-M Electrical &amp; Water July25'!F35+'BAN-M Electrical &amp; Water July25'!H35+'BAN-M Electrical &amp; Water July25'!J35+'BAN-M Electrical &amp; Water July25'!L35+'BAN-M Electrical &amp; Water July25'!N35&gt;0,'BAN-M Electrical &amp; Water July25'!D35+'BAN-M Electrical &amp; Water July25'!F35+'BAN-M Electrical &amp; Water July25'!H35+'BAN-M Electrical &amp; Water July25'!J35+'BAN-M Electrical &amp; Water July25'!L35+'BAN-M Electrical &amp; Water July25'!N35,0)</f>
        <v>0</v>
      </c>
      <c r="F30" s="30">
        <v>0.2</v>
      </c>
      <c r="G30" s="29"/>
      <c r="H30" s="30">
        <v>5.42</v>
      </c>
      <c r="I30" s="29">
        <f>IF('BAN-M Electrical &amp; Water July25'!P35+'BAN-M Electrical &amp; Water July25'!R35+'BAN-M Electrical &amp; Water July25'!T35&gt;0,'BAN-M Electrical &amp; Water July25'!P35+'BAN-M Electrical &amp; Water July25'!R35+'BAN-M Electrical &amp; Water July25'!T35,0)</f>
        <v>202</v>
      </c>
      <c r="J30" s="30">
        <v>7.84</v>
      </c>
      <c r="K30" s="29"/>
      <c r="L30" s="30">
        <v>7.84</v>
      </c>
      <c r="M30" s="29"/>
      <c r="N30" s="29"/>
    </row>
    <row r="31" spans="1:14" x14ac:dyDescent="0.3">
      <c r="A31" s="27" t="s">
        <v>35</v>
      </c>
      <c r="B31" s="28">
        <f t="shared" si="0"/>
        <v>30</v>
      </c>
      <c r="C31" s="28">
        <v>8</v>
      </c>
      <c r="D31" s="28">
        <v>2025</v>
      </c>
      <c r="E31" s="29">
        <f>IF('BAN-M Electrical &amp; Water July25'!D36+'BAN-M Electrical &amp; Water July25'!F36+'BAN-M Electrical &amp; Water July25'!H36+'BAN-M Electrical &amp; Water July25'!J36+'BAN-M Electrical &amp; Water July25'!L36+'BAN-M Electrical &amp; Water July25'!N36&gt;0,'BAN-M Electrical &amp; Water July25'!D36+'BAN-M Electrical &amp; Water July25'!F36+'BAN-M Electrical &amp; Water July25'!H36+'BAN-M Electrical &amp; Water July25'!J36+'BAN-M Electrical &amp; Water July25'!L36+'BAN-M Electrical &amp; Water July25'!N36,0)</f>
        <v>0</v>
      </c>
      <c r="F31" s="30">
        <v>0.2</v>
      </c>
      <c r="G31" s="29"/>
      <c r="H31" s="30">
        <v>5.42</v>
      </c>
      <c r="I31" s="29">
        <f>IF('BAN-M Electrical &amp; Water July25'!P36+'BAN-M Electrical &amp; Water July25'!R36+'BAN-M Electrical &amp; Water July25'!T36&gt;0,'BAN-M Electrical &amp; Water July25'!P36+'BAN-M Electrical &amp; Water July25'!R36+'BAN-M Electrical &amp; Water July25'!T36,0)</f>
        <v>0</v>
      </c>
      <c r="J31" s="30">
        <v>7.84</v>
      </c>
      <c r="K31" s="29"/>
      <c r="L31" s="30">
        <v>7.84</v>
      </c>
      <c r="M31" s="29"/>
      <c r="N31" s="29"/>
    </row>
    <row r="32" spans="1:14" x14ac:dyDescent="0.3">
      <c r="A32" s="27" t="s">
        <v>35</v>
      </c>
      <c r="B32" s="28">
        <f t="shared" si="0"/>
        <v>31</v>
      </c>
      <c r="C32" s="28">
        <v>8</v>
      </c>
      <c r="D32" s="28">
        <v>2025</v>
      </c>
      <c r="E32" s="29">
        <f>IF('BAN-M Electrical &amp; Water July25'!D37+'BAN-M Electrical &amp; Water July25'!F37+'BAN-M Electrical &amp; Water July25'!H37+'BAN-M Electrical &amp; Water July25'!J37+'BAN-M Electrical &amp; Water July25'!L37+'BAN-M Electrical &amp; Water July25'!N37&gt;0,'BAN-M Electrical &amp; Water July25'!D37+'BAN-M Electrical &amp; Water July25'!F37+'BAN-M Electrical &amp; Water July25'!H37+'BAN-M Electrical &amp; Water July25'!J37+'BAN-M Electrical &amp; Water July25'!L37+'BAN-M Electrical &amp; Water July25'!N37,0)</f>
        <v>0</v>
      </c>
      <c r="F32" s="30">
        <v>0.2</v>
      </c>
      <c r="G32" s="29"/>
      <c r="H32" s="30">
        <v>5.42</v>
      </c>
      <c r="I32" s="29">
        <f>IF('BAN-M Electrical &amp; Water July25'!P37+'BAN-M Electrical &amp; Water July25'!R37+'BAN-M Electrical &amp; Water July25'!T37&gt;0,'BAN-M Electrical &amp; Water July25'!P37+'BAN-M Electrical &amp; Water July25'!R37+'BAN-M Electrical &amp; Water July25'!T37,0)</f>
        <v>0</v>
      </c>
      <c r="J32" s="30">
        <v>7.84</v>
      </c>
      <c r="K32" s="29"/>
      <c r="L32" s="30">
        <v>7.84</v>
      </c>
      <c r="M32" s="29"/>
      <c r="N32" s="29"/>
    </row>
    <row r="33" spans="7:9" x14ac:dyDescent="0.3">
      <c r="G33" s="29"/>
      <c r="I33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X38"/>
  <sheetViews>
    <sheetView topLeftCell="J1" zoomScale="60" zoomScaleNormal="60" zoomScaleSheetLayoutView="90" zoomScalePageLayoutView="52" workbookViewId="0">
      <selection activeCell="D38" sqref="D38"/>
    </sheetView>
  </sheetViews>
  <sheetFormatPr defaultRowHeight="14.4" x14ac:dyDescent="0.3"/>
  <cols>
    <col min="1" max="2" width="21.44140625" customWidth="1"/>
    <col min="3" max="3" width="30.44140625" style="1" bestFit="1" customWidth="1"/>
    <col min="4" max="4" width="31.109375" style="1" customWidth="1"/>
    <col min="5" max="5" width="33.33203125" style="1" customWidth="1"/>
    <col min="6" max="6" width="31.109375" style="1" customWidth="1"/>
    <col min="7" max="7" width="30.44140625" style="1" bestFit="1" customWidth="1"/>
    <col min="8" max="8" width="31.109375" style="1" customWidth="1"/>
    <col min="9" max="9" width="30.44140625" style="1" bestFit="1" customWidth="1"/>
    <col min="10" max="10" width="31.109375" style="1" customWidth="1"/>
    <col min="11" max="11" width="30.44140625" style="1" bestFit="1" customWidth="1"/>
    <col min="12" max="12" width="31.109375" style="1" customWidth="1"/>
    <col min="13" max="13" width="33.33203125" style="1" customWidth="1"/>
    <col min="14" max="14" width="31.109375" style="1" customWidth="1"/>
    <col min="15" max="15" width="30.88671875" style="6" customWidth="1"/>
    <col min="16" max="16" width="30.44140625" style="6" customWidth="1"/>
    <col min="17" max="17" width="30.88671875" style="6" customWidth="1"/>
    <col min="18" max="18" width="30.44140625" style="6" customWidth="1"/>
    <col min="19" max="19" width="30.88671875" style="6" customWidth="1"/>
    <col min="20" max="20" width="30.44140625" style="6" customWidth="1"/>
    <col min="21" max="21" width="55.6640625" style="1" bestFit="1" customWidth="1"/>
  </cols>
  <sheetData>
    <row r="1" spans="1:24" ht="95.1" customHeight="1" thickBot="1" x14ac:dyDescent="0.35">
      <c r="C1" s="36" t="s">
        <v>9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X1" s="2"/>
    </row>
    <row r="2" spans="1:24" s="1" customFormat="1" ht="54.75" customHeight="1" thickBot="1" x14ac:dyDescent="0.35">
      <c r="A2" s="10" t="s">
        <v>1</v>
      </c>
      <c r="B2" s="35" t="s">
        <v>5</v>
      </c>
      <c r="C2" s="15" t="s">
        <v>12</v>
      </c>
      <c r="D2" s="38" t="s">
        <v>7</v>
      </c>
      <c r="E2" s="15" t="s">
        <v>13</v>
      </c>
      <c r="F2" s="38" t="s">
        <v>7</v>
      </c>
      <c r="G2" s="15" t="s">
        <v>14</v>
      </c>
      <c r="H2" s="38" t="s">
        <v>7</v>
      </c>
      <c r="I2" s="15" t="s">
        <v>15</v>
      </c>
      <c r="J2" s="38" t="s">
        <v>7</v>
      </c>
      <c r="K2" s="15" t="s">
        <v>16</v>
      </c>
      <c r="L2" s="38" t="s">
        <v>7</v>
      </c>
      <c r="M2" s="15" t="s">
        <v>17</v>
      </c>
      <c r="N2" s="38" t="s">
        <v>7</v>
      </c>
      <c r="O2" s="39" t="s">
        <v>22</v>
      </c>
      <c r="P2" s="39" t="s">
        <v>7</v>
      </c>
      <c r="Q2" s="39" t="s">
        <v>23</v>
      </c>
      <c r="R2" s="39" t="s">
        <v>7</v>
      </c>
      <c r="S2" s="39" t="s">
        <v>24</v>
      </c>
      <c r="T2" s="39" t="s">
        <v>7</v>
      </c>
      <c r="U2" s="40" t="s">
        <v>6</v>
      </c>
    </row>
    <row r="3" spans="1:24" ht="60" customHeight="1" thickBot="1" x14ac:dyDescent="0.35">
      <c r="A3" s="10" t="s">
        <v>4</v>
      </c>
      <c r="B3" s="35"/>
      <c r="C3" s="18" t="s">
        <v>10</v>
      </c>
      <c r="D3" s="38"/>
      <c r="E3" s="18" t="s">
        <v>11</v>
      </c>
      <c r="F3" s="38"/>
      <c r="G3" s="18" t="s">
        <v>18</v>
      </c>
      <c r="H3" s="38"/>
      <c r="I3" s="18" t="s">
        <v>19</v>
      </c>
      <c r="J3" s="38"/>
      <c r="K3" s="18" t="s">
        <v>20</v>
      </c>
      <c r="L3" s="38"/>
      <c r="M3" s="18" t="s">
        <v>21</v>
      </c>
      <c r="N3" s="38"/>
      <c r="O3" s="39"/>
      <c r="P3" s="39"/>
      <c r="Q3" s="39"/>
      <c r="R3" s="39"/>
      <c r="S3" s="39"/>
      <c r="T3" s="39"/>
      <c r="U3" s="40"/>
    </row>
    <row r="4" spans="1:24" ht="46.5" customHeight="1" thickBot="1" x14ac:dyDescent="0.35">
      <c r="A4" s="35" t="s">
        <v>0</v>
      </c>
      <c r="B4" s="35"/>
      <c r="C4" s="38" t="s">
        <v>3</v>
      </c>
      <c r="D4" s="38"/>
      <c r="E4" s="38" t="s">
        <v>3</v>
      </c>
      <c r="F4" s="38"/>
      <c r="G4" s="38" t="s">
        <v>3</v>
      </c>
      <c r="H4" s="38"/>
      <c r="I4" s="38" t="s">
        <v>3</v>
      </c>
      <c r="J4" s="38"/>
      <c r="K4" s="38" t="s">
        <v>3</v>
      </c>
      <c r="L4" s="38"/>
      <c r="M4" s="38" t="s">
        <v>3</v>
      </c>
      <c r="N4" s="38"/>
      <c r="O4" s="39"/>
      <c r="P4" s="39"/>
      <c r="Q4" s="39"/>
      <c r="R4" s="39"/>
      <c r="S4" s="39"/>
      <c r="T4" s="39"/>
      <c r="U4" s="40"/>
    </row>
    <row r="5" spans="1:24" ht="24.9" customHeight="1" thickBot="1" x14ac:dyDescent="0.35">
      <c r="A5" s="35"/>
      <c r="B5" s="35"/>
      <c r="C5" s="38"/>
      <c r="D5" s="16" t="s">
        <v>2</v>
      </c>
      <c r="E5" s="38"/>
      <c r="F5" s="16" t="s">
        <v>2</v>
      </c>
      <c r="G5" s="38"/>
      <c r="H5" s="16" t="s">
        <v>2</v>
      </c>
      <c r="I5" s="38"/>
      <c r="J5" s="16" t="s">
        <v>2</v>
      </c>
      <c r="K5" s="38"/>
      <c r="L5" s="16" t="s">
        <v>2</v>
      </c>
      <c r="M5" s="38"/>
      <c r="N5" s="16" t="s">
        <v>2</v>
      </c>
      <c r="O5" s="17" t="s">
        <v>8</v>
      </c>
      <c r="P5" s="17" t="s">
        <v>8</v>
      </c>
      <c r="Q5" s="17" t="s">
        <v>8</v>
      </c>
      <c r="R5" s="17" t="s">
        <v>8</v>
      </c>
      <c r="S5" s="17" t="s">
        <v>8</v>
      </c>
      <c r="T5" s="17" t="s">
        <v>8</v>
      </c>
      <c r="U5" s="40"/>
    </row>
    <row r="6" spans="1:24" ht="39" customHeight="1" x14ac:dyDescent="0.3">
      <c r="A6" s="7">
        <v>45869</v>
      </c>
      <c r="B6" s="20">
        <v>0.375</v>
      </c>
      <c r="C6" s="8">
        <v>1311729</v>
      </c>
      <c r="D6" s="4">
        <v>0</v>
      </c>
      <c r="E6" s="8">
        <v>1153687</v>
      </c>
      <c r="F6" s="4">
        <v>0</v>
      </c>
      <c r="G6" s="8">
        <v>1519953</v>
      </c>
      <c r="H6" s="4">
        <v>0</v>
      </c>
      <c r="I6" s="8">
        <v>1866228</v>
      </c>
      <c r="J6" s="4">
        <v>0</v>
      </c>
      <c r="K6" s="8">
        <v>1984821</v>
      </c>
      <c r="L6" s="4">
        <v>0</v>
      </c>
      <c r="M6" s="8">
        <v>4387153</v>
      </c>
      <c r="N6" s="4">
        <v>0</v>
      </c>
      <c r="O6" s="11"/>
      <c r="P6" s="11">
        <v>0</v>
      </c>
      <c r="Q6" s="11"/>
      <c r="R6" s="11">
        <v>0</v>
      </c>
      <c r="S6" s="11"/>
      <c r="T6" s="11">
        <v>0</v>
      </c>
      <c r="U6" s="9"/>
    </row>
    <row r="7" spans="1:24" ht="39" customHeight="1" x14ac:dyDescent="0.3">
      <c r="A7" s="7">
        <v>45870</v>
      </c>
      <c r="B7" s="21">
        <v>0.22916666666666666</v>
      </c>
      <c r="C7" s="4">
        <v>1313956</v>
      </c>
      <c r="D7" s="4">
        <f>C7-C6</f>
        <v>2227</v>
      </c>
      <c r="E7" s="4">
        <v>1155691</v>
      </c>
      <c r="F7" s="4">
        <f>E7-E6</f>
        <v>2004</v>
      </c>
      <c r="G7" s="4">
        <v>1522432</v>
      </c>
      <c r="H7" s="4">
        <f>G7-G6</f>
        <v>2479</v>
      </c>
      <c r="I7" s="4">
        <v>1868991</v>
      </c>
      <c r="J7" s="4">
        <f>I7-I6</f>
        <v>2763</v>
      </c>
      <c r="K7" s="4">
        <v>1987724</v>
      </c>
      <c r="L7" s="4">
        <f>K7-K6</f>
        <v>2903</v>
      </c>
      <c r="M7" s="4">
        <v>4392446</v>
      </c>
      <c r="N7" s="4">
        <f>M7-M6</f>
        <v>5293</v>
      </c>
      <c r="O7" s="12">
        <v>211</v>
      </c>
      <c r="P7" s="12">
        <f>O7-O6</f>
        <v>211</v>
      </c>
      <c r="Q7" s="12">
        <v>0</v>
      </c>
      <c r="R7" s="12">
        <f t="shared" ref="R7:R37" si="0">Q7-Q6</f>
        <v>0</v>
      </c>
      <c r="S7" s="12">
        <v>327</v>
      </c>
      <c r="T7" s="12">
        <f>S7-S6</f>
        <v>327</v>
      </c>
      <c r="U7" s="3"/>
    </row>
    <row r="8" spans="1:24" ht="39" customHeight="1" x14ac:dyDescent="0.3">
      <c r="A8" s="7">
        <v>45871</v>
      </c>
      <c r="B8" s="21">
        <v>0.2638888888888889</v>
      </c>
      <c r="C8" s="4">
        <v>1316142</v>
      </c>
      <c r="D8" s="4">
        <f t="shared" ref="D8:D35" si="1">C8-C7</f>
        <v>2186</v>
      </c>
      <c r="E8" s="4">
        <v>1157762</v>
      </c>
      <c r="F8" s="4">
        <f t="shared" ref="F8:F35" si="2">E8-E7</f>
        <v>2071</v>
      </c>
      <c r="G8" s="4">
        <v>1524794</v>
      </c>
      <c r="H8" s="4">
        <f t="shared" ref="H8:H35" si="3">G8-G7</f>
        <v>2362</v>
      </c>
      <c r="I8" s="4">
        <v>1871699</v>
      </c>
      <c r="J8" s="4">
        <f t="shared" ref="J8:J35" si="4">I8-I7</f>
        <v>2708</v>
      </c>
      <c r="K8" s="4">
        <v>1990694</v>
      </c>
      <c r="L8" s="4">
        <f t="shared" ref="L8:L30" si="5">K8-K7</f>
        <v>2970</v>
      </c>
      <c r="M8" s="4">
        <v>4398534</v>
      </c>
      <c r="N8" s="4">
        <f t="shared" ref="N8:N35" si="6">M8-M7</f>
        <v>6088</v>
      </c>
      <c r="O8" s="12">
        <v>312</v>
      </c>
      <c r="P8" s="12">
        <f t="shared" ref="P8:P35" si="7">O8-O7</f>
        <v>101</v>
      </c>
      <c r="Q8" s="12">
        <v>0</v>
      </c>
      <c r="R8" s="12">
        <f t="shared" si="0"/>
        <v>0</v>
      </c>
      <c r="S8" s="12">
        <v>532</v>
      </c>
      <c r="T8" s="12">
        <f t="shared" ref="T8:T35" si="8">S8-S7</f>
        <v>205</v>
      </c>
      <c r="U8" s="3"/>
    </row>
    <row r="9" spans="1:24" ht="39" customHeight="1" x14ac:dyDescent="0.3">
      <c r="A9" s="7">
        <v>45872</v>
      </c>
      <c r="B9" s="21">
        <v>0.21527777777777779</v>
      </c>
      <c r="C9" s="4">
        <v>1318389</v>
      </c>
      <c r="D9" s="4">
        <f t="shared" si="1"/>
        <v>2247</v>
      </c>
      <c r="E9" s="4">
        <v>1159805</v>
      </c>
      <c r="F9" s="4">
        <f t="shared" si="2"/>
        <v>2043</v>
      </c>
      <c r="G9" s="4">
        <v>1527528</v>
      </c>
      <c r="H9" s="4">
        <f t="shared" si="3"/>
        <v>2734</v>
      </c>
      <c r="I9" s="4">
        <v>1874667</v>
      </c>
      <c r="J9" s="4">
        <f t="shared" si="4"/>
        <v>2968</v>
      </c>
      <c r="K9" s="4">
        <v>1993928</v>
      </c>
      <c r="L9" s="4">
        <f t="shared" si="5"/>
        <v>3234</v>
      </c>
      <c r="M9" s="4">
        <v>4404467</v>
      </c>
      <c r="N9" s="4">
        <f t="shared" si="6"/>
        <v>5933</v>
      </c>
      <c r="O9" s="12">
        <v>397</v>
      </c>
      <c r="P9" s="12">
        <f t="shared" si="7"/>
        <v>85</v>
      </c>
      <c r="Q9" s="12">
        <v>17</v>
      </c>
      <c r="R9" s="12">
        <f t="shared" si="0"/>
        <v>17</v>
      </c>
      <c r="S9" s="12">
        <v>619</v>
      </c>
      <c r="T9" s="12">
        <f t="shared" si="8"/>
        <v>87</v>
      </c>
      <c r="U9" s="3"/>
    </row>
    <row r="10" spans="1:24" ht="39" customHeight="1" x14ac:dyDescent="0.3">
      <c r="A10" s="7">
        <v>45873</v>
      </c>
      <c r="B10" s="21">
        <v>0.22222222222222221</v>
      </c>
      <c r="C10" s="4">
        <v>1320698</v>
      </c>
      <c r="D10" s="4">
        <f t="shared" si="1"/>
        <v>2309</v>
      </c>
      <c r="E10" s="4">
        <v>1161850</v>
      </c>
      <c r="F10" s="4">
        <f t="shared" si="2"/>
        <v>2045</v>
      </c>
      <c r="G10" s="4">
        <v>1530342</v>
      </c>
      <c r="H10" s="4">
        <f t="shared" si="3"/>
        <v>2814</v>
      </c>
      <c r="I10" s="4">
        <v>1877568</v>
      </c>
      <c r="J10" s="4">
        <f t="shared" si="4"/>
        <v>2901</v>
      </c>
      <c r="K10" s="4">
        <v>1996887</v>
      </c>
      <c r="L10" s="4">
        <f t="shared" si="5"/>
        <v>2959</v>
      </c>
      <c r="M10" s="4">
        <v>4410448</v>
      </c>
      <c r="N10" s="4">
        <f t="shared" si="6"/>
        <v>5981</v>
      </c>
      <c r="O10" s="12">
        <v>455</v>
      </c>
      <c r="P10" s="12">
        <f t="shared" si="7"/>
        <v>58</v>
      </c>
      <c r="Q10" s="12">
        <v>55</v>
      </c>
      <c r="R10" s="12">
        <f t="shared" si="0"/>
        <v>38</v>
      </c>
      <c r="S10" s="12">
        <v>672</v>
      </c>
      <c r="T10" s="12">
        <f t="shared" si="8"/>
        <v>53</v>
      </c>
      <c r="U10" s="3"/>
    </row>
    <row r="11" spans="1:24" ht="39" customHeight="1" x14ac:dyDescent="0.3">
      <c r="A11" s="7">
        <v>45874</v>
      </c>
      <c r="B11" s="21">
        <v>0.23611111111111113</v>
      </c>
      <c r="C11" s="4">
        <v>1322860</v>
      </c>
      <c r="D11" s="4">
        <f t="shared" si="1"/>
        <v>2162</v>
      </c>
      <c r="E11" s="4">
        <v>1163820</v>
      </c>
      <c r="F11" s="4">
        <f t="shared" si="2"/>
        <v>1970</v>
      </c>
      <c r="G11" s="4">
        <v>1533341</v>
      </c>
      <c r="H11" s="4">
        <f t="shared" si="3"/>
        <v>2999</v>
      </c>
      <c r="I11" s="4">
        <v>1880425</v>
      </c>
      <c r="J11" s="4">
        <f t="shared" si="4"/>
        <v>2857</v>
      </c>
      <c r="K11" s="4">
        <v>1999847</v>
      </c>
      <c r="L11" s="4">
        <f t="shared" si="5"/>
        <v>2960</v>
      </c>
      <c r="M11" s="4">
        <v>4416355</v>
      </c>
      <c r="N11" s="4">
        <f t="shared" si="6"/>
        <v>5907</v>
      </c>
      <c r="O11" s="12">
        <v>562</v>
      </c>
      <c r="P11" s="12">
        <f t="shared" si="7"/>
        <v>107</v>
      </c>
      <c r="Q11" s="12">
        <v>95</v>
      </c>
      <c r="R11" s="12">
        <f t="shared" si="0"/>
        <v>40</v>
      </c>
      <c r="S11" s="12">
        <v>725</v>
      </c>
      <c r="T11" s="12">
        <f t="shared" si="8"/>
        <v>53</v>
      </c>
      <c r="U11" s="3"/>
    </row>
    <row r="12" spans="1:24" ht="39" customHeight="1" x14ac:dyDescent="0.3">
      <c r="A12" s="7">
        <v>45875</v>
      </c>
      <c r="B12" s="21">
        <v>0.22916666666666666</v>
      </c>
      <c r="C12" s="4">
        <v>1324947</v>
      </c>
      <c r="D12" s="4">
        <f t="shared" si="1"/>
        <v>2087</v>
      </c>
      <c r="E12" s="4">
        <v>1165692</v>
      </c>
      <c r="F12" s="4">
        <f t="shared" si="2"/>
        <v>1872</v>
      </c>
      <c r="G12" s="4">
        <v>1536166</v>
      </c>
      <c r="H12" s="4">
        <f t="shared" si="3"/>
        <v>2825</v>
      </c>
      <c r="I12" s="4">
        <v>1883205</v>
      </c>
      <c r="J12" s="4">
        <f t="shared" si="4"/>
        <v>2780</v>
      </c>
      <c r="K12" s="4">
        <v>2002835</v>
      </c>
      <c r="L12" s="4">
        <f t="shared" si="5"/>
        <v>2988</v>
      </c>
      <c r="M12" s="4">
        <v>4421727</v>
      </c>
      <c r="N12" s="4">
        <f t="shared" si="6"/>
        <v>5372</v>
      </c>
      <c r="O12" s="12">
        <v>674</v>
      </c>
      <c r="P12" s="12">
        <f t="shared" si="7"/>
        <v>112</v>
      </c>
      <c r="Q12" s="12">
        <v>136</v>
      </c>
      <c r="R12" s="12">
        <f t="shared" si="0"/>
        <v>41</v>
      </c>
      <c r="S12" s="12">
        <v>785</v>
      </c>
      <c r="T12" s="12">
        <f t="shared" si="8"/>
        <v>60</v>
      </c>
      <c r="U12" s="3"/>
    </row>
    <row r="13" spans="1:24" ht="39" customHeight="1" x14ac:dyDescent="0.3">
      <c r="A13" s="7">
        <v>45876</v>
      </c>
      <c r="B13" s="21">
        <v>0.24305555555555555</v>
      </c>
      <c r="C13" s="4">
        <v>1327013</v>
      </c>
      <c r="D13" s="4">
        <f t="shared" si="1"/>
        <v>2066</v>
      </c>
      <c r="E13" s="4">
        <v>1167448</v>
      </c>
      <c r="F13" s="4">
        <f t="shared" si="2"/>
        <v>1756</v>
      </c>
      <c r="G13" s="4">
        <v>1538992</v>
      </c>
      <c r="H13" s="4">
        <f t="shared" si="3"/>
        <v>2826</v>
      </c>
      <c r="I13" s="4">
        <v>1886205</v>
      </c>
      <c r="J13" s="4">
        <f t="shared" si="4"/>
        <v>3000</v>
      </c>
      <c r="K13" s="4">
        <v>2005696</v>
      </c>
      <c r="L13" s="4">
        <f t="shared" si="5"/>
        <v>2861</v>
      </c>
      <c r="M13" s="4">
        <v>4427217</v>
      </c>
      <c r="N13" s="4">
        <f t="shared" si="6"/>
        <v>5490</v>
      </c>
      <c r="O13" s="12">
        <v>777</v>
      </c>
      <c r="P13" s="12">
        <f t="shared" si="7"/>
        <v>103</v>
      </c>
      <c r="Q13" s="12">
        <v>179</v>
      </c>
      <c r="R13" s="12">
        <f t="shared" si="0"/>
        <v>43</v>
      </c>
      <c r="S13" s="12">
        <v>826</v>
      </c>
      <c r="T13" s="12">
        <f t="shared" si="8"/>
        <v>41</v>
      </c>
      <c r="U13" s="3"/>
    </row>
    <row r="14" spans="1:24" ht="39" customHeight="1" x14ac:dyDescent="0.3">
      <c r="A14" s="7">
        <v>45877</v>
      </c>
      <c r="B14" s="21">
        <v>0.22222222222222221</v>
      </c>
      <c r="C14" s="4">
        <v>1329101</v>
      </c>
      <c r="D14" s="4">
        <f t="shared" si="1"/>
        <v>2088</v>
      </c>
      <c r="E14" s="4">
        <v>1169246</v>
      </c>
      <c r="F14" s="4">
        <f t="shared" si="2"/>
        <v>1798</v>
      </c>
      <c r="G14" s="4">
        <v>1541828</v>
      </c>
      <c r="H14" s="4">
        <f t="shared" si="3"/>
        <v>2836</v>
      </c>
      <c r="I14" s="4">
        <v>1889146</v>
      </c>
      <c r="J14" s="4">
        <f t="shared" si="4"/>
        <v>2941</v>
      </c>
      <c r="K14" s="4">
        <v>2008571</v>
      </c>
      <c r="L14" s="4">
        <f t="shared" si="5"/>
        <v>2875</v>
      </c>
      <c r="M14" s="4">
        <v>4432577</v>
      </c>
      <c r="N14" s="4">
        <f t="shared" si="6"/>
        <v>5360</v>
      </c>
      <c r="O14" s="12">
        <v>874</v>
      </c>
      <c r="P14" s="12">
        <f t="shared" si="7"/>
        <v>97</v>
      </c>
      <c r="Q14" s="12">
        <v>234</v>
      </c>
      <c r="R14" s="12">
        <f t="shared" si="0"/>
        <v>55</v>
      </c>
      <c r="S14" s="12">
        <v>873</v>
      </c>
      <c r="T14" s="12">
        <f t="shared" si="8"/>
        <v>47</v>
      </c>
      <c r="U14" s="3"/>
    </row>
    <row r="15" spans="1:24" ht="39" customHeight="1" x14ac:dyDescent="0.3">
      <c r="A15" s="7">
        <v>45878</v>
      </c>
      <c r="B15" s="21">
        <v>0.21875</v>
      </c>
      <c r="C15" s="4">
        <v>1331155</v>
      </c>
      <c r="D15" s="4">
        <f t="shared" si="1"/>
        <v>2054</v>
      </c>
      <c r="E15" s="4">
        <v>1171181</v>
      </c>
      <c r="F15" s="4">
        <f t="shared" si="2"/>
        <v>1935</v>
      </c>
      <c r="G15" s="4">
        <v>1544701</v>
      </c>
      <c r="H15" s="4">
        <f t="shared" si="3"/>
        <v>2873</v>
      </c>
      <c r="I15" s="4">
        <v>1892187</v>
      </c>
      <c r="J15" s="4">
        <f>I15-I14</f>
        <v>3041</v>
      </c>
      <c r="K15" s="4">
        <v>2011322</v>
      </c>
      <c r="L15" s="4">
        <f t="shared" si="5"/>
        <v>2751</v>
      </c>
      <c r="M15" s="4">
        <v>4438215</v>
      </c>
      <c r="N15" s="4">
        <f t="shared" si="6"/>
        <v>5638</v>
      </c>
      <c r="O15" s="12">
        <v>980</v>
      </c>
      <c r="P15" s="12">
        <f t="shared" si="7"/>
        <v>106</v>
      </c>
      <c r="Q15" s="12">
        <v>262</v>
      </c>
      <c r="R15" s="12">
        <f t="shared" si="0"/>
        <v>28</v>
      </c>
      <c r="S15" s="12">
        <v>925</v>
      </c>
      <c r="T15" s="12">
        <f t="shared" si="8"/>
        <v>52</v>
      </c>
      <c r="U15" s="3"/>
    </row>
    <row r="16" spans="1:24" ht="39" customHeight="1" x14ac:dyDescent="0.3">
      <c r="A16" s="7">
        <v>45879</v>
      </c>
      <c r="B16" s="21">
        <v>0.22916666666666666</v>
      </c>
      <c r="C16" s="4">
        <v>1333275</v>
      </c>
      <c r="D16" s="4">
        <f t="shared" si="1"/>
        <v>2120</v>
      </c>
      <c r="E16" s="4">
        <v>1173119</v>
      </c>
      <c r="F16" s="4">
        <f t="shared" si="2"/>
        <v>1938</v>
      </c>
      <c r="G16" s="4">
        <v>1547612</v>
      </c>
      <c r="H16" s="4">
        <f t="shared" si="3"/>
        <v>2911</v>
      </c>
      <c r="I16" s="4">
        <v>1895259</v>
      </c>
      <c r="J16" s="4">
        <f t="shared" si="4"/>
        <v>3072</v>
      </c>
      <c r="K16" s="4">
        <v>2014447</v>
      </c>
      <c r="L16" s="4">
        <f t="shared" si="5"/>
        <v>3125</v>
      </c>
      <c r="M16" s="4">
        <v>4443651</v>
      </c>
      <c r="N16" s="4">
        <f t="shared" si="6"/>
        <v>5436</v>
      </c>
      <c r="O16" s="12">
        <v>1069</v>
      </c>
      <c r="P16" s="12">
        <f t="shared" si="7"/>
        <v>89</v>
      </c>
      <c r="Q16" s="12">
        <v>309</v>
      </c>
      <c r="R16" s="12">
        <f t="shared" si="0"/>
        <v>47</v>
      </c>
      <c r="S16" s="12">
        <v>1023</v>
      </c>
      <c r="T16" s="12">
        <f t="shared" si="8"/>
        <v>98</v>
      </c>
      <c r="U16" s="3"/>
    </row>
    <row r="17" spans="1:21" ht="39" customHeight="1" x14ac:dyDescent="0.3">
      <c r="A17" s="7">
        <v>45880</v>
      </c>
      <c r="B17" s="21">
        <v>0.23611111111111113</v>
      </c>
      <c r="C17" s="4">
        <v>1335281</v>
      </c>
      <c r="D17" s="4">
        <f t="shared" si="1"/>
        <v>2006</v>
      </c>
      <c r="E17" s="4">
        <v>1174911</v>
      </c>
      <c r="F17" s="4">
        <f t="shared" si="2"/>
        <v>1792</v>
      </c>
      <c r="G17" s="4">
        <v>1550321</v>
      </c>
      <c r="H17" s="4">
        <f t="shared" si="3"/>
        <v>2709</v>
      </c>
      <c r="I17" s="4">
        <v>1898252</v>
      </c>
      <c r="J17" s="4">
        <f t="shared" si="4"/>
        <v>2993</v>
      </c>
      <c r="K17" s="4">
        <v>2017298</v>
      </c>
      <c r="L17" s="4">
        <f t="shared" si="5"/>
        <v>2851</v>
      </c>
      <c r="M17" s="4">
        <v>4449019</v>
      </c>
      <c r="N17" s="4">
        <f t="shared" si="6"/>
        <v>5368</v>
      </c>
      <c r="O17" s="12">
        <v>1142</v>
      </c>
      <c r="P17" s="12">
        <f t="shared" si="7"/>
        <v>73</v>
      </c>
      <c r="Q17" s="12">
        <v>341</v>
      </c>
      <c r="R17" s="12">
        <f t="shared" si="0"/>
        <v>32</v>
      </c>
      <c r="S17" s="12">
        <v>1078</v>
      </c>
      <c r="T17" s="12">
        <f t="shared" si="8"/>
        <v>55</v>
      </c>
      <c r="U17" s="3"/>
    </row>
    <row r="18" spans="1:21" ht="39" customHeight="1" x14ac:dyDescent="0.3">
      <c r="A18" s="7">
        <v>45881</v>
      </c>
      <c r="B18" s="21">
        <v>0.27083333333333331</v>
      </c>
      <c r="C18" s="4">
        <v>1337194</v>
      </c>
      <c r="D18" s="4">
        <f t="shared" si="1"/>
        <v>1913</v>
      </c>
      <c r="E18" s="4">
        <v>1176800</v>
      </c>
      <c r="F18" s="4">
        <f t="shared" si="2"/>
        <v>1889</v>
      </c>
      <c r="G18" s="4">
        <v>1552859</v>
      </c>
      <c r="H18" s="4">
        <f t="shared" si="3"/>
        <v>2538</v>
      </c>
      <c r="I18" s="4">
        <v>1901179</v>
      </c>
      <c r="J18" s="4">
        <f t="shared" si="4"/>
        <v>2927</v>
      </c>
      <c r="K18" s="4">
        <v>2020098</v>
      </c>
      <c r="L18" s="4">
        <f t="shared" si="5"/>
        <v>2800</v>
      </c>
      <c r="M18" s="4">
        <v>4454014</v>
      </c>
      <c r="N18" s="4">
        <f t="shared" si="6"/>
        <v>4995</v>
      </c>
      <c r="O18" s="12">
        <v>1237</v>
      </c>
      <c r="P18" s="12">
        <f t="shared" si="7"/>
        <v>95</v>
      </c>
      <c r="Q18" s="12">
        <v>391</v>
      </c>
      <c r="R18" s="12">
        <f t="shared" si="0"/>
        <v>50</v>
      </c>
      <c r="S18" s="12">
        <v>1138</v>
      </c>
      <c r="T18" s="12">
        <f t="shared" si="8"/>
        <v>60</v>
      </c>
      <c r="U18" s="3"/>
    </row>
    <row r="19" spans="1:21" ht="39" customHeight="1" x14ac:dyDescent="0.3">
      <c r="A19" s="7">
        <v>45882</v>
      </c>
      <c r="B19" s="21">
        <v>0.22916666666666666</v>
      </c>
      <c r="C19" s="4">
        <v>1339093</v>
      </c>
      <c r="D19" s="4">
        <f t="shared" si="1"/>
        <v>1899</v>
      </c>
      <c r="E19" s="4">
        <v>1178570</v>
      </c>
      <c r="F19" s="4">
        <f t="shared" si="2"/>
        <v>1770</v>
      </c>
      <c r="G19" s="4">
        <v>1555385</v>
      </c>
      <c r="H19" s="4">
        <f t="shared" si="3"/>
        <v>2526</v>
      </c>
      <c r="I19" s="4">
        <v>1903931</v>
      </c>
      <c r="J19" s="4">
        <f t="shared" si="4"/>
        <v>2752</v>
      </c>
      <c r="K19" s="4">
        <v>2023112</v>
      </c>
      <c r="L19" s="4">
        <f t="shared" si="5"/>
        <v>3014</v>
      </c>
      <c r="M19" s="4">
        <v>4459214</v>
      </c>
      <c r="N19" s="4">
        <f t="shared" si="6"/>
        <v>5200</v>
      </c>
      <c r="O19" s="12">
        <v>1339</v>
      </c>
      <c r="P19" s="12">
        <f t="shared" si="7"/>
        <v>102</v>
      </c>
      <c r="Q19" s="12">
        <v>433</v>
      </c>
      <c r="R19" s="12">
        <f t="shared" si="0"/>
        <v>42</v>
      </c>
      <c r="S19" s="12">
        <v>1201</v>
      </c>
      <c r="T19" s="12">
        <f t="shared" si="8"/>
        <v>63</v>
      </c>
      <c r="U19" s="3"/>
    </row>
    <row r="20" spans="1:21" ht="39" customHeight="1" x14ac:dyDescent="0.3">
      <c r="A20" s="7">
        <v>45883</v>
      </c>
      <c r="B20" s="21">
        <v>0.21875</v>
      </c>
      <c r="C20" s="4">
        <v>1341027</v>
      </c>
      <c r="D20" s="4">
        <f t="shared" si="1"/>
        <v>1934</v>
      </c>
      <c r="E20" s="4">
        <v>1180224</v>
      </c>
      <c r="F20" s="4">
        <f t="shared" si="2"/>
        <v>1654</v>
      </c>
      <c r="G20" s="4">
        <v>1558064</v>
      </c>
      <c r="H20" s="4">
        <f t="shared" si="3"/>
        <v>2679</v>
      </c>
      <c r="I20" s="4">
        <v>1906877</v>
      </c>
      <c r="J20" s="4">
        <f t="shared" si="4"/>
        <v>2946</v>
      </c>
      <c r="K20" s="4">
        <v>2025894</v>
      </c>
      <c r="L20" s="4">
        <f t="shared" si="5"/>
        <v>2782</v>
      </c>
      <c r="M20" s="4">
        <v>4464345</v>
      </c>
      <c r="N20" s="4">
        <f t="shared" si="6"/>
        <v>5131</v>
      </c>
      <c r="O20" s="12">
        <v>1435</v>
      </c>
      <c r="P20" s="12">
        <f t="shared" si="7"/>
        <v>96</v>
      </c>
      <c r="Q20" s="12">
        <v>481</v>
      </c>
      <c r="R20" s="12">
        <f t="shared" si="0"/>
        <v>48</v>
      </c>
      <c r="S20" s="12">
        <v>1255</v>
      </c>
      <c r="T20" s="12">
        <f t="shared" si="8"/>
        <v>54</v>
      </c>
      <c r="U20" s="3"/>
    </row>
    <row r="21" spans="1:21" ht="39" customHeight="1" x14ac:dyDescent="0.3">
      <c r="A21" s="7">
        <v>45884</v>
      </c>
      <c r="B21" s="21">
        <v>0.20833333333333334</v>
      </c>
      <c r="C21" s="4">
        <v>1343000</v>
      </c>
      <c r="D21" s="4">
        <f t="shared" si="1"/>
        <v>1973</v>
      </c>
      <c r="E21" s="4">
        <v>1181834</v>
      </c>
      <c r="F21" s="4">
        <f t="shared" si="2"/>
        <v>1610</v>
      </c>
      <c r="G21" s="4">
        <v>1560833</v>
      </c>
      <c r="H21" s="4">
        <f t="shared" si="3"/>
        <v>2769</v>
      </c>
      <c r="I21" s="4">
        <v>1909847</v>
      </c>
      <c r="J21" s="4">
        <f t="shared" si="4"/>
        <v>2970</v>
      </c>
      <c r="K21" s="4">
        <v>2029020</v>
      </c>
      <c r="L21" s="4">
        <f t="shared" si="5"/>
        <v>3126</v>
      </c>
      <c r="M21" s="4">
        <v>4469717</v>
      </c>
      <c r="N21" s="4">
        <f t="shared" si="6"/>
        <v>5372</v>
      </c>
      <c r="O21" s="12">
        <v>1538</v>
      </c>
      <c r="P21" s="12">
        <f t="shared" si="7"/>
        <v>103</v>
      </c>
      <c r="Q21" s="12">
        <v>524</v>
      </c>
      <c r="R21" s="12">
        <f t="shared" si="0"/>
        <v>43</v>
      </c>
      <c r="S21" s="12">
        <v>1326</v>
      </c>
      <c r="T21" s="12">
        <f t="shared" si="8"/>
        <v>71</v>
      </c>
      <c r="U21" s="3"/>
    </row>
    <row r="22" spans="1:21" ht="39" customHeight="1" x14ac:dyDescent="0.3">
      <c r="A22" s="7">
        <v>45885</v>
      </c>
      <c r="B22" s="21">
        <v>0.20138888888888887</v>
      </c>
      <c r="C22" s="4">
        <v>1345124</v>
      </c>
      <c r="D22" s="4">
        <f t="shared" si="1"/>
        <v>2124</v>
      </c>
      <c r="E22" s="4">
        <v>1183654</v>
      </c>
      <c r="F22" s="4">
        <f t="shared" si="2"/>
        <v>1820</v>
      </c>
      <c r="G22" s="4">
        <v>1563558</v>
      </c>
      <c r="H22" s="4">
        <f t="shared" si="3"/>
        <v>2725</v>
      </c>
      <c r="I22" s="4">
        <v>1912757</v>
      </c>
      <c r="J22" s="4">
        <f t="shared" si="4"/>
        <v>2910</v>
      </c>
      <c r="K22" s="4">
        <v>2032121</v>
      </c>
      <c r="L22" s="4">
        <f t="shared" si="5"/>
        <v>3101</v>
      </c>
      <c r="M22" s="4">
        <v>4475141</v>
      </c>
      <c r="N22" s="4">
        <f t="shared" si="6"/>
        <v>5424</v>
      </c>
      <c r="O22" s="12">
        <v>1643</v>
      </c>
      <c r="P22" s="12">
        <f t="shared" si="7"/>
        <v>105</v>
      </c>
      <c r="Q22" s="12">
        <v>580</v>
      </c>
      <c r="R22" s="12">
        <f t="shared" si="0"/>
        <v>56</v>
      </c>
      <c r="S22" s="12">
        <v>1338</v>
      </c>
      <c r="T22" s="12">
        <f t="shared" si="8"/>
        <v>12</v>
      </c>
      <c r="U22" s="3"/>
    </row>
    <row r="23" spans="1:21" ht="39" customHeight="1" x14ac:dyDescent="0.3">
      <c r="A23" s="7">
        <v>45886</v>
      </c>
      <c r="B23" s="21">
        <v>0.21527777777777779</v>
      </c>
      <c r="C23" s="4">
        <v>1347261</v>
      </c>
      <c r="D23" s="4">
        <f t="shared" si="1"/>
        <v>2137</v>
      </c>
      <c r="E23" s="4">
        <v>1185530</v>
      </c>
      <c r="F23" s="4">
        <f t="shared" si="2"/>
        <v>1876</v>
      </c>
      <c r="G23" s="4">
        <v>1566160</v>
      </c>
      <c r="H23" s="4">
        <f t="shared" si="3"/>
        <v>2602</v>
      </c>
      <c r="I23" s="4">
        <v>1915478</v>
      </c>
      <c r="J23" s="4">
        <f t="shared" si="4"/>
        <v>2721</v>
      </c>
      <c r="K23" s="4">
        <v>2035106</v>
      </c>
      <c r="L23" s="4">
        <f t="shared" si="5"/>
        <v>2985</v>
      </c>
      <c r="M23" s="4">
        <v>4480468</v>
      </c>
      <c r="N23" s="4">
        <f t="shared" si="6"/>
        <v>5327</v>
      </c>
      <c r="O23" s="12">
        <v>1718</v>
      </c>
      <c r="P23" s="12">
        <f t="shared" si="7"/>
        <v>75</v>
      </c>
      <c r="Q23" s="12">
        <v>613</v>
      </c>
      <c r="R23" s="12">
        <f t="shared" si="0"/>
        <v>33</v>
      </c>
      <c r="S23" s="12">
        <v>1446</v>
      </c>
      <c r="T23" s="12">
        <f t="shared" si="8"/>
        <v>108</v>
      </c>
      <c r="U23" s="3"/>
    </row>
    <row r="24" spans="1:21" ht="39" customHeight="1" x14ac:dyDescent="0.3">
      <c r="A24" s="7">
        <v>45887</v>
      </c>
      <c r="B24" s="21">
        <v>0.22916666666666666</v>
      </c>
      <c r="C24" s="4">
        <v>1349451</v>
      </c>
      <c r="D24" s="4">
        <f t="shared" si="1"/>
        <v>2190</v>
      </c>
      <c r="E24" s="4">
        <v>1187375</v>
      </c>
      <c r="F24" s="4">
        <f t="shared" si="2"/>
        <v>1845</v>
      </c>
      <c r="G24" s="4">
        <v>1568835</v>
      </c>
      <c r="H24" s="4">
        <f t="shared" si="3"/>
        <v>2675</v>
      </c>
      <c r="I24" s="4">
        <v>1918106</v>
      </c>
      <c r="J24" s="4">
        <f t="shared" si="4"/>
        <v>2628</v>
      </c>
      <c r="K24" s="4">
        <v>2038044</v>
      </c>
      <c r="L24" s="4">
        <f t="shared" si="5"/>
        <v>2938</v>
      </c>
      <c r="M24" s="4">
        <v>4486764</v>
      </c>
      <c r="N24" s="4">
        <f>M24-M23</f>
        <v>6296</v>
      </c>
      <c r="O24" s="12">
        <v>1818</v>
      </c>
      <c r="P24" s="12">
        <f t="shared" si="7"/>
        <v>100</v>
      </c>
      <c r="Q24" s="12">
        <v>667</v>
      </c>
      <c r="R24" s="12">
        <f t="shared" si="0"/>
        <v>54</v>
      </c>
      <c r="S24" s="12">
        <v>1506</v>
      </c>
      <c r="T24" s="12">
        <f t="shared" si="8"/>
        <v>60</v>
      </c>
      <c r="U24" s="3"/>
    </row>
    <row r="25" spans="1:21" ht="39" customHeight="1" x14ac:dyDescent="0.3">
      <c r="A25" s="7">
        <v>45888</v>
      </c>
      <c r="B25" s="21">
        <v>0.23958333333333334</v>
      </c>
      <c r="C25" s="4">
        <v>1351514</v>
      </c>
      <c r="D25" s="4">
        <f t="shared" si="1"/>
        <v>2063</v>
      </c>
      <c r="E25" s="4">
        <v>1189017</v>
      </c>
      <c r="F25" s="4">
        <f t="shared" si="2"/>
        <v>1642</v>
      </c>
      <c r="G25" s="4">
        <v>1571442</v>
      </c>
      <c r="H25" s="4">
        <f t="shared" si="3"/>
        <v>2607</v>
      </c>
      <c r="I25" s="4">
        <v>1920600</v>
      </c>
      <c r="J25" s="4">
        <f t="shared" si="4"/>
        <v>2494</v>
      </c>
      <c r="K25" s="4">
        <v>2041167</v>
      </c>
      <c r="L25" s="4">
        <f t="shared" si="5"/>
        <v>3123</v>
      </c>
      <c r="M25" s="4">
        <v>4492951</v>
      </c>
      <c r="N25" s="4">
        <f t="shared" si="6"/>
        <v>6187</v>
      </c>
      <c r="O25" s="12">
        <v>1928</v>
      </c>
      <c r="P25" s="12">
        <f t="shared" si="7"/>
        <v>110</v>
      </c>
      <c r="Q25" s="12">
        <v>719</v>
      </c>
      <c r="R25" s="12">
        <f t="shared" si="0"/>
        <v>52</v>
      </c>
      <c r="S25" s="12">
        <v>1580</v>
      </c>
      <c r="T25" s="12">
        <f t="shared" si="8"/>
        <v>74</v>
      </c>
      <c r="U25" s="3"/>
    </row>
    <row r="26" spans="1:21" ht="39" customHeight="1" x14ac:dyDescent="0.3">
      <c r="A26" s="7">
        <v>45889</v>
      </c>
      <c r="B26" s="21">
        <v>0.24652777777777779</v>
      </c>
      <c r="C26" s="4">
        <v>1353506</v>
      </c>
      <c r="D26" s="4">
        <f t="shared" si="1"/>
        <v>1992</v>
      </c>
      <c r="E26" s="4">
        <v>1190683</v>
      </c>
      <c r="F26" s="4">
        <f t="shared" si="2"/>
        <v>1666</v>
      </c>
      <c r="G26" s="4">
        <v>1573934</v>
      </c>
      <c r="H26" s="4">
        <f t="shared" si="3"/>
        <v>2492</v>
      </c>
      <c r="I26" s="4">
        <v>1922960</v>
      </c>
      <c r="J26" s="4">
        <f t="shared" si="4"/>
        <v>2360</v>
      </c>
      <c r="K26" s="4">
        <v>2044046</v>
      </c>
      <c r="L26" s="4">
        <f t="shared" si="5"/>
        <v>2879</v>
      </c>
      <c r="M26" s="4">
        <v>4499117</v>
      </c>
      <c r="N26" s="4">
        <f t="shared" si="6"/>
        <v>6166</v>
      </c>
      <c r="O26" s="12">
        <v>2039</v>
      </c>
      <c r="P26" s="12">
        <f t="shared" si="7"/>
        <v>111</v>
      </c>
      <c r="Q26" s="12">
        <v>780</v>
      </c>
      <c r="R26" s="12">
        <f t="shared" si="0"/>
        <v>61</v>
      </c>
      <c r="S26" s="12">
        <v>1625</v>
      </c>
      <c r="T26" s="12">
        <f t="shared" si="8"/>
        <v>45</v>
      </c>
      <c r="U26" s="3"/>
    </row>
    <row r="27" spans="1:21" ht="39" customHeight="1" x14ac:dyDescent="0.4">
      <c r="A27" s="7">
        <v>45890</v>
      </c>
      <c r="B27" s="21">
        <v>0.20833333333333334</v>
      </c>
      <c r="C27" s="4">
        <v>1355476</v>
      </c>
      <c r="D27" s="4">
        <f t="shared" si="1"/>
        <v>1970</v>
      </c>
      <c r="E27" s="4">
        <v>1192310</v>
      </c>
      <c r="F27" s="4">
        <f t="shared" si="2"/>
        <v>1627</v>
      </c>
      <c r="G27" s="4">
        <v>1576580</v>
      </c>
      <c r="H27" s="4">
        <f t="shared" si="3"/>
        <v>2646</v>
      </c>
      <c r="I27" s="4">
        <v>1925330</v>
      </c>
      <c r="J27" s="4">
        <f t="shared" si="4"/>
        <v>2370</v>
      </c>
      <c r="K27" s="4">
        <v>2046909</v>
      </c>
      <c r="L27" s="4">
        <f t="shared" si="5"/>
        <v>2863</v>
      </c>
      <c r="M27" s="4">
        <v>4505277</v>
      </c>
      <c r="N27" s="4">
        <f t="shared" si="6"/>
        <v>6160</v>
      </c>
      <c r="O27" s="12">
        <v>2159</v>
      </c>
      <c r="P27" s="12">
        <f t="shared" si="7"/>
        <v>120</v>
      </c>
      <c r="Q27" s="13">
        <v>823</v>
      </c>
      <c r="R27" s="12">
        <f t="shared" si="0"/>
        <v>43</v>
      </c>
      <c r="S27" s="12">
        <v>1657</v>
      </c>
      <c r="T27" s="12">
        <f t="shared" si="8"/>
        <v>32</v>
      </c>
      <c r="U27" s="3"/>
    </row>
    <row r="28" spans="1:21" ht="39" customHeight="1" x14ac:dyDescent="0.35">
      <c r="A28" s="7">
        <v>45891</v>
      </c>
      <c r="B28" s="21">
        <v>0.27083333333333331</v>
      </c>
      <c r="C28" s="5">
        <v>1357181</v>
      </c>
      <c r="D28" s="4">
        <f t="shared" si="1"/>
        <v>1705</v>
      </c>
      <c r="E28" s="4">
        <v>1193815</v>
      </c>
      <c r="F28" s="4">
        <f t="shared" si="2"/>
        <v>1505</v>
      </c>
      <c r="G28" s="5">
        <v>1578899</v>
      </c>
      <c r="H28" s="4">
        <f t="shared" si="3"/>
        <v>2319</v>
      </c>
      <c r="I28" s="5">
        <v>1927485</v>
      </c>
      <c r="J28" s="4">
        <f t="shared" si="4"/>
        <v>2155</v>
      </c>
      <c r="K28" s="4">
        <v>2049866</v>
      </c>
      <c r="L28" s="4">
        <f t="shared" si="5"/>
        <v>2957</v>
      </c>
      <c r="M28" s="4">
        <v>4510590</v>
      </c>
      <c r="N28" s="4">
        <f t="shared" si="6"/>
        <v>5313</v>
      </c>
      <c r="O28" s="12">
        <v>2276</v>
      </c>
      <c r="P28" s="12">
        <f t="shared" si="7"/>
        <v>117</v>
      </c>
      <c r="Q28" s="14">
        <v>878</v>
      </c>
      <c r="R28" s="12">
        <f t="shared" si="0"/>
        <v>55</v>
      </c>
      <c r="S28" s="12">
        <v>1750</v>
      </c>
      <c r="T28" s="12">
        <f t="shared" si="8"/>
        <v>93</v>
      </c>
      <c r="U28" s="3"/>
    </row>
    <row r="29" spans="1:21" ht="39" customHeight="1" x14ac:dyDescent="0.35">
      <c r="A29" s="7">
        <v>45892</v>
      </c>
      <c r="B29" s="21">
        <v>0.20833333333333334</v>
      </c>
      <c r="C29" s="5">
        <v>1358868</v>
      </c>
      <c r="D29" s="4">
        <f t="shared" si="1"/>
        <v>1687</v>
      </c>
      <c r="E29" s="4">
        <v>1195401</v>
      </c>
      <c r="F29" s="4">
        <f t="shared" si="2"/>
        <v>1586</v>
      </c>
      <c r="G29" s="5">
        <v>1581299</v>
      </c>
      <c r="H29" s="4">
        <f t="shared" si="3"/>
        <v>2400</v>
      </c>
      <c r="I29" s="5">
        <v>1929641</v>
      </c>
      <c r="J29" s="4">
        <f t="shared" si="4"/>
        <v>2156</v>
      </c>
      <c r="K29" s="4">
        <v>2053028</v>
      </c>
      <c r="L29" s="4">
        <f t="shared" si="5"/>
        <v>3162</v>
      </c>
      <c r="M29" s="4">
        <v>4516424</v>
      </c>
      <c r="N29" s="4">
        <f t="shared" si="6"/>
        <v>5834</v>
      </c>
      <c r="O29" s="12">
        <v>2390</v>
      </c>
      <c r="P29" s="12">
        <f t="shared" si="7"/>
        <v>114</v>
      </c>
      <c r="Q29" s="14">
        <v>926</v>
      </c>
      <c r="R29" s="12">
        <f t="shared" si="0"/>
        <v>48</v>
      </c>
      <c r="S29" s="12">
        <v>1853</v>
      </c>
      <c r="T29" s="12">
        <f t="shared" si="8"/>
        <v>103</v>
      </c>
      <c r="U29" s="3"/>
    </row>
    <row r="30" spans="1:21" ht="39" customHeight="1" x14ac:dyDescent="0.35">
      <c r="A30" s="7">
        <v>45893</v>
      </c>
      <c r="B30" s="21">
        <v>0.1875</v>
      </c>
      <c r="C30" s="5">
        <v>1359960</v>
      </c>
      <c r="D30" s="4">
        <f t="shared" si="1"/>
        <v>1092</v>
      </c>
      <c r="E30" s="4">
        <v>1197111</v>
      </c>
      <c r="F30" s="4">
        <f t="shared" si="2"/>
        <v>1710</v>
      </c>
      <c r="G30" s="5">
        <v>1583719</v>
      </c>
      <c r="H30" s="4">
        <f t="shared" si="3"/>
        <v>2420</v>
      </c>
      <c r="I30" s="5">
        <v>1931953</v>
      </c>
      <c r="J30" s="4">
        <f t="shared" si="4"/>
        <v>2312</v>
      </c>
      <c r="K30" s="5">
        <v>2055822</v>
      </c>
      <c r="L30" s="4">
        <f t="shared" si="5"/>
        <v>2794</v>
      </c>
      <c r="M30" s="4">
        <v>4522453</v>
      </c>
      <c r="N30" s="4">
        <f t="shared" si="6"/>
        <v>6029</v>
      </c>
      <c r="O30" s="12">
        <v>2488</v>
      </c>
      <c r="P30" s="12">
        <f t="shared" si="7"/>
        <v>98</v>
      </c>
      <c r="Q30" s="14">
        <v>983</v>
      </c>
      <c r="R30" s="12">
        <f t="shared" si="0"/>
        <v>57</v>
      </c>
      <c r="S30" s="12">
        <v>1913</v>
      </c>
      <c r="T30" s="12">
        <f t="shared" si="8"/>
        <v>60</v>
      </c>
      <c r="U30" s="3"/>
    </row>
    <row r="31" spans="1:21" ht="39" customHeight="1" x14ac:dyDescent="0.3">
      <c r="A31" s="7">
        <v>45894</v>
      </c>
      <c r="B31" s="21">
        <v>0.27083333333333331</v>
      </c>
      <c r="C31" s="5">
        <v>1360949</v>
      </c>
      <c r="D31" s="4">
        <f t="shared" si="1"/>
        <v>989</v>
      </c>
      <c r="E31" s="4">
        <v>1198753</v>
      </c>
      <c r="F31" s="4">
        <f t="shared" si="2"/>
        <v>1642</v>
      </c>
      <c r="G31" s="5">
        <v>1586085</v>
      </c>
      <c r="H31" s="4">
        <f t="shared" si="3"/>
        <v>2366</v>
      </c>
      <c r="I31" s="5">
        <v>1934316</v>
      </c>
      <c r="J31" s="4">
        <f t="shared" si="4"/>
        <v>2363</v>
      </c>
      <c r="K31" s="5">
        <v>2058573</v>
      </c>
      <c r="L31" s="4">
        <f t="shared" ref="L31:L37" si="9">K31-K30</f>
        <v>2751</v>
      </c>
      <c r="M31" s="4">
        <v>4527915</v>
      </c>
      <c r="N31" s="4">
        <f t="shared" si="6"/>
        <v>5462</v>
      </c>
      <c r="O31" s="12">
        <v>2602</v>
      </c>
      <c r="P31" s="12">
        <f t="shared" si="7"/>
        <v>114</v>
      </c>
      <c r="Q31" s="12">
        <v>1017</v>
      </c>
      <c r="R31" s="12">
        <f t="shared" si="0"/>
        <v>34</v>
      </c>
      <c r="S31" s="12">
        <v>1967</v>
      </c>
      <c r="T31" s="12">
        <f t="shared" si="8"/>
        <v>54</v>
      </c>
      <c r="U31" s="3"/>
    </row>
    <row r="32" spans="1:21" ht="39" customHeight="1" x14ac:dyDescent="0.3">
      <c r="A32" s="7">
        <v>45895</v>
      </c>
      <c r="B32" s="21">
        <v>0.25</v>
      </c>
      <c r="C32" s="4">
        <v>1362568</v>
      </c>
      <c r="D32" s="4">
        <f t="shared" si="1"/>
        <v>1619</v>
      </c>
      <c r="E32" s="4">
        <v>1200456</v>
      </c>
      <c r="F32" s="4">
        <f t="shared" si="2"/>
        <v>1703</v>
      </c>
      <c r="G32" s="4">
        <v>1588504</v>
      </c>
      <c r="H32" s="4">
        <f t="shared" si="3"/>
        <v>2419</v>
      </c>
      <c r="I32" s="4">
        <v>1936778</v>
      </c>
      <c r="J32" s="4">
        <f t="shared" si="4"/>
        <v>2462</v>
      </c>
      <c r="K32" s="4">
        <v>2061301</v>
      </c>
      <c r="L32" s="4">
        <f t="shared" si="9"/>
        <v>2728</v>
      </c>
      <c r="M32" s="4">
        <v>4533412</v>
      </c>
      <c r="N32" s="4">
        <f t="shared" si="6"/>
        <v>5497</v>
      </c>
      <c r="O32" s="12">
        <v>2721</v>
      </c>
      <c r="P32" s="12">
        <f t="shared" si="7"/>
        <v>119</v>
      </c>
      <c r="Q32" s="12">
        <v>1069</v>
      </c>
      <c r="R32" s="12">
        <f t="shared" si="0"/>
        <v>52</v>
      </c>
      <c r="S32" s="12">
        <v>2010</v>
      </c>
      <c r="T32" s="12">
        <f t="shared" si="8"/>
        <v>43</v>
      </c>
      <c r="U32" s="3"/>
    </row>
    <row r="33" spans="1:21" ht="39" customHeight="1" x14ac:dyDescent="0.3">
      <c r="A33" s="7">
        <v>45896</v>
      </c>
      <c r="B33" s="21">
        <v>0.25694444444444448</v>
      </c>
      <c r="C33" s="4">
        <v>1364248</v>
      </c>
      <c r="D33" s="4">
        <f t="shared" si="1"/>
        <v>1680</v>
      </c>
      <c r="E33" s="4">
        <v>1202251</v>
      </c>
      <c r="F33" s="4">
        <f t="shared" si="2"/>
        <v>1795</v>
      </c>
      <c r="G33" s="4">
        <v>1590955</v>
      </c>
      <c r="H33" s="4">
        <f t="shared" si="3"/>
        <v>2451</v>
      </c>
      <c r="I33" s="4">
        <v>1939212</v>
      </c>
      <c r="J33" s="4">
        <f t="shared" si="4"/>
        <v>2434</v>
      </c>
      <c r="K33" s="4">
        <v>2064063</v>
      </c>
      <c r="L33" s="4">
        <f t="shared" si="9"/>
        <v>2762</v>
      </c>
      <c r="M33" s="4">
        <v>4539171</v>
      </c>
      <c r="N33" s="4">
        <f t="shared" si="6"/>
        <v>5759</v>
      </c>
      <c r="O33" s="12">
        <v>2837</v>
      </c>
      <c r="P33" s="12">
        <f t="shared" si="7"/>
        <v>116</v>
      </c>
      <c r="Q33" s="12">
        <v>1116</v>
      </c>
      <c r="R33" s="12">
        <f t="shared" si="0"/>
        <v>47</v>
      </c>
      <c r="S33" s="12">
        <v>2065</v>
      </c>
      <c r="T33" s="12">
        <f t="shared" si="8"/>
        <v>55</v>
      </c>
      <c r="U33" s="3"/>
    </row>
    <row r="34" spans="1:21" ht="39" customHeight="1" x14ac:dyDescent="0.3">
      <c r="A34" s="7">
        <v>45897</v>
      </c>
      <c r="B34" s="21">
        <v>0.2638888888888889</v>
      </c>
      <c r="C34" s="4">
        <v>1365877</v>
      </c>
      <c r="D34" s="4">
        <f t="shared" si="1"/>
        <v>1629</v>
      </c>
      <c r="E34" s="4">
        <v>1203931</v>
      </c>
      <c r="F34" s="4">
        <f t="shared" si="2"/>
        <v>1680</v>
      </c>
      <c r="G34" s="4">
        <v>1593401</v>
      </c>
      <c r="H34" s="4">
        <f t="shared" si="3"/>
        <v>2446</v>
      </c>
      <c r="I34" s="4">
        <v>1941634</v>
      </c>
      <c r="J34" s="4">
        <f t="shared" si="4"/>
        <v>2422</v>
      </c>
      <c r="K34" s="4">
        <v>2066915</v>
      </c>
      <c r="L34" s="4">
        <f t="shared" si="9"/>
        <v>2852</v>
      </c>
      <c r="M34" s="4">
        <v>4544791</v>
      </c>
      <c r="N34" s="4">
        <f t="shared" si="6"/>
        <v>5620</v>
      </c>
      <c r="O34" s="12">
        <v>2980</v>
      </c>
      <c r="P34" s="12">
        <f t="shared" si="7"/>
        <v>143</v>
      </c>
      <c r="Q34" s="12">
        <v>1170</v>
      </c>
      <c r="R34" s="12">
        <f t="shared" si="0"/>
        <v>54</v>
      </c>
      <c r="S34" s="12">
        <v>2150</v>
      </c>
      <c r="T34" s="12">
        <f t="shared" si="8"/>
        <v>85</v>
      </c>
      <c r="U34" s="3"/>
    </row>
    <row r="35" spans="1:21" ht="39" customHeight="1" x14ac:dyDescent="0.3">
      <c r="A35" s="7">
        <v>45898</v>
      </c>
      <c r="B35" s="21">
        <v>0.24652777777777779</v>
      </c>
      <c r="C35" s="4"/>
      <c r="D35" s="4">
        <f t="shared" si="1"/>
        <v>-1365877</v>
      </c>
      <c r="E35" s="4"/>
      <c r="F35" s="4">
        <f t="shared" si="2"/>
        <v>-1203931</v>
      </c>
      <c r="G35" s="4"/>
      <c r="H35" s="4">
        <f t="shared" si="3"/>
        <v>-1593401</v>
      </c>
      <c r="I35" s="4"/>
      <c r="J35" s="4">
        <f t="shared" si="4"/>
        <v>-1941634</v>
      </c>
      <c r="K35" s="4">
        <v>2069765</v>
      </c>
      <c r="L35" s="4">
        <f t="shared" si="9"/>
        <v>2850</v>
      </c>
      <c r="M35" s="4"/>
      <c r="N35" s="4">
        <f t="shared" si="6"/>
        <v>-4544791</v>
      </c>
      <c r="O35" s="12">
        <v>3100</v>
      </c>
      <c r="P35" s="12">
        <f t="shared" si="7"/>
        <v>120</v>
      </c>
      <c r="Q35" s="12">
        <v>1212</v>
      </c>
      <c r="R35" s="12">
        <f t="shared" si="0"/>
        <v>42</v>
      </c>
      <c r="S35" s="12">
        <v>2190</v>
      </c>
      <c r="T35" s="12">
        <f t="shared" si="8"/>
        <v>40</v>
      </c>
      <c r="U35" s="3"/>
    </row>
    <row r="36" spans="1:21" ht="39" customHeight="1" x14ac:dyDescent="0.3">
      <c r="A36" s="7">
        <v>45899</v>
      </c>
      <c r="B36" s="19"/>
      <c r="C36" s="4"/>
      <c r="D36" s="4">
        <f>C36-C35</f>
        <v>0</v>
      </c>
      <c r="E36" s="4"/>
      <c r="F36" s="4">
        <f>E36-E35</f>
        <v>0</v>
      </c>
      <c r="G36" s="4"/>
      <c r="H36" s="4">
        <f>G36-G35</f>
        <v>0</v>
      </c>
      <c r="I36" s="4"/>
      <c r="J36" s="4">
        <f>I36-I35</f>
        <v>0</v>
      </c>
      <c r="K36" s="4"/>
      <c r="L36" s="4">
        <f t="shared" si="9"/>
        <v>-2069765</v>
      </c>
      <c r="M36" s="4"/>
      <c r="N36" s="4">
        <f>M36-M35</f>
        <v>0</v>
      </c>
      <c r="O36" s="12"/>
      <c r="P36" s="12">
        <f>O36-O35</f>
        <v>-3100</v>
      </c>
      <c r="Q36" s="12"/>
      <c r="R36" s="12">
        <f t="shared" si="0"/>
        <v>-1212</v>
      </c>
      <c r="S36" s="12"/>
      <c r="T36" s="12">
        <f>S36-S35</f>
        <v>-2190</v>
      </c>
      <c r="U36" s="3"/>
    </row>
    <row r="37" spans="1:21" ht="39" customHeight="1" x14ac:dyDescent="0.3">
      <c r="A37" s="7">
        <v>45900</v>
      </c>
      <c r="B37" s="19"/>
      <c r="C37" s="4"/>
      <c r="D37" s="4">
        <f>C37-C36</f>
        <v>0</v>
      </c>
      <c r="E37" s="4"/>
      <c r="F37" s="4">
        <f>E37-E36</f>
        <v>0</v>
      </c>
      <c r="G37" s="4"/>
      <c r="H37" s="4">
        <f>G37-G36</f>
        <v>0</v>
      </c>
      <c r="I37" s="4"/>
      <c r="J37" s="4">
        <f>I37-I36</f>
        <v>0</v>
      </c>
      <c r="K37" s="4"/>
      <c r="L37" s="4">
        <f t="shared" si="9"/>
        <v>0</v>
      </c>
      <c r="M37" s="4"/>
      <c r="N37" s="4">
        <f>M37-M36</f>
        <v>0</v>
      </c>
      <c r="O37" s="12"/>
      <c r="P37" s="12">
        <f>O37-O36</f>
        <v>0</v>
      </c>
      <c r="Q37" s="12"/>
      <c r="R37" s="12">
        <f t="shared" si="0"/>
        <v>0</v>
      </c>
      <c r="S37" s="12"/>
      <c r="T37" s="12">
        <f>S37-S36</f>
        <v>0</v>
      </c>
      <c r="U37" s="3"/>
    </row>
    <row r="38" spans="1:21" x14ac:dyDescent="0.3">
      <c r="D38" s="1">
        <f>D37-D6</f>
        <v>0</v>
      </c>
      <c r="F38" s="1">
        <f>F37-F6</f>
        <v>0</v>
      </c>
      <c r="H38" s="1">
        <f>H37-H6</f>
        <v>0</v>
      </c>
      <c r="J38" s="1">
        <f>J37-J6</f>
        <v>0</v>
      </c>
      <c r="L38" s="1">
        <f>L37-L6</f>
        <v>0</v>
      </c>
      <c r="N38" s="1">
        <f>N37-N6</f>
        <v>0</v>
      </c>
      <c r="P38" s="1">
        <f>P37-P6</f>
        <v>0</v>
      </c>
      <c r="R38" s="1">
        <f>R37-R6</f>
        <v>0</v>
      </c>
      <c r="T38" s="1">
        <f>T37-T6</f>
        <v>0</v>
      </c>
    </row>
  </sheetData>
  <mergeCells count="22">
    <mergeCell ref="T2:T4"/>
    <mergeCell ref="L2:L4"/>
    <mergeCell ref="N2:N4"/>
    <mergeCell ref="K4:K5"/>
    <mergeCell ref="M4:M5"/>
    <mergeCell ref="R2:R4"/>
    <mergeCell ref="A4:A5"/>
    <mergeCell ref="C1:U1"/>
    <mergeCell ref="D2:D4"/>
    <mergeCell ref="P2:P4"/>
    <mergeCell ref="U2:U5"/>
    <mergeCell ref="F2:F4"/>
    <mergeCell ref="O2:O4"/>
    <mergeCell ref="Q2:Q4"/>
    <mergeCell ref="B2:B5"/>
    <mergeCell ref="C4:C5"/>
    <mergeCell ref="E4:E5"/>
    <mergeCell ref="H2:H4"/>
    <mergeCell ref="G4:G5"/>
    <mergeCell ref="J2:J4"/>
    <mergeCell ref="I4:I5"/>
    <mergeCell ref="S2:S4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129D9069525B4A8C299D6D6E4D9842" ma:contentTypeVersion="16" ma:contentTypeDescription="Create a new document." ma:contentTypeScope="" ma:versionID="e54e0c0dea70299338c727cec1b8bdef">
  <xsd:schema xmlns:xsd="http://www.w3.org/2001/XMLSchema" xmlns:xs="http://www.w3.org/2001/XMLSchema" xmlns:p="http://schemas.microsoft.com/office/2006/metadata/properties" xmlns:ns3="bdac2669-c29b-4eee-91c8-439ba055a508" xmlns:ns4="8ab914d0-83cb-4256-bfab-90cf244784c7" targetNamespace="http://schemas.microsoft.com/office/2006/metadata/properties" ma:root="true" ma:fieldsID="75e53a7030d9167bdcea465d4aad9651" ns3:_="" ns4:_="">
    <xsd:import namespace="bdac2669-c29b-4eee-91c8-439ba055a508"/>
    <xsd:import namespace="8ab914d0-83cb-4256-bfab-90cf244784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ac2669-c29b-4eee-91c8-439ba055a5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b914d0-83cb-4256-bfab-90cf244784c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dac2669-c29b-4eee-91c8-439ba055a508" xsi:nil="true"/>
  </documentManagement>
</p:properties>
</file>

<file path=customXml/itemProps1.xml><?xml version="1.0" encoding="utf-8"?>
<ds:datastoreItem xmlns:ds="http://schemas.openxmlformats.org/officeDocument/2006/customXml" ds:itemID="{A1EE0889-3C7D-4A1D-8F6C-CBC732B801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ac2669-c29b-4eee-91c8-439ba055a508"/>
    <ds:schemaRef ds:uri="8ab914d0-83cb-4256-bfab-90cf244784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509642-2593-4443-9081-B746EEEC7E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688C7A-5E58-4F59-8DB0-1F93F20E5B17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8ab914d0-83cb-4256-bfab-90cf244784c7"/>
    <ds:schemaRef ds:uri="http://schemas.openxmlformats.org/package/2006/metadata/core-properties"/>
    <ds:schemaRef ds:uri="bdac2669-c29b-4eee-91c8-439ba055a508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BAN-M Electrical &amp; Water July25</vt:lpstr>
      <vt:lpstr>'BAN-M Electrical &amp; Water July25'!Print_Area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Joe El Khoury</cp:lastModifiedBy>
  <cp:lastPrinted>2025-06-12T01:59:54Z</cp:lastPrinted>
  <dcterms:created xsi:type="dcterms:W3CDTF">2018-12-27T05:07:34Z</dcterms:created>
  <dcterms:modified xsi:type="dcterms:W3CDTF">2025-10-20T16:31:47Z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  <property fmtid="{D5CDD505-2E9C-101B-9397-08002B2CF9AE}" pid="9" name="ContentTypeId">
    <vt:lpwstr>0x01010005129D9069525B4A8C299D6D6E4D9842</vt:lpwstr>
  </property>
</Properties>
</file>