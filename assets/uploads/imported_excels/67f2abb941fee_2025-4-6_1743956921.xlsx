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5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6.xml" ContentType="application/vnd.openxmlformats-officedocument.drawingml.chart+xml"/>
  <Override PartName="/xl/drawings/drawing17.xml" ContentType="application/vnd.openxmlformats-officedocument.drawing+xml"/>
  <Override PartName="/xl/charts/chart7.xml" ContentType="application/vnd.openxmlformats-officedocument.drawingml.chart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55.xml" ContentType="application/vnd.openxmlformats-officedocument.drawingml.chart+xml"/>
  <Override PartName="/xl/drawings/drawing22.xml" ContentType="application/vnd.openxmlformats-officedocument.drawingml.chartshapes+xml"/>
  <Override PartName="/xl/charts/chart56.xml" ContentType="application/vnd.openxmlformats-officedocument.drawingml.chart+xml"/>
  <Override PartName="/xl/drawings/drawing23.xml" ContentType="application/vnd.openxmlformats-officedocument.drawingml.chartshapes+xml"/>
  <Override PartName="/xl/charts/chart57.xml" ContentType="application/vnd.openxmlformats-officedocument.drawingml.chart+xml"/>
  <Override PartName="/xl/drawings/drawing24.xml" ContentType="application/vnd.openxmlformats-officedocument.drawingml.chartshapes+xml"/>
  <Override PartName="/xl/charts/chart58.xml" ContentType="application/vnd.openxmlformats-officedocument.drawingml.chart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4AA647C2-39EA-484B-AF74-A85573F6038C}" xr6:coauthVersionLast="47" xr6:coauthVersionMax="47" xr10:uidLastSave="{00000000-0000-0000-0000-000000000000}"/>
  <bookViews>
    <workbookView showVerticalScroll="0" xWindow="-108" yWindow="-108" windowWidth="23256" windowHeight="12456" tabRatio="912" xr2:uid="{00000000-000D-0000-FFFF-FFFF00000000}"/>
  </bookViews>
  <sheets>
    <sheet name="Total" sheetId="50" r:id="rId1"/>
    <sheet name="Daily Consumption" sheetId="28" r:id="rId2"/>
    <sheet name="Reading.4.25" sheetId="6" r:id="rId3"/>
    <sheet name="cost.4.25" sheetId="5" r:id="rId4"/>
    <sheet name="Domestic Water" sheetId="47" r:id="rId5"/>
    <sheet name="Main Pool" sheetId="40" r:id="rId6"/>
    <sheet name="Heated Pool" sheetId="41" r:id="rId7"/>
    <sheet name="Kids pool " sheetId="42" r:id="rId8"/>
    <sheet name="Jacuzzi" sheetId="43" r:id="rId9"/>
    <sheet name="Fountains &amp; Lagoons" sheetId="44" r:id="rId10"/>
    <sheet name="Boilers" sheetId="45" r:id="rId11"/>
    <sheet name="Electricity Chart" sheetId="7" r:id="rId12"/>
    <sheet name="Chillers" sheetId="46" r:id="rId13"/>
    <sheet name="Boiler Gas Chart" sheetId="8" r:id="rId14"/>
    <sheet name="Kitchen Gas Chart" sheetId="9" r:id="rId15"/>
    <sheet name="Water Consumption" sheetId="10" r:id="rId16"/>
    <sheet name="Reading.4.24" sheetId="26" r:id="rId17"/>
    <sheet name="Cost.4.24" sheetId="38" r:id="rId18"/>
    <sheet name="Sheet1" sheetId="37" r:id="rId19"/>
    <sheet name="Daily Consumption new" sheetId="39" r:id="rId20"/>
    <sheet name="Sheet2" sheetId="48" r:id="rId21"/>
    <sheet name="Sheet3" sheetId="49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xlnm.Print_Area" localSheetId="10">Boilers!$A$1:$Y$43</definedName>
    <definedName name="_xlnm.Print_Area" localSheetId="1">'Daily Consumption'!$A$1:$R$57</definedName>
    <definedName name="_xlnm.Print_Area" localSheetId="19">'Daily Consumption new'!$A$1:$N$58</definedName>
    <definedName name="_xlnm.Print_Area" localSheetId="4">'Domestic Water'!$A$1:$N$42</definedName>
    <definedName name="_xlnm.Print_Area" localSheetId="9">'Fountains &amp; Lagoons'!$A$1:$P$41</definedName>
    <definedName name="_xlnm.Print_Area" localSheetId="6">'Heated Pool'!$A$1:$O$41</definedName>
    <definedName name="_xlnm.Print_Area" localSheetId="8">Jacuzzi!$A$1:$O$41</definedName>
    <definedName name="_xlnm.Print_Area" localSheetId="7">'Kids pool '!$A$1:$O$41</definedName>
    <definedName name="_xlnm.Print_Area" localSheetId="5">'Main Pool'!$A$1:$O$41</definedName>
    <definedName name="_xlnm.Print_Area" localSheetId="2">'Reading.4.25'!$EN$5:$ES$27</definedName>
    <definedName name="_xlnm.Print_Titles" localSheetId="12">Chillers!$1:$9</definedName>
    <definedName name="_xlnm.Print_Titles" localSheetId="17">'Cost.4.24'!$A:$I,'Cost.4.24'!$1:$2</definedName>
    <definedName name="_xlnm.Print_Titles" localSheetId="3">'cost.4.25'!$A:$I,'cost.4.25'!$1:$2</definedName>
    <definedName name="شت8">'cost.4.25'!$H$18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0" l="1"/>
  <c r="J4" i="50"/>
  <c r="J5" i="50"/>
  <c r="J6" i="50"/>
  <c r="J7" i="50"/>
  <c r="J8" i="50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J29" i="50"/>
  <c r="J30" i="50"/>
  <c r="J31" i="50"/>
  <c r="J32" i="50"/>
  <c r="J2" i="50"/>
  <c r="I3" i="50"/>
  <c r="I4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2" i="50"/>
  <c r="M3" i="50" l="1"/>
  <c r="M4" i="50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2" i="50"/>
  <c r="L3" i="50"/>
  <c r="L4" i="50"/>
  <c r="L5" i="50"/>
  <c r="L6" i="50"/>
  <c r="L7" i="50"/>
  <c r="L8" i="50"/>
  <c r="L9" i="50"/>
  <c r="L10" i="50"/>
  <c r="L11" i="50"/>
  <c r="L12" i="50"/>
  <c r="L13" i="50"/>
  <c r="L14" i="50"/>
  <c r="L15" i="50"/>
  <c r="L16" i="50"/>
  <c r="L17" i="50"/>
  <c r="L18" i="50"/>
  <c r="L19" i="50"/>
  <c r="L20" i="50"/>
  <c r="L21" i="50"/>
  <c r="L22" i="50"/>
  <c r="L23" i="50"/>
  <c r="L24" i="50"/>
  <c r="L25" i="50"/>
  <c r="L26" i="50"/>
  <c r="L27" i="50"/>
  <c r="L28" i="50"/>
  <c r="L29" i="50"/>
  <c r="L30" i="50"/>
  <c r="L31" i="50"/>
  <c r="L2" i="50"/>
  <c r="K3" i="50"/>
  <c r="K4" i="50"/>
  <c r="K5" i="50"/>
  <c r="K6" i="50"/>
  <c r="K7" i="50"/>
  <c r="K8" i="50"/>
  <c r="K9" i="50"/>
  <c r="K10" i="50"/>
  <c r="K11" i="50"/>
  <c r="K12" i="50"/>
  <c r="K13" i="50"/>
  <c r="K14" i="50"/>
  <c r="K15" i="50"/>
  <c r="K16" i="50"/>
  <c r="K17" i="50"/>
  <c r="K18" i="50"/>
  <c r="K19" i="50"/>
  <c r="K20" i="50"/>
  <c r="K21" i="50"/>
  <c r="K22" i="50"/>
  <c r="K23" i="50"/>
  <c r="K24" i="50"/>
  <c r="K25" i="50"/>
  <c r="K26" i="50"/>
  <c r="K27" i="50"/>
  <c r="K28" i="50"/>
  <c r="K29" i="50"/>
  <c r="K30" i="50"/>
  <c r="K31" i="50"/>
  <c r="K2" i="50"/>
  <c r="H3" i="50"/>
  <c r="H4" i="50"/>
  <c r="H5" i="50"/>
  <c r="H6" i="50"/>
  <c r="H7" i="50"/>
  <c r="H8" i="50"/>
  <c r="H9" i="50"/>
  <c r="H10" i="50"/>
  <c r="H11" i="50"/>
  <c r="H12" i="50"/>
  <c r="H13" i="50"/>
  <c r="H14" i="50"/>
  <c r="H15" i="50"/>
  <c r="H16" i="50"/>
  <c r="H17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0" i="50"/>
  <c r="H31" i="50"/>
  <c r="H2" i="50"/>
  <c r="G3" i="50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2" i="50"/>
  <c r="E3" i="50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2" i="50"/>
  <c r="B3" i="50"/>
  <c r="B4" i="50" s="1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AQ10" i="5" l="1"/>
  <c r="AK10" i="5"/>
  <c r="AJ10" i="5"/>
  <c r="AH10" i="5"/>
  <c r="AI10" i="5" s="1"/>
  <c r="AE10" i="5"/>
  <c r="AD10" i="5"/>
  <c r="AP10" i="5" s="1"/>
  <c r="X10" i="5"/>
  <c r="W10" i="5"/>
  <c r="R10" i="5"/>
  <c r="BD10" i="5" s="1"/>
  <c r="BH10" i="5" s="1"/>
  <c r="P10" i="5"/>
  <c r="K10" i="5"/>
  <c r="H10" i="5"/>
  <c r="D10" i="5"/>
  <c r="ET8" i="6"/>
  <c r="EQ8" i="6"/>
  <c r="F8" i="6" s="1"/>
  <c r="G8" i="6" s="1"/>
  <c r="EK8" i="6"/>
  <c r="EG8" i="6"/>
  <c r="EC8" i="6"/>
  <c r="DU8" i="6"/>
  <c r="DQ8" i="6"/>
  <c r="DM8" i="6"/>
  <c r="DI8" i="6"/>
  <c r="DE8" i="6"/>
  <c r="DA8" i="6"/>
  <c r="CW8" i="6"/>
  <c r="CQ8" i="6"/>
  <c r="CJ8" i="6"/>
  <c r="CG8" i="6"/>
  <c r="CC8" i="6"/>
  <c r="BY8" i="6"/>
  <c r="BU8" i="6"/>
  <c r="BQ8" i="6"/>
  <c r="CM8" i="6" s="1"/>
  <c r="BN8" i="6"/>
  <c r="BJ8" i="6"/>
  <c r="BI8" i="6"/>
  <c r="BH8" i="6"/>
  <c r="AU8" i="6"/>
  <c r="AQ8" i="6"/>
  <c r="AO8" i="6"/>
  <c r="AN8" i="6"/>
  <c r="AM8" i="6"/>
  <c r="F10" i="5" s="1"/>
  <c r="AJ8" i="6"/>
  <c r="AG8" i="6"/>
  <c r="AB8" i="6"/>
  <c r="Q10" i="5" s="1"/>
  <c r="X8" i="6"/>
  <c r="AV8" i="6" s="1"/>
  <c r="T8" i="6"/>
  <c r="O10" i="5" s="1"/>
  <c r="T10" i="5" s="1"/>
  <c r="O8" i="6"/>
  <c r="AB10" i="5" s="1"/>
  <c r="AC10" i="5" s="1"/>
  <c r="AS10" i="5" s="1"/>
  <c r="BA10" i="5" s="1"/>
  <c r="K8" i="6"/>
  <c r="C8" i="6"/>
  <c r="Z10" i="5" l="1"/>
  <c r="AY10" i="5" s="1"/>
  <c r="V10" i="5"/>
  <c r="AX10" i="5" s="1"/>
  <c r="J10" i="5"/>
  <c r="M10" i="5" s="1"/>
  <c r="AW10" i="5" s="1"/>
  <c r="AN10" i="5"/>
  <c r="AZ10" i="5" s="1"/>
  <c r="BE10" i="5"/>
  <c r="BI10" i="5" s="1"/>
  <c r="CR8" i="6"/>
  <c r="DZ8" i="6"/>
  <c r="AE8" i="6"/>
  <c r="AV10" i="5" s="1"/>
  <c r="AQ9" i="5"/>
  <c r="AK9" i="5"/>
  <c r="AJ9" i="5"/>
  <c r="AE9" i="5"/>
  <c r="AD9" i="5"/>
  <c r="AB9" i="5"/>
  <c r="X9" i="5"/>
  <c r="W9" i="5"/>
  <c r="V9" i="5"/>
  <c r="R9" i="5"/>
  <c r="Q9" i="5"/>
  <c r="P9" i="5"/>
  <c r="K9" i="5"/>
  <c r="H9" i="5"/>
  <c r="D9" i="5"/>
  <c r="ET7" i="6"/>
  <c r="EQ7" i="6"/>
  <c r="F7" i="6" s="1"/>
  <c r="G7" i="6" s="1"/>
  <c r="Z9" i="5" s="1"/>
  <c r="EK7" i="6"/>
  <c r="EG7" i="6"/>
  <c r="DU7" i="6"/>
  <c r="DQ7" i="6"/>
  <c r="DM7" i="6"/>
  <c r="DI7" i="6"/>
  <c r="DE7" i="6"/>
  <c r="DA7" i="6"/>
  <c r="CW7" i="6"/>
  <c r="CQ7" i="6"/>
  <c r="CJ7" i="6"/>
  <c r="CG7" i="6"/>
  <c r="CC7" i="6"/>
  <c r="BY7" i="6"/>
  <c r="BU7" i="6"/>
  <c r="BQ7" i="6"/>
  <c r="BN7" i="6"/>
  <c r="BJ7" i="6"/>
  <c r="BI7" i="6"/>
  <c r="BH7" i="6"/>
  <c r="AU7" i="6"/>
  <c r="AQ7" i="6"/>
  <c r="AO7" i="6"/>
  <c r="AN7" i="6"/>
  <c r="AM7" i="6"/>
  <c r="F9" i="5" s="1"/>
  <c r="AV9" i="5" s="1"/>
  <c r="AJ7" i="6"/>
  <c r="AG7" i="6"/>
  <c r="AB7" i="6"/>
  <c r="X7" i="6"/>
  <c r="AE7" i="6" s="1"/>
  <c r="T7" i="6"/>
  <c r="O9" i="5" s="1"/>
  <c r="T9" i="5" s="1"/>
  <c r="O7" i="6"/>
  <c r="K7" i="6"/>
  <c r="AH9" i="5" s="1"/>
  <c r="AI9" i="5" s="1"/>
  <c r="C7" i="6"/>
  <c r="EC7" i="6" s="1"/>
  <c r="BD9" i="5" l="1"/>
  <c r="BH9" i="5" s="1"/>
  <c r="AN9" i="5"/>
  <c r="AZ9" i="5" s="1"/>
  <c r="AC9" i="5"/>
  <c r="AS9" i="5" s="1"/>
  <c r="J9" i="5"/>
  <c r="M9" i="5" s="1"/>
  <c r="AP9" i="5"/>
  <c r="BA9" i="5"/>
  <c r="AX9" i="5"/>
  <c r="AY9" i="5"/>
  <c r="AW9" i="5"/>
  <c r="BE9" i="5"/>
  <c r="BI9" i="5" s="1"/>
  <c r="DZ7" i="6"/>
  <c r="CM7" i="6"/>
  <c r="AV7" i="6"/>
  <c r="CR7" i="6"/>
  <c r="AK8" i="5"/>
  <c r="AJ8" i="5"/>
  <c r="AE8" i="5"/>
  <c r="AD8" i="5"/>
  <c r="X8" i="5"/>
  <c r="R8" i="5"/>
  <c r="K8" i="5"/>
  <c r="AO6" i="6"/>
  <c r="E21" i="28" l="1"/>
  <c r="BG37" i="38" l="1"/>
  <c r="BC37" i="38"/>
  <c r="AV37" i="38"/>
  <c r="AR37" i="38"/>
  <c r="AQ37" i="38"/>
  <c r="AM37" i="38"/>
  <c r="AL37" i="38"/>
  <c r="AK37" i="38"/>
  <c r="AJ37" i="38"/>
  <c r="AH37" i="38"/>
  <c r="AI37" i="38" s="1"/>
  <c r="AG37" i="38"/>
  <c r="AF37" i="38"/>
  <c r="AE37" i="38"/>
  <c r="AD37" i="38"/>
  <c r="AB37" i="38"/>
  <c r="Z37" i="38"/>
  <c r="Y37" i="38"/>
  <c r="X37" i="38"/>
  <c r="W37" i="38"/>
  <c r="V37" i="38"/>
  <c r="S37" i="38"/>
  <c r="R37" i="38"/>
  <c r="Q37" i="38"/>
  <c r="P37" i="38"/>
  <c r="O37" i="38"/>
  <c r="T37" i="38" s="1"/>
  <c r="L37" i="38"/>
  <c r="K37" i="38"/>
  <c r="J37" i="38"/>
  <c r="M37" i="38" s="1"/>
  <c r="H37" i="38"/>
  <c r="F37" i="38"/>
  <c r="D37" i="38"/>
  <c r="BG36" i="38"/>
  <c r="BC36" i="38"/>
  <c r="AV36" i="38"/>
  <c r="AR36" i="38"/>
  <c r="AQ36" i="38"/>
  <c r="AM36" i="38"/>
  <c r="AL36" i="38"/>
  <c r="AK36" i="38"/>
  <c r="AJ36" i="38"/>
  <c r="AH36" i="38"/>
  <c r="AI36" i="38" s="1"/>
  <c r="AG36" i="38"/>
  <c r="AF36" i="38"/>
  <c r="AE36" i="38"/>
  <c r="AD36" i="38"/>
  <c r="AB36" i="38"/>
  <c r="Z36" i="38"/>
  <c r="Y36" i="38"/>
  <c r="X36" i="38"/>
  <c r="W36" i="38"/>
  <c r="V36" i="38"/>
  <c r="S36" i="38"/>
  <c r="R36" i="38"/>
  <c r="Q36" i="38"/>
  <c r="P36" i="38"/>
  <c r="O36" i="38"/>
  <c r="T36" i="38" s="1"/>
  <c r="L36" i="38"/>
  <c r="K36" i="38"/>
  <c r="J36" i="38"/>
  <c r="M36" i="38" s="1"/>
  <c r="H36" i="38"/>
  <c r="F36" i="38"/>
  <c r="D36" i="38"/>
  <c r="BG35" i="38"/>
  <c r="BC35" i="38"/>
  <c r="AV35" i="38"/>
  <c r="AR35" i="38"/>
  <c r="AQ35" i="38"/>
  <c r="AM35" i="38"/>
  <c r="AL35" i="38"/>
  <c r="AK35" i="38"/>
  <c r="AJ35" i="38"/>
  <c r="AH35" i="38"/>
  <c r="AI35" i="38" s="1"/>
  <c r="AG35" i="38"/>
  <c r="AF35" i="38"/>
  <c r="AE35" i="38"/>
  <c r="AD35" i="38"/>
  <c r="AB35" i="38"/>
  <c r="AC35" i="38" s="1"/>
  <c r="Z35" i="38"/>
  <c r="Y35" i="38"/>
  <c r="X35" i="38"/>
  <c r="W35" i="38"/>
  <c r="V35" i="38"/>
  <c r="S35" i="38"/>
  <c r="R35" i="38"/>
  <c r="Q35" i="38"/>
  <c r="P35" i="38"/>
  <c r="O35" i="38"/>
  <c r="T35" i="38" s="1"/>
  <c r="L35" i="38"/>
  <c r="K35" i="38"/>
  <c r="J35" i="38"/>
  <c r="M35" i="38" s="1"/>
  <c r="H35" i="38"/>
  <c r="F35" i="38"/>
  <c r="D35" i="38"/>
  <c r="BG34" i="38"/>
  <c r="BC34" i="38"/>
  <c r="AV34" i="38"/>
  <c r="AR34" i="38"/>
  <c r="AQ34" i="38"/>
  <c r="AM34" i="38"/>
  <c r="AL34" i="38"/>
  <c r="AK34" i="38"/>
  <c r="AJ34" i="38"/>
  <c r="AH34" i="38"/>
  <c r="AI34" i="38" s="1"/>
  <c r="AG34" i="38"/>
  <c r="AF34" i="38"/>
  <c r="AE34" i="38"/>
  <c r="AD34" i="38"/>
  <c r="AP34" i="38" s="1"/>
  <c r="AB34" i="38"/>
  <c r="Z34" i="38"/>
  <c r="Y34" i="38"/>
  <c r="X34" i="38"/>
  <c r="W34" i="38"/>
  <c r="V34" i="38"/>
  <c r="S34" i="38"/>
  <c r="R34" i="38"/>
  <c r="Q34" i="38"/>
  <c r="P34" i="38"/>
  <c r="O34" i="38"/>
  <c r="T34" i="38" s="1"/>
  <c r="L34" i="38"/>
  <c r="K34" i="38"/>
  <c r="J34" i="38"/>
  <c r="M34" i="38" s="1"/>
  <c r="H34" i="38"/>
  <c r="F34" i="38"/>
  <c r="D34" i="38"/>
  <c r="BG33" i="38"/>
  <c r="BC33" i="38"/>
  <c r="AV33" i="38"/>
  <c r="AR33" i="38"/>
  <c r="AQ33" i="38"/>
  <c r="AM33" i="38"/>
  <c r="AL33" i="38"/>
  <c r="AK33" i="38"/>
  <c r="AJ33" i="38"/>
  <c r="AH33" i="38"/>
  <c r="AI33" i="38" s="1"/>
  <c r="AG33" i="38"/>
  <c r="AF33" i="38"/>
  <c r="AE33" i="38"/>
  <c r="AD33" i="38"/>
  <c r="AB33" i="38"/>
  <c r="AC33" i="38" s="1"/>
  <c r="Z33" i="38"/>
  <c r="Y33" i="38"/>
  <c r="X33" i="38"/>
  <c r="W33" i="38"/>
  <c r="V33" i="38"/>
  <c r="S33" i="38"/>
  <c r="R33" i="38"/>
  <c r="Q33" i="38"/>
  <c r="P33" i="38"/>
  <c r="O33" i="38"/>
  <c r="T33" i="38" s="1"/>
  <c r="L33" i="38"/>
  <c r="K33" i="38"/>
  <c r="J33" i="38"/>
  <c r="M33" i="38" s="1"/>
  <c r="H33" i="38"/>
  <c r="F33" i="38"/>
  <c r="D33" i="38"/>
  <c r="BG32" i="38"/>
  <c r="BC32" i="38"/>
  <c r="AV32" i="38"/>
  <c r="AR32" i="38"/>
  <c r="AQ32" i="38"/>
  <c r="AM32" i="38"/>
  <c r="AL32" i="38"/>
  <c r="AK32" i="38"/>
  <c r="AJ32" i="38"/>
  <c r="AH32" i="38"/>
  <c r="AI32" i="38" s="1"/>
  <c r="AG32" i="38"/>
  <c r="AF32" i="38"/>
  <c r="AE32" i="38"/>
  <c r="AD32" i="38"/>
  <c r="AB32" i="38"/>
  <c r="Z32" i="38"/>
  <c r="Y32" i="38"/>
  <c r="X32" i="38"/>
  <c r="W32" i="38"/>
  <c r="V32" i="38"/>
  <c r="S32" i="38"/>
  <c r="R32" i="38"/>
  <c r="Q32" i="38"/>
  <c r="P32" i="38"/>
  <c r="O32" i="38"/>
  <c r="T32" i="38" s="1"/>
  <c r="L32" i="38"/>
  <c r="K32" i="38"/>
  <c r="J32" i="38"/>
  <c r="M32" i="38" s="1"/>
  <c r="H32" i="38"/>
  <c r="F32" i="38"/>
  <c r="D32" i="38"/>
  <c r="BG31" i="38"/>
  <c r="BC31" i="38"/>
  <c r="AV31" i="38"/>
  <c r="AR31" i="38"/>
  <c r="AQ31" i="38"/>
  <c r="AM31" i="38"/>
  <c r="AL31" i="38"/>
  <c r="AK31" i="38"/>
  <c r="AJ31" i="38"/>
  <c r="AH31" i="38"/>
  <c r="AI31" i="38" s="1"/>
  <c r="AG31" i="38"/>
  <c r="AF31" i="38"/>
  <c r="AE31" i="38"/>
  <c r="AD31" i="38"/>
  <c r="AB31" i="38"/>
  <c r="AC31" i="38" s="1"/>
  <c r="Z31" i="38"/>
  <c r="Y31" i="38"/>
  <c r="X31" i="38"/>
  <c r="W31" i="38"/>
  <c r="V31" i="38"/>
  <c r="S31" i="38"/>
  <c r="R31" i="38"/>
  <c r="Q31" i="38"/>
  <c r="P31" i="38"/>
  <c r="O31" i="38"/>
  <c r="T31" i="38" s="1"/>
  <c r="L31" i="38"/>
  <c r="K31" i="38"/>
  <c r="J31" i="38"/>
  <c r="M31" i="38" s="1"/>
  <c r="H31" i="38"/>
  <c r="F31" i="38"/>
  <c r="D31" i="38"/>
  <c r="BG30" i="38"/>
  <c r="BC30" i="38"/>
  <c r="AV30" i="38"/>
  <c r="AR30" i="38"/>
  <c r="AQ30" i="38"/>
  <c r="AM30" i="38"/>
  <c r="AL30" i="38"/>
  <c r="AK30" i="38"/>
  <c r="AJ30" i="38"/>
  <c r="AH30" i="38"/>
  <c r="AI30" i="38" s="1"/>
  <c r="AG30" i="38"/>
  <c r="AF30" i="38"/>
  <c r="AE30" i="38"/>
  <c r="AD30" i="38"/>
  <c r="AB30" i="38"/>
  <c r="Z30" i="38"/>
  <c r="Y30" i="38"/>
  <c r="X30" i="38"/>
  <c r="W30" i="38"/>
  <c r="V30" i="38"/>
  <c r="S30" i="38"/>
  <c r="R30" i="38"/>
  <c r="Q30" i="38"/>
  <c r="P30" i="38"/>
  <c r="O30" i="38"/>
  <c r="T30" i="38" s="1"/>
  <c r="L30" i="38"/>
  <c r="K30" i="38"/>
  <c r="J30" i="38"/>
  <c r="M30" i="38" s="1"/>
  <c r="H30" i="38"/>
  <c r="F30" i="38"/>
  <c r="D30" i="38"/>
  <c r="BG29" i="38"/>
  <c r="BC29" i="38"/>
  <c r="AV29" i="38"/>
  <c r="AR29" i="38"/>
  <c r="AQ29" i="38"/>
  <c r="AM29" i="38"/>
  <c r="AL29" i="38"/>
  <c r="AK29" i="38"/>
  <c r="AJ29" i="38"/>
  <c r="AH29" i="38"/>
  <c r="AI29" i="38" s="1"/>
  <c r="AG29" i="38"/>
  <c r="AF29" i="38"/>
  <c r="AE29" i="38"/>
  <c r="AD29" i="38"/>
  <c r="AB29" i="38"/>
  <c r="AC29" i="38" s="1"/>
  <c r="Z29" i="38"/>
  <c r="Y29" i="38"/>
  <c r="X29" i="38"/>
  <c r="W29" i="38"/>
  <c r="V29" i="38"/>
  <c r="S29" i="38"/>
  <c r="R29" i="38"/>
  <c r="Q29" i="38"/>
  <c r="P29" i="38"/>
  <c r="O29" i="38"/>
  <c r="T29" i="38" s="1"/>
  <c r="L29" i="38"/>
  <c r="K29" i="38"/>
  <c r="J29" i="38"/>
  <c r="M29" i="38" s="1"/>
  <c r="H29" i="38"/>
  <c r="F29" i="38"/>
  <c r="D29" i="38"/>
  <c r="BG28" i="38"/>
  <c r="BC28" i="38"/>
  <c r="AV28" i="38"/>
  <c r="AR28" i="38"/>
  <c r="AQ28" i="38"/>
  <c r="AM28" i="38"/>
  <c r="AL28" i="38"/>
  <c r="AK28" i="38"/>
  <c r="AJ28" i="38"/>
  <c r="AH28" i="38"/>
  <c r="AI28" i="38" s="1"/>
  <c r="AG28" i="38"/>
  <c r="AF28" i="38"/>
  <c r="AE28" i="38"/>
  <c r="AD28" i="38"/>
  <c r="AB28" i="38"/>
  <c r="Z28" i="38"/>
  <c r="Y28" i="38"/>
  <c r="X28" i="38"/>
  <c r="W28" i="38"/>
  <c r="V28" i="38"/>
  <c r="S28" i="38"/>
  <c r="R28" i="38"/>
  <c r="Q28" i="38"/>
  <c r="P28" i="38"/>
  <c r="O28" i="38"/>
  <c r="T28" i="38" s="1"/>
  <c r="L28" i="38"/>
  <c r="K28" i="38"/>
  <c r="J28" i="38"/>
  <c r="M28" i="38" s="1"/>
  <c r="H28" i="38"/>
  <c r="F28" i="38"/>
  <c r="D28" i="38"/>
  <c r="BG27" i="38"/>
  <c r="BC27" i="38"/>
  <c r="AV27" i="38"/>
  <c r="AR27" i="38"/>
  <c r="AQ27" i="38"/>
  <c r="AM27" i="38"/>
  <c r="AL27" i="38"/>
  <c r="AK27" i="38"/>
  <c r="AJ27" i="38"/>
  <c r="AH27" i="38"/>
  <c r="AI27" i="38" s="1"/>
  <c r="AG27" i="38"/>
  <c r="AF27" i="38"/>
  <c r="AE27" i="38"/>
  <c r="AD27" i="38"/>
  <c r="AB27" i="38"/>
  <c r="AC27" i="38" s="1"/>
  <c r="Z27" i="38"/>
  <c r="Y27" i="38"/>
  <c r="X27" i="38"/>
  <c r="W27" i="38"/>
  <c r="V27" i="38"/>
  <c r="S27" i="38"/>
  <c r="R27" i="38"/>
  <c r="Q27" i="38"/>
  <c r="P27" i="38"/>
  <c r="O27" i="38"/>
  <c r="T27" i="38" s="1"/>
  <c r="L27" i="38"/>
  <c r="K27" i="38"/>
  <c r="J27" i="38"/>
  <c r="M27" i="38" s="1"/>
  <c r="H27" i="38"/>
  <c r="F27" i="38"/>
  <c r="D27" i="38"/>
  <c r="BG26" i="38"/>
  <c r="BC26" i="38"/>
  <c r="AV26" i="38"/>
  <c r="AR26" i="38"/>
  <c r="AQ26" i="38"/>
  <c r="AM26" i="38"/>
  <c r="AL26" i="38"/>
  <c r="AK26" i="38"/>
  <c r="AJ26" i="38"/>
  <c r="AH26" i="38"/>
  <c r="AI26" i="38" s="1"/>
  <c r="AG26" i="38"/>
  <c r="AF26" i="38"/>
  <c r="AE26" i="38"/>
  <c r="AD26" i="38"/>
  <c r="AB26" i="38"/>
  <c r="AC26" i="38" s="1"/>
  <c r="Z26" i="38"/>
  <c r="Y26" i="38"/>
  <c r="X26" i="38"/>
  <c r="W26" i="38"/>
  <c r="V26" i="38"/>
  <c r="S26" i="38"/>
  <c r="R26" i="38"/>
  <c r="Q26" i="38"/>
  <c r="P26" i="38"/>
  <c r="O26" i="38"/>
  <c r="T26" i="38" s="1"/>
  <c r="L26" i="38"/>
  <c r="K26" i="38"/>
  <c r="J26" i="38"/>
  <c r="M26" i="38" s="1"/>
  <c r="H26" i="38"/>
  <c r="F26" i="38"/>
  <c r="D26" i="38"/>
  <c r="BG25" i="38"/>
  <c r="BC25" i="38"/>
  <c r="AV25" i="38"/>
  <c r="AR25" i="38"/>
  <c r="AQ25" i="38"/>
  <c r="AM25" i="38"/>
  <c r="AL25" i="38"/>
  <c r="AK25" i="38"/>
  <c r="AJ25" i="38"/>
  <c r="AP25" i="38" s="1"/>
  <c r="AH25" i="38"/>
  <c r="AI25" i="38" s="1"/>
  <c r="AG25" i="38"/>
  <c r="AF25" i="38"/>
  <c r="AE25" i="38"/>
  <c r="AD25" i="38"/>
  <c r="AB25" i="38"/>
  <c r="Z25" i="38"/>
  <c r="Y25" i="38"/>
  <c r="X25" i="38"/>
  <c r="W25" i="38"/>
  <c r="V25" i="38"/>
  <c r="S25" i="38"/>
  <c r="R25" i="38"/>
  <c r="Q25" i="38"/>
  <c r="P25" i="38"/>
  <c r="O25" i="38"/>
  <c r="T25" i="38" s="1"/>
  <c r="L25" i="38"/>
  <c r="K25" i="38"/>
  <c r="J25" i="38"/>
  <c r="M25" i="38" s="1"/>
  <c r="H25" i="38"/>
  <c r="F25" i="38"/>
  <c r="D25" i="38"/>
  <c r="BG24" i="38"/>
  <c r="BC24" i="38"/>
  <c r="AV24" i="38"/>
  <c r="AR24" i="38"/>
  <c r="AQ24" i="38"/>
  <c r="AM24" i="38"/>
  <c r="AL24" i="38"/>
  <c r="AK24" i="38"/>
  <c r="AJ24" i="38"/>
  <c r="AH24" i="38"/>
  <c r="AI24" i="38" s="1"/>
  <c r="AG24" i="38"/>
  <c r="AF24" i="38"/>
  <c r="AE24" i="38"/>
  <c r="AD24" i="38"/>
  <c r="AP24" i="38" s="1"/>
  <c r="AB24" i="38"/>
  <c r="Z24" i="38"/>
  <c r="Y24" i="38"/>
  <c r="X24" i="38"/>
  <c r="W24" i="38"/>
  <c r="V24" i="38"/>
  <c r="S24" i="38"/>
  <c r="R24" i="38"/>
  <c r="Q24" i="38"/>
  <c r="P24" i="38"/>
  <c r="O24" i="38"/>
  <c r="T24" i="38" s="1"/>
  <c r="L24" i="38"/>
  <c r="K24" i="38"/>
  <c r="J24" i="38"/>
  <c r="M24" i="38" s="1"/>
  <c r="H24" i="38"/>
  <c r="F24" i="38"/>
  <c r="D24" i="38"/>
  <c r="BG23" i="38"/>
  <c r="BC23" i="38"/>
  <c r="AV23" i="38"/>
  <c r="AR23" i="38"/>
  <c r="AQ23" i="38"/>
  <c r="AP23" i="38"/>
  <c r="AM23" i="38"/>
  <c r="AL23" i="38"/>
  <c r="AK23" i="38"/>
  <c r="AJ23" i="38"/>
  <c r="AH23" i="38"/>
  <c r="AI23" i="38" s="1"/>
  <c r="AG23" i="38"/>
  <c r="AF23" i="38"/>
  <c r="AE23" i="38"/>
  <c r="AD23" i="38"/>
  <c r="AB23" i="38"/>
  <c r="Z23" i="38"/>
  <c r="Y23" i="38"/>
  <c r="X23" i="38"/>
  <c r="W23" i="38"/>
  <c r="V23" i="38"/>
  <c r="S23" i="38"/>
  <c r="R23" i="38"/>
  <c r="Q23" i="38"/>
  <c r="P23" i="38"/>
  <c r="O23" i="38"/>
  <c r="T23" i="38" s="1"/>
  <c r="L23" i="38"/>
  <c r="K23" i="38"/>
  <c r="J23" i="38"/>
  <c r="M23" i="38" s="1"/>
  <c r="H23" i="38"/>
  <c r="F23" i="38"/>
  <c r="D23" i="38"/>
  <c r="BG22" i="38"/>
  <c r="BC22" i="38"/>
  <c r="AV22" i="38"/>
  <c r="AR22" i="38"/>
  <c r="AQ22" i="38"/>
  <c r="AM22" i="38"/>
  <c r="AL22" i="38"/>
  <c r="AK22" i="38"/>
  <c r="AJ22" i="38"/>
  <c r="AP22" i="38" s="1"/>
  <c r="AH22" i="38"/>
  <c r="AI22" i="38" s="1"/>
  <c r="AG22" i="38"/>
  <c r="AF22" i="38"/>
  <c r="AE22" i="38"/>
  <c r="AD22" i="38"/>
  <c r="AB22" i="38"/>
  <c r="AC22" i="38" s="1"/>
  <c r="Z22" i="38"/>
  <c r="Y22" i="38"/>
  <c r="X22" i="38"/>
  <c r="W22" i="38"/>
  <c r="V22" i="38"/>
  <c r="S22" i="38"/>
  <c r="R22" i="38"/>
  <c r="Q22" i="38"/>
  <c r="P22" i="38"/>
  <c r="O22" i="38"/>
  <c r="T22" i="38" s="1"/>
  <c r="L22" i="38"/>
  <c r="K22" i="38"/>
  <c r="J22" i="38"/>
  <c r="M22" i="38" s="1"/>
  <c r="H22" i="38"/>
  <c r="F22" i="38"/>
  <c r="D22" i="38"/>
  <c r="BG21" i="38"/>
  <c r="BC21" i="38"/>
  <c r="AV21" i="38"/>
  <c r="AR21" i="38"/>
  <c r="AQ21" i="38"/>
  <c r="AM21" i="38"/>
  <c r="AL21" i="38"/>
  <c r="AK21" i="38"/>
  <c r="AJ21" i="38"/>
  <c r="AH21" i="38"/>
  <c r="AI21" i="38" s="1"/>
  <c r="AG21" i="38"/>
  <c r="AF21" i="38"/>
  <c r="AE21" i="38"/>
  <c r="AD21" i="38"/>
  <c r="AP21" i="38" s="1"/>
  <c r="AB21" i="38"/>
  <c r="Z21" i="38"/>
  <c r="Y21" i="38"/>
  <c r="X21" i="38"/>
  <c r="W21" i="38"/>
  <c r="V21" i="38"/>
  <c r="S21" i="38"/>
  <c r="R21" i="38"/>
  <c r="Q21" i="38"/>
  <c r="P21" i="38"/>
  <c r="O21" i="38"/>
  <c r="T21" i="38" s="1"/>
  <c r="L21" i="38"/>
  <c r="K21" i="38"/>
  <c r="J21" i="38"/>
  <c r="M21" i="38" s="1"/>
  <c r="H21" i="38"/>
  <c r="F21" i="38"/>
  <c r="D21" i="38"/>
  <c r="BG20" i="38"/>
  <c r="BC20" i="38"/>
  <c r="AV20" i="38"/>
  <c r="AR20" i="38"/>
  <c r="AQ20" i="38"/>
  <c r="AP20" i="38"/>
  <c r="AM20" i="38"/>
  <c r="AL20" i="38"/>
  <c r="AK20" i="38"/>
  <c r="AJ20" i="38"/>
  <c r="AH20" i="38"/>
  <c r="AI20" i="38" s="1"/>
  <c r="AG20" i="38"/>
  <c r="AF20" i="38"/>
  <c r="AE20" i="38"/>
  <c r="AD20" i="38"/>
  <c r="AB20" i="38"/>
  <c r="Z20" i="38"/>
  <c r="Y20" i="38"/>
  <c r="X20" i="38"/>
  <c r="W20" i="38"/>
  <c r="V20" i="38"/>
  <c r="S20" i="38"/>
  <c r="R20" i="38"/>
  <c r="Q20" i="38"/>
  <c r="P20" i="38"/>
  <c r="O20" i="38"/>
  <c r="T20" i="38" s="1"/>
  <c r="L20" i="38"/>
  <c r="K20" i="38"/>
  <c r="J20" i="38"/>
  <c r="M20" i="38" s="1"/>
  <c r="H20" i="38"/>
  <c r="F20" i="38"/>
  <c r="D20" i="38"/>
  <c r="BG19" i="38"/>
  <c r="BC19" i="38"/>
  <c r="AV19" i="38"/>
  <c r="AR19" i="38"/>
  <c r="AQ19" i="38"/>
  <c r="AM19" i="38"/>
  <c r="AL19" i="38"/>
  <c r="AK19" i="38"/>
  <c r="AJ19" i="38"/>
  <c r="AP19" i="38" s="1"/>
  <c r="AH19" i="38"/>
  <c r="AI19" i="38" s="1"/>
  <c r="AG19" i="38"/>
  <c r="AF19" i="38"/>
  <c r="AE19" i="38"/>
  <c r="AD19" i="38"/>
  <c r="AB19" i="38"/>
  <c r="Z19" i="38"/>
  <c r="Y19" i="38"/>
  <c r="X19" i="38"/>
  <c r="W19" i="38"/>
  <c r="V19" i="38"/>
  <c r="S19" i="38"/>
  <c r="R19" i="38"/>
  <c r="Q19" i="38"/>
  <c r="P19" i="38"/>
  <c r="O19" i="38"/>
  <c r="T19" i="38" s="1"/>
  <c r="L19" i="38"/>
  <c r="K19" i="38"/>
  <c r="J19" i="38"/>
  <c r="M19" i="38" s="1"/>
  <c r="H19" i="38"/>
  <c r="F19" i="38"/>
  <c r="D19" i="38"/>
  <c r="BG18" i="38"/>
  <c r="BC18" i="38"/>
  <c r="AV18" i="38"/>
  <c r="AR18" i="38"/>
  <c r="AQ18" i="38"/>
  <c r="AM18" i="38"/>
  <c r="AL18" i="38"/>
  <c r="AK18" i="38"/>
  <c r="AJ18" i="38"/>
  <c r="AH18" i="38"/>
  <c r="AI18" i="38" s="1"/>
  <c r="AG18" i="38"/>
  <c r="AF18" i="38"/>
  <c r="AE18" i="38"/>
  <c r="AD18" i="38"/>
  <c r="AP18" i="38" s="1"/>
  <c r="AB18" i="38"/>
  <c r="AC18" i="38" s="1"/>
  <c r="Z18" i="38"/>
  <c r="Y18" i="38"/>
  <c r="X18" i="38"/>
  <c r="W18" i="38"/>
  <c r="V18" i="38"/>
  <c r="S18" i="38"/>
  <c r="R18" i="38"/>
  <c r="Q18" i="38"/>
  <c r="P18" i="38"/>
  <c r="O18" i="38"/>
  <c r="T18" i="38" s="1"/>
  <c r="L18" i="38"/>
  <c r="K18" i="38"/>
  <c r="BD18" i="38" s="1"/>
  <c r="J18" i="38"/>
  <c r="M18" i="38" s="1"/>
  <c r="H18" i="38"/>
  <c r="F18" i="38"/>
  <c r="D18" i="38"/>
  <c r="BG17" i="38"/>
  <c r="BC17" i="38"/>
  <c r="AV17" i="38"/>
  <c r="AR17" i="38"/>
  <c r="AQ17" i="38"/>
  <c r="AP17" i="38"/>
  <c r="AM17" i="38"/>
  <c r="AL17" i="38"/>
  <c r="AK17" i="38"/>
  <c r="AJ17" i="38"/>
  <c r="AH17" i="38"/>
  <c r="AI17" i="38" s="1"/>
  <c r="AG17" i="38"/>
  <c r="AF17" i="38"/>
  <c r="AE17" i="38"/>
  <c r="AD17" i="38"/>
  <c r="AB17" i="38"/>
  <c r="Z17" i="38"/>
  <c r="Y17" i="38"/>
  <c r="X17" i="38"/>
  <c r="W17" i="38"/>
  <c r="V17" i="38"/>
  <c r="S17" i="38"/>
  <c r="R17" i="38"/>
  <c r="Q17" i="38"/>
  <c r="P17" i="38"/>
  <c r="O17" i="38"/>
  <c r="T17" i="38" s="1"/>
  <c r="L17" i="38"/>
  <c r="K17" i="38"/>
  <c r="J17" i="38"/>
  <c r="M17" i="38" s="1"/>
  <c r="H17" i="38"/>
  <c r="F17" i="38"/>
  <c r="D17" i="38"/>
  <c r="BG16" i="38"/>
  <c r="BC16" i="38"/>
  <c r="AV16" i="38"/>
  <c r="AR16" i="38"/>
  <c r="AQ16" i="38"/>
  <c r="AM16" i="38"/>
  <c r="AL16" i="38"/>
  <c r="AK16" i="38"/>
  <c r="AJ16" i="38"/>
  <c r="AP16" i="38" s="1"/>
  <c r="AH16" i="38"/>
  <c r="AI16" i="38" s="1"/>
  <c r="AG16" i="38"/>
  <c r="AF16" i="38"/>
  <c r="AE16" i="38"/>
  <c r="AD16" i="38"/>
  <c r="AB16" i="38"/>
  <c r="Z16" i="38"/>
  <c r="Y16" i="38"/>
  <c r="X16" i="38"/>
  <c r="W16" i="38"/>
  <c r="V16" i="38"/>
  <c r="S16" i="38"/>
  <c r="R16" i="38"/>
  <c r="Q16" i="38"/>
  <c r="P16" i="38"/>
  <c r="O16" i="38"/>
  <c r="T16" i="38" s="1"/>
  <c r="L16" i="38"/>
  <c r="K16" i="38"/>
  <c r="J16" i="38"/>
  <c r="M16" i="38" s="1"/>
  <c r="H16" i="38"/>
  <c r="F16" i="38"/>
  <c r="D16" i="38"/>
  <c r="BG15" i="38"/>
  <c r="BC15" i="38"/>
  <c r="AV15" i="38"/>
  <c r="AR15" i="38"/>
  <c r="AQ15" i="38"/>
  <c r="AM15" i="38"/>
  <c r="AL15" i="38"/>
  <c r="AK15" i="38"/>
  <c r="AJ15" i="38"/>
  <c r="AH15" i="38"/>
  <c r="AI15" i="38" s="1"/>
  <c r="AG15" i="38"/>
  <c r="AF15" i="38"/>
  <c r="AE15" i="38"/>
  <c r="AD15" i="38"/>
  <c r="AP15" i="38" s="1"/>
  <c r="AB15" i="38"/>
  <c r="AC15" i="38" s="1"/>
  <c r="Z15" i="38"/>
  <c r="Y15" i="38"/>
  <c r="X15" i="38"/>
  <c r="W15" i="38"/>
  <c r="V15" i="38"/>
  <c r="S15" i="38"/>
  <c r="R15" i="38"/>
  <c r="Q15" i="38"/>
  <c r="P15" i="38"/>
  <c r="O15" i="38"/>
  <c r="T15" i="38" s="1"/>
  <c r="L15" i="38"/>
  <c r="K15" i="38"/>
  <c r="J15" i="38"/>
  <c r="M15" i="38" s="1"/>
  <c r="H15" i="38"/>
  <c r="F15" i="38"/>
  <c r="D15" i="38"/>
  <c r="BG14" i="38"/>
  <c r="BC14" i="38"/>
  <c r="AV14" i="38"/>
  <c r="AR14" i="38"/>
  <c r="AQ14" i="38"/>
  <c r="AM14" i="38"/>
  <c r="AL14" i="38"/>
  <c r="AK14" i="38"/>
  <c r="AJ14" i="38"/>
  <c r="AH14" i="38"/>
  <c r="AI14" i="38" s="1"/>
  <c r="AG14" i="38"/>
  <c r="AF14" i="38"/>
  <c r="AE14" i="38"/>
  <c r="AD14" i="38"/>
  <c r="AB14" i="38"/>
  <c r="Z14" i="38"/>
  <c r="Y14" i="38"/>
  <c r="X14" i="38"/>
  <c r="W14" i="38"/>
  <c r="V14" i="38"/>
  <c r="S14" i="38"/>
  <c r="R14" i="38"/>
  <c r="Q14" i="38"/>
  <c r="P14" i="38"/>
  <c r="O14" i="38"/>
  <c r="T14" i="38" s="1"/>
  <c r="L14" i="38"/>
  <c r="K14" i="38"/>
  <c r="J14" i="38"/>
  <c r="M14" i="38" s="1"/>
  <c r="H14" i="38"/>
  <c r="F14" i="38"/>
  <c r="D14" i="38"/>
  <c r="BG13" i="38"/>
  <c r="BC13" i="38"/>
  <c r="AV13" i="38"/>
  <c r="AR13" i="38"/>
  <c r="AQ13" i="38"/>
  <c r="AM13" i="38"/>
  <c r="AL13" i="38"/>
  <c r="AK13" i="38"/>
  <c r="AJ13" i="38"/>
  <c r="AH13" i="38"/>
  <c r="AI13" i="38" s="1"/>
  <c r="AG13" i="38"/>
  <c r="AF13" i="38"/>
  <c r="AE13" i="38"/>
  <c r="AD13" i="38"/>
  <c r="AB13" i="38"/>
  <c r="Z13" i="38"/>
  <c r="Y13" i="38"/>
  <c r="X13" i="38"/>
  <c r="W13" i="38"/>
  <c r="V13" i="38"/>
  <c r="S13" i="38"/>
  <c r="R13" i="38"/>
  <c r="Q13" i="38"/>
  <c r="P13" i="38"/>
  <c r="O13" i="38"/>
  <c r="T13" i="38" s="1"/>
  <c r="L13" i="38"/>
  <c r="K13" i="38"/>
  <c r="J13" i="38"/>
  <c r="M13" i="38" s="1"/>
  <c r="H13" i="38"/>
  <c r="F13" i="38"/>
  <c r="D13" i="38"/>
  <c r="BG12" i="38"/>
  <c r="BC12" i="38"/>
  <c r="AV12" i="38"/>
  <c r="AR12" i="38"/>
  <c r="AQ12" i="38"/>
  <c r="AM12" i="38"/>
  <c r="AL12" i="38"/>
  <c r="AK12" i="38"/>
  <c r="AJ12" i="38"/>
  <c r="AH12" i="38"/>
  <c r="AI12" i="38" s="1"/>
  <c r="AG12" i="38"/>
  <c r="AF12" i="38"/>
  <c r="AE12" i="38"/>
  <c r="AD12" i="38"/>
  <c r="AB12" i="38"/>
  <c r="AC12" i="38" s="1"/>
  <c r="Z12" i="38"/>
  <c r="Y12" i="38"/>
  <c r="X12" i="38"/>
  <c r="W12" i="38"/>
  <c r="V12" i="38"/>
  <c r="S12" i="38"/>
  <c r="R12" i="38"/>
  <c r="Q12" i="38"/>
  <c r="P12" i="38"/>
  <c r="O12" i="38"/>
  <c r="T12" i="38" s="1"/>
  <c r="L12" i="38"/>
  <c r="K12" i="38"/>
  <c r="J12" i="38"/>
  <c r="M12" i="38" s="1"/>
  <c r="H12" i="38"/>
  <c r="F12" i="38"/>
  <c r="D12" i="38"/>
  <c r="BG11" i="38"/>
  <c r="BC11" i="38"/>
  <c r="AV11" i="38"/>
  <c r="AR11" i="38"/>
  <c r="AQ11" i="38"/>
  <c r="AM11" i="38"/>
  <c r="AL11" i="38"/>
  <c r="AK11" i="38"/>
  <c r="AJ11" i="38"/>
  <c r="AH11" i="38"/>
  <c r="AI11" i="38" s="1"/>
  <c r="AG11" i="38"/>
  <c r="AF11" i="38"/>
  <c r="AE11" i="38"/>
  <c r="AD11" i="38"/>
  <c r="AB11" i="38"/>
  <c r="AC11" i="38" s="1"/>
  <c r="Z11" i="38"/>
  <c r="Y11" i="38"/>
  <c r="X11" i="38"/>
  <c r="W11" i="38"/>
  <c r="V11" i="38"/>
  <c r="S11" i="38"/>
  <c r="R11" i="38"/>
  <c r="Q11" i="38"/>
  <c r="P11" i="38"/>
  <c r="O11" i="38"/>
  <c r="T11" i="38" s="1"/>
  <c r="L11" i="38"/>
  <c r="K11" i="38"/>
  <c r="J11" i="38"/>
  <c r="M11" i="38" s="1"/>
  <c r="H11" i="38"/>
  <c r="F11" i="38"/>
  <c r="D11" i="38"/>
  <c r="BG10" i="38"/>
  <c r="BC10" i="38"/>
  <c r="AV10" i="38"/>
  <c r="AR10" i="38"/>
  <c r="AQ10" i="38"/>
  <c r="AM10" i="38"/>
  <c r="AL10" i="38"/>
  <c r="AK10" i="38"/>
  <c r="AJ10" i="38"/>
  <c r="AH10" i="38"/>
  <c r="AI10" i="38" s="1"/>
  <c r="AG10" i="38"/>
  <c r="AF10" i="38"/>
  <c r="AE10" i="38"/>
  <c r="AD10" i="38"/>
  <c r="AB10" i="38"/>
  <c r="AC10" i="38" s="1"/>
  <c r="Z10" i="38"/>
  <c r="Y10" i="38"/>
  <c r="X10" i="38"/>
  <c r="W10" i="38"/>
  <c r="V10" i="38"/>
  <c r="S10" i="38"/>
  <c r="R10" i="38"/>
  <c r="Q10" i="38"/>
  <c r="P10" i="38"/>
  <c r="O10" i="38"/>
  <c r="T10" i="38" s="1"/>
  <c r="L10" i="38"/>
  <c r="K10" i="38"/>
  <c r="J10" i="38"/>
  <c r="M10" i="38" s="1"/>
  <c r="H10" i="38"/>
  <c r="F10" i="38"/>
  <c r="D10" i="38"/>
  <c r="BG9" i="38"/>
  <c r="BC9" i="38"/>
  <c r="AV9" i="38"/>
  <c r="AR9" i="38"/>
  <c r="AQ9" i="38"/>
  <c r="AM9" i="38"/>
  <c r="AL9" i="38"/>
  <c r="AK9" i="38"/>
  <c r="AJ9" i="38"/>
  <c r="AH9" i="38"/>
  <c r="AG9" i="38"/>
  <c r="AF9" i="38"/>
  <c r="AE9" i="38"/>
  <c r="AD9" i="38"/>
  <c r="AB9" i="38"/>
  <c r="Z9" i="38"/>
  <c r="Y10" i="5" s="1"/>
  <c r="Y9" i="38"/>
  <c r="X9" i="38"/>
  <c r="W9" i="38"/>
  <c r="V9" i="38"/>
  <c r="S9" i="38"/>
  <c r="R9" i="38"/>
  <c r="Q9" i="38"/>
  <c r="P9" i="38"/>
  <c r="O9" i="38"/>
  <c r="T9" i="38" s="1"/>
  <c r="S10" i="5" s="1"/>
  <c r="L9" i="38"/>
  <c r="K9" i="38"/>
  <c r="J9" i="38"/>
  <c r="M9" i="38" s="1"/>
  <c r="L10" i="5" s="1"/>
  <c r="H9" i="38"/>
  <c r="F9" i="38"/>
  <c r="D9" i="38"/>
  <c r="BG8" i="38"/>
  <c r="BC8" i="38"/>
  <c r="AV8" i="38"/>
  <c r="AR8" i="38"/>
  <c r="AQ8" i="38"/>
  <c r="AM8" i="38"/>
  <c r="AL8" i="38"/>
  <c r="AK8" i="38"/>
  <c r="AJ8" i="38"/>
  <c r="AJ1" i="38" s="1"/>
  <c r="AH8" i="38"/>
  <c r="AG8" i="38"/>
  <c r="AF8" i="38"/>
  <c r="AE8" i="38"/>
  <c r="AD8" i="38"/>
  <c r="AD1" i="38" s="1"/>
  <c r="AB8" i="38"/>
  <c r="AF9" i="5" s="1"/>
  <c r="Z8" i="38"/>
  <c r="Y9" i="5" s="1"/>
  <c r="Y8" i="38"/>
  <c r="X8" i="38"/>
  <c r="W8" i="38"/>
  <c r="W1" i="38" s="1"/>
  <c r="V8" i="38"/>
  <c r="S8" i="38"/>
  <c r="R8" i="38"/>
  <c r="Q8" i="38"/>
  <c r="P8" i="38"/>
  <c r="P1" i="38" s="1"/>
  <c r="O8" i="38"/>
  <c r="L8" i="38"/>
  <c r="K8" i="38"/>
  <c r="J8" i="38"/>
  <c r="M8" i="38" s="1"/>
  <c r="L9" i="5" s="1"/>
  <c r="H8" i="38"/>
  <c r="F8" i="38"/>
  <c r="D8" i="38"/>
  <c r="X1" i="38"/>
  <c r="R1" i="38"/>
  <c r="K1" i="38"/>
  <c r="CC42" i="26"/>
  <c r="AB42" i="26"/>
  <c r="AB41" i="26"/>
  <c r="AB40" i="26"/>
  <c r="EL37" i="26"/>
  <c r="EH37" i="26"/>
  <c r="CT37" i="26"/>
  <c r="BL37" i="26"/>
  <c r="BG37" i="26"/>
  <c r="BF37" i="26"/>
  <c r="BE37" i="26"/>
  <c r="BD37" i="26"/>
  <c r="BC37" i="26"/>
  <c r="AM37" i="26"/>
  <c r="AK37" i="26"/>
  <c r="AJ42" i="26" s="1"/>
  <c r="AI37" i="26"/>
  <c r="AJ41" i="26" s="1"/>
  <c r="S37" i="26"/>
  <c r="E37" i="26"/>
  <c r="EK35" i="26"/>
  <c r="EG35" i="26"/>
  <c r="ED35" i="26"/>
  <c r="EA35" i="26"/>
  <c r="DV35" i="26"/>
  <c r="DU35" i="26"/>
  <c r="DR35" i="26"/>
  <c r="DQ35" i="26"/>
  <c r="DN35" i="26"/>
  <c r="DM35" i="26"/>
  <c r="DJ35" i="26"/>
  <c r="DI35" i="26"/>
  <c r="DF35" i="26"/>
  <c r="DE35" i="26"/>
  <c r="DB35" i="26"/>
  <c r="DA35" i="26"/>
  <c r="CX35" i="26"/>
  <c r="CW35" i="26"/>
  <c r="CT35" i="26"/>
  <c r="CS35" i="26"/>
  <c r="CQ35" i="26"/>
  <c r="CK35" i="26"/>
  <c r="CJ35" i="26"/>
  <c r="CH35" i="26"/>
  <c r="CG35" i="26"/>
  <c r="CD35" i="26"/>
  <c r="CC35" i="26"/>
  <c r="BZ35" i="26"/>
  <c r="BY35" i="26"/>
  <c r="BV35" i="26"/>
  <c r="BU35" i="26"/>
  <c r="BR35" i="26"/>
  <c r="BQ35" i="26"/>
  <c r="CM35" i="26" s="1"/>
  <c r="BN35" i="26"/>
  <c r="BJ35" i="26"/>
  <c r="BI35" i="26"/>
  <c r="BH35" i="26"/>
  <c r="AZ35" i="26"/>
  <c r="AY35" i="26"/>
  <c r="AU35" i="26"/>
  <c r="AR35" i="26"/>
  <c r="AQ35" i="26"/>
  <c r="AO35" i="26"/>
  <c r="AN35" i="26"/>
  <c r="AJ35" i="26"/>
  <c r="AG35" i="26"/>
  <c r="AF35" i="26"/>
  <c r="AC35" i="26"/>
  <c r="AB35" i="26"/>
  <c r="Y35" i="26"/>
  <c r="X35" i="26"/>
  <c r="U35" i="26"/>
  <c r="T35" i="26"/>
  <c r="P35" i="26"/>
  <c r="O35" i="26"/>
  <c r="L35" i="26"/>
  <c r="K35" i="26"/>
  <c r="H35" i="26"/>
  <c r="C35" i="26"/>
  <c r="G35" i="26" s="1"/>
  <c r="EK34" i="26"/>
  <c r="EG34" i="26"/>
  <c r="ED34" i="26"/>
  <c r="EA34" i="26"/>
  <c r="DV34" i="26"/>
  <c r="DU34" i="26"/>
  <c r="DR34" i="26"/>
  <c r="DQ34" i="26"/>
  <c r="DN34" i="26"/>
  <c r="DM34" i="26"/>
  <c r="DJ34" i="26"/>
  <c r="DI34" i="26"/>
  <c r="DF34" i="26"/>
  <c r="DE34" i="26"/>
  <c r="DB34" i="26"/>
  <c r="DA34" i="26"/>
  <c r="CX34" i="26"/>
  <c r="CW34" i="26"/>
  <c r="CT34" i="26"/>
  <c r="CS34" i="26"/>
  <c r="CQ34" i="26"/>
  <c r="CR34" i="26" s="1"/>
  <c r="CK34" i="26"/>
  <c r="CJ34" i="26"/>
  <c r="CH34" i="26"/>
  <c r="CG34" i="26"/>
  <c r="CD34" i="26"/>
  <c r="CC34" i="26"/>
  <c r="BZ34" i="26"/>
  <c r="BY34" i="26"/>
  <c r="BV34" i="26"/>
  <c r="BU34" i="26"/>
  <c r="BR34" i="26"/>
  <c r="BQ34" i="26"/>
  <c r="BN34" i="26"/>
  <c r="BJ34" i="26"/>
  <c r="BI34" i="26"/>
  <c r="BH34" i="26"/>
  <c r="AZ34" i="26"/>
  <c r="AY34" i="26"/>
  <c r="AU34" i="26"/>
  <c r="AR34" i="26"/>
  <c r="AQ34" i="26"/>
  <c r="AO34" i="26"/>
  <c r="AN34" i="26"/>
  <c r="AJ34" i="26"/>
  <c r="AG34" i="26"/>
  <c r="AF34" i="26"/>
  <c r="AC34" i="26"/>
  <c r="AB34" i="26"/>
  <c r="Y34" i="26"/>
  <c r="X34" i="26"/>
  <c r="U34" i="26"/>
  <c r="T34" i="26"/>
  <c r="P34" i="26"/>
  <c r="O34" i="26"/>
  <c r="L34" i="26"/>
  <c r="K34" i="26"/>
  <c r="H34" i="26"/>
  <c r="C34" i="26"/>
  <c r="G34" i="26" s="1"/>
  <c r="EK33" i="26"/>
  <c r="EG33" i="26"/>
  <c r="ED33" i="26"/>
  <c r="EA33" i="26"/>
  <c r="DV33" i="26"/>
  <c r="DU33" i="26"/>
  <c r="DR33" i="26"/>
  <c r="DQ33" i="26"/>
  <c r="DN33" i="26"/>
  <c r="DM33" i="26"/>
  <c r="DJ33" i="26"/>
  <c r="DI33" i="26"/>
  <c r="DF33" i="26"/>
  <c r="DE33" i="26"/>
  <c r="DB33" i="26"/>
  <c r="DA33" i="26"/>
  <c r="CX33" i="26"/>
  <c r="CW33" i="26"/>
  <c r="CT33" i="26"/>
  <c r="CS33" i="26"/>
  <c r="CQ33" i="26"/>
  <c r="CK33" i="26"/>
  <c r="CJ33" i="26"/>
  <c r="CH33" i="26"/>
  <c r="CG33" i="26"/>
  <c r="CD33" i="26"/>
  <c r="CC33" i="26"/>
  <c r="BZ33" i="26"/>
  <c r="BY33" i="26"/>
  <c r="BV33" i="26"/>
  <c r="BU33" i="26"/>
  <c r="BR33" i="26"/>
  <c r="BQ33" i="26"/>
  <c r="CM33" i="26" s="1"/>
  <c r="BN33" i="26"/>
  <c r="BJ33" i="26"/>
  <c r="BI33" i="26"/>
  <c r="BH33" i="26"/>
  <c r="AZ33" i="26"/>
  <c r="AY33" i="26"/>
  <c r="AU33" i="26"/>
  <c r="AR33" i="26"/>
  <c r="AQ33" i="26"/>
  <c r="AO33" i="26"/>
  <c r="AN33" i="26"/>
  <c r="AJ33" i="26"/>
  <c r="AG33" i="26"/>
  <c r="AF33" i="26"/>
  <c r="AC33" i="26"/>
  <c r="AB33" i="26"/>
  <c r="Y33" i="26"/>
  <c r="X33" i="26"/>
  <c r="U33" i="26"/>
  <c r="T33" i="26"/>
  <c r="P33" i="26"/>
  <c r="O33" i="26"/>
  <c r="L33" i="26"/>
  <c r="K33" i="26"/>
  <c r="H33" i="26"/>
  <c r="C33" i="26"/>
  <c r="G33" i="26" s="1"/>
  <c r="EK32" i="26"/>
  <c r="EG32" i="26"/>
  <c r="ED32" i="26"/>
  <c r="EA32" i="26"/>
  <c r="DV32" i="26"/>
  <c r="DU32" i="26"/>
  <c r="DR32" i="26"/>
  <c r="DQ32" i="26"/>
  <c r="DN32" i="26"/>
  <c r="DM32" i="26"/>
  <c r="DJ32" i="26"/>
  <c r="DI32" i="26"/>
  <c r="DF32" i="26"/>
  <c r="DE32" i="26"/>
  <c r="DB32" i="26"/>
  <c r="DA32" i="26"/>
  <c r="CX32" i="26"/>
  <c r="CW32" i="26"/>
  <c r="CT32" i="26"/>
  <c r="CS32" i="26"/>
  <c r="CQ32" i="26"/>
  <c r="CK32" i="26"/>
  <c r="CJ32" i="26"/>
  <c r="CH32" i="26"/>
  <c r="CG32" i="26"/>
  <c r="CD32" i="26"/>
  <c r="CC32" i="26"/>
  <c r="BZ32" i="26"/>
  <c r="BY32" i="26"/>
  <c r="BV32" i="26"/>
  <c r="BU32" i="26"/>
  <c r="BR32" i="26"/>
  <c r="BQ32" i="26"/>
  <c r="BN32" i="26"/>
  <c r="BJ32" i="26"/>
  <c r="BI32" i="26"/>
  <c r="BH32" i="26"/>
  <c r="AZ32" i="26"/>
  <c r="AY32" i="26"/>
  <c r="AU32" i="26"/>
  <c r="AR32" i="26"/>
  <c r="AQ32" i="26"/>
  <c r="AO32" i="26"/>
  <c r="AN32" i="26"/>
  <c r="AJ32" i="26"/>
  <c r="AG32" i="26"/>
  <c r="AF32" i="26"/>
  <c r="AC32" i="26"/>
  <c r="AB32" i="26"/>
  <c r="Y32" i="26"/>
  <c r="X32" i="26"/>
  <c r="AE32" i="26" s="1"/>
  <c r="U32" i="26"/>
  <c r="T32" i="26"/>
  <c r="P32" i="26"/>
  <c r="O32" i="26"/>
  <c r="L32" i="26"/>
  <c r="K32" i="26"/>
  <c r="H32" i="26"/>
  <c r="C32" i="26"/>
  <c r="G32" i="26" s="1"/>
  <c r="EK31" i="26"/>
  <c r="EG31" i="26"/>
  <c r="ED31" i="26"/>
  <c r="EA31" i="26"/>
  <c r="DV31" i="26"/>
  <c r="DU31" i="26"/>
  <c r="DR31" i="26"/>
  <c r="DQ31" i="26"/>
  <c r="DN31" i="26"/>
  <c r="DM31" i="26"/>
  <c r="DJ31" i="26"/>
  <c r="DI31" i="26"/>
  <c r="DF31" i="26"/>
  <c r="DE31" i="26"/>
  <c r="DB31" i="26"/>
  <c r="DA31" i="26"/>
  <c r="CX31" i="26"/>
  <c r="CW31" i="26"/>
  <c r="CT31" i="26"/>
  <c r="CS31" i="26"/>
  <c r="CQ31" i="26"/>
  <c r="CK31" i="26"/>
  <c r="CJ31" i="26"/>
  <c r="CH31" i="26"/>
  <c r="CG31" i="26"/>
  <c r="CD31" i="26"/>
  <c r="CC31" i="26"/>
  <c r="BZ31" i="26"/>
  <c r="BY31" i="26"/>
  <c r="BV31" i="26"/>
  <c r="BU31" i="26"/>
  <c r="BR31" i="26"/>
  <c r="BQ31" i="26"/>
  <c r="BN31" i="26"/>
  <c r="BJ31" i="26"/>
  <c r="BI31" i="26"/>
  <c r="BH31" i="26"/>
  <c r="AZ31" i="26"/>
  <c r="AY31" i="26"/>
  <c r="AU31" i="26"/>
  <c r="AR31" i="26"/>
  <c r="AQ31" i="26"/>
  <c r="AO31" i="26"/>
  <c r="AN31" i="26"/>
  <c r="AJ31" i="26"/>
  <c r="AG31" i="26"/>
  <c r="AF31" i="26"/>
  <c r="AC31" i="26"/>
  <c r="AB31" i="26"/>
  <c r="Y31" i="26"/>
  <c r="X31" i="26"/>
  <c r="AE31" i="26" s="1"/>
  <c r="U31" i="26"/>
  <c r="T31" i="26"/>
  <c r="P31" i="26"/>
  <c r="O31" i="26"/>
  <c r="L31" i="26"/>
  <c r="K31" i="26"/>
  <c r="H31" i="26"/>
  <c r="C31" i="26"/>
  <c r="G31" i="26" s="1"/>
  <c r="EK30" i="26"/>
  <c r="EG30" i="26"/>
  <c r="ED30" i="26"/>
  <c r="EA30" i="26"/>
  <c r="DV30" i="26"/>
  <c r="DU30" i="26"/>
  <c r="DR30" i="26"/>
  <c r="DQ30" i="26"/>
  <c r="DN30" i="26"/>
  <c r="DM30" i="26"/>
  <c r="DJ30" i="26"/>
  <c r="DI30" i="26"/>
  <c r="DF30" i="26"/>
  <c r="DE30" i="26"/>
  <c r="DB30" i="26"/>
  <c r="DA30" i="26"/>
  <c r="CX30" i="26"/>
  <c r="CW30" i="26"/>
  <c r="CT30" i="26"/>
  <c r="CS30" i="26"/>
  <c r="CQ30" i="26"/>
  <c r="CK30" i="26"/>
  <c r="CJ30" i="26"/>
  <c r="CH30" i="26"/>
  <c r="CG30" i="26"/>
  <c r="CD30" i="26"/>
  <c r="CC30" i="26"/>
  <c r="BZ30" i="26"/>
  <c r="BY30" i="26"/>
  <c r="BV30" i="26"/>
  <c r="BU30" i="26"/>
  <c r="BR30" i="26"/>
  <c r="BQ30" i="26"/>
  <c r="BN30" i="26"/>
  <c r="BJ30" i="26"/>
  <c r="BI30" i="26"/>
  <c r="BH30" i="26"/>
  <c r="AZ30" i="26"/>
  <c r="AY30" i="26"/>
  <c r="AU30" i="26"/>
  <c r="AR30" i="26"/>
  <c r="AQ30" i="26"/>
  <c r="AO30" i="26"/>
  <c r="AN30" i="26"/>
  <c r="AJ30" i="26"/>
  <c r="AG30" i="26"/>
  <c r="AF30" i="26"/>
  <c r="AC30" i="26"/>
  <c r="AB30" i="26"/>
  <c r="Y30" i="26"/>
  <c r="X30" i="26"/>
  <c r="U30" i="26"/>
  <c r="T30" i="26"/>
  <c r="P30" i="26"/>
  <c r="O30" i="26"/>
  <c r="L30" i="26"/>
  <c r="K30" i="26"/>
  <c r="H30" i="26"/>
  <c r="C30" i="26"/>
  <c r="G30" i="26" s="1"/>
  <c r="EK29" i="26"/>
  <c r="EG29" i="26"/>
  <c r="ED29" i="26"/>
  <c r="EA29" i="26"/>
  <c r="DV29" i="26"/>
  <c r="DU29" i="26"/>
  <c r="DR29" i="26"/>
  <c r="DQ29" i="26"/>
  <c r="DN29" i="26"/>
  <c r="DM29" i="26"/>
  <c r="DJ29" i="26"/>
  <c r="DI29" i="26"/>
  <c r="DF29" i="26"/>
  <c r="DE29" i="26"/>
  <c r="DB29" i="26"/>
  <c r="DA29" i="26"/>
  <c r="CX29" i="26"/>
  <c r="CW29" i="26"/>
  <c r="CT29" i="26"/>
  <c r="CS29" i="26"/>
  <c r="CQ29" i="26"/>
  <c r="CK29" i="26"/>
  <c r="CJ29" i="26"/>
  <c r="CH29" i="26"/>
  <c r="CG29" i="26"/>
  <c r="CD29" i="26"/>
  <c r="CC29" i="26"/>
  <c r="BZ29" i="26"/>
  <c r="BY29" i="26"/>
  <c r="BV29" i="26"/>
  <c r="BU29" i="26"/>
  <c r="BR29" i="26"/>
  <c r="BQ29" i="26"/>
  <c r="BN29" i="26"/>
  <c r="BJ29" i="26"/>
  <c r="BI29" i="26"/>
  <c r="BH29" i="26"/>
  <c r="AZ29" i="26"/>
  <c r="AY29" i="26"/>
  <c r="AU29" i="26"/>
  <c r="AR29" i="26"/>
  <c r="AQ29" i="26"/>
  <c r="AO29" i="26"/>
  <c r="AN29" i="26"/>
  <c r="AJ29" i="26"/>
  <c r="AG29" i="26"/>
  <c r="AF29" i="26"/>
  <c r="AC29" i="26"/>
  <c r="AB29" i="26"/>
  <c r="Y29" i="26"/>
  <c r="X29" i="26"/>
  <c r="AV29" i="26" s="1"/>
  <c r="U29" i="26"/>
  <c r="T29" i="26"/>
  <c r="P29" i="26"/>
  <c r="O29" i="26"/>
  <c r="L29" i="26"/>
  <c r="K29" i="26"/>
  <c r="H29" i="26"/>
  <c r="C29" i="26"/>
  <c r="G29" i="26" s="1"/>
  <c r="EK28" i="26"/>
  <c r="EG28" i="26"/>
  <c r="ED28" i="26"/>
  <c r="EA28" i="26"/>
  <c r="DV28" i="26"/>
  <c r="DU28" i="26"/>
  <c r="DR28" i="26"/>
  <c r="DQ28" i="26"/>
  <c r="DN28" i="26"/>
  <c r="DM28" i="26"/>
  <c r="DJ28" i="26"/>
  <c r="DI28" i="26"/>
  <c r="DF28" i="26"/>
  <c r="DE28" i="26"/>
  <c r="DB28" i="26"/>
  <c r="DA28" i="26"/>
  <c r="CX28" i="26"/>
  <c r="CW28" i="26"/>
  <c r="CT28" i="26"/>
  <c r="CS28" i="26"/>
  <c r="CQ28" i="26"/>
  <c r="CK28" i="26"/>
  <c r="CJ28" i="26"/>
  <c r="CH28" i="26"/>
  <c r="CG28" i="26"/>
  <c r="CD28" i="26"/>
  <c r="CC28" i="26"/>
  <c r="BZ28" i="26"/>
  <c r="BY28" i="26"/>
  <c r="BV28" i="26"/>
  <c r="BU28" i="26"/>
  <c r="BR28" i="26"/>
  <c r="BQ28" i="26"/>
  <c r="BN28" i="26"/>
  <c r="BJ28" i="26"/>
  <c r="BI28" i="26"/>
  <c r="BH28" i="26"/>
  <c r="AZ28" i="26"/>
  <c r="AY28" i="26"/>
  <c r="AU28" i="26"/>
  <c r="AR28" i="26"/>
  <c r="AQ28" i="26"/>
  <c r="AO28" i="26"/>
  <c r="AN28" i="26"/>
  <c r="AJ28" i="26"/>
  <c r="AG28" i="26"/>
  <c r="AF28" i="26"/>
  <c r="AC28" i="26"/>
  <c r="AB28" i="26"/>
  <c r="Y28" i="26"/>
  <c r="X28" i="26"/>
  <c r="AE28" i="26" s="1"/>
  <c r="U28" i="26"/>
  <c r="T28" i="26"/>
  <c r="P28" i="26"/>
  <c r="O28" i="26"/>
  <c r="L28" i="26"/>
  <c r="K28" i="26"/>
  <c r="H28" i="26"/>
  <c r="C28" i="26"/>
  <c r="G28" i="26" s="1"/>
  <c r="EK27" i="26"/>
  <c r="EG27" i="26"/>
  <c r="ED27" i="26"/>
  <c r="EA27" i="26"/>
  <c r="DV27" i="26"/>
  <c r="DU27" i="26"/>
  <c r="DR27" i="26"/>
  <c r="DQ27" i="26"/>
  <c r="DZ27" i="26" s="1"/>
  <c r="DN27" i="26"/>
  <c r="DM27" i="26"/>
  <c r="DJ27" i="26"/>
  <c r="DI27" i="26"/>
  <c r="DF27" i="26"/>
  <c r="DE27" i="26"/>
  <c r="DB27" i="26"/>
  <c r="DA27" i="26"/>
  <c r="CX27" i="26"/>
  <c r="CW27" i="26"/>
  <c r="CT27" i="26"/>
  <c r="CS27" i="26"/>
  <c r="CQ27" i="26"/>
  <c r="CK27" i="26"/>
  <c r="CJ27" i="26"/>
  <c r="CH27" i="26"/>
  <c r="CG27" i="26"/>
  <c r="CD27" i="26"/>
  <c r="CC27" i="26"/>
  <c r="BZ27" i="26"/>
  <c r="BY27" i="26"/>
  <c r="BV27" i="26"/>
  <c r="BU27" i="26"/>
  <c r="BR27" i="26"/>
  <c r="BQ27" i="26"/>
  <c r="BN27" i="26"/>
  <c r="BJ27" i="26"/>
  <c r="BI27" i="26"/>
  <c r="BH27" i="26"/>
  <c r="AZ27" i="26"/>
  <c r="AY27" i="26"/>
  <c r="AU27" i="26"/>
  <c r="AR27" i="26"/>
  <c r="AQ27" i="26"/>
  <c r="AO27" i="26"/>
  <c r="AN27" i="26"/>
  <c r="AJ27" i="26"/>
  <c r="AG27" i="26"/>
  <c r="AF27" i="26"/>
  <c r="AC27" i="26"/>
  <c r="AB27" i="26"/>
  <c r="Y27" i="26"/>
  <c r="X27" i="26"/>
  <c r="AE27" i="26" s="1"/>
  <c r="U27" i="26"/>
  <c r="T27" i="26"/>
  <c r="P27" i="26"/>
  <c r="O27" i="26"/>
  <c r="L27" i="26"/>
  <c r="K27" i="26"/>
  <c r="H27" i="26"/>
  <c r="C27" i="26"/>
  <c r="G27" i="26" s="1"/>
  <c r="EK26" i="26"/>
  <c r="EG26" i="26"/>
  <c r="ED26" i="26"/>
  <c r="EA26" i="26"/>
  <c r="DV26" i="26"/>
  <c r="DU26" i="26"/>
  <c r="DR26" i="26"/>
  <c r="DQ26" i="26"/>
  <c r="DZ26" i="26" s="1"/>
  <c r="DN26" i="26"/>
  <c r="DM26" i="26"/>
  <c r="DJ26" i="26"/>
  <c r="DI26" i="26"/>
  <c r="DF26" i="26"/>
  <c r="DE26" i="26"/>
  <c r="DB26" i="26"/>
  <c r="DA26" i="26"/>
  <c r="CX26" i="26"/>
  <c r="CW26" i="26"/>
  <c r="CT26" i="26"/>
  <c r="CS26" i="26"/>
  <c r="CQ26" i="26"/>
  <c r="CK26" i="26"/>
  <c r="CJ26" i="26"/>
  <c r="CH26" i="26"/>
  <c r="CG26" i="26"/>
  <c r="CD26" i="26"/>
  <c r="CC26" i="26"/>
  <c r="BZ26" i="26"/>
  <c r="BY26" i="26"/>
  <c r="BV26" i="26"/>
  <c r="BU26" i="26"/>
  <c r="BR26" i="26"/>
  <c r="BQ26" i="26"/>
  <c r="CM26" i="26" s="1"/>
  <c r="BN26" i="26"/>
  <c r="BJ26" i="26"/>
  <c r="BI26" i="26"/>
  <c r="BH26" i="26"/>
  <c r="AZ26" i="26"/>
  <c r="AY26" i="26"/>
  <c r="AU26" i="26"/>
  <c r="AR26" i="26"/>
  <c r="AQ26" i="26"/>
  <c r="AO26" i="26"/>
  <c r="AN26" i="26"/>
  <c r="AJ26" i="26"/>
  <c r="AG26" i="26"/>
  <c r="AF26" i="26"/>
  <c r="AC26" i="26"/>
  <c r="AB26" i="26"/>
  <c r="Y26" i="26"/>
  <c r="X26" i="26"/>
  <c r="U26" i="26"/>
  <c r="T26" i="26"/>
  <c r="P26" i="26"/>
  <c r="O26" i="26"/>
  <c r="L26" i="26"/>
  <c r="K26" i="26"/>
  <c r="H26" i="26"/>
  <c r="C26" i="26"/>
  <c r="G26" i="26" s="1"/>
  <c r="EK25" i="26"/>
  <c r="EG25" i="26"/>
  <c r="ED25" i="26"/>
  <c r="EA25" i="26"/>
  <c r="DV25" i="26"/>
  <c r="DU25" i="26"/>
  <c r="DR25" i="26"/>
  <c r="DQ25" i="26"/>
  <c r="DN25" i="26"/>
  <c r="DM25" i="26"/>
  <c r="DJ25" i="26"/>
  <c r="DI25" i="26"/>
  <c r="DF25" i="26"/>
  <c r="DE25" i="26"/>
  <c r="DB25" i="26"/>
  <c r="DA25" i="26"/>
  <c r="CX25" i="26"/>
  <c r="CW25" i="26"/>
  <c r="CT25" i="26"/>
  <c r="CS25" i="26"/>
  <c r="CQ25" i="26"/>
  <c r="CK25" i="26"/>
  <c r="CJ25" i="26"/>
  <c r="CH25" i="26"/>
  <c r="CG25" i="26"/>
  <c r="CD25" i="26"/>
  <c r="CC25" i="26"/>
  <c r="BZ25" i="26"/>
  <c r="BY25" i="26"/>
  <c r="BV25" i="26"/>
  <c r="BU25" i="26"/>
  <c r="BR25" i="26"/>
  <c r="BQ25" i="26"/>
  <c r="CM25" i="26" s="1"/>
  <c r="BN25" i="26"/>
  <c r="BJ25" i="26"/>
  <c r="BI25" i="26"/>
  <c r="BH25" i="26"/>
  <c r="AZ25" i="26"/>
  <c r="AY25" i="26"/>
  <c r="AU25" i="26"/>
  <c r="AR25" i="26"/>
  <c r="AQ25" i="26"/>
  <c r="AO25" i="26"/>
  <c r="AN25" i="26"/>
  <c r="AJ25" i="26"/>
  <c r="AG25" i="26"/>
  <c r="AF25" i="26"/>
  <c r="AC25" i="26"/>
  <c r="AB25" i="26"/>
  <c r="Y25" i="26"/>
  <c r="X25" i="26"/>
  <c r="U25" i="26"/>
  <c r="T25" i="26"/>
  <c r="P25" i="26"/>
  <c r="O25" i="26"/>
  <c r="L25" i="26"/>
  <c r="K25" i="26"/>
  <c r="H25" i="26"/>
  <c r="C25" i="26"/>
  <c r="G25" i="26" s="1"/>
  <c r="EK24" i="26"/>
  <c r="EG24" i="26"/>
  <c r="ED24" i="26"/>
  <c r="EA24" i="26"/>
  <c r="DV24" i="26"/>
  <c r="DU24" i="26"/>
  <c r="DR24" i="26"/>
  <c r="DQ24" i="26"/>
  <c r="DN24" i="26"/>
  <c r="DM24" i="26"/>
  <c r="DJ24" i="26"/>
  <c r="DI24" i="26"/>
  <c r="DF24" i="26"/>
  <c r="DE24" i="26"/>
  <c r="DB24" i="26"/>
  <c r="DA24" i="26"/>
  <c r="CX24" i="26"/>
  <c r="CW24" i="26"/>
  <c r="CT24" i="26"/>
  <c r="CS24" i="26"/>
  <c r="CQ24" i="26"/>
  <c r="CK24" i="26"/>
  <c r="CJ24" i="26"/>
  <c r="CH24" i="26"/>
  <c r="CG24" i="26"/>
  <c r="CD24" i="26"/>
  <c r="CC24" i="26"/>
  <c r="BZ24" i="26"/>
  <c r="BY24" i="26"/>
  <c r="BV24" i="26"/>
  <c r="BU24" i="26"/>
  <c r="BR24" i="26"/>
  <c r="BQ24" i="26"/>
  <c r="BN24" i="26"/>
  <c r="BJ24" i="26"/>
  <c r="BI24" i="26"/>
  <c r="BH24" i="26"/>
  <c r="AZ24" i="26"/>
  <c r="AY24" i="26"/>
  <c r="AU24" i="26"/>
  <c r="AR24" i="26"/>
  <c r="AQ24" i="26"/>
  <c r="AO24" i="26"/>
  <c r="AN24" i="26"/>
  <c r="AJ24" i="26"/>
  <c r="AG24" i="26"/>
  <c r="AF24" i="26"/>
  <c r="AC24" i="26"/>
  <c r="AB24" i="26"/>
  <c r="Y24" i="26"/>
  <c r="X24" i="26"/>
  <c r="AE24" i="26" s="1"/>
  <c r="U24" i="26"/>
  <c r="T24" i="26"/>
  <c r="P24" i="26"/>
  <c r="O24" i="26"/>
  <c r="L24" i="26"/>
  <c r="K24" i="26"/>
  <c r="H24" i="26"/>
  <c r="C24" i="26"/>
  <c r="G24" i="26" s="1"/>
  <c r="EK23" i="26"/>
  <c r="EG23" i="26"/>
  <c r="ED23" i="26"/>
  <c r="EA23" i="26"/>
  <c r="DV23" i="26"/>
  <c r="DU23" i="26"/>
  <c r="DR23" i="26"/>
  <c r="DQ23" i="26"/>
  <c r="DZ23" i="26" s="1"/>
  <c r="DN23" i="26"/>
  <c r="DM23" i="26"/>
  <c r="DJ23" i="26"/>
  <c r="DI23" i="26"/>
  <c r="DF23" i="26"/>
  <c r="DE23" i="26"/>
  <c r="DB23" i="26"/>
  <c r="DA23" i="26"/>
  <c r="CX23" i="26"/>
  <c r="CW23" i="26"/>
  <c r="CT23" i="26"/>
  <c r="CS23" i="26"/>
  <c r="CQ23" i="26"/>
  <c r="CK23" i="26"/>
  <c r="CJ23" i="26"/>
  <c r="CH23" i="26"/>
  <c r="CG23" i="26"/>
  <c r="CD23" i="26"/>
  <c r="CC23" i="26"/>
  <c r="BZ23" i="26"/>
  <c r="BY23" i="26"/>
  <c r="BV23" i="26"/>
  <c r="BU23" i="26"/>
  <c r="BR23" i="26"/>
  <c r="BQ23" i="26"/>
  <c r="BN23" i="26"/>
  <c r="BJ23" i="26"/>
  <c r="BI23" i="26"/>
  <c r="BH23" i="26"/>
  <c r="AZ23" i="26"/>
  <c r="AY23" i="26"/>
  <c r="AU23" i="26"/>
  <c r="AR23" i="26"/>
  <c r="AQ23" i="26"/>
  <c r="AO23" i="26"/>
  <c r="AN23" i="26"/>
  <c r="AJ23" i="26"/>
  <c r="AG23" i="26"/>
  <c r="AF23" i="26"/>
  <c r="AC23" i="26"/>
  <c r="AB23" i="26"/>
  <c r="Y23" i="26"/>
  <c r="X23" i="26"/>
  <c r="AE23" i="26" s="1"/>
  <c r="U23" i="26"/>
  <c r="T23" i="26"/>
  <c r="P23" i="26"/>
  <c r="O23" i="26"/>
  <c r="L23" i="26"/>
  <c r="K23" i="26"/>
  <c r="H23" i="26"/>
  <c r="C23" i="26"/>
  <c r="EC23" i="26" s="1"/>
  <c r="EK22" i="26"/>
  <c r="EG22" i="26"/>
  <c r="ED22" i="26"/>
  <c r="EA22" i="26"/>
  <c r="DV22" i="26"/>
  <c r="DU22" i="26"/>
  <c r="DR22" i="26"/>
  <c r="DQ22" i="26"/>
  <c r="DN22" i="26"/>
  <c r="DM22" i="26"/>
  <c r="DJ22" i="26"/>
  <c r="DI22" i="26"/>
  <c r="DF22" i="26"/>
  <c r="DE22" i="26"/>
  <c r="DB22" i="26"/>
  <c r="DA22" i="26"/>
  <c r="CX22" i="26"/>
  <c r="CW22" i="26"/>
  <c r="CT22" i="26"/>
  <c r="CS22" i="26"/>
  <c r="CQ22" i="26"/>
  <c r="CK22" i="26"/>
  <c r="CJ22" i="26"/>
  <c r="CH22" i="26"/>
  <c r="CG22" i="26"/>
  <c r="CD22" i="26"/>
  <c r="CC22" i="26"/>
  <c r="BZ22" i="26"/>
  <c r="BY22" i="26"/>
  <c r="BV22" i="26"/>
  <c r="BU22" i="26"/>
  <c r="BR22" i="26"/>
  <c r="BQ22" i="26"/>
  <c r="BN22" i="26"/>
  <c r="BJ22" i="26"/>
  <c r="BI22" i="26"/>
  <c r="BH22" i="26"/>
  <c r="AZ22" i="26"/>
  <c r="AY22" i="26"/>
  <c r="AU22" i="26"/>
  <c r="AR22" i="26"/>
  <c r="AQ22" i="26"/>
  <c r="AO22" i="26"/>
  <c r="AN22" i="26"/>
  <c r="AJ22" i="26"/>
  <c r="AG22" i="26"/>
  <c r="AF22" i="26"/>
  <c r="AC22" i="26"/>
  <c r="AB22" i="26"/>
  <c r="Y22" i="26"/>
  <c r="X22" i="26"/>
  <c r="U22" i="26"/>
  <c r="T22" i="26"/>
  <c r="P22" i="26"/>
  <c r="O22" i="26"/>
  <c r="L22" i="26"/>
  <c r="K22" i="26"/>
  <c r="H22" i="26"/>
  <c r="C22" i="26"/>
  <c r="EC22" i="26" s="1"/>
  <c r="EK21" i="26"/>
  <c r="EG21" i="26"/>
  <c r="ED21" i="26"/>
  <c r="EA21" i="26"/>
  <c r="DV21" i="26"/>
  <c r="DU21" i="26"/>
  <c r="DR21" i="26"/>
  <c r="DQ21" i="26"/>
  <c r="DN21" i="26"/>
  <c r="DM21" i="26"/>
  <c r="DJ21" i="26"/>
  <c r="DI21" i="26"/>
  <c r="DF21" i="26"/>
  <c r="DE21" i="26"/>
  <c r="DB21" i="26"/>
  <c r="DA21" i="26"/>
  <c r="CX21" i="26"/>
  <c r="CW21" i="26"/>
  <c r="CT21" i="26"/>
  <c r="CS21" i="26"/>
  <c r="CQ21" i="26"/>
  <c r="CK21" i="26"/>
  <c r="CJ21" i="26"/>
  <c r="CH21" i="26"/>
  <c r="CG21" i="26"/>
  <c r="CD21" i="26"/>
  <c r="CC21" i="26"/>
  <c r="BZ21" i="26"/>
  <c r="BY21" i="26"/>
  <c r="BV21" i="26"/>
  <c r="BU21" i="26"/>
  <c r="BR21" i="26"/>
  <c r="BQ21" i="26"/>
  <c r="CM21" i="26" s="1"/>
  <c r="BN21" i="26"/>
  <c r="BJ21" i="26"/>
  <c r="BI21" i="26"/>
  <c r="BH21" i="26"/>
  <c r="AZ21" i="26"/>
  <c r="AY21" i="26"/>
  <c r="AU21" i="26"/>
  <c r="AR21" i="26"/>
  <c r="AQ21" i="26"/>
  <c r="AO21" i="26"/>
  <c r="AN21" i="26"/>
  <c r="AJ21" i="26"/>
  <c r="AG21" i="26"/>
  <c r="AF21" i="26"/>
  <c r="AC21" i="26"/>
  <c r="AB21" i="26"/>
  <c r="Y21" i="26"/>
  <c r="X21" i="26"/>
  <c r="U21" i="26"/>
  <c r="T21" i="26"/>
  <c r="P21" i="26"/>
  <c r="O21" i="26"/>
  <c r="L21" i="26"/>
  <c r="K21" i="26"/>
  <c r="H21" i="26"/>
  <c r="C21" i="26"/>
  <c r="EK20" i="26"/>
  <c r="EG20" i="26"/>
  <c r="ED20" i="26"/>
  <c r="EA20" i="26"/>
  <c r="DV20" i="26"/>
  <c r="DU20" i="26"/>
  <c r="DR20" i="26"/>
  <c r="DQ20" i="26"/>
  <c r="DN20" i="26"/>
  <c r="DM20" i="26"/>
  <c r="DJ20" i="26"/>
  <c r="DI20" i="26"/>
  <c r="DF20" i="26"/>
  <c r="DE20" i="26"/>
  <c r="DB20" i="26"/>
  <c r="DA20" i="26"/>
  <c r="CX20" i="26"/>
  <c r="CW20" i="26"/>
  <c r="CT20" i="26"/>
  <c r="CS20" i="26"/>
  <c r="CQ20" i="26"/>
  <c r="CK20" i="26"/>
  <c r="CJ20" i="26"/>
  <c r="CH20" i="26"/>
  <c r="CG20" i="26"/>
  <c r="CD20" i="26"/>
  <c r="CC20" i="26"/>
  <c r="BZ20" i="26"/>
  <c r="BY20" i="26"/>
  <c r="BV20" i="26"/>
  <c r="BU20" i="26"/>
  <c r="BR20" i="26"/>
  <c r="BQ20" i="26"/>
  <c r="BN20" i="26"/>
  <c r="BJ20" i="26"/>
  <c r="BI20" i="26"/>
  <c r="BH20" i="26"/>
  <c r="AZ20" i="26"/>
  <c r="AY20" i="26"/>
  <c r="AU20" i="26"/>
  <c r="AR20" i="26"/>
  <c r="AQ20" i="26"/>
  <c r="AO20" i="26"/>
  <c r="AN20" i="26"/>
  <c r="AJ20" i="26"/>
  <c r="AG20" i="26"/>
  <c r="AF20" i="26"/>
  <c r="AC20" i="26"/>
  <c r="AB20" i="26"/>
  <c r="Y20" i="26"/>
  <c r="X20" i="26"/>
  <c r="U20" i="26"/>
  <c r="T20" i="26"/>
  <c r="P20" i="26"/>
  <c r="O20" i="26"/>
  <c r="L20" i="26"/>
  <c r="K20" i="26"/>
  <c r="H20" i="26"/>
  <c r="C20" i="26"/>
  <c r="G20" i="26" s="1"/>
  <c r="EK19" i="26"/>
  <c r="EG19" i="26"/>
  <c r="ED19" i="26"/>
  <c r="EA19" i="26"/>
  <c r="DV19" i="26"/>
  <c r="DU19" i="26"/>
  <c r="DR19" i="26"/>
  <c r="DQ19" i="26"/>
  <c r="DN19" i="26"/>
  <c r="DM19" i="26"/>
  <c r="DJ19" i="26"/>
  <c r="DI19" i="26"/>
  <c r="DF19" i="26"/>
  <c r="DE19" i="26"/>
  <c r="DB19" i="26"/>
  <c r="DA19" i="26"/>
  <c r="CX19" i="26"/>
  <c r="CW19" i="26"/>
  <c r="CT19" i="26"/>
  <c r="CS19" i="26"/>
  <c r="CQ19" i="26"/>
  <c r="CK19" i="26"/>
  <c r="CJ19" i="26"/>
  <c r="CH19" i="26"/>
  <c r="CG19" i="26"/>
  <c r="CD19" i="26"/>
  <c r="CC19" i="26"/>
  <c r="BZ19" i="26"/>
  <c r="BY19" i="26"/>
  <c r="BV19" i="26"/>
  <c r="BU19" i="26"/>
  <c r="BR19" i="26"/>
  <c r="BQ19" i="26"/>
  <c r="BN19" i="26"/>
  <c r="BJ19" i="26"/>
  <c r="BI19" i="26"/>
  <c r="BH19" i="26"/>
  <c r="AZ19" i="26"/>
  <c r="AY19" i="26"/>
  <c r="AU19" i="26"/>
  <c r="AR19" i="26"/>
  <c r="AQ19" i="26"/>
  <c r="AO19" i="26"/>
  <c r="AN19" i="26"/>
  <c r="AJ19" i="26"/>
  <c r="AG19" i="26"/>
  <c r="AF19" i="26"/>
  <c r="AC19" i="26"/>
  <c r="AB19" i="26"/>
  <c r="Y19" i="26"/>
  <c r="X19" i="26"/>
  <c r="AV19" i="26" s="1"/>
  <c r="U19" i="26"/>
  <c r="T19" i="26"/>
  <c r="P19" i="26"/>
  <c r="O19" i="26"/>
  <c r="L19" i="26"/>
  <c r="K19" i="26"/>
  <c r="H19" i="26"/>
  <c r="C19" i="26"/>
  <c r="G19" i="26" s="1"/>
  <c r="EK18" i="26"/>
  <c r="EG18" i="26"/>
  <c r="ED18" i="26"/>
  <c r="EA18" i="26"/>
  <c r="DV18" i="26"/>
  <c r="DU18" i="26"/>
  <c r="DR18" i="26"/>
  <c r="DQ18" i="26"/>
  <c r="DN18" i="26"/>
  <c r="DM18" i="26"/>
  <c r="DJ18" i="26"/>
  <c r="DI18" i="26"/>
  <c r="DF18" i="26"/>
  <c r="DE18" i="26"/>
  <c r="DB18" i="26"/>
  <c r="DA18" i="26"/>
  <c r="CX18" i="26"/>
  <c r="CW18" i="26"/>
  <c r="CT18" i="26"/>
  <c r="CS18" i="26"/>
  <c r="CQ18" i="26"/>
  <c r="CK18" i="26"/>
  <c r="CJ18" i="26"/>
  <c r="CH18" i="26"/>
  <c r="CG18" i="26"/>
  <c r="CD18" i="26"/>
  <c r="CC18" i="26"/>
  <c r="BZ18" i="26"/>
  <c r="BY18" i="26"/>
  <c r="BV18" i="26"/>
  <c r="BU18" i="26"/>
  <c r="BR18" i="26"/>
  <c r="BQ18" i="26"/>
  <c r="BN18" i="26"/>
  <c r="BJ18" i="26"/>
  <c r="BI18" i="26"/>
  <c r="BH18" i="26"/>
  <c r="AZ18" i="26"/>
  <c r="AY18" i="26"/>
  <c r="AU18" i="26"/>
  <c r="AR18" i="26"/>
  <c r="AQ18" i="26"/>
  <c r="AO18" i="26"/>
  <c r="AN18" i="26"/>
  <c r="AJ18" i="26"/>
  <c r="AG18" i="26"/>
  <c r="AF18" i="26"/>
  <c r="AC18" i="26"/>
  <c r="AB18" i="26"/>
  <c r="Y18" i="26"/>
  <c r="X18" i="26"/>
  <c r="AE18" i="26" s="1"/>
  <c r="U18" i="26"/>
  <c r="T18" i="26"/>
  <c r="P18" i="26"/>
  <c r="O18" i="26"/>
  <c r="L18" i="26"/>
  <c r="K18" i="26"/>
  <c r="H18" i="26"/>
  <c r="C18" i="26"/>
  <c r="EK17" i="26"/>
  <c r="EG17" i="26"/>
  <c r="ED17" i="26"/>
  <c r="EC17" i="26"/>
  <c r="EA17" i="26"/>
  <c r="DV17" i="26"/>
  <c r="DU17" i="26"/>
  <c r="DR17" i="26"/>
  <c r="DQ17" i="26"/>
  <c r="DN17" i="26"/>
  <c r="DM17" i="26"/>
  <c r="DJ17" i="26"/>
  <c r="DI17" i="26"/>
  <c r="DF17" i="26"/>
  <c r="DE17" i="26"/>
  <c r="DB17" i="26"/>
  <c r="DA17" i="26"/>
  <c r="CX17" i="26"/>
  <c r="CW17" i="26"/>
  <c r="CT17" i="26"/>
  <c r="CS17" i="26"/>
  <c r="CQ17" i="26"/>
  <c r="CK17" i="26"/>
  <c r="CJ17" i="26"/>
  <c r="CH17" i="26"/>
  <c r="CG17" i="26"/>
  <c r="CD17" i="26"/>
  <c r="CC17" i="26"/>
  <c r="BZ17" i="26"/>
  <c r="BY17" i="26"/>
  <c r="BV17" i="26"/>
  <c r="BU17" i="26"/>
  <c r="BR17" i="26"/>
  <c r="BQ17" i="26"/>
  <c r="BN17" i="26"/>
  <c r="BJ17" i="26"/>
  <c r="BI17" i="26"/>
  <c r="BH17" i="26"/>
  <c r="AZ17" i="26"/>
  <c r="AY17" i="26"/>
  <c r="AU17" i="26"/>
  <c r="AR17" i="26"/>
  <c r="AQ17" i="26"/>
  <c r="AO17" i="26"/>
  <c r="AN17" i="26"/>
  <c r="AJ17" i="26"/>
  <c r="AG17" i="26"/>
  <c r="AF17" i="26"/>
  <c r="AC17" i="26"/>
  <c r="AB17" i="26"/>
  <c r="Y17" i="26"/>
  <c r="X17" i="26"/>
  <c r="U17" i="26"/>
  <c r="T17" i="26"/>
  <c r="P17" i="26"/>
  <c r="O17" i="26"/>
  <c r="L17" i="26"/>
  <c r="K17" i="26"/>
  <c r="H17" i="26"/>
  <c r="C17" i="26"/>
  <c r="G17" i="26" s="1"/>
  <c r="EK16" i="26"/>
  <c r="EG16" i="26"/>
  <c r="ED16" i="26"/>
  <c r="EA16" i="26"/>
  <c r="DV16" i="26"/>
  <c r="DU16" i="26"/>
  <c r="DR16" i="26"/>
  <c r="DQ16" i="26"/>
  <c r="DN16" i="26"/>
  <c r="DM16" i="26"/>
  <c r="DZ16" i="26" s="1"/>
  <c r="DJ16" i="26"/>
  <c r="DI16" i="26"/>
  <c r="DF16" i="26"/>
  <c r="DE16" i="26"/>
  <c r="DB16" i="26"/>
  <c r="DA16" i="26"/>
  <c r="CX16" i="26"/>
  <c r="CW16" i="26"/>
  <c r="CT16" i="26"/>
  <c r="CS16" i="26"/>
  <c r="CQ16" i="26"/>
  <c r="CK16" i="26"/>
  <c r="CJ16" i="26"/>
  <c r="CH16" i="26"/>
  <c r="CG16" i="26"/>
  <c r="CD16" i="26"/>
  <c r="CC16" i="26"/>
  <c r="BZ16" i="26"/>
  <c r="BY16" i="26"/>
  <c r="BV16" i="26"/>
  <c r="BU16" i="26"/>
  <c r="BR16" i="26"/>
  <c r="BQ16" i="26"/>
  <c r="BN16" i="26"/>
  <c r="BJ16" i="26"/>
  <c r="BI16" i="26"/>
  <c r="BH16" i="26"/>
  <c r="AZ16" i="26"/>
  <c r="AY16" i="26"/>
  <c r="AU16" i="26"/>
  <c r="AR16" i="26"/>
  <c r="AQ16" i="26"/>
  <c r="AO16" i="26"/>
  <c r="AN16" i="26"/>
  <c r="AJ16" i="26"/>
  <c r="AG16" i="26"/>
  <c r="AF16" i="26"/>
  <c r="AC16" i="26"/>
  <c r="AB16" i="26"/>
  <c r="Y16" i="26"/>
  <c r="X16" i="26"/>
  <c r="U16" i="26"/>
  <c r="T16" i="26"/>
  <c r="P16" i="26"/>
  <c r="O16" i="26"/>
  <c r="L16" i="26"/>
  <c r="K16" i="26"/>
  <c r="H16" i="26"/>
  <c r="C16" i="26"/>
  <c r="G16" i="26" s="1"/>
  <c r="EK15" i="26"/>
  <c r="EG15" i="26"/>
  <c r="ED15" i="26"/>
  <c r="EA15" i="26"/>
  <c r="DV15" i="26"/>
  <c r="DU15" i="26"/>
  <c r="DR15" i="26"/>
  <c r="DQ15" i="26"/>
  <c r="DN15" i="26"/>
  <c r="DM15" i="26"/>
  <c r="DJ15" i="26"/>
  <c r="DI15" i="26"/>
  <c r="DF15" i="26"/>
  <c r="DE15" i="26"/>
  <c r="DB15" i="26"/>
  <c r="DA15" i="26"/>
  <c r="CX15" i="26"/>
  <c r="CW15" i="26"/>
  <c r="CT15" i="26"/>
  <c r="CS15" i="26"/>
  <c r="CQ15" i="26"/>
  <c r="CK15" i="26"/>
  <c r="CJ15" i="26"/>
  <c r="CH15" i="26"/>
  <c r="CG15" i="26"/>
  <c r="CD15" i="26"/>
  <c r="CC15" i="26"/>
  <c r="BZ15" i="26"/>
  <c r="BY15" i="26"/>
  <c r="BV15" i="26"/>
  <c r="BU15" i="26"/>
  <c r="BR15" i="26"/>
  <c r="BQ15" i="26"/>
  <c r="BN15" i="26"/>
  <c r="BJ15" i="26"/>
  <c r="BI15" i="26"/>
  <c r="BH15" i="26"/>
  <c r="AZ15" i="26"/>
  <c r="AY15" i="26"/>
  <c r="AU15" i="26"/>
  <c r="AR15" i="26"/>
  <c r="AQ15" i="26"/>
  <c r="AO15" i="26"/>
  <c r="AN15" i="26"/>
  <c r="AJ15" i="26"/>
  <c r="AG15" i="26"/>
  <c r="AF15" i="26"/>
  <c r="AC15" i="26"/>
  <c r="AB15" i="26"/>
  <c r="Y15" i="26"/>
  <c r="X15" i="26"/>
  <c r="AV15" i="26" s="1"/>
  <c r="U15" i="26"/>
  <c r="T15" i="26"/>
  <c r="P15" i="26"/>
  <c r="O15" i="26"/>
  <c r="L15" i="26"/>
  <c r="K15" i="26"/>
  <c r="H15" i="26"/>
  <c r="C15" i="26"/>
  <c r="G15" i="26" s="1"/>
  <c r="EK14" i="26"/>
  <c r="EG14" i="26"/>
  <c r="ED14" i="26"/>
  <c r="EA14" i="26"/>
  <c r="DV14" i="26"/>
  <c r="DU14" i="26"/>
  <c r="DR14" i="26"/>
  <c r="DQ14" i="26"/>
  <c r="DN14" i="26"/>
  <c r="DM14" i="26"/>
  <c r="DJ14" i="26"/>
  <c r="DI14" i="26"/>
  <c r="DF14" i="26"/>
  <c r="DE14" i="26"/>
  <c r="DB14" i="26"/>
  <c r="DA14" i="26"/>
  <c r="CX14" i="26"/>
  <c r="CW14" i="26"/>
  <c r="CT14" i="26"/>
  <c r="CS14" i="26"/>
  <c r="CQ14" i="26"/>
  <c r="CK14" i="26"/>
  <c r="CJ14" i="26"/>
  <c r="CH14" i="26"/>
  <c r="CG14" i="26"/>
  <c r="CD14" i="26"/>
  <c r="CC14" i="26"/>
  <c r="BZ14" i="26"/>
  <c r="BY14" i="26"/>
  <c r="BV14" i="26"/>
  <c r="BU14" i="26"/>
  <c r="BR14" i="26"/>
  <c r="BQ14" i="26"/>
  <c r="BN14" i="26"/>
  <c r="BJ14" i="26"/>
  <c r="BI14" i="26"/>
  <c r="BH14" i="26"/>
  <c r="AZ14" i="26"/>
  <c r="AY14" i="26"/>
  <c r="AU14" i="26"/>
  <c r="AR14" i="26"/>
  <c r="AQ14" i="26"/>
  <c r="AO14" i="26"/>
  <c r="AN14" i="26"/>
  <c r="AJ14" i="26"/>
  <c r="AG14" i="26"/>
  <c r="AF14" i="26"/>
  <c r="AC14" i="26"/>
  <c r="AB14" i="26"/>
  <c r="Y14" i="26"/>
  <c r="X14" i="26"/>
  <c r="AE14" i="26" s="1"/>
  <c r="U14" i="26"/>
  <c r="T14" i="26"/>
  <c r="P14" i="26"/>
  <c r="O14" i="26"/>
  <c r="L14" i="26"/>
  <c r="K14" i="26"/>
  <c r="H14" i="26"/>
  <c r="C14" i="26"/>
  <c r="G14" i="26" s="1"/>
  <c r="EK13" i="26"/>
  <c r="EG13" i="26"/>
  <c r="ED13" i="26"/>
  <c r="EC13" i="26"/>
  <c r="EA13" i="26"/>
  <c r="DV13" i="26"/>
  <c r="DU13" i="26"/>
  <c r="DR13" i="26"/>
  <c r="DQ13" i="26"/>
  <c r="DN13" i="26"/>
  <c r="DM13" i="26"/>
  <c r="DJ13" i="26"/>
  <c r="DI13" i="26"/>
  <c r="DF13" i="26"/>
  <c r="DE13" i="26"/>
  <c r="DB13" i="26"/>
  <c r="DA13" i="26"/>
  <c r="CX13" i="26"/>
  <c r="CW13" i="26"/>
  <c r="CT13" i="26"/>
  <c r="CS13" i="26"/>
  <c r="CQ13" i="26"/>
  <c r="CK13" i="26"/>
  <c r="CJ13" i="26"/>
  <c r="CH13" i="26"/>
  <c r="CG13" i="26"/>
  <c r="CD13" i="26"/>
  <c r="CC13" i="26"/>
  <c r="BZ13" i="26"/>
  <c r="BY13" i="26"/>
  <c r="BV13" i="26"/>
  <c r="BU13" i="26"/>
  <c r="BR13" i="26"/>
  <c r="BQ13" i="26"/>
  <c r="BN13" i="26"/>
  <c r="BJ13" i="26"/>
  <c r="BI13" i="26"/>
  <c r="BH13" i="26"/>
  <c r="AZ13" i="26"/>
  <c r="AY13" i="26"/>
  <c r="AU13" i="26"/>
  <c r="AR13" i="26"/>
  <c r="AQ13" i="26"/>
  <c r="AO13" i="26"/>
  <c r="AN13" i="26"/>
  <c r="AJ13" i="26"/>
  <c r="AG13" i="26"/>
  <c r="AF13" i="26"/>
  <c r="AC13" i="26"/>
  <c r="AB13" i="26"/>
  <c r="Y13" i="26"/>
  <c r="X13" i="26"/>
  <c r="U13" i="26"/>
  <c r="T13" i="26"/>
  <c r="P13" i="26"/>
  <c r="O13" i="26"/>
  <c r="L13" i="26"/>
  <c r="K13" i="26"/>
  <c r="H13" i="26"/>
  <c r="C13" i="26"/>
  <c r="G13" i="26" s="1"/>
  <c r="EK12" i="26"/>
  <c r="EG12" i="26"/>
  <c r="ED12" i="26"/>
  <c r="EA12" i="26"/>
  <c r="DV12" i="26"/>
  <c r="DU12" i="26"/>
  <c r="DR12" i="26"/>
  <c r="DQ12" i="26"/>
  <c r="DN12" i="26"/>
  <c r="DM12" i="26"/>
  <c r="DJ12" i="26"/>
  <c r="DI12" i="26"/>
  <c r="DF12" i="26"/>
  <c r="DE12" i="26"/>
  <c r="DB12" i="26"/>
  <c r="DA12" i="26"/>
  <c r="CX12" i="26"/>
  <c r="CW12" i="26"/>
  <c r="CT12" i="26"/>
  <c r="CS12" i="26"/>
  <c r="CQ12" i="26"/>
  <c r="CK12" i="26"/>
  <c r="CJ12" i="26"/>
  <c r="CH12" i="26"/>
  <c r="CG12" i="26"/>
  <c r="CD12" i="26"/>
  <c r="CC12" i="26"/>
  <c r="BZ12" i="26"/>
  <c r="BY12" i="26"/>
  <c r="BV12" i="26"/>
  <c r="BU12" i="26"/>
  <c r="BR12" i="26"/>
  <c r="BQ12" i="26"/>
  <c r="BN12" i="26"/>
  <c r="BJ12" i="26"/>
  <c r="BI12" i="26"/>
  <c r="BH12" i="26"/>
  <c r="AZ12" i="26"/>
  <c r="AY12" i="26"/>
  <c r="AU12" i="26"/>
  <c r="AR12" i="26"/>
  <c r="AQ12" i="26"/>
  <c r="AO12" i="26"/>
  <c r="AN12" i="26"/>
  <c r="AJ12" i="26"/>
  <c r="AG12" i="26"/>
  <c r="AF12" i="26"/>
  <c r="AC12" i="26"/>
  <c r="AB12" i="26"/>
  <c r="Y12" i="26"/>
  <c r="X12" i="26"/>
  <c r="U12" i="26"/>
  <c r="T12" i="26"/>
  <c r="P12" i="26"/>
  <c r="O12" i="26"/>
  <c r="L12" i="26"/>
  <c r="K12" i="26"/>
  <c r="H12" i="26"/>
  <c r="C12" i="26"/>
  <c r="G12" i="26" s="1"/>
  <c r="EK11" i="26"/>
  <c r="EG11" i="26"/>
  <c r="ED11" i="26"/>
  <c r="EA11" i="26"/>
  <c r="DV11" i="26"/>
  <c r="DU11" i="26"/>
  <c r="DR11" i="26"/>
  <c r="DQ11" i="26"/>
  <c r="DN11" i="26"/>
  <c r="DM11" i="26"/>
  <c r="DJ11" i="26"/>
  <c r="DI11" i="26"/>
  <c r="DF11" i="26"/>
  <c r="DE11" i="26"/>
  <c r="DB11" i="26"/>
  <c r="DA11" i="26"/>
  <c r="CX11" i="26"/>
  <c r="CW11" i="26"/>
  <c r="CT11" i="26"/>
  <c r="CS11" i="26"/>
  <c r="CQ11" i="26"/>
  <c r="CK11" i="26"/>
  <c r="CJ11" i="26"/>
  <c r="CH11" i="26"/>
  <c r="CG11" i="26"/>
  <c r="CD11" i="26"/>
  <c r="CC11" i="26"/>
  <c r="BZ11" i="26"/>
  <c r="BY11" i="26"/>
  <c r="BV11" i="26"/>
  <c r="BU11" i="26"/>
  <c r="BR11" i="26"/>
  <c r="BQ11" i="26"/>
  <c r="BN11" i="26"/>
  <c r="BJ11" i="26"/>
  <c r="BI11" i="26"/>
  <c r="BH11" i="26"/>
  <c r="AZ11" i="26"/>
  <c r="AY11" i="26"/>
  <c r="AU11" i="26"/>
  <c r="AR11" i="26"/>
  <c r="AQ11" i="26"/>
  <c r="AO11" i="26"/>
  <c r="AN11" i="26"/>
  <c r="AJ11" i="26"/>
  <c r="AG11" i="26"/>
  <c r="AF11" i="26"/>
  <c r="AC11" i="26"/>
  <c r="AB11" i="26"/>
  <c r="Y11" i="26"/>
  <c r="X11" i="26"/>
  <c r="U11" i="26"/>
  <c r="T11" i="26"/>
  <c r="P11" i="26"/>
  <c r="O11" i="26"/>
  <c r="L11" i="26"/>
  <c r="K11" i="26"/>
  <c r="H11" i="26"/>
  <c r="C11" i="26"/>
  <c r="G11" i="26" s="1"/>
  <c r="EK10" i="26"/>
  <c r="EG10" i="26"/>
  <c r="ED10" i="26"/>
  <c r="EA10" i="26"/>
  <c r="DV10" i="26"/>
  <c r="DU10" i="26"/>
  <c r="DR10" i="26"/>
  <c r="DQ10" i="26"/>
  <c r="DN10" i="26"/>
  <c r="DM10" i="26"/>
  <c r="DJ10" i="26"/>
  <c r="DI10" i="26"/>
  <c r="DF10" i="26"/>
  <c r="DE10" i="26"/>
  <c r="DB10" i="26"/>
  <c r="DA10" i="26"/>
  <c r="CX10" i="26"/>
  <c r="CW10" i="26"/>
  <c r="CT10" i="26"/>
  <c r="CS10" i="26"/>
  <c r="CQ10" i="26"/>
  <c r="CK10" i="26"/>
  <c r="CJ10" i="26"/>
  <c r="CH10" i="26"/>
  <c r="CG10" i="26"/>
  <c r="CD10" i="26"/>
  <c r="CC10" i="26"/>
  <c r="BZ10" i="26"/>
  <c r="BY10" i="26"/>
  <c r="BV10" i="26"/>
  <c r="BU10" i="26"/>
  <c r="BR10" i="26"/>
  <c r="BQ10" i="26"/>
  <c r="BN10" i="26"/>
  <c r="BJ10" i="26"/>
  <c r="BI10" i="26"/>
  <c r="BH10" i="26"/>
  <c r="AZ10" i="26"/>
  <c r="AY10" i="26"/>
  <c r="AU10" i="26"/>
  <c r="AR10" i="26"/>
  <c r="AQ10" i="26"/>
  <c r="AO10" i="26"/>
  <c r="AN10" i="26"/>
  <c r="AJ10" i="26"/>
  <c r="AG10" i="26"/>
  <c r="AF10" i="26"/>
  <c r="AC10" i="26"/>
  <c r="AB10" i="26"/>
  <c r="Y10" i="26"/>
  <c r="X10" i="26"/>
  <c r="AE10" i="26" s="1"/>
  <c r="U10" i="26"/>
  <c r="T10" i="26"/>
  <c r="P10" i="26"/>
  <c r="O10" i="26"/>
  <c r="L10" i="26"/>
  <c r="K10" i="26"/>
  <c r="H10" i="26"/>
  <c r="C10" i="26"/>
  <c r="G10" i="26" s="1"/>
  <c r="EK9" i="26"/>
  <c r="EG9" i="26"/>
  <c r="ED9" i="26"/>
  <c r="EC9" i="26"/>
  <c r="EA9" i="26"/>
  <c r="DV9" i="26"/>
  <c r="DU9" i="26"/>
  <c r="DR9" i="26"/>
  <c r="DQ9" i="26"/>
  <c r="DN9" i="26"/>
  <c r="DM9" i="26"/>
  <c r="DZ9" i="26" s="1"/>
  <c r="DJ9" i="26"/>
  <c r="DI9" i="26"/>
  <c r="DF9" i="26"/>
  <c r="DE9" i="26"/>
  <c r="DB9" i="26"/>
  <c r="DA9" i="26"/>
  <c r="CX9" i="26"/>
  <c r="CW9" i="26"/>
  <c r="CT9" i="26"/>
  <c r="CS9" i="26"/>
  <c r="CQ9" i="26"/>
  <c r="CK9" i="26"/>
  <c r="CJ9" i="26"/>
  <c r="CH9" i="26"/>
  <c r="CG9" i="26"/>
  <c r="CD9" i="26"/>
  <c r="CC9" i="26"/>
  <c r="BZ9" i="26"/>
  <c r="BY9" i="26"/>
  <c r="BV9" i="26"/>
  <c r="BU9" i="26"/>
  <c r="BR9" i="26"/>
  <c r="BQ9" i="26"/>
  <c r="CM9" i="26" s="1"/>
  <c r="BN9" i="26"/>
  <c r="BJ9" i="26"/>
  <c r="BI9" i="26"/>
  <c r="BH9" i="26"/>
  <c r="AZ9" i="26"/>
  <c r="AY9" i="26"/>
  <c r="AU9" i="26"/>
  <c r="AR9" i="26"/>
  <c r="AQ9" i="26"/>
  <c r="AO9" i="26"/>
  <c r="AN9" i="26"/>
  <c r="AJ9" i="26"/>
  <c r="AG9" i="26"/>
  <c r="AF9" i="26"/>
  <c r="AC9" i="26"/>
  <c r="AB9" i="26"/>
  <c r="Y9" i="26"/>
  <c r="X9" i="26"/>
  <c r="U9" i="26"/>
  <c r="T9" i="26"/>
  <c r="P9" i="26"/>
  <c r="O9" i="26"/>
  <c r="L9" i="26"/>
  <c r="K9" i="26"/>
  <c r="H9" i="26"/>
  <c r="C9" i="26"/>
  <c r="G9" i="26" s="1"/>
  <c r="EK8" i="26"/>
  <c r="EL8" i="6" s="1"/>
  <c r="EG8" i="26"/>
  <c r="EH8" i="6" s="1"/>
  <c r="ED8" i="26"/>
  <c r="EA8" i="26"/>
  <c r="DV8" i="26"/>
  <c r="DU8" i="26"/>
  <c r="DV8" i="6" s="1"/>
  <c r="DR8" i="26"/>
  <c r="DQ8" i="26"/>
  <c r="DR8" i="6" s="1"/>
  <c r="DN8" i="26"/>
  <c r="DM8" i="26"/>
  <c r="DJ8" i="26"/>
  <c r="DI8" i="26"/>
  <c r="DJ8" i="6" s="1"/>
  <c r="DF8" i="26"/>
  <c r="DE8" i="26"/>
  <c r="DF8" i="6" s="1"/>
  <c r="DB8" i="26"/>
  <c r="DA8" i="26"/>
  <c r="DB8" i="6" s="1"/>
  <c r="CX8" i="26"/>
  <c r="CW8" i="26"/>
  <c r="CX8" i="6" s="1"/>
  <c r="CT8" i="26"/>
  <c r="CS8" i="26"/>
  <c r="CQ8" i="26"/>
  <c r="CK8" i="26"/>
  <c r="CJ8" i="26"/>
  <c r="CK8" i="6" s="1"/>
  <c r="CH8" i="26"/>
  <c r="CG8" i="26"/>
  <c r="CH8" i="6" s="1"/>
  <c r="CD8" i="26"/>
  <c r="CC8" i="26"/>
  <c r="CD8" i="6" s="1"/>
  <c r="BZ8" i="26"/>
  <c r="BY8" i="26"/>
  <c r="BZ8" i="6" s="1"/>
  <c r="BV8" i="26"/>
  <c r="BU8" i="26"/>
  <c r="BV8" i="6" s="1"/>
  <c r="BR8" i="26"/>
  <c r="BQ8" i="26"/>
  <c r="BR8" i="6" s="1"/>
  <c r="BN8" i="26"/>
  <c r="BJ8" i="26"/>
  <c r="BI8" i="26"/>
  <c r="BH8" i="26"/>
  <c r="AZ8" i="26"/>
  <c r="AY8" i="26"/>
  <c r="AU8" i="26"/>
  <c r="AR8" i="26"/>
  <c r="AQ8" i="26"/>
  <c r="AR8" i="6" s="1"/>
  <c r="AO8" i="26"/>
  <c r="AN8" i="26"/>
  <c r="AJ8" i="26"/>
  <c r="AG8" i="26"/>
  <c r="AF8" i="26"/>
  <c r="AC8" i="26"/>
  <c r="AB8" i="26"/>
  <c r="AC8" i="6" s="1"/>
  <c r="Y8" i="26"/>
  <c r="AZ8" i="6" s="1"/>
  <c r="X8" i="26"/>
  <c r="U8" i="26"/>
  <c r="T8" i="26"/>
  <c r="U8" i="6" s="1"/>
  <c r="P8" i="26"/>
  <c r="O8" i="26"/>
  <c r="P8" i="6" s="1"/>
  <c r="L8" i="26"/>
  <c r="K8" i="26"/>
  <c r="L8" i="6" s="1"/>
  <c r="H8" i="26"/>
  <c r="C8" i="26"/>
  <c r="G8" i="26" s="1"/>
  <c r="H8" i="6" s="1"/>
  <c r="EK7" i="26"/>
  <c r="EL7" i="6" s="1"/>
  <c r="EG7" i="26"/>
  <c r="EH7" i="6" s="1"/>
  <c r="ED7" i="26"/>
  <c r="EA7" i="26"/>
  <c r="DV7" i="26"/>
  <c r="DU7" i="26"/>
  <c r="DV7" i="6" s="1"/>
  <c r="DR7" i="26"/>
  <c r="DQ7" i="26"/>
  <c r="DR7" i="6" s="1"/>
  <c r="DN7" i="26"/>
  <c r="DM7" i="26"/>
  <c r="DN7" i="6" s="1"/>
  <c r="DJ7" i="26"/>
  <c r="DI7" i="26"/>
  <c r="DJ7" i="6" s="1"/>
  <c r="DF7" i="26"/>
  <c r="DE7" i="26"/>
  <c r="DF7" i="6" s="1"/>
  <c r="DB7" i="26"/>
  <c r="DA7" i="26"/>
  <c r="DB7" i="6" s="1"/>
  <c r="CX7" i="26"/>
  <c r="CW7" i="26"/>
  <c r="CX7" i="6" s="1"/>
  <c r="CT7" i="26"/>
  <c r="CS7" i="26"/>
  <c r="CQ7" i="26"/>
  <c r="CK7" i="26"/>
  <c r="CJ7" i="26"/>
  <c r="CK7" i="6" s="1"/>
  <c r="CH7" i="26"/>
  <c r="CG7" i="26"/>
  <c r="CH7" i="6" s="1"/>
  <c r="CD7" i="26"/>
  <c r="CC7" i="26"/>
  <c r="CD7" i="6" s="1"/>
  <c r="BZ7" i="26"/>
  <c r="BY7" i="26"/>
  <c r="BZ7" i="6" s="1"/>
  <c r="BV7" i="26"/>
  <c r="BU7" i="26"/>
  <c r="BV7" i="6" s="1"/>
  <c r="BR7" i="26"/>
  <c r="BQ7" i="26"/>
  <c r="BR7" i="6" s="1"/>
  <c r="BN7" i="26"/>
  <c r="BJ7" i="26"/>
  <c r="BI7" i="26"/>
  <c r="BH7" i="26"/>
  <c r="AZ7" i="26"/>
  <c r="AY7" i="26"/>
  <c r="AU7" i="26"/>
  <c r="AR7" i="26"/>
  <c r="AQ7" i="26"/>
  <c r="AR7" i="6" s="1"/>
  <c r="AO7" i="26"/>
  <c r="AN7" i="26"/>
  <c r="AJ7" i="26"/>
  <c r="AG7" i="26"/>
  <c r="AF7" i="26"/>
  <c r="AC7" i="26"/>
  <c r="AB7" i="26"/>
  <c r="AC7" i="6" s="1"/>
  <c r="Y7" i="26"/>
  <c r="AZ7" i="6" s="1"/>
  <c r="X7" i="26"/>
  <c r="U7" i="26"/>
  <c r="T7" i="26"/>
  <c r="U7" i="6" s="1"/>
  <c r="P7" i="26"/>
  <c r="O7" i="26"/>
  <c r="P7" i="6" s="1"/>
  <c r="L7" i="26"/>
  <c r="K7" i="26"/>
  <c r="L7" i="6" s="1"/>
  <c r="H7" i="26"/>
  <c r="C7" i="26"/>
  <c r="G7" i="26" s="1"/>
  <c r="H7" i="6" s="1"/>
  <c r="EK6" i="26"/>
  <c r="EG6" i="26"/>
  <c r="ED6" i="26"/>
  <c r="EA6" i="26"/>
  <c r="DV6" i="26"/>
  <c r="DU6" i="26"/>
  <c r="DR6" i="26"/>
  <c r="DQ6" i="26"/>
  <c r="DN6" i="26"/>
  <c r="DM6" i="26"/>
  <c r="DJ6" i="26"/>
  <c r="DI6" i="26"/>
  <c r="DF6" i="26"/>
  <c r="DE6" i="26"/>
  <c r="DB6" i="26"/>
  <c r="DA6" i="26"/>
  <c r="CX6" i="26"/>
  <c r="CW6" i="26"/>
  <c r="CT6" i="26"/>
  <c r="CS6" i="26"/>
  <c r="CQ6" i="26"/>
  <c r="CK6" i="26"/>
  <c r="CJ6" i="26"/>
  <c r="CH6" i="26"/>
  <c r="CG6" i="26"/>
  <c r="CD6" i="26"/>
  <c r="CC6" i="26"/>
  <c r="CC37" i="26" s="1"/>
  <c r="BZ6" i="26"/>
  <c r="BY6" i="26"/>
  <c r="BV6" i="26"/>
  <c r="BU6" i="26"/>
  <c r="BU37" i="26" s="1"/>
  <c r="BR6" i="26"/>
  <c r="BQ6" i="26"/>
  <c r="BN6" i="26"/>
  <c r="BJ6" i="26"/>
  <c r="BI6" i="26"/>
  <c r="BH6" i="26"/>
  <c r="AZ6" i="26"/>
  <c r="AY6" i="26"/>
  <c r="AU6" i="26"/>
  <c r="AR6" i="26"/>
  <c r="AQ6" i="26"/>
  <c r="AO6" i="26"/>
  <c r="AO37" i="26" s="1"/>
  <c r="AN6" i="26"/>
  <c r="AJ6" i="26"/>
  <c r="AG6" i="26"/>
  <c r="AF6" i="26"/>
  <c r="AC6" i="26"/>
  <c r="AB6" i="26"/>
  <c r="Y6" i="26"/>
  <c r="X6" i="26"/>
  <c r="X37" i="26" s="1"/>
  <c r="U6" i="26"/>
  <c r="T6" i="26"/>
  <c r="P6" i="26"/>
  <c r="O6" i="26"/>
  <c r="O37" i="26" s="1"/>
  <c r="L6" i="26"/>
  <c r="K6" i="26"/>
  <c r="H6" i="26"/>
  <c r="C6" i="26"/>
  <c r="G23" i="26" l="1"/>
  <c r="CR23" i="26" s="1"/>
  <c r="DZ24" i="26"/>
  <c r="CN7" i="6"/>
  <c r="DZ8" i="26"/>
  <c r="EA8" i="6" s="1"/>
  <c r="DN8" i="6"/>
  <c r="AV17" i="26"/>
  <c r="AV13" i="26"/>
  <c r="CM34" i="26"/>
  <c r="CM20" i="26"/>
  <c r="CR33" i="26"/>
  <c r="CR19" i="26"/>
  <c r="CM19" i="26"/>
  <c r="AV26" i="26"/>
  <c r="BD31" i="38"/>
  <c r="DZ19" i="26"/>
  <c r="AV25" i="26"/>
  <c r="Y8" i="6"/>
  <c r="AY8" i="6"/>
  <c r="DZ18" i="26"/>
  <c r="CM30" i="26"/>
  <c r="AV11" i="26"/>
  <c r="DZ20" i="26"/>
  <c r="AV9" i="26"/>
  <c r="CM18" i="26"/>
  <c r="CM31" i="26"/>
  <c r="BD23" i="38"/>
  <c r="DZ31" i="26"/>
  <c r="BD14" i="38"/>
  <c r="AV7" i="26"/>
  <c r="AY7" i="6"/>
  <c r="BA7" i="6" s="1"/>
  <c r="Y7" i="6"/>
  <c r="BA8" i="6"/>
  <c r="DZ13" i="26"/>
  <c r="CM29" i="26"/>
  <c r="DZ30" i="26"/>
  <c r="AC9" i="38"/>
  <c r="AG10" i="5" s="1"/>
  <c r="AF10" i="5"/>
  <c r="DZ12" i="26"/>
  <c r="CM13" i="26"/>
  <c r="CM28" i="26"/>
  <c r="DZ29" i="26"/>
  <c r="BD35" i="38"/>
  <c r="BH35" i="38" s="1"/>
  <c r="AE20" i="26"/>
  <c r="CM27" i="26"/>
  <c r="DZ28" i="26"/>
  <c r="AV33" i="26"/>
  <c r="AN16" i="38"/>
  <c r="AZ16" i="38" s="1"/>
  <c r="BD19" i="38"/>
  <c r="BD22" i="38"/>
  <c r="AP30" i="38"/>
  <c r="AP37" i="38"/>
  <c r="CJ37" i="26"/>
  <c r="CN8" i="6"/>
  <c r="DZ25" i="26"/>
  <c r="AV30" i="26"/>
  <c r="AI9" i="38"/>
  <c r="AM10" i="5" s="1"/>
  <c r="AL10" i="5"/>
  <c r="BD27" i="38"/>
  <c r="BH27" i="38" s="1"/>
  <c r="AI8" i="38"/>
  <c r="AM9" i="5" s="1"/>
  <c r="AL9" i="5"/>
  <c r="AX37" i="38"/>
  <c r="BA16" i="26"/>
  <c r="AO9" i="5"/>
  <c r="AX30" i="38"/>
  <c r="AX34" i="38"/>
  <c r="AO35" i="38"/>
  <c r="CN7" i="26"/>
  <c r="CS7" i="6" s="1"/>
  <c r="CN23" i="26"/>
  <c r="CN27" i="26"/>
  <c r="AW9" i="38"/>
  <c r="AX9" i="38"/>
  <c r="AY9" i="38"/>
  <c r="AO9" i="38"/>
  <c r="AO10" i="38"/>
  <c r="CN11" i="26"/>
  <c r="CN13" i="26"/>
  <c r="BA18" i="26"/>
  <c r="BA22" i="26"/>
  <c r="BA23" i="26"/>
  <c r="CN26" i="26"/>
  <c r="BA27" i="26"/>
  <c r="BA31" i="26"/>
  <c r="AY21" i="38"/>
  <c r="AN24" i="38"/>
  <c r="AO16" i="38"/>
  <c r="AY17" i="38"/>
  <c r="AO17" i="38"/>
  <c r="AY24" i="38"/>
  <c r="AY25" i="38"/>
  <c r="CH37" i="26"/>
  <c r="CN10" i="26"/>
  <c r="CN15" i="26"/>
  <c r="CN17" i="26"/>
  <c r="CN20" i="26"/>
  <c r="CN25" i="26"/>
  <c r="BA26" i="26"/>
  <c r="AX10" i="38"/>
  <c r="AN11" i="38"/>
  <c r="AZ11" i="38" s="1"/>
  <c r="AS15" i="38"/>
  <c r="BA15" i="38" s="1"/>
  <c r="AY16" i="38"/>
  <c r="AC16" i="38"/>
  <c r="AS16" i="38" s="1"/>
  <c r="BA16" i="38" s="1"/>
  <c r="AN18" i="38"/>
  <c r="AZ18" i="38" s="1"/>
  <c r="AO19" i="38"/>
  <c r="AO21" i="38"/>
  <c r="AO31" i="38"/>
  <c r="BI37" i="26"/>
  <c r="BZ37" i="26"/>
  <c r="BA20" i="26"/>
  <c r="BA25" i="26"/>
  <c r="BA29" i="26"/>
  <c r="AW11" i="38"/>
  <c r="AX11" i="38"/>
  <c r="AY11" i="38"/>
  <c r="AO11" i="38"/>
  <c r="AO12" i="38"/>
  <c r="BH19" i="38"/>
  <c r="AN19" i="38"/>
  <c r="AZ19" i="38" s="1"/>
  <c r="AN21" i="38"/>
  <c r="AZ21" i="38" s="1"/>
  <c r="BH22" i="38"/>
  <c r="AN22" i="38"/>
  <c r="AZ22" i="38" s="1"/>
  <c r="AO24" i="38"/>
  <c r="AO27" i="38"/>
  <c r="ED37" i="26"/>
  <c r="CN29" i="26"/>
  <c r="BA30" i="26"/>
  <c r="AN8" i="38"/>
  <c r="AZ8" i="38" s="1"/>
  <c r="AX13" i="38"/>
  <c r="AY13" i="38"/>
  <c r="AO13" i="38"/>
  <c r="AN17" i="38"/>
  <c r="AZ17" i="38" s="1"/>
  <c r="AC19" i="38"/>
  <c r="AS19" i="38" s="1"/>
  <c r="BA19" i="38" s="1"/>
  <c r="AC21" i="38"/>
  <c r="AS21" i="38" s="1"/>
  <c r="AO22" i="38"/>
  <c r="AC24" i="38"/>
  <c r="AS24" i="38" s="1"/>
  <c r="BA24" i="38" s="1"/>
  <c r="AX28" i="38"/>
  <c r="AO28" i="38"/>
  <c r="AO32" i="38"/>
  <c r="AO36" i="38"/>
  <c r="AF37" i="26"/>
  <c r="AR44" i="26" s="1"/>
  <c r="BN37" i="26"/>
  <c r="BA10" i="26"/>
  <c r="CN14" i="26"/>
  <c r="CN19" i="26"/>
  <c r="CN24" i="26"/>
  <c r="CN28" i="26"/>
  <c r="CN32" i="26"/>
  <c r="BH14" i="38"/>
  <c r="AN15" i="38"/>
  <c r="AZ15" i="38" s="1"/>
  <c r="AO15" i="38"/>
  <c r="AC17" i="38"/>
  <c r="AS17" i="38" s="1"/>
  <c r="AN20" i="38"/>
  <c r="AZ20" i="38" s="1"/>
  <c r="AO20" i="38"/>
  <c r="BH23" i="38"/>
  <c r="AN23" i="38"/>
  <c r="AZ23" i="38" s="1"/>
  <c r="AO23" i="38"/>
  <c r="AN25" i="38"/>
  <c r="AZ25" i="38" s="1"/>
  <c r="AO25" i="38"/>
  <c r="BH31" i="38"/>
  <c r="BJ37" i="26"/>
  <c r="DN37" i="26"/>
  <c r="CN9" i="26"/>
  <c r="BA14" i="26"/>
  <c r="CN18" i="26"/>
  <c r="BA19" i="26"/>
  <c r="BA24" i="26"/>
  <c r="BA28" i="26"/>
  <c r="CN31" i="26"/>
  <c r="BA32" i="26"/>
  <c r="AN9" i="38"/>
  <c r="AZ9" i="38" s="1"/>
  <c r="AX12" i="38"/>
  <c r="BH18" i="38"/>
  <c r="AO18" i="38"/>
  <c r="AY20" i="38"/>
  <c r="AC20" i="38"/>
  <c r="AS20" i="38" s="1"/>
  <c r="BA20" i="38" s="1"/>
  <c r="AC23" i="38"/>
  <c r="AS23" i="38" s="1"/>
  <c r="BA23" i="38" s="1"/>
  <c r="AC25" i="38"/>
  <c r="AS25" i="38" s="1"/>
  <c r="BA25" i="38" s="1"/>
  <c r="AN27" i="38"/>
  <c r="AZ27" i="38" s="1"/>
  <c r="AW31" i="38"/>
  <c r="AN31" i="38"/>
  <c r="AZ31" i="38" s="1"/>
  <c r="AW35" i="38"/>
  <c r="AN35" i="38"/>
  <c r="AZ35" i="38" s="1"/>
  <c r="BV37" i="26"/>
  <c r="CD37" i="26"/>
  <c r="AC37" i="26"/>
  <c r="AN37" i="26"/>
  <c r="CX37" i="26"/>
  <c r="DF37" i="26"/>
  <c r="DV37" i="26"/>
  <c r="CM7" i="26"/>
  <c r="DZ7" i="26"/>
  <c r="EA7" i="6" s="1"/>
  <c r="BA8" i="26"/>
  <c r="CM11" i="26"/>
  <c r="DZ11" i="26"/>
  <c r="BA12" i="26"/>
  <c r="CM15" i="26"/>
  <c r="DZ15" i="26"/>
  <c r="AV34" i="26"/>
  <c r="AW27" i="38"/>
  <c r="AV23" i="26"/>
  <c r="AV24" i="26"/>
  <c r="AV27" i="26"/>
  <c r="AV28" i="26"/>
  <c r="AV31" i="26"/>
  <c r="AV32" i="26"/>
  <c r="AK39" i="38"/>
  <c r="AR39" i="38"/>
  <c r="BD15" i="38"/>
  <c r="BH15" i="38" s="1"/>
  <c r="AS18" i="38"/>
  <c r="BA18" i="38" s="1"/>
  <c r="AS22" i="38"/>
  <c r="BA22" i="38" s="1"/>
  <c r="AV6" i="26"/>
  <c r="AV10" i="26"/>
  <c r="AV14" i="26"/>
  <c r="AV18" i="26"/>
  <c r="CR20" i="26"/>
  <c r="AV20" i="26"/>
  <c r="EC21" i="26"/>
  <c r="G21" i="26"/>
  <c r="CR21" i="26" s="1"/>
  <c r="AG39" i="38"/>
  <c r="AC32" i="38"/>
  <c r="AN32" i="38"/>
  <c r="AZ32" i="38" s="1"/>
  <c r="AC36" i="38"/>
  <c r="AS36" i="38" s="1"/>
  <c r="BA36" i="38" s="1"/>
  <c r="AN36" i="38"/>
  <c r="AZ36" i="38" s="1"/>
  <c r="CK37" i="26"/>
  <c r="EC7" i="26"/>
  <c r="ED7" i="6" s="1"/>
  <c r="AE8" i="26"/>
  <c r="AF8" i="6" s="1"/>
  <c r="AV8" i="26"/>
  <c r="CN8" i="26"/>
  <c r="CS8" i="6" s="1"/>
  <c r="DZ10" i="26"/>
  <c r="EC11" i="26"/>
  <c r="AE12" i="26"/>
  <c r="AV12" i="26"/>
  <c r="CN12" i="26"/>
  <c r="DZ14" i="26"/>
  <c r="EC15" i="26"/>
  <c r="CM17" i="26"/>
  <c r="DZ17" i="26"/>
  <c r="AE21" i="26"/>
  <c r="AV21" i="26"/>
  <c r="CN21" i="26"/>
  <c r="DZ21" i="26"/>
  <c r="CM22" i="26"/>
  <c r="P37" i="26"/>
  <c r="DZ32" i="26"/>
  <c r="CN33" i="26"/>
  <c r="DZ33" i="26"/>
  <c r="CN34" i="26"/>
  <c r="DZ34" i="26"/>
  <c r="AE35" i="26"/>
  <c r="AV35" i="26"/>
  <c r="CN35" i="26"/>
  <c r="DZ35" i="26"/>
  <c r="H39" i="38"/>
  <c r="X39" i="38"/>
  <c r="BD10" i="38"/>
  <c r="BH10" i="38" s="1"/>
  <c r="AP10" i="38"/>
  <c r="AS11" i="38"/>
  <c r="BA11" i="38" s="1"/>
  <c r="BD12" i="38"/>
  <c r="BH12" i="38" s="1"/>
  <c r="AP12" i="38"/>
  <c r="AY14" i="38"/>
  <c r="AO14" i="38"/>
  <c r="AP14" i="38"/>
  <c r="AN26" i="38"/>
  <c r="AZ26" i="38" s="1"/>
  <c r="AO30" i="38"/>
  <c r="AO34" i="38"/>
  <c r="AE16" i="26"/>
  <c r="AV16" i="26"/>
  <c r="CN16" i="26"/>
  <c r="BA21" i="26"/>
  <c r="G22" i="26"/>
  <c r="CR22" i="26" s="1"/>
  <c r="AE22" i="26"/>
  <c r="AV22" i="26"/>
  <c r="CN22" i="26"/>
  <c r="DZ22" i="26"/>
  <c r="CM23" i="26"/>
  <c r="CM24" i="26"/>
  <c r="BA33" i="26"/>
  <c r="BA34" i="26"/>
  <c r="BA35" i="26"/>
  <c r="J39" i="38"/>
  <c r="J42" i="38" s="1"/>
  <c r="J43" i="38" s="1"/>
  <c r="J44" i="38" s="1"/>
  <c r="L44" i="38" s="1"/>
  <c r="L46" i="38" s="1"/>
  <c r="O39" i="38"/>
  <c r="S39" i="38"/>
  <c r="Y39" i="38"/>
  <c r="AE39" i="38"/>
  <c r="AP13" i="38"/>
  <c r="Q39" i="38"/>
  <c r="AN14" i="38"/>
  <c r="AZ14" i="38" s="1"/>
  <c r="AX15" i="38"/>
  <c r="AY15" i="38"/>
  <c r="AX16" i="38"/>
  <c r="AW17" i="38"/>
  <c r="AX17" i="38"/>
  <c r="AW18" i="38"/>
  <c r="AX18" i="38"/>
  <c r="AY18" i="38"/>
  <c r="AX19" i="38"/>
  <c r="AY19" i="38"/>
  <c r="AX20" i="38"/>
  <c r="AW21" i="38"/>
  <c r="AX21" i="38"/>
  <c r="AW22" i="38"/>
  <c r="AX22" i="38"/>
  <c r="AY22" i="38"/>
  <c r="AX23" i="38"/>
  <c r="AY23" i="38"/>
  <c r="AX24" i="38"/>
  <c r="AW25" i="38"/>
  <c r="AX25" i="38"/>
  <c r="AX26" i="38"/>
  <c r="AY26" i="38"/>
  <c r="AO26" i="38"/>
  <c r="AP27" i="38"/>
  <c r="AW29" i="38"/>
  <c r="AX29" i="38"/>
  <c r="AO29" i="38"/>
  <c r="AN29" i="38"/>
  <c r="AZ29" i="38" s="1"/>
  <c r="BD32" i="38"/>
  <c r="BH32" i="38" s="1"/>
  <c r="AW33" i="38"/>
  <c r="AO33" i="38"/>
  <c r="AN33" i="38"/>
  <c r="AZ33" i="38" s="1"/>
  <c r="BD36" i="38"/>
  <c r="BH36" i="38" s="1"/>
  <c r="AO37" i="38"/>
  <c r="CR25" i="26"/>
  <c r="CR26" i="26"/>
  <c r="CR29" i="26"/>
  <c r="CR30" i="26"/>
  <c r="CM32" i="26"/>
  <c r="P39" i="38"/>
  <c r="AW13" i="38"/>
  <c r="BD16" i="38"/>
  <c r="BH16" i="38" s="1"/>
  <c r="BD17" i="38"/>
  <c r="BH17" i="38" s="1"/>
  <c r="BD20" i="38"/>
  <c r="BH20" i="38" s="1"/>
  <c r="BD21" i="38"/>
  <c r="BH21" i="38" s="1"/>
  <c r="BD24" i="38"/>
  <c r="BH24" i="38" s="1"/>
  <c r="AZ24" i="38"/>
  <c r="BD25" i="38"/>
  <c r="BH25" i="38" s="1"/>
  <c r="BD26" i="38"/>
  <c r="BH26" i="38" s="1"/>
  <c r="AS29" i="38"/>
  <c r="BA29" i="38" s="1"/>
  <c r="AW32" i="38"/>
  <c r="AX32" i="38"/>
  <c r="AS33" i="38"/>
  <c r="BA33" i="38" s="1"/>
  <c r="AW36" i="38"/>
  <c r="AX36" i="38"/>
  <c r="M39" i="38"/>
  <c r="R39" i="38"/>
  <c r="BD8" i="38"/>
  <c r="AW28" i="38"/>
  <c r="AC28" i="38"/>
  <c r="AS28" i="38" s="1"/>
  <c r="BA28" i="38" s="1"/>
  <c r="AN28" i="38"/>
  <c r="AZ28" i="38" s="1"/>
  <c r="AW34" i="38"/>
  <c r="AC34" i="38"/>
  <c r="AS34" i="38" s="1"/>
  <c r="BA34" i="38" s="1"/>
  <c r="AN34" i="38"/>
  <c r="AZ34" i="38" s="1"/>
  <c r="H1" i="38"/>
  <c r="AM39" i="38"/>
  <c r="BC39" i="38"/>
  <c r="BG39" i="38" s="1"/>
  <c r="AC13" i="38"/>
  <c r="AS13" i="38" s="1"/>
  <c r="BA13" i="38" s="1"/>
  <c r="AN13" i="38"/>
  <c r="AZ13" i="38" s="1"/>
  <c r="AW14" i="38"/>
  <c r="AW15" i="38"/>
  <c r="AW19" i="38"/>
  <c r="AW23" i="38"/>
  <c r="V39" i="38"/>
  <c r="Z39" i="38"/>
  <c r="AY8" i="38"/>
  <c r="AO8" i="38"/>
  <c r="AF39" i="38"/>
  <c r="AJ39" i="38"/>
  <c r="BD9" i="38"/>
  <c r="BH9" i="38" s="1"/>
  <c r="AP9" i="38"/>
  <c r="AY10" i="38"/>
  <c r="AN10" i="38"/>
  <c r="AZ10" i="38" s="1"/>
  <c r="AW10" i="38"/>
  <c r="BD11" i="38"/>
  <c r="BH11" i="38" s="1"/>
  <c r="AP11" i="38"/>
  <c r="AY12" i="38"/>
  <c r="AN12" i="38"/>
  <c r="AZ12" i="38" s="1"/>
  <c r="AW12" i="38"/>
  <c r="BD13" i="38"/>
  <c r="BH13" i="38" s="1"/>
  <c r="AW16" i="38"/>
  <c r="AW20" i="38"/>
  <c r="AW24" i="38"/>
  <c r="AX35" i="38"/>
  <c r="AY35" i="38"/>
  <c r="AW37" i="38"/>
  <c r="AC37" i="38"/>
  <c r="AS37" i="38" s="1"/>
  <c r="BA37" i="38" s="1"/>
  <c r="AN37" i="38"/>
  <c r="AZ37" i="38" s="1"/>
  <c r="F39" i="38"/>
  <c r="L39" i="38"/>
  <c r="W39" i="38"/>
  <c r="AB39" i="38"/>
  <c r="AC8" i="38"/>
  <c r="AG9" i="5" s="1"/>
  <c r="AQ39" i="38"/>
  <c r="AQ1" i="38"/>
  <c r="AX8" i="38"/>
  <c r="AS10" i="38"/>
  <c r="BA10" i="38" s="1"/>
  <c r="AS12" i="38"/>
  <c r="BA12" i="38" s="1"/>
  <c r="AX14" i="38"/>
  <c r="AX33" i="38"/>
  <c r="AY33" i="38"/>
  <c r="AY29" i="38"/>
  <c r="AW30" i="38"/>
  <c r="AY31" i="38"/>
  <c r="AC14" i="38"/>
  <c r="AS14" i="38" s="1"/>
  <c r="BA14" i="38" s="1"/>
  <c r="AC30" i="38"/>
  <c r="AS30" i="38" s="1"/>
  <c r="BA30" i="38" s="1"/>
  <c r="AN30" i="38"/>
  <c r="AZ30" i="38" s="1"/>
  <c r="AX31" i="38"/>
  <c r="AY36" i="38"/>
  <c r="AP26" i="38"/>
  <c r="AX27" i="38"/>
  <c r="AY27" i="38"/>
  <c r="BD28" i="38"/>
  <c r="BH28" i="38" s="1"/>
  <c r="AY32" i="38"/>
  <c r="AP33" i="38"/>
  <c r="BD34" i="38"/>
  <c r="BH34" i="38" s="1"/>
  <c r="AP35" i="38"/>
  <c r="D39" i="38"/>
  <c r="K39" i="38"/>
  <c r="T8" i="38"/>
  <c r="AD39" i="38"/>
  <c r="AH39" i="38"/>
  <c r="AL39" i="38"/>
  <c r="AP8" i="38"/>
  <c r="AV39" i="38"/>
  <c r="AW26" i="38"/>
  <c r="AY28" i="38"/>
  <c r="AP29" i="38"/>
  <c r="BD30" i="38"/>
  <c r="BH30" i="38" s="1"/>
  <c r="AP31" i="38"/>
  <c r="AS32" i="38"/>
  <c r="BA32" i="38" s="1"/>
  <c r="AY37" i="38"/>
  <c r="AS26" i="38"/>
  <c r="BA26" i="38" s="1"/>
  <c r="AS27" i="38"/>
  <c r="BA27" i="38" s="1"/>
  <c r="AP28" i="38"/>
  <c r="BD29" i="38"/>
  <c r="BH29" i="38" s="1"/>
  <c r="AY30" i="38"/>
  <c r="AS31" i="38"/>
  <c r="BA31" i="38" s="1"/>
  <c r="AP32" i="38"/>
  <c r="BD33" i="38"/>
  <c r="BH33" i="38" s="1"/>
  <c r="AY34" i="38"/>
  <c r="AS35" i="38"/>
  <c r="BA35" i="38" s="1"/>
  <c r="AP36" i="38"/>
  <c r="BD37" i="38"/>
  <c r="BH37" i="38" s="1"/>
  <c r="C39" i="26"/>
  <c r="C37" i="26"/>
  <c r="G6" i="26"/>
  <c r="CR6" i="26" s="1"/>
  <c r="CR10" i="26"/>
  <c r="CR16" i="26"/>
  <c r="EC18" i="26"/>
  <c r="G18" i="26"/>
  <c r="CR18" i="26" s="1"/>
  <c r="CR28" i="26"/>
  <c r="H37" i="26"/>
  <c r="AG37" i="26"/>
  <c r="EA37" i="26"/>
  <c r="K37" i="26"/>
  <c r="AB37" i="26"/>
  <c r="AJ37" i="26"/>
  <c r="AJ40" i="26" s="1"/>
  <c r="AR37" i="26"/>
  <c r="AZ37" i="26"/>
  <c r="DB37" i="26"/>
  <c r="DR37" i="26"/>
  <c r="EC6" i="26"/>
  <c r="AE9" i="26"/>
  <c r="CR9" i="26"/>
  <c r="EC10" i="26"/>
  <c r="AE11" i="26"/>
  <c r="CR11" i="26"/>
  <c r="EC12" i="26"/>
  <c r="AE13" i="26"/>
  <c r="CR13" i="26"/>
  <c r="EC14" i="26"/>
  <c r="AE15" i="26"/>
  <c r="CR15" i="26"/>
  <c r="EC16" i="26"/>
  <c r="AE17" i="26"/>
  <c r="CR17" i="26"/>
  <c r="CR24" i="26"/>
  <c r="CN30" i="26"/>
  <c r="CR32" i="26"/>
  <c r="BR37" i="26"/>
  <c r="CR8" i="26"/>
  <c r="CT8" i="6" s="1"/>
  <c r="CR12" i="26"/>
  <c r="CR14" i="26"/>
  <c r="CQ37" i="26"/>
  <c r="Y37" i="26"/>
  <c r="AQ37" i="26"/>
  <c r="BA6" i="26"/>
  <c r="AY37" i="26"/>
  <c r="EK37" i="26"/>
  <c r="T37" i="26"/>
  <c r="DJ37" i="26"/>
  <c r="AE7" i="26"/>
  <c r="AF7" i="6" s="1"/>
  <c r="CR7" i="26"/>
  <c r="CT7" i="6" s="1"/>
  <c r="EC8" i="26"/>
  <c r="ED8" i="6" s="1"/>
  <c r="L37" i="26"/>
  <c r="U37" i="26"/>
  <c r="BH37" i="26"/>
  <c r="BQ37" i="26"/>
  <c r="CN6" i="26"/>
  <c r="CW37" i="26"/>
  <c r="DE37" i="26"/>
  <c r="DM37" i="26"/>
  <c r="DZ6" i="26"/>
  <c r="DU37" i="26"/>
  <c r="BA7" i="26"/>
  <c r="CM8" i="26"/>
  <c r="BA9" i="26"/>
  <c r="CM10" i="26"/>
  <c r="BA11" i="26"/>
  <c r="CM12" i="26"/>
  <c r="BA13" i="26"/>
  <c r="CM14" i="26"/>
  <c r="BA15" i="26"/>
  <c r="CM16" i="26"/>
  <c r="BA17" i="26"/>
  <c r="AE6" i="26"/>
  <c r="AE19" i="26"/>
  <c r="AE26" i="26"/>
  <c r="CR27" i="26"/>
  <c r="AE30" i="26"/>
  <c r="CR31" i="26"/>
  <c r="AE34" i="26"/>
  <c r="CR35" i="26"/>
  <c r="BY37" i="26"/>
  <c r="CG37" i="26"/>
  <c r="CM6" i="26"/>
  <c r="CS37" i="26"/>
  <c r="DA37" i="26"/>
  <c r="DI37" i="26"/>
  <c r="DQ37" i="26"/>
  <c r="EG37" i="26"/>
  <c r="AE25" i="26"/>
  <c r="AE29" i="26"/>
  <c r="AE33" i="26"/>
  <c r="EC19" i="26"/>
  <c r="EC20" i="26"/>
  <c r="EC24" i="26"/>
  <c r="EC25" i="26"/>
  <c r="EC26" i="26"/>
  <c r="EC27" i="26"/>
  <c r="EC28" i="26"/>
  <c r="EC29" i="26"/>
  <c r="EC30" i="26"/>
  <c r="EC31" i="26"/>
  <c r="EC32" i="26"/>
  <c r="EC33" i="26"/>
  <c r="EC34" i="26"/>
  <c r="EC35" i="26"/>
  <c r="DZ37" i="26" l="1"/>
  <c r="BE11" i="38"/>
  <c r="BI11" i="38" s="1"/>
  <c r="AS9" i="38"/>
  <c r="AI39" i="38"/>
  <c r="AO10" i="5"/>
  <c r="T39" i="38"/>
  <c r="S9" i="5"/>
  <c r="BE13" i="38"/>
  <c r="BI13" i="38" s="1"/>
  <c r="AR40" i="26"/>
  <c r="BE29" i="38"/>
  <c r="BI29" i="38" s="1"/>
  <c r="BA21" i="38"/>
  <c r="BE21" i="38"/>
  <c r="BI21" i="38" s="1"/>
  <c r="BE22" i="38"/>
  <c r="BI22" i="38" s="1"/>
  <c r="BE18" i="38"/>
  <c r="BI18" i="38" s="1"/>
  <c r="BE15" i="38"/>
  <c r="BI15" i="38" s="1"/>
  <c r="BA17" i="38"/>
  <c r="BE17" i="38"/>
  <c r="BI17" i="38" s="1"/>
  <c r="BE14" i="38"/>
  <c r="BI14" i="38" s="1"/>
  <c r="BE25" i="38"/>
  <c r="BI25" i="38" s="1"/>
  <c r="BE33" i="38"/>
  <c r="BI33" i="38" s="1"/>
  <c r="BE19" i="38"/>
  <c r="BI19" i="38" s="1"/>
  <c r="AO39" i="38"/>
  <c r="BE24" i="38"/>
  <c r="BI24" i="38" s="1"/>
  <c r="BE16" i="38"/>
  <c r="BI16" i="38" s="1"/>
  <c r="BE31" i="38"/>
  <c r="BI31" i="38" s="1"/>
  <c r="BE30" i="38"/>
  <c r="BI30" i="38" s="1"/>
  <c r="BE12" i="38"/>
  <c r="BI12" i="38" s="1"/>
  <c r="BE23" i="38"/>
  <c r="BI23" i="38" s="1"/>
  <c r="BE10" i="38"/>
  <c r="BI10" i="38" s="1"/>
  <c r="BE20" i="38"/>
  <c r="BI20" i="38" s="1"/>
  <c r="AV37" i="26"/>
  <c r="AC39" i="38"/>
  <c r="AS8" i="38"/>
  <c r="AR9" i="5" s="1"/>
  <c r="BE37" i="38"/>
  <c r="BI37" i="38" s="1"/>
  <c r="AY39" i="38"/>
  <c r="BD39" i="38"/>
  <c r="BH8" i="38"/>
  <c r="BH39" i="38" s="1"/>
  <c r="BE27" i="38"/>
  <c r="BI27" i="38" s="1"/>
  <c r="BE32" i="38"/>
  <c r="BI32" i="38" s="1"/>
  <c r="AP39" i="38"/>
  <c r="AP1" i="38"/>
  <c r="BE36" i="38"/>
  <c r="BI36" i="38" s="1"/>
  <c r="AW8" i="38"/>
  <c r="AW39" i="38" s="1"/>
  <c r="BE34" i="38"/>
  <c r="BI34" i="38" s="1"/>
  <c r="BE28" i="38"/>
  <c r="BI28" i="38" s="1"/>
  <c r="AN39" i="38"/>
  <c r="BE35" i="38"/>
  <c r="BI35" i="38" s="1"/>
  <c r="BE26" i="38"/>
  <c r="BI26" i="38" s="1"/>
  <c r="AX39" i="38"/>
  <c r="AZ39" i="38"/>
  <c r="BA37" i="26"/>
  <c r="AR46" i="26"/>
  <c r="AR42" i="26"/>
  <c r="CM37" i="26"/>
  <c r="AE37" i="26"/>
  <c r="EC37" i="26"/>
  <c r="CR37" i="26"/>
  <c r="CN37" i="26"/>
  <c r="G37" i="26"/>
  <c r="BA9" i="38" l="1"/>
  <c r="AR10" i="5"/>
  <c r="BE9" i="38"/>
  <c r="AS39" i="38"/>
  <c r="BA8" i="38"/>
  <c r="BA39" i="38" s="1"/>
  <c r="BE8" i="38"/>
  <c r="BC9" i="5" s="1"/>
  <c r="AR45" i="26"/>
  <c r="AR41" i="26"/>
  <c r="BI9" i="38" l="1"/>
  <c r="BG10" i="5" s="1"/>
  <c r="BC10" i="5"/>
  <c r="BE39" i="38"/>
  <c r="BI8" i="38"/>
  <c r="BI39" i="38" l="1"/>
  <c r="BG9" i="5"/>
  <c r="AQ8" i="5"/>
  <c r="P8" i="5"/>
  <c r="W8" i="5"/>
  <c r="AG6" i="6" l="1"/>
  <c r="AQ6" i="6" l="1"/>
  <c r="C6" i="6"/>
  <c r="EC6" i="6" s="1"/>
  <c r="K6" i="6"/>
  <c r="O6" i="6"/>
  <c r="T6" i="6"/>
  <c r="X6" i="6"/>
  <c r="AB6" i="6"/>
  <c r="AJ6" i="6"/>
  <c r="AM6" i="6"/>
  <c r="AN6" i="6"/>
  <c r="AU6" i="6"/>
  <c r="BH6" i="6"/>
  <c r="BI6" i="6"/>
  <c r="BJ6" i="6"/>
  <c r="BN6" i="6"/>
  <c r="BQ6" i="6"/>
  <c r="BU6" i="6"/>
  <c r="BY6" i="6"/>
  <c r="CC6" i="6"/>
  <c r="CG6" i="6"/>
  <c r="CJ6" i="6"/>
  <c r="CQ6" i="6"/>
  <c r="CW6" i="6"/>
  <c r="DA6" i="6"/>
  <c r="DE6" i="6"/>
  <c r="DI6" i="6"/>
  <c r="DM6" i="6"/>
  <c r="DQ6" i="6"/>
  <c r="DU6" i="6"/>
  <c r="EG6" i="6"/>
  <c r="EK6" i="6"/>
  <c r="EQ6" i="6"/>
  <c r="F6" i="6" s="1"/>
  <c r="ET6" i="6"/>
  <c r="CM6" i="6" l="1"/>
  <c r="AV6" i="6"/>
  <c r="AE6" i="6"/>
  <c r="DZ6" i="6"/>
  <c r="G6" i="6"/>
  <c r="CR6" i="6" s="1"/>
  <c r="H8" i="5" l="1"/>
  <c r="EL6" i="6"/>
  <c r="DN6" i="6"/>
  <c r="BV6" i="6"/>
  <c r="AZ6" i="6"/>
  <c r="P6" i="6" l="1"/>
  <c r="CD6" i="6"/>
  <c r="DR6" i="6"/>
  <c r="CX6" i="6"/>
  <c r="DF6" i="6"/>
  <c r="DV6" i="6"/>
  <c r="EH6" i="6"/>
  <c r="H6" i="6"/>
  <c r="Y6" i="6"/>
  <c r="AY6" i="6"/>
  <c r="BA6" i="6" s="1"/>
  <c r="DB6" i="6"/>
  <c r="DJ6" i="6"/>
  <c r="AR6" i="6"/>
  <c r="CK6" i="6"/>
  <c r="L6" i="6"/>
  <c r="U6" i="6"/>
  <c r="AC6" i="6"/>
  <c r="BR6" i="6"/>
  <c r="BZ6" i="6"/>
  <c r="CH6" i="6"/>
  <c r="CS6" i="6"/>
  <c r="AF6" i="6" l="1"/>
  <c r="EA6" i="6"/>
  <c r="ED6" i="6"/>
  <c r="CN6" i="6"/>
  <c r="CT6" i="6"/>
  <c r="G5" i="6" l="1"/>
  <c r="B1" i="28" l="1"/>
  <c r="B39" i="6" l="1"/>
  <c r="C8" i="28" l="1"/>
  <c r="H38" i="5" l="1"/>
  <c r="C38" i="6" l="1"/>
  <c r="C36" i="6"/>
  <c r="AE36" i="6"/>
  <c r="BD8" i="5" l="1"/>
  <c r="BH8" i="5" s="1"/>
  <c r="AP8" i="5"/>
  <c r="AI36" i="6" l="1"/>
  <c r="L8" i="5" l="1"/>
  <c r="CR36" i="6" l="1"/>
  <c r="C14" i="28" l="1"/>
  <c r="F8" i="28" l="1"/>
  <c r="BG8" i="5" l="1"/>
  <c r="BC8" i="5"/>
  <c r="AR8" i="5"/>
  <c r="AM8" i="5"/>
  <c r="AL8" i="5"/>
  <c r="AH8" i="5"/>
  <c r="AI8" i="5" s="1"/>
  <c r="AG8" i="5"/>
  <c r="AF8" i="5"/>
  <c r="AB8" i="5"/>
  <c r="AC8" i="5" s="1"/>
  <c r="Z8" i="5"/>
  <c r="Y8" i="5"/>
  <c r="V8" i="5"/>
  <c r="S8" i="5"/>
  <c r="Q8" i="5"/>
  <c r="O8" i="5"/>
  <c r="T8" i="5" s="1"/>
  <c r="J8" i="5"/>
  <c r="M8" i="5" s="1"/>
  <c r="F8" i="5"/>
  <c r="AV8" i="5" s="1"/>
  <c r="D8" i="5"/>
  <c r="BN36" i="6"/>
  <c r="AS8" i="5" l="1"/>
  <c r="BE8" i="5" s="1"/>
  <c r="BI8" i="5" s="1"/>
  <c r="AO8" i="5"/>
  <c r="AY8" i="5"/>
  <c r="AX8" i="5"/>
  <c r="AW8" i="5"/>
  <c r="AN8" i="5"/>
  <c r="AZ8" i="5" s="1"/>
  <c r="BA8" i="5" l="1"/>
  <c r="S42" i="45"/>
  <c r="R54" i="28" l="1"/>
  <c r="J10" i="28"/>
  <c r="B19" i="28"/>
  <c r="R55" i="28" s="1"/>
  <c r="J19" i="28"/>
  <c r="J13" i="28"/>
  <c r="J14" i="28"/>
  <c r="CX36" i="6"/>
  <c r="R56" i="28" l="1"/>
  <c r="J21" i="28"/>
  <c r="I55" i="28" s="1"/>
  <c r="P48" i="28"/>
  <c r="C10" i="28"/>
  <c r="B16" i="28" l="1"/>
  <c r="B53" i="28" l="1"/>
  <c r="B12" i="39"/>
  <c r="N41" i="47" l="1"/>
  <c r="M41" i="47"/>
  <c r="L41" i="47"/>
  <c r="J41" i="47"/>
  <c r="H41" i="47"/>
  <c r="T42" i="45"/>
  <c r="Q42" i="45"/>
  <c r="K42" i="45"/>
  <c r="J42" i="45"/>
  <c r="I42" i="45"/>
  <c r="H42" i="45"/>
  <c r="K41" i="43"/>
  <c r="J41" i="43"/>
  <c r="H41" i="43"/>
  <c r="G41" i="43"/>
  <c r="D41" i="43"/>
  <c r="K41" i="42"/>
  <c r="J41" i="42"/>
  <c r="I41" i="42"/>
  <c r="H41" i="42"/>
  <c r="G41" i="42"/>
  <c r="D41" i="42"/>
  <c r="K41" i="41"/>
  <c r="J41" i="41"/>
  <c r="I41" i="41"/>
  <c r="H41" i="41"/>
  <c r="G41" i="41"/>
  <c r="D41" i="41"/>
  <c r="K41" i="40"/>
  <c r="J41" i="40"/>
  <c r="I41" i="40"/>
  <c r="H41" i="40"/>
  <c r="G41" i="40"/>
  <c r="D41" i="40"/>
  <c r="CC41" i="6" l="1"/>
  <c r="CG36" i="6" l="1"/>
  <c r="CH36" i="6" l="1"/>
  <c r="H15" i="28" l="1"/>
  <c r="C19" i="28" l="1"/>
  <c r="C7" i="28" l="1"/>
  <c r="K52" i="28" s="1"/>
  <c r="G14" i="28" l="1"/>
  <c r="E23" i="28"/>
  <c r="K48" i="28"/>
  <c r="P52" i="28" l="1"/>
  <c r="G7" i="28"/>
  <c r="G10" i="28"/>
  <c r="B7" i="28"/>
  <c r="D7" i="28" s="1"/>
  <c r="B8" i="28"/>
  <c r="J7" i="28"/>
  <c r="E22" i="28"/>
  <c r="J23" i="28" l="1"/>
  <c r="J22" i="28"/>
  <c r="C50" i="39" l="1"/>
  <c r="F25" i="39"/>
  <c r="F24" i="39"/>
  <c r="B18" i="39"/>
  <c r="B16" i="39"/>
  <c r="B15" i="39"/>
  <c r="C10" i="39"/>
  <c r="C9" i="39"/>
  <c r="B2" i="39"/>
  <c r="D12" i="39" l="1"/>
  <c r="D16" i="39"/>
  <c r="D15" i="39" l="1"/>
  <c r="B21" i="39"/>
  <c r="C12" i="39"/>
  <c r="B23" i="39" l="1"/>
  <c r="B25" i="39" s="1"/>
  <c r="B22" i="39"/>
  <c r="B24" i="39" s="1"/>
  <c r="B54" i="28" l="1"/>
  <c r="C16" i="39" l="1"/>
  <c r="C15" i="39"/>
  <c r="C13" i="39"/>
  <c r="EL36" i="6" l="1"/>
  <c r="EK36" i="6" l="1"/>
  <c r="D21" i="39" l="1"/>
  <c r="D22" i="39" s="1"/>
  <c r="D23" i="39" s="1"/>
  <c r="D25" i="39" l="1"/>
  <c r="D24" i="39"/>
  <c r="B14" i="28"/>
  <c r="D14" i="28" s="1"/>
  <c r="B13" i="28"/>
  <c r="B11" i="28"/>
  <c r="C53" i="28"/>
  <c r="F54" i="28"/>
  <c r="B18" i="28"/>
  <c r="D18" i="28" s="1"/>
  <c r="B17" i="28"/>
  <c r="D17" i="28" s="1"/>
  <c r="D16" i="28" l="1"/>
  <c r="B10" i="28"/>
  <c r="D10" i="28" s="1"/>
  <c r="I48" i="28" l="1"/>
  <c r="AD1" i="5"/>
  <c r="AJ1" i="5"/>
  <c r="I52" i="28" l="1"/>
  <c r="D19" i="28"/>
  <c r="BG36" i="6"/>
  <c r="F53" i="28" l="1"/>
  <c r="E54" i="39"/>
  <c r="X1" i="5" l="1"/>
  <c r="W1" i="5"/>
  <c r="R1" i="5"/>
  <c r="P1" i="5"/>
  <c r="K1" i="5"/>
  <c r="AQ1" i="5"/>
  <c r="EH36" i="6" l="1"/>
  <c r="EG36" i="6" l="1"/>
  <c r="CT36" i="6" l="1"/>
  <c r="CS36" i="6"/>
  <c r="ED36" i="6" l="1"/>
  <c r="AF38" i="5" l="1"/>
  <c r="AL38" i="5"/>
  <c r="AO38" i="5" l="1"/>
  <c r="L38" i="5" l="1"/>
  <c r="Y38" i="5"/>
  <c r="S38" i="5"/>
  <c r="AR38" i="5"/>
  <c r="AM38" i="5" l="1"/>
  <c r="AG38" i="5"/>
  <c r="EA36" i="6" l="1"/>
  <c r="DV36" i="6" l="1"/>
  <c r="DR36" i="6"/>
  <c r="DN36" i="6"/>
  <c r="DJ36" i="6"/>
  <c r="DF36" i="6"/>
  <c r="DZ36" i="6" l="1"/>
  <c r="DQ36" i="6"/>
  <c r="DU36" i="6"/>
  <c r="DM36" i="6"/>
  <c r="DI36" i="6"/>
  <c r="DE36" i="6"/>
  <c r="C49" i="28" l="1"/>
  <c r="AP1" i="5" l="1"/>
  <c r="DB36" i="6"/>
  <c r="AK38" i="5" l="1"/>
  <c r="AE38" i="5"/>
  <c r="DA36" i="6"/>
  <c r="CW36" i="6" l="1"/>
  <c r="CQ36" i="6" l="1"/>
  <c r="CN36" i="6" l="1"/>
  <c r="BH36" i="6" l="1"/>
  <c r="BI36" i="6"/>
  <c r="BJ36" i="6"/>
  <c r="E55" i="39" s="1"/>
  <c r="BF36" i="6" l="1"/>
  <c r="E54" i="28" l="1"/>
  <c r="D55" i="39"/>
  <c r="CK36" i="6"/>
  <c r="CD36" i="6"/>
  <c r="BR36" i="6"/>
  <c r="BV36" i="6"/>
  <c r="BZ36" i="6"/>
  <c r="CM36" i="6" l="1"/>
  <c r="BQ36" i="6"/>
  <c r="CC36" i="6"/>
  <c r="BY36" i="6"/>
  <c r="CJ36" i="6"/>
  <c r="BU36" i="6"/>
  <c r="F18" i="28" l="1"/>
  <c r="H18" i="28" s="1"/>
  <c r="F17" i="28"/>
  <c r="H17" i="28" s="1"/>
  <c r="AQ36" i="6" l="1"/>
  <c r="C13" i="28"/>
  <c r="C11" i="28"/>
  <c r="G8" i="28"/>
  <c r="BL36" i="6"/>
  <c r="BE36" i="6"/>
  <c r="BD36" i="6"/>
  <c r="BC36" i="6"/>
  <c r="AO36" i="6"/>
  <c r="AM36" i="6"/>
  <c r="E9" i="39" s="1"/>
  <c r="AK36" i="6"/>
  <c r="AG36" i="6"/>
  <c r="F12" i="39" s="1"/>
  <c r="S36" i="6"/>
  <c r="AZ36" i="6"/>
  <c r="AR36" i="6"/>
  <c r="AN36" i="6"/>
  <c r="G9" i="39" s="1"/>
  <c r="AF36" i="6"/>
  <c r="G12" i="39" s="1"/>
  <c r="AC36" i="6"/>
  <c r="Y36" i="6"/>
  <c r="U36" i="6"/>
  <c r="G13" i="39" s="1"/>
  <c r="T36" i="6"/>
  <c r="P36" i="6"/>
  <c r="L36" i="6"/>
  <c r="EC36" i="6"/>
  <c r="AQ38" i="5"/>
  <c r="K36" i="6"/>
  <c r="AJ38" i="5"/>
  <c r="F16" i="39" s="1"/>
  <c r="AD38" i="5"/>
  <c r="F15" i="39" s="1"/>
  <c r="X38" i="5"/>
  <c r="M52" i="28" s="1"/>
  <c r="W38" i="5"/>
  <c r="R38" i="5"/>
  <c r="P38" i="5"/>
  <c r="F13" i="39" s="1"/>
  <c r="K38" i="5"/>
  <c r="M48" i="28" s="1"/>
  <c r="H1" i="5"/>
  <c r="D38" i="5"/>
  <c r="F19" i="39" l="1"/>
  <c r="G19" i="28"/>
  <c r="D8" i="28"/>
  <c r="G13" i="28"/>
  <c r="D13" i="28"/>
  <c r="G11" i="28"/>
  <c r="D11" i="28"/>
  <c r="AS38" i="5"/>
  <c r="F14" i="28"/>
  <c r="E16" i="39"/>
  <c r="E10" i="39"/>
  <c r="E53" i="28"/>
  <c r="D54" i="39"/>
  <c r="E13" i="39"/>
  <c r="H16" i="28"/>
  <c r="E18" i="39"/>
  <c r="F10" i="39"/>
  <c r="B49" i="28"/>
  <c r="B50" i="39"/>
  <c r="C21" i="39"/>
  <c r="G16" i="39"/>
  <c r="G15" i="39"/>
  <c r="F7" i="28"/>
  <c r="F11" i="28"/>
  <c r="I11" i="28" s="1"/>
  <c r="AJ40" i="6"/>
  <c r="AJ41" i="6"/>
  <c r="C21" i="28"/>
  <c r="G21" i="28" s="1"/>
  <c r="BC38" i="5"/>
  <c r="AR45" i="6"/>
  <c r="AV36" i="6"/>
  <c r="F9" i="39"/>
  <c r="BA36" i="6"/>
  <c r="Q38" i="5"/>
  <c r="AR39" i="6"/>
  <c r="AB36" i="6"/>
  <c r="AJ36" i="6"/>
  <c r="G10" i="39" s="1"/>
  <c r="AY36" i="6"/>
  <c r="AP38" i="5"/>
  <c r="BD38" i="5"/>
  <c r="AR41" i="6"/>
  <c r="F38" i="5"/>
  <c r="O36" i="6"/>
  <c r="X36" i="6"/>
  <c r="N41" i="6" s="1"/>
  <c r="AR43" i="6"/>
  <c r="AB38" i="5"/>
  <c r="AH38" i="5"/>
  <c r="I7" i="28" l="1"/>
  <c r="H7" i="28"/>
  <c r="I14" i="28"/>
  <c r="H14" i="28"/>
  <c r="H8" i="28"/>
  <c r="I8" i="28"/>
  <c r="H11" i="28"/>
  <c r="G23" i="28"/>
  <c r="G22" i="28"/>
  <c r="G21" i="39"/>
  <c r="G22" i="39" s="1"/>
  <c r="G23" i="39" s="1"/>
  <c r="G25" i="39" s="1"/>
  <c r="F13" i="28"/>
  <c r="I13" i="28" s="1"/>
  <c r="E15" i="39"/>
  <c r="F21" i="39"/>
  <c r="F23" i="39" s="1"/>
  <c r="C23" i="39"/>
  <c r="C22" i="39"/>
  <c r="G18" i="39"/>
  <c r="C22" i="28"/>
  <c r="C23" i="28"/>
  <c r="T38" i="5"/>
  <c r="BG38" i="5"/>
  <c r="AB39" i="6" s="1"/>
  <c r="F10" i="28"/>
  <c r="O38" i="5"/>
  <c r="BH38" i="5"/>
  <c r="AB41" i="6" s="1"/>
  <c r="AJ39" i="6"/>
  <c r="AN38" i="5"/>
  <c r="AV38" i="5"/>
  <c r="J38" i="5"/>
  <c r="H13" i="28" l="1"/>
  <c r="E12" i="39"/>
  <c r="G24" i="39"/>
  <c r="F22" i="39"/>
  <c r="AR44" i="6"/>
  <c r="AW38" i="5"/>
  <c r="AZ38" i="5"/>
  <c r="B21" i="28"/>
  <c r="AR40" i="6"/>
  <c r="M38" i="5"/>
  <c r="L48" i="28" s="1"/>
  <c r="R48" i="28" s="1"/>
  <c r="O48" i="28" l="1"/>
  <c r="Q48" i="28"/>
  <c r="N48" i="28"/>
  <c r="BE38" i="5"/>
  <c r="H10" i="28"/>
  <c r="I10" i="28"/>
  <c r="J48" i="28"/>
  <c r="BA38" i="5"/>
  <c r="AC38" i="5"/>
  <c r="AI38" i="5"/>
  <c r="D21" i="28" l="1"/>
  <c r="G36" i="6"/>
  <c r="V38" i="5"/>
  <c r="F19" i="28" s="1"/>
  <c r="AY38" i="5"/>
  <c r="H19" i="28" l="1"/>
  <c r="I19" i="28"/>
  <c r="J52" i="28"/>
  <c r="AX38" i="5"/>
  <c r="E19" i="39"/>
  <c r="Z38" i="5"/>
  <c r="L52" i="28" s="1"/>
  <c r="O52" i="28" l="1"/>
  <c r="Q52" i="28"/>
  <c r="R52" i="28"/>
  <c r="N52" i="28"/>
  <c r="BI38" i="5"/>
  <c r="AB40" i="6" l="1"/>
  <c r="E22" i="39"/>
  <c r="E24" i="39" s="1"/>
  <c r="B23" i="28"/>
  <c r="D23" i="28" s="1"/>
  <c r="B22" i="28"/>
  <c r="D22" i="28" s="1"/>
  <c r="F21" i="28"/>
  <c r="H55" i="28" s="1"/>
  <c r="K55" i="28" s="1"/>
  <c r="E21" i="39"/>
  <c r="E23" i="39" s="1"/>
  <c r="E25" i="39" s="1"/>
  <c r="J55" i="28" l="1"/>
  <c r="H21" i="28"/>
  <c r="I21" i="28"/>
  <c r="F23" i="28"/>
  <c r="F22" i="28"/>
  <c r="H22" i="28" l="1"/>
  <c r="I22" i="28"/>
  <c r="H23" i="28"/>
  <c r="I23" i="28"/>
  <c r="H36" i="6"/>
  <c r="G19" i="39" s="1"/>
</calcChain>
</file>

<file path=xl/sharedStrings.xml><?xml version="1.0" encoding="utf-8"?>
<sst xmlns="http://schemas.openxmlformats.org/spreadsheetml/2006/main" count="1191" uniqueCount="301">
  <si>
    <t>DATE</t>
  </si>
  <si>
    <t>WATER</t>
  </si>
  <si>
    <t>FUEL</t>
  </si>
  <si>
    <t>ELECTRICITY</t>
  </si>
  <si>
    <t>ACTUAL L.E.</t>
  </si>
  <si>
    <t>CONSUMP. LITRE</t>
  </si>
  <si>
    <t>CONSUMP. KWH</t>
  </si>
  <si>
    <t>BUDGET L.E.</t>
  </si>
  <si>
    <t>Date</t>
  </si>
  <si>
    <t>Reading</t>
  </si>
  <si>
    <t>Add</t>
  </si>
  <si>
    <t>Product.</t>
  </si>
  <si>
    <t>Tanks Level</t>
  </si>
  <si>
    <t>TOTAL</t>
  </si>
  <si>
    <t>GENERATORS</t>
  </si>
  <si>
    <t>CONSUMP. M³</t>
  </si>
  <si>
    <t>Occ.</t>
  </si>
  <si>
    <t>Budget</t>
  </si>
  <si>
    <t>Last Year</t>
  </si>
  <si>
    <t>More Data</t>
  </si>
  <si>
    <t>KITCHEN GAS</t>
  </si>
  <si>
    <t>Sold</t>
  </si>
  <si>
    <t>Occupied Rooms</t>
  </si>
  <si>
    <t>GENERATOR KWH</t>
  </si>
  <si>
    <t>NATURAL GAS</t>
  </si>
  <si>
    <t>Cu.Mt. / Occupied Room</t>
  </si>
  <si>
    <t>L.E. / Occupied Room</t>
  </si>
  <si>
    <t>ENERGY BUDGET / OCCUPIED ROOM</t>
  </si>
  <si>
    <t>ENERGY ACTUAL / OCCUPIED ROOM</t>
  </si>
  <si>
    <t>KWH / Occupied Room</t>
  </si>
  <si>
    <t>BUDGET TOTAL ENERGY L.E.</t>
  </si>
  <si>
    <t>ACTUAL TOTAL ENERGY L.E.</t>
  </si>
  <si>
    <t>Occupied Rooms Budget</t>
  </si>
  <si>
    <t>Average/Day</t>
  </si>
  <si>
    <t>Consump. This Year</t>
  </si>
  <si>
    <t>Weather Temperature</t>
  </si>
  <si>
    <t>Rooms Occupied</t>
  </si>
  <si>
    <t>Consump. Last Year</t>
  </si>
  <si>
    <t>TOTAL KWH</t>
  </si>
  <si>
    <t>This Year</t>
  </si>
  <si>
    <t>Max. Demand</t>
  </si>
  <si>
    <t>Occupancy %</t>
  </si>
  <si>
    <t>Buy</t>
  </si>
  <si>
    <t>This Year KW</t>
  </si>
  <si>
    <t>Last Year KW</t>
  </si>
  <si>
    <t>OCCUPANCY - THIS YEAR =</t>
  </si>
  <si>
    <t>OCCUPANCY - LAST YEAR =</t>
  </si>
  <si>
    <t>OCCUPANCY - BUDGET=</t>
  </si>
  <si>
    <t>ENERGY COST / OCCUPIED ROOM - BUDGET =</t>
  </si>
  <si>
    <t>ENERGY COST / OCCUPIED ROOM - LAST YEAR =</t>
  </si>
  <si>
    <t>ENERGY COST / OCCUPIED ROOM - THIS YEAR =</t>
  </si>
  <si>
    <t>L.E.</t>
  </si>
  <si>
    <t>ENERGY LAST YEAR / OCCUPIED ROOM</t>
  </si>
  <si>
    <t>LAST YEAR TOTAL ENERGY L.E.</t>
  </si>
  <si>
    <t>KWH / OCCUPIED ROOM - BUDGET</t>
  </si>
  <si>
    <t>KWH / OCCU[PIED ROOM - THIS YEAR</t>
  </si>
  <si>
    <t>KWH / OCCUPIED ROOM - LAST YEAR</t>
  </si>
  <si>
    <t>KWH / AVAILABLE ROOM - LAST YEAR</t>
  </si>
  <si>
    <t>KWH / AVAILABLE ROOM - THIS YEAR</t>
  </si>
  <si>
    <t>KWH / AVAILABLE ROOM - BUDGET</t>
  </si>
  <si>
    <t>Available Rooms</t>
  </si>
  <si>
    <t>Power Factor</t>
  </si>
  <si>
    <r>
      <t xml:space="preserve">Cos </t>
    </r>
    <r>
      <rPr>
        <b/>
        <sz val="10"/>
        <rFont val="Calibri"/>
        <family val="2"/>
      </rPr>
      <t>Ø</t>
    </r>
  </si>
  <si>
    <t>KVAR Reading</t>
  </si>
  <si>
    <t>KVAR Cons.</t>
  </si>
  <si>
    <t>Energy Consumption</t>
  </si>
  <si>
    <t>Date:</t>
  </si>
  <si>
    <t>Occupancy</t>
  </si>
  <si>
    <t>Today</t>
  </si>
  <si>
    <t>Actual</t>
  </si>
  <si>
    <t>Month To Date</t>
  </si>
  <si>
    <t>Kitchens Gas - Cu. Mt.</t>
  </si>
  <si>
    <t>Water To Staff House - Cu.Mt.</t>
  </si>
  <si>
    <t>Hotel Water - Cu.Mt.</t>
  </si>
  <si>
    <t>Fuel - Liter</t>
  </si>
  <si>
    <t>Boilers Gas - Cu.Mt.</t>
  </si>
  <si>
    <t>Total Energy Cost - L.E.</t>
  </si>
  <si>
    <t>Energy Cost per Occupied Room</t>
  </si>
  <si>
    <t>BUDGET M³</t>
  </si>
  <si>
    <t>BUDGET LITRE</t>
  </si>
  <si>
    <t>TOTAL CONSUMP. M³</t>
  </si>
  <si>
    <t>BOILER CONSUMP. M³</t>
  </si>
  <si>
    <t>BOILER BUDGET CONSUMP. M³</t>
  </si>
  <si>
    <t>KITCHEN CONSUMP. M³</t>
  </si>
  <si>
    <t>KITCHEN BUDGET CONSUMP. M³</t>
  </si>
  <si>
    <t>BUDGET TOTAL CONSUMP. M³</t>
  </si>
  <si>
    <t>Electricity - KWH</t>
  </si>
  <si>
    <t>Month To Date Boilers' Gas Consumption</t>
  </si>
  <si>
    <t>Laundry Performance</t>
  </si>
  <si>
    <t>Month To Date Kitchens' Gas Consumption</t>
  </si>
  <si>
    <t>Kitchens Performance</t>
  </si>
  <si>
    <t>Month To Date Electricity Consumption</t>
  </si>
  <si>
    <t>Comments:</t>
  </si>
  <si>
    <t>Month To Date Energy Cost per Occupied Room</t>
  </si>
  <si>
    <t>Last year</t>
  </si>
  <si>
    <r>
      <t xml:space="preserve">Weather Temperature </t>
    </r>
    <r>
      <rPr>
        <b/>
        <sz val="10"/>
        <rFont val="Calibri"/>
        <family val="2"/>
      </rPr>
      <t>⁰</t>
    </r>
    <r>
      <rPr>
        <b/>
        <sz val="10"/>
        <rFont val="Arial"/>
        <family val="2"/>
      </rPr>
      <t>C</t>
    </r>
  </si>
  <si>
    <t>Target</t>
  </si>
  <si>
    <t>This Period</t>
  </si>
  <si>
    <t>Electricity Maximum Demand KW</t>
  </si>
  <si>
    <t>Last Period Max. Demand:</t>
  </si>
  <si>
    <t>Last Period</t>
  </si>
  <si>
    <t>This Period Max. Demand:</t>
  </si>
  <si>
    <t>Kitchen Water</t>
  </si>
  <si>
    <t>Counter Reading</t>
  </si>
  <si>
    <t>Consumption</t>
  </si>
  <si>
    <t>Laundry Water</t>
  </si>
  <si>
    <t>Fountain Water</t>
  </si>
  <si>
    <t>Consumption Last Year</t>
  </si>
  <si>
    <t>S. Pool Water</t>
  </si>
  <si>
    <t>Humidity %</t>
  </si>
  <si>
    <t>.</t>
  </si>
  <si>
    <t>Total Facilities Cons.</t>
  </si>
  <si>
    <t>Consumption This year</t>
  </si>
  <si>
    <t>Water Sold Last Year</t>
  </si>
  <si>
    <t>STP</t>
  </si>
  <si>
    <t>Reccycled Water Last Year</t>
  </si>
  <si>
    <t>Recycled Water this Year</t>
  </si>
  <si>
    <t>%</t>
  </si>
  <si>
    <t>Dishwasher</t>
  </si>
  <si>
    <t>Staff Kitchen</t>
  </si>
  <si>
    <t>Laundry Water - Cu.Mt.</t>
  </si>
  <si>
    <t>Kitchen Water - Cu.Mt.</t>
  </si>
  <si>
    <t>Laundry Electricity</t>
  </si>
  <si>
    <t>Cons.</t>
  </si>
  <si>
    <t>Cons. Last Year</t>
  </si>
  <si>
    <t>Kit. Equip. Electricity</t>
  </si>
  <si>
    <t>Chiller 1</t>
  </si>
  <si>
    <t>Chiller 2</t>
  </si>
  <si>
    <t>Chiller 3</t>
  </si>
  <si>
    <t>Total Chillers</t>
  </si>
  <si>
    <t>LAST YEAR ACTUAL L.E.</t>
  </si>
  <si>
    <t>BOILER COST L.E.</t>
  </si>
  <si>
    <t>KITCHEN COST L.E.</t>
  </si>
  <si>
    <t>BOILER COST LAST YEAR L.E.</t>
  </si>
  <si>
    <t>KITCHEN COST LAST YEAR L.E.</t>
  </si>
  <si>
    <r>
      <t>TOTAL CONSUMP. LAST YEAR M</t>
    </r>
    <r>
      <rPr>
        <b/>
        <sz val="10"/>
        <rFont val="Calibri"/>
        <family val="2"/>
      </rPr>
      <t>³</t>
    </r>
  </si>
  <si>
    <r>
      <t>BOILER CONSUMP. LAST YEAR M</t>
    </r>
    <r>
      <rPr>
        <b/>
        <sz val="10"/>
        <rFont val="Calibri"/>
        <family val="2"/>
      </rPr>
      <t>³</t>
    </r>
  </si>
  <si>
    <r>
      <t>KITCHEN CONSUMP. LAST YEAR M</t>
    </r>
    <r>
      <rPr>
        <b/>
        <sz val="10"/>
        <rFont val="Calibri"/>
        <family val="2"/>
      </rPr>
      <t>³</t>
    </r>
  </si>
  <si>
    <t>BOILER BUDGET COST L.E.</t>
  </si>
  <si>
    <t>KITCHEN BUDGET COST L.E.</t>
  </si>
  <si>
    <t>Chilled Pumps KWH</t>
  </si>
  <si>
    <t>RO Plant</t>
  </si>
  <si>
    <t>KWH This Year</t>
  </si>
  <si>
    <t>KWH Last Year</t>
  </si>
  <si>
    <t>Staff Kitchen Gas</t>
  </si>
  <si>
    <t>Daily Observations</t>
  </si>
  <si>
    <t>Time</t>
  </si>
  <si>
    <t>Temperature (° C)</t>
  </si>
  <si>
    <t>Dew Point (° C)</t>
  </si>
  <si>
    <t>Humidity (%)</t>
  </si>
  <si>
    <t>Wind Speed (mph)</t>
  </si>
  <si>
    <t>Pressure (Hg)</t>
  </si>
  <si>
    <t>Precipitation (in)</t>
  </si>
  <si>
    <t>Jun</t>
  </si>
  <si>
    <t>Max</t>
  </si>
  <si>
    <t>Avg</t>
  </si>
  <si>
    <t>Min</t>
  </si>
  <si>
    <t>Rotary Oven Gas</t>
  </si>
  <si>
    <t xml:space="preserve">Energy Cost per Available Room  </t>
  </si>
  <si>
    <t xml:space="preserve">Energy Forcast per Occupied Room </t>
  </si>
  <si>
    <t xml:space="preserve">Energy Forcast per Available Room  </t>
  </si>
  <si>
    <t>Forecast</t>
  </si>
  <si>
    <t>Staff Houses Water</t>
  </si>
  <si>
    <t>Last Year January 2021</t>
  </si>
  <si>
    <t xml:space="preserve">Elec.(Kw)/Room </t>
  </si>
  <si>
    <t xml:space="preserve">Water(l)/Room </t>
  </si>
  <si>
    <t>MTD</t>
  </si>
  <si>
    <t>Budgeted</t>
  </si>
  <si>
    <t>Act Vs Bdgt</t>
  </si>
  <si>
    <t>Act Vs Forcast</t>
  </si>
  <si>
    <t>Heated  Pool Water</t>
  </si>
  <si>
    <t>BOILER GAS</t>
  </si>
  <si>
    <t>Act. LE</t>
  </si>
  <si>
    <t>Budget LE</t>
  </si>
  <si>
    <t>Diff</t>
  </si>
  <si>
    <t xml:space="preserve">% Budget </t>
  </si>
  <si>
    <t xml:space="preserve">forcast  </t>
  </si>
  <si>
    <t xml:space="preserve">forcast </t>
  </si>
  <si>
    <t>Act Vs Bdg</t>
  </si>
  <si>
    <t>Act Vs Fos</t>
  </si>
  <si>
    <t xml:space="preserve">%forcast </t>
  </si>
  <si>
    <t>% forcast</t>
  </si>
  <si>
    <t>Engineering Department</t>
  </si>
  <si>
    <t>Main Swimming Pool</t>
  </si>
  <si>
    <t>Month :</t>
  </si>
  <si>
    <t>Pool Parameters</t>
  </si>
  <si>
    <t>Fresh Water Add (M³)</t>
  </si>
  <si>
    <t>Chemicals</t>
  </si>
  <si>
    <t>Backwash</t>
  </si>
  <si>
    <t>Day</t>
  </si>
  <si>
    <t>Calcium Hardness</t>
  </si>
  <si>
    <t>Total Alkalinity</t>
  </si>
  <si>
    <t>PH</t>
  </si>
  <si>
    <t>TDS</t>
  </si>
  <si>
    <t>Cyan. Acid</t>
  </si>
  <si>
    <t>CL</t>
  </si>
  <si>
    <t>T ºc</t>
  </si>
  <si>
    <t>Chlorine 65% (Kg)</t>
  </si>
  <si>
    <t>Chlorine 90% (Kg)</t>
  </si>
  <si>
    <t>Soda Ash PH+ (Kg)</t>
  </si>
  <si>
    <t>HCL       PH- (Lit)</t>
  </si>
  <si>
    <t>Other Chemicals</t>
  </si>
  <si>
    <t xml:space="preserve"> </t>
  </si>
  <si>
    <t>Heated Pool</t>
  </si>
  <si>
    <t>Sda Ash PH+ (Kg)</t>
  </si>
  <si>
    <t>Kids Pool</t>
  </si>
  <si>
    <t>Infinity Pool</t>
  </si>
  <si>
    <t>Fountains, Water Falls and Lagoons</t>
  </si>
  <si>
    <t>Lagoons</t>
  </si>
  <si>
    <t>Water Falls</t>
  </si>
  <si>
    <t>Entrance Fountain</t>
  </si>
  <si>
    <t>Shops Fountain</t>
  </si>
  <si>
    <t>Main Tank</t>
  </si>
  <si>
    <t>Irrigation Tank</t>
  </si>
  <si>
    <t>Boilers Water Parameters</t>
  </si>
  <si>
    <t>Feed Tank</t>
  </si>
  <si>
    <t>Boiler Water</t>
  </si>
  <si>
    <t>Alkalinity</t>
  </si>
  <si>
    <t>Chloride</t>
  </si>
  <si>
    <t>Conduc- tivity</t>
  </si>
  <si>
    <t>Fe</t>
  </si>
  <si>
    <t>TH</t>
  </si>
  <si>
    <t>TºC</t>
  </si>
  <si>
    <t>Po4</t>
  </si>
  <si>
    <t>Na2 So3</t>
  </si>
  <si>
    <t>Boiler No.</t>
  </si>
  <si>
    <t>Company</t>
  </si>
  <si>
    <t>P</t>
  </si>
  <si>
    <t>M</t>
  </si>
  <si>
    <t>OH</t>
  </si>
  <si>
    <t>CL/NaCL</t>
  </si>
  <si>
    <t>Chilled Water Parameters</t>
  </si>
  <si>
    <t>HISTORY</t>
  </si>
  <si>
    <t>Main Chillers</t>
  </si>
  <si>
    <t>Gym &amp; Spa Chillers</t>
  </si>
  <si>
    <t>INH</t>
  </si>
  <si>
    <t>Cu.</t>
  </si>
  <si>
    <t>System Technique</t>
  </si>
  <si>
    <t>Nil</t>
  </si>
  <si>
    <t>&lt;0.1</t>
  </si>
  <si>
    <t>27/102013</t>
  </si>
  <si>
    <t>&lt;0.2</t>
  </si>
  <si>
    <t>29/052016</t>
  </si>
  <si>
    <t>27/07/2021</t>
  </si>
  <si>
    <t>23/08/2021</t>
  </si>
  <si>
    <t>29/09/2021</t>
  </si>
  <si>
    <t>31/10/2021</t>
  </si>
  <si>
    <t>26/12/2021</t>
  </si>
  <si>
    <t>25/01/2022</t>
  </si>
  <si>
    <t>14/02/2022</t>
  </si>
  <si>
    <t>14/03/2022</t>
  </si>
  <si>
    <t>30/11/2022</t>
  </si>
  <si>
    <t>15/01/2023</t>
  </si>
  <si>
    <t>23/5/2023</t>
  </si>
  <si>
    <t>Domestic Water Parameters</t>
  </si>
  <si>
    <t>Hardness</t>
  </si>
  <si>
    <t>Conductivity</t>
  </si>
  <si>
    <t>Production</t>
  </si>
  <si>
    <t>CAL</t>
  </si>
  <si>
    <t>Total</t>
  </si>
  <si>
    <t>CH</t>
  </si>
  <si>
    <t>This Year - September  2023</t>
  </si>
  <si>
    <t>Last Year - September 2022</t>
  </si>
  <si>
    <t xml:space="preserve">        Energy Cost - October 2023</t>
  </si>
  <si>
    <t>C1</t>
  </si>
  <si>
    <t>C2</t>
  </si>
  <si>
    <t>C3</t>
  </si>
  <si>
    <t>Counters reading</t>
  </si>
  <si>
    <t xml:space="preserve">Water Counter Reading </t>
  </si>
  <si>
    <t>https://www.wunderground.com/history/monthly/eg/sharm-el-shiekh/HESH/date/2024-10</t>
  </si>
  <si>
    <t xml:space="preserve">Ro. Production  </t>
  </si>
  <si>
    <t xml:space="preserve">Hotel consumption </t>
  </si>
  <si>
    <t xml:space="preserve">Diff.  </t>
  </si>
  <si>
    <t xml:space="preserve">Total  </t>
  </si>
  <si>
    <t>Jockey Pump</t>
  </si>
  <si>
    <t xml:space="preserve">Consumption  </t>
  </si>
  <si>
    <t>Last Year OCT 2023</t>
  </si>
  <si>
    <t>This Year - OCT  2024</t>
  </si>
  <si>
    <t>Last Year - OCT 2023</t>
  </si>
  <si>
    <t>Energy - MTD</t>
  </si>
  <si>
    <t xml:space="preserve">Energy - forcast  </t>
  </si>
  <si>
    <t xml:space="preserve">Month To Date Energy Consumption  </t>
  </si>
  <si>
    <t>https://www.wunderground.com/history/monthly/eg/sharm-el-sheikh/HESH/date/2024-02</t>
  </si>
  <si>
    <t xml:space="preserve">        Energy Cost -  April  2024</t>
  </si>
  <si>
    <t>April</t>
  </si>
  <si>
    <t>Energy Cost April 2025</t>
  </si>
  <si>
    <t>Energy Cost April 2024</t>
  </si>
  <si>
    <t>Site Name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</si>
  <si>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</si>
  <si>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</si>
  <si>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</si>
  <si>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</si>
  <si>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</si>
  <si>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</si>
  <si>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 xml:space="preserve">Room Nights </t>
  </si>
  <si>
    <t xml:space="preserve">Total Guests </t>
  </si>
  <si>
    <t>Grand Rotana Sharm El Cheikh</t>
  </si>
  <si>
    <t>Water Utility Supply (m3) m3</t>
  </si>
  <si>
    <t>Water Utility Supply (m3) $/m3</t>
  </si>
  <si>
    <t xml:space="preserve">Total Fuel Oil  (Liter)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</si>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</sst>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_(@_)"/>
    <numFmt numFmtId="165" formatCode="_(* #,##0.00_);_(* \(#,##0.00\);_(* &quot;-&quot;??_);_(@_)"/>
    <numFmt numFmtId="166" formatCode="_-* #,##0.00_-;_-* #,##0.00\-;_-* &quot;-&quot;??_-;_-@_-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_(* #,##0.0000_);_(* \(#,##0.0000\);_(* &quot;-&quot;??_);_(@_)"/>
    <numFmt numFmtId="171" formatCode="_(* #,##0.000_);_(* \(#,##0.000\);_(* &quot;-&quot;??_);_(@_)"/>
    <numFmt numFmtId="172" formatCode="0;[Red]0"/>
    <numFmt numFmtId="173" formatCode="#,##0.0_);\(#,##0.0\)"/>
    <numFmt numFmtId="174" formatCode="[$-409]mmmm\ d\,\ yyyy;@"/>
    <numFmt numFmtId="175" formatCode="0.0000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17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indexed="10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Calibri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b/>
      <sz val="10"/>
      <color theme="9" tint="-0.49998474074526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sz val="10"/>
      <color rgb="FFFF0000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44">
    <xf numFmtId="0" fontId="0" fillId="0" borderId="0"/>
    <xf numFmtId="165" fontId="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6" fillId="0" borderId="0" applyFont="0" applyFill="0" applyBorder="0" applyAlignment="0" applyProtection="0"/>
    <xf numFmtId="165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52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6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</cellStyleXfs>
  <cellXfs count="7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0" fillId="2" borderId="7" xfId="0" applyFont="1" applyFill="1" applyBorder="1"/>
    <xf numFmtId="0" fontId="10" fillId="2" borderId="0" xfId="0" applyFont="1" applyFill="1"/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3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5" fontId="12" fillId="2" borderId="0" xfId="0" applyNumberFormat="1" applyFont="1" applyFill="1" applyAlignment="1">
      <alignment horizontal="center" vertical="center"/>
    </xf>
    <xf numFmtId="3" fontId="12" fillId="2" borderId="0" xfId="0" applyNumberFormat="1" applyFont="1" applyFill="1" applyAlignment="1">
      <alignment vertical="center"/>
    </xf>
    <xf numFmtId="3" fontId="11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3" fontId="12" fillId="3" borderId="11" xfId="0" applyNumberFormat="1" applyFont="1" applyFill="1" applyBorder="1" applyAlignment="1">
      <alignment vertical="center"/>
    </xf>
    <xf numFmtId="0" fontId="10" fillId="2" borderId="12" xfId="0" applyFont="1" applyFill="1" applyBorder="1"/>
    <xf numFmtId="3" fontId="10" fillId="2" borderId="12" xfId="0" applyNumberFormat="1" applyFont="1" applyFill="1" applyBorder="1"/>
    <xf numFmtId="0" fontId="11" fillId="7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3" fontId="11" fillId="8" borderId="14" xfId="0" applyNumberFormat="1" applyFont="1" applyFill="1" applyBorder="1" applyAlignment="1">
      <alignment vertical="center"/>
    </xf>
    <xf numFmtId="0" fontId="11" fillId="9" borderId="13" xfId="0" applyFont="1" applyFill="1" applyBorder="1" applyAlignment="1">
      <alignment horizontal="center" vertical="center" wrapText="1"/>
    </xf>
    <xf numFmtId="3" fontId="11" fillId="9" borderId="15" xfId="0" applyNumberFormat="1" applyFont="1" applyFill="1" applyBorder="1" applyAlignment="1">
      <alignment vertical="center"/>
    </xf>
    <xf numFmtId="167" fontId="0" fillId="0" borderId="0" xfId="0" applyNumberFormat="1"/>
    <xf numFmtId="0" fontId="0" fillId="0" borderId="16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10" borderId="0" xfId="0" applyFill="1"/>
    <xf numFmtId="0" fontId="0" fillId="10" borderId="16" xfId="0" applyFill="1" applyBorder="1"/>
    <xf numFmtId="0" fontId="8" fillId="3" borderId="16" xfId="0" applyFont="1" applyFill="1" applyBorder="1"/>
    <xf numFmtId="167" fontId="8" fillId="3" borderId="16" xfId="0" applyNumberFormat="1" applyFont="1" applyFill="1" applyBorder="1"/>
    <xf numFmtId="0" fontId="17" fillId="2" borderId="17" xfId="0" applyFont="1" applyFill="1" applyBorder="1" applyAlignment="1">
      <alignment horizontal="center"/>
    </xf>
    <xf numFmtId="0" fontId="0" fillId="2" borderId="17" xfId="0" applyFill="1" applyBorder="1"/>
    <xf numFmtId="0" fontId="8" fillId="2" borderId="17" xfId="0" applyFont="1" applyFill="1" applyBorder="1" applyAlignment="1">
      <alignment horizontal="center"/>
    </xf>
    <xf numFmtId="0" fontId="6" fillId="0" borderId="0" xfId="0" applyFont="1"/>
    <xf numFmtId="10" fontId="0" fillId="0" borderId="0" xfId="0" applyNumberFormat="1"/>
    <xf numFmtId="10" fontId="19" fillId="0" borderId="0" xfId="0" applyNumberFormat="1" applyFont="1"/>
    <xf numFmtId="3" fontId="0" fillId="0" borderId="0" xfId="0" applyNumberFormat="1"/>
    <xf numFmtId="3" fontId="19" fillId="0" borderId="0" xfId="0" applyNumberFormat="1" applyFont="1"/>
    <xf numFmtId="3" fontId="11" fillId="7" borderId="15" xfId="0" applyNumberFormat="1" applyFont="1" applyFill="1" applyBorder="1" applyAlignment="1">
      <alignment vertical="center"/>
    </xf>
    <xf numFmtId="3" fontId="12" fillId="5" borderId="11" xfId="0" applyNumberFormat="1" applyFont="1" applyFill="1" applyBorder="1" applyAlignment="1">
      <alignment vertical="center"/>
    </xf>
    <xf numFmtId="3" fontId="12" fillId="5" borderId="19" xfId="0" applyNumberFormat="1" applyFont="1" applyFill="1" applyBorder="1" applyAlignment="1">
      <alignment vertical="center"/>
    </xf>
    <xf numFmtId="3" fontId="12" fillId="6" borderId="11" xfId="0" applyNumberFormat="1" applyFont="1" applyFill="1" applyBorder="1" applyAlignment="1">
      <alignment vertical="center"/>
    </xf>
    <xf numFmtId="3" fontId="12" fillId="6" borderId="19" xfId="0" applyNumberFormat="1" applyFont="1" applyFill="1" applyBorder="1" applyAlignment="1">
      <alignment vertical="center"/>
    </xf>
    <xf numFmtId="3" fontId="12" fillId="4" borderId="11" xfId="0" applyNumberFormat="1" applyFont="1" applyFill="1" applyBorder="1" applyAlignment="1">
      <alignment vertical="center"/>
    </xf>
    <xf numFmtId="3" fontId="12" fillId="4" borderId="19" xfId="0" applyNumberFormat="1" applyFont="1" applyFill="1" applyBorder="1" applyAlignment="1">
      <alignment vertical="center"/>
    </xf>
    <xf numFmtId="168" fontId="8" fillId="3" borderId="16" xfId="1" applyNumberFormat="1" applyFont="1" applyFill="1" applyBorder="1"/>
    <xf numFmtId="168" fontId="0" fillId="0" borderId="0" xfId="1" applyNumberFormat="1" applyFont="1"/>
    <xf numFmtId="0" fontId="12" fillId="2" borderId="20" xfId="0" applyFont="1" applyFill="1" applyBorder="1" applyAlignment="1">
      <alignment vertical="center" wrapText="1"/>
    </xf>
    <xf numFmtId="0" fontId="6" fillId="2" borderId="0" xfId="0" applyFont="1" applyFill="1"/>
    <xf numFmtId="0" fontId="6" fillId="2" borderId="7" xfId="0" applyFont="1" applyFill="1" applyBorder="1"/>
    <xf numFmtId="0" fontId="6" fillId="2" borderId="12" xfId="0" applyFont="1" applyFill="1" applyBorder="1"/>
    <xf numFmtId="0" fontId="12" fillId="5" borderId="21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2" xfId="0" applyFill="1" applyBorder="1"/>
    <xf numFmtId="0" fontId="12" fillId="11" borderId="10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3" fontId="11" fillId="12" borderId="14" xfId="0" applyNumberFormat="1" applyFont="1" applyFill="1" applyBorder="1" applyAlignment="1">
      <alignment vertical="center"/>
    </xf>
    <xf numFmtId="3" fontId="12" fillId="11" borderId="19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24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11" borderId="25" xfId="0" applyFont="1" applyFill="1" applyBorder="1" applyAlignment="1">
      <alignment horizontal="center" vertical="center" wrapText="1"/>
    </xf>
    <xf numFmtId="0" fontId="12" fillId="11" borderId="24" xfId="0" applyFont="1" applyFill="1" applyBorder="1" applyAlignment="1">
      <alignment horizontal="center" vertical="center" wrapText="1"/>
    </xf>
    <xf numFmtId="0" fontId="0" fillId="2" borderId="20" xfId="0" applyFill="1" applyBorder="1"/>
    <xf numFmtId="0" fontId="9" fillId="0" borderId="0" xfId="0" applyFont="1"/>
    <xf numFmtId="3" fontId="12" fillId="3" borderId="8" xfId="0" applyNumberFormat="1" applyFont="1" applyFill="1" applyBorder="1" applyAlignment="1">
      <alignment vertical="center"/>
    </xf>
    <xf numFmtId="0" fontId="9" fillId="13" borderId="26" xfId="0" applyFont="1" applyFill="1" applyBorder="1" applyAlignment="1">
      <alignment horizontal="center"/>
    </xf>
    <xf numFmtId="9" fontId="12" fillId="3" borderId="8" xfId="0" applyNumberFormat="1" applyFont="1" applyFill="1" applyBorder="1" applyAlignment="1">
      <alignment horizontal="center" vertical="center"/>
    </xf>
    <xf numFmtId="165" fontId="8" fillId="6" borderId="27" xfId="0" applyNumberFormat="1" applyFont="1" applyFill="1" applyBorder="1" applyAlignment="1">
      <alignment vertical="center"/>
    </xf>
    <xf numFmtId="165" fontId="8" fillId="6" borderId="15" xfId="0" applyNumberFormat="1" applyFont="1" applyFill="1" applyBorder="1" applyAlignment="1">
      <alignment vertical="center"/>
    </xf>
    <xf numFmtId="165" fontId="8" fillId="6" borderId="28" xfId="0" applyNumberFormat="1" applyFont="1" applyFill="1" applyBorder="1" applyAlignment="1">
      <alignment vertical="center"/>
    </xf>
    <xf numFmtId="165" fontId="8" fillId="6" borderId="29" xfId="0" applyNumberFormat="1" applyFont="1" applyFill="1" applyBorder="1" applyAlignment="1">
      <alignment vertical="center"/>
    </xf>
    <xf numFmtId="1" fontId="12" fillId="5" borderId="19" xfId="0" applyNumberFormat="1" applyFont="1" applyFill="1" applyBorder="1" applyAlignment="1">
      <alignment vertical="center"/>
    </xf>
    <xf numFmtId="0" fontId="9" fillId="13" borderId="20" xfId="0" applyFont="1" applyFill="1" applyBorder="1"/>
    <xf numFmtId="0" fontId="9" fillId="13" borderId="26" xfId="0" applyFont="1" applyFill="1" applyBorder="1"/>
    <xf numFmtId="0" fontId="10" fillId="2" borderId="2" xfId="0" applyFont="1" applyFill="1" applyBorder="1"/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vertical="center"/>
    </xf>
    <xf numFmtId="3" fontId="10" fillId="2" borderId="6" xfId="0" applyNumberFormat="1" applyFont="1" applyFill="1" applyBorder="1"/>
    <xf numFmtId="2" fontId="21" fillId="3" borderId="8" xfId="0" applyNumberFormat="1" applyFont="1" applyFill="1" applyBorder="1" applyAlignment="1">
      <alignment horizontal="right" vertical="center"/>
    </xf>
    <xf numFmtId="1" fontId="21" fillId="3" borderId="8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5" fontId="12" fillId="2" borderId="22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vertical="center"/>
    </xf>
    <xf numFmtId="0" fontId="6" fillId="2" borderId="22" xfId="0" applyFont="1" applyFill="1" applyBorder="1"/>
    <xf numFmtId="3" fontId="12" fillId="2" borderId="22" xfId="0" applyNumberFormat="1" applyFont="1" applyFill="1" applyBorder="1" applyAlignment="1">
      <alignment vertical="center"/>
    </xf>
    <xf numFmtId="3" fontId="11" fillId="2" borderId="22" xfId="0" applyNumberFormat="1" applyFont="1" applyFill="1" applyBorder="1" applyAlignment="1">
      <alignment vertical="center"/>
    </xf>
    <xf numFmtId="15" fontId="12" fillId="3" borderId="34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168" fontId="8" fillId="0" borderId="35" xfId="1" applyNumberFormat="1" applyFont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68" fontId="23" fillId="3" borderId="16" xfId="1" applyNumberFormat="1" applyFont="1" applyFill="1" applyBorder="1"/>
    <xf numFmtId="0" fontId="8" fillId="0" borderId="35" xfId="1" applyNumberFormat="1" applyFont="1" applyBorder="1" applyAlignment="1">
      <alignment horizontal="center" vertical="center" wrapText="1" shrinkToFit="1"/>
    </xf>
    <xf numFmtId="0" fontId="8" fillId="0" borderId="35" xfId="1" applyNumberFormat="1" applyFont="1" applyBorder="1" applyAlignment="1">
      <alignment horizontal="center" vertical="center" wrapText="1"/>
    </xf>
    <xf numFmtId="0" fontId="0" fillId="2" borderId="22" xfId="0" applyFill="1" applyBorder="1"/>
    <xf numFmtId="0" fontId="0" fillId="2" borderId="36" xfId="0" applyFill="1" applyBorder="1"/>
    <xf numFmtId="3" fontId="11" fillId="2" borderId="37" xfId="0" applyNumberFormat="1" applyFont="1" applyFill="1" applyBorder="1" applyAlignment="1">
      <alignment vertical="center"/>
    </xf>
    <xf numFmtId="0" fontId="12" fillId="2" borderId="20" xfId="0" applyFont="1" applyFill="1" applyBorder="1" applyAlignment="1">
      <alignment horizontal="center" vertical="center" wrapText="1"/>
    </xf>
    <xf numFmtId="168" fontId="16" fillId="0" borderId="42" xfId="1" applyNumberFormat="1" applyFont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 wrapText="1"/>
    </xf>
    <xf numFmtId="0" fontId="8" fillId="16" borderId="44" xfId="0" applyFont="1" applyFill="1" applyBorder="1" applyAlignment="1">
      <alignment horizontal="center"/>
    </xf>
    <xf numFmtId="0" fontId="8" fillId="16" borderId="44" xfId="0" applyFont="1" applyFill="1" applyBorder="1" applyAlignment="1">
      <alignment horizontal="center" vertical="center" wrapText="1"/>
    </xf>
    <xf numFmtId="168" fontId="8" fillId="16" borderId="44" xfId="1" applyNumberFormat="1" applyFont="1" applyFill="1" applyBorder="1"/>
    <xf numFmtId="168" fontId="16" fillId="3" borderId="16" xfId="1" applyNumberFormat="1" applyFont="1" applyFill="1" applyBorder="1"/>
    <xf numFmtId="168" fontId="14" fillId="3" borderId="16" xfId="1" applyNumberFormat="1" applyFont="1" applyFill="1" applyBorder="1"/>
    <xf numFmtId="0" fontId="8" fillId="2" borderId="35" xfId="0" applyFont="1" applyFill="1" applyBorder="1"/>
    <xf numFmtId="1" fontId="8" fillId="3" borderId="16" xfId="0" applyNumberFormat="1" applyFont="1" applyFill="1" applyBorder="1"/>
    <xf numFmtId="168" fontId="8" fillId="3" borderId="41" xfId="1" applyNumberFormat="1" applyFont="1" applyFill="1" applyBorder="1"/>
    <xf numFmtId="168" fontId="8" fillId="3" borderId="42" xfId="1" applyNumberFormat="1" applyFont="1" applyFill="1" applyBorder="1"/>
    <xf numFmtId="168" fontId="8" fillId="3" borderId="43" xfId="1" applyNumberFormat="1" applyFont="1" applyFill="1" applyBorder="1"/>
    <xf numFmtId="0" fontId="0" fillId="0" borderId="39" xfId="0" applyBorder="1"/>
    <xf numFmtId="165" fontId="0" fillId="0" borderId="45" xfId="1" applyFont="1" applyBorder="1"/>
    <xf numFmtId="0" fontId="0" fillId="0" borderId="46" xfId="0" applyBorder="1"/>
    <xf numFmtId="1" fontId="8" fillId="3" borderId="16" xfId="1" applyNumberFormat="1" applyFont="1" applyFill="1" applyBorder="1"/>
    <xf numFmtId="9" fontId="0" fillId="0" borderId="45" xfId="0" applyNumberFormat="1" applyBorder="1"/>
    <xf numFmtId="0" fontId="20" fillId="0" borderId="39" xfId="0" applyFont="1" applyBorder="1"/>
    <xf numFmtId="0" fontId="20" fillId="0" borderId="45" xfId="0" applyFont="1" applyBorder="1"/>
    <xf numFmtId="2" fontId="0" fillId="0" borderId="46" xfId="0" applyNumberFormat="1" applyBorder="1"/>
    <xf numFmtId="9" fontId="12" fillId="3" borderId="47" xfId="0" applyNumberFormat="1" applyFont="1" applyFill="1" applyBorder="1" applyAlignment="1">
      <alignment horizontal="right" vertical="center"/>
    </xf>
    <xf numFmtId="1" fontId="12" fillId="3" borderId="47" xfId="0" applyNumberFormat="1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vertical="center"/>
    </xf>
    <xf numFmtId="0" fontId="12" fillId="5" borderId="48" xfId="0" applyFont="1" applyFill="1" applyBorder="1" applyAlignment="1">
      <alignment vertical="center"/>
    </xf>
    <xf numFmtId="0" fontId="12" fillId="5" borderId="50" xfId="0" applyFont="1" applyFill="1" applyBorder="1" applyAlignment="1">
      <alignment vertical="center"/>
    </xf>
    <xf numFmtId="3" fontId="11" fillId="7" borderId="14" xfId="0" applyNumberFormat="1" applyFont="1" applyFill="1" applyBorder="1" applyAlignment="1">
      <alignment vertical="center"/>
    </xf>
    <xf numFmtId="0" fontId="12" fillId="4" borderId="48" xfId="0" applyFont="1" applyFill="1" applyBorder="1" applyAlignment="1">
      <alignment vertical="center"/>
    </xf>
    <xf numFmtId="1" fontId="12" fillId="11" borderId="48" xfId="1" applyNumberFormat="1" applyFont="1" applyFill="1" applyBorder="1" applyAlignment="1">
      <alignment vertical="center"/>
    </xf>
    <xf numFmtId="3" fontId="12" fillId="3" borderId="47" xfId="0" applyNumberFormat="1" applyFont="1" applyFill="1" applyBorder="1" applyAlignment="1">
      <alignment vertical="center"/>
    </xf>
    <xf numFmtId="3" fontId="12" fillId="3" borderId="51" xfId="0" applyNumberFormat="1" applyFont="1" applyFill="1" applyBorder="1" applyAlignment="1">
      <alignment vertical="center"/>
    </xf>
    <xf numFmtId="165" fontId="8" fillId="3" borderId="47" xfId="1" applyFont="1" applyFill="1" applyBorder="1"/>
    <xf numFmtId="165" fontId="8" fillId="3" borderId="51" xfId="1" applyFont="1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8" fillId="0" borderId="0" xfId="0" applyFont="1" applyAlignment="1">
      <alignment horizontal="right"/>
    </xf>
    <xf numFmtId="168" fontId="8" fillId="0" borderId="0" xfId="1" applyNumberFormat="1" applyFont="1"/>
    <xf numFmtId="0" fontId="14" fillId="0" borderId="40" xfId="0" applyFont="1" applyBorder="1" applyAlignment="1">
      <alignment horizontal="center" vertical="center"/>
    </xf>
    <xf numFmtId="168" fontId="23" fillId="0" borderId="57" xfId="1" applyNumberFormat="1" applyFont="1" applyBorder="1" applyAlignment="1">
      <alignment horizontal="center" vertical="center"/>
    </xf>
    <xf numFmtId="0" fontId="17" fillId="2" borderId="58" xfId="0" applyFont="1" applyFill="1" applyBorder="1"/>
    <xf numFmtId="9" fontId="8" fillId="3" borderId="16" xfId="0" applyNumberFormat="1" applyFont="1" applyFill="1" applyBorder="1"/>
    <xf numFmtId="169" fontId="0" fillId="0" borderId="0" xfId="1" applyNumberFormat="1" applyFont="1"/>
    <xf numFmtId="10" fontId="23" fillId="3" borderId="16" xfId="0" applyNumberFormat="1" applyFont="1" applyFill="1" applyBorder="1"/>
    <xf numFmtId="10" fontId="16" fillId="3" borderId="16" xfId="0" applyNumberFormat="1" applyFont="1" applyFill="1" applyBorder="1"/>
    <xf numFmtId="0" fontId="0" fillId="0" borderId="0" xfId="0" applyAlignment="1">
      <alignment vertical="center"/>
    </xf>
    <xf numFmtId="0" fontId="33" fillId="0" borderId="0" xfId="0" applyFont="1" applyAlignment="1">
      <alignment horizontal="right" vertical="center"/>
    </xf>
    <xf numFmtId="168" fontId="0" fillId="17" borderId="16" xfId="1" applyNumberFormat="1" applyFont="1" applyFill="1" applyBorder="1" applyAlignment="1">
      <alignment vertical="center"/>
    </xf>
    <xf numFmtId="168" fontId="0" fillId="18" borderId="16" xfId="1" applyNumberFormat="1" applyFont="1" applyFill="1" applyBorder="1" applyAlignment="1">
      <alignment vertical="center"/>
    </xf>
    <xf numFmtId="0" fontId="8" fillId="17" borderId="16" xfId="0" applyFont="1" applyFill="1" applyBorder="1" applyAlignment="1">
      <alignment horizontal="center" vertical="center"/>
    </xf>
    <xf numFmtId="0" fontId="8" fillId="18" borderId="16" xfId="0" applyFont="1" applyFill="1" applyBorder="1" applyAlignment="1">
      <alignment horizontal="center" vertical="center"/>
    </xf>
    <xf numFmtId="0" fontId="0" fillId="19" borderId="16" xfId="0" applyFill="1" applyBorder="1" applyAlignment="1">
      <alignment vertical="center"/>
    </xf>
    <xf numFmtId="0" fontId="31" fillId="19" borderId="16" xfId="0" applyFont="1" applyFill="1" applyBorder="1" applyAlignment="1">
      <alignment vertical="center"/>
    </xf>
    <xf numFmtId="168" fontId="0" fillId="19" borderId="16" xfId="1" applyNumberFormat="1" applyFont="1" applyFill="1" applyBorder="1" applyAlignment="1">
      <alignment vertical="center"/>
    </xf>
    <xf numFmtId="0" fontId="31" fillId="20" borderId="16" xfId="0" applyFont="1" applyFill="1" applyBorder="1" applyAlignment="1">
      <alignment vertical="center"/>
    </xf>
    <xf numFmtId="0" fontId="31" fillId="21" borderId="16" xfId="0" applyFont="1" applyFill="1" applyBorder="1" applyAlignment="1">
      <alignment vertical="center"/>
    </xf>
    <xf numFmtId="0" fontId="12" fillId="4" borderId="21" xfId="0" applyFont="1" applyFill="1" applyBorder="1" applyAlignment="1">
      <alignment horizontal="center" vertical="center" wrapText="1"/>
    </xf>
    <xf numFmtId="168" fontId="12" fillId="4" borderId="49" xfId="1" applyNumberFormat="1" applyFont="1" applyFill="1" applyBorder="1" applyAlignment="1">
      <alignment vertical="center"/>
    </xf>
    <xf numFmtId="0" fontId="12" fillId="11" borderId="2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1" fontId="12" fillId="11" borderId="50" xfId="1" applyNumberFormat="1" applyFont="1" applyFill="1" applyBorder="1" applyAlignment="1">
      <alignment vertical="center"/>
    </xf>
    <xf numFmtId="1" fontId="12" fillId="11" borderId="27" xfId="0" applyNumberFormat="1" applyFont="1" applyFill="1" applyBorder="1" applyAlignment="1">
      <alignment vertical="center"/>
    </xf>
    <xf numFmtId="0" fontId="12" fillId="11" borderId="59" xfId="0" applyFont="1" applyFill="1" applyBorder="1" applyAlignment="1">
      <alignment horizontal="center" vertical="center" wrapText="1"/>
    </xf>
    <xf numFmtId="168" fontId="0" fillId="0" borderId="16" xfId="0" applyNumberFormat="1" applyBorder="1" applyAlignment="1">
      <alignment horizontal="center"/>
    </xf>
    <xf numFmtId="168" fontId="0" fillId="18" borderId="16" xfId="1" applyNumberFormat="1" applyFont="1" applyFill="1" applyBorder="1" applyAlignment="1" applyProtection="1">
      <alignment vertical="center"/>
    </xf>
    <xf numFmtId="168" fontId="0" fillId="17" borderId="16" xfId="1" applyNumberFormat="1" applyFont="1" applyFill="1" applyBorder="1" applyAlignment="1" applyProtection="1">
      <alignment vertical="center"/>
      <protection locked="0"/>
    </xf>
    <xf numFmtId="3" fontId="12" fillId="11" borderId="49" xfId="0" applyNumberFormat="1" applyFont="1" applyFill="1" applyBorder="1" applyAlignment="1">
      <alignment vertical="center"/>
    </xf>
    <xf numFmtId="9" fontId="0" fillId="17" borderId="16" xfId="7" applyFont="1" applyFill="1" applyBorder="1" applyAlignment="1" applyProtection="1">
      <alignment vertical="center"/>
      <protection locked="0"/>
    </xf>
    <xf numFmtId="9" fontId="0" fillId="17" borderId="16" xfId="7" applyFont="1" applyFill="1" applyBorder="1" applyAlignment="1">
      <alignment vertical="center"/>
    </xf>
    <xf numFmtId="9" fontId="0" fillId="18" borderId="16" xfId="7" applyFont="1" applyFill="1" applyBorder="1" applyAlignment="1">
      <alignment vertical="center"/>
    </xf>
    <xf numFmtId="167" fontId="0" fillId="0" borderId="16" xfId="0" applyNumberFormat="1" applyBorder="1"/>
    <xf numFmtId="0" fontId="18" fillId="2" borderId="18" xfId="0" applyFont="1" applyFill="1" applyBorder="1"/>
    <xf numFmtId="0" fontId="0" fillId="2" borderId="18" xfId="0" applyFill="1" applyBorder="1"/>
    <xf numFmtId="168" fontId="0" fillId="0" borderId="16" xfId="1" applyNumberFormat="1" applyFont="1" applyBorder="1"/>
    <xf numFmtId="0" fontId="22" fillId="0" borderId="16" xfId="0" applyFont="1" applyBorder="1"/>
    <xf numFmtId="0" fontId="0" fillId="16" borderId="44" xfId="0" applyFill="1" applyBorder="1"/>
    <xf numFmtId="9" fontId="16" fillId="0" borderId="16" xfId="0" applyNumberFormat="1" applyFont="1" applyBorder="1"/>
    <xf numFmtId="9" fontId="23" fillId="16" borderId="16" xfId="0" applyNumberFormat="1" applyFont="1" applyFill="1" applyBorder="1"/>
    <xf numFmtId="1" fontId="16" fillId="16" borderId="16" xfId="0" applyNumberFormat="1" applyFont="1" applyFill="1" applyBorder="1" applyAlignment="1">
      <alignment horizontal="center" vertical="center"/>
    </xf>
    <xf numFmtId="2" fontId="0" fillId="0" borderId="16" xfId="0" applyNumberFormat="1" applyBorder="1"/>
    <xf numFmtId="1" fontId="0" fillId="0" borderId="16" xfId="0" applyNumberFormat="1" applyBorder="1"/>
    <xf numFmtId="1" fontId="0" fillId="22" borderId="16" xfId="0" applyNumberFormat="1" applyFill="1" applyBorder="1"/>
    <xf numFmtId="0" fontId="34" fillId="0" borderId="0" xfId="0" applyFont="1" applyAlignment="1">
      <alignment vertical="center"/>
    </xf>
    <xf numFmtId="0" fontId="8" fillId="0" borderId="0" xfId="0" applyFont="1"/>
    <xf numFmtId="168" fontId="8" fillId="17" borderId="16" xfId="1" applyNumberFormat="1" applyFont="1" applyFill="1" applyBorder="1" applyAlignment="1" applyProtection="1">
      <alignment vertical="center"/>
      <protection locked="0"/>
    </xf>
    <xf numFmtId="168" fontId="8" fillId="17" borderId="16" xfId="1" applyNumberFormat="1" applyFont="1" applyFill="1" applyBorder="1" applyAlignment="1">
      <alignment vertical="center"/>
    </xf>
    <xf numFmtId="165" fontId="8" fillId="17" borderId="16" xfId="0" applyNumberFormat="1" applyFont="1" applyFill="1" applyBorder="1" applyAlignment="1">
      <alignment vertical="center"/>
    </xf>
    <xf numFmtId="168" fontId="8" fillId="18" borderId="16" xfId="1" applyNumberFormat="1" applyFont="1" applyFill="1" applyBorder="1" applyAlignment="1">
      <alignment vertical="center"/>
    </xf>
    <xf numFmtId="165" fontId="8" fillId="18" borderId="16" xfId="0" applyNumberFormat="1" applyFont="1" applyFill="1" applyBorder="1" applyAlignment="1">
      <alignment vertical="center"/>
    </xf>
    <xf numFmtId="0" fontId="35" fillId="0" borderId="0" xfId="0" applyFont="1"/>
    <xf numFmtId="3" fontId="12" fillId="6" borderId="49" xfId="0" applyNumberFormat="1" applyFont="1" applyFill="1" applyBorder="1" applyAlignment="1">
      <alignment vertical="center"/>
    </xf>
    <xf numFmtId="3" fontId="12" fillId="5" borderId="35" xfId="0" applyNumberFormat="1" applyFont="1" applyFill="1" applyBorder="1" applyAlignment="1">
      <alignment vertical="center"/>
    </xf>
    <xf numFmtId="3" fontId="12" fillId="4" borderId="35" xfId="0" applyNumberFormat="1" applyFont="1" applyFill="1" applyBorder="1" applyAlignment="1">
      <alignment vertical="center"/>
    </xf>
    <xf numFmtId="168" fontId="6" fillId="17" borderId="16" xfId="1" applyNumberFormat="1" applyFont="1" applyFill="1" applyBorder="1" applyAlignment="1" applyProtection="1">
      <alignment vertical="center"/>
      <protection locked="0"/>
    </xf>
    <xf numFmtId="168" fontId="6" fillId="18" borderId="16" xfId="1" applyNumberFormat="1" applyFont="1" applyFill="1" applyBorder="1" applyAlignment="1">
      <alignment vertical="center"/>
    </xf>
    <xf numFmtId="0" fontId="6" fillId="0" borderId="60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0" fillId="0" borderId="61" xfId="0" applyBorder="1" applyAlignment="1">
      <alignment horizontal="center"/>
    </xf>
    <xf numFmtId="168" fontId="0" fillId="0" borderId="62" xfId="1" applyNumberFormat="1" applyFont="1" applyBorder="1" applyAlignment="1">
      <alignment horizontal="center"/>
    </xf>
    <xf numFmtId="1" fontId="12" fillId="11" borderId="49" xfId="1" applyNumberFormat="1" applyFont="1" applyFill="1" applyBorder="1" applyAlignment="1">
      <alignment vertical="center"/>
    </xf>
    <xf numFmtId="9" fontId="0" fillId="0" borderId="0" xfId="7" applyFont="1"/>
    <xf numFmtId="1" fontId="28" fillId="0" borderId="16" xfId="0" applyNumberFormat="1" applyFont="1" applyBorder="1"/>
    <xf numFmtId="0" fontId="0" fillId="17" borderId="16" xfId="0" applyFill="1" applyBorder="1" applyAlignment="1">
      <alignment horizontal="center" vertical="center" wrapText="1"/>
    </xf>
    <xf numFmtId="0" fontId="25" fillId="0" borderId="0" xfId="5" applyAlignment="1" applyProtection="1">
      <alignment horizontal="center"/>
    </xf>
    <xf numFmtId="0" fontId="23" fillId="0" borderId="3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65" fontId="36" fillId="0" borderId="43" xfId="1" applyFont="1" applyBorder="1" applyAlignment="1">
      <alignment horizontal="center" vertical="center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1" fontId="0" fillId="0" borderId="24" xfId="0" applyNumberFormat="1" applyBorder="1" applyAlignment="1">
      <alignment horizontal="center"/>
    </xf>
    <xf numFmtId="0" fontId="6" fillId="0" borderId="45" xfId="0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8" fillId="0" borderId="69" xfId="0" applyFont="1" applyBorder="1" applyAlignment="1">
      <alignment horizontal="right"/>
    </xf>
    <xf numFmtId="39" fontId="0" fillId="0" borderId="70" xfId="0" applyNumberFormat="1" applyBorder="1" applyAlignment="1">
      <alignment horizontal="center" vertical="center"/>
    </xf>
    <xf numFmtId="39" fontId="0" fillId="0" borderId="62" xfId="0" applyNumberFormat="1" applyBorder="1" applyAlignment="1">
      <alignment horizontal="center" vertical="center"/>
    </xf>
    <xf numFmtId="2" fontId="0" fillId="0" borderId="59" xfId="0" applyNumberFormat="1" applyBorder="1" applyAlignment="1" applyProtection="1">
      <alignment horizontal="center"/>
      <protection locked="0"/>
    </xf>
    <xf numFmtId="2" fontId="0" fillId="0" borderId="62" xfId="0" applyNumberFormat="1" applyBorder="1" applyAlignment="1" applyProtection="1">
      <alignment horizontal="center"/>
      <protection locked="0"/>
    </xf>
    <xf numFmtId="168" fontId="0" fillId="0" borderId="63" xfId="1" applyNumberFormat="1" applyFont="1" applyBorder="1" applyAlignment="1" applyProtection="1">
      <alignment horizontal="center"/>
    </xf>
    <xf numFmtId="170" fontId="0" fillId="0" borderId="0" xfId="1" applyNumberFormat="1" applyFont="1"/>
    <xf numFmtId="0" fontId="6" fillId="24" borderId="14" xfId="0" applyFont="1" applyFill="1" applyBorder="1" applyAlignment="1">
      <alignment horizontal="center"/>
    </xf>
    <xf numFmtId="0" fontId="0" fillId="27" borderId="14" xfId="0" applyFill="1" applyBorder="1" applyAlignment="1">
      <alignment horizontal="center"/>
    </xf>
    <xf numFmtId="165" fontId="14" fillId="0" borderId="41" xfId="1" applyFont="1" applyBorder="1" applyAlignment="1">
      <alignment horizontal="center" vertical="center"/>
    </xf>
    <xf numFmtId="3" fontId="11" fillId="9" borderId="71" xfId="0" applyNumberFormat="1" applyFont="1" applyFill="1" applyBorder="1" applyAlignment="1">
      <alignment vertical="center"/>
    </xf>
    <xf numFmtId="165" fontId="28" fillId="17" borderId="16" xfId="0" applyNumberFormat="1" applyFont="1" applyFill="1" applyBorder="1" applyAlignment="1">
      <alignment vertical="center"/>
    </xf>
    <xf numFmtId="165" fontId="28" fillId="18" borderId="16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7" borderId="16" xfId="0" applyFill="1" applyBorder="1"/>
    <xf numFmtId="0" fontId="0" fillId="17" borderId="16" xfId="0" applyFill="1" applyBorder="1" applyAlignment="1">
      <alignment vertical="center" wrapText="1"/>
    </xf>
    <xf numFmtId="0" fontId="8" fillId="17" borderId="16" xfId="0" applyFont="1" applyFill="1" applyBorder="1"/>
    <xf numFmtId="0" fontId="0" fillId="0" borderId="45" xfId="0" applyBorder="1"/>
    <xf numFmtId="0" fontId="6" fillId="17" borderId="16" xfId="0" applyFont="1" applyFill="1" applyBorder="1" applyAlignment="1">
      <alignment horizontal="center" vertical="center" wrapText="1"/>
    </xf>
    <xf numFmtId="10" fontId="6" fillId="0" borderId="16" xfId="7" applyNumberFormat="1" applyFont="1" applyFill="1" applyBorder="1"/>
    <xf numFmtId="0" fontId="25" fillId="0" borderId="0" xfId="5" applyAlignment="1" applyProtection="1"/>
    <xf numFmtId="0" fontId="6" fillId="0" borderId="16" xfId="72" applyBorder="1"/>
    <xf numFmtId="165" fontId="8" fillId="6" borderId="30" xfId="1" applyFont="1" applyFill="1" applyBorder="1"/>
    <xf numFmtId="165" fontId="8" fillId="6" borderId="31" xfId="1" applyFont="1" applyFill="1" applyBorder="1"/>
    <xf numFmtId="165" fontId="8" fillId="4" borderId="30" xfId="1" applyFont="1" applyFill="1" applyBorder="1"/>
    <xf numFmtId="165" fontId="8" fillId="4" borderId="31" xfId="1" applyFont="1" applyFill="1" applyBorder="1"/>
    <xf numFmtId="165" fontId="8" fillId="11" borderId="32" xfId="1" applyFont="1" applyFill="1" applyBorder="1"/>
    <xf numFmtId="165" fontId="8" fillId="11" borderId="31" xfId="1" applyFont="1" applyFill="1" applyBorder="1"/>
    <xf numFmtId="168" fontId="22" fillId="0" borderId="16" xfId="1" applyNumberFormat="1" applyFont="1" applyBorder="1"/>
    <xf numFmtId="168" fontId="16" fillId="0" borderId="16" xfId="1" applyNumberFormat="1" applyFont="1" applyFill="1" applyBorder="1"/>
    <xf numFmtId="168" fontId="14" fillId="0" borderId="16" xfId="1" applyNumberFormat="1" applyFont="1" applyBorder="1"/>
    <xf numFmtId="168" fontId="23" fillId="0" borderId="16" xfId="1" applyNumberFormat="1" applyFont="1" applyBorder="1"/>
    <xf numFmtId="168" fontId="16" fillId="5" borderId="40" xfId="1" applyNumberFormat="1" applyFont="1" applyFill="1" applyBorder="1"/>
    <xf numFmtId="168" fontId="15" fillId="0" borderId="38" xfId="1" applyNumberFormat="1" applyFont="1" applyBorder="1"/>
    <xf numFmtId="168" fontId="12" fillId="5" borderId="32" xfId="1" applyNumberFormat="1" applyFont="1" applyFill="1" applyBorder="1" applyAlignment="1">
      <alignment vertical="center"/>
    </xf>
    <xf numFmtId="168" fontId="28" fillId="0" borderId="16" xfId="1" applyNumberFormat="1" applyFont="1" applyFill="1" applyBorder="1"/>
    <xf numFmtId="169" fontId="0" fillId="0" borderId="16" xfId="1" applyNumberFormat="1" applyFont="1" applyFill="1" applyBorder="1"/>
    <xf numFmtId="1" fontId="16" fillId="0" borderId="16" xfId="0" applyNumberFormat="1" applyFont="1" applyBorder="1" applyAlignment="1">
      <alignment horizontal="center" vertical="center"/>
    </xf>
    <xf numFmtId="168" fontId="28" fillId="0" borderId="59" xfId="1" applyNumberFormat="1" applyFont="1" applyBorder="1" applyAlignment="1" applyProtection="1">
      <alignment horizontal="center"/>
    </xf>
    <xf numFmtId="168" fontId="28" fillId="18" borderId="16" xfId="1" applyNumberFormat="1" applyFont="1" applyFill="1" applyBorder="1" applyAlignment="1">
      <alignment vertical="center"/>
    </xf>
    <xf numFmtId="168" fontId="28" fillId="17" borderId="16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 wrapText="1"/>
    </xf>
    <xf numFmtId="0" fontId="12" fillId="6" borderId="73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center" vertical="center" wrapText="1"/>
    </xf>
    <xf numFmtId="3" fontId="12" fillId="5" borderId="58" xfId="0" applyNumberFormat="1" applyFont="1" applyFill="1" applyBorder="1" applyAlignment="1">
      <alignment vertical="center"/>
    </xf>
    <xf numFmtId="0" fontId="12" fillId="4" borderId="73" xfId="0" applyFont="1" applyFill="1" applyBorder="1" applyAlignment="1">
      <alignment horizontal="center" vertical="center" wrapText="1"/>
    </xf>
    <xf numFmtId="3" fontId="12" fillId="4" borderId="58" xfId="0" applyNumberFormat="1" applyFont="1" applyFill="1" applyBorder="1" applyAlignment="1">
      <alignment vertical="center"/>
    </xf>
    <xf numFmtId="0" fontId="12" fillId="11" borderId="73" xfId="0" applyFont="1" applyFill="1" applyBorder="1" applyAlignment="1">
      <alignment horizontal="center" vertical="center" wrapText="1"/>
    </xf>
    <xf numFmtId="3" fontId="12" fillId="11" borderId="74" xfId="0" applyNumberFormat="1" applyFont="1" applyFill="1" applyBorder="1" applyAlignment="1">
      <alignment vertical="center"/>
    </xf>
    <xf numFmtId="168" fontId="0" fillId="0" borderId="0" xfId="0" applyNumberFormat="1"/>
    <xf numFmtId="0" fontId="8" fillId="0" borderId="0" xfId="0" applyFont="1" applyAlignment="1">
      <alignment horizontal="center"/>
    </xf>
    <xf numFmtId="1" fontId="0" fillId="0" borderId="45" xfId="0" applyNumberFormat="1" applyBorder="1"/>
    <xf numFmtId="9" fontId="0" fillId="0" borderId="45" xfId="7" applyFont="1" applyBorder="1"/>
    <xf numFmtId="165" fontId="0" fillId="0" borderId="0" xfId="1" applyFont="1"/>
    <xf numFmtId="0" fontId="38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0" fontId="14" fillId="0" borderId="16" xfId="0" applyNumberFormat="1" applyFont="1" applyBorder="1"/>
    <xf numFmtId="10" fontId="8" fillId="0" borderId="0" xfId="0" applyNumberFormat="1" applyFont="1"/>
    <xf numFmtId="170" fontId="6" fillId="0" borderId="0" xfId="1" applyNumberFormat="1" applyFont="1" applyBorder="1"/>
    <xf numFmtId="170" fontId="6" fillId="0" borderId="0" xfId="0" applyNumberFormat="1" applyFont="1"/>
    <xf numFmtId="0" fontId="0" fillId="17" borderId="45" xfId="0" applyFill="1" applyBorder="1" applyAlignment="1">
      <alignment horizontal="center" vertical="center" wrapText="1"/>
    </xf>
    <xf numFmtId="0" fontId="40" fillId="0" borderId="16" xfId="0" applyFont="1" applyBorder="1"/>
    <xf numFmtId="0" fontId="31" fillId="22" borderId="0" xfId="0" applyFont="1" applyFill="1" applyAlignment="1">
      <alignment vertical="center"/>
    </xf>
    <xf numFmtId="165" fontId="28" fillId="22" borderId="0" xfId="0" applyNumberFormat="1" applyFont="1" applyFill="1" applyAlignment="1">
      <alignment vertical="center"/>
    </xf>
    <xf numFmtId="165" fontId="8" fillId="22" borderId="0" xfId="0" applyNumberFormat="1" applyFont="1" applyFill="1" applyAlignment="1">
      <alignment vertical="center"/>
    </xf>
    <xf numFmtId="0" fontId="6" fillId="22" borderId="0" xfId="0" applyFont="1" applyFill="1"/>
    <xf numFmtId="0" fontId="0" fillId="22" borderId="0" xfId="0" applyFill="1"/>
    <xf numFmtId="14" fontId="0" fillId="10" borderId="16" xfId="0" applyNumberFormat="1" applyFill="1" applyBorder="1"/>
    <xf numFmtId="9" fontId="6" fillId="17" borderId="16" xfId="7" applyFont="1" applyFill="1" applyBorder="1" applyAlignment="1">
      <alignment vertical="center"/>
    </xf>
    <xf numFmtId="0" fontId="8" fillId="0" borderId="35" xfId="0" applyFont="1" applyBorder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0" borderId="7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2" borderId="75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8" fillId="2" borderId="7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/>
    </xf>
    <xf numFmtId="14" fontId="33" fillId="0" borderId="0" xfId="0" applyNumberFormat="1" applyFont="1" applyAlignment="1" applyProtection="1">
      <alignment horizontal="center" vertical="center"/>
      <protection locked="0"/>
    </xf>
    <xf numFmtId="37" fontId="0" fillId="0" borderId="62" xfId="0" applyNumberFormat="1" applyBorder="1" applyAlignment="1">
      <alignment horizontal="center" vertical="center"/>
    </xf>
    <xf numFmtId="0" fontId="9" fillId="0" borderId="12" xfId="0" applyFont="1" applyBorder="1"/>
    <xf numFmtId="0" fontId="41" fillId="0" borderId="12" xfId="0" applyFont="1" applyBorder="1" applyAlignment="1">
      <alignment horizontal="center" vertical="center"/>
    </xf>
    <xf numFmtId="14" fontId="37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0" fontId="31" fillId="0" borderId="0" xfId="0" applyFont="1" applyAlignment="1">
      <alignment horizontal="right" vertical="center"/>
    </xf>
    <xf numFmtId="0" fontId="28" fillId="0" borderId="0" xfId="0" applyFont="1"/>
    <xf numFmtId="3" fontId="28" fillId="0" borderId="0" xfId="0" applyNumberFormat="1" applyFont="1"/>
    <xf numFmtId="9" fontId="8" fillId="17" borderId="16" xfId="7" applyFont="1" applyFill="1" applyBorder="1" applyAlignment="1">
      <alignment vertical="center"/>
    </xf>
    <xf numFmtId="168" fontId="8" fillId="19" borderId="16" xfId="1" applyNumberFormat="1" applyFont="1" applyFill="1" applyBorder="1" applyAlignment="1">
      <alignment vertical="center"/>
    </xf>
    <xf numFmtId="164" fontId="0" fillId="18" borderId="16" xfId="1" applyNumberFormat="1" applyFont="1" applyFill="1" applyBorder="1" applyAlignment="1">
      <alignment vertical="center"/>
    </xf>
    <xf numFmtId="9" fontId="8" fillId="17" borderId="16" xfId="7" applyFont="1" applyFill="1" applyBorder="1" applyAlignment="1">
      <alignment horizontal="right" vertical="center"/>
    </xf>
    <xf numFmtId="9" fontId="0" fillId="18" borderId="16" xfId="7" applyFont="1" applyFill="1" applyBorder="1" applyAlignment="1">
      <alignment horizontal="right" vertical="center"/>
    </xf>
    <xf numFmtId="166" fontId="0" fillId="0" borderId="0" xfId="1" applyNumberFormat="1" applyFont="1"/>
    <xf numFmtId="1" fontId="23" fillId="16" borderId="39" xfId="0" applyNumberFormat="1" applyFont="1" applyFill="1" applyBorder="1"/>
    <xf numFmtId="1" fontId="0" fillId="0" borderId="0" xfId="0" applyNumberFormat="1"/>
    <xf numFmtId="165" fontId="0" fillId="0" borderId="0" xfId="0" applyNumberFormat="1"/>
    <xf numFmtId="3" fontId="37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8" fillId="18" borderId="16" xfId="0" applyNumberFormat="1" applyFont="1" applyFill="1" applyBorder="1" applyAlignment="1">
      <alignment horizontal="center" vertical="center"/>
    </xf>
    <xf numFmtId="3" fontId="0" fillId="19" borderId="16" xfId="0" applyNumberFormat="1" applyFill="1" applyBorder="1" applyAlignment="1">
      <alignment vertical="center"/>
    </xf>
    <xf numFmtId="3" fontId="0" fillId="18" borderId="16" xfId="1" applyNumberFormat="1" applyFont="1" applyFill="1" applyBorder="1" applyAlignment="1">
      <alignment vertical="center"/>
    </xf>
    <xf numFmtId="3" fontId="0" fillId="19" borderId="16" xfId="1" applyNumberFormat="1" applyFont="1" applyFill="1" applyBorder="1" applyAlignment="1">
      <alignment vertical="center"/>
    </xf>
    <xf numFmtId="3" fontId="8" fillId="18" borderId="16" xfId="1" applyNumberFormat="1" applyFont="1" applyFill="1" applyBorder="1" applyAlignment="1">
      <alignment vertical="center"/>
    </xf>
    <xf numFmtId="3" fontId="8" fillId="18" borderId="16" xfId="0" applyNumberFormat="1" applyFont="1" applyFill="1" applyBorder="1" applyAlignment="1">
      <alignment vertical="center"/>
    </xf>
    <xf numFmtId="3" fontId="6" fillId="0" borderId="0" xfId="0" applyNumberFormat="1" applyFont="1"/>
    <xf numFmtId="3" fontId="8" fillId="22" borderId="0" xfId="0" applyNumberFormat="1" applyFont="1" applyFill="1" applyAlignment="1">
      <alignment vertic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4" fontId="31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6" fillId="0" borderId="46" xfId="0" applyFont="1" applyBorder="1" applyAlignment="1">
      <alignment horizontal="center"/>
    </xf>
    <xf numFmtId="0" fontId="0" fillId="0" borderId="79" xfId="0" applyBorder="1" applyAlignment="1" applyProtection="1">
      <alignment horizontal="center"/>
      <protection locked="0"/>
    </xf>
    <xf numFmtId="2" fontId="0" fillId="0" borderId="78" xfId="0" applyNumberFormat="1" applyBorder="1" applyAlignment="1" applyProtection="1">
      <alignment horizontal="center"/>
      <protection locked="0"/>
    </xf>
    <xf numFmtId="0" fontId="6" fillId="17" borderId="53" xfId="0" applyFont="1" applyFill="1" applyBorder="1" applyAlignment="1">
      <alignment horizontal="center"/>
    </xf>
    <xf numFmtId="168" fontId="42" fillId="17" borderId="16" xfId="1" applyNumberFormat="1" applyFont="1" applyFill="1" applyBorder="1" applyAlignment="1">
      <alignment vertical="center"/>
    </xf>
    <xf numFmtId="9" fontId="42" fillId="17" borderId="16" xfId="7" applyFont="1" applyFill="1" applyBorder="1" applyAlignment="1">
      <alignment vertical="center"/>
    </xf>
    <xf numFmtId="168" fontId="42" fillId="19" borderId="16" xfId="1" applyNumberFormat="1" applyFont="1" applyFill="1" applyBorder="1" applyAlignment="1">
      <alignment vertical="center"/>
    </xf>
    <xf numFmtId="168" fontId="42" fillId="17" borderId="16" xfId="1" applyNumberFormat="1" applyFont="1" applyFill="1" applyBorder="1" applyAlignment="1" applyProtection="1">
      <alignment vertical="center"/>
      <protection locked="0"/>
    </xf>
    <xf numFmtId="165" fontId="42" fillId="17" borderId="16" xfId="0" applyNumberFormat="1" applyFont="1" applyFill="1" applyBorder="1" applyAlignment="1">
      <alignment vertical="center"/>
    </xf>
    <xf numFmtId="3" fontId="38" fillId="18" borderId="16" xfId="1" applyNumberFormat="1" applyFont="1" applyFill="1" applyBorder="1" applyAlignment="1">
      <alignment vertical="center"/>
    </xf>
    <xf numFmtId="168" fontId="38" fillId="19" borderId="16" xfId="1" applyNumberFormat="1" applyFont="1" applyFill="1" applyBorder="1" applyAlignment="1">
      <alignment vertical="center"/>
    </xf>
    <xf numFmtId="9" fontId="38" fillId="18" borderId="16" xfId="1" applyNumberFormat="1" applyFont="1" applyFill="1" applyBorder="1" applyAlignment="1">
      <alignment vertical="center"/>
    </xf>
    <xf numFmtId="0" fontId="6" fillId="0" borderId="16" xfId="0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39" fontId="0" fillId="0" borderId="80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44" fillId="0" borderId="0" xfId="130" applyFont="1" applyAlignment="1">
      <alignment horizontal="center"/>
    </xf>
    <xf numFmtId="0" fontId="44" fillId="0" borderId="0" xfId="130" applyFont="1"/>
    <xf numFmtId="169" fontId="44" fillId="0" borderId="0" xfId="131" applyNumberFormat="1" applyFont="1"/>
    <xf numFmtId="0" fontId="5" fillId="0" borderId="0" xfId="130"/>
    <xf numFmtId="0" fontId="45" fillId="0" borderId="0" xfId="130" applyFont="1" applyAlignment="1">
      <alignment horizontal="left"/>
    </xf>
    <xf numFmtId="169" fontId="0" fillId="0" borderId="0" xfId="131" applyNumberFormat="1" applyFont="1"/>
    <xf numFmtId="0" fontId="46" fillId="0" borderId="0" xfId="130" applyFont="1" applyAlignment="1">
      <alignment horizontal="right" vertical="center"/>
    </xf>
    <xf numFmtId="0" fontId="46" fillId="0" borderId="0" xfId="130" applyFont="1" applyAlignment="1">
      <alignment horizontal="left" vertical="center"/>
    </xf>
    <xf numFmtId="0" fontId="46" fillId="17" borderId="8" xfId="130" applyFont="1" applyFill="1" applyBorder="1" applyAlignment="1">
      <alignment vertical="center"/>
    </xf>
    <xf numFmtId="0" fontId="46" fillId="29" borderId="11" xfId="130" applyFont="1" applyFill="1" applyBorder="1" applyAlignment="1">
      <alignment horizontal="center" vertical="center" wrapText="1"/>
    </xf>
    <xf numFmtId="0" fontId="46" fillId="27" borderId="8" xfId="130" applyFont="1" applyFill="1" applyBorder="1" applyAlignment="1">
      <alignment horizontal="center" vertical="center" wrapText="1"/>
    </xf>
    <xf numFmtId="0" fontId="46" fillId="30" borderId="20" xfId="130" applyFont="1" applyFill="1" applyBorder="1" applyAlignment="1">
      <alignment horizontal="center" vertical="center" wrapText="1"/>
    </xf>
    <xf numFmtId="0" fontId="46" fillId="17" borderId="8" xfId="130" applyFont="1" applyFill="1" applyBorder="1" applyAlignment="1">
      <alignment horizontal="center" vertical="center" wrapText="1"/>
    </xf>
    <xf numFmtId="0" fontId="46" fillId="31" borderId="8" xfId="130" applyFont="1" applyFill="1" applyBorder="1" applyAlignment="1">
      <alignment horizontal="center" vertical="center" wrapText="1"/>
    </xf>
    <xf numFmtId="169" fontId="46" fillId="32" borderId="26" xfId="131" applyNumberFormat="1" applyFont="1" applyFill="1" applyBorder="1" applyAlignment="1">
      <alignment horizontal="center" vertical="center" wrapText="1"/>
    </xf>
    <xf numFmtId="169" fontId="46" fillId="24" borderId="8" xfId="131" applyNumberFormat="1" applyFont="1" applyFill="1" applyBorder="1" applyAlignment="1">
      <alignment horizontal="center" vertical="center" wrapText="1"/>
    </xf>
    <xf numFmtId="0" fontId="49" fillId="33" borderId="81" xfId="130" applyFont="1" applyFill="1" applyBorder="1" applyAlignment="1">
      <alignment horizontal="center" vertical="center" wrapText="1"/>
    </xf>
    <xf numFmtId="0" fontId="49" fillId="34" borderId="33" xfId="130" applyFont="1" applyFill="1" applyBorder="1" applyAlignment="1">
      <alignment horizontal="center" vertical="center" wrapText="1"/>
    </xf>
    <xf numFmtId="0" fontId="49" fillId="35" borderId="82" xfId="130" applyFont="1" applyFill="1" applyBorder="1" applyAlignment="1">
      <alignment horizontal="center" vertical="center" wrapText="1"/>
    </xf>
    <xf numFmtId="0" fontId="49" fillId="36" borderId="33" xfId="130" applyFont="1" applyFill="1" applyBorder="1" applyAlignment="1">
      <alignment horizontal="center" vertical="center" wrapText="1"/>
    </xf>
    <xf numFmtId="0" fontId="49" fillId="37" borderId="82" xfId="130" applyFont="1" applyFill="1" applyBorder="1" applyAlignment="1">
      <alignment horizontal="center" vertical="center" wrapText="1"/>
    </xf>
    <xf numFmtId="0" fontId="46" fillId="0" borderId="83" xfId="130" applyFont="1" applyBorder="1" applyAlignment="1">
      <alignment horizontal="center"/>
    </xf>
    <xf numFmtId="0" fontId="46" fillId="0" borderId="84" xfId="130" applyFont="1" applyBorder="1" applyAlignment="1">
      <alignment horizontal="center" vertical="center"/>
    </xf>
    <xf numFmtId="169" fontId="46" fillId="0" borderId="84" xfId="131" applyNumberFormat="1" applyFont="1" applyBorder="1" applyAlignment="1">
      <alignment horizontal="center" vertical="center"/>
    </xf>
    <xf numFmtId="0" fontId="46" fillId="0" borderId="85" xfId="130" applyFont="1" applyBorder="1" applyAlignment="1">
      <alignment horizontal="center"/>
    </xf>
    <xf numFmtId="0" fontId="44" fillId="0" borderId="0" xfId="130" applyFont="1" applyAlignment="1">
      <alignment horizontal="center" vertical="center"/>
    </xf>
    <xf numFmtId="0" fontId="44" fillId="0" borderId="68" xfId="130" applyFont="1" applyBorder="1"/>
    <xf numFmtId="169" fontId="44" fillId="0" borderId="0" xfId="130" applyNumberFormat="1" applyFont="1"/>
    <xf numFmtId="0" fontId="5" fillId="0" borderId="0" xfId="130" applyAlignment="1">
      <alignment horizontal="center"/>
    </xf>
    <xf numFmtId="169" fontId="46" fillId="30" borderId="20" xfId="131" applyNumberFormat="1" applyFont="1" applyFill="1" applyBorder="1" applyAlignment="1">
      <alignment horizontal="center" vertical="center" wrapText="1"/>
    </xf>
    <xf numFmtId="0" fontId="46" fillId="32" borderId="26" xfId="130" applyFont="1" applyFill="1" applyBorder="1" applyAlignment="1">
      <alignment horizontal="center" vertical="center" wrapText="1"/>
    </xf>
    <xf numFmtId="0" fontId="46" fillId="24" borderId="8" xfId="130" applyFont="1" applyFill="1" applyBorder="1" applyAlignment="1">
      <alignment horizontal="center" vertical="center" wrapText="1"/>
    </xf>
    <xf numFmtId="0" fontId="46" fillId="22" borderId="84" xfId="130" applyFont="1" applyFill="1" applyBorder="1" applyAlignment="1">
      <alignment horizontal="center" vertical="center"/>
    </xf>
    <xf numFmtId="169" fontId="46" fillId="22" borderId="84" xfId="131" applyNumberFormat="1" applyFont="1" applyFill="1" applyBorder="1" applyAlignment="1">
      <alignment horizontal="center" vertical="center"/>
    </xf>
    <xf numFmtId="171" fontId="46" fillId="22" borderId="84" xfId="131" applyNumberFormat="1" applyFont="1" applyFill="1" applyBorder="1" applyAlignment="1">
      <alignment horizontal="center" vertical="center"/>
    </xf>
    <xf numFmtId="169" fontId="46" fillId="0" borderId="84" xfId="131" applyNumberFormat="1" applyFont="1" applyFill="1" applyBorder="1" applyAlignment="1">
      <alignment horizontal="center" vertical="center"/>
    </xf>
    <xf numFmtId="171" fontId="46" fillId="0" borderId="84" xfId="131" applyNumberFormat="1" applyFont="1" applyBorder="1" applyAlignment="1">
      <alignment horizontal="center" vertical="center"/>
    </xf>
    <xf numFmtId="0" fontId="44" fillId="22" borderId="0" xfId="130" applyFont="1" applyFill="1"/>
    <xf numFmtId="0" fontId="46" fillId="22" borderId="83" xfId="130" applyFont="1" applyFill="1" applyBorder="1" applyAlignment="1">
      <alignment horizontal="center" vertical="center"/>
    </xf>
    <xf numFmtId="0" fontId="43" fillId="0" borderId="0" xfId="130" quotePrefix="1" applyFont="1" applyAlignment="1">
      <alignment vertical="center"/>
    </xf>
    <xf numFmtId="0" fontId="47" fillId="28" borderId="11" xfId="130" applyFont="1" applyFill="1" applyBorder="1" applyAlignment="1">
      <alignment horizontal="center" vertical="center"/>
    </xf>
    <xf numFmtId="0" fontId="46" fillId="17" borderId="8" xfId="130" applyFont="1" applyFill="1" applyBorder="1" applyAlignment="1">
      <alignment horizontal="center" vertical="center"/>
    </xf>
    <xf numFmtId="0" fontId="46" fillId="30" borderId="8" xfId="130" applyFont="1" applyFill="1" applyBorder="1" applyAlignment="1">
      <alignment horizontal="center" vertical="center" wrapText="1"/>
    </xf>
    <xf numFmtId="0" fontId="46" fillId="32" borderId="8" xfId="130" applyFont="1" applyFill="1" applyBorder="1" applyAlignment="1">
      <alignment horizontal="center" vertical="center" wrapText="1"/>
    </xf>
    <xf numFmtId="0" fontId="46" fillId="18" borderId="8" xfId="130" applyFont="1" applyFill="1" applyBorder="1" applyAlignment="1">
      <alignment horizontal="center" vertical="center" wrapText="1"/>
    </xf>
    <xf numFmtId="169" fontId="46" fillId="17" borderId="84" xfId="131" applyNumberFormat="1" applyFont="1" applyFill="1" applyBorder="1" applyAlignment="1">
      <alignment horizontal="center" vertical="center"/>
    </xf>
    <xf numFmtId="0" fontId="47" fillId="0" borderId="0" xfId="130" applyFont="1" applyAlignment="1">
      <alignment horizontal="center"/>
    </xf>
    <xf numFmtId="0" fontId="46" fillId="31" borderId="47" xfId="130" applyFont="1" applyFill="1" applyBorder="1" applyAlignment="1">
      <alignment horizontal="center" vertical="center"/>
    </xf>
    <xf numFmtId="0" fontId="46" fillId="0" borderId="0" xfId="130" applyFont="1" applyAlignment="1">
      <alignment horizontal="center" vertical="center"/>
    </xf>
    <xf numFmtId="0" fontId="46" fillId="43" borderId="59" xfId="130" applyFont="1" applyFill="1" applyBorder="1" applyAlignment="1">
      <alignment horizontal="center" vertical="center"/>
    </xf>
    <xf numFmtId="0" fontId="46" fillId="43" borderId="80" xfId="130" applyFont="1" applyFill="1" applyBorder="1" applyAlignment="1">
      <alignment horizontal="center" vertical="center"/>
    </xf>
    <xf numFmtId="0" fontId="46" fillId="43" borderId="62" xfId="130" applyFont="1" applyFill="1" applyBorder="1" applyAlignment="1">
      <alignment horizontal="center" vertical="center"/>
    </xf>
    <xf numFmtId="0" fontId="46" fillId="28" borderId="87" xfId="130" applyFont="1" applyFill="1" applyBorder="1" applyAlignment="1">
      <alignment horizontal="center" vertical="center"/>
    </xf>
    <xf numFmtId="168" fontId="44" fillId="0" borderId="0" xfId="131" applyNumberFormat="1" applyFont="1"/>
    <xf numFmtId="0" fontId="5" fillId="0" borderId="0" xfId="130" applyAlignment="1">
      <alignment horizontal="center" vertical="center"/>
    </xf>
    <xf numFmtId="0" fontId="45" fillId="0" borderId="0" xfId="130" applyFont="1" applyAlignment="1">
      <alignment horizontal="right" vertical="center"/>
    </xf>
    <xf numFmtId="0" fontId="50" fillId="0" borderId="0" xfId="130" applyFont="1" applyAlignment="1">
      <alignment vertical="center"/>
    </xf>
    <xf numFmtId="0" fontId="47" fillId="0" borderId="0" xfId="130" applyFont="1"/>
    <xf numFmtId="0" fontId="46" fillId="0" borderId="0" xfId="130" applyFont="1" applyAlignment="1">
      <alignment vertical="center"/>
    </xf>
    <xf numFmtId="0" fontId="46" fillId="18" borderId="20" xfId="130" applyFont="1" applyFill="1" applyBorder="1" applyAlignment="1">
      <alignment horizontal="center" vertical="center" wrapText="1"/>
    </xf>
    <xf numFmtId="0" fontId="46" fillId="38" borderId="8" xfId="130" applyFont="1" applyFill="1" applyBorder="1" applyAlignment="1">
      <alignment horizontal="center" vertical="center" wrapText="1"/>
    </xf>
    <xf numFmtId="0" fontId="46" fillId="31" borderId="11" xfId="130" applyFont="1" applyFill="1" applyBorder="1" applyAlignment="1">
      <alignment horizontal="center" vertical="center" wrapText="1"/>
    </xf>
    <xf numFmtId="0" fontId="46" fillId="0" borderId="0" xfId="130" applyFont="1" applyAlignment="1">
      <alignment horizontal="center" vertical="center" wrapText="1"/>
    </xf>
    <xf numFmtId="169" fontId="44" fillId="0" borderId="84" xfId="131" applyNumberFormat="1" applyFont="1" applyBorder="1" applyAlignment="1">
      <alignment vertical="center"/>
    </xf>
    <xf numFmtId="0" fontId="44" fillId="0" borderId="72" xfId="130" applyFont="1" applyBorder="1" applyAlignment="1">
      <alignment vertical="center"/>
    </xf>
    <xf numFmtId="0" fontId="44" fillId="0" borderId="84" xfId="130" applyFont="1" applyBorder="1" applyAlignment="1">
      <alignment vertical="center"/>
    </xf>
    <xf numFmtId="0" fontId="44" fillId="0" borderId="84" xfId="130" applyFont="1" applyBorder="1" applyAlignment="1">
      <alignment horizontal="center" vertical="center"/>
    </xf>
    <xf numFmtId="0" fontId="44" fillId="0" borderId="0" xfId="130" applyFont="1" applyAlignment="1">
      <alignment vertical="center"/>
    </xf>
    <xf numFmtId="169" fontId="44" fillId="0" borderId="83" xfId="131" applyNumberFormat="1" applyFont="1" applyBorder="1" applyAlignment="1">
      <alignment vertical="center"/>
    </xf>
    <xf numFmtId="169" fontId="44" fillId="0" borderId="72" xfId="131" applyNumberFormat="1" applyFont="1" applyBorder="1" applyAlignment="1">
      <alignment vertical="center"/>
    </xf>
    <xf numFmtId="0" fontId="44" fillId="0" borderId="89" xfId="130" applyFont="1" applyBorder="1" applyAlignment="1">
      <alignment horizontal="center" vertical="center"/>
    </xf>
    <xf numFmtId="169" fontId="44" fillId="0" borderId="89" xfId="131" applyNumberFormat="1" applyFont="1" applyBorder="1" applyAlignment="1">
      <alignment vertical="center"/>
    </xf>
    <xf numFmtId="0" fontId="44" fillId="0" borderId="46" xfId="130" applyFont="1" applyBorder="1" applyAlignment="1">
      <alignment vertical="center"/>
    </xf>
    <xf numFmtId="0" fontId="44" fillId="0" borderId="89" xfId="130" applyFont="1" applyBorder="1" applyAlignment="1">
      <alignment vertical="center"/>
    </xf>
    <xf numFmtId="169" fontId="44" fillId="0" borderId="85" xfId="131" applyNumberFormat="1" applyFont="1" applyBorder="1" applyAlignment="1">
      <alignment vertical="center"/>
    </xf>
    <xf numFmtId="169" fontId="44" fillId="0" borderId="46" xfId="131" applyNumberFormat="1" applyFont="1" applyBorder="1" applyAlignment="1">
      <alignment vertical="center"/>
    </xf>
    <xf numFmtId="169" fontId="44" fillId="0" borderId="89" xfId="131" applyNumberFormat="1" applyFont="1" applyBorder="1" applyAlignment="1">
      <alignment horizontal="right" vertical="center"/>
    </xf>
    <xf numFmtId="0" fontId="44" fillId="0" borderId="46" xfId="130" applyFont="1" applyBorder="1" applyAlignment="1">
      <alignment horizontal="right" vertical="center"/>
    </xf>
    <xf numFmtId="0" fontId="44" fillId="0" borderId="89" xfId="130" applyFont="1" applyBorder="1" applyAlignment="1">
      <alignment horizontal="right" vertical="center"/>
    </xf>
    <xf numFmtId="0" fontId="44" fillId="0" borderId="0" xfId="130" applyFont="1" applyAlignment="1">
      <alignment horizontal="right" vertical="center"/>
    </xf>
    <xf numFmtId="169" fontId="44" fillId="0" borderId="85" xfId="131" applyNumberFormat="1" applyFont="1" applyBorder="1" applyAlignment="1">
      <alignment horizontal="right" vertical="center"/>
    </xf>
    <xf numFmtId="169" fontId="44" fillId="31" borderId="46" xfId="131" applyNumberFormat="1" applyFont="1" applyFill="1" applyBorder="1" applyAlignment="1">
      <alignment horizontal="right" vertical="center"/>
    </xf>
    <xf numFmtId="169" fontId="44" fillId="28" borderId="89" xfId="131" applyNumberFormat="1" applyFont="1" applyFill="1" applyBorder="1" applyAlignment="1">
      <alignment vertical="center"/>
    </xf>
    <xf numFmtId="169" fontId="44" fillId="44" borderId="46" xfId="131" applyNumberFormat="1" applyFont="1" applyFill="1" applyBorder="1" applyAlignment="1">
      <alignment vertical="center"/>
    </xf>
    <xf numFmtId="169" fontId="44" fillId="28" borderId="46" xfId="131" applyNumberFormat="1" applyFont="1" applyFill="1" applyBorder="1" applyAlignment="1">
      <alignment vertical="center"/>
    </xf>
    <xf numFmtId="169" fontId="44" fillId="31" borderId="46" xfId="131" applyNumberFormat="1" applyFont="1" applyFill="1" applyBorder="1" applyAlignment="1">
      <alignment vertical="center"/>
    </xf>
    <xf numFmtId="169" fontId="44" fillId="0" borderId="89" xfId="131" applyNumberFormat="1" applyFont="1" applyFill="1" applyBorder="1" applyAlignment="1">
      <alignment vertical="center"/>
    </xf>
    <xf numFmtId="169" fontId="51" fillId="0" borderId="89" xfId="131" applyNumberFormat="1" applyFont="1" applyBorder="1" applyAlignment="1">
      <alignment vertical="center"/>
    </xf>
    <xf numFmtId="0" fontId="51" fillId="0" borderId="46" xfId="130" applyFont="1" applyBorder="1" applyAlignment="1">
      <alignment vertical="center"/>
    </xf>
    <xf numFmtId="0" fontId="51" fillId="0" borderId="89" xfId="130" applyFont="1" applyBorder="1" applyAlignment="1">
      <alignment vertical="center"/>
    </xf>
    <xf numFmtId="0" fontId="51" fillId="0" borderId="89" xfId="130" applyFont="1" applyBorder="1" applyAlignment="1">
      <alignment horizontal="center" vertical="center"/>
    </xf>
    <xf numFmtId="0" fontId="51" fillId="0" borderId="0" xfId="130" applyFont="1" applyAlignment="1">
      <alignment vertical="center"/>
    </xf>
    <xf numFmtId="169" fontId="51" fillId="0" borderId="85" xfId="131" applyNumberFormat="1" applyFont="1" applyBorder="1" applyAlignment="1">
      <alignment vertical="center"/>
    </xf>
    <xf numFmtId="169" fontId="51" fillId="0" borderId="46" xfId="131" applyNumberFormat="1" applyFont="1" applyBorder="1" applyAlignment="1">
      <alignment vertical="center"/>
    </xf>
    <xf numFmtId="169" fontId="44" fillId="0" borderId="77" xfId="131" applyNumberFormat="1" applyFont="1" applyBorder="1" applyAlignment="1">
      <alignment vertical="center"/>
    </xf>
    <xf numFmtId="0" fontId="44" fillId="0" borderId="79" xfId="130" applyFont="1" applyBorder="1" applyAlignment="1">
      <alignment vertical="center"/>
    </xf>
    <xf numFmtId="0" fontId="44" fillId="0" borderId="77" xfId="130" applyFont="1" applyBorder="1" applyAlignment="1">
      <alignment vertical="center"/>
    </xf>
    <xf numFmtId="169" fontId="44" fillId="0" borderId="90" xfId="131" applyNumberFormat="1" applyFont="1" applyBorder="1" applyAlignment="1">
      <alignment vertical="center"/>
    </xf>
    <xf numFmtId="169" fontId="44" fillId="0" borderId="79" xfId="131" applyNumberFormat="1" applyFont="1" applyBorder="1" applyAlignment="1">
      <alignment vertical="center"/>
    </xf>
    <xf numFmtId="0" fontId="44" fillId="0" borderId="77" xfId="130" applyFont="1" applyBorder="1" applyAlignment="1">
      <alignment horizontal="center" vertical="center"/>
    </xf>
    <xf numFmtId="169" fontId="44" fillId="0" borderId="87" xfId="131" applyNumberFormat="1" applyFont="1" applyBorder="1" applyAlignment="1">
      <alignment vertical="center"/>
    </xf>
    <xf numFmtId="0" fontId="44" fillId="0" borderId="78" xfId="130" applyFont="1" applyBorder="1" applyAlignment="1">
      <alignment vertical="center"/>
    </xf>
    <xf numFmtId="0" fontId="44" fillId="0" borderId="87" xfId="130" applyFont="1" applyBorder="1" applyAlignment="1">
      <alignment vertical="center"/>
    </xf>
    <xf numFmtId="0" fontId="44" fillId="0" borderId="87" xfId="130" applyFont="1" applyBorder="1" applyAlignment="1">
      <alignment horizontal="center" vertical="center"/>
    </xf>
    <xf numFmtId="169" fontId="44" fillId="0" borderId="69" xfId="131" applyNumberFormat="1" applyFont="1" applyBorder="1" applyAlignment="1">
      <alignment vertical="center"/>
    </xf>
    <xf numFmtId="169" fontId="44" fillId="0" borderId="78" xfId="131" applyNumberFormat="1" applyFont="1" applyBorder="1" applyAlignment="1">
      <alignment vertical="center"/>
    </xf>
    <xf numFmtId="0" fontId="46" fillId="17" borderId="34" xfId="130" applyFont="1" applyFill="1" applyBorder="1" applyAlignment="1">
      <alignment vertical="center"/>
    </xf>
    <xf numFmtId="0" fontId="46" fillId="17" borderId="33" xfId="130" applyFont="1" applyFill="1" applyBorder="1" applyAlignment="1">
      <alignment vertical="center"/>
    </xf>
    <xf numFmtId="0" fontId="46" fillId="45" borderId="59" xfId="130" applyFont="1" applyFill="1" applyBorder="1" applyAlignment="1">
      <alignment horizontal="center" vertical="center"/>
    </xf>
    <xf numFmtId="0" fontId="46" fillId="23" borderId="62" xfId="130" applyFont="1" applyFill="1" applyBorder="1" applyAlignment="1">
      <alignment horizontal="center" vertical="center"/>
    </xf>
    <xf numFmtId="0" fontId="46" fillId="43" borderId="70" xfId="130" applyFont="1" applyFill="1" applyBorder="1" applyAlignment="1">
      <alignment horizontal="center" vertical="center"/>
    </xf>
    <xf numFmtId="0" fontId="46" fillId="43" borderId="63" xfId="130" applyFont="1" applyFill="1" applyBorder="1" applyAlignment="1">
      <alignment horizontal="center" vertical="center"/>
    </xf>
    <xf numFmtId="169" fontId="44" fillId="0" borderId="0" xfId="130" applyNumberFormat="1" applyFont="1" applyAlignment="1">
      <alignment horizontal="center" vertical="center"/>
    </xf>
    <xf numFmtId="0" fontId="46" fillId="29" borderId="0" xfId="130" applyFont="1" applyFill="1" applyAlignment="1">
      <alignment horizontal="center" vertical="center"/>
    </xf>
    <xf numFmtId="169" fontId="44" fillId="29" borderId="77" xfId="131" applyNumberFormat="1" applyFont="1" applyFill="1" applyBorder="1" applyAlignment="1">
      <alignment vertical="center"/>
    </xf>
    <xf numFmtId="0" fontId="44" fillId="29" borderId="79" xfId="130" applyFont="1" applyFill="1" applyBorder="1" applyAlignment="1">
      <alignment vertical="center"/>
    </xf>
    <xf numFmtId="0" fontId="44" fillId="29" borderId="77" xfId="130" applyFont="1" applyFill="1" applyBorder="1" applyAlignment="1">
      <alignment vertical="center"/>
    </xf>
    <xf numFmtId="0" fontId="44" fillId="29" borderId="77" xfId="130" applyFont="1" applyFill="1" applyBorder="1" applyAlignment="1">
      <alignment horizontal="center" vertical="center"/>
    </xf>
    <xf numFmtId="0" fontId="44" fillId="29" borderId="0" xfId="130" applyFont="1" applyFill="1" applyAlignment="1">
      <alignment vertical="center"/>
    </xf>
    <xf numFmtId="169" fontId="44" fillId="29" borderId="90" xfId="131" applyNumberFormat="1" applyFont="1" applyFill="1" applyBorder="1" applyAlignment="1">
      <alignment vertical="center"/>
    </xf>
    <xf numFmtId="169" fontId="44" fillId="29" borderId="79" xfId="131" applyNumberFormat="1" applyFont="1" applyFill="1" applyBorder="1" applyAlignment="1">
      <alignment vertical="center"/>
    </xf>
    <xf numFmtId="0" fontId="44" fillId="0" borderId="89" xfId="130" applyFont="1" applyBorder="1"/>
    <xf numFmtId="0" fontId="46" fillId="22" borderId="89" xfId="13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46" fillId="22" borderId="84" xfId="130" applyFont="1" applyFill="1" applyBorder="1" applyAlignment="1">
      <alignment horizontal="right" vertical="center"/>
    </xf>
    <xf numFmtId="169" fontId="46" fillId="22" borderId="84" xfId="131" applyNumberFormat="1" applyFont="1" applyFill="1" applyBorder="1" applyAlignment="1">
      <alignment horizontal="right" vertical="center"/>
    </xf>
    <xf numFmtId="169" fontId="46" fillId="22" borderId="84" xfId="131" applyNumberFormat="1" applyFont="1" applyFill="1" applyBorder="1" applyAlignment="1">
      <alignment horizontal="right" vertical="top"/>
    </xf>
    <xf numFmtId="0" fontId="8" fillId="0" borderId="35" xfId="0" applyFont="1" applyBorder="1" applyAlignment="1">
      <alignment horizontal="center" vertical="center"/>
    </xf>
    <xf numFmtId="0" fontId="8" fillId="45" borderId="35" xfId="0" applyFont="1" applyFill="1" applyBorder="1" applyAlignment="1">
      <alignment horizontal="center" vertical="center" wrapText="1"/>
    </xf>
    <xf numFmtId="0" fontId="6" fillId="45" borderId="16" xfId="72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8" fillId="3" borderId="0" xfId="0" applyNumberFormat="1" applyFont="1" applyFill="1"/>
    <xf numFmtId="0" fontId="8" fillId="0" borderId="3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/>
    </xf>
    <xf numFmtId="37" fontId="38" fillId="0" borderId="16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9" fontId="0" fillId="0" borderId="45" xfId="7" applyFont="1" applyBorder="1" applyAlignment="1">
      <alignment horizontal="center" vertical="center"/>
    </xf>
    <xf numFmtId="172" fontId="0" fillId="0" borderId="45" xfId="0" applyNumberFormat="1" applyBorder="1"/>
    <xf numFmtId="0" fontId="8" fillId="17" borderId="16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17" borderId="58" xfId="0" applyFont="1" applyFill="1" applyBorder="1" applyAlignment="1">
      <alignment horizontal="center"/>
    </xf>
    <xf numFmtId="0" fontId="8" fillId="17" borderId="72" xfId="0" applyFont="1" applyFill="1" applyBorder="1" applyAlignment="1">
      <alignment horizontal="center"/>
    </xf>
    <xf numFmtId="0" fontId="8" fillId="17" borderId="39" xfId="0" applyFont="1" applyFill="1" applyBorder="1" applyAlignment="1">
      <alignment horizontal="center"/>
    </xf>
    <xf numFmtId="0" fontId="8" fillId="17" borderId="46" xfId="0" applyFont="1" applyFill="1" applyBorder="1" applyAlignment="1">
      <alignment horizontal="center"/>
    </xf>
    <xf numFmtId="0" fontId="8" fillId="17" borderId="45" xfId="0" applyFont="1" applyFill="1" applyBorder="1" applyAlignment="1">
      <alignment horizontal="center"/>
    </xf>
    <xf numFmtId="0" fontId="44" fillId="22" borderId="0" xfId="130" applyFont="1" applyFill="1" applyAlignment="1">
      <alignment horizontal="center"/>
    </xf>
    <xf numFmtId="0" fontId="46" fillId="22" borderId="85" xfId="130" applyFont="1" applyFill="1" applyBorder="1" applyAlignment="1">
      <alignment horizontal="center"/>
    </xf>
    <xf numFmtId="169" fontId="46" fillId="22" borderId="83" xfId="131" applyNumberFormat="1" applyFont="1" applyFill="1" applyBorder="1" applyAlignment="1">
      <alignment horizontal="center" vertical="center"/>
    </xf>
    <xf numFmtId="173" fontId="46" fillId="22" borderId="84" xfId="131" applyNumberFormat="1" applyFont="1" applyFill="1" applyBorder="1" applyAlignment="1">
      <alignment horizontal="center" vertical="center"/>
    </xf>
    <xf numFmtId="174" fontId="44" fillId="0" borderId="0" xfId="130" applyNumberFormat="1" applyFont="1" applyAlignment="1">
      <alignment horizontal="center"/>
    </xf>
    <xf numFmtId="174" fontId="45" fillId="0" borderId="0" xfId="130" applyNumberFormat="1" applyFont="1" applyAlignment="1">
      <alignment horizontal="left"/>
    </xf>
    <xf numFmtId="174" fontId="46" fillId="0" borderId="84" xfId="130" applyNumberFormat="1" applyFont="1" applyBorder="1" applyAlignment="1">
      <alignment horizontal="center" vertical="center"/>
    </xf>
    <xf numFmtId="174" fontId="46" fillId="0" borderId="89" xfId="130" applyNumberFormat="1" applyFont="1" applyBorder="1" applyAlignment="1">
      <alignment horizontal="center" vertical="center"/>
    </xf>
    <xf numFmtId="174" fontId="46" fillId="0" borderId="77" xfId="130" applyNumberFormat="1" applyFont="1" applyBorder="1" applyAlignment="1">
      <alignment horizontal="center" vertical="center"/>
    </xf>
    <xf numFmtId="174" fontId="46" fillId="29" borderId="77" xfId="130" applyNumberFormat="1" applyFont="1" applyFill="1" applyBorder="1" applyAlignment="1">
      <alignment horizontal="center" vertical="center"/>
    </xf>
    <xf numFmtId="174" fontId="46" fillId="0" borderId="87" xfId="130" applyNumberFormat="1" applyFont="1" applyBorder="1" applyAlignment="1">
      <alignment horizontal="center" vertical="center"/>
    </xf>
    <xf numFmtId="174" fontId="5" fillId="0" borderId="0" xfId="130" applyNumberFormat="1" applyAlignment="1">
      <alignment horizontal="center"/>
    </xf>
    <xf numFmtId="0" fontId="6" fillId="0" borderId="0" xfId="0" applyFont="1" applyAlignment="1">
      <alignment vertical="center"/>
    </xf>
    <xf numFmtId="0" fontId="6" fillId="27" borderId="16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0" fillId="5" borderId="16" xfId="0" applyFill="1" applyBorder="1"/>
    <xf numFmtId="2" fontId="0" fillId="5" borderId="16" xfId="0" applyNumberFormat="1" applyFill="1" applyBorder="1"/>
    <xf numFmtId="0" fontId="8" fillId="4" borderId="16" xfId="0" applyFont="1" applyFill="1" applyBorder="1" applyAlignment="1">
      <alignment horizontal="center"/>
    </xf>
    <xf numFmtId="168" fontId="0" fillId="5" borderId="16" xfId="1" applyNumberFormat="1" applyFont="1" applyFill="1" applyBorder="1"/>
    <xf numFmtId="0" fontId="22" fillId="5" borderId="16" xfId="0" applyFont="1" applyFill="1" applyBorder="1"/>
    <xf numFmtId="0" fontId="24" fillId="14" borderId="38" xfId="0" applyFont="1" applyFill="1" applyBorder="1" applyAlignment="1">
      <alignment horizontal="center"/>
    </xf>
    <xf numFmtId="0" fontId="24" fillId="14" borderId="39" xfId="0" applyFont="1" applyFill="1" applyBorder="1" applyAlignment="1">
      <alignment horizontal="center"/>
    </xf>
    <xf numFmtId="0" fontId="8" fillId="15" borderId="40" xfId="0" applyFont="1" applyFill="1" applyBorder="1" applyAlignment="1">
      <alignment horizontal="center"/>
    </xf>
    <xf numFmtId="0" fontId="8" fillId="5" borderId="40" xfId="0" applyFont="1" applyFill="1" applyBorder="1" applyAlignment="1">
      <alignment horizontal="center"/>
    </xf>
    <xf numFmtId="0" fontId="8" fillId="0" borderId="38" xfId="0" applyFont="1" applyBorder="1" applyAlignment="1">
      <alignment horizontal="center"/>
    </xf>
    <xf numFmtId="168" fontId="13" fillId="4" borderId="16" xfId="1" applyNumberFormat="1" applyFont="1" applyFill="1" applyBorder="1"/>
    <xf numFmtId="0" fontId="6" fillId="0" borderId="39" xfId="0" applyFont="1" applyBorder="1"/>
    <xf numFmtId="0" fontId="6" fillId="0" borderId="45" xfId="0" applyFont="1" applyBorder="1"/>
    <xf numFmtId="10" fontId="14" fillId="3" borderId="16" xfId="7" applyNumberFormat="1" applyFont="1" applyFill="1" applyBorder="1"/>
    <xf numFmtId="169" fontId="0" fillId="17" borderId="16" xfId="1" applyNumberFormat="1" applyFont="1" applyFill="1" applyBorder="1"/>
    <xf numFmtId="0" fontId="0" fillId="17" borderId="35" xfId="0" applyFill="1" applyBorder="1" applyAlignment="1">
      <alignment vertical="center" wrapText="1"/>
    </xf>
    <xf numFmtId="0" fontId="8" fillId="5" borderId="39" xfId="0" applyFont="1" applyFill="1" applyBorder="1" applyAlignment="1">
      <alignment horizontal="center"/>
    </xf>
    <xf numFmtId="0" fontId="8" fillId="15" borderId="45" xfId="0" applyFont="1" applyFill="1" applyBorder="1" applyAlignment="1">
      <alignment horizontal="center"/>
    </xf>
    <xf numFmtId="0" fontId="8" fillId="26" borderId="38" xfId="0" applyFont="1" applyFill="1" applyBorder="1" applyAlignment="1">
      <alignment horizontal="center"/>
    </xf>
    <xf numFmtId="0" fontId="0" fillId="25" borderId="45" xfId="0" applyFill="1" applyBorder="1"/>
    <xf numFmtId="0" fontId="0" fillId="25" borderId="16" xfId="0" applyFill="1" applyBorder="1"/>
    <xf numFmtId="0" fontId="6" fillId="23" borderId="16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/>
    </xf>
    <xf numFmtId="0" fontId="6" fillId="27" borderId="16" xfId="0" applyFont="1" applyFill="1" applyBorder="1" applyAlignment="1">
      <alignment horizontal="center"/>
    </xf>
    <xf numFmtId="0" fontId="6" fillId="23" borderId="16" xfId="0" applyFont="1" applyFill="1" applyBorder="1"/>
    <xf numFmtId="0" fontId="8" fillId="0" borderId="16" xfId="0" applyFon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168" fontId="0" fillId="0" borderId="35" xfId="0" applyNumberFormat="1" applyBorder="1" applyAlignment="1">
      <alignment horizontal="center" vertical="center"/>
    </xf>
    <xf numFmtId="9" fontId="6" fillId="0" borderId="16" xfId="0" applyNumberFormat="1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67" xfId="0" applyFont="1" applyBorder="1" applyAlignment="1">
      <alignment horizontal="right" vertical="center"/>
    </xf>
    <xf numFmtId="0" fontId="8" fillId="0" borderId="68" xfId="0" applyFont="1" applyBorder="1" applyAlignment="1">
      <alignment horizontal="right" vertical="center"/>
    </xf>
    <xf numFmtId="0" fontId="6" fillId="17" borderId="52" xfId="0" applyFont="1" applyFill="1" applyBorder="1" applyAlignment="1">
      <alignment horizontal="center"/>
    </xf>
    <xf numFmtId="0" fontId="6" fillId="17" borderId="51" xfId="0" applyFont="1" applyFill="1" applyBorder="1" applyAlignment="1">
      <alignment horizontal="center"/>
    </xf>
    <xf numFmtId="0" fontId="6" fillId="23" borderId="53" xfId="0" applyFont="1" applyFill="1" applyBorder="1" applyAlignment="1">
      <alignment horizontal="center"/>
    </xf>
    <xf numFmtId="0" fontId="6" fillId="23" borderId="51" xfId="0" applyFont="1" applyFill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14" fontId="31" fillId="0" borderId="0" xfId="0" applyNumberFormat="1" applyFont="1" applyAlignment="1" applyProtection="1">
      <alignment horizontal="center" vertical="center"/>
      <protection locked="0"/>
    </xf>
    <xf numFmtId="0" fontId="8" fillId="18" borderId="16" xfId="0" applyFont="1" applyFill="1" applyBorder="1" applyAlignment="1">
      <alignment horizontal="center" vertical="center"/>
    </xf>
    <xf numFmtId="0" fontId="8" fillId="17" borderId="39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17" borderId="5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4" xfId="0" applyFont="1" applyBorder="1" applyAlignment="1">
      <alignment horizontal="right" vertical="center"/>
    </xf>
    <xf numFmtId="0" fontId="8" fillId="0" borderId="22" xfId="0" applyFont="1" applyBorder="1" applyAlignment="1">
      <alignment horizontal="right" vertical="center"/>
    </xf>
    <xf numFmtId="0" fontId="8" fillId="0" borderId="33" xfId="0" applyFont="1" applyBorder="1" applyAlignment="1">
      <alignment horizontal="right" vertical="center"/>
    </xf>
    <xf numFmtId="0" fontId="38" fillId="23" borderId="16" xfId="0" applyFont="1" applyFill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8" fillId="17" borderId="16" xfId="0" applyFont="1" applyFill="1" applyBorder="1" applyAlignment="1">
      <alignment horizontal="center"/>
    </xf>
    <xf numFmtId="0" fontId="8" fillId="17" borderId="39" xfId="0" applyFont="1" applyFill="1" applyBorder="1" applyAlignment="1">
      <alignment horizontal="center"/>
    </xf>
    <xf numFmtId="0" fontId="8" fillId="17" borderId="46" xfId="0" applyFont="1" applyFill="1" applyBorder="1" applyAlignment="1">
      <alignment horizontal="center"/>
    </xf>
    <xf numFmtId="0" fontId="8" fillId="17" borderId="45" xfId="0" applyFont="1" applyFill="1" applyBorder="1" applyAlignment="1">
      <alignment horizontal="center"/>
    </xf>
    <xf numFmtId="0" fontId="8" fillId="17" borderId="17" xfId="0" applyFont="1" applyFill="1" applyBorder="1" applyAlignment="1">
      <alignment horizontal="center" vertical="center" wrapText="1"/>
    </xf>
    <xf numFmtId="0" fontId="8" fillId="17" borderId="18" xfId="0" applyFont="1" applyFill="1" applyBorder="1" applyAlignment="1">
      <alignment horizontal="center" vertical="center" wrapText="1"/>
    </xf>
    <xf numFmtId="0" fontId="8" fillId="17" borderId="35" xfId="0" applyFont="1" applyFill="1" applyBorder="1" applyAlignment="1">
      <alignment horizontal="center" vertical="center" wrapText="1"/>
    </xf>
    <xf numFmtId="0" fontId="8" fillId="17" borderId="58" xfId="0" applyFont="1" applyFill="1" applyBorder="1" applyAlignment="1">
      <alignment horizontal="center"/>
    </xf>
    <xf numFmtId="0" fontId="8" fillId="17" borderId="72" xfId="0" applyFont="1" applyFill="1" applyBorder="1" applyAlignment="1">
      <alignment horizontal="center"/>
    </xf>
    <xf numFmtId="0" fontId="25" fillId="0" borderId="0" xfId="5" applyAlignment="1" applyProtection="1">
      <alignment horizontal="center"/>
    </xf>
    <xf numFmtId="169" fontId="8" fillId="17" borderId="16" xfId="1" applyNumberFormat="1" applyFont="1" applyFill="1" applyBorder="1" applyAlignment="1">
      <alignment horizontal="center" wrapText="1"/>
    </xf>
    <xf numFmtId="17" fontId="8" fillId="2" borderId="64" xfId="0" applyNumberFormat="1" applyFont="1" applyFill="1" applyBorder="1" applyAlignment="1">
      <alignment horizontal="center" vertical="center" wrapText="1"/>
    </xf>
    <xf numFmtId="17" fontId="8" fillId="2" borderId="65" xfId="0" applyNumberFormat="1" applyFont="1" applyFill="1" applyBorder="1" applyAlignment="1">
      <alignment horizontal="center" vertical="center" wrapText="1"/>
    </xf>
    <xf numFmtId="17" fontId="8" fillId="2" borderId="66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6" xfId="0" applyFont="1" applyBorder="1" applyAlignment="1">
      <alignment horizontal="center"/>
    </xf>
    <xf numFmtId="0" fontId="8" fillId="2" borderId="40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/>
    </xf>
    <xf numFmtId="0" fontId="8" fillId="2" borderId="55" xfId="0" applyFont="1" applyFill="1" applyBorder="1" applyAlignment="1">
      <alignment horizontal="center"/>
    </xf>
    <xf numFmtId="0" fontId="8" fillId="2" borderId="56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/>
    </xf>
    <xf numFmtId="0" fontId="9" fillId="13" borderId="20" xfId="0" applyFont="1" applyFill="1" applyBorder="1" applyAlignment="1">
      <alignment horizontal="center"/>
    </xf>
    <xf numFmtId="0" fontId="11" fillId="9" borderId="48" xfId="0" applyFont="1" applyFill="1" applyBorder="1" applyAlignment="1">
      <alignment horizontal="center"/>
    </xf>
    <xf numFmtId="0" fontId="11" fillId="9" borderId="14" xfId="0" applyFont="1" applyFill="1" applyBorder="1" applyAlignment="1">
      <alignment horizontal="center"/>
    </xf>
    <xf numFmtId="0" fontId="11" fillId="8" borderId="48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12" borderId="50" xfId="0" applyFont="1" applyFill="1" applyBorder="1" applyAlignment="1">
      <alignment horizontal="center"/>
    </xf>
    <xf numFmtId="0" fontId="11" fillId="12" borderId="14" xfId="0" applyFont="1" applyFill="1" applyBorder="1" applyAlignment="1">
      <alignment horizontal="center"/>
    </xf>
    <xf numFmtId="0" fontId="11" fillId="8" borderId="52" xfId="0" applyFont="1" applyFill="1" applyBorder="1" applyAlignment="1">
      <alignment horizontal="center"/>
    </xf>
    <xf numFmtId="0" fontId="11" fillId="8" borderId="53" xfId="0" applyFont="1" applyFill="1" applyBorder="1" applyAlignment="1">
      <alignment horizontal="center"/>
    </xf>
    <xf numFmtId="0" fontId="11" fillId="8" borderId="51" xfId="0" applyFont="1" applyFill="1" applyBorder="1" applyAlignment="1">
      <alignment horizontal="center"/>
    </xf>
    <xf numFmtId="0" fontId="11" fillId="7" borderId="52" xfId="0" applyFont="1" applyFill="1" applyBorder="1" applyAlignment="1">
      <alignment horizontal="center"/>
    </xf>
    <xf numFmtId="0" fontId="11" fillId="7" borderId="53" xfId="0" applyFont="1" applyFill="1" applyBorder="1" applyAlignment="1">
      <alignment horizontal="center"/>
    </xf>
    <xf numFmtId="0" fontId="11" fillId="7" borderId="51" xfId="0" applyFont="1" applyFill="1" applyBorder="1" applyAlignment="1">
      <alignment horizontal="center"/>
    </xf>
    <xf numFmtId="0" fontId="11" fillId="9" borderId="5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11" fillId="9" borderId="51" xfId="0" applyFont="1" applyFill="1" applyBorder="1" applyAlignment="1">
      <alignment horizontal="center"/>
    </xf>
    <xf numFmtId="0" fontId="11" fillId="12" borderId="52" xfId="0" applyFont="1" applyFill="1" applyBorder="1" applyAlignment="1">
      <alignment horizontal="center"/>
    </xf>
    <xf numFmtId="0" fontId="11" fillId="12" borderId="53" xfId="0" applyFont="1" applyFill="1" applyBorder="1" applyAlignment="1">
      <alignment horizontal="center"/>
    </xf>
    <xf numFmtId="0" fontId="11" fillId="12" borderId="51" xfId="0" applyFont="1" applyFill="1" applyBorder="1" applyAlignment="1">
      <alignment horizontal="center"/>
    </xf>
    <xf numFmtId="0" fontId="46" fillId="32" borderId="53" xfId="130" applyFont="1" applyFill="1" applyBorder="1" applyAlignment="1">
      <alignment horizontal="center" vertical="center"/>
    </xf>
    <xf numFmtId="0" fontId="46" fillId="32" borderId="78" xfId="130" applyFont="1" applyFill="1" applyBorder="1" applyAlignment="1">
      <alignment horizontal="center" vertical="center"/>
    </xf>
    <xf numFmtId="0" fontId="46" fillId="24" borderId="47" xfId="130" applyFont="1" applyFill="1" applyBorder="1" applyAlignment="1">
      <alignment horizontal="center" vertical="center"/>
    </xf>
    <xf numFmtId="0" fontId="46" fillId="24" borderId="87" xfId="130" applyFont="1" applyFill="1" applyBorder="1" applyAlignment="1">
      <alignment horizontal="center" vertical="center"/>
    </xf>
    <xf numFmtId="0" fontId="46" fillId="17" borderId="86" xfId="130" applyFont="1" applyFill="1" applyBorder="1" applyAlignment="1">
      <alignment horizontal="center" vertical="center"/>
    </xf>
    <xf numFmtId="0" fontId="46" fillId="17" borderId="88" xfId="130" applyFont="1" applyFill="1" applyBorder="1" applyAlignment="1">
      <alignment horizontal="center" vertical="center"/>
    </xf>
    <xf numFmtId="0" fontId="46" fillId="29" borderId="48" xfId="130" applyFont="1" applyFill="1" applyBorder="1" applyAlignment="1">
      <alignment horizontal="center" vertical="center"/>
    </xf>
    <xf numFmtId="0" fontId="46" fillId="29" borderId="14" xfId="130" applyFont="1" applyFill="1" applyBorder="1" applyAlignment="1">
      <alignment horizontal="center" vertical="center"/>
    </xf>
    <xf numFmtId="0" fontId="46" fillId="27" borderId="50" xfId="130" applyFont="1" applyFill="1" applyBorder="1" applyAlignment="1">
      <alignment horizontal="center" vertical="center"/>
    </xf>
    <xf numFmtId="0" fontId="46" fillId="27" borderId="49" xfId="130" applyFont="1" applyFill="1" applyBorder="1" applyAlignment="1">
      <alignment horizontal="center" vertical="center"/>
    </xf>
    <xf numFmtId="0" fontId="46" fillId="27" borderId="74" xfId="130" applyFont="1" applyFill="1" applyBorder="1" applyAlignment="1">
      <alignment horizontal="center" vertical="center"/>
    </xf>
    <xf numFmtId="0" fontId="46" fillId="30" borderId="53" xfId="130" applyFont="1" applyFill="1" applyBorder="1" applyAlignment="1">
      <alignment horizontal="center" vertical="center"/>
    </xf>
    <xf numFmtId="0" fontId="46" fillId="30" borderId="78" xfId="130" applyFont="1" applyFill="1" applyBorder="1" applyAlignment="1">
      <alignment horizontal="center" vertical="center"/>
    </xf>
    <xf numFmtId="0" fontId="46" fillId="40" borderId="47" xfId="130" applyFont="1" applyFill="1" applyBorder="1" applyAlignment="1">
      <alignment horizontal="center" vertical="center"/>
    </xf>
    <xf numFmtId="0" fontId="46" fillId="40" borderId="87" xfId="130" applyFont="1" applyFill="1" applyBorder="1" applyAlignment="1">
      <alignment horizontal="center" vertical="center"/>
    </xf>
    <xf numFmtId="0" fontId="46" fillId="17" borderId="53" xfId="130" applyFont="1" applyFill="1" applyBorder="1" applyAlignment="1">
      <alignment horizontal="center" vertical="center"/>
    </xf>
    <xf numFmtId="0" fontId="46" fillId="17" borderId="78" xfId="130" applyFont="1" applyFill="1" applyBorder="1" applyAlignment="1">
      <alignment horizontal="center" vertical="center"/>
    </xf>
    <xf numFmtId="0" fontId="46" fillId="41" borderId="47" xfId="130" applyFont="1" applyFill="1" applyBorder="1" applyAlignment="1">
      <alignment horizontal="center" vertical="center"/>
    </xf>
    <xf numFmtId="0" fontId="46" fillId="41" borderId="87" xfId="130" applyFont="1" applyFill="1" applyBorder="1" applyAlignment="1">
      <alignment horizontal="center" vertical="center"/>
    </xf>
    <xf numFmtId="0" fontId="47" fillId="28" borderId="11" xfId="130" applyFont="1" applyFill="1" applyBorder="1" applyAlignment="1">
      <alignment horizontal="center"/>
    </xf>
    <xf numFmtId="0" fontId="47" fillId="28" borderId="20" xfId="130" applyFont="1" applyFill="1" applyBorder="1" applyAlignment="1">
      <alignment horizontal="center"/>
    </xf>
    <xf numFmtId="0" fontId="47" fillId="28" borderId="26" xfId="130" applyFont="1" applyFill="1" applyBorder="1" applyAlignment="1">
      <alignment horizontal="center"/>
    </xf>
    <xf numFmtId="0" fontId="48" fillId="17" borderId="34" xfId="130" applyFont="1" applyFill="1" applyBorder="1" applyAlignment="1">
      <alignment horizontal="center" vertical="center" wrapText="1"/>
    </xf>
    <xf numFmtId="0" fontId="48" fillId="17" borderId="33" xfId="130" applyFont="1" applyFill="1" applyBorder="1" applyAlignment="1">
      <alignment horizontal="center" vertical="center" wrapText="1"/>
    </xf>
    <xf numFmtId="0" fontId="47" fillId="26" borderId="11" xfId="130" applyFont="1" applyFill="1" applyBorder="1" applyAlignment="1">
      <alignment horizontal="center"/>
    </xf>
    <xf numFmtId="0" fontId="47" fillId="26" borderId="20" xfId="130" applyFont="1" applyFill="1" applyBorder="1" applyAlignment="1">
      <alignment horizontal="center"/>
    </xf>
    <xf numFmtId="0" fontId="47" fillId="26" borderId="26" xfId="130" applyFont="1" applyFill="1" applyBorder="1" applyAlignment="1">
      <alignment horizontal="center"/>
    </xf>
    <xf numFmtId="0" fontId="47" fillId="18" borderId="34" xfId="130" applyFont="1" applyFill="1" applyBorder="1" applyAlignment="1">
      <alignment horizontal="center" vertical="center" wrapText="1"/>
    </xf>
    <xf numFmtId="0" fontId="47" fillId="18" borderId="33" xfId="130" applyFont="1" applyFill="1" applyBorder="1" applyAlignment="1">
      <alignment horizontal="center" vertical="center" wrapText="1"/>
    </xf>
    <xf numFmtId="0" fontId="44" fillId="22" borderId="68" xfId="130" applyFont="1" applyFill="1" applyBorder="1" applyAlignment="1">
      <alignment horizontal="center"/>
    </xf>
    <xf numFmtId="0" fontId="44" fillId="22" borderId="0" xfId="130" applyFont="1" applyFill="1" applyAlignment="1">
      <alignment horizontal="center"/>
    </xf>
    <xf numFmtId="0" fontId="47" fillId="28" borderId="11" xfId="130" applyFont="1" applyFill="1" applyBorder="1" applyAlignment="1">
      <alignment horizontal="center" vertical="center" wrapText="1"/>
    </xf>
    <xf numFmtId="0" fontId="47" fillId="28" borderId="26" xfId="130" applyFont="1" applyFill="1" applyBorder="1" applyAlignment="1">
      <alignment horizontal="center" vertical="center" wrapText="1"/>
    </xf>
    <xf numFmtId="0" fontId="46" fillId="0" borderId="0" xfId="130" applyFont="1" applyAlignment="1">
      <alignment horizontal="right" vertical="center"/>
    </xf>
    <xf numFmtId="0" fontId="47" fillId="28" borderId="20" xfId="130" applyFont="1" applyFill="1" applyBorder="1" applyAlignment="1">
      <alignment horizontal="center" vertical="center" wrapText="1"/>
    </xf>
    <xf numFmtId="0" fontId="46" fillId="42" borderId="67" xfId="130" applyFont="1" applyFill="1" applyBorder="1" applyAlignment="1">
      <alignment horizontal="center" vertical="center" wrapText="1"/>
    </xf>
    <xf numFmtId="0" fontId="46" fillId="42" borderId="81" xfId="130" applyFont="1" applyFill="1" applyBorder="1" applyAlignment="1">
      <alignment horizontal="center" vertical="center" wrapText="1"/>
    </xf>
    <xf numFmtId="0" fontId="44" fillId="17" borderId="34" xfId="130" applyFont="1" applyFill="1" applyBorder="1" applyAlignment="1">
      <alignment horizontal="center" vertical="center"/>
    </xf>
    <xf numFmtId="0" fontId="44" fillId="17" borderId="33" xfId="130" applyFont="1" applyFill="1" applyBorder="1" applyAlignment="1">
      <alignment horizontal="center" vertical="center"/>
    </xf>
    <xf numFmtId="0" fontId="46" fillId="27" borderId="48" xfId="130" applyFont="1" applyFill="1" applyBorder="1" applyAlignment="1">
      <alignment horizontal="center" vertical="center"/>
    </xf>
    <xf numFmtId="0" fontId="46" fillId="27" borderId="14" xfId="130" applyFont="1" applyFill="1" applyBorder="1" applyAlignment="1">
      <alignment horizontal="center" vertical="center"/>
    </xf>
    <xf numFmtId="0" fontId="46" fillId="40" borderId="34" xfId="130" applyFont="1" applyFill="1" applyBorder="1" applyAlignment="1">
      <alignment horizontal="center" vertical="center" wrapText="1"/>
    </xf>
    <xf numFmtId="0" fontId="46" fillId="40" borderId="33" xfId="130" applyFont="1" applyFill="1" applyBorder="1" applyAlignment="1">
      <alignment horizontal="center" vertical="center" wrapText="1"/>
    </xf>
    <xf numFmtId="0" fontId="46" fillId="17" borderId="34" xfId="130" applyFont="1" applyFill="1" applyBorder="1" applyAlignment="1">
      <alignment horizontal="center" vertical="center"/>
    </xf>
    <xf numFmtId="0" fontId="46" fillId="17" borderId="22" xfId="130" applyFont="1" applyFill="1" applyBorder="1" applyAlignment="1">
      <alignment horizontal="center" vertical="center"/>
    </xf>
    <xf numFmtId="0" fontId="46" fillId="17" borderId="33" xfId="130" applyFont="1" applyFill="1" applyBorder="1" applyAlignment="1">
      <alignment horizontal="center" vertical="center"/>
    </xf>
    <xf numFmtId="0" fontId="47" fillId="38" borderId="11" xfId="130" applyFont="1" applyFill="1" applyBorder="1" applyAlignment="1">
      <alignment horizontal="center"/>
    </xf>
    <xf numFmtId="0" fontId="47" fillId="38" borderId="20" xfId="130" applyFont="1" applyFill="1" applyBorder="1" applyAlignment="1">
      <alignment horizontal="center"/>
    </xf>
    <xf numFmtId="0" fontId="47" fillId="38" borderId="26" xfId="130" applyFont="1" applyFill="1" applyBorder="1" applyAlignment="1">
      <alignment horizontal="center"/>
    </xf>
    <xf numFmtId="0" fontId="47" fillId="39" borderId="11" xfId="130" applyFont="1" applyFill="1" applyBorder="1" applyAlignment="1">
      <alignment horizontal="center"/>
    </xf>
    <xf numFmtId="0" fontId="47" fillId="39" borderId="20" xfId="130" applyFont="1" applyFill="1" applyBorder="1" applyAlignment="1">
      <alignment horizontal="center"/>
    </xf>
    <xf numFmtId="0" fontId="47" fillId="39" borderId="26" xfId="130" applyFont="1" applyFill="1" applyBorder="1" applyAlignment="1">
      <alignment horizontal="center"/>
    </xf>
    <xf numFmtId="169" fontId="46" fillId="30" borderId="53" xfId="131" applyNumberFormat="1" applyFont="1" applyFill="1" applyBorder="1" applyAlignment="1">
      <alignment horizontal="center" vertical="center"/>
    </xf>
    <xf numFmtId="169" fontId="46" fillId="30" borderId="78" xfId="131" applyNumberFormat="1" applyFont="1" applyFill="1" applyBorder="1" applyAlignment="1">
      <alignment horizontal="center" vertical="center"/>
    </xf>
    <xf numFmtId="0" fontId="46" fillId="29" borderId="34" xfId="130" applyFont="1" applyFill="1" applyBorder="1" applyAlignment="1">
      <alignment horizontal="center" vertical="center"/>
    </xf>
    <xf numFmtId="0" fontId="46" fillId="29" borderId="33" xfId="130" applyFont="1" applyFill="1" applyBorder="1" applyAlignment="1">
      <alignment horizontal="center" vertical="center"/>
    </xf>
    <xf numFmtId="0" fontId="46" fillId="39" borderId="86" xfId="130" applyFont="1" applyFill="1" applyBorder="1" applyAlignment="1">
      <alignment horizontal="center" vertical="center"/>
    </xf>
    <xf numFmtId="0" fontId="46" fillId="39" borderId="88" xfId="130" applyFont="1" applyFill="1" applyBorder="1" applyAlignment="1">
      <alignment horizontal="center" vertical="center"/>
    </xf>
    <xf numFmtId="0" fontId="46" fillId="24" borderId="34" xfId="130" applyFont="1" applyFill="1" applyBorder="1" applyAlignment="1">
      <alignment horizontal="center" vertical="center" wrapText="1"/>
    </xf>
    <xf numFmtId="0" fontId="46" fillId="24" borderId="33" xfId="130" applyFont="1" applyFill="1" applyBorder="1" applyAlignment="1">
      <alignment horizontal="center" vertical="center" wrapText="1"/>
    </xf>
    <xf numFmtId="174" fontId="46" fillId="17" borderId="34" xfId="130" applyNumberFormat="1" applyFont="1" applyFill="1" applyBorder="1" applyAlignment="1">
      <alignment horizontal="center" vertical="center"/>
    </xf>
    <xf numFmtId="174" fontId="46" fillId="17" borderId="33" xfId="130" applyNumberFormat="1" applyFont="1" applyFill="1" applyBorder="1" applyAlignment="1">
      <alignment horizontal="center" vertical="center"/>
    </xf>
    <xf numFmtId="0" fontId="46" fillId="17" borderId="34" xfId="130" applyFont="1" applyFill="1" applyBorder="1" applyAlignment="1">
      <alignment horizontal="center" vertical="center" wrapText="1"/>
    </xf>
    <xf numFmtId="0" fontId="46" fillId="17" borderId="33" xfId="13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33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top"/>
    </xf>
    <xf numFmtId="0" fontId="43" fillId="0" borderId="72" xfId="143" applyFont="1" applyBorder="1" applyAlignment="1">
      <alignment horizontal="center" vertical="center"/>
    </xf>
    <xf numFmtId="0" fontId="43" fillId="0" borderId="72" xfId="143" applyFont="1" applyBorder="1" applyAlignment="1">
      <alignment horizontal="center" vertical="center" wrapText="1"/>
    </xf>
    <xf numFmtId="2" fontId="54" fillId="0" borderId="72" xfId="143" applyNumberFormat="1" applyFont="1" applyBorder="1" applyAlignment="1">
      <alignment horizontal="center" vertical="center" wrapText="1"/>
    </xf>
    <xf numFmtId="0" fontId="54" fillId="0" borderId="72" xfId="143" applyFont="1" applyBorder="1" applyAlignment="1">
      <alignment horizontal="center" vertical="center" wrapText="1"/>
    </xf>
    <xf numFmtId="0" fontId="43" fillId="0" borderId="0" xfId="143" applyFont="1" applyAlignment="1">
      <alignment horizontal="center" vertical="center"/>
    </xf>
    <xf numFmtId="0" fontId="55" fillId="0" borderId="0" xfId="143" applyFont="1" applyAlignment="1">
      <alignment horizontal="center"/>
    </xf>
    <xf numFmtId="0" fontId="43" fillId="0" borderId="0" xfId="143" applyFont="1" applyAlignment="1">
      <alignment horizontal="center"/>
    </xf>
    <xf numFmtId="1" fontId="1" fillId="0" borderId="0" xfId="143" applyNumberFormat="1" applyAlignment="1">
      <alignment horizontal="center"/>
    </xf>
    <xf numFmtId="2" fontId="53" fillId="0" borderId="0" xfId="143" applyNumberFormat="1" applyFont="1" applyAlignment="1">
      <alignment horizontal="center"/>
    </xf>
    <xf numFmtId="175" fontId="53" fillId="0" borderId="0" xfId="143" applyNumberFormat="1" applyFont="1" applyAlignment="1">
      <alignment horizontal="center"/>
    </xf>
    <xf numFmtId="0" fontId="1" fillId="0" borderId="0" xfId="143" applyAlignment="1">
      <alignment horizontal="center"/>
    </xf>
    <xf numFmtId="0" fontId="43" fillId="0" borderId="0" xfId="143" applyFont="1"/>
    <xf numFmtId="0" fontId="53" fillId="0" borderId="0" xfId="143" applyFont="1" applyAlignment="1">
      <alignment horizontal="center"/>
    </xf>
    <xf numFmtId="0" fontId="1" fillId="0" borderId="0" xfId="143"/>
  </cellXfs>
  <cellStyles count="144">
    <cellStyle name="Comma" xfId="1" builtinId="3"/>
    <cellStyle name="Comma 2" xfId="2" xr:uid="{00000000-0005-0000-0000-000001000000}"/>
    <cellStyle name="Comma 2 10" xfId="69" xr:uid="{00000000-0005-0000-0000-000002000000}"/>
    <cellStyle name="Comma 2 11" xfId="108" xr:uid="{00000000-0005-0000-0000-000003000000}"/>
    <cellStyle name="Comma 2 12" xfId="94" xr:uid="{00000000-0005-0000-0000-000004000000}"/>
    <cellStyle name="Comma 2 13" xfId="104" xr:uid="{00000000-0005-0000-0000-000005000000}"/>
    <cellStyle name="Comma 2 14" xfId="79" xr:uid="{00000000-0005-0000-0000-000006000000}"/>
    <cellStyle name="Comma 2 15" xfId="93" xr:uid="{00000000-0005-0000-0000-000007000000}"/>
    <cellStyle name="Comma 2 16" xfId="96" xr:uid="{00000000-0005-0000-0000-000008000000}"/>
    <cellStyle name="Comma 2 17" xfId="91" xr:uid="{00000000-0005-0000-0000-000009000000}"/>
    <cellStyle name="Comma 2 18" xfId="107" xr:uid="{00000000-0005-0000-0000-00000A000000}"/>
    <cellStyle name="Comma 2 2" xfId="13" xr:uid="{00000000-0005-0000-0000-00000B000000}"/>
    <cellStyle name="Comma 2 3" xfId="16" xr:uid="{00000000-0005-0000-0000-00000C000000}"/>
    <cellStyle name="Comma 2 4" xfId="23" xr:uid="{00000000-0005-0000-0000-00000D000000}"/>
    <cellStyle name="Comma 2 5" xfId="30" xr:uid="{00000000-0005-0000-0000-00000E000000}"/>
    <cellStyle name="Comma 2 6" xfId="37" xr:uid="{00000000-0005-0000-0000-00000F000000}"/>
    <cellStyle name="Comma 2 7" xfId="44" xr:uid="{00000000-0005-0000-0000-000010000000}"/>
    <cellStyle name="Comma 2 8" xfId="51" xr:uid="{00000000-0005-0000-0000-000011000000}"/>
    <cellStyle name="Comma 2 9" xfId="57" xr:uid="{00000000-0005-0000-0000-000012000000}"/>
    <cellStyle name="Comma 3" xfId="3" xr:uid="{00000000-0005-0000-0000-000013000000}"/>
    <cellStyle name="Comma 3 10" xfId="70" xr:uid="{00000000-0005-0000-0000-000014000000}"/>
    <cellStyle name="Comma 3 11" xfId="102" xr:uid="{00000000-0005-0000-0000-000015000000}"/>
    <cellStyle name="Comma 3 12" xfId="77" xr:uid="{00000000-0005-0000-0000-000016000000}"/>
    <cellStyle name="Comma 3 13" xfId="106" xr:uid="{00000000-0005-0000-0000-000017000000}"/>
    <cellStyle name="Comma 3 14" xfId="105" xr:uid="{00000000-0005-0000-0000-000018000000}"/>
    <cellStyle name="Comma 3 15" xfId="110" xr:uid="{00000000-0005-0000-0000-000019000000}"/>
    <cellStyle name="Comma 3 16" xfId="81" xr:uid="{00000000-0005-0000-0000-00001A000000}"/>
    <cellStyle name="Comma 3 17" xfId="82" xr:uid="{00000000-0005-0000-0000-00001B000000}"/>
    <cellStyle name="Comma 3 18" xfId="67" xr:uid="{00000000-0005-0000-0000-00001C000000}"/>
    <cellStyle name="Comma 3 2" xfId="14" xr:uid="{00000000-0005-0000-0000-00001D000000}"/>
    <cellStyle name="Comma 3 3" xfId="12" xr:uid="{00000000-0005-0000-0000-00001E000000}"/>
    <cellStyle name="Comma 3 4" xfId="11" xr:uid="{00000000-0005-0000-0000-00001F000000}"/>
    <cellStyle name="Comma 3 5" xfId="18" xr:uid="{00000000-0005-0000-0000-000020000000}"/>
    <cellStyle name="Comma 3 6" xfId="25" xr:uid="{00000000-0005-0000-0000-000021000000}"/>
    <cellStyle name="Comma 3 7" xfId="32" xr:uid="{00000000-0005-0000-0000-000022000000}"/>
    <cellStyle name="Comma 3 8" xfId="39" xr:uid="{00000000-0005-0000-0000-000023000000}"/>
    <cellStyle name="Comma 3 9" xfId="46" xr:uid="{00000000-0005-0000-0000-000024000000}"/>
    <cellStyle name="Comma 4" xfId="4" xr:uid="{00000000-0005-0000-0000-000025000000}"/>
    <cellStyle name="Comma 4 10" xfId="71" xr:uid="{00000000-0005-0000-0000-000026000000}"/>
    <cellStyle name="Comma 4 11" xfId="97" xr:uid="{00000000-0005-0000-0000-000027000000}"/>
    <cellStyle name="Comma 4 12" xfId="86" xr:uid="{00000000-0005-0000-0000-000028000000}"/>
    <cellStyle name="Comma 4 13" xfId="98" xr:uid="{00000000-0005-0000-0000-000029000000}"/>
    <cellStyle name="Comma 4 14" xfId="80" xr:uid="{00000000-0005-0000-0000-00002A000000}"/>
    <cellStyle name="Comma 4 15" xfId="87" xr:uid="{00000000-0005-0000-0000-00002B000000}"/>
    <cellStyle name="Comma 4 16" xfId="90" xr:uid="{00000000-0005-0000-0000-00002C000000}"/>
    <cellStyle name="Comma 4 17" xfId="112" xr:uid="{00000000-0005-0000-0000-00002D000000}"/>
    <cellStyle name="Comma 4 18" xfId="68" xr:uid="{00000000-0005-0000-0000-00002E000000}"/>
    <cellStyle name="Comma 4 2" xfId="15" xr:uid="{00000000-0005-0000-0000-00002F000000}"/>
    <cellStyle name="Comma 4 3" xfId="22" xr:uid="{00000000-0005-0000-0000-000030000000}"/>
    <cellStyle name="Comma 4 4" xfId="29" xr:uid="{00000000-0005-0000-0000-000031000000}"/>
    <cellStyle name="Comma 4 5" xfId="36" xr:uid="{00000000-0005-0000-0000-000032000000}"/>
    <cellStyle name="Comma 4 6" xfId="43" xr:uid="{00000000-0005-0000-0000-000033000000}"/>
    <cellStyle name="Comma 4 7" xfId="50" xr:uid="{00000000-0005-0000-0000-000034000000}"/>
    <cellStyle name="Comma 4 8" xfId="56" xr:uid="{00000000-0005-0000-0000-000035000000}"/>
    <cellStyle name="Comma 4 9" xfId="62" xr:uid="{00000000-0005-0000-0000-000036000000}"/>
    <cellStyle name="Comma 5" xfId="8" xr:uid="{00000000-0005-0000-0000-000037000000}"/>
    <cellStyle name="Comma 5 10" xfId="74" xr:uid="{00000000-0005-0000-0000-000038000000}"/>
    <cellStyle name="Comma 5 11" xfId="73" xr:uid="{00000000-0005-0000-0000-000039000000}"/>
    <cellStyle name="Comma 5 12" xfId="84" xr:uid="{00000000-0005-0000-0000-00003A000000}"/>
    <cellStyle name="Comma 5 13" xfId="109" xr:uid="{00000000-0005-0000-0000-00003B000000}"/>
    <cellStyle name="Comma 5 14" xfId="92" xr:uid="{00000000-0005-0000-0000-00003C000000}"/>
    <cellStyle name="Comma 5 15" xfId="101" xr:uid="{00000000-0005-0000-0000-00003D000000}"/>
    <cellStyle name="Comma 5 16" xfId="83" xr:uid="{00000000-0005-0000-0000-00003E000000}"/>
    <cellStyle name="Comma 5 17" xfId="115" xr:uid="{00000000-0005-0000-0000-00003F000000}"/>
    <cellStyle name="Comma 5 18" xfId="118" xr:uid="{00000000-0005-0000-0000-000040000000}"/>
    <cellStyle name="Comma 5 2" xfId="19" xr:uid="{00000000-0005-0000-0000-000041000000}"/>
    <cellStyle name="Comma 5 3" xfId="26" xr:uid="{00000000-0005-0000-0000-000042000000}"/>
    <cellStyle name="Comma 5 4" xfId="33" xr:uid="{00000000-0005-0000-0000-000043000000}"/>
    <cellStyle name="Comma 5 5" xfId="40" xr:uid="{00000000-0005-0000-0000-000044000000}"/>
    <cellStyle name="Comma 5 6" xfId="47" xr:uid="{00000000-0005-0000-0000-000045000000}"/>
    <cellStyle name="Comma 5 7" xfId="53" xr:uid="{00000000-0005-0000-0000-000046000000}"/>
    <cellStyle name="Comma 5 8" xfId="59" xr:uid="{00000000-0005-0000-0000-000047000000}"/>
    <cellStyle name="Comma 5 9" xfId="64" xr:uid="{00000000-0005-0000-0000-000048000000}"/>
    <cellStyle name="Comma 6" xfId="131" xr:uid="{00000000-0005-0000-0000-000049000000}"/>
    <cellStyle name="Comma 6 2" xfId="137" xr:uid="{00000000-0005-0000-0000-00004A000000}"/>
    <cellStyle name="Comma 6 2 2" xfId="142" xr:uid="{00000000-0005-0000-0000-00004B000000}"/>
    <cellStyle name="Comma 6 3" xfId="134" xr:uid="{00000000-0005-0000-0000-00004C000000}"/>
    <cellStyle name="Comma 6 4" xfId="139" xr:uid="{00000000-0005-0000-0000-00004D000000}"/>
    <cellStyle name="Hyperlink" xfId="5" builtinId="8"/>
    <cellStyle name="Hyperlink 2" xfId="10" xr:uid="{00000000-0005-0000-0000-00004F000000}"/>
    <cellStyle name="Hyperlink 2 10" xfId="76" xr:uid="{00000000-0005-0000-0000-000050000000}"/>
    <cellStyle name="Hyperlink 2 11" xfId="111" xr:uid="{00000000-0005-0000-0000-000051000000}"/>
    <cellStyle name="Hyperlink 2 12" xfId="78" xr:uid="{00000000-0005-0000-0000-000052000000}"/>
    <cellStyle name="Hyperlink 2 13" xfId="95" xr:uid="{00000000-0005-0000-0000-000053000000}"/>
    <cellStyle name="Hyperlink 2 14" xfId="99" xr:uid="{00000000-0005-0000-0000-000054000000}"/>
    <cellStyle name="Hyperlink 2 15" xfId="100" xr:uid="{00000000-0005-0000-0000-000055000000}"/>
    <cellStyle name="Hyperlink 2 16" xfId="88" xr:uid="{00000000-0005-0000-0000-000056000000}"/>
    <cellStyle name="Hyperlink 2 17" xfId="85" xr:uid="{00000000-0005-0000-0000-000057000000}"/>
    <cellStyle name="Hyperlink 2 18" xfId="103" xr:uid="{00000000-0005-0000-0000-000058000000}"/>
    <cellStyle name="Hyperlink 2 2" xfId="21" xr:uid="{00000000-0005-0000-0000-000059000000}"/>
    <cellStyle name="Hyperlink 2 3" xfId="28" xr:uid="{00000000-0005-0000-0000-00005A000000}"/>
    <cellStyle name="Hyperlink 2 4" xfId="35" xr:uid="{00000000-0005-0000-0000-00005B000000}"/>
    <cellStyle name="Hyperlink 2 5" xfId="42" xr:uid="{00000000-0005-0000-0000-00005C000000}"/>
    <cellStyle name="Hyperlink 2 6" xfId="49" xr:uid="{00000000-0005-0000-0000-00005D000000}"/>
    <cellStyle name="Hyperlink 2 7" xfId="55" xr:uid="{00000000-0005-0000-0000-00005E000000}"/>
    <cellStyle name="Hyperlink 2 8" xfId="61" xr:uid="{00000000-0005-0000-0000-00005F000000}"/>
    <cellStyle name="Hyperlink 2 9" xfId="66" xr:uid="{00000000-0005-0000-0000-000060000000}"/>
    <cellStyle name="Normal" xfId="0" builtinId="0"/>
    <cellStyle name="Normal 2" xfId="6" xr:uid="{00000000-0005-0000-0000-000062000000}"/>
    <cellStyle name="Normal 2 10" xfId="72" xr:uid="{00000000-0005-0000-0000-000063000000}"/>
    <cellStyle name="Normal 2 11" xfId="89" xr:uid="{00000000-0005-0000-0000-000064000000}"/>
    <cellStyle name="Normal 2 12" xfId="114" xr:uid="{00000000-0005-0000-0000-000065000000}"/>
    <cellStyle name="Normal 2 13" xfId="117" xr:uid="{00000000-0005-0000-0000-000066000000}"/>
    <cellStyle name="Normal 2 14" xfId="120" xr:uid="{00000000-0005-0000-0000-000067000000}"/>
    <cellStyle name="Normal 2 15" xfId="122" xr:uid="{00000000-0005-0000-0000-000068000000}"/>
    <cellStyle name="Normal 2 16" xfId="124" xr:uid="{00000000-0005-0000-0000-000069000000}"/>
    <cellStyle name="Normal 2 17" xfId="126" xr:uid="{00000000-0005-0000-0000-00006A000000}"/>
    <cellStyle name="Normal 2 18" xfId="128" xr:uid="{00000000-0005-0000-0000-00006B000000}"/>
    <cellStyle name="Normal 2 2" xfId="17" xr:uid="{00000000-0005-0000-0000-00006C000000}"/>
    <cellStyle name="Normal 2 3" xfId="24" xr:uid="{00000000-0005-0000-0000-00006D000000}"/>
    <cellStyle name="Normal 2 4" xfId="31" xr:uid="{00000000-0005-0000-0000-00006E000000}"/>
    <cellStyle name="Normal 2 5" xfId="38" xr:uid="{00000000-0005-0000-0000-00006F000000}"/>
    <cellStyle name="Normal 2 6" xfId="45" xr:uid="{00000000-0005-0000-0000-000070000000}"/>
    <cellStyle name="Normal 2 7" xfId="52" xr:uid="{00000000-0005-0000-0000-000071000000}"/>
    <cellStyle name="Normal 2 8" xfId="58" xr:uid="{00000000-0005-0000-0000-000072000000}"/>
    <cellStyle name="Normal 2 9" xfId="63" xr:uid="{00000000-0005-0000-0000-000073000000}"/>
    <cellStyle name="Normal 3" xfId="130" xr:uid="{00000000-0005-0000-0000-000074000000}"/>
    <cellStyle name="Normal 3 2" xfId="136" xr:uid="{00000000-0005-0000-0000-000075000000}"/>
    <cellStyle name="Normal 3 2 2" xfId="141" xr:uid="{00000000-0005-0000-0000-000076000000}"/>
    <cellStyle name="Normal 3 3" xfId="133" xr:uid="{00000000-0005-0000-0000-000077000000}"/>
    <cellStyle name="Normal 3 3 2" xfId="140" xr:uid="{00000000-0005-0000-0000-000078000000}"/>
    <cellStyle name="Normal 3 4" xfId="138" xr:uid="{00000000-0005-0000-0000-000079000000}"/>
    <cellStyle name="Normal 4" xfId="132" xr:uid="{00000000-0005-0000-0000-00007A000000}"/>
    <cellStyle name="Normal 5" xfId="143" xr:uid="{964708B9-E773-4134-BE6A-D281E83CF5A2}"/>
    <cellStyle name="Per cent" xfId="7" builtinId="5"/>
    <cellStyle name="Percent 2" xfId="9" xr:uid="{00000000-0005-0000-0000-00007C000000}"/>
    <cellStyle name="Percent 2 10" xfId="75" xr:uid="{00000000-0005-0000-0000-00007D000000}"/>
    <cellStyle name="Percent 2 11" xfId="113" xr:uid="{00000000-0005-0000-0000-00007E000000}"/>
    <cellStyle name="Percent 2 12" xfId="116" xr:uid="{00000000-0005-0000-0000-00007F000000}"/>
    <cellStyle name="Percent 2 13" xfId="119" xr:uid="{00000000-0005-0000-0000-000080000000}"/>
    <cellStyle name="Percent 2 14" xfId="121" xr:uid="{00000000-0005-0000-0000-000081000000}"/>
    <cellStyle name="Percent 2 15" xfId="123" xr:uid="{00000000-0005-0000-0000-000082000000}"/>
    <cellStyle name="Percent 2 16" xfId="125" xr:uid="{00000000-0005-0000-0000-000083000000}"/>
    <cellStyle name="Percent 2 17" xfId="127" xr:uid="{00000000-0005-0000-0000-000084000000}"/>
    <cellStyle name="Percent 2 18" xfId="129" xr:uid="{00000000-0005-0000-0000-000085000000}"/>
    <cellStyle name="Percent 2 2" xfId="20" xr:uid="{00000000-0005-0000-0000-000086000000}"/>
    <cellStyle name="Percent 2 3" xfId="27" xr:uid="{00000000-0005-0000-0000-000087000000}"/>
    <cellStyle name="Percent 2 4" xfId="34" xr:uid="{00000000-0005-0000-0000-000088000000}"/>
    <cellStyle name="Percent 2 5" xfId="41" xr:uid="{00000000-0005-0000-0000-000089000000}"/>
    <cellStyle name="Percent 2 6" xfId="48" xr:uid="{00000000-0005-0000-0000-00008A000000}"/>
    <cellStyle name="Percent 2 7" xfId="54" xr:uid="{00000000-0005-0000-0000-00008B000000}"/>
    <cellStyle name="Percent 2 8" xfId="60" xr:uid="{00000000-0005-0000-0000-00008C000000}"/>
    <cellStyle name="Percent 2 9" xfId="65" xr:uid="{00000000-0005-0000-0000-00008D000000}"/>
    <cellStyle name="Percent 3" xfId="135" xr:uid="{00000000-0005-0000-0000-00008E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17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4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9.xml"/><Relationship Id="rId19" Type="http://schemas.openxmlformats.org/officeDocument/2006/relationships/worksheet" Target="worksheets/sheet15.xml"/><Relationship Id="rId14" Type="http://schemas.openxmlformats.org/officeDocument/2006/relationships/chartsheet" Target="chartsheets/sheet2.xml"/><Relationship Id="rId22" Type="http://schemas.openxmlformats.org/officeDocument/2006/relationships/worksheet" Target="worksheets/sheet18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3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20" Type="http://schemas.openxmlformats.org/officeDocument/2006/relationships/worksheet" Target="worksheets/sheet16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hartsheet" Target="chartsheets/sheet3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38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50287799262455"/>
          <c:y val="5.8511758220390515E-2"/>
          <c:w val="0.65751290463692036"/>
          <c:h val="0.83301384740700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r>
                      <a:rPr lang="en-US" b="1"/>
                      <a:t>Actual</a:t>
                    </a:r>
                    <a:r>
                      <a:rPr lang="en-US"/>
                      <a:t> 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961-4E6D-BD01-789BDFB630A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Consumption'!$F$22</c:f>
              <c:numCache>
                <c:formatCode>_(* #,##0.00_);_(* \(#,##0.00\);_(* "-"??_);_(@_)</c:formatCode>
                <c:ptCount val="1"/>
                <c:pt idx="0">
                  <c:v>163.25769386627303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1-4E6D-BD01-789BDFB630AD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r>
                      <a:rPr lang="en-US" b="1"/>
                      <a:t>Budget 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961-4E6D-BD01-789BDFB630A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Consumption'!$G$22</c:f>
              <c:numCache>
                <c:formatCode>#,##0</c:formatCode>
                <c:ptCount val="1"/>
                <c:pt idx="0">
                  <c:v>208.96112489660874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1-4E6D-BD01-789BDFB630AD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FFFF00"/>
                        </a:solidFill>
                      </a:rPr>
                      <a:t>Forecast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961-4E6D-BD01-789BDFB630A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Consumption'!$J$22</c:f>
              <c:numCache>
                <c:formatCode>_(* #,##0.00_);_(* \(#,##0.00\);_(* "-"??_);_(@_)</c:formatCode>
                <c:ptCount val="1"/>
                <c:pt idx="0">
                  <c:v>195.25991189427313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61-4E6D-BD01-789BDFB6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162904"/>
        <c:axId val="136163296"/>
      </c:barChart>
      <c:catAx>
        <c:axId val="136162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163296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3616329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crossAx val="136162904"/>
        <c:crossesAt val="1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r"/>
      <c:layout>
        <c:manualLayout>
          <c:xMode val="edge"/>
          <c:yMode val="edge"/>
          <c:x val="0.81540555306237938"/>
          <c:y val="0.35264850810826309"/>
          <c:w val="0.15981444264502156"/>
          <c:h val="0.17330605885361156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23102842640508"/>
          <c:y val="3.734367050272562E-2"/>
          <c:w val="0.8018183625404971"/>
          <c:h val="0.85167518675550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93E-489F-BD46-103D026F5092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Consumption'!$F$10</c:f>
              <c:numCache>
                <c:formatCode>_(* #,##0_);_(* \(#,##0\);_(* "-"??_);_(@_)</c:formatCode>
                <c:ptCount val="1"/>
                <c:pt idx="0">
                  <c:v>103619.99999999418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E-489F-BD46-103D026F5092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93E-489F-BD46-103D026F5092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Consumption'!$G$10</c:f>
              <c:numCache>
                <c:formatCode>#,##0</c:formatCode>
                <c:ptCount val="1"/>
                <c:pt idx="0">
                  <c:v>132772.66666666666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3E-489F-BD46-103D026F5092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Forecast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93E-489F-BD46-103D026F50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Consumption'!$J$10</c:f>
              <c:numCache>
                <c:formatCode>_(* #,##0_);_(* \(#,##0\);_(* "-"_);_(@_)</c:formatCode>
                <c:ptCount val="1"/>
                <c:pt idx="0">
                  <c:v>197500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3E-489F-BD46-103D026F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164864"/>
        <c:axId val="140054424"/>
      </c:barChart>
      <c:catAx>
        <c:axId val="13616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0054424"/>
        <c:crosses val="autoZero"/>
        <c:auto val="1"/>
        <c:lblAlgn val="ctr"/>
        <c:lblOffset val="100"/>
        <c:noMultiLvlLbl val="0"/>
      </c:catAx>
      <c:valAx>
        <c:axId val="1400544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36164864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EDF-46B1-9596-BE1B6C260170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Consumption'!$F$21</c:f>
              <c:numCache>
                <c:formatCode>_(* #,##0_);_(* \(#,##0\);_(* "-"??_);_(@_)</c:formatCode>
                <c:ptCount val="1"/>
                <c:pt idx="0">
                  <c:v>223030.77619998873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F-46B1-9596-BE1B6C260170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EDF-46B1-9596-BE1B6C260170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Consumption'!$G$21</c:f>
              <c:numCache>
                <c:formatCode>#,##0</c:formatCode>
                <c:ptCount val="1"/>
                <c:pt idx="0">
                  <c:v>357219.04301075265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F-46B1-9596-BE1B6C260170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Forecast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EDF-46B1-9596-BE1B6C26017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Consumption'!$J$21</c:f>
              <c:numCache>
                <c:formatCode>_(* #,##0_);_(* \(#,##0\);_(* "-"??_);_(@_)</c:formatCode>
                <c:ptCount val="1"/>
                <c:pt idx="0">
                  <c:v>421078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F-46B1-9596-BE1B6C26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279336"/>
        <c:axId val="542278944"/>
      </c:barChart>
      <c:catAx>
        <c:axId val="542279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2278944"/>
        <c:crosses val="autoZero"/>
        <c:auto val="1"/>
        <c:lblAlgn val="ctr"/>
        <c:lblOffset val="100"/>
        <c:noMultiLvlLbl val="0"/>
      </c:catAx>
      <c:valAx>
        <c:axId val="542278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42279336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8695816317207"/>
          <c:y val="5.1539958372887586E-2"/>
          <c:w val="0.85202650636887223"/>
          <c:h val="0.846033335892972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Consumption'!$F$21</c:f>
              <c:strCache>
                <c:ptCount val="1"/>
                <c:pt idx="0">
                  <c:v> 223,031 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E37-486E-B659-D739BF06985A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Consumption'!$F$14</c:f>
              <c:numCache>
                <c:formatCode>_(* #,##0_);_(* \(#,##0\);_(* "-"??_);_(@_)</c:formatCode>
                <c:ptCount val="1"/>
                <c:pt idx="0">
                  <c:v>830.904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7-486E-B659-D739BF06985A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1.9400128621758463E-17"/>
                </c:manualLayout>
              </c:layout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37-486E-B659-D739BF06985A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Consumption'!$G$14</c:f>
              <c:numCache>
                <c:formatCode>#,##0</c:formatCode>
                <c:ptCount val="1"/>
                <c:pt idx="0">
                  <c:v>812.5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37-486E-B659-D739BF06985A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Forecast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E37-486E-B659-D739BF0698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Consumption'!$J$14</c:f>
              <c:numCache>
                <c:formatCode>_(* #,##0_);_(* \(#,##0\);_(* "-"??_);_(@_)</c:formatCode>
                <c:ptCount val="1"/>
                <c:pt idx="0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37-486E-B659-D739BF06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281296"/>
        <c:axId val="542278552"/>
      </c:barChart>
      <c:catAx>
        <c:axId val="542281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2278552"/>
        <c:crosses val="autoZero"/>
        <c:auto val="1"/>
        <c:lblAlgn val="ctr"/>
        <c:lblOffset val="100"/>
        <c:noMultiLvlLbl val="0"/>
      </c:catAx>
      <c:valAx>
        <c:axId val="5422785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42281296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Electricity Cosumption </a:t>
            </a:r>
            <a:r>
              <a:rPr lang="en-US" sz="1200" b="1" i="0" u="none" strike="noStrike" baseline="0">
                <a:effectLst/>
              </a:rPr>
              <a:t>March</a:t>
            </a:r>
            <a:r>
              <a:rPr lang="en-US"/>
              <a:t> 2021</a:t>
            </a:r>
          </a:p>
        </c:rich>
      </c:tx>
      <c:layout>
        <c:manualLayout>
          <c:xMode val="edge"/>
          <c:yMode val="edge"/>
          <c:x val="0.36608066184108279"/>
          <c:y val="2.0338983050847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71354705274265E-2"/>
          <c:y val="8.9830508474576728E-2"/>
          <c:w val="0.83143743536711479"/>
          <c:h val="0.76949152542375165"/>
        </c:manualLayout>
      </c:layout>
      <c:barChart>
        <c:barDir val="col"/>
        <c:grouping val="clustered"/>
        <c:varyColors val="0"/>
        <c:ser>
          <c:idx val="0"/>
          <c:order val="0"/>
          <c:tx>
            <c:v>This Year KWH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'Reading.4.25'!$AE$6:$AE$35</c:f>
              <c:numCache>
                <c:formatCode>_(* #,##0_);_(* \(#,##0\);_(* "-"??_);_(@_)</c:formatCode>
                <c:ptCount val="30"/>
                <c:pt idx="0">
                  <c:v>34859.999999984866</c:v>
                </c:pt>
                <c:pt idx="1">
                  <c:v>33760.000000009313</c:v>
                </c:pt>
                <c:pt idx="2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634-B2A4-EC46BD3793D6}"/>
            </c:ext>
          </c:extLst>
        </c:ser>
        <c:ser>
          <c:idx val="2"/>
          <c:order val="1"/>
          <c:tx>
            <c:v>Last Year KWH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'Reading.4.25'!$AF$6:$AF$35</c:f>
              <c:numCache>
                <c:formatCode>_(* #,##0_);_(* \(#,##0\);_(* "-"??_);_(@_)</c:formatCode>
                <c:ptCount val="30"/>
                <c:pt idx="0">
                  <c:v>27720.000000001164</c:v>
                </c:pt>
                <c:pt idx="1">
                  <c:v>28599.999999976717</c:v>
                </c:pt>
                <c:pt idx="2">
                  <c:v>29160.000000003492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8-4634-B2A4-EC46BD3793D6}"/>
            </c:ext>
          </c:extLst>
        </c:ser>
        <c:ser>
          <c:idx val="1"/>
          <c:order val="5"/>
          <c:tx>
            <c:v>Budget KWH</c:v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'Reading.4.25'!$AG$6:$AG$35</c:f>
              <c:numCache>
                <c:formatCode>_(* #,##0_);_(* \(#,##0\);_(* "-"??_);_(@_)</c:formatCode>
                <c:ptCount val="30"/>
                <c:pt idx="0">
                  <c:v>26554.533333333333</c:v>
                </c:pt>
                <c:pt idx="1">
                  <c:v>26554.533333333333</c:v>
                </c:pt>
                <c:pt idx="2">
                  <c:v>26554.533333333333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280512"/>
        <c:axId val="542277768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8-4634-B2A4-EC46BD3793D6}"/>
            </c:ext>
          </c:extLst>
        </c:ser>
        <c:ser>
          <c:idx val="4"/>
          <c:order val="3"/>
          <c:tx>
            <c:v>Occ. Last Year</c:v>
          </c:tx>
          <c:spPr>
            <a:ln w="25400">
              <a:solidFill>
                <a:srgbClr val="FFCC99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'Reading.4.25'!$AJ$6:$AJ$35</c:f>
              <c:numCache>
                <c:formatCode>0%</c:formatCode>
                <c:ptCount val="30"/>
                <c:pt idx="0">
                  <c:v>0.52090000000000003</c:v>
                </c:pt>
                <c:pt idx="1">
                  <c:v>0.4924</c:v>
                </c:pt>
                <c:pt idx="2">
                  <c:v>0.49430000000000002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8-4634-B2A4-EC46BD3793D6}"/>
            </c:ext>
          </c:extLst>
        </c:ser>
        <c:ser>
          <c:idx val="6"/>
          <c:order val="4"/>
          <c:tx>
            <c:v>Occ. Budget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'Reading.4.25'!$AK$6:$AK$35</c:f>
              <c:numCache>
                <c:formatCode>0%</c:formatCode>
                <c:ptCount val="30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278160"/>
        <c:axId val="135963056"/>
      </c:lineChart>
      <c:dateAx>
        <c:axId val="54228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31230610137838"/>
              <c:y val="0.9118644067796609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277768"/>
        <c:crosses val="autoZero"/>
        <c:auto val="1"/>
        <c:lblOffset val="100"/>
        <c:baseTimeUnit val="days"/>
        <c:majorUnit val="1"/>
        <c:minorUnit val="1"/>
      </c:dateAx>
      <c:valAx>
        <c:axId val="542277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4.8603929679420892E-2"/>
              <c:y val="2.8813559322033888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280512"/>
        <c:crosses val="autoZero"/>
        <c:crossBetween val="between"/>
      </c:valAx>
      <c:dateAx>
        <c:axId val="5422781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5963056"/>
        <c:crosses val="autoZero"/>
        <c:auto val="1"/>
        <c:lblOffset val="100"/>
        <c:baseTimeUnit val="days"/>
      </c:dateAx>
      <c:valAx>
        <c:axId val="135963056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6514994829357"/>
              <c:y val="2.203389830508501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278160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2316442605998"/>
          <c:y val="0.95423728813559361"/>
          <c:w val="0.7569803516029"/>
          <c:h val="4.0677966101694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Boiler Gas Consumption </a:t>
            </a:r>
            <a:r>
              <a:rPr lang="en-US" sz="1200" b="1" i="0" u="none" strike="noStrike" baseline="0">
                <a:effectLst/>
              </a:rPr>
              <a:t>March</a:t>
            </a:r>
            <a:r>
              <a:rPr lang="en-US"/>
              <a:t> 2021</a:t>
            </a:r>
          </a:p>
        </c:rich>
      </c:tx>
      <c:layout>
        <c:manualLayout>
          <c:xMode val="edge"/>
          <c:yMode val="edge"/>
          <c:x val="0.34258111804401331"/>
          <c:y val="2.392674218807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39622641509524E-2"/>
          <c:y val="0.12234910277324652"/>
          <c:w val="0.86903440621536165"/>
          <c:h val="0.72593800978792256"/>
        </c:manualLayout>
      </c:layout>
      <c:barChart>
        <c:barDir val="col"/>
        <c:grouping val="clustered"/>
        <c:varyColors val="0"/>
        <c:ser>
          <c:idx val="1"/>
          <c:order val="0"/>
          <c:tx>
            <c:v>This Year Consumption</c:v>
          </c:tx>
          <c:spPr>
            <a:solidFill>
              <a:srgbClr val="E7E2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'Reading.4.25'!$O$6:$O$35</c:f>
              <c:numCache>
                <c:formatCode>_(* #,##0_);_(* \(#,##0\);_(* "-"??_);_(@_)</c:formatCode>
                <c:ptCount val="30"/>
                <c:pt idx="0">
                  <c:v>599.30000000000007</c:v>
                </c:pt>
                <c:pt idx="1">
                  <c:v>659.23</c:v>
                </c:pt>
                <c:pt idx="2">
                  <c:v>742.21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35961880"/>
        <c:axId val="135962272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>
              <a:solidFill>
                <a:srgbClr val="000080"/>
              </a:solidFill>
              <a:prstDash val="solid"/>
            </a:ln>
          </c:spP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63448"/>
        <c:axId val="135962664"/>
      </c:lineChart>
      <c:dateAx>
        <c:axId val="135961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51276362169650835"/>
              <c:y val="0.89885807504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962272"/>
        <c:crosses val="autoZero"/>
        <c:auto val="1"/>
        <c:lblOffset val="100"/>
        <c:baseTimeUnit val="days"/>
        <c:majorUnit val="1"/>
        <c:minorUnit val="1"/>
      </c:dateAx>
      <c:valAx>
        <c:axId val="135962272"/>
        <c:scaling>
          <c:orientation val="minMax"/>
          <c:max val="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307437349841278E-2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961880"/>
        <c:crosses val="autoZero"/>
        <c:crossBetween val="between"/>
      </c:valAx>
      <c:valAx>
        <c:axId val="1359626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5963448"/>
        <c:crosses val="max"/>
        <c:crossBetween val="between"/>
      </c:valAx>
      <c:dateAx>
        <c:axId val="1359634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5962664"/>
        <c:crosses val="autoZero"/>
        <c:auto val="1"/>
        <c:lblOffset val="100"/>
        <c:baseTimeUnit val="days"/>
      </c:date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095449204706873"/>
          <c:y val="0.95432300163132133"/>
          <c:w val="0.23751386867287491"/>
          <c:h val="3.9151712887438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Kitchen Gas Consumption </a:t>
            </a:r>
            <a:r>
              <a:rPr lang="en-US" sz="1200" b="1" i="0" u="none" strike="noStrike" baseline="0">
                <a:effectLst/>
              </a:rPr>
              <a:t>March</a:t>
            </a:r>
            <a:r>
              <a:rPr lang="en-US"/>
              <a:t> 2021</a:t>
            </a:r>
          </a:p>
        </c:rich>
      </c:tx>
      <c:layout>
        <c:manualLayout>
          <c:xMode val="edge"/>
          <c:yMode val="edge"/>
          <c:x val="0.34073256989869588"/>
          <c:y val="2.61011419249614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130965593785243E-2"/>
          <c:y val="0.12234910277324652"/>
          <c:w val="0.8479467258601554"/>
          <c:h val="0.72593800978792256"/>
        </c:manualLayout>
      </c:layout>
      <c:barChart>
        <c:barDir val="col"/>
        <c:grouping val="clustered"/>
        <c:varyColors val="0"/>
        <c:ser>
          <c:idx val="1"/>
          <c:order val="0"/>
          <c:tx>
            <c:v>Kitchen Gas Consumption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'Reading.4.25'!$K$6:$K$35</c:f>
              <c:numCache>
                <c:formatCode>_(* #,##0_);_(* \(#,##0\);_(* "-"??_);_(@_)</c:formatCode>
                <c:ptCount val="30"/>
                <c:pt idx="0">
                  <c:v>275.41200000000003</c:v>
                </c:pt>
                <c:pt idx="1">
                  <c:v>266.07600000000002</c:v>
                </c:pt>
                <c:pt idx="2">
                  <c:v>289.416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60704"/>
        <c:axId val="135961096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744488"/>
        <c:axId val="403742920"/>
      </c:lineChart>
      <c:catAx>
        <c:axId val="13596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056602891231038"/>
              <c:y val="0.89885807504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9610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35961096"/>
        <c:scaling>
          <c:orientation val="minMax"/>
          <c:max val="4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307437349841278E-2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960704"/>
        <c:crosses val="autoZero"/>
        <c:crossBetween val="between"/>
      </c:valAx>
      <c:catAx>
        <c:axId val="4037444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03742920"/>
        <c:crosses val="autoZero"/>
        <c:auto val="0"/>
        <c:lblAlgn val="ctr"/>
        <c:lblOffset val="100"/>
        <c:noMultiLvlLbl val="0"/>
      </c:catAx>
      <c:valAx>
        <c:axId val="403742920"/>
        <c:scaling>
          <c:orientation val="minMax"/>
          <c:min val="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897889155863965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74448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5627086146532388"/>
          <c:y val="0.95432300163132133"/>
          <c:w val="0.30077687950502136"/>
          <c:h val="3.9151712887438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Water Consumption</a:t>
            </a:r>
            <a:r>
              <a:rPr lang="en-US" baseline="0"/>
              <a:t> </a:t>
            </a:r>
            <a:r>
              <a:rPr lang="en-US" sz="1200" b="1" i="0" u="none" strike="noStrike" baseline="0">
                <a:effectLst/>
              </a:rPr>
              <a:t>March</a:t>
            </a:r>
            <a:r>
              <a:rPr lang="en-US" baseline="0"/>
              <a:t> 2021</a:t>
            </a:r>
            <a:endParaRPr lang="en-US"/>
          </a:p>
        </c:rich>
      </c:tx>
      <c:layout>
        <c:manualLayout>
          <c:xMode val="edge"/>
          <c:yMode val="edge"/>
          <c:x val="0.36847950242299898"/>
          <c:y val="1.95758564437204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42064372918979E-2"/>
          <c:y val="0.12234910277324652"/>
          <c:w val="0.85682574916760001"/>
          <c:h val="0.72593800978792256"/>
        </c:manualLayout>
      </c:layout>
      <c:barChart>
        <c:barDir val="col"/>
        <c:grouping val="clustered"/>
        <c:varyColors val="0"/>
        <c:ser>
          <c:idx val="1"/>
          <c:order val="0"/>
          <c:tx>
            <c:v>Water Consumption</c:v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'Reading.4.25'!$G$6:$G$35</c:f>
              <c:numCache>
                <c:formatCode>General</c:formatCode>
                <c:ptCount val="30"/>
                <c:pt idx="0">
                  <c:v>777</c:v>
                </c:pt>
                <c:pt idx="1">
                  <c:v>754</c:v>
                </c:pt>
                <c:pt idx="2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745664"/>
        <c:axId val="403746056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>
              <a:solidFill>
                <a:srgbClr val="003366"/>
              </a:solidFill>
              <a:prstDash val="solid"/>
            </a:ln>
          </c:spPr>
          <c:marker>
            <c:symbol val="none"/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745272"/>
        <c:axId val="403742528"/>
      </c:lineChart>
      <c:catAx>
        <c:axId val="40374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8501668917249691"/>
              <c:y val="0.89885807504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7460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03746056"/>
        <c:scaling>
          <c:orientation val="minMax"/>
          <c:max val="85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2197592784198191E-2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745664"/>
        <c:crosses val="autoZero"/>
        <c:crossBetween val="between"/>
      </c:valAx>
      <c:catAx>
        <c:axId val="4037452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03742528"/>
        <c:crosses val="autoZero"/>
        <c:auto val="0"/>
        <c:lblAlgn val="ctr"/>
        <c:lblOffset val="100"/>
        <c:noMultiLvlLbl val="0"/>
      </c:catAx>
      <c:valAx>
        <c:axId val="40374252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786904699273397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745272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7624864820627935"/>
          <c:y val="0.9559543230016313"/>
          <c:w val="0.25971146145707291"/>
          <c:h val="3.9151712887438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'[2]Reading.10.20'!$ED$4:$ED$34</c:f>
              <c:numCache>
                <c:formatCode>General</c:formatCode>
                <c:ptCount val="31"/>
                <c:pt idx="0">
                  <c:v>35</c:v>
                </c:pt>
                <c:pt idx="1">
                  <c:v>42</c:v>
                </c:pt>
                <c:pt idx="2">
                  <c:v>38</c:v>
                </c:pt>
                <c:pt idx="3">
                  <c:v>39</c:v>
                </c:pt>
                <c:pt idx="4">
                  <c:v>38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38</c:v>
                </c:pt>
                <c:pt idx="9">
                  <c:v>41</c:v>
                </c:pt>
                <c:pt idx="10">
                  <c:v>36</c:v>
                </c:pt>
                <c:pt idx="11">
                  <c:v>38</c:v>
                </c:pt>
                <c:pt idx="12">
                  <c:v>35</c:v>
                </c:pt>
                <c:pt idx="13">
                  <c:v>40</c:v>
                </c:pt>
                <c:pt idx="14">
                  <c:v>43</c:v>
                </c:pt>
                <c:pt idx="15">
                  <c:v>42</c:v>
                </c:pt>
                <c:pt idx="16">
                  <c:v>36</c:v>
                </c:pt>
                <c:pt idx="17">
                  <c:v>37</c:v>
                </c:pt>
                <c:pt idx="18">
                  <c:v>52</c:v>
                </c:pt>
                <c:pt idx="19">
                  <c:v>40</c:v>
                </c:pt>
                <c:pt idx="20">
                  <c:v>43</c:v>
                </c:pt>
                <c:pt idx="21">
                  <c:v>34</c:v>
                </c:pt>
                <c:pt idx="22">
                  <c:v>35</c:v>
                </c:pt>
                <c:pt idx="23">
                  <c:v>28</c:v>
                </c:pt>
                <c:pt idx="24">
                  <c:v>37</c:v>
                </c:pt>
                <c:pt idx="25">
                  <c:v>37</c:v>
                </c:pt>
                <c:pt idx="26">
                  <c:v>36</c:v>
                </c:pt>
                <c:pt idx="27">
                  <c:v>36</c:v>
                </c:pt>
                <c:pt idx="28">
                  <c:v>31</c:v>
                </c:pt>
                <c:pt idx="29">
                  <c:v>31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A-4963-AC35-A755FCDD7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744096"/>
        <c:axId val="403744880"/>
      </c:barChart>
      <c:catAx>
        <c:axId val="4037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44880"/>
        <c:crosses val="autoZero"/>
        <c:auto val="1"/>
        <c:lblAlgn val="ctr"/>
        <c:lblOffset val="100"/>
        <c:noMultiLvlLbl val="0"/>
      </c:catAx>
      <c:valAx>
        <c:axId val="4037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'[3]Reading.11.20'!$ED$4:$ED$34</c:f>
              <c:numCache>
                <c:formatCode>General</c:formatCode>
                <c:ptCount val="31"/>
                <c:pt idx="0">
                  <c:v>35</c:v>
                </c:pt>
                <c:pt idx="1">
                  <c:v>40</c:v>
                </c:pt>
                <c:pt idx="2">
                  <c:v>32</c:v>
                </c:pt>
                <c:pt idx="3">
                  <c:v>40</c:v>
                </c:pt>
                <c:pt idx="4">
                  <c:v>38</c:v>
                </c:pt>
                <c:pt idx="5">
                  <c:v>29</c:v>
                </c:pt>
                <c:pt idx="6">
                  <c:v>35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35</c:v>
                </c:pt>
                <c:pt idx="12">
                  <c:v>29</c:v>
                </c:pt>
                <c:pt idx="13">
                  <c:v>32</c:v>
                </c:pt>
                <c:pt idx="14">
                  <c:v>33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38</c:v>
                </c:pt>
                <c:pt idx="19">
                  <c:v>34</c:v>
                </c:pt>
                <c:pt idx="20">
                  <c:v>31</c:v>
                </c:pt>
                <c:pt idx="21">
                  <c:v>33</c:v>
                </c:pt>
                <c:pt idx="22">
                  <c:v>30</c:v>
                </c:pt>
                <c:pt idx="23">
                  <c:v>31</c:v>
                </c:pt>
                <c:pt idx="24">
                  <c:v>34</c:v>
                </c:pt>
                <c:pt idx="25">
                  <c:v>32</c:v>
                </c:pt>
                <c:pt idx="26">
                  <c:v>30</c:v>
                </c:pt>
                <c:pt idx="27">
                  <c:v>26</c:v>
                </c:pt>
                <c:pt idx="28">
                  <c:v>31</c:v>
                </c:pt>
                <c:pt idx="2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5-4C05-ADE0-99A6C357F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41696"/>
        <c:axId val="401342088"/>
      </c:barChart>
      <c:catAx>
        <c:axId val="40134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2088"/>
        <c:crosses val="autoZero"/>
        <c:auto val="1"/>
        <c:lblAlgn val="ctr"/>
        <c:lblOffset val="100"/>
        <c:noMultiLvlLbl val="0"/>
      </c:catAx>
      <c:valAx>
        <c:axId val="40134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'[4]Reading.12.20'!$ED$4:$ED$34</c:f>
              <c:numCache>
                <c:formatCode>General</c:formatCode>
                <c:ptCount val="31"/>
                <c:pt idx="0">
                  <c:v>31</c:v>
                </c:pt>
                <c:pt idx="1">
                  <c:v>37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20</c:v>
                </c:pt>
                <c:pt idx="9">
                  <c:v>31</c:v>
                </c:pt>
                <c:pt idx="10">
                  <c:v>42</c:v>
                </c:pt>
                <c:pt idx="11">
                  <c:v>33</c:v>
                </c:pt>
                <c:pt idx="12">
                  <c:v>36</c:v>
                </c:pt>
                <c:pt idx="13">
                  <c:v>33</c:v>
                </c:pt>
                <c:pt idx="14">
                  <c:v>32</c:v>
                </c:pt>
                <c:pt idx="15">
                  <c:v>36</c:v>
                </c:pt>
                <c:pt idx="16">
                  <c:v>34</c:v>
                </c:pt>
                <c:pt idx="17">
                  <c:v>30</c:v>
                </c:pt>
                <c:pt idx="18">
                  <c:v>35</c:v>
                </c:pt>
                <c:pt idx="19">
                  <c:v>39</c:v>
                </c:pt>
                <c:pt idx="20">
                  <c:v>29</c:v>
                </c:pt>
                <c:pt idx="21">
                  <c:v>31</c:v>
                </c:pt>
                <c:pt idx="22">
                  <c:v>36</c:v>
                </c:pt>
                <c:pt idx="23">
                  <c:v>30</c:v>
                </c:pt>
                <c:pt idx="24">
                  <c:v>38</c:v>
                </c:pt>
                <c:pt idx="25">
                  <c:v>50</c:v>
                </c:pt>
                <c:pt idx="26">
                  <c:v>52</c:v>
                </c:pt>
                <c:pt idx="27">
                  <c:v>55</c:v>
                </c:pt>
                <c:pt idx="28">
                  <c:v>52</c:v>
                </c:pt>
                <c:pt idx="29">
                  <c:v>63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F-4C0C-BEE1-E9B0099F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40128"/>
        <c:axId val="401342480"/>
      </c:barChart>
      <c:catAx>
        <c:axId val="40134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2480"/>
        <c:crosses val="autoZero"/>
        <c:auto val="1"/>
        <c:lblAlgn val="ctr"/>
        <c:lblOffset val="100"/>
        <c:noMultiLvlLbl val="0"/>
      </c:catAx>
      <c:valAx>
        <c:axId val="4013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'[5]Reading.01.21'!$ED$4:$ED$34</c:f>
              <c:numCache>
                <c:formatCode>General</c:formatCode>
                <c:ptCount val="31"/>
                <c:pt idx="0">
                  <c:v>49</c:v>
                </c:pt>
                <c:pt idx="1">
                  <c:v>54</c:v>
                </c:pt>
                <c:pt idx="2">
                  <c:v>52</c:v>
                </c:pt>
                <c:pt idx="3">
                  <c:v>60</c:v>
                </c:pt>
                <c:pt idx="4">
                  <c:v>46</c:v>
                </c:pt>
                <c:pt idx="5">
                  <c:v>45</c:v>
                </c:pt>
                <c:pt idx="6">
                  <c:v>30</c:v>
                </c:pt>
                <c:pt idx="7">
                  <c:v>36</c:v>
                </c:pt>
                <c:pt idx="8">
                  <c:v>39</c:v>
                </c:pt>
                <c:pt idx="9">
                  <c:v>34</c:v>
                </c:pt>
                <c:pt idx="10">
                  <c:v>39</c:v>
                </c:pt>
                <c:pt idx="11">
                  <c:v>29</c:v>
                </c:pt>
                <c:pt idx="12">
                  <c:v>43</c:v>
                </c:pt>
                <c:pt idx="13">
                  <c:v>36</c:v>
                </c:pt>
                <c:pt idx="14">
                  <c:v>39</c:v>
                </c:pt>
                <c:pt idx="15">
                  <c:v>39</c:v>
                </c:pt>
                <c:pt idx="16">
                  <c:v>43</c:v>
                </c:pt>
                <c:pt idx="17">
                  <c:v>31</c:v>
                </c:pt>
                <c:pt idx="18">
                  <c:v>31</c:v>
                </c:pt>
                <c:pt idx="19">
                  <c:v>54</c:v>
                </c:pt>
                <c:pt idx="20">
                  <c:v>39</c:v>
                </c:pt>
                <c:pt idx="21">
                  <c:v>31</c:v>
                </c:pt>
                <c:pt idx="22">
                  <c:v>41</c:v>
                </c:pt>
                <c:pt idx="23">
                  <c:v>39</c:v>
                </c:pt>
                <c:pt idx="24">
                  <c:v>41</c:v>
                </c:pt>
                <c:pt idx="25">
                  <c:v>37</c:v>
                </c:pt>
                <c:pt idx="26">
                  <c:v>45</c:v>
                </c:pt>
                <c:pt idx="27">
                  <c:v>41</c:v>
                </c:pt>
                <c:pt idx="28">
                  <c:v>44</c:v>
                </c:pt>
                <c:pt idx="29">
                  <c:v>39</c:v>
                </c:pt>
                <c:pt idx="3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5-48FD-8AED-E6D9A42F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38952"/>
        <c:axId val="401340912"/>
      </c:barChart>
      <c:catAx>
        <c:axId val="40133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0912"/>
        <c:crosses val="autoZero"/>
        <c:auto val="1"/>
        <c:lblAlgn val="ctr"/>
        <c:lblOffset val="100"/>
        <c:noMultiLvlLbl val="0"/>
      </c:catAx>
      <c:valAx>
        <c:axId val="4013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3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'[6]Reading.02.21'!$ED$4:$ED$34</c:f>
              <c:numCache>
                <c:formatCode>General</c:formatCode>
                <c:ptCount val="31"/>
                <c:pt idx="0">
                  <c:v>39</c:v>
                </c:pt>
                <c:pt idx="1">
                  <c:v>41</c:v>
                </c:pt>
                <c:pt idx="2">
                  <c:v>45</c:v>
                </c:pt>
                <c:pt idx="3">
                  <c:v>42</c:v>
                </c:pt>
                <c:pt idx="4">
                  <c:v>34</c:v>
                </c:pt>
                <c:pt idx="5">
                  <c:v>40</c:v>
                </c:pt>
                <c:pt idx="6">
                  <c:v>28</c:v>
                </c:pt>
                <c:pt idx="7">
                  <c:v>39</c:v>
                </c:pt>
                <c:pt idx="8">
                  <c:v>32</c:v>
                </c:pt>
                <c:pt idx="9">
                  <c:v>38</c:v>
                </c:pt>
                <c:pt idx="10">
                  <c:v>35</c:v>
                </c:pt>
                <c:pt idx="11">
                  <c:v>31</c:v>
                </c:pt>
                <c:pt idx="12">
                  <c:v>35</c:v>
                </c:pt>
                <c:pt idx="13">
                  <c:v>36</c:v>
                </c:pt>
                <c:pt idx="14">
                  <c:v>34</c:v>
                </c:pt>
                <c:pt idx="15">
                  <c:v>40</c:v>
                </c:pt>
                <c:pt idx="16">
                  <c:v>44</c:v>
                </c:pt>
                <c:pt idx="17">
                  <c:v>32</c:v>
                </c:pt>
                <c:pt idx="18">
                  <c:v>30</c:v>
                </c:pt>
                <c:pt idx="19">
                  <c:v>36</c:v>
                </c:pt>
                <c:pt idx="20">
                  <c:v>39</c:v>
                </c:pt>
                <c:pt idx="21">
                  <c:v>37</c:v>
                </c:pt>
                <c:pt idx="22">
                  <c:v>37</c:v>
                </c:pt>
                <c:pt idx="23">
                  <c:v>47</c:v>
                </c:pt>
                <c:pt idx="24">
                  <c:v>47</c:v>
                </c:pt>
                <c:pt idx="25">
                  <c:v>17</c:v>
                </c:pt>
                <c:pt idx="26">
                  <c:v>34</c:v>
                </c:pt>
                <c:pt idx="2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E-49F0-B3EB-B0532F26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076536"/>
        <c:axId val="533079672"/>
      </c:barChart>
      <c:catAx>
        <c:axId val="53307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9672"/>
        <c:crosses val="autoZero"/>
        <c:auto val="1"/>
        <c:lblAlgn val="ctr"/>
        <c:lblOffset val="100"/>
        <c:noMultiLvlLbl val="0"/>
      </c:catAx>
      <c:valAx>
        <c:axId val="53307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'[7]Reading.03.21'!$ED$4:$ED$34</c:f>
              <c:numCache>
                <c:formatCode>General</c:formatCode>
                <c:ptCount val="31"/>
                <c:pt idx="0">
                  <c:v>36</c:v>
                </c:pt>
                <c:pt idx="1">
                  <c:v>37</c:v>
                </c:pt>
                <c:pt idx="2">
                  <c:v>43</c:v>
                </c:pt>
                <c:pt idx="3">
                  <c:v>36</c:v>
                </c:pt>
                <c:pt idx="4">
                  <c:v>39</c:v>
                </c:pt>
                <c:pt idx="5">
                  <c:v>38</c:v>
                </c:pt>
                <c:pt idx="6">
                  <c:v>31</c:v>
                </c:pt>
                <c:pt idx="7">
                  <c:v>37</c:v>
                </c:pt>
                <c:pt idx="8">
                  <c:v>36</c:v>
                </c:pt>
                <c:pt idx="9">
                  <c:v>41</c:v>
                </c:pt>
                <c:pt idx="10">
                  <c:v>34</c:v>
                </c:pt>
                <c:pt idx="11">
                  <c:v>39</c:v>
                </c:pt>
                <c:pt idx="12">
                  <c:v>40</c:v>
                </c:pt>
                <c:pt idx="13">
                  <c:v>38</c:v>
                </c:pt>
                <c:pt idx="14">
                  <c:v>34</c:v>
                </c:pt>
                <c:pt idx="15">
                  <c:v>37</c:v>
                </c:pt>
                <c:pt idx="16">
                  <c:v>44</c:v>
                </c:pt>
                <c:pt idx="17">
                  <c:v>35</c:v>
                </c:pt>
                <c:pt idx="18">
                  <c:v>42</c:v>
                </c:pt>
                <c:pt idx="19">
                  <c:v>39</c:v>
                </c:pt>
                <c:pt idx="20">
                  <c:v>35</c:v>
                </c:pt>
                <c:pt idx="21">
                  <c:v>30</c:v>
                </c:pt>
                <c:pt idx="22">
                  <c:v>35</c:v>
                </c:pt>
                <c:pt idx="23">
                  <c:v>42</c:v>
                </c:pt>
                <c:pt idx="24">
                  <c:v>40</c:v>
                </c:pt>
                <c:pt idx="25">
                  <c:v>39</c:v>
                </c:pt>
                <c:pt idx="26">
                  <c:v>41</c:v>
                </c:pt>
                <c:pt idx="27">
                  <c:v>41</c:v>
                </c:pt>
                <c:pt idx="28">
                  <c:v>40</c:v>
                </c:pt>
                <c:pt idx="29">
                  <c:v>33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8-4441-966F-474B12BA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078888"/>
        <c:axId val="533078496"/>
      </c:barChart>
      <c:catAx>
        <c:axId val="53307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8496"/>
        <c:crosses val="autoZero"/>
        <c:auto val="1"/>
        <c:lblAlgn val="ctr"/>
        <c:lblOffset val="100"/>
        <c:noMultiLvlLbl val="0"/>
      </c:catAx>
      <c:valAx>
        <c:axId val="5330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'[8]Reading.04.21'!$ED$4:$ED$34</c:f>
              <c:numCache>
                <c:formatCode>General</c:formatCode>
                <c:ptCount val="31"/>
                <c:pt idx="0">
                  <c:v>38</c:v>
                </c:pt>
                <c:pt idx="1">
                  <c:v>42</c:v>
                </c:pt>
                <c:pt idx="2">
                  <c:v>39</c:v>
                </c:pt>
                <c:pt idx="3">
                  <c:v>36</c:v>
                </c:pt>
                <c:pt idx="4">
                  <c:v>33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37</c:v>
                </c:pt>
                <c:pt idx="11">
                  <c:v>37</c:v>
                </c:pt>
                <c:pt idx="12">
                  <c:v>31</c:v>
                </c:pt>
                <c:pt idx="13">
                  <c:v>31</c:v>
                </c:pt>
                <c:pt idx="14">
                  <c:v>35</c:v>
                </c:pt>
                <c:pt idx="15">
                  <c:v>28</c:v>
                </c:pt>
                <c:pt idx="16">
                  <c:v>31</c:v>
                </c:pt>
                <c:pt idx="17">
                  <c:v>32</c:v>
                </c:pt>
                <c:pt idx="18">
                  <c:v>28</c:v>
                </c:pt>
                <c:pt idx="19">
                  <c:v>29</c:v>
                </c:pt>
                <c:pt idx="20">
                  <c:v>35</c:v>
                </c:pt>
                <c:pt idx="21">
                  <c:v>28</c:v>
                </c:pt>
                <c:pt idx="22">
                  <c:v>25</c:v>
                </c:pt>
                <c:pt idx="23">
                  <c:v>31</c:v>
                </c:pt>
                <c:pt idx="24">
                  <c:v>30</c:v>
                </c:pt>
                <c:pt idx="25">
                  <c:v>35</c:v>
                </c:pt>
                <c:pt idx="26">
                  <c:v>28</c:v>
                </c:pt>
                <c:pt idx="27">
                  <c:v>32</c:v>
                </c:pt>
                <c:pt idx="28">
                  <c:v>33</c:v>
                </c:pt>
                <c:pt idx="2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9-47C9-AD10-9C7027D1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079280"/>
        <c:axId val="533076928"/>
      </c:barChart>
      <c:catAx>
        <c:axId val="5330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6928"/>
        <c:crosses val="autoZero"/>
        <c:auto val="1"/>
        <c:lblAlgn val="ctr"/>
        <c:lblOffset val="100"/>
        <c:noMultiLvlLbl val="0"/>
      </c:catAx>
      <c:valAx>
        <c:axId val="53307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'[9]Reading.05.21'!$ED$6:$ED$36</c:f>
              <c:numCache>
                <c:formatCode>General</c:formatCode>
                <c:ptCount val="31"/>
                <c:pt idx="0">
                  <c:v>37</c:v>
                </c:pt>
                <c:pt idx="1">
                  <c:v>33</c:v>
                </c:pt>
                <c:pt idx="2">
                  <c:v>40</c:v>
                </c:pt>
                <c:pt idx="3">
                  <c:v>28</c:v>
                </c:pt>
                <c:pt idx="4">
                  <c:v>37</c:v>
                </c:pt>
                <c:pt idx="5">
                  <c:v>33</c:v>
                </c:pt>
                <c:pt idx="6">
                  <c:v>26</c:v>
                </c:pt>
                <c:pt idx="7">
                  <c:v>24</c:v>
                </c:pt>
                <c:pt idx="8">
                  <c:v>38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35</c:v>
                </c:pt>
                <c:pt idx="13">
                  <c:v>41</c:v>
                </c:pt>
                <c:pt idx="14">
                  <c:v>62</c:v>
                </c:pt>
                <c:pt idx="15">
                  <c:v>23</c:v>
                </c:pt>
                <c:pt idx="16">
                  <c:v>39</c:v>
                </c:pt>
                <c:pt idx="17">
                  <c:v>35</c:v>
                </c:pt>
                <c:pt idx="18">
                  <c:v>39</c:v>
                </c:pt>
                <c:pt idx="19">
                  <c:v>38</c:v>
                </c:pt>
                <c:pt idx="20">
                  <c:v>34</c:v>
                </c:pt>
                <c:pt idx="21">
                  <c:v>41</c:v>
                </c:pt>
                <c:pt idx="22">
                  <c:v>36</c:v>
                </c:pt>
                <c:pt idx="23">
                  <c:v>32</c:v>
                </c:pt>
                <c:pt idx="24">
                  <c:v>34</c:v>
                </c:pt>
                <c:pt idx="25">
                  <c:v>42</c:v>
                </c:pt>
                <c:pt idx="26">
                  <c:v>35</c:v>
                </c:pt>
                <c:pt idx="27">
                  <c:v>34</c:v>
                </c:pt>
                <c:pt idx="28">
                  <c:v>36</c:v>
                </c:pt>
                <c:pt idx="29">
                  <c:v>32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F-4850-95C7-C4A1CA80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078104"/>
        <c:axId val="532266360"/>
      </c:barChart>
      <c:catAx>
        <c:axId val="53307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6360"/>
        <c:crosses val="autoZero"/>
        <c:auto val="1"/>
        <c:lblAlgn val="ctr"/>
        <c:lblOffset val="100"/>
        <c:noMultiLvlLbl val="0"/>
      </c:catAx>
      <c:valAx>
        <c:axId val="53226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78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'[10]Reading.06.21'!$ED$6:$ED$35</c:f>
              <c:numCache>
                <c:formatCode>General</c:formatCode>
                <c:ptCount val="30"/>
                <c:pt idx="0">
                  <c:v>37</c:v>
                </c:pt>
                <c:pt idx="1">
                  <c:v>37</c:v>
                </c:pt>
                <c:pt idx="2">
                  <c:v>33</c:v>
                </c:pt>
                <c:pt idx="3">
                  <c:v>43</c:v>
                </c:pt>
                <c:pt idx="4">
                  <c:v>35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  <c:pt idx="8">
                  <c:v>37</c:v>
                </c:pt>
                <c:pt idx="9">
                  <c:v>34</c:v>
                </c:pt>
                <c:pt idx="10">
                  <c:v>37</c:v>
                </c:pt>
                <c:pt idx="11">
                  <c:v>37</c:v>
                </c:pt>
                <c:pt idx="12">
                  <c:v>32</c:v>
                </c:pt>
                <c:pt idx="13">
                  <c:v>32</c:v>
                </c:pt>
                <c:pt idx="14">
                  <c:v>35</c:v>
                </c:pt>
                <c:pt idx="15">
                  <c:v>41</c:v>
                </c:pt>
                <c:pt idx="16">
                  <c:v>42</c:v>
                </c:pt>
                <c:pt idx="17">
                  <c:v>28</c:v>
                </c:pt>
                <c:pt idx="18">
                  <c:v>35</c:v>
                </c:pt>
                <c:pt idx="19">
                  <c:v>45</c:v>
                </c:pt>
                <c:pt idx="20">
                  <c:v>35</c:v>
                </c:pt>
                <c:pt idx="21">
                  <c:v>29</c:v>
                </c:pt>
                <c:pt idx="22">
                  <c:v>44</c:v>
                </c:pt>
                <c:pt idx="23">
                  <c:v>46</c:v>
                </c:pt>
                <c:pt idx="24">
                  <c:v>34</c:v>
                </c:pt>
                <c:pt idx="25">
                  <c:v>38</c:v>
                </c:pt>
                <c:pt idx="26">
                  <c:v>38</c:v>
                </c:pt>
                <c:pt idx="27">
                  <c:v>37</c:v>
                </c:pt>
                <c:pt idx="28">
                  <c:v>36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341-AAAE-58BBAD7F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66752"/>
        <c:axId val="532267928"/>
      </c:barChart>
      <c:catAx>
        <c:axId val="5322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7928"/>
        <c:crosses val="autoZero"/>
        <c:auto val="1"/>
        <c:lblAlgn val="ctr"/>
        <c:lblOffset val="100"/>
        <c:noMultiLvlLbl val="0"/>
      </c:catAx>
      <c:valAx>
        <c:axId val="53226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'[11]Reading.07.21'!$ED$6:$ED$36</c:f>
              <c:numCache>
                <c:formatCode>General</c:formatCode>
                <c:ptCount val="31"/>
                <c:pt idx="0">
                  <c:v>34</c:v>
                </c:pt>
                <c:pt idx="1">
                  <c:v>41</c:v>
                </c:pt>
                <c:pt idx="2">
                  <c:v>31</c:v>
                </c:pt>
                <c:pt idx="3">
                  <c:v>36</c:v>
                </c:pt>
                <c:pt idx="4">
                  <c:v>42</c:v>
                </c:pt>
                <c:pt idx="5">
                  <c:v>33</c:v>
                </c:pt>
                <c:pt idx="6">
                  <c:v>35</c:v>
                </c:pt>
                <c:pt idx="7">
                  <c:v>37</c:v>
                </c:pt>
                <c:pt idx="8">
                  <c:v>41</c:v>
                </c:pt>
                <c:pt idx="9">
                  <c:v>40</c:v>
                </c:pt>
                <c:pt idx="10">
                  <c:v>27</c:v>
                </c:pt>
                <c:pt idx="11">
                  <c:v>37</c:v>
                </c:pt>
                <c:pt idx="12">
                  <c:v>32</c:v>
                </c:pt>
                <c:pt idx="13">
                  <c:v>47</c:v>
                </c:pt>
                <c:pt idx="14">
                  <c:v>32</c:v>
                </c:pt>
                <c:pt idx="15">
                  <c:v>39</c:v>
                </c:pt>
                <c:pt idx="16">
                  <c:v>39</c:v>
                </c:pt>
                <c:pt idx="17">
                  <c:v>28</c:v>
                </c:pt>
                <c:pt idx="18">
                  <c:v>36</c:v>
                </c:pt>
                <c:pt idx="19">
                  <c:v>47</c:v>
                </c:pt>
                <c:pt idx="20">
                  <c:v>37</c:v>
                </c:pt>
                <c:pt idx="21">
                  <c:v>39</c:v>
                </c:pt>
                <c:pt idx="22">
                  <c:v>46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36</c:v>
                </c:pt>
                <c:pt idx="27">
                  <c:v>42</c:v>
                </c:pt>
                <c:pt idx="28">
                  <c:v>44</c:v>
                </c:pt>
                <c:pt idx="29">
                  <c:v>56</c:v>
                </c:pt>
                <c:pt idx="3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5-4D2F-B8C2-AC128D44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64792"/>
        <c:axId val="532267144"/>
      </c:barChart>
      <c:catAx>
        <c:axId val="53226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7144"/>
        <c:crosses val="autoZero"/>
        <c:auto val="1"/>
        <c:lblAlgn val="ctr"/>
        <c:lblOffset val="100"/>
        <c:noMultiLvlLbl val="0"/>
      </c:catAx>
      <c:valAx>
        <c:axId val="53226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'[12]Reading.08.21'!$ED$6:$ED$36</c:f>
              <c:numCache>
                <c:formatCode>General</c:formatCode>
                <c:ptCount val="31"/>
                <c:pt idx="0">
                  <c:v>46</c:v>
                </c:pt>
                <c:pt idx="1">
                  <c:v>33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  <c:pt idx="6">
                  <c:v>40</c:v>
                </c:pt>
                <c:pt idx="7">
                  <c:v>37</c:v>
                </c:pt>
                <c:pt idx="8">
                  <c:v>31</c:v>
                </c:pt>
                <c:pt idx="9">
                  <c:v>40</c:v>
                </c:pt>
                <c:pt idx="10">
                  <c:v>39</c:v>
                </c:pt>
                <c:pt idx="11">
                  <c:v>38</c:v>
                </c:pt>
                <c:pt idx="12">
                  <c:v>40</c:v>
                </c:pt>
                <c:pt idx="13">
                  <c:v>37</c:v>
                </c:pt>
                <c:pt idx="14">
                  <c:v>34</c:v>
                </c:pt>
                <c:pt idx="15">
                  <c:v>36</c:v>
                </c:pt>
                <c:pt idx="16">
                  <c:v>35</c:v>
                </c:pt>
                <c:pt idx="17">
                  <c:v>38</c:v>
                </c:pt>
                <c:pt idx="18">
                  <c:v>39</c:v>
                </c:pt>
                <c:pt idx="19">
                  <c:v>45</c:v>
                </c:pt>
                <c:pt idx="20">
                  <c:v>39</c:v>
                </c:pt>
                <c:pt idx="21">
                  <c:v>34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46</c:v>
                </c:pt>
                <c:pt idx="26">
                  <c:v>34</c:v>
                </c:pt>
                <c:pt idx="27">
                  <c:v>42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D-4772-BF82-8CD14511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65184"/>
        <c:axId val="532265968"/>
      </c:barChart>
      <c:catAx>
        <c:axId val="5322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5968"/>
        <c:crosses val="autoZero"/>
        <c:auto val="1"/>
        <c:lblAlgn val="ctr"/>
        <c:lblOffset val="100"/>
        <c:noMultiLvlLbl val="0"/>
      </c:catAx>
      <c:valAx>
        <c:axId val="5322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6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'[13]Reading.09.21'!$ED$6:$ED$36</c:f>
              <c:numCache>
                <c:formatCode>General</c:formatCode>
                <c:ptCount val="31"/>
                <c:pt idx="0">
                  <c:v>42</c:v>
                </c:pt>
                <c:pt idx="1">
                  <c:v>44</c:v>
                </c:pt>
                <c:pt idx="2">
                  <c:v>38</c:v>
                </c:pt>
                <c:pt idx="3">
                  <c:v>39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42</c:v>
                </c:pt>
                <c:pt idx="8">
                  <c:v>36</c:v>
                </c:pt>
                <c:pt idx="9">
                  <c:v>46</c:v>
                </c:pt>
                <c:pt idx="10">
                  <c:v>39</c:v>
                </c:pt>
                <c:pt idx="11">
                  <c:v>38</c:v>
                </c:pt>
                <c:pt idx="12">
                  <c:v>41</c:v>
                </c:pt>
                <c:pt idx="13">
                  <c:v>38</c:v>
                </c:pt>
                <c:pt idx="14">
                  <c:v>37</c:v>
                </c:pt>
                <c:pt idx="15">
                  <c:v>45</c:v>
                </c:pt>
                <c:pt idx="16">
                  <c:v>42</c:v>
                </c:pt>
                <c:pt idx="17">
                  <c:v>42</c:v>
                </c:pt>
                <c:pt idx="18">
                  <c:v>33</c:v>
                </c:pt>
                <c:pt idx="19">
                  <c:v>36</c:v>
                </c:pt>
                <c:pt idx="20">
                  <c:v>41</c:v>
                </c:pt>
                <c:pt idx="21">
                  <c:v>41</c:v>
                </c:pt>
                <c:pt idx="22">
                  <c:v>46</c:v>
                </c:pt>
                <c:pt idx="23">
                  <c:v>44</c:v>
                </c:pt>
                <c:pt idx="24">
                  <c:v>40</c:v>
                </c:pt>
                <c:pt idx="25">
                  <c:v>34</c:v>
                </c:pt>
                <c:pt idx="26">
                  <c:v>45</c:v>
                </c:pt>
                <c:pt idx="27">
                  <c:v>43</c:v>
                </c:pt>
                <c:pt idx="28">
                  <c:v>40</c:v>
                </c:pt>
                <c:pt idx="2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E-4698-B044-71062930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22160"/>
        <c:axId val="538320592"/>
      </c:barChart>
      <c:catAx>
        <c:axId val="5383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0592"/>
        <c:crosses val="autoZero"/>
        <c:auto val="1"/>
        <c:lblAlgn val="ctr"/>
        <c:lblOffset val="100"/>
        <c:noMultiLvlLbl val="0"/>
      </c:catAx>
      <c:valAx>
        <c:axId val="53832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'[14]Reading.10.21'!$ED$6:$ED$36</c:f>
              <c:numCache>
                <c:formatCode>General</c:formatCode>
                <c:ptCount val="31"/>
                <c:pt idx="0">
                  <c:v>15</c:v>
                </c:pt>
                <c:pt idx="1">
                  <c:v>41</c:v>
                </c:pt>
                <c:pt idx="2">
                  <c:v>31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47</c:v>
                </c:pt>
                <c:pt idx="7">
                  <c:v>38</c:v>
                </c:pt>
                <c:pt idx="8">
                  <c:v>37</c:v>
                </c:pt>
                <c:pt idx="9">
                  <c:v>33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40</c:v>
                </c:pt>
                <c:pt idx="16">
                  <c:v>28</c:v>
                </c:pt>
                <c:pt idx="17">
                  <c:v>38</c:v>
                </c:pt>
                <c:pt idx="18">
                  <c:v>38</c:v>
                </c:pt>
                <c:pt idx="19">
                  <c:v>41</c:v>
                </c:pt>
                <c:pt idx="20">
                  <c:v>40</c:v>
                </c:pt>
                <c:pt idx="21">
                  <c:v>43</c:v>
                </c:pt>
                <c:pt idx="22">
                  <c:v>45</c:v>
                </c:pt>
                <c:pt idx="23">
                  <c:v>33</c:v>
                </c:pt>
                <c:pt idx="24">
                  <c:v>38</c:v>
                </c:pt>
                <c:pt idx="25">
                  <c:v>39</c:v>
                </c:pt>
                <c:pt idx="26">
                  <c:v>42</c:v>
                </c:pt>
                <c:pt idx="27">
                  <c:v>46</c:v>
                </c:pt>
                <c:pt idx="28">
                  <c:v>40</c:v>
                </c:pt>
                <c:pt idx="29">
                  <c:v>37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F-4E89-8DCD-0FD71FBF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17848"/>
        <c:axId val="538322552"/>
      </c:barChart>
      <c:catAx>
        <c:axId val="53831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2552"/>
        <c:crosses val="autoZero"/>
        <c:auto val="1"/>
        <c:lblAlgn val="ctr"/>
        <c:lblOffset val="100"/>
        <c:noMultiLvlLbl val="0"/>
      </c:catAx>
      <c:valAx>
        <c:axId val="53832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1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'[15]Reading.11.21'!$ED$6:$ED$36</c:f>
              <c:numCache>
                <c:formatCode>General</c:formatCode>
                <c:ptCount val="31"/>
                <c:pt idx="0">
                  <c:v>38</c:v>
                </c:pt>
                <c:pt idx="1">
                  <c:v>41</c:v>
                </c:pt>
                <c:pt idx="2">
                  <c:v>42</c:v>
                </c:pt>
                <c:pt idx="3">
                  <c:v>46</c:v>
                </c:pt>
                <c:pt idx="4">
                  <c:v>39</c:v>
                </c:pt>
                <c:pt idx="5">
                  <c:v>42</c:v>
                </c:pt>
                <c:pt idx="6">
                  <c:v>63</c:v>
                </c:pt>
                <c:pt idx="7">
                  <c:v>35</c:v>
                </c:pt>
                <c:pt idx="8">
                  <c:v>40</c:v>
                </c:pt>
                <c:pt idx="9">
                  <c:v>43</c:v>
                </c:pt>
                <c:pt idx="10">
                  <c:v>51</c:v>
                </c:pt>
                <c:pt idx="11">
                  <c:v>38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51</c:v>
                </c:pt>
                <c:pt idx="16">
                  <c:v>43</c:v>
                </c:pt>
                <c:pt idx="17">
                  <c:v>52</c:v>
                </c:pt>
                <c:pt idx="18">
                  <c:v>32</c:v>
                </c:pt>
                <c:pt idx="19">
                  <c:v>30</c:v>
                </c:pt>
                <c:pt idx="20">
                  <c:v>55</c:v>
                </c:pt>
                <c:pt idx="21">
                  <c:v>41</c:v>
                </c:pt>
                <c:pt idx="22">
                  <c:v>50</c:v>
                </c:pt>
                <c:pt idx="23">
                  <c:v>41</c:v>
                </c:pt>
                <c:pt idx="24">
                  <c:v>53</c:v>
                </c:pt>
                <c:pt idx="25">
                  <c:v>37</c:v>
                </c:pt>
                <c:pt idx="26">
                  <c:v>45</c:v>
                </c:pt>
                <c:pt idx="27">
                  <c:v>39</c:v>
                </c:pt>
                <c:pt idx="28">
                  <c:v>46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7-4F2B-B9CF-166AAF23A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20984"/>
        <c:axId val="538321376"/>
      </c:barChart>
      <c:catAx>
        <c:axId val="53832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1376"/>
        <c:crosses val="autoZero"/>
        <c:auto val="1"/>
        <c:lblAlgn val="ctr"/>
        <c:lblOffset val="100"/>
        <c:noMultiLvlLbl val="0"/>
      </c:catAx>
      <c:valAx>
        <c:axId val="5383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'[16]Reading.12.21'!$ED$6:$ED$36</c:f>
              <c:numCache>
                <c:formatCode>General</c:formatCode>
                <c:ptCount val="31"/>
                <c:pt idx="0">
                  <c:v>40</c:v>
                </c:pt>
                <c:pt idx="1">
                  <c:v>42</c:v>
                </c:pt>
                <c:pt idx="2">
                  <c:v>47</c:v>
                </c:pt>
                <c:pt idx="3">
                  <c:v>41</c:v>
                </c:pt>
                <c:pt idx="4">
                  <c:v>41</c:v>
                </c:pt>
                <c:pt idx="5">
                  <c:v>43</c:v>
                </c:pt>
                <c:pt idx="6">
                  <c:v>44</c:v>
                </c:pt>
                <c:pt idx="7">
                  <c:v>49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40</c:v>
                </c:pt>
                <c:pt idx="12">
                  <c:v>50</c:v>
                </c:pt>
                <c:pt idx="13">
                  <c:v>35</c:v>
                </c:pt>
                <c:pt idx="14">
                  <c:v>46</c:v>
                </c:pt>
                <c:pt idx="15">
                  <c:v>52</c:v>
                </c:pt>
                <c:pt idx="16">
                  <c:v>43</c:v>
                </c:pt>
                <c:pt idx="17">
                  <c:v>45</c:v>
                </c:pt>
                <c:pt idx="18">
                  <c:v>36</c:v>
                </c:pt>
                <c:pt idx="19">
                  <c:v>40</c:v>
                </c:pt>
                <c:pt idx="20">
                  <c:v>42</c:v>
                </c:pt>
                <c:pt idx="21">
                  <c:v>39</c:v>
                </c:pt>
                <c:pt idx="22">
                  <c:v>47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39</c:v>
                </c:pt>
                <c:pt idx="27">
                  <c:v>47</c:v>
                </c:pt>
                <c:pt idx="28">
                  <c:v>44</c:v>
                </c:pt>
                <c:pt idx="29">
                  <c:v>51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7-4ACD-816A-660E8E6D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20200"/>
        <c:axId val="538317456"/>
      </c:barChart>
      <c:catAx>
        <c:axId val="53832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17456"/>
        <c:crosses val="autoZero"/>
        <c:auto val="1"/>
        <c:lblAlgn val="ctr"/>
        <c:lblOffset val="100"/>
        <c:noMultiLvlLbl val="0"/>
      </c:catAx>
      <c:valAx>
        <c:axId val="5383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'[17]Reading.01.22'!$ED$6:$ED$36</c:f>
              <c:numCache>
                <c:formatCode>General</c:formatCode>
                <c:ptCount val="31"/>
                <c:pt idx="0">
                  <c:v>35</c:v>
                </c:pt>
                <c:pt idx="1">
                  <c:v>47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48</c:v>
                </c:pt>
                <c:pt idx="6">
                  <c:v>42</c:v>
                </c:pt>
                <c:pt idx="7">
                  <c:v>34</c:v>
                </c:pt>
                <c:pt idx="8">
                  <c:v>47</c:v>
                </c:pt>
                <c:pt idx="9">
                  <c:v>47</c:v>
                </c:pt>
                <c:pt idx="10">
                  <c:v>46</c:v>
                </c:pt>
                <c:pt idx="11">
                  <c:v>35</c:v>
                </c:pt>
                <c:pt idx="12">
                  <c:v>49</c:v>
                </c:pt>
                <c:pt idx="13">
                  <c:v>36</c:v>
                </c:pt>
                <c:pt idx="14">
                  <c:v>51</c:v>
                </c:pt>
                <c:pt idx="15">
                  <c:v>41</c:v>
                </c:pt>
                <c:pt idx="16">
                  <c:v>53</c:v>
                </c:pt>
                <c:pt idx="17">
                  <c:v>53</c:v>
                </c:pt>
                <c:pt idx="18">
                  <c:v>46</c:v>
                </c:pt>
                <c:pt idx="19">
                  <c:v>53</c:v>
                </c:pt>
                <c:pt idx="20">
                  <c:v>48</c:v>
                </c:pt>
                <c:pt idx="21">
                  <c:v>51</c:v>
                </c:pt>
                <c:pt idx="22">
                  <c:v>42</c:v>
                </c:pt>
                <c:pt idx="23">
                  <c:v>55</c:v>
                </c:pt>
                <c:pt idx="24">
                  <c:v>43</c:v>
                </c:pt>
                <c:pt idx="25">
                  <c:v>41</c:v>
                </c:pt>
                <c:pt idx="26">
                  <c:v>46</c:v>
                </c:pt>
                <c:pt idx="27">
                  <c:v>43</c:v>
                </c:pt>
                <c:pt idx="28">
                  <c:v>33</c:v>
                </c:pt>
                <c:pt idx="29">
                  <c:v>41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A0E-AE95-2511ADB9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21768"/>
        <c:axId val="538322944"/>
      </c:barChart>
      <c:catAx>
        <c:axId val="53832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2944"/>
        <c:crosses val="autoZero"/>
        <c:auto val="1"/>
        <c:lblAlgn val="ctr"/>
        <c:lblOffset val="100"/>
        <c:noMultiLvlLbl val="0"/>
      </c:catAx>
      <c:valAx>
        <c:axId val="53832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2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'[18]Reading.02.22'!$ED$6:$ED$36</c:f>
              <c:numCache>
                <c:formatCode>General</c:formatCode>
                <c:ptCount val="31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44</c:v>
                </c:pt>
                <c:pt idx="4">
                  <c:v>38</c:v>
                </c:pt>
                <c:pt idx="5">
                  <c:v>42</c:v>
                </c:pt>
                <c:pt idx="6">
                  <c:v>52</c:v>
                </c:pt>
                <c:pt idx="7">
                  <c:v>40</c:v>
                </c:pt>
                <c:pt idx="8">
                  <c:v>42</c:v>
                </c:pt>
                <c:pt idx="9">
                  <c:v>45</c:v>
                </c:pt>
                <c:pt idx="10">
                  <c:v>42</c:v>
                </c:pt>
                <c:pt idx="11">
                  <c:v>30</c:v>
                </c:pt>
                <c:pt idx="12">
                  <c:v>42</c:v>
                </c:pt>
                <c:pt idx="13">
                  <c:v>46</c:v>
                </c:pt>
                <c:pt idx="14">
                  <c:v>43</c:v>
                </c:pt>
                <c:pt idx="15">
                  <c:v>46</c:v>
                </c:pt>
                <c:pt idx="16">
                  <c:v>47</c:v>
                </c:pt>
                <c:pt idx="17">
                  <c:v>41</c:v>
                </c:pt>
                <c:pt idx="18">
                  <c:v>33</c:v>
                </c:pt>
                <c:pt idx="19">
                  <c:v>51</c:v>
                </c:pt>
                <c:pt idx="20">
                  <c:v>46</c:v>
                </c:pt>
                <c:pt idx="21">
                  <c:v>42</c:v>
                </c:pt>
                <c:pt idx="22">
                  <c:v>43</c:v>
                </c:pt>
                <c:pt idx="23">
                  <c:v>45</c:v>
                </c:pt>
                <c:pt idx="24">
                  <c:v>37</c:v>
                </c:pt>
                <c:pt idx="25">
                  <c:v>40</c:v>
                </c:pt>
                <c:pt idx="26">
                  <c:v>45</c:v>
                </c:pt>
                <c:pt idx="2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1-46F5-BBB3-CC56C904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15888"/>
        <c:axId val="538316280"/>
      </c:barChart>
      <c:catAx>
        <c:axId val="53831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16280"/>
        <c:crosses val="autoZero"/>
        <c:auto val="1"/>
        <c:lblAlgn val="ctr"/>
        <c:lblOffset val="100"/>
        <c:noMultiLvlLbl val="0"/>
      </c:catAx>
      <c:valAx>
        <c:axId val="53831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'[19]Reading.03.22'!$ED$6:$ED$36</c:f>
              <c:numCache>
                <c:formatCode>General</c:formatCode>
                <c:ptCount val="31"/>
                <c:pt idx="0">
                  <c:v>42</c:v>
                </c:pt>
                <c:pt idx="1">
                  <c:v>48</c:v>
                </c:pt>
                <c:pt idx="2">
                  <c:v>54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46</c:v>
                </c:pt>
                <c:pt idx="8">
                  <c:v>46</c:v>
                </c:pt>
                <c:pt idx="9">
                  <c:v>49</c:v>
                </c:pt>
                <c:pt idx="10">
                  <c:v>41</c:v>
                </c:pt>
                <c:pt idx="11">
                  <c:v>38</c:v>
                </c:pt>
                <c:pt idx="12">
                  <c:v>42</c:v>
                </c:pt>
                <c:pt idx="13">
                  <c:v>41</c:v>
                </c:pt>
                <c:pt idx="14">
                  <c:v>48</c:v>
                </c:pt>
                <c:pt idx="15">
                  <c:v>37</c:v>
                </c:pt>
                <c:pt idx="16">
                  <c:v>60</c:v>
                </c:pt>
                <c:pt idx="17">
                  <c:v>40</c:v>
                </c:pt>
                <c:pt idx="18">
                  <c:v>44</c:v>
                </c:pt>
                <c:pt idx="19">
                  <c:v>43</c:v>
                </c:pt>
                <c:pt idx="20">
                  <c:v>43</c:v>
                </c:pt>
                <c:pt idx="21">
                  <c:v>39</c:v>
                </c:pt>
                <c:pt idx="22">
                  <c:v>41</c:v>
                </c:pt>
                <c:pt idx="23">
                  <c:v>50</c:v>
                </c:pt>
                <c:pt idx="24">
                  <c:v>42</c:v>
                </c:pt>
                <c:pt idx="25">
                  <c:v>36</c:v>
                </c:pt>
                <c:pt idx="26">
                  <c:v>38</c:v>
                </c:pt>
                <c:pt idx="27">
                  <c:v>36</c:v>
                </c:pt>
                <c:pt idx="28">
                  <c:v>34</c:v>
                </c:pt>
                <c:pt idx="29">
                  <c:v>33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675-A3AC-5DDC6537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317064"/>
        <c:axId val="650008000"/>
      </c:barChart>
      <c:catAx>
        <c:axId val="53831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8000"/>
        <c:crosses val="autoZero"/>
        <c:auto val="1"/>
        <c:lblAlgn val="ctr"/>
        <c:lblOffset val="100"/>
        <c:noMultiLvlLbl val="0"/>
      </c:catAx>
      <c:valAx>
        <c:axId val="6500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1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'[20]Reading.04.22'!$ED$6:$ED$36</c:f>
              <c:numCache>
                <c:formatCode>General</c:formatCode>
                <c:ptCount val="31"/>
                <c:pt idx="0">
                  <c:v>31</c:v>
                </c:pt>
                <c:pt idx="1">
                  <c:v>31</c:v>
                </c:pt>
                <c:pt idx="2">
                  <c:v>41</c:v>
                </c:pt>
                <c:pt idx="3">
                  <c:v>32</c:v>
                </c:pt>
                <c:pt idx="4">
                  <c:v>27</c:v>
                </c:pt>
                <c:pt idx="5">
                  <c:v>35</c:v>
                </c:pt>
                <c:pt idx="6">
                  <c:v>44</c:v>
                </c:pt>
                <c:pt idx="7">
                  <c:v>28</c:v>
                </c:pt>
                <c:pt idx="8">
                  <c:v>45</c:v>
                </c:pt>
                <c:pt idx="9">
                  <c:v>29</c:v>
                </c:pt>
                <c:pt idx="10">
                  <c:v>38</c:v>
                </c:pt>
                <c:pt idx="11">
                  <c:v>38</c:v>
                </c:pt>
                <c:pt idx="12">
                  <c:v>33</c:v>
                </c:pt>
                <c:pt idx="13">
                  <c:v>37</c:v>
                </c:pt>
                <c:pt idx="14">
                  <c:v>33</c:v>
                </c:pt>
                <c:pt idx="15">
                  <c:v>37</c:v>
                </c:pt>
                <c:pt idx="16">
                  <c:v>41</c:v>
                </c:pt>
                <c:pt idx="17">
                  <c:v>45</c:v>
                </c:pt>
                <c:pt idx="18">
                  <c:v>42</c:v>
                </c:pt>
                <c:pt idx="19">
                  <c:v>41</c:v>
                </c:pt>
                <c:pt idx="20">
                  <c:v>45</c:v>
                </c:pt>
                <c:pt idx="21">
                  <c:v>39</c:v>
                </c:pt>
                <c:pt idx="22">
                  <c:v>40</c:v>
                </c:pt>
                <c:pt idx="23">
                  <c:v>46</c:v>
                </c:pt>
                <c:pt idx="24">
                  <c:v>47</c:v>
                </c:pt>
                <c:pt idx="25">
                  <c:v>38</c:v>
                </c:pt>
                <c:pt idx="26">
                  <c:v>42</c:v>
                </c:pt>
                <c:pt idx="27">
                  <c:v>40</c:v>
                </c:pt>
                <c:pt idx="28">
                  <c:v>35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2-410B-97C0-8E9C1C78B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8392"/>
        <c:axId val="650005256"/>
      </c:barChart>
      <c:catAx>
        <c:axId val="65000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5256"/>
        <c:crosses val="autoZero"/>
        <c:auto val="1"/>
        <c:lblAlgn val="ctr"/>
        <c:lblOffset val="100"/>
        <c:noMultiLvlLbl val="0"/>
      </c:catAx>
      <c:valAx>
        <c:axId val="65000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'[21]Reading.05.22'!$ED$6:$ED$36</c:f>
              <c:numCache>
                <c:formatCode>General</c:formatCode>
                <c:ptCount val="31"/>
                <c:pt idx="0">
                  <c:v>39</c:v>
                </c:pt>
                <c:pt idx="1">
                  <c:v>56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43</c:v>
                </c:pt>
                <c:pt idx="6">
                  <c:v>43</c:v>
                </c:pt>
                <c:pt idx="7">
                  <c:v>37</c:v>
                </c:pt>
                <c:pt idx="8">
                  <c:v>45</c:v>
                </c:pt>
                <c:pt idx="9">
                  <c:v>46</c:v>
                </c:pt>
                <c:pt idx="10">
                  <c:v>50</c:v>
                </c:pt>
                <c:pt idx="11">
                  <c:v>49</c:v>
                </c:pt>
                <c:pt idx="12">
                  <c:v>43</c:v>
                </c:pt>
                <c:pt idx="13">
                  <c:v>34</c:v>
                </c:pt>
                <c:pt idx="14">
                  <c:v>38</c:v>
                </c:pt>
                <c:pt idx="15">
                  <c:v>37</c:v>
                </c:pt>
                <c:pt idx="16">
                  <c:v>37</c:v>
                </c:pt>
                <c:pt idx="17">
                  <c:v>46</c:v>
                </c:pt>
                <c:pt idx="18">
                  <c:v>62</c:v>
                </c:pt>
                <c:pt idx="19">
                  <c:v>45</c:v>
                </c:pt>
                <c:pt idx="20">
                  <c:v>43</c:v>
                </c:pt>
                <c:pt idx="21">
                  <c:v>37</c:v>
                </c:pt>
                <c:pt idx="22">
                  <c:v>42</c:v>
                </c:pt>
                <c:pt idx="23">
                  <c:v>36</c:v>
                </c:pt>
                <c:pt idx="24">
                  <c:v>38</c:v>
                </c:pt>
                <c:pt idx="25">
                  <c:v>45</c:v>
                </c:pt>
                <c:pt idx="26">
                  <c:v>41</c:v>
                </c:pt>
                <c:pt idx="27">
                  <c:v>46</c:v>
                </c:pt>
                <c:pt idx="28">
                  <c:v>38</c:v>
                </c:pt>
                <c:pt idx="29">
                  <c:v>38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65A-8C90-5349474D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4080"/>
        <c:axId val="650009176"/>
      </c:barChart>
      <c:catAx>
        <c:axId val="6500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9176"/>
        <c:crosses val="autoZero"/>
        <c:auto val="1"/>
        <c:lblAlgn val="ctr"/>
        <c:lblOffset val="100"/>
        <c:noMultiLvlLbl val="0"/>
      </c:catAx>
      <c:valAx>
        <c:axId val="65000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'[22]Reading.06.22'!$ED$6:$ED$36</c:f>
              <c:numCache>
                <c:formatCode>General</c:formatCode>
                <c:ptCount val="31"/>
                <c:pt idx="0">
                  <c:v>36</c:v>
                </c:pt>
                <c:pt idx="1">
                  <c:v>55</c:v>
                </c:pt>
                <c:pt idx="2">
                  <c:v>41</c:v>
                </c:pt>
                <c:pt idx="3">
                  <c:v>52</c:v>
                </c:pt>
                <c:pt idx="4">
                  <c:v>42</c:v>
                </c:pt>
                <c:pt idx="5">
                  <c:v>40</c:v>
                </c:pt>
                <c:pt idx="6">
                  <c:v>47</c:v>
                </c:pt>
                <c:pt idx="7">
                  <c:v>39</c:v>
                </c:pt>
                <c:pt idx="8">
                  <c:v>51</c:v>
                </c:pt>
                <c:pt idx="9">
                  <c:v>54</c:v>
                </c:pt>
                <c:pt idx="10">
                  <c:v>50</c:v>
                </c:pt>
                <c:pt idx="11">
                  <c:v>42</c:v>
                </c:pt>
                <c:pt idx="12">
                  <c:v>40</c:v>
                </c:pt>
                <c:pt idx="13">
                  <c:v>48</c:v>
                </c:pt>
                <c:pt idx="14">
                  <c:v>48</c:v>
                </c:pt>
                <c:pt idx="15">
                  <c:v>52</c:v>
                </c:pt>
                <c:pt idx="16">
                  <c:v>46</c:v>
                </c:pt>
                <c:pt idx="17">
                  <c:v>49</c:v>
                </c:pt>
                <c:pt idx="18">
                  <c:v>47</c:v>
                </c:pt>
                <c:pt idx="19">
                  <c:v>40</c:v>
                </c:pt>
                <c:pt idx="20">
                  <c:v>52</c:v>
                </c:pt>
                <c:pt idx="21">
                  <c:v>45</c:v>
                </c:pt>
                <c:pt idx="22">
                  <c:v>67</c:v>
                </c:pt>
                <c:pt idx="23">
                  <c:v>56</c:v>
                </c:pt>
                <c:pt idx="24">
                  <c:v>54</c:v>
                </c:pt>
                <c:pt idx="25">
                  <c:v>22</c:v>
                </c:pt>
                <c:pt idx="26">
                  <c:v>44</c:v>
                </c:pt>
                <c:pt idx="27">
                  <c:v>51</c:v>
                </c:pt>
                <c:pt idx="28">
                  <c:v>40</c:v>
                </c:pt>
                <c:pt idx="2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6-4EED-ADFD-D7AF6788F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8784"/>
        <c:axId val="650009568"/>
      </c:barChart>
      <c:catAx>
        <c:axId val="6500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9568"/>
        <c:crosses val="autoZero"/>
        <c:auto val="1"/>
        <c:lblAlgn val="ctr"/>
        <c:lblOffset val="100"/>
        <c:noMultiLvlLbl val="0"/>
      </c:catAx>
      <c:valAx>
        <c:axId val="6500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'[23]Reading.07.22'!$ED$6:$ED$36</c:f>
              <c:numCache>
                <c:formatCode>General</c:formatCode>
                <c:ptCount val="31"/>
                <c:pt idx="0">
                  <c:v>55</c:v>
                </c:pt>
                <c:pt idx="1">
                  <c:v>48</c:v>
                </c:pt>
                <c:pt idx="2">
                  <c:v>42</c:v>
                </c:pt>
                <c:pt idx="3">
                  <c:v>38</c:v>
                </c:pt>
                <c:pt idx="4">
                  <c:v>46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61</c:v>
                </c:pt>
                <c:pt idx="9">
                  <c:v>46</c:v>
                </c:pt>
                <c:pt idx="10">
                  <c:v>46</c:v>
                </c:pt>
                <c:pt idx="11">
                  <c:v>54</c:v>
                </c:pt>
                <c:pt idx="12">
                  <c:v>30</c:v>
                </c:pt>
                <c:pt idx="13">
                  <c:v>61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43</c:v>
                </c:pt>
                <c:pt idx="18">
                  <c:v>58</c:v>
                </c:pt>
                <c:pt idx="19">
                  <c:v>39</c:v>
                </c:pt>
                <c:pt idx="20">
                  <c:v>59</c:v>
                </c:pt>
                <c:pt idx="21">
                  <c:v>43</c:v>
                </c:pt>
                <c:pt idx="22">
                  <c:v>48</c:v>
                </c:pt>
                <c:pt idx="23">
                  <c:v>47</c:v>
                </c:pt>
                <c:pt idx="24">
                  <c:v>49</c:v>
                </c:pt>
                <c:pt idx="25">
                  <c:v>52</c:v>
                </c:pt>
                <c:pt idx="26">
                  <c:v>54</c:v>
                </c:pt>
                <c:pt idx="27">
                  <c:v>64</c:v>
                </c:pt>
                <c:pt idx="28">
                  <c:v>55</c:v>
                </c:pt>
                <c:pt idx="29">
                  <c:v>46</c:v>
                </c:pt>
                <c:pt idx="3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5B3-A78C-59346C03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3688"/>
        <c:axId val="650006040"/>
      </c:barChart>
      <c:catAx>
        <c:axId val="65000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6040"/>
        <c:crosses val="autoZero"/>
        <c:auto val="1"/>
        <c:lblAlgn val="ctr"/>
        <c:lblOffset val="100"/>
        <c:noMultiLvlLbl val="0"/>
      </c:catAx>
      <c:valAx>
        <c:axId val="65000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'[24]Reading.08.22'!$ED$6:$ED$36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C-48B9-BDBE-B2A31D6F7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9960"/>
        <c:axId val="650002904"/>
      </c:barChart>
      <c:catAx>
        <c:axId val="65000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2904"/>
        <c:crosses val="autoZero"/>
        <c:auto val="1"/>
        <c:lblAlgn val="ctr"/>
        <c:lblOffset val="100"/>
        <c:noMultiLvlLbl val="0"/>
      </c:catAx>
      <c:valAx>
        <c:axId val="65000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'[24]Reading.08.22'!$ED$6:$ED$36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7-437D-A54C-7810D298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002512"/>
        <c:axId val="650003296"/>
      </c:barChart>
      <c:catAx>
        <c:axId val="6500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3296"/>
        <c:crosses val="autoZero"/>
        <c:auto val="1"/>
        <c:lblAlgn val="ctr"/>
        <c:lblOffset val="100"/>
        <c:noMultiLvlLbl val="0"/>
      </c:catAx>
      <c:valAx>
        <c:axId val="6500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'[24]Reading.08.22'!$ED$6:$ED$36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5-4124-80BF-940F4D74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4304"/>
        <c:axId val="647487832"/>
      </c:barChart>
      <c:catAx>
        <c:axId val="6474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7832"/>
        <c:crosses val="autoZero"/>
        <c:auto val="1"/>
        <c:lblAlgn val="ctr"/>
        <c:lblOffset val="100"/>
        <c:noMultiLvlLbl val="0"/>
      </c:catAx>
      <c:valAx>
        <c:axId val="64748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'[25]Reading.09.22'!$ED$6:$ED$36</c:f>
              <c:numCache>
                <c:formatCode>General</c:formatCode>
                <c:ptCount val="31"/>
                <c:pt idx="0">
                  <c:v>63</c:v>
                </c:pt>
                <c:pt idx="1">
                  <c:v>50</c:v>
                </c:pt>
                <c:pt idx="2">
                  <c:v>62</c:v>
                </c:pt>
                <c:pt idx="3">
                  <c:v>64</c:v>
                </c:pt>
                <c:pt idx="4">
                  <c:v>55</c:v>
                </c:pt>
                <c:pt idx="5">
                  <c:v>58</c:v>
                </c:pt>
                <c:pt idx="6">
                  <c:v>48</c:v>
                </c:pt>
                <c:pt idx="7">
                  <c:v>79</c:v>
                </c:pt>
                <c:pt idx="8">
                  <c:v>54</c:v>
                </c:pt>
                <c:pt idx="9">
                  <c:v>57</c:v>
                </c:pt>
                <c:pt idx="10">
                  <c:v>55</c:v>
                </c:pt>
                <c:pt idx="11">
                  <c:v>49</c:v>
                </c:pt>
                <c:pt idx="12">
                  <c:v>53</c:v>
                </c:pt>
                <c:pt idx="13">
                  <c:v>55</c:v>
                </c:pt>
                <c:pt idx="14">
                  <c:v>62</c:v>
                </c:pt>
                <c:pt idx="15">
                  <c:v>49</c:v>
                </c:pt>
                <c:pt idx="16">
                  <c:v>66</c:v>
                </c:pt>
                <c:pt idx="17">
                  <c:v>47</c:v>
                </c:pt>
                <c:pt idx="18">
                  <c:v>43</c:v>
                </c:pt>
                <c:pt idx="19">
                  <c:v>49</c:v>
                </c:pt>
                <c:pt idx="20">
                  <c:v>57</c:v>
                </c:pt>
                <c:pt idx="21">
                  <c:v>45</c:v>
                </c:pt>
                <c:pt idx="22">
                  <c:v>76</c:v>
                </c:pt>
                <c:pt idx="23">
                  <c:v>59</c:v>
                </c:pt>
                <c:pt idx="24">
                  <c:v>46</c:v>
                </c:pt>
                <c:pt idx="25">
                  <c:v>55</c:v>
                </c:pt>
                <c:pt idx="26">
                  <c:v>52</c:v>
                </c:pt>
                <c:pt idx="27">
                  <c:v>55</c:v>
                </c:pt>
                <c:pt idx="28">
                  <c:v>60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845-A78A-6929212BF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4696"/>
        <c:axId val="647482736"/>
      </c:barChart>
      <c:catAx>
        <c:axId val="64748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2736"/>
        <c:crosses val="autoZero"/>
        <c:auto val="1"/>
        <c:lblAlgn val="ctr"/>
        <c:lblOffset val="100"/>
        <c:noMultiLvlLbl val="0"/>
      </c:catAx>
      <c:valAx>
        <c:axId val="6474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'[26]Reading.10.22'!$ED$6:$ED$36</c:f>
              <c:numCache>
                <c:formatCode>General</c:formatCode>
                <c:ptCount val="31"/>
                <c:pt idx="0">
                  <c:v>42</c:v>
                </c:pt>
                <c:pt idx="1">
                  <c:v>25</c:v>
                </c:pt>
                <c:pt idx="2">
                  <c:v>20</c:v>
                </c:pt>
                <c:pt idx="3">
                  <c:v>80</c:v>
                </c:pt>
                <c:pt idx="4">
                  <c:v>90</c:v>
                </c:pt>
                <c:pt idx="5">
                  <c:v>17</c:v>
                </c:pt>
                <c:pt idx="6">
                  <c:v>56</c:v>
                </c:pt>
                <c:pt idx="7">
                  <c:v>65</c:v>
                </c:pt>
                <c:pt idx="8">
                  <c:v>54</c:v>
                </c:pt>
                <c:pt idx="9">
                  <c:v>48</c:v>
                </c:pt>
                <c:pt idx="10">
                  <c:v>45</c:v>
                </c:pt>
                <c:pt idx="11">
                  <c:v>25</c:v>
                </c:pt>
                <c:pt idx="12">
                  <c:v>61</c:v>
                </c:pt>
                <c:pt idx="13">
                  <c:v>43</c:v>
                </c:pt>
                <c:pt idx="14">
                  <c:v>46</c:v>
                </c:pt>
                <c:pt idx="15">
                  <c:v>43</c:v>
                </c:pt>
                <c:pt idx="16">
                  <c:v>49</c:v>
                </c:pt>
                <c:pt idx="17">
                  <c:v>51</c:v>
                </c:pt>
                <c:pt idx="18">
                  <c:v>53</c:v>
                </c:pt>
                <c:pt idx="19">
                  <c:v>48</c:v>
                </c:pt>
                <c:pt idx="20">
                  <c:v>46</c:v>
                </c:pt>
                <c:pt idx="21">
                  <c:v>37</c:v>
                </c:pt>
                <c:pt idx="22">
                  <c:v>55</c:v>
                </c:pt>
                <c:pt idx="23">
                  <c:v>55</c:v>
                </c:pt>
                <c:pt idx="24">
                  <c:v>59</c:v>
                </c:pt>
                <c:pt idx="25">
                  <c:v>58</c:v>
                </c:pt>
                <c:pt idx="26">
                  <c:v>69</c:v>
                </c:pt>
                <c:pt idx="27">
                  <c:v>40</c:v>
                </c:pt>
                <c:pt idx="28">
                  <c:v>43</c:v>
                </c:pt>
                <c:pt idx="29">
                  <c:v>53</c:v>
                </c:pt>
                <c:pt idx="3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8-4221-90FE-24F27615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9008"/>
        <c:axId val="647483128"/>
      </c:barChart>
      <c:catAx>
        <c:axId val="6474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3128"/>
        <c:crosses val="autoZero"/>
        <c:auto val="1"/>
        <c:lblAlgn val="ctr"/>
        <c:lblOffset val="100"/>
        <c:noMultiLvlLbl val="0"/>
      </c:catAx>
      <c:valAx>
        <c:axId val="64748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'[27]Reading.11.22'!$ED$6:$ED$36</c:f>
              <c:numCache>
                <c:formatCode>General</c:formatCode>
                <c:ptCount val="31"/>
                <c:pt idx="0">
                  <c:v>52</c:v>
                </c:pt>
                <c:pt idx="1">
                  <c:v>73</c:v>
                </c:pt>
                <c:pt idx="2">
                  <c:v>73</c:v>
                </c:pt>
                <c:pt idx="3">
                  <c:v>45</c:v>
                </c:pt>
                <c:pt idx="4">
                  <c:v>55</c:v>
                </c:pt>
                <c:pt idx="5">
                  <c:v>91</c:v>
                </c:pt>
                <c:pt idx="6">
                  <c:v>35</c:v>
                </c:pt>
                <c:pt idx="7">
                  <c:v>43</c:v>
                </c:pt>
                <c:pt idx="8">
                  <c:v>71</c:v>
                </c:pt>
                <c:pt idx="9">
                  <c:v>54</c:v>
                </c:pt>
                <c:pt idx="10">
                  <c:v>55</c:v>
                </c:pt>
                <c:pt idx="11">
                  <c:v>69</c:v>
                </c:pt>
                <c:pt idx="12">
                  <c:v>71</c:v>
                </c:pt>
                <c:pt idx="13">
                  <c:v>51</c:v>
                </c:pt>
                <c:pt idx="14">
                  <c:v>54</c:v>
                </c:pt>
                <c:pt idx="15">
                  <c:v>72</c:v>
                </c:pt>
                <c:pt idx="16">
                  <c:v>69</c:v>
                </c:pt>
                <c:pt idx="17">
                  <c:v>48</c:v>
                </c:pt>
                <c:pt idx="18">
                  <c:v>54</c:v>
                </c:pt>
                <c:pt idx="19">
                  <c:v>60</c:v>
                </c:pt>
                <c:pt idx="20">
                  <c:v>52</c:v>
                </c:pt>
                <c:pt idx="21">
                  <c:v>71</c:v>
                </c:pt>
                <c:pt idx="22">
                  <c:v>69</c:v>
                </c:pt>
                <c:pt idx="23">
                  <c:v>64</c:v>
                </c:pt>
                <c:pt idx="24">
                  <c:v>60</c:v>
                </c:pt>
                <c:pt idx="25">
                  <c:v>44</c:v>
                </c:pt>
                <c:pt idx="26">
                  <c:v>51</c:v>
                </c:pt>
                <c:pt idx="27">
                  <c:v>51</c:v>
                </c:pt>
                <c:pt idx="28">
                  <c:v>47</c:v>
                </c:pt>
                <c:pt idx="2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6-486A-A24F-44D6E9446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9400"/>
        <c:axId val="647485872"/>
      </c:barChart>
      <c:catAx>
        <c:axId val="6474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5872"/>
        <c:crosses val="autoZero"/>
        <c:auto val="1"/>
        <c:lblAlgn val="ctr"/>
        <c:lblOffset val="100"/>
        <c:noMultiLvlLbl val="0"/>
      </c:catAx>
      <c:valAx>
        <c:axId val="64748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'[28]Reading.12.22'!$ED$6:$ED$36</c:f>
              <c:numCache>
                <c:formatCode>General</c:formatCode>
                <c:ptCount val="31"/>
                <c:pt idx="0">
                  <c:v>57</c:v>
                </c:pt>
                <c:pt idx="1">
                  <c:v>42</c:v>
                </c:pt>
                <c:pt idx="2">
                  <c:v>66</c:v>
                </c:pt>
                <c:pt idx="3">
                  <c:v>69</c:v>
                </c:pt>
                <c:pt idx="4">
                  <c:v>46</c:v>
                </c:pt>
                <c:pt idx="5">
                  <c:v>51</c:v>
                </c:pt>
                <c:pt idx="6">
                  <c:v>54</c:v>
                </c:pt>
                <c:pt idx="7">
                  <c:v>61</c:v>
                </c:pt>
                <c:pt idx="8">
                  <c:v>55</c:v>
                </c:pt>
                <c:pt idx="9">
                  <c:v>58</c:v>
                </c:pt>
                <c:pt idx="10">
                  <c:v>55</c:v>
                </c:pt>
                <c:pt idx="11">
                  <c:v>50</c:v>
                </c:pt>
                <c:pt idx="12">
                  <c:v>69</c:v>
                </c:pt>
                <c:pt idx="13">
                  <c:v>45</c:v>
                </c:pt>
                <c:pt idx="14">
                  <c:v>64</c:v>
                </c:pt>
                <c:pt idx="15">
                  <c:v>70</c:v>
                </c:pt>
                <c:pt idx="16">
                  <c:v>68</c:v>
                </c:pt>
                <c:pt idx="17">
                  <c:v>65</c:v>
                </c:pt>
                <c:pt idx="18">
                  <c:v>59</c:v>
                </c:pt>
                <c:pt idx="19">
                  <c:v>63</c:v>
                </c:pt>
                <c:pt idx="20">
                  <c:v>73</c:v>
                </c:pt>
                <c:pt idx="21">
                  <c:v>65</c:v>
                </c:pt>
                <c:pt idx="22">
                  <c:v>50</c:v>
                </c:pt>
                <c:pt idx="23">
                  <c:v>57</c:v>
                </c:pt>
                <c:pt idx="24">
                  <c:v>63</c:v>
                </c:pt>
                <c:pt idx="25">
                  <c:v>53</c:v>
                </c:pt>
                <c:pt idx="26">
                  <c:v>55</c:v>
                </c:pt>
                <c:pt idx="27">
                  <c:v>44</c:v>
                </c:pt>
                <c:pt idx="28">
                  <c:v>53</c:v>
                </c:pt>
                <c:pt idx="29">
                  <c:v>55</c:v>
                </c:pt>
                <c:pt idx="3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8-4027-9D39-653B5206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8224"/>
        <c:axId val="647489792"/>
      </c:barChart>
      <c:catAx>
        <c:axId val="6474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9792"/>
        <c:crosses val="autoZero"/>
        <c:auto val="1"/>
        <c:lblAlgn val="ctr"/>
        <c:lblOffset val="100"/>
        <c:noMultiLvlLbl val="0"/>
      </c:catAx>
      <c:valAx>
        <c:axId val="6474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'[29]Reading.1.23'!$ED$6:$ED$36</c:f>
              <c:numCache>
                <c:formatCode>General</c:formatCode>
                <c:ptCount val="31"/>
                <c:pt idx="0">
                  <c:v>38</c:v>
                </c:pt>
                <c:pt idx="1">
                  <c:v>44</c:v>
                </c:pt>
                <c:pt idx="2">
                  <c:v>46</c:v>
                </c:pt>
                <c:pt idx="3">
                  <c:v>53</c:v>
                </c:pt>
                <c:pt idx="4">
                  <c:v>57</c:v>
                </c:pt>
                <c:pt idx="5">
                  <c:v>53</c:v>
                </c:pt>
                <c:pt idx="6">
                  <c:v>54</c:v>
                </c:pt>
                <c:pt idx="7">
                  <c:v>44</c:v>
                </c:pt>
                <c:pt idx="8">
                  <c:v>50</c:v>
                </c:pt>
                <c:pt idx="9">
                  <c:v>50</c:v>
                </c:pt>
                <c:pt idx="10">
                  <c:v>64</c:v>
                </c:pt>
                <c:pt idx="11">
                  <c:v>59</c:v>
                </c:pt>
                <c:pt idx="12">
                  <c:v>53</c:v>
                </c:pt>
                <c:pt idx="13">
                  <c:v>48</c:v>
                </c:pt>
                <c:pt idx="14">
                  <c:v>51</c:v>
                </c:pt>
                <c:pt idx="15">
                  <c:v>46</c:v>
                </c:pt>
                <c:pt idx="16">
                  <c:v>47</c:v>
                </c:pt>
                <c:pt idx="17">
                  <c:v>61</c:v>
                </c:pt>
                <c:pt idx="18">
                  <c:v>49</c:v>
                </c:pt>
                <c:pt idx="19">
                  <c:v>51</c:v>
                </c:pt>
                <c:pt idx="20">
                  <c:v>36</c:v>
                </c:pt>
                <c:pt idx="21">
                  <c:v>35</c:v>
                </c:pt>
                <c:pt idx="22">
                  <c:v>54</c:v>
                </c:pt>
                <c:pt idx="23">
                  <c:v>43</c:v>
                </c:pt>
                <c:pt idx="24">
                  <c:v>52</c:v>
                </c:pt>
                <c:pt idx="25">
                  <c:v>49</c:v>
                </c:pt>
                <c:pt idx="26">
                  <c:v>40</c:v>
                </c:pt>
                <c:pt idx="27">
                  <c:v>48</c:v>
                </c:pt>
                <c:pt idx="28">
                  <c:v>43</c:v>
                </c:pt>
                <c:pt idx="29">
                  <c:v>41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F-48EF-9565-06D1AEB8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8616"/>
        <c:axId val="647483912"/>
      </c:barChart>
      <c:catAx>
        <c:axId val="64748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3912"/>
        <c:crosses val="autoZero"/>
        <c:auto val="1"/>
        <c:lblAlgn val="ctr"/>
        <c:lblOffset val="100"/>
        <c:noMultiLvlLbl val="0"/>
      </c:catAx>
      <c:valAx>
        <c:axId val="64748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'[30]Reading.2.23'!$ED$6:$ED$36</c:f>
              <c:numCache>
                <c:formatCode>General</c:formatCode>
                <c:ptCount val="31"/>
                <c:pt idx="0">
                  <c:v>59</c:v>
                </c:pt>
                <c:pt idx="1">
                  <c:v>50</c:v>
                </c:pt>
                <c:pt idx="2">
                  <c:v>33</c:v>
                </c:pt>
                <c:pt idx="3">
                  <c:v>50</c:v>
                </c:pt>
                <c:pt idx="4">
                  <c:v>48</c:v>
                </c:pt>
                <c:pt idx="5">
                  <c:v>39</c:v>
                </c:pt>
                <c:pt idx="6">
                  <c:v>39</c:v>
                </c:pt>
                <c:pt idx="7">
                  <c:v>57</c:v>
                </c:pt>
                <c:pt idx="8">
                  <c:v>44</c:v>
                </c:pt>
                <c:pt idx="9">
                  <c:v>35</c:v>
                </c:pt>
                <c:pt idx="10">
                  <c:v>47</c:v>
                </c:pt>
                <c:pt idx="11">
                  <c:v>44</c:v>
                </c:pt>
                <c:pt idx="12">
                  <c:v>36</c:v>
                </c:pt>
                <c:pt idx="13">
                  <c:v>44</c:v>
                </c:pt>
                <c:pt idx="14">
                  <c:v>72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54</c:v>
                </c:pt>
                <c:pt idx="19">
                  <c:v>38</c:v>
                </c:pt>
                <c:pt idx="20">
                  <c:v>47</c:v>
                </c:pt>
                <c:pt idx="21">
                  <c:v>57</c:v>
                </c:pt>
                <c:pt idx="22">
                  <c:v>47</c:v>
                </c:pt>
                <c:pt idx="23">
                  <c:v>44</c:v>
                </c:pt>
                <c:pt idx="24">
                  <c:v>52</c:v>
                </c:pt>
                <c:pt idx="25">
                  <c:v>46</c:v>
                </c:pt>
                <c:pt idx="26">
                  <c:v>38</c:v>
                </c:pt>
                <c:pt idx="2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4-43D1-957E-BB3116B2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2344"/>
        <c:axId val="647483520"/>
      </c:barChart>
      <c:catAx>
        <c:axId val="64748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3520"/>
        <c:crosses val="autoZero"/>
        <c:auto val="1"/>
        <c:lblAlgn val="ctr"/>
        <c:lblOffset val="100"/>
        <c:noMultiLvlLbl val="0"/>
      </c:catAx>
      <c:valAx>
        <c:axId val="6474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8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'[31]Reading.3.23'!$ED$6:$ED$36</c:f>
              <c:numCache>
                <c:formatCode>General</c:formatCode>
                <c:ptCount val="31"/>
                <c:pt idx="0">
                  <c:v>59</c:v>
                </c:pt>
                <c:pt idx="1">
                  <c:v>59</c:v>
                </c:pt>
                <c:pt idx="2">
                  <c:v>38</c:v>
                </c:pt>
                <c:pt idx="3">
                  <c:v>43</c:v>
                </c:pt>
                <c:pt idx="4">
                  <c:v>51</c:v>
                </c:pt>
                <c:pt idx="5">
                  <c:v>37</c:v>
                </c:pt>
                <c:pt idx="6">
                  <c:v>50</c:v>
                </c:pt>
                <c:pt idx="7">
                  <c:v>69</c:v>
                </c:pt>
                <c:pt idx="8">
                  <c:v>46</c:v>
                </c:pt>
                <c:pt idx="9">
                  <c:v>49</c:v>
                </c:pt>
                <c:pt idx="10">
                  <c:v>38</c:v>
                </c:pt>
                <c:pt idx="11">
                  <c:v>60</c:v>
                </c:pt>
                <c:pt idx="12">
                  <c:v>32</c:v>
                </c:pt>
                <c:pt idx="13">
                  <c:v>43</c:v>
                </c:pt>
                <c:pt idx="14">
                  <c:v>57</c:v>
                </c:pt>
                <c:pt idx="15">
                  <c:v>56</c:v>
                </c:pt>
                <c:pt idx="16">
                  <c:v>41</c:v>
                </c:pt>
                <c:pt idx="17">
                  <c:v>58</c:v>
                </c:pt>
                <c:pt idx="18">
                  <c:v>52</c:v>
                </c:pt>
                <c:pt idx="19">
                  <c:v>43</c:v>
                </c:pt>
                <c:pt idx="20">
                  <c:v>48</c:v>
                </c:pt>
                <c:pt idx="21">
                  <c:v>60</c:v>
                </c:pt>
                <c:pt idx="22">
                  <c:v>38</c:v>
                </c:pt>
                <c:pt idx="23">
                  <c:v>36</c:v>
                </c:pt>
                <c:pt idx="24">
                  <c:v>40</c:v>
                </c:pt>
                <c:pt idx="25">
                  <c:v>30</c:v>
                </c:pt>
                <c:pt idx="26">
                  <c:v>42</c:v>
                </c:pt>
                <c:pt idx="27">
                  <c:v>39</c:v>
                </c:pt>
                <c:pt idx="28">
                  <c:v>42</c:v>
                </c:pt>
                <c:pt idx="29">
                  <c:v>42</c:v>
                </c:pt>
                <c:pt idx="3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37D-A703-FA1C9075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41152"/>
        <c:axId val="541643112"/>
      </c:barChart>
      <c:catAx>
        <c:axId val="541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3112"/>
        <c:crosses val="autoZero"/>
        <c:auto val="1"/>
        <c:lblAlgn val="ctr"/>
        <c:lblOffset val="100"/>
        <c:noMultiLvlLbl val="0"/>
      </c:catAx>
      <c:valAx>
        <c:axId val="54164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'[32]Reading.4.23'!$ED$6:$ED$36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46</c:v>
                </c:pt>
                <c:pt idx="3">
                  <c:v>38</c:v>
                </c:pt>
                <c:pt idx="4">
                  <c:v>41</c:v>
                </c:pt>
                <c:pt idx="5">
                  <c:v>37</c:v>
                </c:pt>
                <c:pt idx="6">
                  <c:v>36</c:v>
                </c:pt>
                <c:pt idx="7">
                  <c:v>42</c:v>
                </c:pt>
                <c:pt idx="8">
                  <c:v>34</c:v>
                </c:pt>
                <c:pt idx="9">
                  <c:v>31</c:v>
                </c:pt>
                <c:pt idx="10">
                  <c:v>45</c:v>
                </c:pt>
                <c:pt idx="11">
                  <c:v>36</c:v>
                </c:pt>
                <c:pt idx="12">
                  <c:v>48</c:v>
                </c:pt>
                <c:pt idx="13">
                  <c:v>30</c:v>
                </c:pt>
                <c:pt idx="14">
                  <c:v>39</c:v>
                </c:pt>
                <c:pt idx="15">
                  <c:v>40</c:v>
                </c:pt>
                <c:pt idx="16">
                  <c:v>43</c:v>
                </c:pt>
                <c:pt idx="17">
                  <c:v>51</c:v>
                </c:pt>
                <c:pt idx="18">
                  <c:v>47</c:v>
                </c:pt>
                <c:pt idx="19">
                  <c:v>42</c:v>
                </c:pt>
                <c:pt idx="20">
                  <c:v>48</c:v>
                </c:pt>
                <c:pt idx="21">
                  <c:v>44</c:v>
                </c:pt>
                <c:pt idx="22">
                  <c:v>68</c:v>
                </c:pt>
                <c:pt idx="23">
                  <c:v>48</c:v>
                </c:pt>
                <c:pt idx="24">
                  <c:v>46</c:v>
                </c:pt>
                <c:pt idx="25">
                  <c:v>67</c:v>
                </c:pt>
                <c:pt idx="26">
                  <c:v>46</c:v>
                </c:pt>
                <c:pt idx="27">
                  <c:v>44</c:v>
                </c:pt>
                <c:pt idx="28">
                  <c:v>61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F60-A81A-285783B18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43504"/>
        <c:axId val="541643896"/>
      </c:barChart>
      <c:catAx>
        <c:axId val="54164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3896"/>
        <c:crosses val="autoZero"/>
        <c:auto val="1"/>
        <c:lblAlgn val="ctr"/>
        <c:lblOffset val="100"/>
        <c:noMultiLvlLbl val="0"/>
      </c:catAx>
      <c:valAx>
        <c:axId val="54164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'[33]Reading.5.23'!$ED$6:$ED$36</c:f>
              <c:numCache>
                <c:formatCode>General</c:formatCode>
                <c:ptCount val="31"/>
                <c:pt idx="0">
                  <c:v>57</c:v>
                </c:pt>
                <c:pt idx="1">
                  <c:v>51</c:v>
                </c:pt>
                <c:pt idx="2">
                  <c:v>61</c:v>
                </c:pt>
                <c:pt idx="3">
                  <c:v>45</c:v>
                </c:pt>
                <c:pt idx="4">
                  <c:v>34</c:v>
                </c:pt>
                <c:pt idx="5">
                  <c:v>54</c:v>
                </c:pt>
                <c:pt idx="6">
                  <c:v>57</c:v>
                </c:pt>
                <c:pt idx="7">
                  <c:v>49</c:v>
                </c:pt>
                <c:pt idx="8">
                  <c:v>55</c:v>
                </c:pt>
                <c:pt idx="9">
                  <c:v>54</c:v>
                </c:pt>
                <c:pt idx="10">
                  <c:v>57</c:v>
                </c:pt>
                <c:pt idx="11">
                  <c:v>28</c:v>
                </c:pt>
                <c:pt idx="12">
                  <c:v>52</c:v>
                </c:pt>
                <c:pt idx="13">
                  <c:v>43</c:v>
                </c:pt>
                <c:pt idx="14">
                  <c:v>54</c:v>
                </c:pt>
                <c:pt idx="15">
                  <c:v>47</c:v>
                </c:pt>
                <c:pt idx="16">
                  <c:v>40</c:v>
                </c:pt>
                <c:pt idx="17">
                  <c:v>60</c:v>
                </c:pt>
                <c:pt idx="18">
                  <c:v>28</c:v>
                </c:pt>
                <c:pt idx="19">
                  <c:v>59</c:v>
                </c:pt>
                <c:pt idx="20">
                  <c:v>57</c:v>
                </c:pt>
                <c:pt idx="21">
                  <c:v>40</c:v>
                </c:pt>
                <c:pt idx="22">
                  <c:v>51</c:v>
                </c:pt>
                <c:pt idx="23">
                  <c:v>55</c:v>
                </c:pt>
                <c:pt idx="24">
                  <c:v>53</c:v>
                </c:pt>
                <c:pt idx="25">
                  <c:v>36</c:v>
                </c:pt>
                <c:pt idx="26">
                  <c:v>29</c:v>
                </c:pt>
                <c:pt idx="27">
                  <c:v>46</c:v>
                </c:pt>
                <c:pt idx="28">
                  <c:v>43</c:v>
                </c:pt>
                <c:pt idx="29">
                  <c:v>45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C-4963-AE26-9BF7B99E1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39192"/>
        <c:axId val="541645856"/>
      </c:barChart>
      <c:catAx>
        <c:axId val="54163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5856"/>
        <c:crosses val="autoZero"/>
        <c:auto val="1"/>
        <c:lblAlgn val="ctr"/>
        <c:lblOffset val="100"/>
        <c:noMultiLvlLbl val="0"/>
      </c:catAx>
      <c:valAx>
        <c:axId val="541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3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'[34]Reading.6.23'!$ED$6:$ED$36</c:f>
              <c:numCache>
                <c:formatCode>General</c:formatCode>
                <c:ptCount val="31"/>
                <c:pt idx="0">
                  <c:v>37</c:v>
                </c:pt>
                <c:pt idx="1">
                  <c:v>48</c:v>
                </c:pt>
                <c:pt idx="2">
                  <c:v>47</c:v>
                </c:pt>
                <c:pt idx="3">
                  <c:v>37</c:v>
                </c:pt>
                <c:pt idx="4">
                  <c:v>60</c:v>
                </c:pt>
                <c:pt idx="5">
                  <c:v>44</c:v>
                </c:pt>
                <c:pt idx="6">
                  <c:v>39</c:v>
                </c:pt>
                <c:pt idx="7">
                  <c:v>47</c:v>
                </c:pt>
                <c:pt idx="8">
                  <c:v>46</c:v>
                </c:pt>
                <c:pt idx="9">
                  <c:v>48</c:v>
                </c:pt>
                <c:pt idx="10">
                  <c:v>49</c:v>
                </c:pt>
                <c:pt idx="11">
                  <c:v>43</c:v>
                </c:pt>
                <c:pt idx="12">
                  <c:v>48</c:v>
                </c:pt>
                <c:pt idx="13">
                  <c:v>52</c:v>
                </c:pt>
                <c:pt idx="14">
                  <c:v>50</c:v>
                </c:pt>
                <c:pt idx="15">
                  <c:v>43</c:v>
                </c:pt>
                <c:pt idx="16">
                  <c:v>21</c:v>
                </c:pt>
                <c:pt idx="17">
                  <c:v>78</c:v>
                </c:pt>
                <c:pt idx="18">
                  <c:v>47</c:v>
                </c:pt>
                <c:pt idx="19">
                  <c:v>50</c:v>
                </c:pt>
                <c:pt idx="20">
                  <c:v>55</c:v>
                </c:pt>
                <c:pt idx="21">
                  <c:v>46</c:v>
                </c:pt>
                <c:pt idx="22">
                  <c:v>48</c:v>
                </c:pt>
                <c:pt idx="23">
                  <c:v>48</c:v>
                </c:pt>
                <c:pt idx="24">
                  <c:v>63</c:v>
                </c:pt>
                <c:pt idx="25">
                  <c:v>41</c:v>
                </c:pt>
                <c:pt idx="26">
                  <c:v>50</c:v>
                </c:pt>
                <c:pt idx="27">
                  <c:v>62</c:v>
                </c:pt>
                <c:pt idx="28">
                  <c:v>44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4-41A7-BAD9-D5127CB8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44288"/>
        <c:axId val="541640760"/>
      </c:barChart>
      <c:catAx>
        <c:axId val="5416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0760"/>
        <c:crosses val="autoZero"/>
        <c:auto val="1"/>
        <c:lblAlgn val="ctr"/>
        <c:lblOffset val="100"/>
        <c:noMultiLvlLbl val="0"/>
      </c:catAx>
      <c:valAx>
        <c:axId val="54164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'[35]Reading.7.23'!$EG$6:$EG$36</c:f>
              <c:numCache>
                <c:formatCode>General</c:formatCode>
                <c:ptCount val="31"/>
                <c:pt idx="0">
                  <c:v>61</c:v>
                </c:pt>
                <c:pt idx="1">
                  <c:v>42</c:v>
                </c:pt>
                <c:pt idx="2">
                  <c:v>72</c:v>
                </c:pt>
                <c:pt idx="3">
                  <c:v>24</c:v>
                </c:pt>
                <c:pt idx="4">
                  <c:v>54</c:v>
                </c:pt>
                <c:pt idx="5">
                  <c:v>48</c:v>
                </c:pt>
                <c:pt idx="6">
                  <c:v>46</c:v>
                </c:pt>
                <c:pt idx="7">
                  <c:v>55</c:v>
                </c:pt>
                <c:pt idx="8">
                  <c:v>50</c:v>
                </c:pt>
                <c:pt idx="9">
                  <c:v>39</c:v>
                </c:pt>
                <c:pt idx="10">
                  <c:v>45</c:v>
                </c:pt>
                <c:pt idx="11">
                  <c:v>45</c:v>
                </c:pt>
                <c:pt idx="12">
                  <c:v>51</c:v>
                </c:pt>
                <c:pt idx="13">
                  <c:v>47</c:v>
                </c:pt>
                <c:pt idx="14">
                  <c:v>54</c:v>
                </c:pt>
                <c:pt idx="15">
                  <c:v>45</c:v>
                </c:pt>
                <c:pt idx="16">
                  <c:v>54</c:v>
                </c:pt>
                <c:pt idx="17">
                  <c:v>37</c:v>
                </c:pt>
                <c:pt idx="18">
                  <c:v>53</c:v>
                </c:pt>
                <c:pt idx="19">
                  <c:v>50</c:v>
                </c:pt>
                <c:pt idx="20">
                  <c:v>40</c:v>
                </c:pt>
                <c:pt idx="21">
                  <c:v>41</c:v>
                </c:pt>
                <c:pt idx="22">
                  <c:v>45</c:v>
                </c:pt>
                <c:pt idx="23">
                  <c:v>42</c:v>
                </c:pt>
                <c:pt idx="24">
                  <c:v>36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62</c:v>
                </c:pt>
                <c:pt idx="29">
                  <c:v>6</c:v>
                </c:pt>
                <c:pt idx="3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2-453B-AD7E-E3E11052B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46248"/>
        <c:axId val="541645464"/>
      </c:barChart>
      <c:catAx>
        <c:axId val="54164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5464"/>
        <c:crosses val="autoZero"/>
        <c:auto val="1"/>
        <c:lblAlgn val="ctr"/>
        <c:lblOffset val="100"/>
        <c:noMultiLvlLbl val="0"/>
      </c:catAx>
      <c:valAx>
        <c:axId val="54164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'[36]Reading.8.23'!$EG$6:$EG$36</c:f>
              <c:numCache>
                <c:formatCode>General</c:formatCode>
                <c:ptCount val="31"/>
                <c:pt idx="0">
                  <c:v>46</c:v>
                </c:pt>
                <c:pt idx="1">
                  <c:v>69</c:v>
                </c:pt>
                <c:pt idx="2">
                  <c:v>53</c:v>
                </c:pt>
                <c:pt idx="3">
                  <c:v>44</c:v>
                </c:pt>
                <c:pt idx="4">
                  <c:v>62</c:v>
                </c:pt>
                <c:pt idx="5">
                  <c:v>50</c:v>
                </c:pt>
                <c:pt idx="6">
                  <c:v>61</c:v>
                </c:pt>
                <c:pt idx="7">
                  <c:v>56</c:v>
                </c:pt>
                <c:pt idx="8">
                  <c:v>31</c:v>
                </c:pt>
                <c:pt idx="9">
                  <c:v>54</c:v>
                </c:pt>
                <c:pt idx="10">
                  <c:v>44</c:v>
                </c:pt>
                <c:pt idx="11">
                  <c:v>57</c:v>
                </c:pt>
                <c:pt idx="12">
                  <c:v>43</c:v>
                </c:pt>
                <c:pt idx="13">
                  <c:v>49</c:v>
                </c:pt>
                <c:pt idx="14">
                  <c:v>39</c:v>
                </c:pt>
                <c:pt idx="15">
                  <c:v>51</c:v>
                </c:pt>
                <c:pt idx="16">
                  <c:v>49</c:v>
                </c:pt>
                <c:pt idx="17">
                  <c:v>49</c:v>
                </c:pt>
                <c:pt idx="18">
                  <c:v>58</c:v>
                </c:pt>
                <c:pt idx="19">
                  <c:v>57</c:v>
                </c:pt>
                <c:pt idx="20">
                  <c:v>39</c:v>
                </c:pt>
                <c:pt idx="21">
                  <c:v>47</c:v>
                </c:pt>
                <c:pt idx="22">
                  <c:v>44</c:v>
                </c:pt>
                <c:pt idx="23">
                  <c:v>57</c:v>
                </c:pt>
                <c:pt idx="24">
                  <c:v>36</c:v>
                </c:pt>
                <c:pt idx="25">
                  <c:v>55</c:v>
                </c:pt>
                <c:pt idx="26">
                  <c:v>44</c:v>
                </c:pt>
                <c:pt idx="27">
                  <c:v>57</c:v>
                </c:pt>
                <c:pt idx="28">
                  <c:v>45</c:v>
                </c:pt>
                <c:pt idx="29">
                  <c:v>60</c:v>
                </c:pt>
                <c:pt idx="3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7-4243-80B3-CEEA516F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42720"/>
        <c:axId val="541644680"/>
      </c:barChart>
      <c:catAx>
        <c:axId val="5416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4680"/>
        <c:crosses val="autoZero"/>
        <c:auto val="1"/>
        <c:lblAlgn val="ctr"/>
        <c:lblOffset val="100"/>
        <c:noMultiLvlLbl val="0"/>
      </c:catAx>
      <c:valAx>
        <c:axId val="54164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20</c:v>
                </c:pt>
                <c:pt idx="1">
                  <c:v>68</c:v>
                </c:pt>
                <c:pt idx="2">
                  <c:v>51</c:v>
                </c:pt>
                <c:pt idx="3">
                  <c:v>47</c:v>
                </c:pt>
                <c:pt idx="4">
                  <c:v>40</c:v>
                </c:pt>
                <c:pt idx="5">
                  <c:v>65</c:v>
                </c:pt>
                <c:pt idx="6">
                  <c:v>73</c:v>
                </c:pt>
                <c:pt idx="7">
                  <c:v>25</c:v>
                </c:pt>
                <c:pt idx="8">
                  <c:v>63</c:v>
                </c:pt>
                <c:pt idx="9">
                  <c:v>68</c:v>
                </c:pt>
                <c:pt idx="10">
                  <c:v>66</c:v>
                </c:pt>
                <c:pt idx="11">
                  <c:v>47</c:v>
                </c:pt>
                <c:pt idx="12">
                  <c:v>28</c:v>
                </c:pt>
                <c:pt idx="13">
                  <c:v>55</c:v>
                </c:pt>
                <c:pt idx="14">
                  <c:v>50</c:v>
                </c:pt>
                <c:pt idx="15">
                  <c:v>59</c:v>
                </c:pt>
                <c:pt idx="16">
                  <c:v>57</c:v>
                </c:pt>
                <c:pt idx="17">
                  <c:v>50</c:v>
                </c:pt>
                <c:pt idx="18">
                  <c:v>39</c:v>
                </c:pt>
                <c:pt idx="19">
                  <c:v>52</c:v>
                </c:pt>
                <c:pt idx="20">
                  <c:v>73</c:v>
                </c:pt>
                <c:pt idx="21">
                  <c:v>40</c:v>
                </c:pt>
                <c:pt idx="22">
                  <c:v>54</c:v>
                </c:pt>
                <c:pt idx="23">
                  <c:v>35</c:v>
                </c:pt>
                <c:pt idx="24">
                  <c:v>84</c:v>
                </c:pt>
                <c:pt idx="25">
                  <c:v>24</c:v>
                </c:pt>
                <c:pt idx="26">
                  <c:v>64</c:v>
                </c:pt>
                <c:pt idx="27">
                  <c:v>50</c:v>
                </c:pt>
                <c:pt idx="28">
                  <c:v>56</c:v>
                </c:pt>
                <c:pt idx="2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6E2-A0C4-7BA0C395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39584"/>
        <c:axId val="743583912"/>
      </c:barChart>
      <c:catAx>
        <c:axId val="5416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3912"/>
        <c:crosses val="autoZero"/>
        <c:auto val="1"/>
        <c:lblAlgn val="ctr"/>
        <c:lblOffset val="100"/>
        <c:noMultiLvlLbl val="0"/>
      </c:catAx>
      <c:valAx>
        <c:axId val="74358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2-48DC-8E3A-2E743CD19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89400"/>
        <c:axId val="743584696"/>
      </c:barChart>
      <c:catAx>
        <c:axId val="7435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4696"/>
        <c:crosses val="autoZero"/>
        <c:auto val="1"/>
        <c:lblAlgn val="ctr"/>
        <c:lblOffset val="100"/>
        <c:noMultiLvlLbl val="0"/>
      </c:catAx>
      <c:valAx>
        <c:axId val="74358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'[37]Reading.10.23'!$EG$6:$EG$36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FEE-B1D7-A70EAF0AD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96064"/>
        <c:axId val="743594888"/>
      </c:barChart>
      <c:catAx>
        <c:axId val="74359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4888"/>
        <c:crosses val="autoZero"/>
        <c:auto val="1"/>
        <c:lblAlgn val="ctr"/>
        <c:lblOffset val="100"/>
        <c:noMultiLvlLbl val="0"/>
      </c:catAx>
      <c:valAx>
        <c:axId val="74359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'[37]Reading.10.23'!$EG$6:$EG$36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F23-9C93-C8CB692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84304"/>
        <c:axId val="743586264"/>
      </c:barChart>
      <c:catAx>
        <c:axId val="7435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6264"/>
        <c:crosses val="autoZero"/>
        <c:auto val="1"/>
        <c:lblAlgn val="ctr"/>
        <c:lblOffset val="100"/>
        <c:noMultiLvlLbl val="0"/>
      </c:catAx>
      <c:valAx>
        <c:axId val="74358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'[38]Reading.11.23'!$EG$6:$EG$36</c:f>
              <c:numCache>
                <c:formatCode>General</c:formatCode>
                <c:ptCount val="31"/>
                <c:pt idx="0">
                  <c:v>50</c:v>
                </c:pt>
                <c:pt idx="1">
                  <c:v>47</c:v>
                </c:pt>
                <c:pt idx="2">
                  <c:v>42</c:v>
                </c:pt>
                <c:pt idx="3">
                  <c:v>54</c:v>
                </c:pt>
                <c:pt idx="4">
                  <c:v>45</c:v>
                </c:pt>
                <c:pt idx="5">
                  <c:v>56</c:v>
                </c:pt>
                <c:pt idx="6">
                  <c:v>33</c:v>
                </c:pt>
                <c:pt idx="7">
                  <c:v>77</c:v>
                </c:pt>
                <c:pt idx="8">
                  <c:v>46</c:v>
                </c:pt>
                <c:pt idx="9">
                  <c:v>35</c:v>
                </c:pt>
                <c:pt idx="10">
                  <c:v>34</c:v>
                </c:pt>
                <c:pt idx="11">
                  <c:v>47</c:v>
                </c:pt>
                <c:pt idx="12">
                  <c:v>44</c:v>
                </c:pt>
                <c:pt idx="13">
                  <c:v>31</c:v>
                </c:pt>
                <c:pt idx="14">
                  <c:v>60</c:v>
                </c:pt>
                <c:pt idx="15">
                  <c:v>42</c:v>
                </c:pt>
                <c:pt idx="16">
                  <c:v>37</c:v>
                </c:pt>
                <c:pt idx="17">
                  <c:v>49</c:v>
                </c:pt>
                <c:pt idx="18">
                  <c:v>44</c:v>
                </c:pt>
                <c:pt idx="19">
                  <c:v>44</c:v>
                </c:pt>
                <c:pt idx="20">
                  <c:v>36</c:v>
                </c:pt>
                <c:pt idx="21">
                  <c:v>49</c:v>
                </c:pt>
                <c:pt idx="22">
                  <c:v>49</c:v>
                </c:pt>
                <c:pt idx="23">
                  <c:v>41</c:v>
                </c:pt>
                <c:pt idx="24">
                  <c:v>49</c:v>
                </c:pt>
                <c:pt idx="25">
                  <c:v>48</c:v>
                </c:pt>
                <c:pt idx="26">
                  <c:v>48</c:v>
                </c:pt>
                <c:pt idx="27">
                  <c:v>58</c:v>
                </c:pt>
                <c:pt idx="28">
                  <c:v>34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F-4F77-86E9-5DA28FBDD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90968"/>
        <c:axId val="743587048"/>
      </c:barChart>
      <c:catAx>
        <c:axId val="74359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7048"/>
        <c:crosses val="autoZero"/>
        <c:auto val="1"/>
        <c:lblAlgn val="ctr"/>
        <c:lblOffset val="100"/>
        <c:noMultiLvlLbl val="0"/>
      </c:catAx>
      <c:valAx>
        <c:axId val="74358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'[39]Reading.12.23'!$EG$6:$EG$36</c:f>
              <c:numCache>
                <c:formatCode>General</c:formatCode>
                <c:ptCount val="31"/>
                <c:pt idx="0">
                  <c:v>54</c:v>
                </c:pt>
                <c:pt idx="1">
                  <c:v>35</c:v>
                </c:pt>
                <c:pt idx="2">
                  <c:v>39</c:v>
                </c:pt>
                <c:pt idx="3">
                  <c:v>46</c:v>
                </c:pt>
                <c:pt idx="4">
                  <c:v>39</c:v>
                </c:pt>
                <c:pt idx="5">
                  <c:v>47</c:v>
                </c:pt>
                <c:pt idx="6">
                  <c:v>40</c:v>
                </c:pt>
                <c:pt idx="7">
                  <c:v>43</c:v>
                </c:pt>
                <c:pt idx="8">
                  <c:v>51</c:v>
                </c:pt>
                <c:pt idx="9">
                  <c:v>47</c:v>
                </c:pt>
                <c:pt idx="10">
                  <c:v>70</c:v>
                </c:pt>
                <c:pt idx="11">
                  <c:v>39</c:v>
                </c:pt>
                <c:pt idx="12">
                  <c:v>48</c:v>
                </c:pt>
                <c:pt idx="13">
                  <c:v>32</c:v>
                </c:pt>
                <c:pt idx="14">
                  <c:v>46</c:v>
                </c:pt>
                <c:pt idx="15">
                  <c:v>75</c:v>
                </c:pt>
                <c:pt idx="16">
                  <c:v>24</c:v>
                </c:pt>
                <c:pt idx="17">
                  <c:v>58</c:v>
                </c:pt>
                <c:pt idx="18">
                  <c:v>23</c:v>
                </c:pt>
                <c:pt idx="19">
                  <c:v>50</c:v>
                </c:pt>
                <c:pt idx="20">
                  <c:v>61</c:v>
                </c:pt>
                <c:pt idx="21">
                  <c:v>41</c:v>
                </c:pt>
                <c:pt idx="22">
                  <c:v>45</c:v>
                </c:pt>
                <c:pt idx="23">
                  <c:v>66</c:v>
                </c:pt>
                <c:pt idx="24">
                  <c:v>22</c:v>
                </c:pt>
                <c:pt idx="25">
                  <c:v>39</c:v>
                </c:pt>
                <c:pt idx="26">
                  <c:v>62</c:v>
                </c:pt>
                <c:pt idx="27">
                  <c:v>68</c:v>
                </c:pt>
                <c:pt idx="28">
                  <c:v>0</c:v>
                </c:pt>
                <c:pt idx="29">
                  <c:v>62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6-44E4-8F7A-4AA84D5CF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85480"/>
        <c:axId val="743587440"/>
      </c:barChart>
      <c:catAx>
        <c:axId val="74358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7440"/>
        <c:crosses val="autoZero"/>
        <c:auto val="1"/>
        <c:lblAlgn val="ctr"/>
        <c:lblOffset val="100"/>
        <c:noMultiLvlLbl val="0"/>
      </c:catAx>
      <c:valAx>
        <c:axId val="7435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5-4DAA-B0FA-967DF7CF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86656"/>
        <c:axId val="743595672"/>
      </c:barChart>
      <c:catAx>
        <c:axId val="74358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5672"/>
        <c:crosses val="autoZero"/>
        <c:auto val="1"/>
        <c:lblAlgn val="ctr"/>
        <c:lblOffset val="100"/>
        <c:noMultiLvlLbl val="0"/>
      </c:catAx>
      <c:valAx>
        <c:axId val="74359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'[40]Reading.2.24'!$EG$6:$EG$36</c:f>
              <c:numCache>
                <c:formatCode>General</c:formatCode>
                <c:ptCount val="31"/>
                <c:pt idx="0">
                  <c:v>44</c:v>
                </c:pt>
                <c:pt idx="1">
                  <c:v>37</c:v>
                </c:pt>
                <c:pt idx="2">
                  <c:v>47</c:v>
                </c:pt>
                <c:pt idx="3">
                  <c:v>39</c:v>
                </c:pt>
                <c:pt idx="4">
                  <c:v>41</c:v>
                </c:pt>
                <c:pt idx="5">
                  <c:v>45</c:v>
                </c:pt>
                <c:pt idx="6">
                  <c:v>70</c:v>
                </c:pt>
                <c:pt idx="7">
                  <c:v>41</c:v>
                </c:pt>
                <c:pt idx="8">
                  <c:v>24</c:v>
                </c:pt>
                <c:pt idx="9">
                  <c:v>54</c:v>
                </c:pt>
                <c:pt idx="10">
                  <c:v>45</c:v>
                </c:pt>
                <c:pt idx="11">
                  <c:v>45</c:v>
                </c:pt>
                <c:pt idx="12">
                  <c:v>46</c:v>
                </c:pt>
                <c:pt idx="13">
                  <c:v>62</c:v>
                </c:pt>
                <c:pt idx="14">
                  <c:v>70</c:v>
                </c:pt>
                <c:pt idx="15">
                  <c:v>80</c:v>
                </c:pt>
                <c:pt idx="16">
                  <c:v>22</c:v>
                </c:pt>
                <c:pt idx="17">
                  <c:v>44</c:v>
                </c:pt>
                <c:pt idx="18">
                  <c:v>43</c:v>
                </c:pt>
                <c:pt idx="19">
                  <c:v>61</c:v>
                </c:pt>
                <c:pt idx="20">
                  <c:v>50</c:v>
                </c:pt>
                <c:pt idx="21">
                  <c:v>81</c:v>
                </c:pt>
                <c:pt idx="22">
                  <c:v>44</c:v>
                </c:pt>
                <c:pt idx="23">
                  <c:v>49</c:v>
                </c:pt>
                <c:pt idx="24">
                  <c:v>55</c:v>
                </c:pt>
                <c:pt idx="25">
                  <c:v>61</c:v>
                </c:pt>
                <c:pt idx="26">
                  <c:v>60</c:v>
                </c:pt>
                <c:pt idx="27">
                  <c:v>68</c:v>
                </c:pt>
                <c:pt idx="2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E38-925C-3F77EAA2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592928"/>
        <c:axId val="743594496"/>
      </c:barChart>
      <c:catAx>
        <c:axId val="74359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4496"/>
        <c:crosses val="autoZero"/>
        <c:auto val="1"/>
        <c:lblAlgn val="ctr"/>
        <c:lblOffset val="100"/>
        <c:noMultiLvlLbl val="0"/>
      </c:catAx>
      <c:valAx>
        <c:axId val="7435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9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'[1]Reading.4.24'!$EG$6:$EG$36</c:f>
              <c:numCache>
                <c:formatCode>General</c:formatCode>
                <c:ptCount val="31"/>
                <c:pt idx="0">
                  <c:v>40</c:v>
                </c:pt>
                <c:pt idx="1">
                  <c:v>49</c:v>
                </c:pt>
                <c:pt idx="2">
                  <c:v>45</c:v>
                </c:pt>
                <c:pt idx="3">
                  <c:v>59</c:v>
                </c:pt>
                <c:pt idx="4">
                  <c:v>43</c:v>
                </c:pt>
                <c:pt idx="5">
                  <c:v>53</c:v>
                </c:pt>
                <c:pt idx="6">
                  <c:v>65</c:v>
                </c:pt>
                <c:pt idx="7">
                  <c:v>56</c:v>
                </c:pt>
                <c:pt idx="8">
                  <c:v>23</c:v>
                </c:pt>
                <c:pt idx="9">
                  <c:v>53</c:v>
                </c:pt>
                <c:pt idx="10">
                  <c:v>52</c:v>
                </c:pt>
                <c:pt idx="11">
                  <c:v>67</c:v>
                </c:pt>
                <c:pt idx="12">
                  <c:v>59</c:v>
                </c:pt>
                <c:pt idx="13">
                  <c:v>48</c:v>
                </c:pt>
                <c:pt idx="14">
                  <c:v>46</c:v>
                </c:pt>
                <c:pt idx="15">
                  <c:v>46</c:v>
                </c:pt>
                <c:pt idx="16">
                  <c:v>73</c:v>
                </c:pt>
                <c:pt idx="17">
                  <c:v>61</c:v>
                </c:pt>
                <c:pt idx="18">
                  <c:v>57</c:v>
                </c:pt>
                <c:pt idx="19">
                  <c:v>60</c:v>
                </c:pt>
                <c:pt idx="20">
                  <c:v>65</c:v>
                </c:pt>
                <c:pt idx="21">
                  <c:v>61</c:v>
                </c:pt>
                <c:pt idx="22">
                  <c:v>48</c:v>
                </c:pt>
                <c:pt idx="23">
                  <c:v>58</c:v>
                </c:pt>
                <c:pt idx="24">
                  <c:v>55</c:v>
                </c:pt>
                <c:pt idx="25">
                  <c:v>49</c:v>
                </c:pt>
                <c:pt idx="26">
                  <c:v>58</c:v>
                </c:pt>
                <c:pt idx="27">
                  <c:v>60</c:v>
                </c:pt>
                <c:pt idx="28">
                  <c:v>53</c:v>
                </c:pt>
                <c:pt idx="2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B-4609-831A-C80D7AA8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864224"/>
        <c:axId val="483863832"/>
      </c:barChart>
      <c:catAx>
        <c:axId val="4838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63832"/>
        <c:crosses val="autoZero"/>
        <c:auto val="1"/>
        <c:lblAlgn val="ctr"/>
        <c:lblOffset val="100"/>
        <c:noMultiLvlLbl val="0"/>
      </c:catAx>
      <c:valAx>
        <c:axId val="48386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3079615048119"/>
          <c:y val="4.2538389597851986E-2"/>
          <c:w val="0.65751290463692036"/>
          <c:h val="0.83301384740700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r>
                      <a:rPr lang="en-US" b="1"/>
                      <a:t>Actual</a:t>
                    </a:r>
                    <a:r>
                      <a:rPr lang="en-US"/>
                      <a:t> 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12D-4AF9-A030-49648E76EDE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new'!$E$22</c:f>
              <c:numCache>
                <c:formatCode>_(* #,##0.00_);_(* \(#,##0.00\);_(* "-"??_);_(@_)</c:formatCode>
                <c:ptCount val="1"/>
                <c:pt idx="0">
                  <c:v>163.33877245660815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D-4AF9-A030-49648E76EDED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r>
                      <a:rPr lang="en-US" b="1"/>
                      <a:t>Budget 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12D-4AF9-A030-49648E76EDE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new'!$F$22</c:f>
              <c:numCache>
                <c:formatCode>_(* #,##0.00_);_(* \(#,##0.00\);_(* "-"??_);_(@_)</c:formatCode>
                <c:ptCount val="1"/>
                <c:pt idx="0">
                  <c:v>334.74341379856344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D-4AF9-A030-49648E76EDED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FFFF00"/>
                        </a:solidFill>
                      </a:rPr>
                      <a:t> Last</a:t>
                    </a:r>
                    <a:r>
                      <a:rPr lang="en-US" b="1" baseline="0">
                        <a:solidFill>
                          <a:srgbClr val="FFFF00"/>
                        </a:solidFill>
                      </a:rPr>
                      <a:t> Year</a:t>
                    </a:r>
                    <a:endParaRPr lang="en-US" b="1">
                      <a:solidFill>
                        <a:srgbClr val="FFFF00"/>
                      </a:solidFill>
                    </a:endParaRP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12D-4AF9-A030-49648E76EDED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new'!$G$22</c:f>
              <c:numCache>
                <c:formatCode>_(* #,##0.00_);_(* \(#,##0.00\);_(* "-"??_);_(@_)</c:formatCode>
                <c:ptCount val="1"/>
                <c:pt idx="0">
                  <c:v>109.50474678432441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2D-4AF9-A030-49648E76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589008"/>
        <c:axId val="743595280"/>
      </c:barChart>
      <c:catAx>
        <c:axId val="74358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359528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74359528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crossAx val="743589008"/>
        <c:crossesAt val="1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4D5-4CE0-BD4A-19F681C361A0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new'!$E$12</c:f>
              <c:numCache>
                <c:formatCode>_(* #,##0_);_(* \(#,##0\);_(* "-"??_);_(@_)</c:formatCode>
                <c:ptCount val="1"/>
                <c:pt idx="0">
                  <c:v>103619.99999999418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5-4CE0-BD4A-19F681C361A0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4D5-4CE0-BD4A-19F681C361A0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new'!$F$12</c:f>
              <c:numCache>
                <c:formatCode>_(* #,##0_);_(* \(#,##0\);_(* "-"??_);_(@_)</c:formatCode>
                <c:ptCount val="1"/>
                <c:pt idx="0">
                  <c:v>79663.600000000006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5-4CE0-BD4A-19F681C361A0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Last Year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4D5-4CE0-BD4A-19F681C361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new'!$G$12</c:f>
              <c:numCache>
                <c:formatCode>_(* #,##0_);_(* \(#,##0\);_(* "-"??_);_(@_)</c:formatCode>
                <c:ptCount val="1"/>
                <c:pt idx="0">
                  <c:v>85479.999999981374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5-4CE0-BD4A-19F681C3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592144"/>
        <c:axId val="743585872"/>
      </c:barChart>
      <c:catAx>
        <c:axId val="74359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3585872"/>
        <c:crosses val="autoZero"/>
        <c:auto val="1"/>
        <c:lblAlgn val="ctr"/>
        <c:lblOffset val="100"/>
        <c:noMultiLvlLbl val="0"/>
      </c:catAx>
      <c:valAx>
        <c:axId val="7435858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743592144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F33-4ABC-A7D6-38F4A9D19CEC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new'!$E$15</c:f>
              <c:numCache>
                <c:formatCode>_(* #,##0_);_(* \(#,##0\);_(* "-"??_);_(@_)</c:formatCode>
                <c:ptCount val="1"/>
                <c:pt idx="0">
                  <c:v>2000.7400000000002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3-4ABC-A7D6-38F4A9D19CEC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F33-4ABC-A7D6-38F4A9D19CEC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new'!$F$15</c:f>
              <c:numCache>
                <c:formatCode>_(* #,##0_);_(* \(#,##0\);_(* "-"??_);_(@_)</c:formatCode>
                <c:ptCount val="1"/>
                <c:pt idx="0">
                  <c:v>1462.5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3-4ABC-A7D6-38F4A9D19CEC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Last Year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F33-4ABC-A7D6-38F4A9D19C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new'!$G$15</c:f>
              <c:numCache>
                <c:formatCode>_(* #,##0_);_(* \(#,##0\);_(* "-"??_);_(@_)</c:formatCode>
                <c:ptCount val="1"/>
                <c:pt idx="0">
                  <c:v>1189.3800000000001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3-4ABC-A7D6-38F4A9D1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590576"/>
        <c:axId val="743591360"/>
      </c:barChart>
      <c:catAx>
        <c:axId val="743590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3591360"/>
        <c:crosses val="autoZero"/>
        <c:auto val="1"/>
        <c:lblAlgn val="ctr"/>
        <c:lblOffset val="100"/>
        <c:noMultiLvlLbl val="0"/>
      </c:catAx>
      <c:valAx>
        <c:axId val="7435913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743590576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/>
                      <a:t>Actua</a:t>
                    </a:r>
                    <a:r>
                      <a:rPr lang="en-US"/>
                      <a:t>l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2BA-46EF-BF16-5B8E57544B37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new'!$E$16</c:f>
              <c:numCache>
                <c:formatCode>_(* #,##0_);_(* \(#,##0\);_(* "-"??_);_(@_)</c:formatCode>
                <c:ptCount val="1"/>
                <c:pt idx="0">
                  <c:v>830.904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A-46EF-BF16-5B8E57544B37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1.9400128621758463E-17"/>
                </c:manualLayout>
              </c:layout>
              <c:tx>
                <c:rich>
                  <a:bodyPr/>
                  <a:lstStyle/>
                  <a:p>
                    <a:r>
                      <a:rPr lang="en-US" b="1" i="0" baseline="0">
                        <a:solidFill>
                          <a:sysClr val="windowText" lastClr="000000"/>
                        </a:solidFill>
                      </a:rPr>
                      <a:t>Budget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2BA-46EF-BF16-5B8E57544B37}"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new'!$F$16</c:f>
              <c:numCache>
                <c:formatCode>_(* #,##0_);_(* \(#,##0\);_(* "-"??_);_(@_)</c:formatCode>
                <c:ptCount val="1"/>
                <c:pt idx="0">
                  <c:v>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A-46EF-BF16-5B8E57544B37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E7E200"/>
                        </a:solidFill>
                      </a:rPr>
                      <a:t>Last Year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2BA-46EF-BF16-5B8E57544B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new'!$G$16</c:f>
              <c:numCache>
                <c:formatCode>_(* #,##0_);_(* \(#,##0\);_(* "-"??_);_(@_)</c:formatCode>
                <c:ptCount val="1"/>
                <c:pt idx="0">
                  <c:v>382.77600000000007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BA-46EF-BF16-5B8E5754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599592"/>
        <c:axId val="743596848"/>
      </c:barChart>
      <c:catAx>
        <c:axId val="743599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3596848"/>
        <c:crosses val="autoZero"/>
        <c:auto val="1"/>
        <c:lblAlgn val="ctr"/>
        <c:lblOffset val="100"/>
        <c:noMultiLvlLbl val="0"/>
      </c:catAx>
      <c:valAx>
        <c:axId val="7435968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743599592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Chart5"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Chart6"/>
  <sheetViews>
    <sheetView zoomScale="77"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7"/>
  <sheetViews>
    <sheetView zoomScale="66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Chart8"/>
  <sheetViews>
    <sheetView zoomScale="69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26" Type="http://schemas.openxmlformats.org/officeDocument/2006/relationships/chart" Target="../charts/chart34.xml"/><Relationship Id="rId39" Type="http://schemas.openxmlformats.org/officeDocument/2006/relationships/chart" Target="../charts/chart47.xml"/><Relationship Id="rId21" Type="http://schemas.openxmlformats.org/officeDocument/2006/relationships/chart" Target="../charts/chart29.xml"/><Relationship Id="rId34" Type="http://schemas.openxmlformats.org/officeDocument/2006/relationships/chart" Target="../charts/chart42.xml"/><Relationship Id="rId42" Type="http://schemas.openxmlformats.org/officeDocument/2006/relationships/chart" Target="../charts/chart50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29" Type="http://schemas.openxmlformats.org/officeDocument/2006/relationships/chart" Target="../charts/chart37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40" Type="http://schemas.openxmlformats.org/officeDocument/2006/relationships/chart" Target="../charts/chart48.xml"/><Relationship Id="rId45" Type="http://schemas.openxmlformats.org/officeDocument/2006/relationships/chart" Target="../charts/chart53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31" Type="http://schemas.openxmlformats.org/officeDocument/2006/relationships/chart" Target="../charts/chart39.xml"/><Relationship Id="rId44" Type="http://schemas.openxmlformats.org/officeDocument/2006/relationships/chart" Target="../charts/chart52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43" Type="http://schemas.openxmlformats.org/officeDocument/2006/relationships/chart" Target="../charts/chart51.xml"/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5" Type="http://schemas.openxmlformats.org/officeDocument/2006/relationships/chart" Target="../charts/chart33.xml"/><Relationship Id="rId33" Type="http://schemas.openxmlformats.org/officeDocument/2006/relationships/chart" Target="../charts/chart41.xml"/><Relationship Id="rId38" Type="http://schemas.openxmlformats.org/officeDocument/2006/relationships/chart" Target="../charts/chart46.xml"/><Relationship Id="rId46" Type="http://schemas.openxmlformats.org/officeDocument/2006/relationships/chart" Target="../charts/chart54.xml"/><Relationship Id="rId20" Type="http://schemas.openxmlformats.org/officeDocument/2006/relationships/chart" Target="../charts/chart28.xml"/><Relationship Id="rId41" Type="http://schemas.openxmlformats.org/officeDocument/2006/relationships/chart" Target="../charts/chart4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147204</xdr:colOff>
      <xdr:row>3</xdr:row>
      <xdr:rowOff>34636</xdr:rowOff>
    </xdr:from>
    <xdr:to>
      <xdr:col>16</xdr:col>
      <xdr:colOff>268432</xdr:colOff>
      <xdr:row>22</xdr:row>
      <xdr:rowOff>103911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590549</xdr:colOff>
      <xdr:row>24</xdr:row>
      <xdr:rowOff>104776</xdr:rowOff>
    </xdr:from>
    <xdr:to>
      <xdr:col>2</xdr:col>
      <xdr:colOff>895350</xdr:colOff>
      <xdr:row>43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418233</xdr:colOff>
      <xdr:row>25</xdr:row>
      <xdr:rowOff>4329</xdr:rowOff>
    </xdr:from>
    <xdr:to>
      <xdr:col>9</xdr:col>
      <xdr:colOff>839932</xdr:colOff>
      <xdr:row>43</xdr:row>
      <xdr:rowOff>90054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1187233</xdr:colOff>
      <xdr:row>24</xdr:row>
      <xdr:rowOff>110186</xdr:rowOff>
    </xdr:from>
    <xdr:to>
      <xdr:col>16</xdr:col>
      <xdr:colOff>288998</xdr:colOff>
      <xdr:row>43</xdr:row>
      <xdr:rowOff>76849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0.03233</cdr:x>
      <cdr:y>0.86319</cdr:y>
    </cdr:from>
    <cdr:to>
      <cdr:x>0.12702</cdr:x>
      <cdr:y>0.95765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3349" y="2524125"/>
          <a:ext cx="3905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0.05539</cdr:x>
      <cdr:y>0.87072</cdr:y>
    </cdr:from>
    <cdr:to>
      <cdr:x>0.17201</cdr:x>
      <cdr:y>0.96198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0976" y="2181225"/>
          <a:ext cx="3810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0.01464</cdr:x>
      <cdr:y>0.87832</cdr:y>
    </cdr:from>
    <cdr:to>
      <cdr:x>0.19248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981" y="2635290"/>
          <a:ext cx="655549" cy="3650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0.88973</cdr:y>
    </cdr:from>
    <cdr:to>
      <cdr:x>0.16909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669523"/>
          <a:ext cx="705435" cy="330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84045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0</xdr:row>
      <xdr:rowOff>38100</xdr:rowOff>
    </xdr:from>
    <xdr:to>
      <xdr:col>13</xdr:col>
      <xdr:colOff>962025</xdr:colOff>
      <xdr:row>4</xdr:row>
      <xdr:rowOff>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05850" y="38100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305857</xdr:colOff>
      <xdr:row>0</xdr:row>
      <xdr:rowOff>161925</xdr:rowOff>
    </xdr:from>
    <xdr:to>
      <xdr:col>15</xdr:col>
      <xdr:colOff>492125</xdr:colOff>
      <xdr:row>4</xdr:row>
      <xdr:rowOff>123825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02774" y="161925"/>
          <a:ext cx="1445684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05875" y="76200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0</xdr:row>
      <xdr:rowOff>57150</xdr:rowOff>
    </xdr:from>
    <xdr:to>
      <xdr:col>14</xdr:col>
      <xdr:colOff>1019175</xdr:colOff>
      <xdr:row>4</xdr:row>
      <xdr:rowOff>19050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34450" y="57150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05875" y="76200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15</xdr:col>
      <xdr:colOff>361950</xdr:colOff>
      <xdr:row>3</xdr:row>
      <xdr:rowOff>97155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05575" y="180975"/>
          <a:ext cx="1447800" cy="678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371475</xdr:colOff>
      <xdr:row>0</xdr:row>
      <xdr:rowOff>114300</xdr:rowOff>
    </xdr:from>
    <xdr:to>
      <xdr:col>24</xdr:col>
      <xdr:colOff>1381125</xdr:colOff>
      <xdr:row>4</xdr:row>
      <xdr:rowOff>76200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10825" y="114300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0</xdr:row>
      <xdr:rowOff>85725</xdr:rowOff>
    </xdr:from>
    <xdr:to>
      <xdr:col>16</xdr:col>
      <xdr:colOff>1228725</xdr:colOff>
      <xdr:row>4</xdr:row>
      <xdr:rowOff>47625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15200" y="85725"/>
          <a:ext cx="14478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63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86932" cy="58448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86304" cy="58530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" name="Picture 1" descr="Grand 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" name="Picture 2" descr="Grand log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" name="Picture 4" descr="Grand logo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6" name="Picture 5" descr="Grand logo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7" name="Picture 6" descr="Grand logo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8" name="Picture 7" descr="Grand logo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9" name="Picture 8" descr="Grand logo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0" name="Picture 9" descr="Grand logo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1" name="Picture 10" descr="Grand logo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2" name="Picture 11" descr="Grand logo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3" name="Picture 12" descr="Grand logo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4" name="Picture 13" descr="Grand logo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5" name="Picture 14" descr="Grand logo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6" name="Picture 15" descr="Grand log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7" name="Picture 16" descr="Grand log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8" name="Picture 17" descr="Grand logo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9" name="Picture 18" descr="Grand logo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0" name="Picture 19" descr="Grand logo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1" name="Picture 20" descr="Grand logo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2" name="Picture 21" descr="Grand logo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3" name="Picture 22" descr="Grand logo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4" name="Picture 23" descr="Grand logo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5" name="Picture 24" descr="Grand logo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6" name="Picture 25" descr="Grand logo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7" name="Picture 26" descr="Grand logo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8" name="Picture 27" descr="Grand logo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9" name="Picture 28" descr="Grand logo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0" name="Picture 29" descr="Grand logo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1" name="Picture 30" descr="Grand logo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2" name="Picture 31" descr="Grand logo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3" name="Picture 32" descr="Grand logo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4" name="Picture 33" descr="Grand logo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5" name="Picture 34" descr="Grand logo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6" name="Picture 35" descr="Grand logo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7" name="Picture 36" descr="Grand logo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768030" y="76200"/>
          <a:ext cx="172783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8" name="Picture 37" descr="Grand logo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9" name="Picture 38" descr="Grand logo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0" name="Picture 39" descr="Grand logo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1" name="Picture 40" descr="Grand logo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2" name="Picture 41" descr="Grand logo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3" name="Picture 42" descr="Grand logo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4" name="Picture 43" descr="Grand logo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5" name="Picture 44" descr="Grand logo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6" name="Picture 45" descr="Grand logo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7" name="Picture 46" descr="Grand logo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8" name="Picture 47" descr="Grand logo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9" name="Picture 48" descr="Grand logo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0" name="Picture 49" descr="Grand logo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1" name="Picture 50" descr="Grand logo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9184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2" name="Picture 51" descr="Grand logo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94625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3" name="Picture 52" descr="Grand logo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152400</xdr:rowOff>
    </xdr:from>
    <xdr:to>
      <xdr:col>13</xdr:col>
      <xdr:colOff>561975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26</xdr:row>
      <xdr:rowOff>19050</xdr:rowOff>
    </xdr:from>
    <xdr:to>
      <xdr:col>2</xdr:col>
      <xdr:colOff>438150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676274</xdr:colOff>
      <xdr:row>26</xdr:row>
      <xdr:rowOff>9525</xdr:rowOff>
    </xdr:from>
    <xdr:to>
      <xdr:col>6</xdr:col>
      <xdr:colOff>704849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47626</xdr:colOff>
      <xdr:row>26</xdr:row>
      <xdr:rowOff>19050</xdr:rowOff>
    </xdr:from>
    <xdr:to>
      <xdr:col>13</xdr:col>
      <xdr:colOff>561975</xdr:colOff>
      <xdr:row>44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0.03233</cdr:x>
      <cdr:y>0.86319</cdr:y>
    </cdr:from>
    <cdr:to>
      <cdr:x>0.12702</cdr:x>
      <cdr:y>0.95765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3349" y="2524125"/>
          <a:ext cx="3905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0.05539</cdr:x>
      <cdr:y>0.87072</cdr:y>
    </cdr:from>
    <cdr:to>
      <cdr:x>0.17201</cdr:x>
      <cdr:y>0.96198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0976" y="2181225"/>
          <a:ext cx="3810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0.01464</cdr:x>
      <cdr:y>0.87832</cdr:y>
    </cdr:from>
    <cdr:to>
      <cdr:x>0.19248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981" y="2635290"/>
          <a:ext cx="655549" cy="3650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0.88973</cdr:y>
    </cdr:from>
    <cdr:to>
      <cdr:x>0.16909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669523"/>
          <a:ext cx="705435" cy="330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4\Energy%20Daily%20Consumption%20-April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0\Energy%20Daily%20Consumption%20-%20October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0\Energy%20Daily%20Consumption%20-%20November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0\Energy%20Daily%20Consumption%20-%20December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%20Jan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%20February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%20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%20April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%20Ma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rohim/Energy%20Daily%20Consumption%20-%20June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July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August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September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October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November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1\Energy%20Daily%20Consumption%20-December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January%20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February%20202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March%20202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April%20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May%20202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June%20202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July%20202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August%20202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September%20202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October%20202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November%20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2\Energy%20Daily%20Consumption%20-December%20202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3\Energy%20Daily%20Consumption%20-January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3\Energy%20Daily%20Consumption%20-February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3\Energy%20Daily%20Consumption%20-March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3\Energy%20Daily%20Consumption%20-April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rand%20Rotana\Energy\Energy%20Consumption\Daily%20consumption\Year%202023\Energy%20Daily%20Consumption%20-May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arek\Energy\Energy%20Consumption\Daily%20consumption\Year%202023\Energy%20Daily%20Consumption%20-June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3\Energy%20Daily%20Consumption%20-July%202023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3\Energy%20Daily%20Consumption%20-August%20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3\Energy%20Daily%20Consumption%20-October%202023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3\Energy%20Daily%20Consumption%20-November%202023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3\Energy%20Daily%20Consumption%20-December%20202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ngineering%20Daily%20&amp;%20Monthly%20Records%20-Rotana%20Eng%202024\HL&amp;P%20Records\HL&amp;P%20Consumption%20History%20Yearly\Daily%20consumption\Year%202024\Energy%20Daily%20Consumption%20-Februar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4.24"/>
      <sheetName val="Reading.4.24"/>
      <sheetName val="Domestic Water"/>
      <sheetName val="Main Pool"/>
      <sheetName val="Heated Pool"/>
      <sheetName val="Kids pool "/>
      <sheetName val="Jacuzzi"/>
      <sheetName val="Fountains &amp; Lagoons"/>
      <sheetName val="Boilers"/>
      <sheetName val="Chillers"/>
      <sheetName val="Electricity Chart"/>
      <sheetName val="Boiler Gas Chart"/>
      <sheetName val="Kitchen Gas Chart"/>
      <sheetName val="Water Consumption"/>
      <sheetName val="Energy Per Occ. Room"/>
      <sheetName val="Reading.4.23"/>
      <sheetName val="Cost.4.23"/>
      <sheetName val="Sheet1"/>
      <sheetName val="Daily Consumption new"/>
    </sheetNames>
    <sheetDataSet>
      <sheetData sheetId="0"/>
      <sheetData sheetId="1">
        <row r="8">
          <cell r="F8">
            <v>274</v>
          </cell>
        </row>
        <row r="9">
          <cell r="F9">
            <v>259</v>
          </cell>
        </row>
        <row r="10">
          <cell r="F10">
            <v>260</v>
          </cell>
        </row>
        <row r="11">
          <cell r="F11">
            <v>286</v>
          </cell>
        </row>
        <row r="12">
          <cell r="F12">
            <v>253</v>
          </cell>
        </row>
        <row r="13">
          <cell r="F13">
            <v>273</v>
          </cell>
        </row>
        <row r="14">
          <cell r="F14">
            <v>250</v>
          </cell>
        </row>
        <row r="15">
          <cell r="F15">
            <v>255</v>
          </cell>
        </row>
        <row r="16">
          <cell r="F16">
            <v>290</v>
          </cell>
        </row>
        <row r="17">
          <cell r="F17">
            <v>364</v>
          </cell>
        </row>
        <row r="18">
          <cell r="F18">
            <v>441</v>
          </cell>
        </row>
        <row r="19">
          <cell r="F19">
            <v>451</v>
          </cell>
        </row>
        <row r="20">
          <cell r="F20">
            <v>438</v>
          </cell>
        </row>
        <row r="21">
          <cell r="F21">
            <v>392</v>
          </cell>
        </row>
        <row r="22">
          <cell r="F22">
            <v>358</v>
          </cell>
        </row>
        <row r="23">
          <cell r="F23">
            <v>340</v>
          </cell>
        </row>
        <row r="24">
          <cell r="F24">
            <v>338</v>
          </cell>
        </row>
        <row r="25">
          <cell r="F25">
            <v>338</v>
          </cell>
        </row>
        <row r="26">
          <cell r="F26">
            <v>336</v>
          </cell>
        </row>
        <row r="27">
          <cell r="F27">
            <v>349</v>
          </cell>
        </row>
        <row r="28">
          <cell r="F28">
            <v>373</v>
          </cell>
        </row>
        <row r="29">
          <cell r="F29">
            <v>384</v>
          </cell>
        </row>
        <row r="30">
          <cell r="F30">
            <v>342</v>
          </cell>
        </row>
        <row r="31">
          <cell r="F31">
            <v>341</v>
          </cell>
        </row>
        <row r="32">
          <cell r="F32">
            <v>384</v>
          </cell>
        </row>
        <row r="33">
          <cell r="F33">
            <v>375</v>
          </cell>
        </row>
        <row r="34">
          <cell r="F34">
            <v>390</v>
          </cell>
        </row>
        <row r="35">
          <cell r="F35">
            <v>315</v>
          </cell>
        </row>
        <row r="36">
          <cell r="F36">
            <v>306</v>
          </cell>
        </row>
        <row r="37">
          <cell r="F37">
            <v>291</v>
          </cell>
        </row>
        <row r="39">
          <cell r="BG39">
            <v>155.41202341381961</v>
          </cell>
          <cell r="BH39">
            <v>145.70114257327361</v>
          </cell>
          <cell r="BI39">
            <v>155.63658894515976</v>
          </cell>
        </row>
      </sheetData>
      <sheetData sheetId="2">
        <row r="6">
          <cell r="G6">
            <v>505</v>
          </cell>
          <cell r="K6">
            <v>112.03200000000001</v>
          </cell>
          <cell r="O6">
            <v>391.85</v>
          </cell>
          <cell r="T6">
            <v>0</v>
          </cell>
          <cell r="X6">
            <v>27720.000000001164</v>
          </cell>
          <cell r="AB6">
            <v>0</v>
          </cell>
          <cell r="AE6">
            <v>27720.000000001164</v>
          </cell>
          <cell r="AI6">
            <v>0.52090000000000003</v>
          </cell>
          <cell r="AM6">
            <v>274</v>
          </cell>
          <cell r="AO6">
            <v>335.5</v>
          </cell>
          <cell r="EG6">
            <v>40</v>
          </cell>
        </row>
        <row r="7">
          <cell r="G7">
            <v>460</v>
          </cell>
          <cell r="K7">
            <v>121.36800000000001</v>
          </cell>
          <cell r="O7">
            <v>410.29</v>
          </cell>
          <cell r="T7">
            <v>0</v>
          </cell>
          <cell r="X7">
            <v>28599.999999976717</v>
          </cell>
          <cell r="AB7">
            <v>0</v>
          </cell>
          <cell r="AE7">
            <v>28599.999999976717</v>
          </cell>
          <cell r="AI7">
            <v>0.4924</v>
          </cell>
          <cell r="AM7">
            <v>259</v>
          </cell>
          <cell r="AO7">
            <v>335.5</v>
          </cell>
          <cell r="EG7">
            <v>49</v>
          </cell>
        </row>
        <row r="8">
          <cell r="G8">
            <v>552</v>
          </cell>
          <cell r="K8">
            <v>149.376</v>
          </cell>
          <cell r="O8">
            <v>387.24</v>
          </cell>
          <cell r="T8">
            <v>0</v>
          </cell>
          <cell r="X8">
            <v>29160.000000003492</v>
          </cell>
          <cell r="AB8">
            <v>0</v>
          </cell>
          <cell r="AE8">
            <v>29160.000000003492</v>
          </cell>
          <cell r="AI8">
            <v>0.49430000000000002</v>
          </cell>
          <cell r="AM8">
            <v>260</v>
          </cell>
          <cell r="AO8">
            <v>335.5</v>
          </cell>
          <cell r="EG8">
            <v>45</v>
          </cell>
        </row>
        <row r="9">
          <cell r="G9">
            <v>519</v>
          </cell>
          <cell r="K9">
            <v>158.71200000000002</v>
          </cell>
          <cell r="O9">
            <v>368.8</v>
          </cell>
          <cell r="T9">
            <v>0</v>
          </cell>
          <cell r="X9">
            <v>28200.000000011642</v>
          </cell>
          <cell r="AB9">
            <v>0</v>
          </cell>
          <cell r="AE9">
            <v>28200.000000011642</v>
          </cell>
          <cell r="AI9">
            <v>0.54</v>
          </cell>
          <cell r="AM9">
            <v>286</v>
          </cell>
          <cell r="AO9">
            <v>335.5</v>
          </cell>
          <cell r="EG9">
            <v>59</v>
          </cell>
        </row>
        <row r="10">
          <cell r="G10">
            <v>549</v>
          </cell>
          <cell r="K10">
            <v>158.71200000000002</v>
          </cell>
          <cell r="O10">
            <v>414.90000000000003</v>
          </cell>
          <cell r="T10">
            <v>0</v>
          </cell>
          <cell r="X10">
            <v>30079.999999987194</v>
          </cell>
          <cell r="AB10">
            <v>0</v>
          </cell>
          <cell r="AE10">
            <v>30079.999999987194</v>
          </cell>
          <cell r="AI10">
            <v>0.48099999999999998</v>
          </cell>
          <cell r="AM10">
            <v>253</v>
          </cell>
          <cell r="AO10">
            <v>335.5</v>
          </cell>
          <cell r="EG10">
            <v>43</v>
          </cell>
        </row>
        <row r="11">
          <cell r="G11">
            <v>525</v>
          </cell>
          <cell r="K11">
            <v>149.376</v>
          </cell>
          <cell r="O11">
            <v>428.73</v>
          </cell>
          <cell r="T11">
            <v>0</v>
          </cell>
          <cell r="X11">
            <v>30160.000000003492</v>
          </cell>
          <cell r="AB11">
            <v>0</v>
          </cell>
          <cell r="AE11">
            <v>30160.000000003492</v>
          </cell>
          <cell r="AI11">
            <v>0.51900000000000002</v>
          </cell>
          <cell r="AM11">
            <v>273</v>
          </cell>
          <cell r="AO11">
            <v>335.5</v>
          </cell>
          <cell r="EG11">
            <v>53</v>
          </cell>
        </row>
        <row r="12">
          <cell r="G12">
            <v>508</v>
          </cell>
          <cell r="K12">
            <v>158.71200000000002</v>
          </cell>
          <cell r="O12">
            <v>414.90000000000003</v>
          </cell>
          <cell r="T12">
            <v>0</v>
          </cell>
          <cell r="X12">
            <v>28679.999999993015</v>
          </cell>
          <cell r="AB12">
            <v>20</v>
          </cell>
          <cell r="AE12">
            <v>28699.999999993015</v>
          </cell>
          <cell r="AI12">
            <v>0.4753</v>
          </cell>
          <cell r="AM12">
            <v>250</v>
          </cell>
          <cell r="AO12">
            <v>335.5</v>
          </cell>
          <cell r="EG12">
            <v>65</v>
          </cell>
        </row>
        <row r="13">
          <cell r="G13">
            <v>527</v>
          </cell>
          <cell r="K13">
            <v>144.708</v>
          </cell>
          <cell r="O13">
            <v>401.07000000000005</v>
          </cell>
          <cell r="T13">
            <v>0</v>
          </cell>
          <cell r="X13">
            <v>26559.999999997672</v>
          </cell>
          <cell r="AB13">
            <v>0</v>
          </cell>
          <cell r="AE13">
            <v>26559.999999997672</v>
          </cell>
          <cell r="AI13">
            <v>0.48480000000000001</v>
          </cell>
          <cell r="AM13">
            <v>255</v>
          </cell>
          <cell r="AO13">
            <v>335.5</v>
          </cell>
          <cell r="EG13">
            <v>56</v>
          </cell>
        </row>
        <row r="14">
          <cell r="G14">
            <v>540</v>
          </cell>
          <cell r="K14">
            <v>154.04400000000001</v>
          </cell>
          <cell r="O14">
            <v>419.51000000000005</v>
          </cell>
          <cell r="T14">
            <v>0</v>
          </cell>
          <cell r="X14">
            <v>29960.000000020955</v>
          </cell>
          <cell r="AB14">
            <v>0</v>
          </cell>
          <cell r="AE14">
            <v>29960.000000020955</v>
          </cell>
          <cell r="AI14">
            <v>0.55130000000000001</v>
          </cell>
          <cell r="AM14">
            <v>290</v>
          </cell>
          <cell r="AO14">
            <v>335.5</v>
          </cell>
          <cell r="EG14">
            <v>23</v>
          </cell>
        </row>
        <row r="15">
          <cell r="G15">
            <v>599</v>
          </cell>
          <cell r="K15">
            <v>247.404</v>
          </cell>
          <cell r="O15">
            <v>497.88000000000005</v>
          </cell>
          <cell r="T15">
            <v>0</v>
          </cell>
          <cell r="X15">
            <v>33079.999999987194</v>
          </cell>
          <cell r="AB15">
            <v>0</v>
          </cell>
          <cell r="AE15">
            <v>33079.999999987194</v>
          </cell>
          <cell r="AI15">
            <v>0.69199999999999995</v>
          </cell>
          <cell r="AM15">
            <v>364</v>
          </cell>
          <cell r="AO15">
            <v>335.5</v>
          </cell>
          <cell r="EG15">
            <v>53</v>
          </cell>
        </row>
        <row r="16">
          <cell r="G16">
            <v>596</v>
          </cell>
          <cell r="K16">
            <v>196.05600000000001</v>
          </cell>
          <cell r="O16">
            <v>525.54000000000008</v>
          </cell>
          <cell r="T16">
            <v>0</v>
          </cell>
          <cell r="X16">
            <v>34240.000000019791</v>
          </cell>
          <cell r="AB16">
            <v>0</v>
          </cell>
          <cell r="AE16">
            <v>34240.000000019791</v>
          </cell>
          <cell r="AI16">
            <v>0.83840000000000003</v>
          </cell>
          <cell r="AM16">
            <v>441</v>
          </cell>
          <cell r="AO16">
            <v>335.5</v>
          </cell>
          <cell r="EG16">
            <v>52</v>
          </cell>
        </row>
        <row r="17">
          <cell r="G17">
            <v>683</v>
          </cell>
          <cell r="K17">
            <v>200.72400000000002</v>
          </cell>
          <cell r="O17">
            <v>534.76</v>
          </cell>
          <cell r="T17">
            <v>0</v>
          </cell>
          <cell r="X17">
            <v>35559.999999997672</v>
          </cell>
          <cell r="AB17">
            <v>0</v>
          </cell>
          <cell r="AE17">
            <v>35559.999999997672</v>
          </cell>
          <cell r="AI17">
            <v>0.85740000000000005</v>
          </cell>
          <cell r="AM17">
            <v>451</v>
          </cell>
          <cell r="AO17">
            <v>335.5</v>
          </cell>
          <cell r="EG17">
            <v>67</v>
          </cell>
        </row>
        <row r="18">
          <cell r="G18">
            <v>667</v>
          </cell>
          <cell r="K18">
            <v>224.06400000000002</v>
          </cell>
          <cell r="O18">
            <v>539.37</v>
          </cell>
          <cell r="T18">
            <v>0</v>
          </cell>
          <cell r="X18">
            <v>35959.999999991851</v>
          </cell>
          <cell r="AB18">
            <v>0</v>
          </cell>
          <cell r="AE18">
            <v>35959.999999991851</v>
          </cell>
          <cell r="AI18">
            <v>0.8327</v>
          </cell>
          <cell r="AM18">
            <v>438</v>
          </cell>
          <cell r="AO18">
            <v>335.5</v>
          </cell>
          <cell r="EG18">
            <v>59</v>
          </cell>
        </row>
        <row r="19">
          <cell r="G19">
            <v>631</v>
          </cell>
          <cell r="K19">
            <v>182.05199999999999</v>
          </cell>
          <cell r="O19">
            <v>553.20000000000005</v>
          </cell>
          <cell r="T19">
            <v>0</v>
          </cell>
          <cell r="X19">
            <v>35239.999999990687</v>
          </cell>
          <cell r="AB19">
            <v>0</v>
          </cell>
          <cell r="AE19">
            <v>35239.999999990687</v>
          </cell>
          <cell r="AI19">
            <v>0.74519999999999997</v>
          </cell>
          <cell r="AM19">
            <v>392</v>
          </cell>
          <cell r="AO19">
            <v>335.5</v>
          </cell>
          <cell r="EG19">
            <v>48</v>
          </cell>
        </row>
        <row r="20">
          <cell r="G20">
            <v>626</v>
          </cell>
          <cell r="K20">
            <v>158.71200000000002</v>
          </cell>
          <cell r="O20">
            <v>543.98</v>
          </cell>
          <cell r="T20">
            <v>0</v>
          </cell>
          <cell r="X20">
            <v>34240.000000019791</v>
          </cell>
          <cell r="AB20">
            <v>0</v>
          </cell>
          <cell r="AE20">
            <v>34240.000000019791</v>
          </cell>
          <cell r="AI20">
            <v>0.68059999999999998</v>
          </cell>
          <cell r="AM20">
            <v>358</v>
          </cell>
          <cell r="AO20">
            <v>335.5</v>
          </cell>
          <cell r="EG20">
            <v>46</v>
          </cell>
        </row>
        <row r="21">
          <cell r="G21">
            <v>554</v>
          </cell>
          <cell r="K21">
            <v>177.38400000000001</v>
          </cell>
          <cell r="O21">
            <v>507.1</v>
          </cell>
          <cell r="T21">
            <v>0</v>
          </cell>
          <cell r="X21">
            <v>32839.999999996508</v>
          </cell>
          <cell r="AB21">
            <v>0</v>
          </cell>
          <cell r="AE21">
            <v>32839.999999996508</v>
          </cell>
          <cell r="AI21">
            <v>0.64639999999999997</v>
          </cell>
          <cell r="AM21">
            <v>340</v>
          </cell>
          <cell r="AO21">
            <v>335.5</v>
          </cell>
          <cell r="EG21">
            <v>46</v>
          </cell>
        </row>
        <row r="22">
          <cell r="G22">
            <v>565</v>
          </cell>
          <cell r="K22">
            <v>196.05600000000001</v>
          </cell>
          <cell r="O22">
            <v>507.1</v>
          </cell>
          <cell r="T22">
            <v>0</v>
          </cell>
          <cell r="X22">
            <v>34079.999999987194</v>
          </cell>
          <cell r="AB22">
            <v>0</v>
          </cell>
          <cell r="AE22">
            <v>34079.999999987194</v>
          </cell>
          <cell r="AI22">
            <v>0.64259999999999995</v>
          </cell>
          <cell r="AM22">
            <v>338</v>
          </cell>
          <cell r="AO22">
            <v>335.5</v>
          </cell>
          <cell r="EG22">
            <v>73</v>
          </cell>
        </row>
        <row r="23">
          <cell r="G23">
            <v>596</v>
          </cell>
          <cell r="K23">
            <v>172.71600000000001</v>
          </cell>
          <cell r="O23">
            <v>470.22</v>
          </cell>
          <cell r="T23">
            <v>0</v>
          </cell>
          <cell r="X23">
            <v>33959.999999991851</v>
          </cell>
          <cell r="AB23">
            <v>0</v>
          </cell>
          <cell r="AE23">
            <v>33959.999999991851</v>
          </cell>
          <cell r="AI23">
            <v>0.64259999999999995</v>
          </cell>
          <cell r="AM23">
            <v>338</v>
          </cell>
          <cell r="AO23">
            <v>335.5</v>
          </cell>
          <cell r="EG23">
            <v>61</v>
          </cell>
        </row>
        <row r="24">
          <cell r="G24">
            <v>661</v>
          </cell>
          <cell r="K24">
            <v>168.048</v>
          </cell>
          <cell r="O24">
            <v>497.88000000000005</v>
          </cell>
          <cell r="T24">
            <v>0</v>
          </cell>
          <cell r="X24">
            <v>35640.00000001397</v>
          </cell>
          <cell r="AB24">
            <v>0</v>
          </cell>
          <cell r="AE24">
            <v>35640.00000001397</v>
          </cell>
          <cell r="AI24">
            <v>0.63880000000000003</v>
          </cell>
          <cell r="AM24">
            <v>336</v>
          </cell>
          <cell r="AO24">
            <v>335.5</v>
          </cell>
          <cell r="EG24">
            <v>57</v>
          </cell>
        </row>
        <row r="25">
          <cell r="G25">
            <v>506</v>
          </cell>
          <cell r="K25">
            <v>182.05199999999999</v>
          </cell>
          <cell r="O25">
            <v>456.39000000000004</v>
          </cell>
          <cell r="T25">
            <v>0</v>
          </cell>
          <cell r="X25">
            <v>34639.999999984866</v>
          </cell>
          <cell r="AB25">
            <v>0</v>
          </cell>
          <cell r="AE25">
            <v>34639.999999984866</v>
          </cell>
          <cell r="AI25">
            <v>0.66349999999999998</v>
          </cell>
          <cell r="AM25">
            <v>349</v>
          </cell>
          <cell r="AO25">
            <v>335.5</v>
          </cell>
          <cell r="EG25">
            <v>60</v>
          </cell>
        </row>
        <row r="26">
          <cell r="G26">
            <v>513</v>
          </cell>
          <cell r="K26">
            <v>191.38800000000001</v>
          </cell>
          <cell r="O26">
            <v>470.22</v>
          </cell>
          <cell r="T26">
            <v>0</v>
          </cell>
          <cell r="X26">
            <v>33240.000000019791</v>
          </cell>
          <cell r="AB26">
            <v>0</v>
          </cell>
          <cell r="AE26">
            <v>33240.000000019791</v>
          </cell>
          <cell r="AI26">
            <v>0.70909999999999995</v>
          </cell>
          <cell r="AM26">
            <v>373</v>
          </cell>
          <cell r="AO26">
            <v>335.5</v>
          </cell>
          <cell r="EG26">
            <v>65</v>
          </cell>
        </row>
        <row r="27">
          <cell r="G27">
            <v>541</v>
          </cell>
          <cell r="K27">
            <v>182.05199999999999</v>
          </cell>
          <cell r="O27">
            <v>493.27000000000004</v>
          </cell>
          <cell r="T27">
            <v>0</v>
          </cell>
          <cell r="X27">
            <v>36679.999999993015</v>
          </cell>
          <cell r="AB27">
            <v>0</v>
          </cell>
          <cell r="AE27">
            <v>36679.999999993015</v>
          </cell>
          <cell r="AI27">
            <v>0.73</v>
          </cell>
          <cell r="AM27">
            <v>384</v>
          </cell>
          <cell r="AO27">
            <v>335.5</v>
          </cell>
          <cell r="EG27">
            <v>61</v>
          </cell>
        </row>
        <row r="28">
          <cell r="G28">
            <v>549</v>
          </cell>
          <cell r="K28">
            <v>158.71200000000002</v>
          </cell>
          <cell r="O28">
            <v>396.46000000000004</v>
          </cell>
          <cell r="T28">
            <v>0</v>
          </cell>
          <cell r="X28">
            <v>34880.000000004657</v>
          </cell>
          <cell r="AB28">
            <v>0</v>
          </cell>
          <cell r="AE28">
            <v>34880.000000004657</v>
          </cell>
          <cell r="AI28">
            <v>0.65200000000000002</v>
          </cell>
          <cell r="AM28">
            <v>342</v>
          </cell>
          <cell r="AO28">
            <v>335.5</v>
          </cell>
          <cell r="EG28">
            <v>48</v>
          </cell>
        </row>
        <row r="29">
          <cell r="G29">
            <v>435</v>
          </cell>
          <cell r="K29">
            <v>200.72400000000002</v>
          </cell>
          <cell r="O29">
            <v>447.17</v>
          </cell>
          <cell r="T29">
            <v>0</v>
          </cell>
          <cell r="X29">
            <v>35639.999999984866</v>
          </cell>
          <cell r="AB29">
            <v>0</v>
          </cell>
          <cell r="AE29">
            <v>35639.999999984866</v>
          </cell>
          <cell r="AI29">
            <v>0.64829999999999999</v>
          </cell>
          <cell r="AM29">
            <v>341</v>
          </cell>
          <cell r="AO29">
            <v>335.5</v>
          </cell>
          <cell r="EG29">
            <v>58</v>
          </cell>
        </row>
        <row r="30">
          <cell r="G30">
            <v>855</v>
          </cell>
          <cell r="K30">
            <v>149.376</v>
          </cell>
          <cell r="O30">
            <v>507.1</v>
          </cell>
          <cell r="T30">
            <v>0</v>
          </cell>
          <cell r="X30">
            <v>35880.000000004657</v>
          </cell>
          <cell r="AB30">
            <v>0</v>
          </cell>
          <cell r="AE30">
            <v>35880.000000004657</v>
          </cell>
          <cell r="AI30">
            <v>0.73</v>
          </cell>
          <cell r="AM30">
            <v>384</v>
          </cell>
          <cell r="AO30">
            <v>335.5</v>
          </cell>
          <cell r="EG30">
            <v>55</v>
          </cell>
        </row>
        <row r="31">
          <cell r="G31">
            <v>613</v>
          </cell>
          <cell r="K31">
            <v>186.72</v>
          </cell>
          <cell r="O31">
            <v>373.41</v>
          </cell>
          <cell r="T31">
            <v>0</v>
          </cell>
          <cell r="X31">
            <v>39880.000000004657</v>
          </cell>
          <cell r="AB31">
            <v>0</v>
          </cell>
          <cell r="AE31">
            <v>39880.000000004657</v>
          </cell>
          <cell r="AI31">
            <v>0.71289999999999998</v>
          </cell>
          <cell r="AM31">
            <v>375</v>
          </cell>
          <cell r="AO31">
            <v>335.5</v>
          </cell>
          <cell r="EG31">
            <v>49</v>
          </cell>
        </row>
        <row r="32">
          <cell r="G32">
            <v>711</v>
          </cell>
          <cell r="K32">
            <v>182.05199999999999</v>
          </cell>
          <cell r="O32">
            <v>507.1</v>
          </cell>
          <cell r="T32">
            <v>0</v>
          </cell>
          <cell r="X32">
            <v>38839.999999996508</v>
          </cell>
          <cell r="AB32">
            <v>0</v>
          </cell>
          <cell r="AE32">
            <v>38839.999999996508</v>
          </cell>
          <cell r="AI32">
            <v>0.74139999999999995</v>
          </cell>
          <cell r="AM32">
            <v>390</v>
          </cell>
          <cell r="AO32">
            <v>335.5</v>
          </cell>
          <cell r="EG32">
            <v>58</v>
          </cell>
        </row>
        <row r="33">
          <cell r="G33">
            <v>379</v>
          </cell>
          <cell r="K33">
            <v>168.048</v>
          </cell>
          <cell r="O33">
            <v>474.83000000000004</v>
          </cell>
          <cell r="T33">
            <v>0</v>
          </cell>
          <cell r="X33">
            <v>34600.000000005821</v>
          </cell>
          <cell r="AB33">
            <v>0</v>
          </cell>
          <cell r="AE33">
            <v>34600.000000005821</v>
          </cell>
          <cell r="AI33">
            <v>0.59889999999999999</v>
          </cell>
          <cell r="AM33">
            <v>315</v>
          </cell>
          <cell r="AO33">
            <v>335.5</v>
          </cell>
          <cell r="EG33">
            <v>60</v>
          </cell>
        </row>
        <row r="34">
          <cell r="G34">
            <v>625</v>
          </cell>
          <cell r="K34">
            <v>126.036</v>
          </cell>
          <cell r="O34">
            <v>497.88000000000005</v>
          </cell>
          <cell r="T34">
            <v>0</v>
          </cell>
          <cell r="X34">
            <v>36440.000000002328</v>
          </cell>
          <cell r="AB34">
            <v>0</v>
          </cell>
          <cell r="AE34">
            <v>36440.000000002328</v>
          </cell>
          <cell r="AI34">
            <v>0.58169999999999999</v>
          </cell>
          <cell r="AM34">
            <v>306</v>
          </cell>
          <cell r="AO34">
            <v>335.5</v>
          </cell>
          <cell r="EG34">
            <v>53</v>
          </cell>
        </row>
        <row r="35">
          <cell r="G35">
            <v>512</v>
          </cell>
          <cell r="K35">
            <v>154.04400000000001</v>
          </cell>
          <cell r="O35">
            <v>461.00000000000006</v>
          </cell>
          <cell r="T35">
            <v>0</v>
          </cell>
          <cell r="X35">
            <v>32559.999999997672</v>
          </cell>
          <cell r="AB35">
            <v>0</v>
          </cell>
          <cell r="AE35">
            <v>32559.999999997672</v>
          </cell>
          <cell r="AI35">
            <v>0.55510000000000004</v>
          </cell>
          <cell r="AM35">
            <v>291</v>
          </cell>
          <cell r="AO35">
            <v>335.5</v>
          </cell>
          <cell r="EG35">
            <v>48</v>
          </cell>
        </row>
        <row r="36">
          <cell r="EG36"/>
        </row>
        <row r="37">
          <cell r="AN37">
            <v>8987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E4" t="str">
            <v>Sold</v>
          </cell>
          <cell r="CO4" t="str">
            <v>%</v>
          </cell>
        </row>
        <row r="5">
          <cell r="E5"/>
          <cell r="CO5"/>
        </row>
        <row r="6">
          <cell r="C6">
            <v>544</v>
          </cell>
          <cell r="E6">
            <v>0</v>
          </cell>
          <cell r="G6">
            <v>624</v>
          </cell>
          <cell r="K6">
            <v>149.376</v>
          </cell>
          <cell r="O6">
            <v>419.51000000000005</v>
          </cell>
          <cell r="T6">
            <v>0</v>
          </cell>
          <cell r="X6">
            <v>25200.000000011642</v>
          </cell>
          <cell r="AB6">
            <v>560</v>
          </cell>
          <cell r="AE6">
            <v>25760.000000011642</v>
          </cell>
          <cell r="AI6">
            <v>0.435</v>
          </cell>
          <cell r="AM6">
            <v>228</v>
          </cell>
          <cell r="AQ6">
            <v>1380</v>
          </cell>
          <cell r="BD6">
            <v>20.3</v>
          </cell>
          <cell r="BE6">
            <v>17</v>
          </cell>
          <cell r="BF6">
            <v>52</v>
          </cell>
          <cell r="BQ6">
            <v>26</v>
          </cell>
          <cell r="BU6">
            <v>29</v>
          </cell>
          <cell r="BY6">
            <v>0</v>
          </cell>
          <cell r="CC6">
            <v>80</v>
          </cell>
          <cell r="CG6">
            <v>0</v>
          </cell>
          <cell r="CN6">
            <v>211</v>
          </cell>
          <cell r="CO6">
            <v>0.33814102564102566</v>
          </cell>
          <cell r="CT6">
            <v>1</v>
          </cell>
          <cell r="CX6">
            <v>4</v>
          </cell>
          <cell r="DB6">
            <v>602</v>
          </cell>
          <cell r="DF6">
            <v>1568</v>
          </cell>
          <cell r="DJ6">
            <v>1925</v>
          </cell>
          <cell r="DN6">
            <v>32</v>
          </cell>
          <cell r="DR6">
            <v>32</v>
          </cell>
          <cell r="DW6">
            <v>2709</v>
          </cell>
        </row>
        <row r="7">
          <cell r="C7">
            <v>619</v>
          </cell>
          <cell r="E7">
            <v>0</v>
          </cell>
          <cell r="G7">
            <v>539</v>
          </cell>
          <cell r="K7">
            <v>135.37200000000001</v>
          </cell>
          <cell r="O7">
            <v>410.29</v>
          </cell>
          <cell r="T7">
            <v>0</v>
          </cell>
          <cell r="X7">
            <v>25639.999999984866</v>
          </cell>
          <cell r="AB7">
            <v>0</v>
          </cell>
          <cell r="AE7">
            <v>25639.999999984866</v>
          </cell>
          <cell r="AI7">
            <v>0.40110000000000001</v>
          </cell>
          <cell r="AM7">
            <v>211</v>
          </cell>
          <cell r="AQ7">
            <v>1412</v>
          </cell>
          <cell r="BD7">
            <v>22.6</v>
          </cell>
          <cell r="BE7">
            <v>19</v>
          </cell>
          <cell r="BF7">
            <v>52</v>
          </cell>
          <cell r="BQ7">
            <v>27</v>
          </cell>
          <cell r="BU7">
            <v>31</v>
          </cell>
          <cell r="BY7">
            <v>0</v>
          </cell>
          <cell r="CC7">
            <v>90</v>
          </cell>
          <cell r="CG7">
            <v>0</v>
          </cell>
          <cell r="CN7">
            <v>232</v>
          </cell>
          <cell r="CO7">
            <v>0.43042671614100186</v>
          </cell>
          <cell r="CT7">
            <v>2</v>
          </cell>
          <cell r="CX7">
            <v>5</v>
          </cell>
          <cell r="DB7">
            <v>593</v>
          </cell>
          <cell r="DF7">
            <v>1953</v>
          </cell>
          <cell r="DJ7">
            <v>2345</v>
          </cell>
          <cell r="DN7">
            <v>34</v>
          </cell>
          <cell r="DR7">
            <v>33</v>
          </cell>
          <cell r="DW7">
            <v>3132</v>
          </cell>
        </row>
        <row r="8">
          <cell r="C8">
            <v>486</v>
          </cell>
          <cell r="E8">
            <v>0</v>
          </cell>
          <cell r="G8">
            <v>526</v>
          </cell>
          <cell r="K8">
            <v>144.708</v>
          </cell>
          <cell r="O8">
            <v>401.07000000000005</v>
          </cell>
          <cell r="T8">
            <v>0</v>
          </cell>
          <cell r="X8">
            <v>25760.000000009313</v>
          </cell>
          <cell r="AB8">
            <v>0</v>
          </cell>
          <cell r="AE8">
            <v>25760.000000009313</v>
          </cell>
          <cell r="AI8">
            <v>0.44490000000000002</v>
          </cell>
          <cell r="AM8">
            <v>234</v>
          </cell>
          <cell r="AQ8">
            <v>1488</v>
          </cell>
          <cell r="BD8">
            <v>25.2</v>
          </cell>
          <cell r="BE8">
            <v>20</v>
          </cell>
          <cell r="BF8">
            <v>64</v>
          </cell>
          <cell r="BQ8">
            <v>26</v>
          </cell>
          <cell r="BU8">
            <v>26</v>
          </cell>
          <cell r="BY8">
            <v>0</v>
          </cell>
          <cell r="CC8">
            <v>70</v>
          </cell>
          <cell r="CG8">
            <v>0</v>
          </cell>
          <cell r="CN8">
            <v>241</v>
          </cell>
          <cell r="CO8">
            <v>0.45817490494296575</v>
          </cell>
          <cell r="CT8">
            <v>1</v>
          </cell>
          <cell r="CX8">
            <v>4</v>
          </cell>
          <cell r="DB8">
            <v>704</v>
          </cell>
          <cell r="DF8">
            <v>1739</v>
          </cell>
          <cell r="DJ8">
            <v>2679</v>
          </cell>
          <cell r="DN8">
            <v>32</v>
          </cell>
          <cell r="DR8">
            <v>32</v>
          </cell>
          <cell r="DW8">
            <v>3463</v>
          </cell>
        </row>
        <row r="9">
          <cell r="C9">
            <v>572</v>
          </cell>
          <cell r="E9">
            <v>0</v>
          </cell>
          <cell r="G9">
            <v>532</v>
          </cell>
          <cell r="K9">
            <v>149.376</v>
          </cell>
          <cell r="O9">
            <v>391.85</v>
          </cell>
          <cell r="T9">
            <v>0</v>
          </cell>
          <cell r="X9">
            <v>25479.999999981374</v>
          </cell>
          <cell r="AB9">
            <v>0</v>
          </cell>
          <cell r="AE9">
            <v>25479.999999981374</v>
          </cell>
          <cell r="AI9">
            <v>0.47339999999999999</v>
          </cell>
          <cell r="AM9">
            <v>249</v>
          </cell>
          <cell r="AQ9">
            <v>1488</v>
          </cell>
          <cell r="BD9">
            <v>26.1</v>
          </cell>
          <cell r="BE9">
            <v>20</v>
          </cell>
          <cell r="BF9">
            <v>64</v>
          </cell>
          <cell r="BQ9">
            <v>27</v>
          </cell>
          <cell r="BU9">
            <v>26</v>
          </cell>
          <cell r="BY9">
            <v>0</v>
          </cell>
          <cell r="CC9">
            <v>70</v>
          </cell>
          <cell r="CG9">
            <v>0</v>
          </cell>
          <cell r="CN9">
            <v>193</v>
          </cell>
          <cell r="CO9">
            <v>0.36278195488721804</v>
          </cell>
          <cell r="CT9">
            <v>1</v>
          </cell>
          <cell r="CX9">
            <v>6</v>
          </cell>
          <cell r="DB9">
            <v>679</v>
          </cell>
          <cell r="DF9">
            <v>1663</v>
          </cell>
          <cell r="DJ9">
            <v>3028</v>
          </cell>
          <cell r="DN9">
            <v>35</v>
          </cell>
          <cell r="DR9">
            <v>34</v>
          </cell>
          <cell r="DW9">
            <v>3817</v>
          </cell>
        </row>
        <row r="10">
          <cell r="C10">
            <v>480</v>
          </cell>
          <cell r="E10">
            <v>0</v>
          </cell>
          <cell r="G10">
            <v>490</v>
          </cell>
          <cell r="K10">
            <v>163.38</v>
          </cell>
          <cell r="O10">
            <v>414.90000000000003</v>
          </cell>
          <cell r="T10">
            <v>0</v>
          </cell>
          <cell r="X10">
            <v>27600.000000005821</v>
          </cell>
          <cell r="AB10">
            <v>0</v>
          </cell>
          <cell r="AE10">
            <v>27600.000000005821</v>
          </cell>
          <cell r="AI10">
            <v>0.47339999999999999</v>
          </cell>
          <cell r="AM10">
            <v>249</v>
          </cell>
          <cell r="AQ10">
            <v>1488</v>
          </cell>
          <cell r="BD10">
            <v>24.6</v>
          </cell>
          <cell r="BE10">
            <v>18</v>
          </cell>
          <cell r="BF10">
            <v>53</v>
          </cell>
          <cell r="BQ10">
            <v>29</v>
          </cell>
          <cell r="BU10">
            <v>25</v>
          </cell>
          <cell r="BY10">
            <v>0</v>
          </cell>
          <cell r="CC10">
            <v>90</v>
          </cell>
          <cell r="CG10">
            <v>0</v>
          </cell>
          <cell r="CN10">
            <v>220</v>
          </cell>
          <cell r="CO10">
            <v>0.44897959183673469</v>
          </cell>
          <cell r="CT10">
            <v>2</v>
          </cell>
          <cell r="CX10">
            <v>4</v>
          </cell>
          <cell r="DB10">
            <v>700</v>
          </cell>
          <cell r="DF10">
            <v>1828</v>
          </cell>
          <cell r="DJ10">
            <v>2842</v>
          </cell>
          <cell r="DN10">
            <v>32</v>
          </cell>
          <cell r="DR10">
            <v>32</v>
          </cell>
          <cell r="DW10">
            <v>3626</v>
          </cell>
        </row>
        <row r="11">
          <cell r="C11">
            <v>567</v>
          </cell>
          <cell r="E11">
            <v>0</v>
          </cell>
          <cell r="G11">
            <v>582</v>
          </cell>
          <cell r="K11">
            <v>149.376</v>
          </cell>
          <cell r="O11">
            <v>378.02000000000004</v>
          </cell>
          <cell r="T11">
            <v>0</v>
          </cell>
          <cell r="X11">
            <v>27640.00000001397</v>
          </cell>
          <cell r="AB11">
            <v>0</v>
          </cell>
          <cell r="AE11">
            <v>27640.00000001397</v>
          </cell>
          <cell r="AI11">
            <v>0.51329999999999998</v>
          </cell>
          <cell r="AM11">
            <v>270</v>
          </cell>
          <cell r="AQ11">
            <v>1604</v>
          </cell>
          <cell r="BD11">
            <v>24.6</v>
          </cell>
          <cell r="BE11">
            <v>20</v>
          </cell>
          <cell r="BF11">
            <v>53</v>
          </cell>
          <cell r="BQ11">
            <v>32</v>
          </cell>
          <cell r="BU11">
            <v>30</v>
          </cell>
          <cell r="BY11">
            <v>0</v>
          </cell>
          <cell r="CC11">
            <v>80</v>
          </cell>
          <cell r="CG11">
            <v>0</v>
          </cell>
          <cell r="CN11">
            <v>200</v>
          </cell>
          <cell r="CO11">
            <v>0.3436426116838488</v>
          </cell>
          <cell r="CT11">
            <v>1</v>
          </cell>
          <cell r="CX11">
            <v>3</v>
          </cell>
          <cell r="DB11">
            <v>681</v>
          </cell>
          <cell r="DF11">
            <v>1878</v>
          </cell>
          <cell r="DJ11">
            <v>2614</v>
          </cell>
          <cell r="DN11">
            <v>31</v>
          </cell>
          <cell r="DR11">
            <v>30</v>
          </cell>
          <cell r="DW11">
            <v>3395</v>
          </cell>
        </row>
        <row r="12">
          <cell r="C12">
            <v>505</v>
          </cell>
          <cell r="E12">
            <v>0</v>
          </cell>
          <cell r="G12">
            <v>480</v>
          </cell>
          <cell r="K12">
            <v>177.38400000000001</v>
          </cell>
          <cell r="O12">
            <v>405.68</v>
          </cell>
          <cell r="T12">
            <v>0</v>
          </cell>
          <cell r="X12">
            <v>30039.999999979045</v>
          </cell>
          <cell r="AB12">
            <v>0</v>
          </cell>
          <cell r="AE12">
            <v>30039.999999979045</v>
          </cell>
          <cell r="AI12">
            <v>0.50190000000000001</v>
          </cell>
          <cell r="AM12">
            <v>264</v>
          </cell>
          <cell r="AQ12">
            <v>1604</v>
          </cell>
          <cell r="BD12">
            <v>27.9</v>
          </cell>
          <cell r="BE12">
            <v>22</v>
          </cell>
          <cell r="BF12">
            <v>53</v>
          </cell>
          <cell r="BQ12">
            <v>28</v>
          </cell>
          <cell r="BU12">
            <v>33</v>
          </cell>
          <cell r="BY12">
            <v>0</v>
          </cell>
          <cell r="CC12">
            <v>50</v>
          </cell>
          <cell r="CG12">
            <v>0</v>
          </cell>
          <cell r="CN12">
            <v>240</v>
          </cell>
          <cell r="CO12">
            <v>0.5</v>
          </cell>
          <cell r="CT12">
            <v>1</v>
          </cell>
          <cell r="CX12">
            <v>4</v>
          </cell>
          <cell r="DB12">
            <v>748</v>
          </cell>
          <cell r="DF12">
            <v>1903</v>
          </cell>
          <cell r="DJ12">
            <v>3053</v>
          </cell>
          <cell r="DN12">
            <v>32</v>
          </cell>
          <cell r="DR12">
            <v>31</v>
          </cell>
          <cell r="DW12">
            <v>3836</v>
          </cell>
        </row>
        <row r="13">
          <cell r="C13">
            <v>463</v>
          </cell>
          <cell r="E13">
            <v>0</v>
          </cell>
          <cell r="G13">
            <v>448</v>
          </cell>
          <cell r="K13">
            <v>144.708</v>
          </cell>
          <cell r="O13">
            <v>424.12</v>
          </cell>
          <cell r="T13">
            <v>0</v>
          </cell>
          <cell r="X13">
            <v>30120.000000024447</v>
          </cell>
          <cell r="AB13">
            <v>0</v>
          </cell>
          <cell r="AE13">
            <v>30120.000000024447</v>
          </cell>
          <cell r="AI13">
            <v>0.52470000000000006</v>
          </cell>
          <cell r="AM13">
            <v>276</v>
          </cell>
          <cell r="AQ13">
            <v>1604</v>
          </cell>
          <cell r="BD13">
            <v>29.9</v>
          </cell>
          <cell r="BE13">
            <v>24</v>
          </cell>
          <cell r="BF13">
            <v>53</v>
          </cell>
          <cell r="BQ13">
            <v>16</v>
          </cell>
          <cell r="BU13">
            <v>33</v>
          </cell>
          <cell r="BY13">
            <v>0</v>
          </cell>
          <cell r="CC13">
            <v>30</v>
          </cell>
          <cell r="CG13">
            <v>0</v>
          </cell>
          <cell r="CN13">
            <v>254</v>
          </cell>
          <cell r="CO13">
            <v>0.5669642857142857</v>
          </cell>
          <cell r="CT13">
            <v>1</v>
          </cell>
          <cell r="CX13">
            <v>3</v>
          </cell>
          <cell r="DB13">
            <v>894</v>
          </cell>
          <cell r="DF13">
            <v>1048</v>
          </cell>
          <cell r="DJ13">
            <v>3693</v>
          </cell>
          <cell r="DN13">
            <v>0</v>
          </cell>
          <cell r="DR13">
            <v>32</v>
          </cell>
          <cell r="DW13">
            <v>4445</v>
          </cell>
        </row>
        <row r="14">
          <cell r="C14">
            <v>502</v>
          </cell>
          <cell r="E14">
            <v>0</v>
          </cell>
          <cell r="G14">
            <v>537</v>
          </cell>
          <cell r="K14">
            <v>130.70400000000001</v>
          </cell>
          <cell r="O14">
            <v>391.85</v>
          </cell>
          <cell r="T14">
            <v>0</v>
          </cell>
          <cell r="X14">
            <v>30199.999999982538</v>
          </cell>
          <cell r="AB14">
            <v>0</v>
          </cell>
          <cell r="AE14">
            <v>30199.999999982538</v>
          </cell>
          <cell r="AI14">
            <v>0.49809999999999999</v>
          </cell>
          <cell r="AM14">
            <v>262</v>
          </cell>
          <cell r="AQ14">
            <v>1664</v>
          </cell>
          <cell r="BD14">
            <v>29.4</v>
          </cell>
          <cell r="BE14">
            <v>23</v>
          </cell>
          <cell r="BF14">
            <v>53</v>
          </cell>
          <cell r="BQ14">
            <v>24</v>
          </cell>
          <cell r="BU14">
            <v>28</v>
          </cell>
          <cell r="BY14">
            <v>0</v>
          </cell>
          <cell r="CC14">
            <v>40</v>
          </cell>
          <cell r="CG14">
            <v>0</v>
          </cell>
          <cell r="CN14">
            <v>230</v>
          </cell>
          <cell r="CO14">
            <v>0.42830540037243947</v>
          </cell>
          <cell r="CT14">
            <v>1</v>
          </cell>
          <cell r="CX14">
            <v>3</v>
          </cell>
          <cell r="DB14">
            <v>798</v>
          </cell>
          <cell r="DF14">
            <v>1450</v>
          </cell>
          <cell r="DJ14">
            <v>3741</v>
          </cell>
          <cell r="DN14">
            <v>23</v>
          </cell>
          <cell r="DR14">
            <v>31</v>
          </cell>
          <cell r="DW14">
            <v>4515</v>
          </cell>
        </row>
        <row r="15">
          <cell r="C15">
            <v>475</v>
          </cell>
          <cell r="E15">
            <v>0</v>
          </cell>
          <cell r="G15">
            <v>470</v>
          </cell>
          <cell r="K15">
            <v>149.376</v>
          </cell>
          <cell r="O15">
            <v>414.90000000000003</v>
          </cell>
          <cell r="T15">
            <v>0</v>
          </cell>
          <cell r="X15">
            <v>31640.00000001397</v>
          </cell>
          <cell r="AB15">
            <v>0</v>
          </cell>
          <cell r="AE15">
            <v>31640.00000001397</v>
          </cell>
          <cell r="AI15">
            <v>0.4753</v>
          </cell>
          <cell r="AM15">
            <v>250</v>
          </cell>
          <cell r="AQ15">
            <v>1680</v>
          </cell>
          <cell r="BD15">
            <v>27.2</v>
          </cell>
          <cell r="BE15">
            <v>25</v>
          </cell>
          <cell r="BF15">
            <v>53</v>
          </cell>
          <cell r="BQ15">
            <v>26</v>
          </cell>
          <cell r="BU15">
            <v>35</v>
          </cell>
          <cell r="BY15">
            <v>0</v>
          </cell>
          <cell r="CC15">
            <v>0</v>
          </cell>
          <cell r="CG15">
            <v>0</v>
          </cell>
          <cell r="CN15">
            <v>243</v>
          </cell>
          <cell r="CO15">
            <v>0.51702127659574471</v>
          </cell>
          <cell r="CT15">
            <v>1</v>
          </cell>
          <cell r="CX15">
            <v>5</v>
          </cell>
          <cell r="DB15">
            <v>858</v>
          </cell>
          <cell r="DF15">
            <v>1722</v>
          </cell>
          <cell r="DJ15">
            <v>3686</v>
          </cell>
          <cell r="DN15">
            <v>42</v>
          </cell>
          <cell r="DR15">
            <v>30</v>
          </cell>
          <cell r="DW15">
            <v>4478</v>
          </cell>
        </row>
        <row r="16">
          <cell r="C16">
            <v>477</v>
          </cell>
          <cell r="E16">
            <v>0</v>
          </cell>
          <cell r="G16">
            <v>472</v>
          </cell>
          <cell r="K16">
            <v>149.376</v>
          </cell>
          <cell r="O16">
            <v>401.07000000000005</v>
          </cell>
          <cell r="T16">
            <v>0</v>
          </cell>
          <cell r="X16">
            <v>30160.000000003492</v>
          </cell>
          <cell r="AB16">
            <v>0</v>
          </cell>
          <cell r="AE16">
            <v>30160.000000003492</v>
          </cell>
          <cell r="AI16">
            <v>0.4829</v>
          </cell>
          <cell r="AM16">
            <v>254</v>
          </cell>
          <cell r="AQ16">
            <v>1680</v>
          </cell>
          <cell r="BD16">
            <v>24.4</v>
          </cell>
          <cell r="BE16">
            <v>22</v>
          </cell>
          <cell r="BF16">
            <v>73</v>
          </cell>
          <cell r="BQ16">
            <v>39</v>
          </cell>
          <cell r="BU16">
            <v>27</v>
          </cell>
          <cell r="BY16">
            <v>0</v>
          </cell>
          <cell r="CC16">
            <v>20</v>
          </cell>
          <cell r="CG16">
            <v>0</v>
          </cell>
          <cell r="CN16">
            <v>230</v>
          </cell>
          <cell r="CO16">
            <v>0.48728813559322032</v>
          </cell>
          <cell r="CT16">
            <v>2</v>
          </cell>
          <cell r="CX16">
            <v>3</v>
          </cell>
          <cell r="DB16">
            <v>751</v>
          </cell>
          <cell r="DF16">
            <v>2413</v>
          </cell>
          <cell r="DJ16">
            <v>3657</v>
          </cell>
          <cell r="DN16">
            <v>32</v>
          </cell>
          <cell r="DR16">
            <v>34</v>
          </cell>
          <cell r="DW16">
            <v>4443</v>
          </cell>
        </row>
        <row r="17">
          <cell r="C17">
            <v>563</v>
          </cell>
          <cell r="E17">
            <v>0</v>
          </cell>
          <cell r="G17">
            <v>513</v>
          </cell>
          <cell r="K17">
            <v>168.048</v>
          </cell>
          <cell r="O17">
            <v>461.00000000000006</v>
          </cell>
          <cell r="T17">
            <v>0</v>
          </cell>
          <cell r="X17">
            <v>28919.999999983702</v>
          </cell>
          <cell r="AB17">
            <v>240</v>
          </cell>
          <cell r="AE17">
            <v>29159.999999983702</v>
          </cell>
          <cell r="AI17">
            <v>0.4753</v>
          </cell>
          <cell r="AM17">
            <v>250</v>
          </cell>
          <cell r="AQ17">
            <v>1680</v>
          </cell>
          <cell r="BD17">
            <v>22.1</v>
          </cell>
          <cell r="BE17">
            <v>20</v>
          </cell>
          <cell r="BF17">
            <v>64</v>
          </cell>
          <cell r="BQ17">
            <v>24</v>
          </cell>
          <cell r="BU17">
            <v>39</v>
          </cell>
          <cell r="BY17">
            <v>5</v>
          </cell>
          <cell r="CC17">
            <v>95</v>
          </cell>
          <cell r="CG17">
            <v>0</v>
          </cell>
          <cell r="CN17">
            <v>190</v>
          </cell>
          <cell r="CO17">
            <v>0.37037037037037035</v>
          </cell>
          <cell r="CT17">
            <v>1</v>
          </cell>
          <cell r="CX17">
            <v>3</v>
          </cell>
          <cell r="DB17">
            <v>693</v>
          </cell>
          <cell r="DF17">
            <v>1650</v>
          </cell>
          <cell r="DJ17">
            <v>2379</v>
          </cell>
          <cell r="DN17">
            <v>197</v>
          </cell>
          <cell r="DR17">
            <v>94</v>
          </cell>
          <cell r="DW17">
            <v>3390</v>
          </cell>
        </row>
        <row r="18">
          <cell r="C18">
            <v>459</v>
          </cell>
          <cell r="E18">
            <v>0</v>
          </cell>
          <cell r="G18">
            <v>484</v>
          </cell>
          <cell r="K18">
            <v>154.04400000000001</v>
          </cell>
          <cell r="O18">
            <v>401.07000000000005</v>
          </cell>
          <cell r="T18">
            <v>0</v>
          </cell>
          <cell r="X18">
            <v>28600.000000005821</v>
          </cell>
          <cell r="AB18">
            <v>0</v>
          </cell>
          <cell r="AE18">
            <v>28600.000000005821</v>
          </cell>
          <cell r="AI18">
            <v>0.48859999999999998</v>
          </cell>
          <cell r="AM18">
            <v>257</v>
          </cell>
          <cell r="AQ18">
            <v>1680</v>
          </cell>
          <cell r="BD18">
            <v>22.2</v>
          </cell>
          <cell r="BE18">
            <v>18</v>
          </cell>
          <cell r="BF18">
            <v>60</v>
          </cell>
          <cell r="BQ18">
            <v>29</v>
          </cell>
          <cell r="BU18">
            <v>35</v>
          </cell>
          <cell r="BY18">
            <v>0</v>
          </cell>
          <cell r="CC18">
            <v>23</v>
          </cell>
          <cell r="CG18">
            <v>0</v>
          </cell>
          <cell r="CN18">
            <v>192</v>
          </cell>
          <cell r="CO18">
            <v>0.39669421487603307</v>
          </cell>
          <cell r="CT18">
            <v>1</v>
          </cell>
          <cell r="CX18">
            <v>4</v>
          </cell>
          <cell r="DB18">
            <v>703</v>
          </cell>
          <cell r="DF18">
            <v>1498</v>
          </cell>
          <cell r="DJ18">
            <v>2979</v>
          </cell>
          <cell r="DN18">
            <v>31</v>
          </cell>
          <cell r="DR18">
            <v>35</v>
          </cell>
          <cell r="DW18">
            <v>3765</v>
          </cell>
        </row>
        <row r="19">
          <cell r="C19">
            <v>532</v>
          </cell>
          <cell r="E19">
            <v>0</v>
          </cell>
          <cell r="G19">
            <v>507</v>
          </cell>
          <cell r="K19">
            <v>163.38</v>
          </cell>
          <cell r="O19">
            <v>424.12</v>
          </cell>
          <cell r="T19">
            <v>0</v>
          </cell>
          <cell r="X19">
            <v>29320.000000006985</v>
          </cell>
          <cell r="AB19">
            <v>0</v>
          </cell>
          <cell r="AE19">
            <v>29320.000000006985</v>
          </cell>
          <cell r="AI19">
            <v>0.46010000000000001</v>
          </cell>
          <cell r="AM19">
            <v>242</v>
          </cell>
          <cell r="AQ19">
            <v>1680</v>
          </cell>
          <cell r="BD19">
            <v>23.5</v>
          </cell>
          <cell r="BE19">
            <v>18</v>
          </cell>
          <cell r="BF19">
            <v>60</v>
          </cell>
          <cell r="BQ19">
            <v>24</v>
          </cell>
          <cell r="BU19">
            <v>27</v>
          </cell>
          <cell r="BY19">
            <v>0</v>
          </cell>
          <cell r="CC19">
            <v>57</v>
          </cell>
          <cell r="CG19">
            <v>0</v>
          </cell>
          <cell r="CN19">
            <v>191</v>
          </cell>
          <cell r="CO19">
            <v>0.37672583826429978</v>
          </cell>
          <cell r="CT19">
            <v>1</v>
          </cell>
          <cell r="CX19">
            <v>3</v>
          </cell>
          <cell r="DB19">
            <v>736</v>
          </cell>
          <cell r="DF19">
            <v>1785</v>
          </cell>
          <cell r="DJ19">
            <v>2717</v>
          </cell>
          <cell r="DN19">
            <v>36</v>
          </cell>
          <cell r="DR19">
            <v>34</v>
          </cell>
          <cell r="DW19">
            <v>3507</v>
          </cell>
        </row>
        <row r="20">
          <cell r="C20">
            <v>419</v>
          </cell>
          <cell r="E20">
            <v>0</v>
          </cell>
          <cell r="G20">
            <v>574</v>
          </cell>
          <cell r="K20">
            <v>158.71200000000002</v>
          </cell>
          <cell r="O20">
            <v>428.73</v>
          </cell>
          <cell r="T20">
            <v>0</v>
          </cell>
          <cell r="X20">
            <v>32519.999999989523</v>
          </cell>
          <cell r="AB20">
            <v>0</v>
          </cell>
          <cell r="AE20">
            <v>32519.999999989523</v>
          </cell>
          <cell r="AI20">
            <v>0.50760000000000005</v>
          </cell>
          <cell r="AM20">
            <v>267</v>
          </cell>
          <cell r="AQ20">
            <v>1680</v>
          </cell>
          <cell r="BD20">
            <v>26.2</v>
          </cell>
          <cell r="BE20">
            <v>22</v>
          </cell>
          <cell r="BF20">
            <v>64</v>
          </cell>
          <cell r="BQ20">
            <v>32</v>
          </cell>
          <cell r="BU20">
            <v>33</v>
          </cell>
          <cell r="BY20">
            <v>0</v>
          </cell>
          <cell r="CC20">
            <v>50</v>
          </cell>
          <cell r="CG20">
            <v>0</v>
          </cell>
          <cell r="CN20">
            <v>262</v>
          </cell>
          <cell r="CO20">
            <v>0.45644599303135891</v>
          </cell>
          <cell r="CT20">
            <v>1</v>
          </cell>
          <cell r="CX20">
            <v>5</v>
          </cell>
          <cell r="DB20">
            <v>829</v>
          </cell>
          <cell r="DF20">
            <v>1934</v>
          </cell>
          <cell r="DJ20">
            <v>3356</v>
          </cell>
          <cell r="DN20">
            <v>34</v>
          </cell>
          <cell r="DR20">
            <v>34</v>
          </cell>
          <cell r="DW20">
            <v>4144</v>
          </cell>
        </row>
        <row r="21">
          <cell r="C21">
            <v>569</v>
          </cell>
          <cell r="E21">
            <v>0</v>
          </cell>
          <cell r="G21">
            <v>474</v>
          </cell>
          <cell r="K21">
            <v>168.048</v>
          </cell>
          <cell r="O21">
            <v>419.51000000000005</v>
          </cell>
          <cell r="T21">
            <v>0</v>
          </cell>
          <cell r="X21">
            <v>26720.000000001164</v>
          </cell>
          <cell r="AB21">
            <v>0</v>
          </cell>
          <cell r="AE21">
            <v>26720.000000001164</v>
          </cell>
          <cell r="AI21">
            <v>0.50570000000000004</v>
          </cell>
          <cell r="AM21">
            <v>266</v>
          </cell>
          <cell r="AQ21">
            <v>1680</v>
          </cell>
          <cell r="BD21">
            <v>26.5</v>
          </cell>
          <cell r="BE21">
            <v>23</v>
          </cell>
          <cell r="BF21">
            <v>57</v>
          </cell>
          <cell r="BQ21">
            <v>32</v>
          </cell>
          <cell r="BU21">
            <v>30</v>
          </cell>
          <cell r="BY21">
            <v>0</v>
          </cell>
          <cell r="CC21">
            <v>40</v>
          </cell>
          <cell r="CG21">
            <v>0</v>
          </cell>
          <cell r="CN21">
            <v>213</v>
          </cell>
          <cell r="CO21">
            <v>0.44936708860759494</v>
          </cell>
          <cell r="CT21">
            <v>1</v>
          </cell>
          <cell r="CX21">
            <v>4</v>
          </cell>
          <cell r="DB21">
            <v>802</v>
          </cell>
          <cell r="DF21">
            <v>1974</v>
          </cell>
          <cell r="DJ21">
            <v>3422</v>
          </cell>
          <cell r="DN21">
            <v>33</v>
          </cell>
          <cell r="DR21">
            <v>32</v>
          </cell>
          <cell r="DW21">
            <v>4207</v>
          </cell>
        </row>
        <row r="22">
          <cell r="C22">
            <v>568</v>
          </cell>
          <cell r="E22">
            <v>0</v>
          </cell>
          <cell r="G22">
            <v>523</v>
          </cell>
          <cell r="K22">
            <v>182.05199999999999</v>
          </cell>
          <cell r="O22">
            <v>456.39000000000004</v>
          </cell>
          <cell r="T22">
            <v>0</v>
          </cell>
          <cell r="X22">
            <v>32920.000000012806</v>
          </cell>
          <cell r="AB22">
            <v>0</v>
          </cell>
          <cell r="AE22">
            <v>32920.000000012806</v>
          </cell>
          <cell r="AI22">
            <v>0.50570000000000004</v>
          </cell>
          <cell r="AM22">
            <v>266</v>
          </cell>
          <cell r="AQ22">
            <v>1680</v>
          </cell>
          <cell r="BD22">
            <v>27.2</v>
          </cell>
          <cell r="BE22">
            <v>22</v>
          </cell>
          <cell r="BF22">
            <v>73</v>
          </cell>
          <cell r="BQ22">
            <v>29</v>
          </cell>
          <cell r="BU22">
            <v>35</v>
          </cell>
          <cell r="BY22">
            <v>0</v>
          </cell>
          <cell r="CC22">
            <v>63</v>
          </cell>
          <cell r="CG22">
            <v>0</v>
          </cell>
          <cell r="CN22">
            <v>128</v>
          </cell>
          <cell r="CO22">
            <v>0.24474187380497131</v>
          </cell>
          <cell r="CT22">
            <v>2</v>
          </cell>
          <cell r="CX22">
            <v>3</v>
          </cell>
          <cell r="DB22">
            <v>843</v>
          </cell>
          <cell r="DF22">
            <v>1772</v>
          </cell>
          <cell r="DJ22">
            <v>3642</v>
          </cell>
          <cell r="DN22">
            <v>159</v>
          </cell>
          <cell r="DR22">
            <v>30</v>
          </cell>
          <cell r="DW22">
            <v>4551</v>
          </cell>
        </row>
        <row r="23">
          <cell r="C23">
            <v>521</v>
          </cell>
          <cell r="E23">
            <v>0</v>
          </cell>
          <cell r="G23">
            <v>521</v>
          </cell>
          <cell r="K23">
            <v>186.72</v>
          </cell>
          <cell r="O23">
            <v>433.34000000000003</v>
          </cell>
          <cell r="T23">
            <v>0</v>
          </cell>
          <cell r="X23">
            <v>32879.999999975553</v>
          </cell>
          <cell r="AB23">
            <v>0</v>
          </cell>
          <cell r="AE23">
            <v>32879.999999975553</v>
          </cell>
          <cell r="AI23">
            <v>0.53039999999999998</v>
          </cell>
          <cell r="AM23">
            <v>279</v>
          </cell>
          <cell r="AQ23">
            <v>1788</v>
          </cell>
          <cell r="BD23">
            <v>29.5</v>
          </cell>
          <cell r="BE23">
            <v>20</v>
          </cell>
          <cell r="BF23">
            <v>94</v>
          </cell>
          <cell r="BQ23">
            <v>34</v>
          </cell>
          <cell r="BU23">
            <v>32</v>
          </cell>
          <cell r="BY23">
            <v>0</v>
          </cell>
          <cell r="CC23">
            <v>32</v>
          </cell>
          <cell r="CG23">
            <v>0</v>
          </cell>
          <cell r="CN23">
            <v>257</v>
          </cell>
          <cell r="CO23">
            <v>0.49328214971209211</v>
          </cell>
          <cell r="CT23">
            <v>1</v>
          </cell>
          <cell r="CX23">
            <v>5</v>
          </cell>
          <cell r="DB23">
            <v>858</v>
          </cell>
          <cell r="DF23">
            <v>1957</v>
          </cell>
          <cell r="DJ23">
            <v>3642</v>
          </cell>
          <cell r="DN23">
            <v>59</v>
          </cell>
          <cell r="DR23">
            <v>30</v>
          </cell>
          <cell r="DW23">
            <v>4451</v>
          </cell>
        </row>
        <row r="24">
          <cell r="C24">
            <v>508</v>
          </cell>
          <cell r="E24">
            <v>0</v>
          </cell>
          <cell r="G24">
            <v>493</v>
          </cell>
          <cell r="K24">
            <v>210.06</v>
          </cell>
          <cell r="O24">
            <v>396.46000000000004</v>
          </cell>
          <cell r="T24">
            <v>0</v>
          </cell>
          <cell r="X24">
            <v>34400.000000023283</v>
          </cell>
          <cell r="AB24">
            <v>0</v>
          </cell>
          <cell r="AE24">
            <v>34400.000000023283</v>
          </cell>
          <cell r="AI24">
            <v>0.56079999999999997</v>
          </cell>
          <cell r="AM24">
            <v>295</v>
          </cell>
          <cell r="AQ24">
            <v>1860</v>
          </cell>
          <cell r="BD24">
            <v>30.8</v>
          </cell>
          <cell r="BE24">
            <v>25</v>
          </cell>
          <cell r="BF24">
            <v>42</v>
          </cell>
          <cell r="BQ24">
            <v>31</v>
          </cell>
          <cell r="BU24">
            <v>27</v>
          </cell>
          <cell r="BY24">
            <v>0</v>
          </cell>
          <cell r="CC24">
            <v>36</v>
          </cell>
          <cell r="CG24">
            <v>0</v>
          </cell>
          <cell r="CN24">
            <v>200</v>
          </cell>
          <cell r="CO24">
            <v>0.40567951318458417</v>
          </cell>
          <cell r="CT24">
            <v>1</v>
          </cell>
          <cell r="CX24">
            <v>3</v>
          </cell>
          <cell r="DB24">
            <v>848</v>
          </cell>
          <cell r="DF24">
            <v>1854</v>
          </cell>
          <cell r="DJ24">
            <v>4481</v>
          </cell>
          <cell r="DN24">
            <v>55</v>
          </cell>
          <cell r="DR24">
            <v>32</v>
          </cell>
          <cell r="DW24">
            <v>5288</v>
          </cell>
        </row>
        <row r="25">
          <cell r="C25">
            <v>553</v>
          </cell>
          <cell r="E25">
            <v>0</v>
          </cell>
          <cell r="G25">
            <v>613</v>
          </cell>
          <cell r="K25">
            <v>214.72800000000001</v>
          </cell>
          <cell r="O25">
            <v>410.29</v>
          </cell>
          <cell r="T25">
            <v>0</v>
          </cell>
          <cell r="X25">
            <v>36679.999999993015</v>
          </cell>
          <cell r="AB25">
            <v>0</v>
          </cell>
          <cell r="AE25">
            <v>36679.999999993015</v>
          </cell>
          <cell r="AI25">
            <v>0.62360000000000004</v>
          </cell>
          <cell r="AM25">
            <v>328</v>
          </cell>
          <cell r="AQ25">
            <v>1928</v>
          </cell>
          <cell r="BD25">
            <v>28.1</v>
          </cell>
          <cell r="BE25">
            <v>24</v>
          </cell>
          <cell r="BF25">
            <v>65</v>
          </cell>
          <cell r="BQ25">
            <v>38</v>
          </cell>
          <cell r="BU25">
            <v>33</v>
          </cell>
          <cell r="BY25">
            <v>0</v>
          </cell>
          <cell r="CC25">
            <v>35</v>
          </cell>
          <cell r="CG25">
            <v>0</v>
          </cell>
          <cell r="CN25">
            <v>219</v>
          </cell>
          <cell r="CO25">
            <v>0.35725938009787928</v>
          </cell>
          <cell r="CT25">
            <v>2</v>
          </cell>
          <cell r="CX25">
            <v>4</v>
          </cell>
          <cell r="DB25">
            <v>827</v>
          </cell>
          <cell r="DF25">
            <v>2115</v>
          </cell>
          <cell r="DJ25">
            <v>2971</v>
          </cell>
          <cell r="DN25">
            <v>1514</v>
          </cell>
          <cell r="DR25">
            <v>34</v>
          </cell>
          <cell r="DW25">
            <v>5239</v>
          </cell>
        </row>
        <row r="26">
          <cell r="C26">
            <v>684</v>
          </cell>
          <cell r="E26">
            <v>0</v>
          </cell>
          <cell r="G26">
            <v>629</v>
          </cell>
          <cell r="K26">
            <v>210.06</v>
          </cell>
          <cell r="O26">
            <v>543.98</v>
          </cell>
          <cell r="T26">
            <v>0</v>
          </cell>
          <cell r="X26">
            <v>35359.99999998603</v>
          </cell>
          <cell r="AB26">
            <v>0</v>
          </cell>
          <cell r="AE26">
            <v>35359.99999998603</v>
          </cell>
          <cell r="AI26">
            <v>0.71479999999999999</v>
          </cell>
          <cell r="AM26">
            <v>376</v>
          </cell>
          <cell r="AQ26">
            <v>1928</v>
          </cell>
          <cell r="BD26">
            <v>24.6</v>
          </cell>
          <cell r="BE26">
            <v>20</v>
          </cell>
          <cell r="BF26">
            <v>65</v>
          </cell>
          <cell r="BQ26">
            <v>30</v>
          </cell>
          <cell r="BU26">
            <v>42</v>
          </cell>
          <cell r="BY26">
            <v>0</v>
          </cell>
          <cell r="CC26">
            <v>58</v>
          </cell>
          <cell r="CG26">
            <v>0</v>
          </cell>
          <cell r="CN26">
            <v>282</v>
          </cell>
          <cell r="CO26">
            <v>0.44833068362480127</v>
          </cell>
          <cell r="CT26">
            <v>1</v>
          </cell>
          <cell r="CX26">
            <v>4</v>
          </cell>
          <cell r="DB26">
            <v>1001</v>
          </cell>
          <cell r="DF26">
            <v>1831</v>
          </cell>
          <cell r="DJ26">
            <v>1865</v>
          </cell>
          <cell r="DN26">
            <v>1589</v>
          </cell>
          <cell r="DR26">
            <v>29</v>
          </cell>
          <cell r="DW26">
            <v>4203</v>
          </cell>
        </row>
        <row r="27">
          <cell r="C27">
            <v>509</v>
          </cell>
          <cell r="E27">
            <v>0</v>
          </cell>
          <cell r="G27">
            <v>609</v>
          </cell>
          <cell r="K27">
            <v>242.73600000000002</v>
          </cell>
          <cell r="O27">
            <v>571.64</v>
          </cell>
          <cell r="T27">
            <v>0</v>
          </cell>
          <cell r="X27">
            <v>38760.000000009313</v>
          </cell>
          <cell r="AB27">
            <v>0</v>
          </cell>
          <cell r="AE27">
            <v>38760.000000009313</v>
          </cell>
          <cell r="AI27">
            <v>0.80989999999999995</v>
          </cell>
          <cell r="AM27">
            <v>426</v>
          </cell>
          <cell r="AQ27">
            <v>1968</v>
          </cell>
          <cell r="BD27">
            <v>25.3</v>
          </cell>
          <cell r="BE27">
            <v>21</v>
          </cell>
          <cell r="BF27">
            <v>64</v>
          </cell>
          <cell r="BQ27">
            <v>35</v>
          </cell>
          <cell r="BU27">
            <v>43</v>
          </cell>
          <cell r="BY27">
            <v>0</v>
          </cell>
          <cell r="CC27">
            <v>60</v>
          </cell>
          <cell r="CG27">
            <v>0</v>
          </cell>
          <cell r="CN27">
            <v>281</v>
          </cell>
          <cell r="CO27">
            <v>0.46141215106732347</v>
          </cell>
          <cell r="CT27">
            <v>1</v>
          </cell>
          <cell r="CX27">
            <v>4</v>
          </cell>
          <cell r="DB27">
            <v>1095</v>
          </cell>
          <cell r="DF27">
            <v>2114</v>
          </cell>
          <cell r="DJ27">
            <v>2151</v>
          </cell>
          <cell r="DN27">
            <v>793</v>
          </cell>
          <cell r="DR27">
            <v>32</v>
          </cell>
          <cell r="DW27">
            <v>3696</v>
          </cell>
        </row>
        <row r="28">
          <cell r="C28">
            <v>680</v>
          </cell>
          <cell r="E28">
            <v>0</v>
          </cell>
          <cell r="G28">
            <v>635</v>
          </cell>
          <cell r="K28">
            <v>270.74400000000003</v>
          </cell>
          <cell r="O28">
            <v>557.81000000000006</v>
          </cell>
          <cell r="T28">
            <v>0</v>
          </cell>
          <cell r="X28">
            <v>36440.000000002328</v>
          </cell>
          <cell r="AB28">
            <v>0</v>
          </cell>
          <cell r="AE28">
            <v>36440.000000002328</v>
          </cell>
          <cell r="AI28">
            <v>0.8498</v>
          </cell>
          <cell r="AM28">
            <v>447</v>
          </cell>
          <cell r="AQ28">
            <v>2008</v>
          </cell>
          <cell r="BD28">
            <v>25.3</v>
          </cell>
          <cell r="BE28">
            <v>21</v>
          </cell>
          <cell r="BF28">
            <v>64</v>
          </cell>
          <cell r="BQ28">
            <v>38</v>
          </cell>
          <cell r="BU28">
            <v>40</v>
          </cell>
          <cell r="BY28">
            <v>0</v>
          </cell>
          <cell r="CC28">
            <v>44</v>
          </cell>
          <cell r="CG28">
            <v>0</v>
          </cell>
          <cell r="CN28">
            <v>246</v>
          </cell>
          <cell r="CO28">
            <v>0.38740157480314963</v>
          </cell>
          <cell r="CT28">
            <v>2</v>
          </cell>
          <cell r="CX28">
            <v>6</v>
          </cell>
          <cell r="DB28">
            <v>1044</v>
          </cell>
          <cell r="DF28">
            <v>2246</v>
          </cell>
          <cell r="DJ28">
            <v>2151</v>
          </cell>
          <cell r="DN28">
            <v>500</v>
          </cell>
          <cell r="DR28">
            <v>32</v>
          </cell>
          <cell r="DW28">
            <v>3403</v>
          </cell>
        </row>
        <row r="29">
          <cell r="C29">
            <v>678</v>
          </cell>
          <cell r="E29">
            <v>0</v>
          </cell>
          <cell r="G29">
            <v>618</v>
          </cell>
          <cell r="K29">
            <v>219.39600000000002</v>
          </cell>
          <cell r="O29">
            <v>594.69000000000005</v>
          </cell>
          <cell r="T29">
            <v>0</v>
          </cell>
          <cell r="X29">
            <v>42119.999999995343</v>
          </cell>
          <cell r="AB29">
            <v>0</v>
          </cell>
          <cell r="AE29">
            <v>42119.999999995343</v>
          </cell>
          <cell r="AI29">
            <v>0.83079999999999998</v>
          </cell>
          <cell r="AM29">
            <v>437</v>
          </cell>
          <cell r="AQ29">
            <v>2044</v>
          </cell>
          <cell r="BD29">
            <v>27.6</v>
          </cell>
          <cell r="BE29">
            <v>24</v>
          </cell>
          <cell r="BF29">
            <v>53</v>
          </cell>
          <cell r="BQ29">
            <v>34</v>
          </cell>
          <cell r="BU29">
            <v>51</v>
          </cell>
          <cell r="BY29">
            <v>0</v>
          </cell>
          <cell r="CC29">
            <v>32</v>
          </cell>
          <cell r="CG29">
            <v>0</v>
          </cell>
          <cell r="CN29">
            <v>251</v>
          </cell>
          <cell r="CO29">
            <v>0.40614886731391586</v>
          </cell>
          <cell r="CT29">
            <v>1</v>
          </cell>
          <cell r="CX29">
            <v>6</v>
          </cell>
          <cell r="DB29">
            <v>1133</v>
          </cell>
          <cell r="DF29">
            <v>2028</v>
          </cell>
          <cell r="DJ29">
            <v>2892</v>
          </cell>
          <cell r="DN29">
            <v>4255</v>
          </cell>
          <cell r="DR29">
            <v>31</v>
          </cell>
          <cell r="DW29">
            <v>7898</v>
          </cell>
        </row>
        <row r="30">
          <cell r="C30">
            <v>524</v>
          </cell>
          <cell r="E30">
            <v>0</v>
          </cell>
          <cell r="G30">
            <v>694</v>
          </cell>
          <cell r="K30">
            <v>219.39600000000002</v>
          </cell>
          <cell r="O30">
            <v>571.64</v>
          </cell>
          <cell r="T30">
            <v>0</v>
          </cell>
          <cell r="X30">
            <v>37839.999999996508</v>
          </cell>
          <cell r="AB30">
            <v>0</v>
          </cell>
          <cell r="AE30">
            <v>37839.999999996508</v>
          </cell>
          <cell r="AI30">
            <v>0.80800000000000005</v>
          </cell>
          <cell r="AM30">
            <v>425</v>
          </cell>
          <cell r="AQ30">
            <v>2044</v>
          </cell>
          <cell r="BD30">
            <v>26.6</v>
          </cell>
          <cell r="BE30">
            <v>22</v>
          </cell>
          <cell r="BF30">
            <v>53</v>
          </cell>
          <cell r="BQ30">
            <v>38</v>
          </cell>
          <cell r="BU30">
            <v>52</v>
          </cell>
          <cell r="BY30">
            <v>0</v>
          </cell>
          <cell r="CC30">
            <v>75</v>
          </cell>
          <cell r="CG30">
            <v>0</v>
          </cell>
          <cell r="CN30">
            <v>269</v>
          </cell>
          <cell r="CO30">
            <v>0.38760806916426516</v>
          </cell>
          <cell r="CT30">
            <v>2</v>
          </cell>
          <cell r="CX30">
            <v>5</v>
          </cell>
          <cell r="DB30">
            <v>1116</v>
          </cell>
          <cell r="DF30">
            <v>2251</v>
          </cell>
          <cell r="DJ30">
            <v>2320</v>
          </cell>
          <cell r="DN30">
            <v>1836</v>
          </cell>
          <cell r="DR30">
            <v>32</v>
          </cell>
          <cell r="DW30">
            <v>4908</v>
          </cell>
        </row>
        <row r="31">
          <cell r="C31">
            <v>676</v>
          </cell>
          <cell r="E31">
            <v>0</v>
          </cell>
          <cell r="G31">
            <v>601</v>
          </cell>
          <cell r="K31">
            <v>233.4</v>
          </cell>
          <cell r="O31">
            <v>567.03000000000009</v>
          </cell>
          <cell r="T31">
            <v>0</v>
          </cell>
          <cell r="X31">
            <v>39320.000000006985</v>
          </cell>
          <cell r="AB31">
            <v>0</v>
          </cell>
          <cell r="AE31">
            <v>39320.000000006985</v>
          </cell>
          <cell r="AI31">
            <v>0.73380000000000001</v>
          </cell>
          <cell r="AM31">
            <v>386</v>
          </cell>
          <cell r="AQ31">
            <v>2044</v>
          </cell>
          <cell r="BD31">
            <v>27.5</v>
          </cell>
          <cell r="BE31">
            <v>23</v>
          </cell>
          <cell r="BF31">
            <v>41</v>
          </cell>
          <cell r="BQ31">
            <v>41</v>
          </cell>
          <cell r="BU31">
            <v>43</v>
          </cell>
          <cell r="BY31">
            <v>0</v>
          </cell>
          <cell r="CC31">
            <v>65</v>
          </cell>
          <cell r="CG31">
            <v>0</v>
          </cell>
          <cell r="CN31">
            <v>232</v>
          </cell>
          <cell r="CO31">
            <v>0.3860232945091514</v>
          </cell>
          <cell r="CT31">
            <v>2</v>
          </cell>
          <cell r="CX31">
            <v>4</v>
          </cell>
          <cell r="DB31">
            <v>1074</v>
          </cell>
          <cell r="DF31">
            <v>2207</v>
          </cell>
          <cell r="DJ31">
            <v>2203</v>
          </cell>
          <cell r="DN31">
            <v>1757</v>
          </cell>
          <cell r="DR31">
            <v>29</v>
          </cell>
          <cell r="DW31">
            <v>4709</v>
          </cell>
        </row>
        <row r="32">
          <cell r="C32">
            <v>591</v>
          </cell>
          <cell r="E32">
            <v>0</v>
          </cell>
          <cell r="G32">
            <v>591</v>
          </cell>
          <cell r="K32">
            <v>186.72</v>
          </cell>
          <cell r="O32">
            <v>525.54000000000008</v>
          </cell>
          <cell r="T32">
            <v>0</v>
          </cell>
          <cell r="X32">
            <v>36239.999999990687</v>
          </cell>
          <cell r="AB32">
            <v>0</v>
          </cell>
          <cell r="AE32">
            <v>36239.999999990687</v>
          </cell>
          <cell r="AI32">
            <v>0.70720000000000005</v>
          </cell>
          <cell r="AM32">
            <v>372</v>
          </cell>
          <cell r="AQ32">
            <v>2044</v>
          </cell>
          <cell r="BD32">
            <v>28.1</v>
          </cell>
          <cell r="BE32">
            <v>23</v>
          </cell>
          <cell r="BF32">
            <v>47</v>
          </cell>
          <cell r="BQ32">
            <v>35</v>
          </cell>
          <cell r="BU32">
            <v>41</v>
          </cell>
          <cell r="BY32">
            <v>0</v>
          </cell>
          <cell r="CC32">
            <v>61</v>
          </cell>
          <cell r="CG32">
            <v>0</v>
          </cell>
          <cell r="CN32">
            <v>250</v>
          </cell>
          <cell r="CO32">
            <v>0.4230118443316413</v>
          </cell>
          <cell r="CT32">
            <v>3</v>
          </cell>
          <cell r="CX32">
            <v>5</v>
          </cell>
          <cell r="DB32">
            <v>1037</v>
          </cell>
          <cell r="DF32">
            <v>1732</v>
          </cell>
          <cell r="DJ32">
            <v>2516</v>
          </cell>
          <cell r="DN32">
            <v>1942</v>
          </cell>
          <cell r="DR32">
            <v>33</v>
          </cell>
          <cell r="DW32">
            <v>5211</v>
          </cell>
        </row>
        <row r="33">
          <cell r="C33">
            <v>625</v>
          </cell>
          <cell r="E33">
            <v>0</v>
          </cell>
          <cell r="G33">
            <v>550</v>
          </cell>
          <cell r="K33">
            <v>177.38400000000001</v>
          </cell>
          <cell r="O33">
            <v>511.71000000000004</v>
          </cell>
          <cell r="T33">
            <v>0</v>
          </cell>
          <cell r="X33">
            <v>38559.999999997672</v>
          </cell>
          <cell r="AB33">
            <v>0</v>
          </cell>
          <cell r="AE33">
            <v>38559.999999997672</v>
          </cell>
          <cell r="AI33">
            <v>0.63119999999999998</v>
          </cell>
          <cell r="AM33">
            <v>332</v>
          </cell>
          <cell r="AQ33">
            <v>2044</v>
          </cell>
          <cell r="BD33">
            <v>28.1</v>
          </cell>
          <cell r="BE33">
            <v>23</v>
          </cell>
          <cell r="BF33">
            <v>69</v>
          </cell>
          <cell r="BQ33">
            <v>44</v>
          </cell>
          <cell r="BU33">
            <v>44</v>
          </cell>
          <cell r="BY33">
            <v>0</v>
          </cell>
          <cell r="CC33">
            <v>46</v>
          </cell>
          <cell r="CG33">
            <v>0</v>
          </cell>
          <cell r="CN33">
            <v>226</v>
          </cell>
          <cell r="CO33">
            <v>0.41090909090909089</v>
          </cell>
          <cell r="CT33">
            <v>4</v>
          </cell>
          <cell r="CX33">
            <v>6</v>
          </cell>
          <cell r="DB33">
            <v>1034</v>
          </cell>
          <cell r="DF33">
            <v>2288</v>
          </cell>
          <cell r="DJ33">
            <v>2422</v>
          </cell>
          <cell r="DN33">
            <v>2451</v>
          </cell>
          <cell r="DR33">
            <v>31</v>
          </cell>
          <cell r="DW33">
            <v>5624</v>
          </cell>
        </row>
        <row r="34">
          <cell r="C34">
            <v>447</v>
          </cell>
          <cell r="G34">
            <v>512</v>
          </cell>
          <cell r="K34">
            <v>182.05199999999999</v>
          </cell>
          <cell r="O34">
            <v>534.76</v>
          </cell>
          <cell r="T34">
            <v>0</v>
          </cell>
          <cell r="X34">
            <v>32440.000000002328</v>
          </cell>
          <cell r="AB34">
            <v>0</v>
          </cell>
          <cell r="AE34">
            <v>32440.000000002328</v>
          </cell>
          <cell r="AI34">
            <v>0.57410000000000005</v>
          </cell>
          <cell r="AM34">
            <v>302</v>
          </cell>
          <cell r="AQ34">
            <v>2044</v>
          </cell>
          <cell r="BD34">
            <v>23.5</v>
          </cell>
          <cell r="BE34">
            <v>20</v>
          </cell>
          <cell r="BF34">
            <v>60</v>
          </cell>
          <cell r="BQ34">
            <v>37</v>
          </cell>
          <cell r="BU34">
            <v>41</v>
          </cell>
          <cell r="BY34">
            <v>0</v>
          </cell>
          <cell r="CC34">
            <v>38</v>
          </cell>
          <cell r="CG34">
            <v>0</v>
          </cell>
          <cell r="CN34">
            <v>213</v>
          </cell>
          <cell r="CT34">
            <v>2</v>
          </cell>
          <cell r="CX34">
            <v>5</v>
          </cell>
          <cell r="DB34">
            <v>977</v>
          </cell>
          <cell r="DF34">
            <v>1906</v>
          </cell>
          <cell r="DJ34">
            <v>1606</v>
          </cell>
          <cell r="DN34">
            <v>1522</v>
          </cell>
          <cell r="DR34">
            <v>32</v>
          </cell>
          <cell r="DW34">
            <v>3880</v>
          </cell>
        </row>
        <row r="35">
          <cell r="C35">
            <v>462</v>
          </cell>
          <cell r="G35">
            <v>417</v>
          </cell>
          <cell r="K35">
            <v>168.048</v>
          </cell>
          <cell r="O35">
            <v>516.32000000000005</v>
          </cell>
          <cell r="T35">
            <v>0</v>
          </cell>
          <cell r="X35">
            <v>32040.000000008149</v>
          </cell>
          <cell r="AB35">
            <v>0</v>
          </cell>
          <cell r="AE35">
            <v>32040.000000008149</v>
          </cell>
          <cell r="AI35">
            <v>0.54559999999999997</v>
          </cell>
          <cell r="AM35">
            <v>287</v>
          </cell>
          <cell r="AQ35">
            <v>1588</v>
          </cell>
          <cell r="BD35">
            <v>23.5</v>
          </cell>
          <cell r="BE35">
            <v>20</v>
          </cell>
          <cell r="BF35">
            <v>60</v>
          </cell>
          <cell r="BQ35">
            <v>39</v>
          </cell>
          <cell r="BU35">
            <v>50</v>
          </cell>
          <cell r="CC35">
            <v>34</v>
          </cell>
          <cell r="CG35">
            <v>0</v>
          </cell>
          <cell r="CN35">
            <v>221</v>
          </cell>
          <cell r="CO35">
            <v>0.52997601918465231</v>
          </cell>
          <cell r="CT35">
            <v>4</v>
          </cell>
          <cell r="CX35">
            <v>5</v>
          </cell>
          <cell r="DB35">
            <v>957</v>
          </cell>
          <cell r="DF35">
            <v>2061</v>
          </cell>
          <cell r="DJ35">
            <v>32</v>
          </cell>
          <cell r="DN35">
            <v>3395</v>
          </cell>
          <cell r="DR35">
            <v>33</v>
          </cell>
          <cell r="DW35">
            <v>4180</v>
          </cell>
        </row>
      </sheetData>
      <sheetData sheetId="17">
        <row r="8">
          <cell r="M8">
            <v>32760.000000015134</v>
          </cell>
          <cell r="T8">
            <v>0</v>
          </cell>
          <cell r="Z8">
            <v>2889.12</v>
          </cell>
          <cell r="AB8">
            <v>419.51000000000005</v>
          </cell>
          <cell r="AC8">
            <v>1564.7723000000001</v>
          </cell>
          <cell r="AH8">
            <v>149.376</v>
          </cell>
          <cell r="AI8">
            <v>557.17248000000006</v>
          </cell>
          <cell r="AS8">
            <v>2121.9447800000003</v>
          </cell>
          <cell r="BE8">
            <v>37771.064780015135</v>
          </cell>
          <cell r="BI8">
            <v>165.66256482462779</v>
          </cell>
        </row>
        <row r="9">
          <cell r="M9">
            <v>33331.999999980326</v>
          </cell>
          <cell r="T9">
            <v>0</v>
          </cell>
          <cell r="Z9">
            <v>2495.5700000000002</v>
          </cell>
          <cell r="AB9">
            <v>410.29</v>
          </cell>
          <cell r="AC9">
            <v>1530.3817000000001</v>
          </cell>
          <cell r="AH9">
            <v>135.37200000000001</v>
          </cell>
          <cell r="AI9">
            <v>504.93756000000008</v>
          </cell>
          <cell r="AS9">
            <v>2035.3192600000002</v>
          </cell>
          <cell r="BE9">
            <v>37862.889259980322</v>
          </cell>
          <cell r="BI9">
            <v>179.44497279611528</v>
          </cell>
        </row>
        <row r="10">
          <cell r="M10">
            <v>33488.000000012107</v>
          </cell>
          <cell r="T10">
            <v>0</v>
          </cell>
          <cell r="Z10">
            <v>2435.38</v>
          </cell>
          <cell r="AB10">
            <v>401.07000000000005</v>
          </cell>
          <cell r="AC10">
            <v>1495.9911000000002</v>
          </cell>
          <cell r="AH10">
            <v>144.708</v>
          </cell>
          <cell r="AI10">
            <v>539.76084000000003</v>
          </cell>
          <cell r="AS10">
            <v>2035.7519400000001</v>
          </cell>
          <cell r="BE10">
            <v>37959.131940012106</v>
          </cell>
          <cell r="BI10">
            <v>162.21851256415431</v>
          </cell>
        </row>
        <row r="11">
          <cell r="M11">
            <v>33123.999999975786</v>
          </cell>
          <cell r="T11">
            <v>0</v>
          </cell>
          <cell r="Z11">
            <v>2463.16</v>
          </cell>
          <cell r="AB11">
            <v>391.85</v>
          </cell>
          <cell r="AC11">
            <v>1461.6005</v>
          </cell>
          <cell r="AH11">
            <v>149.376</v>
          </cell>
          <cell r="AI11">
            <v>557.17248000000006</v>
          </cell>
          <cell r="AS11">
            <v>2018.7729800000002</v>
          </cell>
          <cell r="BE11">
            <v>37605.932979975791</v>
          </cell>
          <cell r="BI11">
            <v>151.02784329307548</v>
          </cell>
        </row>
        <row r="12">
          <cell r="M12">
            <v>35880.000000007567</v>
          </cell>
          <cell r="T12">
            <v>0</v>
          </cell>
          <cell r="Z12">
            <v>2268.6999999999998</v>
          </cell>
          <cell r="AB12">
            <v>414.90000000000003</v>
          </cell>
          <cell r="AC12">
            <v>1547.5770000000002</v>
          </cell>
          <cell r="AH12">
            <v>163.38</v>
          </cell>
          <cell r="AI12">
            <v>609.40739999999994</v>
          </cell>
          <cell r="AS12">
            <v>2156.9844000000003</v>
          </cell>
          <cell r="BE12">
            <v>40305.684400007565</v>
          </cell>
          <cell r="BI12">
            <v>161.87021847392597</v>
          </cell>
        </row>
        <row r="13">
          <cell r="M13">
            <v>35932.000000018161</v>
          </cell>
          <cell r="T13">
            <v>0</v>
          </cell>
          <cell r="Z13">
            <v>2694.66</v>
          </cell>
          <cell r="AB13">
            <v>378.02000000000004</v>
          </cell>
          <cell r="AC13">
            <v>1410.0146000000002</v>
          </cell>
          <cell r="AH13">
            <v>149.376</v>
          </cell>
          <cell r="AI13">
            <v>557.17248000000006</v>
          </cell>
          <cell r="AS13">
            <v>1967.1870800000002</v>
          </cell>
          <cell r="BE13">
            <v>40593.847080018168</v>
          </cell>
          <cell r="BI13">
            <v>150.34758177784508</v>
          </cell>
        </row>
        <row r="14">
          <cell r="M14">
            <v>39051.999999972759</v>
          </cell>
          <cell r="T14">
            <v>0</v>
          </cell>
          <cell r="Z14">
            <v>2222.4</v>
          </cell>
          <cell r="AB14">
            <v>405.68</v>
          </cell>
          <cell r="AC14">
            <v>1513.1864</v>
          </cell>
          <cell r="AH14">
            <v>177.38400000000001</v>
          </cell>
          <cell r="AI14">
            <v>661.64232000000004</v>
          </cell>
          <cell r="AS14">
            <v>2174.82872</v>
          </cell>
          <cell r="BE14">
            <v>43449.228719972758</v>
          </cell>
          <cell r="BI14">
            <v>164.58041181807863</v>
          </cell>
        </row>
        <row r="15">
          <cell r="M15">
            <v>39156.000000031781</v>
          </cell>
          <cell r="T15">
            <v>0</v>
          </cell>
          <cell r="Z15">
            <v>2074.2399999999998</v>
          </cell>
          <cell r="AB15">
            <v>424.12</v>
          </cell>
          <cell r="AC15">
            <v>1581.9675999999999</v>
          </cell>
          <cell r="AH15">
            <v>144.708</v>
          </cell>
          <cell r="AI15">
            <v>539.76084000000003</v>
          </cell>
          <cell r="AS15">
            <v>2121.7284399999999</v>
          </cell>
          <cell r="BE15">
            <v>43351.968440031778</v>
          </cell>
          <cell r="BI15">
            <v>157.072349420405</v>
          </cell>
        </row>
        <row r="16">
          <cell r="M16">
            <v>39259.999999977299</v>
          </cell>
          <cell r="T16">
            <v>0</v>
          </cell>
          <cell r="Z16">
            <v>2486.31</v>
          </cell>
          <cell r="AB16">
            <v>391.85</v>
          </cell>
          <cell r="AC16">
            <v>1461.6005</v>
          </cell>
          <cell r="AH16">
            <v>130.70400000000001</v>
          </cell>
          <cell r="AI16">
            <v>487.52592000000004</v>
          </cell>
          <cell r="AS16">
            <v>1949.1264200000001</v>
          </cell>
          <cell r="BE16">
            <v>43695.436419977297</v>
          </cell>
          <cell r="BI16">
            <v>166.77647488540953</v>
          </cell>
        </row>
        <row r="17">
          <cell r="M17">
            <v>41132.000000018161</v>
          </cell>
          <cell r="T17">
            <v>0</v>
          </cell>
          <cell r="Z17">
            <v>2176.1</v>
          </cell>
          <cell r="AB17">
            <v>414.90000000000003</v>
          </cell>
          <cell r="AC17">
            <v>1547.5770000000002</v>
          </cell>
          <cell r="AH17">
            <v>149.376</v>
          </cell>
          <cell r="AI17">
            <v>557.17248000000006</v>
          </cell>
          <cell r="AS17">
            <v>2104.7494800000004</v>
          </cell>
          <cell r="BE17">
            <v>45412.849480018158</v>
          </cell>
          <cell r="BI17">
            <v>181.65139792007264</v>
          </cell>
        </row>
        <row r="18">
          <cell r="M18">
            <v>39208.00000000454</v>
          </cell>
          <cell r="T18">
            <v>0</v>
          </cell>
          <cell r="Z18">
            <v>2185.36</v>
          </cell>
          <cell r="AB18">
            <v>401.07000000000005</v>
          </cell>
          <cell r="AC18">
            <v>1495.9911000000002</v>
          </cell>
          <cell r="AH18">
            <v>149.376</v>
          </cell>
          <cell r="AI18">
            <v>557.17248000000006</v>
          </cell>
          <cell r="AS18">
            <v>2053.1635800000004</v>
          </cell>
          <cell r="BE18">
            <v>43446.523580004541</v>
          </cell>
          <cell r="BI18">
            <v>171.04930543308873</v>
          </cell>
        </row>
        <row r="19">
          <cell r="M19">
            <v>37595.999999978812</v>
          </cell>
          <cell r="T19">
            <v>0</v>
          </cell>
          <cell r="Z19">
            <v>2375.19</v>
          </cell>
          <cell r="AB19">
            <v>461.00000000000006</v>
          </cell>
          <cell r="AC19">
            <v>1719.5300000000002</v>
          </cell>
          <cell r="AH19">
            <v>168.048</v>
          </cell>
          <cell r="AI19">
            <v>626.81903999999997</v>
          </cell>
          <cell r="AS19">
            <v>2346.3490400000001</v>
          </cell>
          <cell r="BE19">
            <v>42317.539039978816</v>
          </cell>
          <cell r="BI19">
            <v>169.27015615991527</v>
          </cell>
        </row>
        <row r="20">
          <cell r="M20">
            <v>37180.000000007567</v>
          </cell>
          <cell r="T20">
            <v>0</v>
          </cell>
          <cell r="Z20">
            <v>2240.92</v>
          </cell>
          <cell r="AB20">
            <v>401.07000000000005</v>
          </cell>
          <cell r="AC20">
            <v>1495.9911000000002</v>
          </cell>
          <cell r="AH20">
            <v>154.04400000000001</v>
          </cell>
          <cell r="AI20">
            <v>574.58411999999998</v>
          </cell>
          <cell r="AS20">
            <v>2070.5752200000002</v>
          </cell>
          <cell r="BE20">
            <v>41491.495220007564</v>
          </cell>
          <cell r="BI20">
            <v>161.44550669263643</v>
          </cell>
        </row>
        <row r="21">
          <cell r="M21">
            <v>38116.00000000908</v>
          </cell>
          <cell r="T21">
            <v>0</v>
          </cell>
          <cell r="Z21">
            <v>2347.41</v>
          </cell>
          <cell r="AB21">
            <v>424.12</v>
          </cell>
          <cell r="AC21">
            <v>1581.9675999999999</v>
          </cell>
          <cell r="AH21">
            <v>163.38</v>
          </cell>
          <cell r="AI21">
            <v>609.40739999999994</v>
          </cell>
          <cell r="AS21">
            <v>2191.375</v>
          </cell>
          <cell r="BE21">
            <v>42654.785000009084</v>
          </cell>
          <cell r="BI21">
            <v>176.25944214879786</v>
          </cell>
        </row>
        <row r="22">
          <cell r="M22">
            <v>42275.999999986379</v>
          </cell>
          <cell r="T22">
            <v>0</v>
          </cell>
          <cell r="Z22">
            <v>2657.62</v>
          </cell>
          <cell r="AB22">
            <v>428.73</v>
          </cell>
          <cell r="AC22">
            <v>1599.1629</v>
          </cell>
          <cell r="AH22">
            <v>158.71200000000002</v>
          </cell>
          <cell r="AI22">
            <v>591.99576000000002</v>
          </cell>
          <cell r="AS22">
            <v>2191.1586600000001</v>
          </cell>
          <cell r="BE22">
            <v>47124.778659986383</v>
          </cell>
          <cell r="BI22">
            <v>176.49729835200893</v>
          </cell>
        </row>
        <row r="23">
          <cell r="M23">
            <v>34736.000000001513</v>
          </cell>
          <cell r="T23">
            <v>0</v>
          </cell>
          <cell r="Z23">
            <v>2194.62</v>
          </cell>
          <cell r="AB23">
            <v>419.51000000000005</v>
          </cell>
          <cell r="AC23">
            <v>1564.7723000000001</v>
          </cell>
          <cell r="AH23">
            <v>168.048</v>
          </cell>
          <cell r="AI23">
            <v>626.81903999999997</v>
          </cell>
          <cell r="AS23">
            <v>2191.5913399999999</v>
          </cell>
          <cell r="BE23">
            <v>39122.211340001515</v>
          </cell>
          <cell r="BI23">
            <v>147.07598248120871</v>
          </cell>
        </row>
        <row r="24">
          <cell r="M24">
            <v>42796.000000016647</v>
          </cell>
          <cell r="T24">
            <v>0</v>
          </cell>
          <cell r="Z24">
            <v>2421.4899999999998</v>
          </cell>
          <cell r="AB24">
            <v>456.39000000000004</v>
          </cell>
          <cell r="AC24">
            <v>1702.3347000000001</v>
          </cell>
          <cell r="AH24">
            <v>182.05199999999999</v>
          </cell>
          <cell r="AI24">
            <v>679.05395999999996</v>
          </cell>
          <cell r="AS24">
            <v>2381.3886600000001</v>
          </cell>
          <cell r="BE24">
            <v>47598.878660016642</v>
          </cell>
          <cell r="BI24">
            <v>178.94315285720543</v>
          </cell>
        </row>
        <row r="25">
          <cell r="M25">
            <v>42743.999999968219</v>
          </cell>
          <cell r="T25">
            <v>0</v>
          </cell>
          <cell r="Z25">
            <v>2412.23</v>
          </cell>
          <cell r="AB25">
            <v>433.34000000000003</v>
          </cell>
          <cell r="AC25">
            <v>1616.3582000000001</v>
          </cell>
          <cell r="AH25">
            <v>186.72</v>
          </cell>
          <cell r="AI25">
            <v>696.46559999999999</v>
          </cell>
          <cell r="AS25">
            <v>2312.8238000000001</v>
          </cell>
          <cell r="BE25">
            <v>47469.05379996822</v>
          </cell>
          <cell r="BI25">
            <v>170.13997777766386</v>
          </cell>
        </row>
        <row r="26">
          <cell r="M26">
            <v>44720.000000030268</v>
          </cell>
          <cell r="T26">
            <v>0</v>
          </cell>
          <cell r="Z26">
            <v>2282.59</v>
          </cell>
          <cell r="AB26">
            <v>396.46000000000004</v>
          </cell>
          <cell r="AC26">
            <v>1478.7958000000001</v>
          </cell>
          <cell r="AH26">
            <v>210.06</v>
          </cell>
          <cell r="AI26">
            <v>783.52380000000005</v>
          </cell>
          <cell r="AS26">
            <v>2262.3196000000003</v>
          </cell>
          <cell r="BE26">
            <v>49264.909600030267</v>
          </cell>
          <cell r="BI26">
            <v>166.99969355942463</v>
          </cell>
        </row>
        <row r="27">
          <cell r="M27">
            <v>47683.99999999092</v>
          </cell>
          <cell r="T27">
            <v>0</v>
          </cell>
          <cell r="Z27">
            <v>2838.19</v>
          </cell>
          <cell r="AB27">
            <v>410.29</v>
          </cell>
          <cell r="AC27">
            <v>1530.3817000000001</v>
          </cell>
          <cell r="AH27">
            <v>214.72800000000001</v>
          </cell>
          <cell r="AI27">
            <v>800.93544000000009</v>
          </cell>
          <cell r="AS27">
            <v>2331.3171400000001</v>
          </cell>
          <cell r="BE27">
            <v>52853.507139990921</v>
          </cell>
          <cell r="BI27">
            <v>161.13874128046012</v>
          </cell>
        </row>
        <row r="28">
          <cell r="M28">
            <v>45967.999999981839</v>
          </cell>
          <cell r="T28">
            <v>0</v>
          </cell>
          <cell r="Z28">
            <v>2912.27</v>
          </cell>
          <cell r="AB28">
            <v>543.98</v>
          </cell>
          <cell r="AC28">
            <v>2029.0454</v>
          </cell>
          <cell r="AH28">
            <v>210.06</v>
          </cell>
          <cell r="AI28">
            <v>783.52380000000005</v>
          </cell>
          <cell r="AS28">
            <v>2812.5691999999999</v>
          </cell>
          <cell r="BE28">
            <v>51692.839199981834</v>
          </cell>
          <cell r="BI28">
            <v>137.48095531910062</v>
          </cell>
        </row>
        <row r="29">
          <cell r="M29">
            <v>50388.000000012107</v>
          </cell>
          <cell r="T29">
            <v>0</v>
          </cell>
          <cell r="Z29">
            <v>2819.67</v>
          </cell>
          <cell r="AB29">
            <v>571.64</v>
          </cell>
          <cell r="AC29">
            <v>2132.2172</v>
          </cell>
          <cell r="AH29">
            <v>242.73600000000002</v>
          </cell>
          <cell r="AI29">
            <v>905.40528000000006</v>
          </cell>
          <cell r="AS29">
            <v>3037.62248</v>
          </cell>
          <cell r="BE29">
            <v>56245.292480012104</v>
          </cell>
          <cell r="BI29">
            <v>132.03120300472324</v>
          </cell>
        </row>
        <row r="30">
          <cell r="M30">
            <v>47372.000000003027</v>
          </cell>
          <cell r="T30">
            <v>0</v>
          </cell>
          <cell r="Z30">
            <v>2940.0499999999997</v>
          </cell>
          <cell r="AB30">
            <v>557.81000000000006</v>
          </cell>
          <cell r="AC30">
            <v>2080.6313</v>
          </cell>
          <cell r="AH30">
            <v>270.74400000000003</v>
          </cell>
          <cell r="AI30">
            <v>1009.8751200000002</v>
          </cell>
          <cell r="AS30">
            <v>3090.5064200000002</v>
          </cell>
          <cell r="BE30">
            <v>53402.556420003028</v>
          </cell>
          <cell r="BI30">
            <v>119.4688063087316</v>
          </cell>
        </row>
        <row r="31">
          <cell r="M31">
            <v>54755.999999993946</v>
          </cell>
          <cell r="T31">
            <v>0</v>
          </cell>
          <cell r="Z31">
            <v>2861.34</v>
          </cell>
          <cell r="AB31">
            <v>594.69000000000005</v>
          </cell>
          <cell r="AC31">
            <v>2218.1937000000003</v>
          </cell>
          <cell r="AH31">
            <v>219.39600000000002</v>
          </cell>
          <cell r="AI31">
            <v>818.34708000000001</v>
          </cell>
          <cell r="AS31">
            <v>3036.5407800000003</v>
          </cell>
          <cell r="BE31">
            <v>60653.880779993946</v>
          </cell>
          <cell r="BI31">
            <v>138.79606585810973</v>
          </cell>
        </row>
        <row r="32">
          <cell r="M32">
            <v>49191.99999999546</v>
          </cell>
          <cell r="T32">
            <v>0</v>
          </cell>
          <cell r="Z32">
            <v>3213.22</v>
          </cell>
          <cell r="AB32">
            <v>571.64</v>
          </cell>
          <cell r="AC32">
            <v>2132.2172</v>
          </cell>
          <cell r="AH32">
            <v>219.39600000000002</v>
          </cell>
          <cell r="AI32">
            <v>818.34708000000001</v>
          </cell>
          <cell r="AS32">
            <v>2950.5642800000001</v>
          </cell>
          <cell r="BE32">
            <v>55355.78427999546</v>
          </cell>
          <cell r="BI32">
            <v>130.2489041882246</v>
          </cell>
        </row>
        <row r="33">
          <cell r="M33">
            <v>51116.00000000908</v>
          </cell>
          <cell r="T33">
            <v>0</v>
          </cell>
          <cell r="Z33">
            <v>2782.63</v>
          </cell>
          <cell r="AB33">
            <v>567.03000000000009</v>
          </cell>
          <cell r="AC33">
            <v>2115.0219000000002</v>
          </cell>
          <cell r="AH33">
            <v>233.4</v>
          </cell>
          <cell r="AI33">
            <v>870.58199999999999</v>
          </cell>
          <cell r="AS33">
            <v>2985.6039000000001</v>
          </cell>
          <cell r="BE33">
            <v>56884.23390000908</v>
          </cell>
          <cell r="BI33">
            <v>147.36848160624115</v>
          </cell>
        </row>
        <row r="34">
          <cell r="M34">
            <v>47111.999999987893</v>
          </cell>
          <cell r="T34">
            <v>0</v>
          </cell>
          <cell r="Z34">
            <v>2736.33</v>
          </cell>
          <cell r="AB34">
            <v>525.54000000000008</v>
          </cell>
          <cell r="AC34">
            <v>1960.2642000000003</v>
          </cell>
          <cell r="AH34">
            <v>186.72</v>
          </cell>
          <cell r="AI34">
            <v>696.46559999999999</v>
          </cell>
          <cell r="AS34">
            <v>2656.7298000000001</v>
          </cell>
          <cell r="BE34">
            <v>52505.059799987896</v>
          </cell>
          <cell r="BI34">
            <v>141.14263387093521</v>
          </cell>
        </row>
        <row r="35">
          <cell r="M35">
            <v>50127.999999996973</v>
          </cell>
          <cell r="T35">
            <v>0</v>
          </cell>
          <cell r="Z35">
            <v>2546.5</v>
          </cell>
          <cell r="AB35">
            <v>511.71000000000004</v>
          </cell>
          <cell r="AC35">
            <v>1908.6783</v>
          </cell>
          <cell r="AH35">
            <v>177.38400000000001</v>
          </cell>
          <cell r="AI35">
            <v>661.64232000000004</v>
          </cell>
          <cell r="AS35">
            <v>2570.32062</v>
          </cell>
          <cell r="BE35">
            <v>55244.820619996972</v>
          </cell>
          <cell r="BI35">
            <v>166.40006210842461</v>
          </cell>
        </row>
        <row r="36">
          <cell r="M36">
            <v>42172.000000003027</v>
          </cell>
          <cell r="T36">
            <v>0</v>
          </cell>
          <cell r="Z36">
            <v>2370.56</v>
          </cell>
          <cell r="AB36">
            <v>534.76</v>
          </cell>
          <cell r="AC36">
            <v>1994.6548</v>
          </cell>
          <cell r="AH36">
            <v>182.05199999999999</v>
          </cell>
          <cell r="AI36">
            <v>679.05395999999996</v>
          </cell>
          <cell r="AS36">
            <v>2673.70876</v>
          </cell>
          <cell r="BE36">
            <v>47216.268760003026</v>
          </cell>
          <cell r="BI36">
            <v>156.345260794712</v>
          </cell>
        </row>
        <row r="37">
          <cell r="M37">
            <v>41652.000000010594</v>
          </cell>
          <cell r="T37">
            <v>0</v>
          </cell>
          <cell r="Z37">
            <v>1930.71</v>
          </cell>
          <cell r="AB37">
            <v>516.32000000000005</v>
          </cell>
          <cell r="AC37">
            <v>1925.8736000000001</v>
          </cell>
          <cell r="AH37">
            <v>168.048</v>
          </cell>
          <cell r="AI37">
            <v>626.81903999999997</v>
          </cell>
          <cell r="AS37">
            <v>2552.6926400000002</v>
          </cell>
          <cell r="BE37">
            <v>46135.402640010594</v>
          </cell>
          <cell r="BI37">
            <v>160.7505318467268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0.20"/>
      <sheetName val="Reading.10.20"/>
      <sheetName val="Electricity Chart"/>
      <sheetName val="Boiler Gas Chart"/>
      <sheetName val="Kitchen Gas Chart"/>
      <sheetName val="Water Consumption"/>
      <sheetName val="Energy Per Occ. Room"/>
      <sheetName val="Reading.10.19"/>
      <sheetName val="Cost.10.19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35</v>
          </cell>
        </row>
        <row r="5">
          <cell r="ED5">
            <v>42</v>
          </cell>
        </row>
        <row r="6">
          <cell r="ED6">
            <v>38</v>
          </cell>
        </row>
        <row r="7">
          <cell r="ED7">
            <v>39</v>
          </cell>
        </row>
        <row r="8">
          <cell r="ED8">
            <v>38</v>
          </cell>
        </row>
        <row r="9">
          <cell r="ED9">
            <v>35</v>
          </cell>
        </row>
        <row r="10">
          <cell r="ED10">
            <v>39</v>
          </cell>
        </row>
        <row r="11">
          <cell r="ED11">
            <v>38</v>
          </cell>
        </row>
        <row r="12">
          <cell r="ED12">
            <v>38</v>
          </cell>
        </row>
        <row r="13">
          <cell r="ED13">
            <v>41</v>
          </cell>
        </row>
        <row r="14">
          <cell r="ED14">
            <v>36</v>
          </cell>
        </row>
        <row r="15">
          <cell r="ED15">
            <v>38</v>
          </cell>
        </row>
        <row r="16">
          <cell r="ED16">
            <v>35</v>
          </cell>
        </row>
        <row r="17">
          <cell r="ED17">
            <v>40</v>
          </cell>
        </row>
        <row r="18">
          <cell r="ED18">
            <v>43</v>
          </cell>
        </row>
        <row r="19">
          <cell r="ED19">
            <v>42</v>
          </cell>
        </row>
        <row r="20">
          <cell r="ED20">
            <v>36</v>
          </cell>
        </row>
        <row r="21">
          <cell r="ED21">
            <v>37</v>
          </cell>
        </row>
        <row r="22">
          <cell r="ED22">
            <v>52</v>
          </cell>
        </row>
        <row r="23">
          <cell r="ED23">
            <v>40</v>
          </cell>
        </row>
        <row r="24">
          <cell r="ED24">
            <v>43</v>
          </cell>
        </row>
        <row r="25">
          <cell r="ED25">
            <v>34</v>
          </cell>
        </row>
        <row r="26">
          <cell r="ED26">
            <v>35</v>
          </cell>
        </row>
        <row r="27">
          <cell r="ED27">
            <v>28</v>
          </cell>
        </row>
        <row r="28">
          <cell r="ED28">
            <v>37</v>
          </cell>
        </row>
        <row r="29">
          <cell r="ED29">
            <v>37</v>
          </cell>
        </row>
        <row r="30">
          <cell r="ED30">
            <v>36</v>
          </cell>
        </row>
        <row r="31">
          <cell r="ED31">
            <v>36</v>
          </cell>
        </row>
        <row r="32">
          <cell r="ED32">
            <v>31</v>
          </cell>
        </row>
        <row r="33">
          <cell r="ED33">
            <v>31</v>
          </cell>
        </row>
        <row r="34">
          <cell r="ED34">
            <v>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1.20"/>
      <sheetName val="Reading.11.20"/>
      <sheetName val="Electricity Chart"/>
      <sheetName val="Boiler Gas Chart"/>
      <sheetName val="Kitchen Gas Chart"/>
      <sheetName val="Water Consumption"/>
      <sheetName val="Energy Per Occ. Room"/>
      <sheetName val="Reading.11.19"/>
      <sheetName val="Cost.11.19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35</v>
          </cell>
        </row>
        <row r="5">
          <cell r="ED5">
            <v>40</v>
          </cell>
        </row>
        <row r="6">
          <cell r="ED6">
            <v>32</v>
          </cell>
        </row>
        <row r="7">
          <cell r="ED7">
            <v>40</v>
          </cell>
        </row>
        <row r="8">
          <cell r="ED8">
            <v>38</v>
          </cell>
        </row>
        <row r="9">
          <cell r="ED9">
            <v>29</v>
          </cell>
        </row>
        <row r="10">
          <cell r="ED10">
            <v>35</v>
          </cell>
        </row>
        <row r="11">
          <cell r="ED11">
            <v>32</v>
          </cell>
        </row>
        <row r="12">
          <cell r="ED12">
            <v>33</v>
          </cell>
        </row>
        <row r="13">
          <cell r="ED13">
            <v>33</v>
          </cell>
        </row>
        <row r="14">
          <cell r="ED14">
            <v>35</v>
          </cell>
        </row>
        <row r="15">
          <cell r="ED15">
            <v>35</v>
          </cell>
        </row>
        <row r="16">
          <cell r="ED16">
            <v>29</v>
          </cell>
        </row>
        <row r="17">
          <cell r="ED17">
            <v>32</v>
          </cell>
        </row>
        <row r="18">
          <cell r="ED18">
            <v>33</v>
          </cell>
        </row>
        <row r="19">
          <cell r="ED19">
            <v>33</v>
          </cell>
        </row>
        <row r="20">
          <cell r="ED20">
            <v>35</v>
          </cell>
        </row>
        <row r="21">
          <cell r="ED21">
            <v>37</v>
          </cell>
        </row>
        <row r="22">
          <cell r="ED22">
            <v>38</v>
          </cell>
        </row>
        <row r="23">
          <cell r="ED23">
            <v>34</v>
          </cell>
        </row>
        <row r="24">
          <cell r="ED24">
            <v>31</v>
          </cell>
        </row>
        <row r="25">
          <cell r="ED25">
            <v>33</v>
          </cell>
        </row>
        <row r="26">
          <cell r="ED26">
            <v>30</v>
          </cell>
        </row>
        <row r="27">
          <cell r="ED27">
            <v>31</v>
          </cell>
        </row>
        <row r="28">
          <cell r="ED28">
            <v>34</v>
          </cell>
        </row>
        <row r="29">
          <cell r="ED29">
            <v>32</v>
          </cell>
        </row>
        <row r="30">
          <cell r="ED30">
            <v>30</v>
          </cell>
        </row>
        <row r="31">
          <cell r="ED31">
            <v>26</v>
          </cell>
        </row>
        <row r="32">
          <cell r="ED32">
            <v>31</v>
          </cell>
        </row>
        <row r="33">
          <cell r="ED33">
            <v>29</v>
          </cell>
        </row>
        <row r="34">
          <cell r="ED34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2.20"/>
      <sheetName val="Reading.12.20"/>
      <sheetName val="Electricity Chart"/>
      <sheetName val="Boiler Gas Chart"/>
      <sheetName val="Kitchen Gas Chart"/>
      <sheetName val="Water Consumption"/>
      <sheetName val="Energy Per Occ. Room"/>
      <sheetName val="Reading.12.19"/>
      <sheetName val="Cost.12.19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31</v>
          </cell>
        </row>
        <row r="5">
          <cell r="ED5">
            <v>37</v>
          </cell>
        </row>
        <row r="6">
          <cell r="ED6">
            <v>29</v>
          </cell>
        </row>
        <row r="7">
          <cell r="ED7">
            <v>33</v>
          </cell>
        </row>
        <row r="8">
          <cell r="ED8">
            <v>36</v>
          </cell>
        </row>
        <row r="9">
          <cell r="ED9">
            <v>31</v>
          </cell>
        </row>
        <row r="10">
          <cell r="ED10">
            <v>31</v>
          </cell>
        </row>
        <row r="11">
          <cell r="ED11">
            <v>30</v>
          </cell>
        </row>
        <row r="12">
          <cell r="ED12">
            <v>20</v>
          </cell>
        </row>
        <row r="13">
          <cell r="ED13">
            <v>31</v>
          </cell>
        </row>
        <row r="14">
          <cell r="ED14">
            <v>42</v>
          </cell>
        </row>
        <row r="15">
          <cell r="ED15">
            <v>33</v>
          </cell>
        </row>
        <row r="16">
          <cell r="ED16">
            <v>36</v>
          </cell>
        </row>
        <row r="17">
          <cell r="ED17">
            <v>33</v>
          </cell>
        </row>
        <row r="18">
          <cell r="ED18">
            <v>32</v>
          </cell>
        </row>
        <row r="19">
          <cell r="ED19">
            <v>36</v>
          </cell>
        </row>
        <row r="20">
          <cell r="ED20">
            <v>34</v>
          </cell>
        </row>
        <row r="21">
          <cell r="ED21">
            <v>30</v>
          </cell>
        </row>
        <row r="22">
          <cell r="ED22">
            <v>35</v>
          </cell>
        </row>
        <row r="23">
          <cell r="ED23">
            <v>39</v>
          </cell>
        </row>
        <row r="24">
          <cell r="ED24">
            <v>29</v>
          </cell>
        </row>
        <row r="25">
          <cell r="ED25">
            <v>31</v>
          </cell>
        </row>
        <row r="26">
          <cell r="ED26">
            <v>36</v>
          </cell>
        </row>
        <row r="27">
          <cell r="ED27">
            <v>30</v>
          </cell>
        </row>
        <row r="28">
          <cell r="ED28">
            <v>38</v>
          </cell>
        </row>
        <row r="29">
          <cell r="ED29">
            <v>50</v>
          </cell>
        </row>
        <row r="30">
          <cell r="ED30">
            <v>52</v>
          </cell>
        </row>
        <row r="31">
          <cell r="ED31">
            <v>55</v>
          </cell>
        </row>
        <row r="32">
          <cell r="ED32">
            <v>52</v>
          </cell>
        </row>
        <row r="33">
          <cell r="ED33">
            <v>63</v>
          </cell>
        </row>
        <row r="34">
          <cell r="ED3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1.21"/>
      <sheetName val="Reading.01.21"/>
      <sheetName val="Electricity Chart"/>
      <sheetName val="Boiler Gas Chart"/>
      <sheetName val="Kitchen Gas Chart"/>
      <sheetName val="Water Consumption"/>
      <sheetName val="Energy Per Occ. Room"/>
      <sheetName val="Reading.01.20"/>
      <sheetName val="Cost.01.20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49</v>
          </cell>
        </row>
        <row r="5">
          <cell r="ED5">
            <v>54</v>
          </cell>
        </row>
        <row r="6">
          <cell r="ED6">
            <v>52</v>
          </cell>
        </row>
        <row r="7">
          <cell r="ED7">
            <v>60</v>
          </cell>
        </row>
        <row r="8">
          <cell r="ED8">
            <v>46</v>
          </cell>
        </row>
        <row r="9">
          <cell r="ED9">
            <v>45</v>
          </cell>
        </row>
        <row r="10">
          <cell r="ED10">
            <v>30</v>
          </cell>
        </row>
        <row r="11">
          <cell r="ED11">
            <v>36</v>
          </cell>
        </row>
        <row r="12">
          <cell r="ED12">
            <v>39</v>
          </cell>
        </row>
        <row r="13">
          <cell r="ED13">
            <v>34</v>
          </cell>
        </row>
        <row r="14">
          <cell r="ED14">
            <v>39</v>
          </cell>
        </row>
        <row r="15">
          <cell r="ED15">
            <v>29</v>
          </cell>
        </row>
        <row r="16">
          <cell r="ED16">
            <v>43</v>
          </cell>
        </row>
        <row r="17">
          <cell r="ED17">
            <v>36</v>
          </cell>
        </row>
        <row r="18">
          <cell r="ED18">
            <v>39</v>
          </cell>
        </row>
        <row r="19">
          <cell r="ED19">
            <v>39</v>
          </cell>
        </row>
        <row r="20">
          <cell r="ED20">
            <v>43</v>
          </cell>
        </row>
        <row r="21">
          <cell r="ED21">
            <v>31</v>
          </cell>
        </row>
        <row r="22">
          <cell r="ED22">
            <v>31</v>
          </cell>
        </row>
        <row r="23">
          <cell r="ED23">
            <v>54</v>
          </cell>
        </row>
        <row r="24">
          <cell r="ED24">
            <v>39</v>
          </cell>
        </row>
        <row r="25">
          <cell r="ED25">
            <v>31</v>
          </cell>
        </row>
        <row r="26">
          <cell r="ED26">
            <v>41</v>
          </cell>
        </row>
        <row r="27">
          <cell r="ED27">
            <v>39</v>
          </cell>
        </row>
        <row r="28">
          <cell r="ED28">
            <v>41</v>
          </cell>
        </row>
        <row r="29">
          <cell r="ED29">
            <v>37</v>
          </cell>
        </row>
        <row r="30">
          <cell r="ED30">
            <v>45</v>
          </cell>
        </row>
        <row r="31">
          <cell r="ED31">
            <v>41</v>
          </cell>
        </row>
        <row r="32">
          <cell r="ED32">
            <v>44</v>
          </cell>
        </row>
        <row r="33">
          <cell r="ED33">
            <v>39</v>
          </cell>
        </row>
        <row r="34">
          <cell r="ED34">
            <v>39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2.21"/>
      <sheetName val="Reading.02.21"/>
      <sheetName val="Electricity Chart"/>
      <sheetName val="Boiler Gas Chart"/>
      <sheetName val="Kitchen Gas Chart"/>
      <sheetName val="Water Consumption"/>
      <sheetName val="Energy Per Occ. Room"/>
      <sheetName val="Reading.02.20"/>
      <sheetName val="Cost.02.20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39</v>
          </cell>
        </row>
        <row r="5">
          <cell r="ED5">
            <v>41</v>
          </cell>
        </row>
        <row r="6">
          <cell r="ED6">
            <v>45</v>
          </cell>
        </row>
        <row r="7">
          <cell r="ED7">
            <v>42</v>
          </cell>
        </row>
        <row r="8">
          <cell r="ED8">
            <v>34</v>
          </cell>
        </row>
        <row r="9">
          <cell r="ED9">
            <v>40</v>
          </cell>
        </row>
        <row r="10">
          <cell r="ED10">
            <v>28</v>
          </cell>
        </row>
        <row r="11">
          <cell r="ED11">
            <v>39</v>
          </cell>
        </row>
        <row r="12">
          <cell r="ED12">
            <v>32</v>
          </cell>
        </row>
        <row r="13">
          <cell r="ED13">
            <v>38</v>
          </cell>
        </row>
        <row r="14">
          <cell r="ED14">
            <v>35</v>
          </cell>
        </row>
        <row r="15">
          <cell r="ED15">
            <v>31</v>
          </cell>
        </row>
        <row r="16">
          <cell r="ED16">
            <v>35</v>
          </cell>
        </row>
        <row r="17">
          <cell r="ED17">
            <v>36</v>
          </cell>
        </row>
        <row r="18">
          <cell r="ED18">
            <v>34</v>
          </cell>
        </row>
        <row r="19">
          <cell r="ED19">
            <v>40</v>
          </cell>
        </row>
        <row r="20">
          <cell r="ED20">
            <v>44</v>
          </cell>
        </row>
        <row r="21">
          <cell r="ED21">
            <v>32</v>
          </cell>
        </row>
        <row r="22">
          <cell r="ED22">
            <v>30</v>
          </cell>
        </row>
        <row r="23">
          <cell r="ED23">
            <v>36</v>
          </cell>
        </row>
        <row r="24">
          <cell r="ED24">
            <v>39</v>
          </cell>
        </row>
        <row r="25">
          <cell r="ED25">
            <v>37</v>
          </cell>
        </row>
        <row r="26">
          <cell r="ED26">
            <v>37</v>
          </cell>
        </row>
        <row r="27">
          <cell r="ED27">
            <v>47</v>
          </cell>
        </row>
        <row r="28">
          <cell r="ED28">
            <v>47</v>
          </cell>
        </row>
        <row r="29">
          <cell r="ED29">
            <v>17</v>
          </cell>
        </row>
        <row r="30">
          <cell r="ED30">
            <v>34</v>
          </cell>
        </row>
        <row r="31">
          <cell r="ED31">
            <v>33</v>
          </cell>
        </row>
        <row r="32">
          <cell r="ED32"/>
        </row>
        <row r="33">
          <cell r="ED33"/>
        </row>
        <row r="34">
          <cell r="ED34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2.21"/>
      <sheetName val="Reading.03.21"/>
      <sheetName val="Electricity Chart"/>
      <sheetName val="Boiler Gas Chart"/>
      <sheetName val="Kitchen Gas Chart"/>
      <sheetName val="Water Consumption"/>
      <sheetName val="Energy Per Occ. Room"/>
      <sheetName val="Reading.03.20"/>
      <sheetName val="Cost.03.20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36</v>
          </cell>
        </row>
        <row r="5">
          <cell r="ED5">
            <v>37</v>
          </cell>
        </row>
        <row r="6">
          <cell r="ED6">
            <v>43</v>
          </cell>
        </row>
        <row r="7">
          <cell r="ED7">
            <v>36</v>
          </cell>
        </row>
        <row r="8">
          <cell r="ED8">
            <v>39</v>
          </cell>
        </row>
        <row r="9">
          <cell r="ED9">
            <v>38</v>
          </cell>
        </row>
        <row r="10">
          <cell r="ED10">
            <v>31</v>
          </cell>
        </row>
        <row r="11">
          <cell r="ED11">
            <v>37</v>
          </cell>
        </row>
        <row r="12">
          <cell r="ED12">
            <v>36</v>
          </cell>
        </row>
        <row r="13">
          <cell r="ED13">
            <v>41</v>
          </cell>
        </row>
        <row r="14">
          <cell r="ED14">
            <v>34</v>
          </cell>
        </row>
        <row r="15">
          <cell r="ED15">
            <v>39</v>
          </cell>
        </row>
        <row r="16">
          <cell r="ED16">
            <v>40</v>
          </cell>
        </row>
        <row r="17">
          <cell r="ED17">
            <v>38</v>
          </cell>
        </row>
        <row r="18">
          <cell r="ED18">
            <v>34</v>
          </cell>
        </row>
        <row r="19">
          <cell r="ED19">
            <v>37</v>
          </cell>
        </row>
        <row r="20">
          <cell r="ED20">
            <v>44</v>
          </cell>
        </row>
        <row r="21">
          <cell r="ED21">
            <v>35</v>
          </cell>
        </row>
        <row r="22">
          <cell r="ED22">
            <v>42</v>
          </cell>
        </row>
        <row r="23">
          <cell r="ED23">
            <v>39</v>
          </cell>
        </row>
        <row r="24">
          <cell r="ED24">
            <v>35</v>
          </cell>
        </row>
        <row r="25">
          <cell r="ED25">
            <v>30</v>
          </cell>
        </row>
        <row r="26">
          <cell r="ED26">
            <v>35</v>
          </cell>
        </row>
        <row r="27">
          <cell r="ED27">
            <v>42</v>
          </cell>
        </row>
        <row r="28">
          <cell r="ED28">
            <v>40</v>
          </cell>
        </row>
        <row r="29">
          <cell r="ED29">
            <v>39</v>
          </cell>
        </row>
        <row r="30">
          <cell r="ED30">
            <v>41</v>
          </cell>
        </row>
        <row r="31">
          <cell r="ED31">
            <v>41</v>
          </cell>
        </row>
        <row r="32">
          <cell r="ED32">
            <v>40</v>
          </cell>
        </row>
        <row r="33">
          <cell r="ED33">
            <v>33</v>
          </cell>
        </row>
        <row r="34">
          <cell r="ED34">
            <v>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2.21"/>
      <sheetName val="Reading.04.21"/>
      <sheetName val="Electricity Chart"/>
      <sheetName val="Boiler Gas Chart"/>
      <sheetName val="Kitchen Gas Chart"/>
      <sheetName val="Water Consumption"/>
      <sheetName val="Energy Per Occ. Room"/>
      <sheetName val="Reading.04.20"/>
      <sheetName val="Cost.03.20"/>
      <sheetName val="Sheet1"/>
    </sheetNames>
    <sheetDataSet>
      <sheetData sheetId="0"/>
      <sheetData sheetId="1"/>
      <sheetData sheetId="2"/>
      <sheetData sheetId="3"/>
      <sheetData sheetId="4">
        <row r="4">
          <cell r="ED4">
            <v>38</v>
          </cell>
        </row>
        <row r="5">
          <cell r="ED5">
            <v>42</v>
          </cell>
        </row>
        <row r="6">
          <cell r="ED6">
            <v>39</v>
          </cell>
        </row>
        <row r="7">
          <cell r="ED7">
            <v>36</v>
          </cell>
        </row>
        <row r="8">
          <cell r="ED8">
            <v>33</v>
          </cell>
        </row>
        <row r="9">
          <cell r="ED9">
            <v>36</v>
          </cell>
        </row>
        <row r="10">
          <cell r="ED10">
            <v>38</v>
          </cell>
        </row>
        <row r="11">
          <cell r="ED11">
            <v>36</v>
          </cell>
        </row>
        <row r="12">
          <cell r="ED12">
            <v>34</v>
          </cell>
        </row>
        <row r="13">
          <cell r="ED13">
            <v>35</v>
          </cell>
        </row>
        <row r="14">
          <cell r="ED14">
            <v>37</v>
          </cell>
        </row>
        <row r="15">
          <cell r="ED15">
            <v>37</v>
          </cell>
        </row>
        <row r="16">
          <cell r="ED16">
            <v>31</v>
          </cell>
        </row>
        <row r="17">
          <cell r="ED17">
            <v>31</v>
          </cell>
        </row>
        <row r="18">
          <cell r="ED18">
            <v>35</v>
          </cell>
        </row>
        <row r="19">
          <cell r="ED19">
            <v>28</v>
          </cell>
        </row>
        <row r="20">
          <cell r="ED20">
            <v>31</v>
          </cell>
        </row>
        <row r="21">
          <cell r="ED21">
            <v>32</v>
          </cell>
        </row>
        <row r="22">
          <cell r="ED22">
            <v>28</v>
          </cell>
        </row>
        <row r="23">
          <cell r="ED23">
            <v>29</v>
          </cell>
        </row>
        <row r="24">
          <cell r="ED24">
            <v>35</v>
          </cell>
        </row>
        <row r="25">
          <cell r="ED25">
            <v>28</v>
          </cell>
        </row>
        <row r="26">
          <cell r="ED26">
            <v>25</v>
          </cell>
        </row>
        <row r="27">
          <cell r="ED27">
            <v>31</v>
          </cell>
        </row>
        <row r="28">
          <cell r="ED28">
            <v>30</v>
          </cell>
        </row>
        <row r="29">
          <cell r="ED29">
            <v>35</v>
          </cell>
        </row>
        <row r="30">
          <cell r="ED30">
            <v>28</v>
          </cell>
        </row>
        <row r="31">
          <cell r="ED31">
            <v>32</v>
          </cell>
        </row>
        <row r="32">
          <cell r="ED32">
            <v>33</v>
          </cell>
        </row>
        <row r="33">
          <cell r="ED33">
            <v>28</v>
          </cell>
        </row>
        <row r="34">
          <cell r="ED34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5.21"/>
      <sheetName val="Reading.05.21"/>
      <sheetName val="Electricity Chart"/>
      <sheetName val="Boiler Gas Chart"/>
      <sheetName val="Kitchen Gas Chart"/>
      <sheetName val="Water Consumption"/>
      <sheetName val="Energy Per Occ. Room"/>
      <sheetName val="Reading.05.20"/>
      <sheetName val="Cost.05.20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37</v>
          </cell>
        </row>
        <row r="7">
          <cell r="ED7">
            <v>33</v>
          </cell>
        </row>
        <row r="8">
          <cell r="ED8">
            <v>40</v>
          </cell>
        </row>
        <row r="9">
          <cell r="ED9">
            <v>28</v>
          </cell>
        </row>
        <row r="10">
          <cell r="ED10">
            <v>37</v>
          </cell>
        </row>
        <row r="11">
          <cell r="ED11">
            <v>33</v>
          </cell>
        </row>
        <row r="12">
          <cell r="ED12">
            <v>26</v>
          </cell>
        </row>
        <row r="13">
          <cell r="ED13">
            <v>24</v>
          </cell>
        </row>
        <row r="14">
          <cell r="ED14">
            <v>38</v>
          </cell>
        </row>
        <row r="15">
          <cell r="ED15">
            <v>36</v>
          </cell>
        </row>
        <row r="16">
          <cell r="ED16">
            <v>37</v>
          </cell>
        </row>
        <row r="17">
          <cell r="ED17">
            <v>31</v>
          </cell>
        </row>
        <row r="18">
          <cell r="ED18">
            <v>35</v>
          </cell>
        </row>
        <row r="19">
          <cell r="ED19">
            <v>41</v>
          </cell>
        </row>
        <row r="20">
          <cell r="ED20">
            <v>62</v>
          </cell>
        </row>
        <row r="21">
          <cell r="ED21">
            <v>23</v>
          </cell>
        </row>
        <row r="22">
          <cell r="ED22">
            <v>39</v>
          </cell>
        </row>
        <row r="23">
          <cell r="ED23">
            <v>35</v>
          </cell>
        </row>
        <row r="24">
          <cell r="ED24">
            <v>39</v>
          </cell>
        </row>
        <row r="25">
          <cell r="ED25">
            <v>38</v>
          </cell>
        </row>
        <row r="26">
          <cell r="ED26">
            <v>34</v>
          </cell>
        </row>
        <row r="27">
          <cell r="ED27">
            <v>41</v>
          </cell>
        </row>
        <row r="28">
          <cell r="ED28">
            <v>36</v>
          </cell>
        </row>
        <row r="29">
          <cell r="ED29">
            <v>32</v>
          </cell>
        </row>
        <row r="30">
          <cell r="ED30">
            <v>34</v>
          </cell>
        </row>
        <row r="31">
          <cell r="ED31">
            <v>42</v>
          </cell>
        </row>
        <row r="32">
          <cell r="ED32">
            <v>35</v>
          </cell>
        </row>
        <row r="33">
          <cell r="ED33">
            <v>34</v>
          </cell>
        </row>
        <row r="34">
          <cell r="ED34">
            <v>36</v>
          </cell>
        </row>
        <row r="35">
          <cell r="ED35">
            <v>32</v>
          </cell>
        </row>
        <row r="36">
          <cell r="ED36">
            <v>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6.21"/>
      <sheetName val="Reading.06.21"/>
      <sheetName val="Electricity Chart"/>
      <sheetName val="Boiler Gas Chart"/>
      <sheetName val="Kitchen Gas Chart"/>
      <sheetName val="Water Consumption"/>
      <sheetName val="Energy Per Occ. Room"/>
      <sheetName val="Reading.06.20"/>
      <sheetName val="Cost.06.20"/>
      <sheetName val="Sheet1"/>
      <sheetName val="Daily Consumption new"/>
    </sheetNames>
    <sheetDataSet>
      <sheetData sheetId="0" refreshError="1"/>
      <sheetData sheetId="1" refreshError="1"/>
      <sheetData sheetId="2" refreshError="1"/>
      <sheetData sheetId="3">
        <row r="8">
          <cell r="F8">
            <v>147</v>
          </cell>
        </row>
      </sheetData>
      <sheetData sheetId="4">
        <row r="6">
          <cell r="G6">
            <v>557</v>
          </cell>
          <cell r="ED6">
            <v>37</v>
          </cell>
        </row>
        <row r="7">
          <cell r="ED7">
            <v>37</v>
          </cell>
        </row>
        <row r="8">
          <cell r="ED8">
            <v>33</v>
          </cell>
        </row>
        <row r="9">
          <cell r="ED9">
            <v>43</v>
          </cell>
        </row>
        <row r="10">
          <cell r="ED10">
            <v>35</v>
          </cell>
        </row>
        <row r="11">
          <cell r="ED11">
            <v>38</v>
          </cell>
        </row>
        <row r="12">
          <cell r="ED12">
            <v>37</v>
          </cell>
        </row>
        <row r="13">
          <cell r="ED13">
            <v>33</v>
          </cell>
        </row>
        <row r="14">
          <cell r="ED14">
            <v>37</v>
          </cell>
        </row>
        <row r="15">
          <cell r="ED15">
            <v>34</v>
          </cell>
        </row>
        <row r="16">
          <cell r="ED16">
            <v>37</v>
          </cell>
        </row>
        <row r="17">
          <cell r="ED17">
            <v>37</v>
          </cell>
        </row>
        <row r="18">
          <cell r="ED18">
            <v>32</v>
          </cell>
        </row>
        <row r="19">
          <cell r="ED19">
            <v>32</v>
          </cell>
        </row>
        <row r="20">
          <cell r="ED20">
            <v>35</v>
          </cell>
        </row>
        <row r="21">
          <cell r="ED21">
            <v>41</v>
          </cell>
        </row>
        <row r="22">
          <cell r="ED22">
            <v>42</v>
          </cell>
        </row>
        <row r="23">
          <cell r="ED23">
            <v>28</v>
          </cell>
        </row>
        <row r="24">
          <cell r="ED24">
            <v>35</v>
          </cell>
        </row>
        <row r="25">
          <cell r="ED25">
            <v>45</v>
          </cell>
        </row>
        <row r="26">
          <cell r="ED26">
            <v>35</v>
          </cell>
        </row>
        <row r="27">
          <cell r="ED27">
            <v>29</v>
          </cell>
        </row>
        <row r="28">
          <cell r="ED28">
            <v>44</v>
          </cell>
        </row>
        <row r="29">
          <cell r="ED29">
            <v>46</v>
          </cell>
        </row>
        <row r="30">
          <cell r="ED30">
            <v>34</v>
          </cell>
        </row>
        <row r="31">
          <cell r="ED31">
            <v>38</v>
          </cell>
        </row>
        <row r="32">
          <cell r="ED32">
            <v>38</v>
          </cell>
        </row>
        <row r="33">
          <cell r="ED33">
            <v>37</v>
          </cell>
        </row>
        <row r="34">
          <cell r="ED34">
            <v>36</v>
          </cell>
        </row>
        <row r="35">
          <cell r="ED35">
            <v>35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C4">
            <v>358</v>
          </cell>
        </row>
      </sheetData>
      <sheetData sheetId="11">
        <row r="8">
          <cell r="M8">
            <v>14968.800000001793</v>
          </cell>
        </row>
      </sheetData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7.21"/>
      <sheetName val="Reading.07.21"/>
      <sheetName val="Electricity Chart"/>
      <sheetName val="Boiler Gas Chart"/>
      <sheetName val="Kitchen Gas Chart"/>
      <sheetName val="Water Consumption"/>
      <sheetName val="Energy Per Occ. Room"/>
      <sheetName val="Reading.07.20"/>
      <sheetName val="Cost.07.20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202</v>
          </cell>
        </row>
      </sheetData>
      <sheetData sheetId="4">
        <row r="6">
          <cell r="G6">
            <v>640</v>
          </cell>
          <cell r="ED6">
            <v>34</v>
          </cell>
        </row>
        <row r="7">
          <cell r="ED7">
            <v>41</v>
          </cell>
        </row>
        <row r="8">
          <cell r="ED8">
            <v>31</v>
          </cell>
        </row>
        <row r="9">
          <cell r="ED9">
            <v>36</v>
          </cell>
        </row>
        <row r="10">
          <cell r="ED10">
            <v>42</v>
          </cell>
        </row>
        <row r="11">
          <cell r="ED11">
            <v>33</v>
          </cell>
        </row>
        <row r="12">
          <cell r="ED12">
            <v>35</v>
          </cell>
        </row>
        <row r="13">
          <cell r="ED13">
            <v>37</v>
          </cell>
        </row>
        <row r="14">
          <cell r="ED14">
            <v>41</v>
          </cell>
        </row>
        <row r="15">
          <cell r="ED15">
            <v>40</v>
          </cell>
        </row>
        <row r="16">
          <cell r="ED16">
            <v>27</v>
          </cell>
        </row>
        <row r="17">
          <cell r="ED17">
            <v>37</v>
          </cell>
        </row>
        <row r="18">
          <cell r="ED18">
            <v>32</v>
          </cell>
        </row>
        <row r="19">
          <cell r="ED19">
            <v>47</v>
          </cell>
        </row>
        <row r="20">
          <cell r="ED20">
            <v>32</v>
          </cell>
        </row>
        <row r="21">
          <cell r="ED21">
            <v>39</v>
          </cell>
        </row>
        <row r="22">
          <cell r="ED22">
            <v>39</v>
          </cell>
        </row>
        <row r="23">
          <cell r="ED23">
            <v>28</v>
          </cell>
        </row>
        <row r="24">
          <cell r="ED24">
            <v>36</v>
          </cell>
        </row>
        <row r="25">
          <cell r="ED25">
            <v>47</v>
          </cell>
        </row>
        <row r="26">
          <cell r="ED26">
            <v>37</v>
          </cell>
        </row>
        <row r="27">
          <cell r="ED27">
            <v>39</v>
          </cell>
        </row>
        <row r="28">
          <cell r="ED28">
            <v>46</v>
          </cell>
        </row>
        <row r="29">
          <cell r="ED29">
            <v>37</v>
          </cell>
        </row>
        <row r="30">
          <cell r="ED30">
            <v>37</v>
          </cell>
        </row>
        <row r="31">
          <cell r="ED31">
            <v>40</v>
          </cell>
        </row>
        <row r="32">
          <cell r="ED32">
            <v>36</v>
          </cell>
        </row>
        <row r="33">
          <cell r="ED33">
            <v>42</v>
          </cell>
        </row>
        <row r="34">
          <cell r="ED34">
            <v>44</v>
          </cell>
        </row>
        <row r="35">
          <cell r="ED35">
            <v>56</v>
          </cell>
        </row>
        <row r="36">
          <cell r="ED36">
            <v>34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C4">
            <v>489</v>
          </cell>
        </row>
      </sheetData>
      <sheetData sheetId="11">
        <row r="8">
          <cell r="M8">
            <v>20608.00000000163</v>
          </cell>
        </row>
      </sheetData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8.21"/>
      <sheetName val="Reading.08.21"/>
      <sheetName val="Electricity Chart"/>
      <sheetName val="Boiler Gas Chart"/>
      <sheetName val="Kitchen Gas Chart"/>
      <sheetName val="Water Consumption"/>
      <sheetName val="Energy Per Occ. Room"/>
      <sheetName val="Reading.08.20"/>
      <sheetName val="Cost.08.20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46</v>
          </cell>
        </row>
        <row r="7">
          <cell r="ED7">
            <v>33</v>
          </cell>
        </row>
        <row r="8">
          <cell r="ED8">
            <v>38</v>
          </cell>
        </row>
        <row r="9">
          <cell r="ED9">
            <v>39</v>
          </cell>
        </row>
        <row r="10">
          <cell r="ED10">
            <v>40</v>
          </cell>
        </row>
        <row r="11">
          <cell r="ED11">
            <v>45</v>
          </cell>
        </row>
        <row r="12">
          <cell r="ED12">
            <v>40</v>
          </cell>
        </row>
        <row r="13">
          <cell r="ED13">
            <v>37</v>
          </cell>
        </row>
        <row r="14">
          <cell r="ED14">
            <v>31</v>
          </cell>
        </row>
        <row r="15">
          <cell r="ED15">
            <v>40</v>
          </cell>
        </row>
        <row r="16">
          <cell r="ED16">
            <v>39</v>
          </cell>
        </row>
        <row r="17">
          <cell r="ED17">
            <v>38</v>
          </cell>
        </row>
        <row r="18">
          <cell r="ED18">
            <v>40</v>
          </cell>
        </row>
        <row r="19">
          <cell r="ED19">
            <v>37</v>
          </cell>
        </row>
        <row r="20">
          <cell r="ED20">
            <v>34</v>
          </cell>
        </row>
        <row r="21">
          <cell r="ED21">
            <v>36</v>
          </cell>
        </row>
        <row r="22">
          <cell r="ED22">
            <v>35</v>
          </cell>
        </row>
        <row r="23">
          <cell r="ED23">
            <v>38</v>
          </cell>
        </row>
        <row r="24">
          <cell r="ED24">
            <v>39</v>
          </cell>
        </row>
        <row r="25">
          <cell r="ED25">
            <v>45</v>
          </cell>
        </row>
        <row r="26">
          <cell r="ED26">
            <v>39</v>
          </cell>
        </row>
        <row r="27">
          <cell r="ED27">
            <v>34</v>
          </cell>
        </row>
        <row r="28">
          <cell r="ED28">
            <v>35</v>
          </cell>
        </row>
        <row r="29">
          <cell r="ED29">
            <v>40</v>
          </cell>
        </row>
        <row r="30">
          <cell r="ED30">
            <v>45</v>
          </cell>
        </row>
        <row r="31">
          <cell r="ED31">
            <v>46</v>
          </cell>
        </row>
        <row r="32">
          <cell r="ED32">
            <v>34</v>
          </cell>
        </row>
        <row r="33">
          <cell r="ED33">
            <v>42</v>
          </cell>
        </row>
        <row r="34">
          <cell r="ED34">
            <v>36</v>
          </cell>
        </row>
        <row r="35">
          <cell r="ED35">
            <v>36</v>
          </cell>
        </row>
        <row r="36">
          <cell r="ED36">
            <v>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9.21"/>
      <sheetName val="Reading.09.21"/>
      <sheetName val="Electricity Chart"/>
      <sheetName val="Boiler Gas Chart"/>
      <sheetName val="Kitchen Gas Chart"/>
      <sheetName val="Water Consumption"/>
      <sheetName val="Energy Per Occ. Room"/>
      <sheetName val="Reading.09.20"/>
      <sheetName val="Cost.09.20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42</v>
          </cell>
        </row>
        <row r="7">
          <cell r="ED7">
            <v>44</v>
          </cell>
        </row>
        <row r="8">
          <cell r="ED8">
            <v>38</v>
          </cell>
        </row>
        <row r="9">
          <cell r="ED9">
            <v>39</v>
          </cell>
        </row>
        <row r="10">
          <cell r="ED10">
            <v>35</v>
          </cell>
        </row>
        <row r="11">
          <cell r="ED11">
            <v>35</v>
          </cell>
        </row>
        <row r="12">
          <cell r="ED12">
            <v>33</v>
          </cell>
        </row>
        <row r="13">
          <cell r="ED13">
            <v>42</v>
          </cell>
        </row>
        <row r="14">
          <cell r="ED14">
            <v>36</v>
          </cell>
        </row>
        <row r="15">
          <cell r="ED15">
            <v>46</v>
          </cell>
        </row>
        <row r="16">
          <cell r="ED16">
            <v>39</v>
          </cell>
        </row>
        <row r="17">
          <cell r="ED17">
            <v>38</v>
          </cell>
        </row>
        <row r="18">
          <cell r="ED18">
            <v>41</v>
          </cell>
        </row>
        <row r="19">
          <cell r="ED19">
            <v>38</v>
          </cell>
        </row>
        <row r="20">
          <cell r="ED20">
            <v>37</v>
          </cell>
        </row>
        <row r="21">
          <cell r="ED21">
            <v>45</v>
          </cell>
        </row>
        <row r="22">
          <cell r="ED22">
            <v>42</v>
          </cell>
        </row>
        <row r="23">
          <cell r="ED23">
            <v>42</v>
          </cell>
        </row>
        <row r="24">
          <cell r="ED24">
            <v>33</v>
          </cell>
        </row>
        <row r="25">
          <cell r="ED25">
            <v>36</v>
          </cell>
        </row>
        <row r="26">
          <cell r="ED26">
            <v>41</v>
          </cell>
        </row>
        <row r="27">
          <cell r="ED27">
            <v>41</v>
          </cell>
        </row>
        <row r="28">
          <cell r="ED28">
            <v>46</v>
          </cell>
        </row>
        <row r="29">
          <cell r="ED29">
            <v>44</v>
          </cell>
        </row>
        <row r="30">
          <cell r="ED30">
            <v>40</v>
          </cell>
        </row>
        <row r="31">
          <cell r="ED31">
            <v>34</v>
          </cell>
        </row>
        <row r="32">
          <cell r="ED32">
            <v>45</v>
          </cell>
        </row>
        <row r="33">
          <cell r="ED33">
            <v>43</v>
          </cell>
        </row>
        <row r="34">
          <cell r="ED34">
            <v>40</v>
          </cell>
        </row>
        <row r="35">
          <cell r="ED35">
            <v>75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9.21"/>
      <sheetName val="Reading.10.21"/>
      <sheetName val="Electricity Chart"/>
      <sheetName val="Boiler Gas Chart"/>
      <sheetName val="Kitchen Gas Chart"/>
      <sheetName val="Water Consumption"/>
      <sheetName val="Energy Per Occ. Room"/>
      <sheetName val="Reading.10.20"/>
      <sheetName val="Cost.10.20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15</v>
          </cell>
        </row>
        <row r="7">
          <cell r="ED7">
            <v>41</v>
          </cell>
        </row>
        <row r="8">
          <cell r="ED8">
            <v>31</v>
          </cell>
        </row>
        <row r="9">
          <cell r="ED9">
            <v>38</v>
          </cell>
        </row>
        <row r="10">
          <cell r="ED10">
            <v>39</v>
          </cell>
        </row>
        <row r="11">
          <cell r="ED11">
            <v>41</v>
          </cell>
        </row>
        <row r="12">
          <cell r="ED12">
            <v>47</v>
          </cell>
        </row>
        <row r="13">
          <cell r="ED13">
            <v>38</v>
          </cell>
        </row>
        <row r="14">
          <cell r="ED14">
            <v>37</v>
          </cell>
        </row>
        <row r="15">
          <cell r="ED15">
            <v>33</v>
          </cell>
        </row>
        <row r="16">
          <cell r="ED16">
            <v>37</v>
          </cell>
        </row>
        <row r="17">
          <cell r="ED17">
            <v>37</v>
          </cell>
        </row>
        <row r="18">
          <cell r="ED18">
            <v>37</v>
          </cell>
        </row>
        <row r="19">
          <cell r="ED19">
            <v>46</v>
          </cell>
        </row>
        <row r="20">
          <cell r="ED20">
            <v>35</v>
          </cell>
        </row>
        <row r="21">
          <cell r="ED21">
            <v>40</v>
          </cell>
        </row>
        <row r="22">
          <cell r="ED22">
            <v>28</v>
          </cell>
        </row>
        <row r="23">
          <cell r="ED23">
            <v>38</v>
          </cell>
        </row>
        <row r="24">
          <cell r="ED24">
            <v>38</v>
          </cell>
        </row>
        <row r="25">
          <cell r="ED25">
            <v>41</v>
          </cell>
        </row>
        <row r="26">
          <cell r="ED26">
            <v>40</v>
          </cell>
        </row>
        <row r="27">
          <cell r="ED27">
            <v>43</v>
          </cell>
        </row>
        <row r="28">
          <cell r="ED28">
            <v>45</v>
          </cell>
        </row>
        <row r="29">
          <cell r="ED29">
            <v>33</v>
          </cell>
        </row>
        <row r="30">
          <cell r="ED30">
            <v>38</v>
          </cell>
        </row>
        <row r="31">
          <cell r="ED31">
            <v>39</v>
          </cell>
        </row>
        <row r="32">
          <cell r="ED32">
            <v>42</v>
          </cell>
        </row>
        <row r="33">
          <cell r="ED33">
            <v>46</v>
          </cell>
        </row>
        <row r="34">
          <cell r="ED34">
            <v>40</v>
          </cell>
        </row>
        <row r="35">
          <cell r="ED35">
            <v>37</v>
          </cell>
        </row>
        <row r="36">
          <cell r="ED36">
            <v>37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1.21"/>
      <sheetName val="Reading.11.21"/>
      <sheetName val="Electricity Chart"/>
      <sheetName val="Boiler Gas Chart"/>
      <sheetName val="Kitchen Gas Chart"/>
      <sheetName val="Water Consumption"/>
      <sheetName val="Energy Per Occ. Room"/>
      <sheetName val="Reading.11.20"/>
      <sheetName val="Cost.11.20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38</v>
          </cell>
        </row>
        <row r="7">
          <cell r="ED7">
            <v>41</v>
          </cell>
        </row>
        <row r="8">
          <cell r="ED8">
            <v>42</v>
          </cell>
        </row>
        <row r="9">
          <cell r="ED9">
            <v>46</v>
          </cell>
        </row>
        <row r="10">
          <cell r="ED10">
            <v>39</v>
          </cell>
        </row>
        <row r="11">
          <cell r="ED11">
            <v>42</v>
          </cell>
        </row>
        <row r="12">
          <cell r="ED12">
            <v>63</v>
          </cell>
        </row>
        <row r="13">
          <cell r="ED13">
            <v>35</v>
          </cell>
        </row>
        <row r="14">
          <cell r="ED14">
            <v>40</v>
          </cell>
        </row>
        <row r="15">
          <cell r="ED15">
            <v>43</v>
          </cell>
        </row>
        <row r="16">
          <cell r="ED16">
            <v>51</v>
          </cell>
        </row>
        <row r="17">
          <cell r="ED17">
            <v>38</v>
          </cell>
        </row>
        <row r="18">
          <cell r="ED18">
            <v>43</v>
          </cell>
        </row>
        <row r="19">
          <cell r="ED19">
            <v>42</v>
          </cell>
        </row>
        <row r="20">
          <cell r="ED20">
            <v>40</v>
          </cell>
        </row>
        <row r="21">
          <cell r="ED21">
            <v>51</v>
          </cell>
        </row>
        <row r="22">
          <cell r="ED22">
            <v>43</v>
          </cell>
        </row>
        <row r="23">
          <cell r="ED23">
            <v>52</v>
          </cell>
        </row>
        <row r="24">
          <cell r="ED24">
            <v>32</v>
          </cell>
        </row>
        <row r="25">
          <cell r="ED25">
            <v>30</v>
          </cell>
        </row>
        <row r="26">
          <cell r="ED26">
            <v>55</v>
          </cell>
        </row>
        <row r="27">
          <cell r="ED27">
            <v>41</v>
          </cell>
        </row>
        <row r="28">
          <cell r="ED28">
            <v>50</v>
          </cell>
        </row>
        <row r="29">
          <cell r="ED29">
            <v>41</v>
          </cell>
        </row>
        <row r="30">
          <cell r="ED30">
            <v>53</v>
          </cell>
        </row>
        <row r="31">
          <cell r="ED31">
            <v>37</v>
          </cell>
        </row>
        <row r="32">
          <cell r="ED32">
            <v>45</v>
          </cell>
        </row>
        <row r="33">
          <cell r="ED33">
            <v>39</v>
          </cell>
        </row>
        <row r="34">
          <cell r="ED34">
            <v>46</v>
          </cell>
        </row>
        <row r="35">
          <cell r="ED35">
            <v>44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2.21"/>
      <sheetName val="Reading.12.21"/>
      <sheetName val="Electricity Chart"/>
      <sheetName val="Boiler Gas Chart"/>
      <sheetName val="Kitchen Gas Chart"/>
      <sheetName val="Water Consumption"/>
      <sheetName val="Energy Per Occ. Room"/>
      <sheetName val="Reading.12.20"/>
      <sheetName val="Cost.12.20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429</v>
          </cell>
        </row>
      </sheetData>
      <sheetData sheetId="4">
        <row r="6">
          <cell r="G6">
            <v>480</v>
          </cell>
          <cell r="ED6">
            <v>40</v>
          </cell>
        </row>
        <row r="7">
          <cell r="ED7">
            <v>42</v>
          </cell>
        </row>
        <row r="8">
          <cell r="ED8">
            <v>47</v>
          </cell>
        </row>
        <row r="9">
          <cell r="ED9">
            <v>41</v>
          </cell>
        </row>
        <row r="10">
          <cell r="ED10">
            <v>41</v>
          </cell>
        </row>
        <row r="11">
          <cell r="ED11">
            <v>43</v>
          </cell>
        </row>
        <row r="12">
          <cell r="ED12">
            <v>44</v>
          </cell>
        </row>
        <row r="13">
          <cell r="ED13">
            <v>49</v>
          </cell>
        </row>
        <row r="14">
          <cell r="ED14">
            <v>42</v>
          </cell>
        </row>
        <row r="15">
          <cell r="ED15">
            <v>42</v>
          </cell>
        </row>
        <row r="16">
          <cell r="ED16">
            <v>43</v>
          </cell>
        </row>
        <row r="17">
          <cell r="ED17">
            <v>40</v>
          </cell>
        </row>
        <row r="18">
          <cell r="ED18">
            <v>50</v>
          </cell>
        </row>
        <row r="19">
          <cell r="ED19">
            <v>35</v>
          </cell>
        </row>
        <row r="20">
          <cell r="ED20">
            <v>46</v>
          </cell>
        </row>
        <row r="21">
          <cell r="ED21">
            <v>52</v>
          </cell>
        </row>
        <row r="22">
          <cell r="ED22">
            <v>43</v>
          </cell>
        </row>
        <row r="23">
          <cell r="ED23">
            <v>45</v>
          </cell>
        </row>
        <row r="24">
          <cell r="ED24">
            <v>36</v>
          </cell>
        </row>
        <row r="25">
          <cell r="ED25">
            <v>40</v>
          </cell>
        </row>
        <row r="26">
          <cell r="ED26">
            <v>42</v>
          </cell>
        </row>
        <row r="27">
          <cell r="ED27">
            <v>39</v>
          </cell>
        </row>
        <row r="28">
          <cell r="ED28">
            <v>47</v>
          </cell>
        </row>
        <row r="29">
          <cell r="ED29">
            <v>42</v>
          </cell>
        </row>
        <row r="30">
          <cell r="ED30">
            <v>42</v>
          </cell>
        </row>
        <row r="31">
          <cell r="ED31">
            <v>42</v>
          </cell>
        </row>
        <row r="32">
          <cell r="ED32">
            <v>39</v>
          </cell>
        </row>
        <row r="33">
          <cell r="ED33">
            <v>47</v>
          </cell>
        </row>
        <row r="34">
          <cell r="ED34">
            <v>44</v>
          </cell>
        </row>
        <row r="35">
          <cell r="ED35">
            <v>51</v>
          </cell>
        </row>
        <row r="36">
          <cell r="ED36">
            <v>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C4">
            <v>274</v>
          </cell>
        </row>
      </sheetData>
      <sheetData sheetId="11">
        <row r="8">
          <cell r="M8">
            <v>28224.000000004889</v>
          </cell>
        </row>
      </sheetData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1.22"/>
      <sheetName val="Reading.01.22"/>
      <sheetName val="Electricity Chart"/>
      <sheetName val="Boiler Gas Chart"/>
      <sheetName val="Kitchen Gas Chart"/>
      <sheetName val="Water Consumption"/>
      <sheetName val="Energy Per Occ. Room"/>
      <sheetName val="Reading.01.21"/>
      <sheetName val="Cost.01.21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35</v>
          </cell>
        </row>
        <row r="7">
          <cell r="ED7">
            <v>47</v>
          </cell>
        </row>
        <row r="8">
          <cell r="ED8">
            <v>49</v>
          </cell>
        </row>
        <row r="9">
          <cell r="ED9">
            <v>44</v>
          </cell>
        </row>
        <row r="10">
          <cell r="ED10">
            <v>39</v>
          </cell>
        </row>
        <row r="11">
          <cell r="ED11">
            <v>48</v>
          </cell>
        </row>
        <row r="12">
          <cell r="ED12">
            <v>42</v>
          </cell>
        </row>
        <row r="13">
          <cell r="ED13">
            <v>34</v>
          </cell>
        </row>
        <row r="14">
          <cell r="ED14">
            <v>47</v>
          </cell>
        </row>
        <row r="15">
          <cell r="ED15">
            <v>47</v>
          </cell>
        </row>
        <row r="16">
          <cell r="ED16">
            <v>46</v>
          </cell>
        </row>
        <row r="17">
          <cell r="ED17">
            <v>35</v>
          </cell>
        </row>
        <row r="18">
          <cell r="ED18">
            <v>49</v>
          </cell>
        </row>
        <row r="19">
          <cell r="ED19">
            <v>36</v>
          </cell>
        </row>
        <row r="20">
          <cell r="ED20">
            <v>51</v>
          </cell>
        </row>
        <row r="21">
          <cell r="ED21">
            <v>41</v>
          </cell>
        </row>
        <row r="22">
          <cell r="ED22">
            <v>53</v>
          </cell>
        </row>
        <row r="23">
          <cell r="ED23">
            <v>53</v>
          </cell>
        </row>
        <row r="24">
          <cell r="ED24">
            <v>46</v>
          </cell>
        </row>
        <row r="25">
          <cell r="ED25">
            <v>53</v>
          </cell>
        </row>
        <row r="26">
          <cell r="ED26">
            <v>48</v>
          </cell>
        </row>
        <row r="27">
          <cell r="ED27">
            <v>51</v>
          </cell>
        </row>
        <row r="28">
          <cell r="ED28">
            <v>42</v>
          </cell>
        </row>
        <row r="29">
          <cell r="ED29">
            <v>55</v>
          </cell>
        </row>
        <row r="30">
          <cell r="ED30">
            <v>43</v>
          </cell>
        </row>
        <row r="31">
          <cell r="ED31">
            <v>41</v>
          </cell>
        </row>
        <row r="32">
          <cell r="ED32">
            <v>46</v>
          </cell>
        </row>
        <row r="33">
          <cell r="ED33">
            <v>43</v>
          </cell>
        </row>
        <row r="34">
          <cell r="ED34">
            <v>33</v>
          </cell>
        </row>
        <row r="35">
          <cell r="ED35">
            <v>41</v>
          </cell>
        </row>
        <row r="36">
          <cell r="ED36">
            <v>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2.22"/>
      <sheetName val="Reading.02.22"/>
      <sheetName val="Electricity Chart"/>
      <sheetName val="Boiler Gas Chart"/>
      <sheetName val="Kitchen Gas Chart"/>
      <sheetName val="Water Consumption"/>
      <sheetName val="Energy Per Occ. Room"/>
      <sheetName val="Reading.02.21"/>
      <sheetName val="Cost.02.21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48</v>
          </cell>
        </row>
        <row r="7">
          <cell r="ED7">
            <v>29</v>
          </cell>
        </row>
        <row r="8">
          <cell r="ED8">
            <v>43</v>
          </cell>
        </row>
        <row r="9">
          <cell r="ED9">
            <v>44</v>
          </cell>
        </row>
        <row r="10">
          <cell r="ED10">
            <v>38</v>
          </cell>
        </row>
        <row r="11">
          <cell r="ED11">
            <v>42</v>
          </cell>
        </row>
        <row r="12">
          <cell r="ED12">
            <v>52</v>
          </cell>
        </row>
        <row r="13">
          <cell r="ED13">
            <v>40</v>
          </cell>
        </row>
        <row r="14">
          <cell r="ED14">
            <v>42</v>
          </cell>
        </row>
        <row r="15">
          <cell r="ED15">
            <v>45</v>
          </cell>
        </row>
        <row r="16">
          <cell r="ED16">
            <v>42</v>
          </cell>
        </row>
        <row r="17">
          <cell r="ED17">
            <v>30</v>
          </cell>
        </row>
        <row r="18">
          <cell r="ED18">
            <v>42</v>
          </cell>
        </row>
        <row r="19">
          <cell r="ED19">
            <v>46</v>
          </cell>
        </row>
        <row r="20">
          <cell r="ED20">
            <v>43</v>
          </cell>
        </row>
        <row r="21">
          <cell r="ED21">
            <v>46</v>
          </cell>
        </row>
        <row r="22">
          <cell r="ED22">
            <v>47</v>
          </cell>
        </row>
        <row r="23">
          <cell r="ED23">
            <v>41</v>
          </cell>
        </row>
        <row r="24">
          <cell r="ED24">
            <v>33</v>
          </cell>
        </row>
        <row r="25">
          <cell r="ED25">
            <v>51</v>
          </cell>
        </row>
        <row r="26">
          <cell r="ED26">
            <v>46</v>
          </cell>
        </row>
        <row r="27">
          <cell r="ED27">
            <v>42</v>
          </cell>
        </row>
        <row r="28">
          <cell r="ED28">
            <v>43</v>
          </cell>
        </row>
        <row r="29">
          <cell r="ED29">
            <v>45</v>
          </cell>
        </row>
        <row r="30">
          <cell r="ED30">
            <v>37</v>
          </cell>
        </row>
        <row r="31">
          <cell r="ED31">
            <v>40</v>
          </cell>
        </row>
        <row r="32">
          <cell r="ED32">
            <v>45</v>
          </cell>
        </row>
        <row r="33">
          <cell r="ED33">
            <v>30</v>
          </cell>
        </row>
        <row r="34">
          <cell r="ED34"/>
        </row>
        <row r="35">
          <cell r="ED35"/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3.22"/>
      <sheetName val="Reading.03.22"/>
      <sheetName val="Electricity Chart"/>
      <sheetName val="Boiler Gas Chart"/>
      <sheetName val="Kitchen Gas Chart"/>
      <sheetName val="Water Consumption"/>
      <sheetName val="Energy Per Occ. Room"/>
      <sheetName val="Reading.03.21"/>
      <sheetName val="Cost.03.21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42</v>
          </cell>
        </row>
        <row r="7">
          <cell r="ED7">
            <v>48</v>
          </cell>
        </row>
        <row r="8">
          <cell r="ED8">
            <v>54</v>
          </cell>
        </row>
        <row r="9">
          <cell r="ED9">
            <v>40</v>
          </cell>
        </row>
        <row r="10">
          <cell r="ED10">
            <v>41</v>
          </cell>
        </row>
        <row r="11">
          <cell r="ED11">
            <v>42</v>
          </cell>
        </row>
        <row r="12">
          <cell r="ED12">
            <v>43</v>
          </cell>
        </row>
        <row r="13">
          <cell r="ED13">
            <v>46</v>
          </cell>
        </row>
        <row r="14">
          <cell r="ED14">
            <v>46</v>
          </cell>
        </row>
        <row r="15">
          <cell r="ED15">
            <v>49</v>
          </cell>
        </row>
        <row r="16">
          <cell r="ED16">
            <v>41</v>
          </cell>
        </row>
        <row r="17">
          <cell r="ED17">
            <v>38</v>
          </cell>
        </row>
        <row r="18">
          <cell r="ED18">
            <v>42</v>
          </cell>
        </row>
        <row r="19">
          <cell r="ED19">
            <v>41</v>
          </cell>
        </row>
        <row r="20">
          <cell r="ED20">
            <v>48</v>
          </cell>
        </row>
        <row r="21">
          <cell r="ED21">
            <v>37</v>
          </cell>
        </row>
        <row r="22">
          <cell r="ED22">
            <v>60</v>
          </cell>
        </row>
        <row r="23">
          <cell r="ED23">
            <v>40</v>
          </cell>
        </row>
        <row r="24">
          <cell r="ED24">
            <v>44</v>
          </cell>
        </row>
        <row r="25">
          <cell r="ED25">
            <v>43</v>
          </cell>
        </row>
        <row r="26">
          <cell r="ED26">
            <v>43</v>
          </cell>
        </row>
        <row r="27">
          <cell r="ED27">
            <v>39</v>
          </cell>
        </row>
        <row r="28">
          <cell r="ED28">
            <v>41</v>
          </cell>
        </row>
        <row r="29">
          <cell r="ED29">
            <v>50</v>
          </cell>
        </row>
        <row r="30">
          <cell r="ED30">
            <v>42</v>
          </cell>
        </row>
        <row r="31">
          <cell r="ED31">
            <v>36</v>
          </cell>
        </row>
        <row r="32">
          <cell r="ED32">
            <v>38</v>
          </cell>
        </row>
        <row r="33">
          <cell r="ED33">
            <v>36</v>
          </cell>
        </row>
        <row r="34">
          <cell r="ED34">
            <v>34</v>
          </cell>
        </row>
        <row r="35">
          <cell r="ED35">
            <v>33</v>
          </cell>
        </row>
        <row r="36">
          <cell r="ED36">
            <v>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4.22"/>
      <sheetName val="Reading.04.22"/>
      <sheetName val="Electricity Chart"/>
      <sheetName val="Boiler Gas Chart"/>
      <sheetName val="Kitchen Gas Chart"/>
      <sheetName val="Water Consumption"/>
      <sheetName val="Energy Per Occ. Room"/>
      <sheetName val="Reading.04.21"/>
      <sheetName val="Cost.04.21"/>
      <sheetName val="Sheet1"/>
      <sheetName val="Daily Consumption new"/>
    </sheetNames>
    <sheetDataSet>
      <sheetData sheetId="0"/>
      <sheetData sheetId="1"/>
      <sheetData sheetId="2"/>
      <sheetData sheetId="3"/>
      <sheetData sheetId="4">
        <row r="6">
          <cell r="ED6">
            <v>31</v>
          </cell>
        </row>
        <row r="7">
          <cell r="ED7">
            <v>31</v>
          </cell>
        </row>
        <row r="8">
          <cell r="ED8">
            <v>41</v>
          </cell>
        </row>
        <row r="9">
          <cell r="ED9">
            <v>32</v>
          </cell>
        </row>
        <row r="10">
          <cell r="ED10">
            <v>27</v>
          </cell>
        </row>
        <row r="11">
          <cell r="ED11">
            <v>35</v>
          </cell>
        </row>
        <row r="12">
          <cell r="ED12">
            <v>44</v>
          </cell>
        </row>
        <row r="13">
          <cell r="ED13">
            <v>28</v>
          </cell>
        </row>
        <row r="14">
          <cell r="ED14">
            <v>45</v>
          </cell>
        </row>
        <row r="15">
          <cell r="ED15">
            <v>29</v>
          </cell>
        </row>
        <row r="16">
          <cell r="ED16">
            <v>38</v>
          </cell>
        </row>
        <row r="17">
          <cell r="ED17">
            <v>38</v>
          </cell>
        </row>
        <row r="18">
          <cell r="ED18">
            <v>33</v>
          </cell>
        </row>
        <row r="19">
          <cell r="ED19">
            <v>37</v>
          </cell>
        </row>
        <row r="20">
          <cell r="ED20">
            <v>33</v>
          </cell>
        </row>
        <row r="21">
          <cell r="ED21">
            <v>37</v>
          </cell>
        </row>
        <row r="22">
          <cell r="ED22">
            <v>41</v>
          </cell>
        </row>
        <row r="23">
          <cell r="ED23">
            <v>45</v>
          </cell>
        </row>
        <row r="24">
          <cell r="ED24">
            <v>42</v>
          </cell>
        </row>
        <row r="25">
          <cell r="ED25">
            <v>41</v>
          </cell>
        </row>
        <row r="26">
          <cell r="ED26">
            <v>45</v>
          </cell>
        </row>
        <row r="27">
          <cell r="ED27">
            <v>39</v>
          </cell>
        </row>
        <row r="28">
          <cell r="ED28">
            <v>40</v>
          </cell>
        </row>
        <row r="29">
          <cell r="ED29">
            <v>46</v>
          </cell>
        </row>
        <row r="30">
          <cell r="ED30">
            <v>47</v>
          </cell>
        </row>
        <row r="31">
          <cell r="ED31">
            <v>38</v>
          </cell>
        </row>
        <row r="32">
          <cell r="ED32">
            <v>42</v>
          </cell>
        </row>
        <row r="33">
          <cell r="ED33">
            <v>40</v>
          </cell>
        </row>
        <row r="34">
          <cell r="ED34">
            <v>35</v>
          </cell>
        </row>
        <row r="35">
          <cell r="ED35">
            <v>53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5.22"/>
      <sheetName val="Reading.05.22"/>
      <sheetName val="Electricity Chart"/>
      <sheetName val="Boiler Gas Chart"/>
      <sheetName val="Kitchen Gas Chart"/>
      <sheetName val="Water Consumption"/>
      <sheetName val="Energy Per Occ. Room"/>
      <sheetName val="Reading.04.21"/>
      <sheetName val="Cost.04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237</v>
          </cell>
        </row>
      </sheetData>
      <sheetData sheetId="4">
        <row r="6">
          <cell r="G6">
            <v>615</v>
          </cell>
          <cell r="ED6">
            <v>39</v>
          </cell>
        </row>
        <row r="7">
          <cell r="ED7">
            <v>56</v>
          </cell>
        </row>
        <row r="8">
          <cell r="ED8">
            <v>49</v>
          </cell>
        </row>
        <row r="9">
          <cell r="ED9">
            <v>50</v>
          </cell>
        </row>
        <row r="10">
          <cell r="ED10">
            <v>51</v>
          </cell>
        </row>
        <row r="11">
          <cell r="ED11">
            <v>43</v>
          </cell>
        </row>
        <row r="12">
          <cell r="ED12">
            <v>43</v>
          </cell>
        </row>
        <row r="13">
          <cell r="ED13">
            <v>37</v>
          </cell>
        </row>
        <row r="14">
          <cell r="ED14">
            <v>45</v>
          </cell>
        </row>
        <row r="15">
          <cell r="ED15">
            <v>46</v>
          </cell>
        </row>
        <row r="16">
          <cell r="ED16">
            <v>50</v>
          </cell>
        </row>
        <row r="17">
          <cell r="ED17">
            <v>49</v>
          </cell>
        </row>
        <row r="18">
          <cell r="ED18">
            <v>43</v>
          </cell>
        </row>
        <row r="19">
          <cell r="ED19">
            <v>34</v>
          </cell>
        </row>
        <row r="20">
          <cell r="ED20">
            <v>38</v>
          </cell>
        </row>
        <row r="21">
          <cell r="ED21">
            <v>37</v>
          </cell>
        </row>
        <row r="22">
          <cell r="ED22">
            <v>37</v>
          </cell>
        </row>
        <row r="23">
          <cell r="ED23">
            <v>46</v>
          </cell>
        </row>
        <row r="24">
          <cell r="ED24">
            <v>62</v>
          </cell>
        </row>
        <row r="25">
          <cell r="ED25">
            <v>45</v>
          </cell>
        </row>
        <row r="26">
          <cell r="ED26">
            <v>43</v>
          </cell>
        </row>
        <row r="27">
          <cell r="ED27">
            <v>37</v>
          </cell>
        </row>
        <row r="28">
          <cell r="ED28">
            <v>42</v>
          </cell>
        </row>
        <row r="29">
          <cell r="ED29">
            <v>36</v>
          </cell>
        </row>
        <row r="30">
          <cell r="ED30">
            <v>38</v>
          </cell>
        </row>
        <row r="31">
          <cell r="ED31">
            <v>45</v>
          </cell>
        </row>
        <row r="32">
          <cell r="ED32">
            <v>41</v>
          </cell>
        </row>
        <row r="33">
          <cell r="ED33">
            <v>46</v>
          </cell>
        </row>
        <row r="34">
          <cell r="ED34">
            <v>38</v>
          </cell>
        </row>
        <row r="35">
          <cell r="ED35">
            <v>38</v>
          </cell>
        </row>
        <row r="36">
          <cell r="ED36">
            <v>41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42280.000000016298</v>
          </cell>
        </row>
      </sheetData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6.22"/>
      <sheetName val="Reading.06.22"/>
      <sheetName val="Electricity Chart"/>
      <sheetName val="Boiler Gas Chart"/>
      <sheetName val="Kitchen Gas Chart"/>
      <sheetName val="Water Consumption"/>
      <sheetName val="Energy Per Occ. Room"/>
      <sheetName val="Reading.06.21"/>
      <sheetName val="Cost.06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408</v>
          </cell>
        </row>
      </sheetData>
      <sheetData sheetId="4">
        <row r="6">
          <cell r="G6">
            <v>561</v>
          </cell>
          <cell r="ED6">
            <v>36</v>
          </cell>
        </row>
        <row r="7">
          <cell r="ED7">
            <v>55</v>
          </cell>
        </row>
        <row r="8">
          <cell r="ED8">
            <v>41</v>
          </cell>
        </row>
        <row r="9">
          <cell r="ED9">
            <v>52</v>
          </cell>
        </row>
        <row r="10">
          <cell r="ED10">
            <v>42</v>
          </cell>
        </row>
        <row r="11">
          <cell r="ED11">
            <v>40</v>
          </cell>
        </row>
        <row r="12">
          <cell r="ED12">
            <v>47</v>
          </cell>
        </row>
        <row r="13">
          <cell r="ED13">
            <v>39</v>
          </cell>
        </row>
        <row r="14">
          <cell r="ED14">
            <v>51</v>
          </cell>
        </row>
        <row r="15">
          <cell r="ED15">
            <v>54</v>
          </cell>
        </row>
        <row r="16">
          <cell r="ED16">
            <v>50</v>
          </cell>
        </row>
        <row r="17">
          <cell r="ED17">
            <v>42</v>
          </cell>
        </row>
        <row r="18">
          <cell r="ED18">
            <v>40</v>
          </cell>
        </row>
        <row r="19">
          <cell r="ED19">
            <v>48</v>
          </cell>
        </row>
        <row r="20">
          <cell r="ED20">
            <v>48</v>
          </cell>
        </row>
        <row r="21">
          <cell r="ED21">
            <v>52</v>
          </cell>
        </row>
        <row r="22">
          <cell r="ED22">
            <v>46</v>
          </cell>
        </row>
        <row r="23">
          <cell r="ED23">
            <v>49</v>
          </cell>
        </row>
        <row r="24">
          <cell r="ED24">
            <v>47</v>
          </cell>
        </row>
        <row r="25">
          <cell r="ED25">
            <v>40</v>
          </cell>
        </row>
        <row r="26">
          <cell r="ED26">
            <v>52</v>
          </cell>
        </row>
        <row r="27">
          <cell r="ED27">
            <v>45</v>
          </cell>
        </row>
        <row r="28">
          <cell r="ED28">
            <v>67</v>
          </cell>
        </row>
        <row r="29">
          <cell r="ED29">
            <v>56</v>
          </cell>
        </row>
        <row r="30">
          <cell r="ED30">
            <v>54</v>
          </cell>
        </row>
        <row r="31">
          <cell r="ED31">
            <v>22</v>
          </cell>
        </row>
        <row r="32">
          <cell r="ED32">
            <v>44</v>
          </cell>
        </row>
        <row r="33">
          <cell r="ED33">
            <v>51</v>
          </cell>
        </row>
        <row r="34">
          <cell r="ED34">
            <v>40</v>
          </cell>
        </row>
        <row r="35">
          <cell r="ED35">
            <v>40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40319.999999983702</v>
          </cell>
        </row>
      </sheetData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7.22"/>
      <sheetName val="Reading.07.22"/>
      <sheetName val="Electricity Chart"/>
      <sheetName val="Boiler Gas Chart"/>
      <sheetName val="Kitchen Gas Chart"/>
      <sheetName val="Water Consumption"/>
      <sheetName val="Energy Per Occ. Room"/>
      <sheetName val="Reading.07.21"/>
      <sheetName val="Cost.07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292</v>
          </cell>
        </row>
      </sheetData>
      <sheetData sheetId="4">
        <row r="6">
          <cell r="G6">
            <v>667</v>
          </cell>
          <cell r="ED6">
            <v>55</v>
          </cell>
        </row>
        <row r="7">
          <cell r="ED7">
            <v>48</v>
          </cell>
        </row>
        <row r="8">
          <cell r="ED8">
            <v>42</v>
          </cell>
        </row>
        <row r="9">
          <cell r="ED9">
            <v>38</v>
          </cell>
        </row>
        <row r="10">
          <cell r="ED10">
            <v>46</v>
          </cell>
        </row>
        <row r="11">
          <cell r="ED11">
            <v>56</v>
          </cell>
        </row>
        <row r="12">
          <cell r="ED12">
            <v>54</v>
          </cell>
        </row>
        <row r="13">
          <cell r="ED13">
            <v>48</v>
          </cell>
        </row>
        <row r="14">
          <cell r="ED14">
            <v>61</v>
          </cell>
        </row>
        <row r="15">
          <cell r="ED15">
            <v>46</v>
          </cell>
        </row>
        <row r="16">
          <cell r="ED16">
            <v>46</v>
          </cell>
        </row>
        <row r="17">
          <cell r="ED17">
            <v>54</v>
          </cell>
        </row>
        <row r="18">
          <cell r="ED18">
            <v>30</v>
          </cell>
        </row>
        <row r="19">
          <cell r="ED19">
            <v>61</v>
          </cell>
        </row>
        <row r="20">
          <cell r="ED20">
            <v>45</v>
          </cell>
        </row>
        <row r="21">
          <cell r="ED21">
            <v>46</v>
          </cell>
        </row>
        <row r="22">
          <cell r="ED22">
            <v>47</v>
          </cell>
        </row>
        <row r="23">
          <cell r="ED23">
            <v>43</v>
          </cell>
        </row>
        <row r="24">
          <cell r="ED24">
            <v>58</v>
          </cell>
        </row>
        <row r="25">
          <cell r="ED25">
            <v>39</v>
          </cell>
        </row>
        <row r="26">
          <cell r="ED26">
            <v>59</v>
          </cell>
        </row>
        <row r="27">
          <cell r="ED27">
            <v>43</v>
          </cell>
        </row>
        <row r="28">
          <cell r="ED28">
            <v>48</v>
          </cell>
        </row>
        <row r="29">
          <cell r="ED29">
            <v>47</v>
          </cell>
        </row>
        <row r="30">
          <cell r="ED30">
            <v>49</v>
          </cell>
        </row>
        <row r="31">
          <cell r="ED31">
            <v>52</v>
          </cell>
        </row>
        <row r="32">
          <cell r="ED32">
            <v>54</v>
          </cell>
        </row>
        <row r="33">
          <cell r="ED33">
            <v>64</v>
          </cell>
        </row>
        <row r="34">
          <cell r="ED34">
            <v>55</v>
          </cell>
        </row>
        <row r="35">
          <cell r="ED35">
            <v>46</v>
          </cell>
        </row>
        <row r="36">
          <cell r="ED36">
            <v>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54879.999999975553</v>
          </cell>
        </row>
      </sheetData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8.22"/>
      <sheetName val="Reading.08.22"/>
      <sheetName val="Electricity Chart"/>
      <sheetName val="Boiler Gas Chart"/>
      <sheetName val="Kitchen Gas Chart"/>
      <sheetName val="Water Consumption"/>
      <sheetName val="Energy Per Occ. Room"/>
      <sheetName val="Reading.08.21"/>
      <sheetName val="Cost.08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336</v>
          </cell>
        </row>
      </sheetData>
      <sheetData sheetId="4">
        <row r="6">
          <cell r="G6">
            <v>613</v>
          </cell>
          <cell r="ED6">
            <v>54</v>
          </cell>
        </row>
        <row r="7">
          <cell r="ED7">
            <v>55</v>
          </cell>
        </row>
        <row r="8">
          <cell r="ED8">
            <v>50</v>
          </cell>
        </row>
        <row r="9">
          <cell r="ED9">
            <v>68</v>
          </cell>
        </row>
        <row r="10">
          <cell r="ED10">
            <v>49</v>
          </cell>
        </row>
        <row r="11">
          <cell r="ED11">
            <v>60</v>
          </cell>
        </row>
        <row r="12">
          <cell r="ED12">
            <v>52</v>
          </cell>
        </row>
        <row r="13">
          <cell r="ED13">
            <v>45</v>
          </cell>
        </row>
        <row r="14">
          <cell r="ED14">
            <v>48</v>
          </cell>
        </row>
        <row r="15">
          <cell r="ED15">
            <v>59</v>
          </cell>
        </row>
        <row r="16">
          <cell r="ED16">
            <v>60</v>
          </cell>
        </row>
        <row r="17">
          <cell r="ED17">
            <v>59</v>
          </cell>
        </row>
        <row r="18">
          <cell r="ED18">
            <v>56</v>
          </cell>
        </row>
        <row r="19">
          <cell r="ED19">
            <v>55</v>
          </cell>
        </row>
        <row r="20">
          <cell r="ED20">
            <v>50</v>
          </cell>
        </row>
        <row r="21">
          <cell r="ED21">
            <v>46</v>
          </cell>
        </row>
        <row r="22">
          <cell r="ED22">
            <v>51</v>
          </cell>
        </row>
        <row r="23">
          <cell r="ED23">
            <v>56</v>
          </cell>
        </row>
        <row r="24">
          <cell r="ED24">
            <v>51</v>
          </cell>
        </row>
        <row r="25">
          <cell r="ED25">
            <v>52</v>
          </cell>
        </row>
        <row r="26">
          <cell r="ED26">
            <v>45</v>
          </cell>
        </row>
        <row r="27">
          <cell r="ED27">
            <v>50</v>
          </cell>
        </row>
        <row r="28">
          <cell r="ED28">
            <v>55</v>
          </cell>
        </row>
        <row r="29">
          <cell r="ED29">
            <v>53</v>
          </cell>
        </row>
        <row r="30">
          <cell r="ED30">
            <v>75</v>
          </cell>
        </row>
        <row r="31">
          <cell r="ED31">
            <v>53</v>
          </cell>
        </row>
        <row r="32">
          <cell r="ED32">
            <v>58</v>
          </cell>
        </row>
        <row r="33">
          <cell r="ED33">
            <v>55</v>
          </cell>
        </row>
        <row r="34">
          <cell r="ED34">
            <v>50</v>
          </cell>
        </row>
        <row r="35">
          <cell r="ED35">
            <v>58</v>
          </cell>
        </row>
        <row r="36">
          <cell r="ED36">
            <v>58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61656.000000011401</v>
          </cell>
        </row>
      </sheetData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09.22"/>
      <sheetName val="Reading.09.22"/>
      <sheetName val="Electricity Chart"/>
      <sheetName val="Boiler Gas Chart"/>
      <sheetName val="Kitchen Gas Chart"/>
      <sheetName val="Water Consumption"/>
      <sheetName val="Energy Per Occ. Room"/>
      <sheetName val="Reading.09.21"/>
      <sheetName val="Cost.09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349</v>
          </cell>
        </row>
      </sheetData>
      <sheetData sheetId="4">
        <row r="6">
          <cell r="G6">
            <v>584</v>
          </cell>
          <cell r="ED6">
            <v>63</v>
          </cell>
        </row>
        <row r="7">
          <cell r="ED7">
            <v>50</v>
          </cell>
        </row>
        <row r="8">
          <cell r="ED8">
            <v>62</v>
          </cell>
        </row>
        <row r="9">
          <cell r="ED9">
            <v>64</v>
          </cell>
        </row>
        <row r="10">
          <cell r="ED10">
            <v>55</v>
          </cell>
        </row>
        <row r="11">
          <cell r="ED11">
            <v>58</v>
          </cell>
        </row>
        <row r="12">
          <cell r="ED12">
            <v>48</v>
          </cell>
        </row>
        <row r="13">
          <cell r="ED13">
            <v>79</v>
          </cell>
        </row>
        <row r="14">
          <cell r="ED14">
            <v>54</v>
          </cell>
        </row>
        <row r="15">
          <cell r="ED15">
            <v>57</v>
          </cell>
        </row>
        <row r="16">
          <cell r="ED16">
            <v>55</v>
          </cell>
        </row>
        <row r="17">
          <cell r="ED17">
            <v>49</v>
          </cell>
        </row>
        <row r="18">
          <cell r="ED18">
            <v>53</v>
          </cell>
        </row>
        <row r="19">
          <cell r="ED19">
            <v>55</v>
          </cell>
        </row>
        <row r="20">
          <cell r="ED20">
            <v>62</v>
          </cell>
        </row>
        <row r="21">
          <cell r="ED21">
            <v>49</v>
          </cell>
        </row>
        <row r="22">
          <cell r="ED22">
            <v>66</v>
          </cell>
        </row>
        <row r="23">
          <cell r="ED23">
            <v>47</v>
          </cell>
        </row>
        <row r="24">
          <cell r="ED24">
            <v>43</v>
          </cell>
        </row>
        <row r="25">
          <cell r="ED25">
            <v>49</v>
          </cell>
        </row>
        <row r="26">
          <cell r="ED26">
            <v>57</v>
          </cell>
        </row>
        <row r="27">
          <cell r="ED27">
            <v>45</v>
          </cell>
        </row>
        <row r="28">
          <cell r="ED28">
            <v>76</v>
          </cell>
        </row>
        <row r="29">
          <cell r="ED29">
            <v>59</v>
          </cell>
        </row>
        <row r="30">
          <cell r="ED30">
            <v>46</v>
          </cell>
        </row>
        <row r="31">
          <cell r="ED31">
            <v>55</v>
          </cell>
        </row>
        <row r="32">
          <cell r="ED32">
            <v>52</v>
          </cell>
        </row>
        <row r="33">
          <cell r="ED33">
            <v>55</v>
          </cell>
        </row>
        <row r="34">
          <cell r="ED34">
            <v>60</v>
          </cell>
        </row>
        <row r="35">
          <cell r="ED35">
            <v>50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56000</v>
          </cell>
        </row>
      </sheetData>
      <sheetData sheetId="12"/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0.22"/>
      <sheetName val="Reading.10.22"/>
      <sheetName val="Electricity Chart"/>
      <sheetName val="Boiler Gas Chart"/>
      <sheetName val="Kitchen Gas Chart"/>
      <sheetName val="Water Consumption"/>
      <sheetName val="Energy Per Occ. Room"/>
      <sheetName val="Reading.10.21"/>
      <sheetName val="Cost.10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202</v>
          </cell>
        </row>
      </sheetData>
      <sheetData sheetId="4">
        <row r="6">
          <cell r="G6">
            <v>544</v>
          </cell>
          <cell r="ED6">
            <v>42</v>
          </cell>
        </row>
        <row r="7">
          <cell r="ED7">
            <v>25</v>
          </cell>
        </row>
        <row r="8">
          <cell r="ED8">
            <v>20</v>
          </cell>
        </row>
        <row r="9">
          <cell r="ED9">
            <v>80</v>
          </cell>
        </row>
        <row r="10">
          <cell r="ED10">
            <v>90</v>
          </cell>
        </row>
        <row r="11">
          <cell r="ED11">
            <v>17</v>
          </cell>
        </row>
        <row r="12">
          <cell r="ED12">
            <v>56</v>
          </cell>
        </row>
        <row r="13">
          <cell r="ED13">
            <v>65</v>
          </cell>
        </row>
        <row r="14">
          <cell r="ED14">
            <v>54</v>
          </cell>
        </row>
        <row r="15">
          <cell r="ED15">
            <v>48</v>
          </cell>
        </row>
        <row r="16">
          <cell r="ED16">
            <v>45</v>
          </cell>
        </row>
        <row r="17">
          <cell r="ED17">
            <v>25</v>
          </cell>
        </row>
        <row r="18">
          <cell r="ED18">
            <v>61</v>
          </cell>
        </row>
        <row r="19">
          <cell r="ED19">
            <v>43</v>
          </cell>
        </row>
        <row r="20">
          <cell r="ED20">
            <v>46</v>
          </cell>
        </row>
        <row r="21">
          <cell r="ED21">
            <v>43</v>
          </cell>
        </row>
        <row r="22">
          <cell r="ED22">
            <v>49</v>
          </cell>
        </row>
        <row r="23">
          <cell r="ED23">
            <v>51</v>
          </cell>
        </row>
        <row r="24">
          <cell r="ED24">
            <v>53</v>
          </cell>
        </row>
        <row r="25">
          <cell r="ED25">
            <v>48</v>
          </cell>
        </row>
        <row r="26">
          <cell r="ED26">
            <v>46</v>
          </cell>
        </row>
        <row r="27">
          <cell r="ED27">
            <v>37</v>
          </cell>
        </row>
        <row r="28">
          <cell r="ED28">
            <v>55</v>
          </cell>
        </row>
        <row r="29">
          <cell r="ED29">
            <v>55</v>
          </cell>
        </row>
        <row r="30">
          <cell r="ED30">
            <v>59</v>
          </cell>
        </row>
        <row r="31">
          <cell r="ED31">
            <v>58</v>
          </cell>
        </row>
        <row r="32">
          <cell r="ED32">
            <v>69</v>
          </cell>
        </row>
        <row r="33">
          <cell r="ED33">
            <v>40</v>
          </cell>
        </row>
        <row r="34">
          <cell r="ED34">
            <v>43</v>
          </cell>
        </row>
        <row r="35">
          <cell r="ED35">
            <v>53</v>
          </cell>
        </row>
        <row r="36">
          <cell r="ED36">
            <v>67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54824.000000004889</v>
          </cell>
        </row>
      </sheetData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1.22"/>
      <sheetName val="Reading.11.22"/>
      <sheetName val="Electricity Chart"/>
      <sheetName val="Boiler Gas Chart"/>
      <sheetName val="Kitchen Gas Chart"/>
      <sheetName val="Water Consumption"/>
      <sheetName val="Energy Per Occ. Room"/>
      <sheetName val="Reading.11.21"/>
      <sheetName val="Cost.11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269</v>
          </cell>
        </row>
      </sheetData>
      <sheetData sheetId="4">
        <row r="6">
          <cell r="G6">
            <v>712</v>
          </cell>
          <cell r="ED6">
            <v>52</v>
          </cell>
        </row>
        <row r="7">
          <cell r="ED7">
            <v>73</v>
          </cell>
        </row>
        <row r="8">
          <cell r="ED8">
            <v>73</v>
          </cell>
        </row>
        <row r="9">
          <cell r="ED9">
            <v>45</v>
          </cell>
        </row>
        <row r="10">
          <cell r="ED10">
            <v>55</v>
          </cell>
        </row>
        <row r="11">
          <cell r="ED11">
            <v>91</v>
          </cell>
        </row>
        <row r="12">
          <cell r="ED12">
            <v>35</v>
          </cell>
        </row>
        <row r="13">
          <cell r="ED13">
            <v>43</v>
          </cell>
        </row>
        <row r="14">
          <cell r="ED14">
            <v>71</v>
          </cell>
        </row>
        <row r="15">
          <cell r="ED15">
            <v>54</v>
          </cell>
        </row>
        <row r="16">
          <cell r="ED16">
            <v>55</v>
          </cell>
        </row>
        <row r="17">
          <cell r="ED17">
            <v>69</v>
          </cell>
        </row>
        <row r="18">
          <cell r="ED18">
            <v>71</v>
          </cell>
        </row>
        <row r="19">
          <cell r="ED19">
            <v>51</v>
          </cell>
        </row>
        <row r="20">
          <cell r="ED20">
            <v>54</v>
          </cell>
        </row>
        <row r="21">
          <cell r="ED21">
            <v>72</v>
          </cell>
        </row>
        <row r="22">
          <cell r="ED22">
            <v>69</v>
          </cell>
        </row>
        <row r="23">
          <cell r="ED23">
            <v>48</v>
          </cell>
        </row>
        <row r="24">
          <cell r="ED24">
            <v>54</v>
          </cell>
        </row>
        <row r="25">
          <cell r="ED25">
            <v>60</v>
          </cell>
        </row>
        <row r="26">
          <cell r="ED26">
            <v>52</v>
          </cell>
        </row>
        <row r="27">
          <cell r="ED27">
            <v>71</v>
          </cell>
        </row>
        <row r="28">
          <cell r="ED28">
            <v>69</v>
          </cell>
        </row>
        <row r="29">
          <cell r="ED29">
            <v>64</v>
          </cell>
        </row>
        <row r="30">
          <cell r="ED30">
            <v>60</v>
          </cell>
        </row>
        <row r="31">
          <cell r="ED31">
            <v>44</v>
          </cell>
        </row>
        <row r="32">
          <cell r="ED32">
            <v>51</v>
          </cell>
        </row>
        <row r="33">
          <cell r="ED33">
            <v>51</v>
          </cell>
        </row>
        <row r="34">
          <cell r="ED34">
            <v>47</v>
          </cell>
        </row>
        <row r="35">
          <cell r="ED35">
            <v>66</v>
          </cell>
        </row>
        <row r="36">
          <cell r="ED36"/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49335.999999986961</v>
          </cell>
        </row>
      </sheetData>
      <sheetData sheetId="12"/>
      <sheetData sheetId="1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2.22"/>
      <sheetName val="Reading.12.22"/>
      <sheetName val="Electricity Chart"/>
      <sheetName val="Boiler Gas Chart"/>
      <sheetName val="Kitchen Gas Chart"/>
      <sheetName val="Water Consumption"/>
      <sheetName val="Energy Per Occ. Room"/>
      <sheetName val="Reading.12.21"/>
      <sheetName val="Cost.12.21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276</v>
          </cell>
        </row>
      </sheetData>
      <sheetData sheetId="4">
        <row r="6">
          <cell r="G6">
            <v>435</v>
          </cell>
          <cell r="ED6">
            <v>57</v>
          </cell>
        </row>
        <row r="7">
          <cell r="ED7">
            <v>42</v>
          </cell>
        </row>
        <row r="8">
          <cell r="ED8">
            <v>66</v>
          </cell>
        </row>
        <row r="9">
          <cell r="ED9">
            <v>69</v>
          </cell>
        </row>
        <row r="10">
          <cell r="ED10">
            <v>46</v>
          </cell>
        </row>
        <row r="11">
          <cell r="ED11">
            <v>51</v>
          </cell>
        </row>
        <row r="12">
          <cell r="ED12">
            <v>54</v>
          </cell>
        </row>
        <row r="13">
          <cell r="ED13">
            <v>61</v>
          </cell>
        </row>
        <row r="14">
          <cell r="ED14">
            <v>55</v>
          </cell>
        </row>
        <row r="15">
          <cell r="ED15">
            <v>58</v>
          </cell>
        </row>
        <row r="16">
          <cell r="ED16">
            <v>55</v>
          </cell>
        </row>
        <row r="17">
          <cell r="ED17">
            <v>50</v>
          </cell>
        </row>
        <row r="18">
          <cell r="ED18">
            <v>69</v>
          </cell>
        </row>
        <row r="19">
          <cell r="ED19">
            <v>45</v>
          </cell>
        </row>
        <row r="20">
          <cell r="ED20">
            <v>64</v>
          </cell>
        </row>
        <row r="21">
          <cell r="ED21">
            <v>70</v>
          </cell>
        </row>
        <row r="22">
          <cell r="ED22">
            <v>68</v>
          </cell>
        </row>
        <row r="23">
          <cell r="ED23">
            <v>65</v>
          </cell>
        </row>
        <row r="24">
          <cell r="ED24">
            <v>59</v>
          </cell>
        </row>
        <row r="25">
          <cell r="ED25">
            <v>63</v>
          </cell>
        </row>
        <row r="26">
          <cell r="ED26">
            <v>73</v>
          </cell>
        </row>
        <row r="27">
          <cell r="ED27">
            <v>65</v>
          </cell>
        </row>
        <row r="28">
          <cell r="ED28">
            <v>50</v>
          </cell>
        </row>
        <row r="29">
          <cell r="ED29">
            <v>57</v>
          </cell>
        </row>
        <row r="30">
          <cell r="ED30">
            <v>63</v>
          </cell>
        </row>
        <row r="31">
          <cell r="ED31">
            <v>53</v>
          </cell>
        </row>
        <row r="32">
          <cell r="ED32">
            <v>55</v>
          </cell>
        </row>
        <row r="33">
          <cell r="ED33">
            <v>44</v>
          </cell>
        </row>
        <row r="34">
          <cell r="ED34">
            <v>53</v>
          </cell>
        </row>
        <row r="35">
          <cell r="ED35">
            <v>55</v>
          </cell>
        </row>
        <row r="36">
          <cell r="ED36">
            <v>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41600</v>
          </cell>
        </row>
      </sheetData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1.23"/>
      <sheetName val="Reading.1.23"/>
      <sheetName val="Electricity Chart"/>
      <sheetName val="Boiler Gas Chart"/>
      <sheetName val="Kitchen Gas Chart"/>
      <sheetName val="Water Consumption"/>
      <sheetName val="Energy Per Occ. Room"/>
      <sheetName val="Reading.1.22"/>
      <sheetName val="Cost.1.22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281</v>
          </cell>
        </row>
      </sheetData>
      <sheetData sheetId="4">
        <row r="6">
          <cell r="G6">
            <v>571</v>
          </cell>
          <cell r="ED6">
            <v>38</v>
          </cell>
        </row>
        <row r="7">
          <cell r="ED7">
            <v>44</v>
          </cell>
        </row>
        <row r="8">
          <cell r="ED8">
            <v>46</v>
          </cell>
        </row>
        <row r="9">
          <cell r="ED9">
            <v>53</v>
          </cell>
        </row>
        <row r="10">
          <cell r="ED10">
            <v>57</v>
          </cell>
        </row>
        <row r="11">
          <cell r="ED11">
            <v>53</v>
          </cell>
        </row>
        <row r="12">
          <cell r="ED12">
            <v>54</v>
          </cell>
        </row>
        <row r="13">
          <cell r="ED13">
            <v>44</v>
          </cell>
        </row>
        <row r="14">
          <cell r="ED14">
            <v>50</v>
          </cell>
        </row>
        <row r="15">
          <cell r="ED15">
            <v>50</v>
          </cell>
        </row>
        <row r="16">
          <cell r="ED16">
            <v>64</v>
          </cell>
        </row>
        <row r="17">
          <cell r="ED17">
            <v>59</v>
          </cell>
        </row>
        <row r="18">
          <cell r="ED18">
            <v>53</v>
          </cell>
        </row>
        <row r="19">
          <cell r="ED19">
            <v>48</v>
          </cell>
        </row>
        <row r="20">
          <cell r="ED20">
            <v>51</v>
          </cell>
        </row>
        <row r="21">
          <cell r="ED21">
            <v>46</v>
          </cell>
        </row>
        <row r="22">
          <cell r="ED22">
            <v>47</v>
          </cell>
        </row>
        <row r="23">
          <cell r="ED23">
            <v>61</v>
          </cell>
        </row>
        <row r="24">
          <cell r="ED24">
            <v>49</v>
          </cell>
        </row>
        <row r="25">
          <cell r="ED25">
            <v>51</v>
          </cell>
        </row>
        <row r="26">
          <cell r="ED26">
            <v>36</v>
          </cell>
        </row>
        <row r="27">
          <cell r="ED27">
            <v>35</v>
          </cell>
        </row>
        <row r="28">
          <cell r="ED28">
            <v>54</v>
          </cell>
        </row>
        <row r="29">
          <cell r="ED29">
            <v>43</v>
          </cell>
        </row>
        <row r="30">
          <cell r="ED30">
            <v>52</v>
          </cell>
        </row>
        <row r="31">
          <cell r="ED31">
            <v>49</v>
          </cell>
        </row>
        <row r="32">
          <cell r="ED32">
            <v>40</v>
          </cell>
        </row>
        <row r="33">
          <cell r="ED33">
            <v>48</v>
          </cell>
        </row>
        <row r="34">
          <cell r="ED34">
            <v>43</v>
          </cell>
        </row>
        <row r="35">
          <cell r="ED35">
            <v>41</v>
          </cell>
        </row>
        <row r="36">
          <cell r="ED36">
            <v>46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E4" t="str">
            <v>Sold</v>
          </cell>
        </row>
      </sheetData>
      <sheetData sheetId="11">
        <row r="8">
          <cell r="M8">
            <v>27612.000000025728</v>
          </cell>
        </row>
      </sheetData>
      <sheetData sheetId="12"/>
      <sheetData sheetId="1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Daily Consumption (2)"/>
      <sheetName val="Daily Consumption (3)"/>
      <sheetName val="Cost.2.23"/>
      <sheetName val="Reading.2.23"/>
      <sheetName val="Electricity Chart"/>
      <sheetName val="Boiler Gas Chart"/>
      <sheetName val="Kitchen Gas Chart"/>
      <sheetName val="Water Consumption"/>
      <sheetName val="Energy Per Occ. Room"/>
      <sheetName val="Reading.2.22"/>
      <sheetName val="Cost.2.22"/>
      <sheetName val="Sheet1"/>
      <sheetName val="Daily Consumption new"/>
    </sheetNames>
    <sheetDataSet>
      <sheetData sheetId="0"/>
      <sheetData sheetId="1"/>
      <sheetData sheetId="2"/>
      <sheetData sheetId="3">
        <row r="8">
          <cell r="F8">
            <v>206</v>
          </cell>
        </row>
      </sheetData>
      <sheetData sheetId="4">
        <row r="6">
          <cell r="G6">
            <v>484</v>
          </cell>
          <cell r="ED6">
            <v>59</v>
          </cell>
        </row>
        <row r="7">
          <cell r="ED7">
            <v>50</v>
          </cell>
        </row>
        <row r="8">
          <cell r="ED8">
            <v>33</v>
          </cell>
        </row>
        <row r="9">
          <cell r="ED9">
            <v>50</v>
          </cell>
        </row>
        <row r="10">
          <cell r="ED10">
            <v>48</v>
          </cell>
        </row>
        <row r="11">
          <cell r="ED11">
            <v>39</v>
          </cell>
        </row>
        <row r="12">
          <cell r="ED12">
            <v>39</v>
          </cell>
        </row>
        <row r="13">
          <cell r="ED13">
            <v>57</v>
          </cell>
        </row>
        <row r="14">
          <cell r="ED14">
            <v>44</v>
          </cell>
        </row>
        <row r="15">
          <cell r="ED15">
            <v>35</v>
          </cell>
        </row>
        <row r="16">
          <cell r="ED16">
            <v>47</v>
          </cell>
        </row>
        <row r="17">
          <cell r="ED17">
            <v>44</v>
          </cell>
        </row>
        <row r="18">
          <cell r="ED18">
            <v>36</v>
          </cell>
        </row>
        <row r="19">
          <cell r="ED19">
            <v>44</v>
          </cell>
        </row>
        <row r="20">
          <cell r="ED20">
            <v>72</v>
          </cell>
        </row>
        <row r="21">
          <cell r="ED21">
            <v>45</v>
          </cell>
        </row>
        <row r="22">
          <cell r="ED22">
            <v>47</v>
          </cell>
        </row>
        <row r="23">
          <cell r="ED23">
            <v>47</v>
          </cell>
        </row>
        <row r="24">
          <cell r="ED24">
            <v>54</v>
          </cell>
        </row>
        <row r="25">
          <cell r="ED25">
            <v>38</v>
          </cell>
        </row>
        <row r="26">
          <cell r="ED26">
            <v>47</v>
          </cell>
        </row>
        <row r="27">
          <cell r="ED27">
            <v>57</v>
          </cell>
        </row>
        <row r="28">
          <cell r="ED28">
            <v>47</v>
          </cell>
        </row>
        <row r="29">
          <cell r="ED29">
            <v>44</v>
          </cell>
        </row>
        <row r="30">
          <cell r="ED30">
            <v>52</v>
          </cell>
        </row>
        <row r="31">
          <cell r="ED31">
            <v>46</v>
          </cell>
        </row>
        <row r="32">
          <cell r="ED32">
            <v>38</v>
          </cell>
        </row>
        <row r="33">
          <cell r="ED33">
            <v>47</v>
          </cell>
        </row>
        <row r="34">
          <cell r="ED34"/>
        </row>
        <row r="35">
          <cell r="ED35"/>
        </row>
        <row r="36">
          <cell r="ED36"/>
        </row>
      </sheetData>
      <sheetData sheetId="5"/>
      <sheetData sheetId="6"/>
      <sheetData sheetId="7"/>
      <sheetData sheetId="8"/>
      <sheetData sheetId="9"/>
      <sheetData sheetId="10">
        <row r="4">
          <cell r="E4" t="str">
            <v>Sold</v>
          </cell>
        </row>
      </sheetData>
      <sheetData sheetId="11">
        <row r="8">
          <cell r="M8">
            <v>28652.000000010594</v>
          </cell>
        </row>
      </sheetData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3.23"/>
      <sheetName val="Reading.3.23"/>
      <sheetName val="Electricity Chart"/>
      <sheetName val="Boiler Gas Chart"/>
      <sheetName val="Kitchen Gas Chart"/>
      <sheetName val="Water Consumption"/>
      <sheetName val="Energy Per Occ. Room"/>
      <sheetName val="Reading.3.22"/>
      <sheetName val="Cost.3.22"/>
      <sheetName val="Sheet1"/>
      <sheetName val="Daily Consumption new"/>
    </sheetNames>
    <sheetDataSet>
      <sheetData sheetId="0"/>
      <sheetData sheetId="1"/>
      <sheetData sheetId="2">
        <row r="6">
          <cell r="ED6">
            <v>59</v>
          </cell>
        </row>
        <row r="7">
          <cell r="ED7">
            <v>59</v>
          </cell>
        </row>
        <row r="8">
          <cell r="ED8">
            <v>38</v>
          </cell>
        </row>
        <row r="9">
          <cell r="ED9">
            <v>43</v>
          </cell>
        </row>
        <row r="10">
          <cell r="ED10">
            <v>51</v>
          </cell>
        </row>
        <row r="11">
          <cell r="ED11">
            <v>37</v>
          </cell>
        </row>
        <row r="12">
          <cell r="ED12">
            <v>50</v>
          </cell>
        </row>
        <row r="13">
          <cell r="ED13">
            <v>69</v>
          </cell>
        </row>
        <row r="14">
          <cell r="ED14">
            <v>46</v>
          </cell>
        </row>
        <row r="15">
          <cell r="ED15">
            <v>49</v>
          </cell>
        </row>
        <row r="16">
          <cell r="ED16">
            <v>38</v>
          </cell>
        </row>
        <row r="17">
          <cell r="ED17">
            <v>60</v>
          </cell>
        </row>
        <row r="18">
          <cell r="ED18">
            <v>32</v>
          </cell>
        </row>
        <row r="19">
          <cell r="ED19">
            <v>43</v>
          </cell>
        </row>
        <row r="20">
          <cell r="ED20">
            <v>57</v>
          </cell>
        </row>
        <row r="21">
          <cell r="ED21">
            <v>56</v>
          </cell>
        </row>
        <row r="22">
          <cell r="ED22">
            <v>41</v>
          </cell>
        </row>
        <row r="23">
          <cell r="ED23">
            <v>58</v>
          </cell>
        </row>
        <row r="24">
          <cell r="ED24">
            <v>52</v>
          </cell>
        </row>
        <row r="25">
          <cell r="ED25">
            <v>43</v>
          </cell>
        </row>
        <row r="26">
          <cell r="ED26">
            <v>48</v>
          </cell>
        </row>
        <row r="27">
          <cell r="ED27">
            <v>60</v>
          </cell>
        </row>
        <row r="28">
          <cell r="ED28">
            <v>38</v>
          </cell>
        </row>
        <row r="29">
          <cell r="ED29">
            <v>36</v>
          </cell>
        </row>
        <row r="30">
          <cell r="ED30">
            <v>40</v>
          </cell>
        </row>
        <row r="31">
          <cell r="ED31">
            <v>30</v>
          </cell>
        </row>
        <row r="32">
          <cell r="ED32">
            <v>42</v>
          </cell>
        </row>
        <row r="33">
          <cell r="ED33">
            <v>39</v>
          </cell>
        </row>
        <row r="34">
          <cell r="ED34">
            <v>42</v>
          </cell>
        </row>
        <row r="35">
          <cell r="ED35">
            <v>42</v>
          </cell>
        </row>
        <row r="36">
          <cell r="ED36">
            <v>38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4.23"/>
      <sheetName val="Reading.4.23"/>
      <sheetName val="Electricity Chart"/>
      <sheetName val="Boiler Gas Chart"/>
      <sheetName val="Kitchen Gas Chart"/>
      <sheetName val="Water Consumption"/>
      <sheetName val="Energy Per Occ. Room"/>
      <sheetName val="Reading.4.22"/>
      <sheetName val="Cost.4.22"/>
      <sheetName val="Sheet1"/>
      <sheetName val="Daily Consumption new"/>
    </sheetNames>
    <sheetDataSet>
      <sheetData sheetId="0"/>
      <sheetData sheetId="1">
        <row r="8">
          <cell r="F8">
            <v>228</v>
          </cell>
        </row>
      </sheetData>
      <sheetData sheetId="2">
        <row r="6">
          <cell r="G6">
            <v>624</v>
          </cell>
          <cell r="ED6">
            <v>45</v>
          </cell>
        </row>
        <row r="7">
          <cell r="ED7">
            <v>34</v>
          </cell>
        </row>
        <row r="8">
          <cell r="ED8">
            <v>46</v>
          </cell>
        </row>
        <row r="9">
          <cell r="ED9">
            <v>38</v>
          </cell>
        </row>
        <row r="10">
          <cell r="ED10">
            <v>41</v>
          </cell>
        </row>
        <row r="11">
          <cell r="ED11">
            <v>37</v>
          </cell>
        </row>
        <row r="12">
          <cell r="ED12">
            <v>36</v>
          </cell>
        </row>
        <row r="13">
          <cell r="ED13">
            <v>42</v>
          </cell>
        </row>
        <row r="14">
          <cell r="ED14">
            <v>34</v>
          </cell>
        </row>
        <row r="15">
          <cell r="ED15">
            <v>31</v>
          </cell>
        </row>
        <row r="16">
          <cell r="ED16">
            <v>45</v>
          </cell>
        </row>
        <row r="17">
          <cell r="ED17">
            <v>36</v>
          </cell>
        </row>
        <row r="18">
          <cell r="ED18">
            <v>48</v>
          </cell>
        </row>
        <row r="19">
          <cell r="ED19">
            <v>30</v>
          </cell>
        </row>
        <row r="20">
          <cell r="ED20">
            <v>39</v>
          </cell>
        </row>
        <row r="21">
          <cell r="ED21">
            <v>40</v>
          </cell>
        </row>
        <row r="22">
          <cell r="ED22">
            <v>43</v>
          </cell>
        </row>
        <row r="23">
          <cell r="ED23">
            <v>51</v>
          </cell>
        </row>
        <row r="24">
          <cell r="ED24">
            <v>47</v>
          </cell>
        </row>
        <row r="25">
          <cell r="ED25">
            <v>42</v>
          </cell>
        </row>
        <row r="26">
          <cell r="ED26">
            <v>48</v>
          </cell>
        </row>
        <row r="27">
          <cell r="ED27">
            <v>44</v>
          </cell>
        </row>
        <row r="28">
          <cell r="ED28">
            <v>68</v>
          </cell>
        </row>
        <row r="29">
          <cell r="ED29">
            <v>48</v>
          </cell>
        </row>
        <row r="30">
          <cell r="ED30">
            <v>46</v>
          </cell>
        </row>
        <row r="31">
          <cell r="ED31">
            <v>67</v>
          </cell>
        </row>
        <row r="32">
          <cell r="ED32">
            <v>46</v>
          </cell>
        </row>
        <row r="33">
          <cell r="ED33">
            <v>44</v>
          </cell>
        </row>
        <row r="34">
          <cell r="ED34">
            <v>61</v>
          </cell>
        </row>
        <row r="35">
          <cell r="ED35">
            <v>50</v>
          </cell>
        </row>
        <row r="36">
          <cell r="ED36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E4" t="str">
            <v>Sold</v>
          </cell>
        </row>
      </sheetData>
      <sheetData sheetId="9">
        <row r="8">
          <cell r="M8">
            <v>23555.999999993946</v>
          </cell>
        </row>
      </sheetData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5.23"/>
      <sheetName val="Reading.5.23"/>
      <sheetName val="Electricity Chart"/>
      <sheetName val="Boiler Gas Chart"/>
      <sheetName val="Kitchen Gas Chart"/>
      <sheetName val="Water Consumption"/>
      <sheetName val="Energy Per Occ. Room"/>
      <sheetName val="Reading.5.22"/>
      <sheetName val="Cost.5.22"/>
      <sheetName val="Sheet1"/>
      <sheetName val="Daily Consumption new"/>
    </sheetNames>
    <sheetDataSet>
      <sheetData sheetId="0"/>
      <sheetData sheetId="1">
        <row r="8">
          <cell r="F8">
            <v>280</v>
          </cell>
        </row>
      </sheetData>
      <sheetData sheetId="2">
        <row r="6">
          <cell r="G6">
            <v>660</v>
          </cell>
          <cell r="ED6">
            <v>57</v>
          </cell>
        </row>
        <row r="7">
          <cell r="ED7">
            <v>51</v>
          </cell>
        </row>
        <row r="8">
          <cell r="ED8">
            <v>61</v>
          </cell>
        </row>
        <row r="9">
          <cell r="ED9">
            <v>45</v>
          </cell>
        </row>
        <row r="10">
          <cell r="ED10">
            <v>34</v>
          </cell>
        </row>
        <row r="11">
          <cell r="ED11">
            <v>54</v>
          </cell>
        </row>
        <row r="12">
          <cell r="ED12">
            <v>57</v>
          </cell>
        </row>
        <row r="13">
          <cell r="ED13">
            <v>49</v>
          </cell>
        </row>
        <row r="14">
          <cell r="ED14">
            <v>55</v>
          </cell>
        </row>
        <row r="15">
          <cell r="ED15">
            <v>54</v>
          </cell>
        </row>
        <row r="16">
          <cell r="ED16">
            <v>57</v>
          </cell>
        </row>
        <row r="17">
          <cell r="ED17">
            <v>28</v>
          </cell>
        </row>
        <row r="18">
          <cell r="ED18">
            <v>52</v>
          </cell>
        </row>
        <row r="19">
          <cell r="ED19">
            <v>43</v>
          </cell>
        </row>
        <row r="20">
          <cell r="ED20">
            <v>54</v>
          </cell>
        </row>
        <row r="21">
          <cell r="ED21">
            <v>47</v>
          </cell>
        </row>
        <row r="22">
          <cell r="ED22">
            <v>40</v>
          </cell>
        </row>
        <row r="23">
          <cell r="ED23">
            <v>60</v>
          </cell>
        </row>
        <row r="24">
          <cell r="ED24">
            <v>28</v>
          </cell>
        </row>
        <row r="25">
          <cell r="ED25">
            <v>59</v>
          </cell>
        </row>
        <row r="26">
          <cell r="ED26">
            <v>57</v>
          </cell>
        </row>
        <row r="27">
          <cell r="ED27">
            <v>40</v>
          </cell>
        </row>
        <row r="28">
          <cell r="ED28">
            <v>51</v>
          </cell>
        </row>
        <row r="29">
          <cell r="ED29">
            <v>55</v>
          </cell>
        </row>
        <row r="30">
          <cell r="ED30">
            <v>53</v>
          </cell>
        </row>
        <row r="31">
          <cell r="ED31">
            <v>36</v>
          </cell>
        </row>
        <row r="32">
          <cell r="ED32">
            <v>29</v>
          </cell>
        </row>
        <row r="33">
          <cell r="ED33">
            <v>46</v>
          </cell>
        </row>
        <row r="34">
          <cell r="ED34">
            <v>43</v>
          </cell>
        </row>
        <row r="35">
          <cell r="ED35">
            <v>45</v>
          </cell>
        </row>
        <row r="36">
          <cell r="ED36">
            <v>37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E4" t="str">
            <v>Sold</v>
          </cell>
        </row>
      </sheetData>
      <sheetData sheetId="9">
        <row r="8">
          <cell r="M8">
            <v>44096.000000016647</v>
          </cell>
        </row>
      </sheetData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6.23"/>
      <sheetName val="Reading.6.23"/>
      <sheetName val="Electricity Chart"/>
      <sheetName val="Boiler Gas Chart"/>
      <sheetName val="Kitchen Gas Chart"/>
      <sheetName val="Water Consumption"/>
      <sheetName val="Energy Per Occ. Room"/>
      <sheetName val="Reading.6.22"/>
      <sheetName val="Cost.6.22"/>
      <sheetName val="Sheet1"/>
      <sheetName val="Daily Consumption new"/>
    </sheetNames>
    <sheetDataSet>
      <sheetData sheetId="0"/>
      <sheetData sheetId="1"/>
      <sheetData sheetId="2">
        <row r="6">
          <cell r="ED6">
            <v>37</v>
          </cell>
        </row>
        <row r="7">
          <cell r="ED7">
            <v>48</v>
          </cell>
        </row>
        <row r="8">
          <cell r="ED8">
            <v>47</v>
          </cell>
        </row>
        <row r="9">
          <cell r="ED9">
            <v>37</v>
          </cell>
        </row>
        <row r="10">
          <cell r="ED10">
            <v>60</v>
          </cell>
        </row>
        <row r="11">
          <cell r="ED11">
            <v>44</v>
          </cell>
        </row>
        <row r="12">
          <cell r="ED12">
            <v>39</v>
          </cell>
        </row>
        <row r="13">
          <cell r="ED13">
            <v>47</v>
          </cell>
        </row>
        <row r="14">
          <cell r="ED14">
            <v>46</v>
          </cell>
        </row>
        <row r="15">
          <cell r="ED15">
            <v>48</v>
          </cell>
        </row>
        <row r="16">
          <cell r="ED16">
            <v>49</v>
          </cell>
        </row>
        <row r="17">
          <cell r="ED17">
            <v>43</v>
          </cell>
        </row>
        <row r="18">
          <cell r="ED18">
            <v>48</v>
          </cell>
        </row>
        <row r="19">
          <cell r="ED19">
            <v>52</v>
          </cell>
        </row>
        <row r="20">
          <cell r="ED20">
            <v>50</v>
          </cell>
        </row>
        <row r="21">
          <cell r="ED21">
            <v>43</v>
          </cell>
        </row>
        <row r="22">
          <cell r="ED22">
            <v>21</v>
          </cell>
        </row>
        <row r="23">
          <cell r="ED23">
            <v>78</v>
          </cell>
        </row>
        <row r="24">
          <cell r="ED24">
            <v>47</v>
          </cell>
        </row>
        <row r="25">
          <cell r="ED25">
            <v>50</v>
          </cell>
        </row>
        <row r="26">
          <cell r="ED26">
            <v>55</v>
          </cell>
        </row>
        <row r="27">
          <cell r="ED27">
            <v>46</v>
          </cell>
        </row>
        <row r="28">
          <cell r="ED28">
            <v>48</v>
          </cell>
        </row>
        <row r="29">
          <cell r="ED29">
            <v>48</v>
          </cell>
        </row>
        <row r="30">
          <cell r="ED30">
            <v>63</v>
          </cell>
        </row>
        <row r="31">
          <cell r="ED31">
            <v>41</v>
          </cell>
        </row>
        <row r="32">
          <cell r="ED32">
            <v>50</v>
          </cell>
        </row>
        <row r="33">
          <cell r="ED33">
            <v>62</v>
          </cell>
        </row>
        <row r="34">
          <cell r="ED34">
            <v>44</v>
          </cell>
        </row>
        <row r="35">
          <cell r="ED35">
            <v>44</v>
          </cell>
        </row>
        <row r="36">
          <cell r="ED36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7.23"/>
      <sheetName val="Reading.7.23"/>
      <sheetName val="Electricity Chart"/>
      <sheetName val="Boiler Gas Chart"/>
      <sheetName val="Kitchen Gas Chart"/>
      <sheetName val="Water Consumption"/>
      <sheetName val="Energy Per Occ. Room"/>
      <sheetName val="Reading.7.22"/>
      <sheetName val="Cost.7.22"/>
      <sheetName val="Sheet1"/>
      <sheetName val="Daily Consumption new"/>
    </sheetNames>
    <sheetDataSet>
      <sheetData sheetId="0"/>
      <sheetData sheetId="1"/>
      <sheetData sheetId="2">
        <row r="6">
          <cell r="EG6">
            <v>61</v>
          </cell>
        </row>
        <row r="7">
          <cell r="EG7">
            <v>42</v>
          </cell>
        </row>
        <row r="8">
          <cell r="EG8">
            <v>72</v>
          </cell>
        </row>
        <row r="9">
          <cell r="EG9">
            <v>24</v>
          </cell>
        </row>
        <row r="10">
          <cell r="EG10">
            <v>54</v>
          </cell>
        </row>
        <row r="11">
          <cell r="EG11">
            <v>48</v>
          </cell>
        </row>
        <row r="12">
          <cell r="EG12">
            <v>46</v>
          </cell>
        </row>
        <row r="13">
          <cell r="EG13">
            <v>55</v>
          </cell>
        </row>
        <row r="14">
          <cell r="EG14">
            <v>50</v>
          </cell>
        </row>
        <row r="15">
          <cell r="EG15">
            <v>39</v>
          </cell>
        </row>
        <row r="16">
          <cell r="EG16">
            <v>45</v>
          </cell>
        </row>
        <row r="17">
          <cell r="EG17">
            <v>45</v>
          </cell>
        </row>
        <row r="18">
          <cell r="EG18">
            <v>51</v>
          </cell>
        </row>
        <row r="19">
          <cell r="EG19">
            <v>47</v>
          </cell>
        </row>
        <row r="20">
          <cell r="EG20">
            <v>54</v>
          </cell>
        </row>
        <row r="21">
          <cell r="EG21">
            <v>45</v>
          </cell>
        </row>
        <row r="22">
          <cell r="EG22">
            <v>54</v>
          </cell>
        </row>
        <row r="23">
          <cell r="EG23">
            <v>37</v>
          </cell>
        </row>
        <row r="24">
          <cell r="EG24">
            <v>53</v>
          </cell>
        </row>
        <row r="25">
          <cell r="EG25">
            <v>50</v>
          </cell>
        </row>
        <row r="26">
          <cell r="EG26">
            <v>40</v>
          </cell>
        </row>
        <row r="27">
          <cell r="EG27">
            <v>41</v>
          </cell>
        </row>
        <row r="28">
          <cell r="EG28">
            <v>45</v>
          </cell>
        </row>
        <row r="29">
          <cell r="EG29">
            <v>42</v>
          </cell>
        </row>
        <row r="30">
          <cell r="EG30">
            <v>36</v>
          </cell>
        </row>
        <row r="31">
          <cell r="EG31">
            <v>60</v>
          </cell>
        </row>
        <row r="32">
          <cell r="EG32">
            <v>62</v>
          </cell>
        </row>
        <row r="33">
          <cell r="EG33">
            <v>63</v>
          </cell>
        </row>
        <row r="34">
          <cell r="EG34">
            <v>62</v>
          </cell>
        </row>
        <row r="35">
          <cell r="EG35">
            <v>6</v>
          </cell>
        </row>
        <row r="36">
          <cell r="EG36">
            <v>57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8.23"/>
      <sheetName val="Reading.8.23"/>
      <sheetName val="Electricity Chart"/>
      <sheetName val="Boiler Gas Chart"/>
      <sheetName val="Kitchen Gas Chart"/>
      <sheetName val="Water Consumption"/>
      <sheetName val="Energy Per Occ. Room"/>
      <sheetName val="Reading.8.22"/>
      <sheetName val="Cost.8.22"/>
      <sheetName val="Sheet1"/>
      <sheetName val="Daily Consumption new"/>
    </sheetNames>
    <sheetDataSet>
      <sheetData sheetId="0"/>
      <sheetData sheetId="1"/>
      <sheetData sheetId="2">
        <row r="6">
          <cell r="EG6">
            <v>46</v>
          </cell>
        </row>
        <row r="7">
          <cell r="EG7">
            <v>69</v>
          </cell>
        </row>
        <row r="8">
          <cell r="EG8">
            <v>53</v>
          </cell>
        </row>
        <row r="9">
          <cell r="EG9">
            <v>44</v>
          </cell>
        </row>
        <row r="10">
          <cell r="EG10">
            <v>62</v>
          </cell>
        </row>
        <row r="11">
          <cell r="EG11">
            <v>50</v>
          </cell>
        </row>
        <row r="12">
          <cell r="EG12">
            <v>61</v>
          </cell>
        </row>
        <row r="13">
          <cell r="EG13">
            <v>56</v>
          </cell>
        </row>
        <row r="14">
          <cell r="EG14">
            <v>31</v>
          </cell>
        </row>
        <row r="15">
          <cell r="EG15">
            <v>54</v>
          </cell>
        </row>
        <row r="16">
          <cell r="EG16">
            <v>44</v>
          </cell>
        </row>
        <row r="17">
          <cell r="EG17">
            <v>57</v>
          </cell>
        </row>
        <row r="18">
          <cell r="EG18">
            <v>43</v>
          </cell>
        </row>
        <row r="19">
          <cell r="EG19">
            <v>49</v>
          </cell>
        </row>
        <row r="20">
          <cell r="EG20">
            <v>39</v>
          </cell>
        </row>
        <row r="21">
          <cell r="EG21">
            <v>51</v>
          </cell>
        </row>
        <row r="22">
          <cell r="EG22">
            <v>49</v>
          </cell>
        </row>
        <row r="23">
          <cell r="EG23">
            <v>49</v>
          </cell>
        </row>
        <row r="24">
          <cell r="EG24">
            <v>58</v>
          </cell>
        </row>
        <row r="25">
          <cell r="EG25">
            <v>57</v>
          </cell>
        </row>
        <row r="26">
          <cell r="EG26">
            <v>39</v>
          </cell>
        </row>
        <row r="27">
          <cell r="EG27">
            <v>47</v>
          </cell>
        </row>
        <row r="28">
          <cell r="EG28">
            <v>44</v>
          </cell>
        </row>
        <row r="29">
          <cell r="EG29">
            <v>57</v>
          </cell>
        </row>
        <row r="30">
          <cell r="EG30">
            <v>36</v>
          </cell>
        </row>
        <row r="31">
          <cell r="EG31">
            <v>55</v>
          </cell>
        </row>
        <row r="32">
          <cell r="EG32">
            <v>44</v>
          </cell>
        </row>
        <row r="33">
          <cell r="EG33">
            <v>57</v>
          </cell>
        </row>
        <row r="34">
          <cell r="EG34">
            <v>45</v>
          </cell>
        </row>
        <row r="35">
          <cell r="EG35">
            <v>60</v>
          </cell>
        </row>
        <row r="36">
          <cell r="EG36">
            <v>54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10.23"/>
      <sheetName val="Reading.10.23"/>
      <sheetName val="Electricity Chart"/>
      <sheetName val="Boiler Gas Chart"/>
      <sheetName val="Kitchen Gas Chart"/>
      <sheetName val="Water Consumption"/>
      <sheetName val="Energy Per Occ. Room"/>
      <sheetName val="Reading.10.22"/>
      <sheetName val="Cost.10.22"/>
      <sheetName val="Sheet1"/>
      <sheetName val="Daily Consumption new"/>
    </sheetNames>
    <sheetDataSet>
      <sheetData sheetId="0"/>
      <sheetData sheetId="1"/>
      <sheetData sheetId="2">
        <row r="6">
          <cell r="EG6">
            <v>55</v>
          </cell>
        </row>
        <row r="7">
          <cell r="EG7">
            <v>50</v>
          </cell>
        </row>
        <row r="8">
          <cell r="EG8">
            <v>40</v>
          </cell>
        </row>
        <row r="9">
          <cell r="EG9">
            <v>57</v>
          </cell>
        </row>
        <row r="10">
          <cell r="EG10">
            <v>51</v>
          </cell>
        </row>
        <row r="11">
          <cell r="EG11">
            <v>56</v>
          </cell>
        </row>
        <row r="12">
          <cell r="EG12">
            <v>54</v>
          </cell>
        </row>
        <row r="13">
          <cell r="EG13">
            <v>47</v>
          </cell>
        </row>
        <row r="14">
          <cell r="EG14">
            <v>52</v>
          </cell>
        </row>
        <row r="15">
          <cell r="EG15">
            <v>48</v>
          </cell>
        </row>
        <row r="16">
          <cell r="EG16">
            <v>52</v>
          </cell>
        </row>
        <row r="17">
          <cell r="EG17">
            <v>53</v>
          </cell>
        </row>
        <row r="18">
          <cell r="EG18">
            <v>48</v>
          </cell>
        </row>
        <row r="19">
          <cell r="EG19">
            <v>63</v>
          </cell>
        </row>
        <row r="20">
          <cell r="EG20">
            <v>49</v>
          </cell>
        </row>
        <row r="21">
          <cell r="EG21">
            <v>50</v>
          </cell>
        </row>
        <row r="22">
          <cell r="EG22">
            <v>45</v>
          </cell>
        </row>
        <row r="23">
          <cell r="EG23">
            <v>51</v>
          </cell>
        </row>
        <row r="24">
          <cell r="EG24">
            <v>62</v>
          </cell>
        </row>
        <row r="25">
          <cell r="EG25">
            <v>53</v>
          </cell>
        </row>
        <row r="26">
          <cell r="EG26">
            <v>61</v>
          </cell>
        </row>
        <row r="27">
          <cell r="EG27">
            <v>43</v>
          </cell>
        </row>
        <row r="28">
          <cell r="EG28">
            <v>48</v>
          </cell>
        </row>
        <row r="29">
          <cell r="EG29">
            <v>63</v>
          </cell>
        </row>
        <row r="30">
          <cell r="EG30">
            <v>62</v>
          </cell>
        </row>
        <row r="31">
          <cell r="EG31">
            <v>24</v>
          </cell>
        </row>
        <row r="32">
          <cell r="EG32">
            <v>65</v>
          </cell>
        </row>
        <row r="33">
          <cell r="EG33">
            <v>66</v>
          </cell>
        </row>
        <row r="34">
          <cell r="EG34">
            <v>58</v>
          </cell>
        </row>
        <row r="35">
          <cell r="EG35">
            <v>14</v>
          </cell>
        </row>
        <row r="36">
          <cell r="EG36">
            <v>46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11.23"/>
      <sheetName val="Reading.11.23"/>
      <sheetName val="Electricity Chart"/>
      <sheetName val="Boiler Gas Chart"/>
      <sheetName val="Kitchen Gas Chart"/>
      <sheetName val="Water Consumption"/>
      <sheetName val="Energy Per Occ. Room"/>
      <sheetName val="Reading.11.22"/>
      <sheetName val="Cost.11.22"/>
      <sheetName val="Sheet1"/>
      <sheetName val="Daily Consumption new"/>
    </sheetNames>
    <sheetDataSet>
      <sheetData sheetId="0"/>
      <sheetData sheetId="1"/>
      <sheetData sheetId="2">
        <row r="6">
          <cell r="EG6">
            <v>50</v>
          </cell>
        </row>
        <row r="7">
          <cell r="EG7">
            <v>47</v>
          </cell>
        </row>
        <row r="8">
          <cell r="EG8">
            <v>42</v>
          </cell>
        </row>
        <row r="9">
          <cell r="EG9">
            <v>54</v>
          </cell>
        </row>
        <row r="10">
          <cell r="EG10">
            <v>45</v>
          </cell>
        </row>
        <row r="11">
          <cell r="EG11">
            <v>56</v>
          </cell>
        </row>
        <row r="12">
          <cell r="EG12">
            <v>33</v>
          </cell>
        </row>
        <row r="13">
          <cell r="EG13">
            <v>77</v>
          </cell>
        </row>
        <row r="14">
          <cell r="EG14">
            <v>46</v>
          </cell>
        </row>
        <row r="15">
          <cell r="EG15">
            <v>35</v>
          </cell>
        </row>
        <row r="16">
          <cell r="EG16">
            <v>34</v>
          </cell>
        </row>
        <row r="17">
          <cell r="EG17">
            <v>47</v>
          </cell>
        </row>
        <row r="18">
          <cell r="EG18">
            <v>44</v>
          </cell>
        </row>
        <row r="19">
          <cell r="EG19">
            <v>31</v>
          </cell>
        </row>
        <row r="20">
          <cell r="EG20">
            <v>60</v>
          </cell>
        </row>
        <row r="21">
          <cell r="EG21">
            <v>42</v>
          </cell>
        </row>
        <row r="22">
          <cell r="EG22">
            <v>37</v>
          </cell>
        </row>
        <row r="23">
          <cell r="EG23">
            <v>49</v>
          </cell>
        </row>
        <row r="24">
          <cell r="EG24">
            <v>44</v>
          </cell>
        </row>
        <row r="25">
          <cell r="EG25">
            <v>44</v>
          </cell>
        </row>
        <row r="26">
          <cell r="EG26">
            <v>36</v>
          </cell>
        </row>
        <row r="27">
          <cell r="EG27">
            <v>49</v>
          </cell>
        </row>
        <row r="28">
          <cell r="EG28">
            <v>49</v>
          </cell>
        </row>
        <row r="29">
          <cell r="EG29">
            <v>41</v>
          </cell>
        </row>
        <row r="30">
          <cell r="EG30">
            <v>49</v>
          </cell>
        </row>
        <row r="31">
          <cell r="EG31">
            <v>48</v>
          </cell>
        </row>
        <row r="32">
          <cell r="EG32">
            <v>48</v>
          </cell>
        </row>
        <row r="33">
          <cell r="EG33">
            <v>58</v>
          </cell>
        </row>
        <row r="34">
          <cell r="EG34">
            <v>34</v>
          </cell>
        </row>
        <row r="35">
          <cell r="EG35">
            <v>50</v>
          </cell>
        </row>
        <row r="36">
          <cell r="EG36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12.23"/>
      <sheetName val="Reading.12.23"/>
      <sheetName val="Electricity Chart"/>
      <sheetName val="Boiler Gas Chart"/>
      <sheetName val="Kitchen Gas Chart"/>
      <sheetName val="Water Consumption"/>
      <sheetName val="Energy Per Occ. Room"/>
      <sheetName val="Reading.12.22"/>
      <sheetName val="Cost.12.22"/>
      <sheetName val="Sheet1"/>
      <sheetName val="Daily Consumption new"/>
    </sheetNames>
    <sheetDataSet>
      <sheetData sheetId="0"/>
      <sheetData sheetId="1"/>
      <sheetData sheetId="2">
        <row r="6">
          <cell r="EG6">
            <v>54</v>
          </cell>
        </row>
        <row r="7">
          <cell r="EG7">
            <v>35</v>
          </cell>
        </row>
        <row r="8">
          <cell r="EG8">
            <v>39</v>
          </cell>
        </row>
        <row r="9">
          <cell r="EG9">
            <v>46</v>
          </cell>
        </row>
        <row r="10">
          <cell r="EG10">
            <v>39</v>
          </cell>
        </row>
        <row r="11">
          <cell r="EG11">
            <v>47</v>
          </cell>
        </row>
        <row r="12">
          <cell r="EG12">
            <v>40</v>
          </cell>
        </row>
        <row r="13">
          <cell r="EG13">
            <v>43</v>
          </cell>
        </row>
        <row r="14">
          <cell r="EG14">
            <v>51</v>
          </cell>
        </row>
        <row r="15">
          <cell r="EG15">
            <v>47</v>
          </cell>
        </row>
        <row r="16">
          <cell r="EG16">
            <v>70</v>
          </cell>
        </row>
        <row r="17">
          <cell r="EG17">
            <v>39</v>
          </cell>
        </row>
        <row r="18">
          <cell r="EG18">
            <v>48</v>
          </cell>
        </row>
        <row r="19">
          <cell r="EG19">
            <v>32</v>
          </cell>
        </row>
        <row r="20">
          <cell r="EG20">
            <v>46</v>
          </cell>
        </row>
        <row r="21">
          <cell r="EG21">
            <v>75</v>
          </cell>
        </row>
        <row r="22">
          <cell r="EG22">
            <v>24</v>
          </cell>
        </row>
        <row r="23">
          <cell r="EG23">
            <v>58</v>
          </cell>
        </row>
        <row r="24">
          <cell r="EG24">
            <v>23</v>
          </cell>
        </row>
        <row r="25">
          <cell r="EG25">
            <v>50</v>
          </cell>
        </row>
        <row r="26">
          <cell r="EG26">
            <v>61</v>
          </cell>
        </row>
        <row r="27">
          <cell r="EG27">
            <v>41</v>
          </cell>
        </row>
        <row r="28">
          <cell r="EG28">
            <v>45</v>
          </cell>
        </row>
        <row r="29">
          <cell r="EG29">
            <v>66</v>
          </cell>
        </row>
        <row r="30">
          <cell r="EG30">
            <v>22</v>
          </cell>
        </row>
        <row r="31">
          <cell r="EG31">
            <v>39</v>
          </cell>
        </row>
        <row r="32">
          <cell r="EG32">
            <v>62</v>
          </cell>
        </row>
        <row r="33">
          <cell r="EG33">
            <v>68</v>
          </cell>
        </row>
        <row r="34">
          <cell r="EG34">
            <v>0</v>
          </cell>
        </row>
        <row r="35">
          <cell r="EG35">
            <v>62</v>
          </cell>
        </row>
        <row r="36">
          <cell r="EG36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Consumption"/>
      <sheetName val="Cost.2.24"/>
      <sheetName val="Reading.2.24"/>
      <sheetName val="Electricity Chart"/>
      <sheetName val="Boiler Gas Chart"/>
      <sheetName val="Kitchen Gas Chart"/>
      <sheetName val="Water Consumption"/>
      <sheetName val="Energy Per Occ. Room"/>
      <sheetName val="Reading.2.23"/>
      <sheetName val="Cost.2.23"/>
      <sheetName val="Sheet1"/>
      <sheetName val="Daily Consumption new"/>
    </sheetNames>
    <sheetDataSet>
      <sheetData sheetId="0"/>
      <sheetData sheetId="1"/>
      <sheetData sheetId="2">
        <row r="6">
          <cell r="EG6">
            <v>44</v>
          </cell>
        </row>
        <row r="7">
          <cell r="EG7">
            <v>37</v>
          </cell>
        </row>
        <row r="8">
          <cell r="EG8">
            <v>47</v>
          </cell>
        </row>
        <row r="9">
          <cell r="EG9">
            <v>39</v>
          </cell>
        </row>
        <row r="10">
          <cell r="EG10">
            <v>41</v>
          </cell>
        </row>
        <row r="11">
          <cell r="EG11">
            <v>45</v>
          </cell>
        </row>
        <row r="12">
          <cell r="EG12">
            <v>70</v>
          </cell>
        </row>
        <row r="13">
          <cell r="EG13">
            <v>41</v>
          </cell>
        </row>
        <row r="14">
          <cell r="EG14">
            <v>24</v>
          </cell>
        </row>
        <row r="15">
          <cell r="EG15">
            <v>54</v>
          </cell>
        </row>
        <row r="16">
          <cell r="EG16">
            <v>45</v>
          </cell>
        </row>
        <row r="17">
          <cell r="EG17">
            <v>45</v>
          </cell>
        </row>
        <row r="18">
          <cell r="EG18">
            <v>46</v>
          </cell>
        </row>
        <row r="19">
          <cell r="EG19">
            <v>62</v>
          </cell>
        </row>
        <row r="20">
          <cell r="EG20">
            <v>70</v>
          </cell>
        </row>
        <row r="21">
          <cell r="EG21">
            <v>80</v>
          </cell>
        </row>
        <row r="22">
          <cell r="EG22">
            <v>22</v>
          </cell>
        </row>
        <row r="23">
          <cell r="EG23">
            <v>44</v>
          </cell>
        </row>
        <row r="24">
          <cell r="EG24">
            <v>43</v>
          </cell>
        </row>
        <row r="25">
          <cell r="EG25">
            <v>61</v>
          </cell>
        </row>
        <row r="26">
          <cell r="EG26">
            <v>50</v>
          </cell>
        </row>
        <row r="27">
          <cell r="EG27">
            <v>81</v>
          </cell>
        </row>
        <row r="28">
          <cell r="EG28">
            <v>44</v>
          </cell>
        </row>
        <row r="29">
          <cell r="EG29">
            <v>49</v>
          </cell>
        </row>
        <row r="30">
          <cell r="EG30">
            <v>55</v>
          </cell>
        </row>
        <row r="31">
          <cell r="EG31">
            <v>61</v>
          </cell>
        </row>
        <row r="32">
          <cell r="EG32">
            <v>60</v>
          </cell>
        </row>
        <row r="33">
          <cell r="EG33">
            <v>68</v>
          </cell>
        </row>
        <row r="34">
          <cell r="EG34">
            <v>64</v>
          </cell>
        </row>
        <row r="35">
          <cell r="EG35"/>
        </row>
        <row r="36">
          <cell r="EG36"/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history/monthly/eg/sharm-el-shiekh/HESH/date/2024-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wunderground.com/history/monthly/eg/sharm-el-sheikh/HESH/date/2024-0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FB9-1E8E-41CD-895E-E408BAA70E2B}">
  <dimension ref="A1:Z33"/>
  <sheetViews>
    <sheetView tabSelected="1" workbookViewId="0">
      <selection activeCell="H2" sqref="H2"/>
    </sheetView>
  </sheetViews>
  <sheetFormatPr defaultColWidth="11.5546875" defaultRowHeight="14.4" x14ac:dyDescent="0.3"/>
  <cols>
    <col min="1" max="1" width="29.109375" style="708" bestFit="1" customWidth="1"/>
    <col min="2" max="3" width="11.5546875" style="703"/>
    <col min="4" max="4" width="13.44140625" style="703" customWidth="1"/>
    <col min="5" max="5" width="12.5546875" style="707" customWidth="1"/>
    <col min="6" max="6" width="12.5546875" style="705" customWidth="1"/>
    <col min="7" max="7" width="11.5546875" style="707"/>
    <col min="8" max="8" width="11.5546875" style="705"/>
    <col min="9" max="9" width="11.5546875" style="707"/>
    <col min="10" max="10" width="11.5546875" style="709"/>
    <col min="11" max="11" width="11.5546875" style="707"/>
    <col min="12" max="12" width="11.5546875" style="709"/>
    <col min="13" max="26" width="11.5546875" style="707"/>
    <col min="27" max="16384" width="11.5546875" style="710"/>
  </cols>
  <sheetData>
    <row r="1" spans="1:14" s="701" customFormat="1" ht="43.2" x14ac:dyDescent="0.25">
      <c r="A1" s="697" t="s">
        <v>287</v>
      </c>
      <c r="B1" s="697" t="s">
        <v>189</v>
      </c>
      <c r="C1" s="697" t="s">
        <v>288</v>
      </c>
      <c r="D1" s="697" t="s">
        <v>289</v>
      </c>
      <c r="E1" s="698" t="s">
        <v>290</v>
      </c>
      <c r="F1" s="699" t="s">
        <v>291</v>
      </c>
      <c r="G1" s="698" t="s">
        <v>292</v>
      </c>
      <c r="H1" s="699" t="s">
        <v>293</v>
      </c>
      <c r="I1" s="698" t="s">
        <v>299</v>
      </c>
      <c r="J1" s="700" t="s">
        <v>300</v>
      </c>
      <c r="K1" s="698" t="s">
        <v>297</v>
      </c>
      <c r="L1" s="700" t="s">
        <v>298</v>
      </c>
      <c r="M1" s="698" t="s">
        <v>294</v>
      </c>
      <c r="N1" s="698" t="s">
        <v>295</v>
      </c>
    </row>
    <row r="2" spans="1:14" x14ac:dyDescent="0.3">
      <c r="A2" s="702" t="s">
        <v>296</v>
      </c>
      <c r="B2" s="703">
        <v>1</v>
      </c>
      <c r="C2" s="703">
        <v>4</v>
      </c>
      <c r="D2" s="703">
        <v>2025</v>
      </c>
      <c r="E2" s="704">
        <f>'cost.4.25'!J8</f>
        <v>34639.999999984866</v>
      </c>
      <c r="F2" s="705">
        <v>1.49</v>
      </c>
      <c r="G2" s="704">
        <f>'cost.4.25'!AN8</f>
        <v>874.7120000000001</v>
      </c>
      <c r="H2" s="705">
        <f>'cost.4.25'!AS8/'cost.4.25'!AN8</f>
        <v>3.8150122554623693</v>
      </c>
      <c r="I2" s="704">
        <f>'cost.4.25'!O8</f>
        <v>0</v>
      </c>
      <c r="J2" s="705" t="e">
        <f>'cost.4.25'!T8/'cost.4.25'!O8</f>
        <v>#DIV/0!</v>
      </c>
      <c r="K2" s="704">
        <f>'cost.4.25'!V8</f>
        <v>777</v>
      </c>
      <c r="L2" s="705">
        <f>'cost.4.25'!Z8/'cost.4.25'!V8</f>
        <v>5.0999999999999996</v>
      </c>
      <c r="M2" s="704">
        <f>'cost.4.25'!F8</f>
        <v>459.1454</v>
      </c>
      <c r="N2" s="704"/>
    </row>
    <row r="3" spans="1:14" x14ac:dyDescent="0.3">
      <c r="A3" s="702" t="s">
        <v>296</v>
      </c>
      <c r="B3" s="703">
        <f>B2+1</f>
        <v>2</v>
      </c>
      <c r="C3" s="703">
        <v>4</v>
      </c>
      <c r="D3" s="703">
        <v>2025</v>
      </c>
      <c r="E3" s="704">
        <f>'cost.4.25'!J9</f>
        <v>33760.000000009313</v>
      </c>
      <c r="F3" s="705">
        <v>1.49</v>
      </c>
      <c r="G3" s="704">
        <f>'cost.4.25'!AN9</f>
        <v>925.30600000000004</v>
      </c>
      <c r="H3" s="705">
        <f>'cost.4.25'!AS9/'cost.4.25'!AN9</f>
        <v>3.8076397429607072</v>
      </c>
      <c r="I3" s="704">
        <f>'cost.4.25'!O9</f>
        <v>0</v>
      </c>
      <c r="J3" s="705" t="e">
        <f>'cost.4.25'!T9/'cost.4.25'!O9</f>
        <v>#DIV/0!</v>
      </c>
      <c r="K3" s="704">
        <f>'cost.4.25'!V9</f>
        <v>754</v>
      </c>
      <c r="L3" s="705">
        <f>'cost.4.25'!Z9/'cost.4.25'!V9</f>
        <v>5.0999999999999996</v>
      </c>
      <c r="M3" s="704">
        <f>'cost.4.25'!F9</f>
        <v>461.98579999999998</v>
      </c>
      <c r="N3" s="704"/>
    </row>
    <row r="4" spans="1:14" x14ac:dyDescent="0.3">
      <c r="A4" s="702" t="s">
        <v>296</v>
      </c>
      <c r="B4" s="703">
        <f t="shared" ref="B4:B32" si="0">B3+1</f>
        <v>3</v>
      </c>
      <c r="C4" s="703">
        <v>4</v>
      </c>
      <c r="D4" s="703">
        <v>2025</v>
      </c>
      <c r="E4" s="704">
        <f>'cost.4.25'!J10</f>
        <v>35000</v>
      </c>
      <c r="F4" s="705">
        <v>1.49</v>
      </c>
      <c r="G4" s="704">
        <f>'cost.4.25'!AN10</f>
        <v>1031.626</v>
      </c>
      <c r="H4" s="705">
        <f>'cost.4.25'!AS10/'cost.4.25'!AN10</f>
        <v>3.8057467531838087</v>
      </c>
      <c r="I4" s="704">
        <f>'cost.4.25'!O10</f>
        <v>0</v>
      </c>
      <c r="J4" s="705" t="e">
        <f>'cost.4.25'!T10/'cost.4.25'!O10</f>
        <v>#DIV/0!</v>
      </c>
      <c r="K4" s="704">
        <f>'cost.4.25'!V10</f>
        <v>753</v>
      </c>
      <c r="L4" s="705">
        <f>'cost.4.25'!Z10/'cost.4.25'!V10</f>
        <v>5.0999999999999996</v>
      </c>
      <c r="M4" s="704">
        <f>'cost.4.25'!F10</f>
        <v>444.99599999999998</v>
      </c>
      <c r="N4" s="704"/>
    </row>
    <row r="5" spans="1:14" x14ac:dyDescent="0.3">
      <c r="A5" s="702" t="s">
        <v>296</v>
      </c>
      <c r="B5" s="703">
        <f t="shared" si="0"/>
        <v>4</v>
      </c>
      <c r="C5" s="703">
        <v>4</v>
      </c>
      <c r="D5" s="703">
        <v>2025</v>
      </c>
      <c r="E5" s="704">
        <f>'cost.4.25'!J11</f>
        <v>0</v>
      </c>
      <c r="F5" s="705">
        <v>1.49</v>
      </c>
      <c r="G5" s="704">
        <f>'cost.4.25'!AN11</f>
        <v>0</v>
      </c>
      <c r="H5" s="705" t="e">
        <f>'cost.4.25'!AS11/'cost.4.25'!AN11</f>
        <v>#DIV/0!</v>
      </c>
      <c r="I5" s="704">
        <f>'cost.4.25'!O11</f>
        <v>0</v>
      </c>
      <c r="J5" s="705" t="e">
        <f>'cost.4.25'!T11/'cost.4.25'!O11</f>
        <v>#DIV/0!</v>
      </c>
      <c r="K5" s="704">
        <f>'cost.4.25'!V11</f>
        <v>0</v>
      </c>
      <c r="L5" s="705" t="e">
        <f>'cost.4.25'!Z11/'cost.4.25'!V11</f>
        <v>#DIV/0!</v>
      </c>
      <c r="M5" s="704">
        <f>'cost.4.25'!F11</f>
        <v>0</v>
      </c>
      <c r="N5" s="704"/>
    </row>
    <row r="6" spans="1:14" x14ac:dyDescent="0.3">
      <c r="A6" s="702" t="s">
        <v>296</v>
      </c>
      <c r="B6" s="703">
        <f t="shared" si="0"/>
        <v>5</v>
      </c>
      <c r="C6" s="703">
        <v>4</v>
      </c>
      <c r="D6" s="703">
        <v>2025</v>
      </c>
      <c r="E6" s="704">
        <f>'cost.4.25'!J12</f>
        <v>0</v>
      </c>
      <c r="F6" s="705">
        <v>1.49</v>
      </c>
      <c r="G6" s="704">
        <f>'cost.4.25'!AN12</f>
        <v>0</v>
      </c>
      <c r="H6" s="705" t="e">
        <f>'cost.4.25'!AS12/'cost.4.25'!AN12</f>
        <v>#DIV/0!</v>
      </c>
      <c r="I6" s="704">
        <f>'cost.4.25'!O12</f>
        <v>0</v>
      </c>
      <c r="J6" s="705" t="e">
        <f>'cost.4.25'!T12/'cost.4.25'!O12</f>
        <v>#DIV/0!</v>
      </c>
      <c r="K6" s="704">
        <f>'cost.4.25'!V12</f>
        <v>0</v>
      </c>
      <c r="L6" s="705" t="e">
        <f>'cost.4.25'!Z12/'cost.4.25'!V12</f>
        <v>#DIV/0!</v>
      </c>
      <c r="M6" s="704">
        <f>'cost.4.25'!F12</f>
        <v>0</v>
      </c>
      <c r="N6" s="704"/>
    </row>
    <row r="7" spans="1:14" x14ac:dyDescent="0.3">
      <c r="A7" s="702" t="s">
        <v>296</v>
      </c>
      <c r="B7" s="703">
        <f t="shared" si="0"/>
        <v>6</v>
      </c>
      <c r="C7" s="703">
        <v>4</v>
      </c>
      <c r="D7" s="703">
        <v>2025</v>
      </c>
      <c r="E7" s="704">
        <f>'cost.4.25'!J13</f>
        <v>0</v>
      </c>
      <c r="F7" s="705">
        <v>1.49</v>
      </c>
      <c r="G7" s="704">
        <f>'cost.4.25'!AN13</f>
        <v>0</v>
      </c>
      <c r="H7" s="705" t="e">
        <f>'cost.4.25'!AS13/'cost.4.25'!AN13</f>
        <v>#DIV/0!</v>
      </c>
      <c r="I7" s="704">
        <f>'cost.4.25'!O13</f>
        <v>0</v>
      </c>
      <c r="J7" s="705" t="e">
        <f>'cost.4.25'!T13/'cost.4.25'!O13</f>
        <v>#DIV/0!</v>
      </c>
      <c r="K7" s="704">
        <f>'cost.4.25'!V13</f>
        <v>0</v>
      </c>
      <c r="L7" s="705" t="e">
        <f>'cost.4.25'!Z13/'cost.4.25'!V13</f>
        <v>#DIV/0!</v>
      </c>
      <c r="M7" s="704">
        <f>'cost.4.25'!F13</f>
        <v>0</v>
      </c>
      <c r="N7" s="704"/>
    </row>
    <row r="8" spans="1:14" x14ac:dyDescent="0.3">
      <c r="A8" s="702" t="s">
        <v>296</v>
      </c>
      <c r="B8" s="703">
        <f t="shared" si="0"/>
        <v>7</v>
      </c>
      <c r="C8" s="703">
        <v>4</v>
      </c>
      <c r="D8" s="703">
        <v>2025</v>
      </c>
      <c r="E8" s="704">
        <f>'cost.4.25'!J14</f>
        <v>0</v>
      </c>
      <c r="F8" s="705">
        <v>1.49</v>
      </c>
      <c r="G8" s="704">
        <f>'cost.4.25'!AN14</f>
        <v>0</v>
      </c>
      <c r="H8" s="705" t="e">
        <f>'cost.4.25'!AS14/'cost.4.25'!AN14</f>
        <v>#DIV/0!</v>
      </c>
      <c r="I8" s="704">
        <f>'cost.4.25'!O14</f>
        <v>0</v>
      </c>
      <c r="J8" s="705" t="e">
        <f>'cost.4.25'!T14/'cost.4.25'!O14</f>
        <v>#DIV/0!</v>
      </c>
      <c r="K8" s="704">
        <f>'cost.4.25'!V14</f>
        <v>0</v>
      </c>
      <c r="L8" s="705" t="e">
        <f>'cost.4.25'!Z14/'cost.4.25'!V14</f>
        <v>#DIV/0!</v>
      </c>
      <c r="M8" s="704">
        <f>'cost.4.25'!F14</f>
        <v>0</v>
      </c>
      <c r="N8" s="704"/>
    </row>
    <row r="9" spans="1:14" x14ac:dyDescent="0.3">
      <c r="A9" s="702" t="s">
        <v>296</v>
      </c>
      <c r="B9" s="703">
        <f t="shared" si="0"/>
        <v>8</v>
      </c>
      <c r="C9" s="703">
        <v>4</v>
      </c>
      <c r="D9" s="703">
        <v>2025</v>
      </c>
      <c r="E9" s="704">
        <f>'cost.4.25'!J15</f>
        <v>0</v>
      </c>
      <c r="F9" s="705">
        <v>1.49</v>
      </c>
      <c r="G9" s="704">
        <f>'cost.4.25'!AN15</f>
        <v>0</v>
      </c>
      <c r="H9" s="705" t="e">
        <f>'cost.4.25'!AS15/'cost.4.25'!AN15</f>
        <v>#DIV/0!</v>
      </c>
      <c r="I9" s="704">
        <f>'cost.4.25'!O15</f>
        <v>0</v>
      </c>
      <c r="J9" s="705" t="e">
        <f>'cost.4.25'!T15/'cost.4.25'!O15</f>
        <v>#DIV/0!</v>
      </c>
      <c r="K9" s="704">
        <f>'cost.4.25'!V15</f>
        <v>0</v>
      </c>
      <c r="L9" s="705" t="e">
        <f>'cost.4.25'!Z15/'cost.4.25'!V15</f>
        <v>#DIV/0!</v>
      </c>
      <c r="M9" s="704">
        <f>'cost.4.25'!F15</f>
        <v>0</v>
      </c>
      <c r="N9" s="704"/>
    </row>
    <row r="10" spans="1:14" x14ac:dyDescent="0.3">
      <c r="A10" s="702" t="s">
        <v>296</v>
      </c>
      <c r="B10" s="703">
        <f t="shared" si="0"/>
        <v>9</v>
      </c>
      <c r="C10" s="703">
        <v>4</v>
      </c>
      <c r="D10" s="703">
        <v>2025</v>
      </c>
      <c r="E10" s="704">
        <f>'cost.4.25'!J16</f>
        <v>0</v>
      </c>
      <c r="F10" s="705">
        <v>1.49</v>
      </c>
      <c r="G10" s="704">
        <f>'cost.4.25'!AN16</f>
        <v>0</v>
      </c>
      <c r="H10" s="705" t="e">
        <f>'cost.4.25'!AS16/'cost.4.25'!AN16</f>
        <v>#DIV/0!</v>
      </c>
      <c r="I10" s="704">
        <f>'cost.4.25'!O16</f>
        <v>0</v>
      </c>
      <c r="J10" s="705" t="e">
        <f>'cost.4.25'!T16/'cost.4.25'!O16</f>
        <v>#DIV/0!</v>
      </c>
      <c r="K10" s="704">
        <f>'cost.4.25'!V16</f>
        <v>0</v>
      </c>
      <c r="L10" s="705" t="e">
        <f>'cost.4.25'!Z16/'cost.4.25'!V16</f>
        <v>#DIV/0!</v>
      </c>
      <c r="M10" s="704">
        <f>'cost.4.25'!F16</f>
        <v>0</v>
      </c>
      <c r="N10" s="704"/>
    </row>
    <row r="11" spans="1:14" x14ac:dyDescent="0.3">
      <c r="A11" s="702" t="s">
        <v>296</v>
      </c>
      <c r="B11" s="703">
        <f t="shared" si="0"/>
        <v>10</v>
      </c>
      <c r="C11" s="703">
        <v>4</v>
      </c>
      <c r="D11" s="703">
        <v>2025</v>
      </c>
      <c r="E11" s="704">
        <f>'cost.4.25'!J17</f>
        <v>0</v>
      </c>
      <c r="F11" s="705">
        <v>1.49</v>
      </c>
      <c r="G11" s="704">
        <f>'cost.4.25'!AN17</f>
        <v>0</v>
      </c>
      <c r="H11" s="705" t="e">
        <f>'cost.4.25'!AS17/'cost.4.25'!AN17</f>
        <v>#DIV/0!</v>
      </c>
      <c r="I11" s="704">
        <f>'cost.4.25'!O17</f>
        <v>0</v>
      </c>
      <c r="J11" s="705" t="e">
        <f>'cost.4.25'!T17/'cost.4.25'!O17</f>
        <v>#DIV/0!</v>
      </c>
      <c r="K11" s="704">
        <f>'cost.4.25'!V17</f>
        <v>0</v>
      </c>
      <c r="L11" s="705" t="e">
        <f>'cost.4.25'!Z17/'cost.4.25'!V17</f>
        <v>#DIV/0!</v>
      </c>
      <c r="M11" s="704">
        <f>'cost.4.25'!F17</f>
        <v>0</v>
      </c>
      <c r="N11" s="704"/>
    </row>
    <row r="12" spans="1:14" x14ac:dyDescent="0.3">
      <c r="A12" s="702" t="s">
        <v>296</v>
      </c>
      <c r="B12" s="703">
        <f t="shared" si="0"/>
        <v>11</v>
      </c>
      <c r="C12" s="703">
        <v>4</v>
      </c>
      <c r="D12" s="703">
        <v>2025</v>
      </c>
      <c r="E12" s="704">
        <f>'cost.4.25'!J18</f>
        <v>0</v>
      </c>
      <c r="F12" s="705">
        <v>1.49</v>
      </c>
      <c r="G12" s="704">
        <f>'cost.4.25'!AN18</f>
        <v>0</v>
      </c>
      <c r="H12" s="705" t="e">
        <f>'cost.4.25'!AS18/'cost.4.25'!AN18</f>
        <v>#DIV/0!</v>
      </c>
      <c r="I12" s="704">
        <f>'cost.4.25'!O18</f>
        <v>0</v>
      </c>
      <c r="J12" s="705" t="e">
        <f>'cost.4.25'!T18/'cost.4.25'!O18</f>
        <v>#DIV/0!</v>
      </c>
      <c r="K12" s="704">
        <f>'cost.4.25'!V18</f>
        <v>0</v>
      </c>
      <c r="L12" s="705" t="e">
        <f>'cost.4.25'!Z18/'cost.4.25'!V18</f>
        <v>#DIV/0!</v>
      </c>
      <c r="M12" s="704">
        <f>'cost.4.25'!F18</f>
        <v>0</v>
      </c>
      <c r="N12" s="704"/>
    </row>
    <row r="13" spans="1:14" x14ac:dyDescent="0.3">
      <c r="A13" s="702" t="s">
        <v>296</v>
      </c>
      <c r="B13" s="703">
        <f t="shared" si="0"/>
        <v>12</v>
      </c>
      <c r="C13" s="703">
        <v>4</v>
      </c>
      <c r="D13" s="703">
        <v>2025</v>
      </c>
      <c r="E13" s="704">
        <f>'cost.4.25'!J19</f>
        <v>0</v>
      </c>
      <c r="F13" s="705">
        <v>1.49</v>
      </c>
      <c r="G13" s="704">
        <f>'cost.4.25'!AN19</f>
        <v>0</v>
      </c>
      <c r="H13" s="705" t="e">
        <f>'cost.4.25'!AS19/'cost.4.25'!AN19</f>
        <v>#DIV/0!</v>
      </c>
      <c r="I13" s="704">
        <f>'cost.4.25'!O19</f>
        <v>0</v>
      </c>
      <c r="J13" s="705" t="e">
        <f>'cost.4.25'!T19/'cost.4.25'!O19</f>
        <v>#DIV/0!</v>
      </c>
      <c r="K13" s="704">
        <f>'cost.4.25'!V19</f>
        <v>0</v>
      </c>
      <c r="L13" s="705" t="e">
        <f>'cost.4.25'!Z19/'cost.4.25'!V19</f>
        <v>#DIV/0!</v>
      </c>
      <c r="M13" s="704">
        <f>'cost.4.25'!F19</f>
        <v>0</v>
      </c>
      <c r="N13" s="704"/>
    </row>
    <row r="14" spans="1:14" x14ac:dyDescent="0.3">
      <c r="A14" s="702" t="s">
        <v>296</v>
      </c>
      <c r="B14" s="703">
        <f t="shared" si="0"/>
        <v>13</v>
      </c>
      <c r="C14" s="703">
        <v>4</v>
      </c>
      <c r="D14" s="703">
        <v>2025</v>
      </c>
      <c r="E14" s="704">
        <f>'cost.4.25'!J20</f>
        <v>0</v>
      </c>
      <c r="F14" s="705">
        <v>1.49</v>
      </c>
      <c r="G14" s="704">
        <f>'cost.4.25'!AN20</f>
        <v>0</v>
      </c>
      <c r="H14" s="705" t="e">
        <f>'cost.4.25'!AS20/'cost.4.25'!AN20</f>
        <v>#DIV/0!</v>
      </c>
      <c r="I14" s="704">
        <f>'cost.4.25'!O20</f>
        <v>0</v>
      </c>
      <c r="J14" s="705" t="e">
        <f>'cost.4.25'!T20/'cost.4.25'!O20</f>
        <v>#DIV/0!</v>
      </c>
      <c r="K14" s="704">
        <f>'cost.4.25'!V20</f>
        <v>0</v>
      </c>
      <c r="L14" s="705" t="e">
        <f>'cost.4.25'!Z20/'cost.4.25'!V20</f>
        <v>#DIV/0!</v>
      </c>
      <c r="M14" s="704">
        <f>'cost.4.25'!F20</f>
        <v>0</v>
      </c>
      <c r="N14" s="704"/>
    </row>
    <row r="15" spans="1:14" x14ac:dyDescent="0.3">
      <c r="A15" s="702" t="s">
        <v>296</v>
      </c>
      <c r="B15" s="703">
        <f t="shared" si="0"/>
        <v>14</v>
      </c>
      <c r="C15" s="703">
        <v>4</v>
      </c>
      <c r="D15" s="703">
        <v>2025</v>
      </c>
      <c r="E15" s="704">
        <f>'cost.4.25'!J21</f>
        <v>0</v>
      </c>
      <c r="F15" s="705">
        <v>1.49</v>
      </c>
      <c r="G15" s="704">
        <f>'cost.4.25'!AN21</f>
        <v>0</v>
      </c>
      <c r="H15" s="705" t="e">
        <f>'cost.4.25'!AS21/'cost.4.25'!AN21</f>
        <v>#DIV/0!</v>
      </c>
      <c r="I15" s="704">
        <f>'cost.4.25'!O21</f>
        <v>0</v>
      </c>
      <c r="J15" s="705" t="e">
        <f>'cost.4.25'!T21/'cost.4.25'!O21</f>
        <v>#DIV/0!</v>
      </c>
      <c r="K15" s="704">
        <f>'cost.4.25'!V21</f>
        <v>0</v>
      </c>
      <c r="L15" s="705" t="e">
        <f>'cost.4.25'!Z21/'cost.4.25'!V21</f>
        <v>#DIV/0!</v>
      </c>
      <c r="M15" s="704">
        <f>'cost.4.25'!F21</f>
        <v>0</v>
      </c>
      <c r="N15" s="704"/>
    </row>
    <row r="16" spans="1:14" x14ac:dyDescent="0.3">
      <c r="A16" s="702" t="s">
        <v>296</v>
      </c>
      <c r="B16" s="703">
        <f t="shared" si="0"/>
        <v>15</v>
      </c>
      <c r="C16" s="703">
        <v>4</v>
      </c>
      <c r="D16" s="703">
        <v>2025</v>
      </c>
      <c r="E16" s="704">
        <f>'cost.4.25'!J22</f>
        <v>0</v>
      </c>
      <c r="F16" s="705">
        <v>1.49</v>
      </c>
      <c r="G16" s="704">
        <f>'cost.4.25'!AN22</f>
        <v>0</v>
      </c>
      <c r="H16" s="705" t="e">
        <f>'cost.4.25'!AS22/'cost.4.25'!AN22</f>
        <v>#DIV/0!</v>
      </c>
      <c r="I16" s="704">
        <f>'cost.4.25'!O22</f>
        <v>0</v>
      </c>
      <c r="J16" s="705" t="e">
        <f>'cost.4.25'!T22/'cost.4.25'!O22</f>
        <v>#DIV/0!</v>
      </c>
      <c r="K16" s="704">
        <f>'cost.4.25'!V22</f>
        <v>0</v>
      </c>
      <c r="L16" s="705" t="e">
        <f>'cost.4.25'!Z22/'cost.4.25'!V22</f>
        <v>#DIV/0!</v>
      </c>
      <c r="M16" s="704">
        <f>'cost.4.25'!F22</f>
        <v>0</v>
      </c>
      <c r="N16" s="704"/>
    </row>
    <row r="17" spans="1:14" x14ac:dyDescent="0.3">
      <c r="A17" s="702" t="s">
        <v>296</v>
      </c>
      <c r="B17" s="703">
        <f t="shared" si="0"/>
        <v>16</v>
      </c>
      <c r="C17" s="703">
        <v>4</v>
      </c>
      <c r="D17" s="703">
        <v>2025</v>
      </c>
      <c r="E17" s="704">
        <f>'cost.4.25'!J23</f>
        <v>0</v>
      </c>
      <c r="F17" s="705">
        <v>1.49</v>
      </c>
      <c r="G17" s="704">
        <f>'cost.4.25'!AN23</f>
        <v>0</v>
      </c>
      <c r="H17" s="705" t="e">
        <f>'cost.4.25'!AS23/'cost.4.25'!AN23</f>
        <v>#DIV/0!</v>
      </c>
      <c r="I17" s="704">
        <f>'cost.4.25'!O23</f>
        <v>0</v>
      </c>
      <c r="J17" s="705" t="e">
        <f>'cost.4.25'!T23/'cost.4.25'!O23</f>
        <v>#DIV/0!</v>
      </c>
      <c r="K17" s="704">
        <f>'cost.4.25'!V23</f>
        <v>0</v>
      </c>
      <c r="L17" s="705" t="e">
        <f>'cost.4.25'!Z23/'cost.4.25'!V23</f>
        <v>#DIV/0!</v>
      </c>
      <c r="M17" s="704">
        <f>'cost.4.25'!F23</f>
        <v>0</v>
      </c>
      <c r="N17" s="704"/>
    </row>
    <row r="18" spans="1:14" x14ac:dyDescent="0.3">
      <c r="A18" s="702" t="s">
        <v>296</v>
      </c>
      <c r="B18" s="703">
        <f t="shared" si="0"/>
        <v>17</v>
      </c>
      <c r="C18" s="703">
        <v>4</v>
      </c>
      <c r="D18" s="703">
        <v>2025</v>
      </c>
      <c r="E18" s="704">
        <f>'cost.4.25'!J24</f>
        <v>0</v>
      </c>
      <c r="F18" s="705">
        <v>1.49</v>
      </c>
      <c r="G18" s="704">
        <f>'cost.4.25'!AN24</f>
        <v>0</v>
      </c>
      <c r="H18" s="705" t="e">
        <f>'cost.4.25'!AS24/'cost.4.25'!AN24</f>
        <v>#DIV/0!</v>
      </c>
      <c r="I18" s="704">
        <f>'cost.4.25'!O24</f>
        <v>0</v>
      </c>
      <c r="J18" s="705" t="e">
        <f>'cost.4.25'!T24/'cost.4.25'!O24</f>
        <v>#DIV/0!</v>
      </c>
      <c r="K18" s="704">
        <f>'cost.4.25'!V24</f>
        <v>0</v>
      </c>
      <c r="L18" s="705" t="e">
        <f>'cost.4.25'!Z24/'cost.4.25'!V24</f>
        <v>#DIV/0!</v>
      </c>
      <c r="M18" s="704">
        <f>'cost.4.25'!F24</f>
        <v>0</v>
      </c>
      <c r="N18" s="704"/>
    </row>
    <row r="19" spans="1:14" x14ac:dyDescent="0.3">
      <c r="A19" s="702" t="s">
        <v>296</v>
      </c>
      <c r="B19" s="703">
        <f t="shared" si="0"/>
        <v>18</v>
      </c>
      <c r="C19" s="703">
        <v>4</v>
      </c>
      <c r="D19" s="703">
        <v>2025</v>
      </c>
      <c r="E19" s="704">
        <f>'cost.4.25'!J25</f>
        <v>0</v>
      </c>
      <c r="F19" s="705">
        <v>1.49</v>
      </c>
      <c r="G19" s="704">
        <f>'cost.4.25'!AN25</f>
        <v>0</v>
      </c>
      <c r="H19" s="705" t="e">
        <f>'cost.4.25'!AS25/'cost.4.25'!AN25</f>
        <v>#DIV/0!</v>
      </c>
      <c r="I19" s="704">
        <f>'cost.4.25'!O25</f>
        <v>0</v>
      </c>
      <c r="J19" s="705" t="e">
        <f>'cost.4.25'!T25/'cost.4.25'!O25</f>
        <v>#DIV/0!</v>
      </c>
      <c r="K19" s="704">
        <f>'cost.4.25'!V25</f>
        <v>0</v>
      </c>
      <c r="L19" s="705" t="e">
        <f>'cost.4.25'!Z25/'cost.4.25'!V25</f>
        <v>#DIV/0!</v>
      </c>
      <c r="M19" s="704">
        <f>'cost.4.25'!F25</f>
        <v>0</v>
      </c>
      <c r="N19" s="704"/>
    </row>
    <row r="20" spans="1:14" x14ac:dyDescent="0.3">
      <c r="A20" s="702" t="s">
        <v>296</v>
      </c>
      <c r="B20" s="703">
        <f t="shared" si="0"/>
        <v>19</v>
      </c>
      <c r="C20" s="703">
        <v>4</v>
      </c>
      <c r="D20" s="703">
        <v>2025</v>
      </c>
      <c r="E20" s="704">
        <f>'cost.4.25'!J26</f>
        <v>0</v>
      </c>
      <c r="F20" s="705">
        <v>1.49</v>
      </c>
      <c r="G20" s="704">
        <f>'cost.4.25'!AN26</f>
        <v>0</v>
      </c>
      <c r="H20" s="705" t="e">
        <f>'cost.4.25'!AS26/'cost.4.25'!AN26</f>
        <v>#DIV/0!</v>
      </c>
      <c r="I20" s="704">
        <f>'cost.4.25'!O26</f>
        <v>0</v>
      </c>
      <c r="J20" s="705" t="e">
        <f>'cost.4.25'!T26/'cost.4.25'!O26</f>
        <v>#DIV/0!</v>
      </c>
      <c r="K20" s="704">
        <f>'cost.4.25'!V26</f>
        <v>0</v>
      </c>
      <c r="L20" s="705" t="e">
        <f>'cost.4.25'!Z26/'cost.4.25'!V26</f>
        <v>#DIV/0!</v>
      </c>
      <c r="M20" s="704">
        <f>'cost.4.25'!F26</f>
        <v>0</v>
      </c>
      <c r="N20" s="704"/>
    </row>
    <row r="21" spans="1:14" x14ac:dyDescent="0.3">
      <c r="A21" s="702" t="s">
        <v>296</v>
      </c>
      <c r="B21" s="703">
        <f t="shared" si="0"/>
        <v>20</v>
      </c>
      <c r="C21" s="703">
        <v>4</v>
      </c>
      <c r="D21" s="703">
        <v>2025</v>
      </c>
      <c r="E21" s="704">
        <f>'cost.4.25'!J27</f>
        <v>0</v>
      </c>
      <c r="F21" s="705">
        <v>1.49</v>
      </c>
      <c r="G21" s="704">
        <f>'cost.4.25'!AN27</f>
        <v>0</v>
      </c>
      <c r="H21" s="705" t="e">
        <f>'cost.4.25'!AS27/'cost.4.25'!AN27</f>
        <v>#DIV/0!</v>
      </c>
      <c r="I21" s="704">
        <f>'cost.4.25'!O27</f>
        <v>0</v>
      </c>
      <c r="J21" s="705" t="e">
        <f>'cost.4.25'!T27/'cost.4.25'!O27</f>
        <v>#DIV/0!</v>
      </c>
      <c r="K21" s="704">
        <f>'cost.4.25'!V27</f>
        <v>0</v>
      </c>
      <c r="L21" s="705" t="e">
        <f>'cost.4.25'!Z27/'cost.4.25'!V27</f>
        <v>#DIV/0!</v>
      </c>
      <c r="M21" s="704">
        <f>'cost.4.25'!F27</f>
        <v>0</v>
      </c>
      <c r="N21" s="704"/>
    </row>
    <row r="22" spans="1:14" x14ac:dyDescent="0.3">
      <c r="A22" s="702" t="s">
        <v>296</v>
      </c>
      <c r="B22" s="703">
        <f t="shared" si="0"/>
        <v>21</v>
      </c>
      <c r="C22" s="703">
        <v>4</v>
      </c>
      <c r="D22" s="703">
        <v>2025</v>
      </c>
      <c r="E22" s="704">
        <f>'cost.4.25'!J28</f>
        <v>0</v>
      </c>
      <c r="F22" s="705">
        <v>1.49</v>
      </c>
      <c r="G22" s="704">
        <f>'cost.4.25'!AN28</f>
        <v>0</v>
      </c>
      <c r="H22" s="705" t="e">
        <f>'cost.4.25'!AS28/'cost.4.25'!AN28</f>
        <v>#DIV/0!</v>
      </c>
      <c r="I22" s="704">
        <f>'cost.4.25'!O28</f>
        <v>0</v>
      </c>
      <c r="J22" s="705" t="e">
        <f>'cost.4.25'!T28/'cost.4.25'!O28</f>
        <v>#DIV/0!</v>
      </c>
      <c r="K22" s="704">
        <f>'cost.4.25'!V28</f>
        <v>0</v>
      </c>
      <c r="L22" s="705" t="e">
        <f>'cost.4.25'!Z28/'cost.4.25'!V28</f>
        <v>#DIV/0!</v>
      </c>
      <c r="M22" s="704">
        <f>'cost.4.25'!F28</f>
        <v>0</v>
      </c>
      <c r="N22" s="704"/>
    </row>
    <row r="23" spans="1:14" x14ac:dyDescent="0.3">
      <c r="A23" s="702" t="s">
        <v>296</v>
      </c>
      <c r="B23" s="703">
        <f t="shared" si="0"/>
        <v>22</v>
      </c>
      <c r="C23" s="703">
        <v>4</v>
      </c>
      <c r="D23" s="703">
        <v>2025</v>
      </c>
      <c r="E23" s="704">
        <f>'cost.4.25'!J29</f>
        <v>0</v>
      </c>
      <c r="F23" s="705">
        <v>1.49</v>
      </c>
      <c r="G23" s="704">
        <f>'cost.4.25'!AN29</f>
        <v>0</v>
      </c>
      <c r="H23" s="705" t="e">
        <f>'cost.4.25'!AS29/'cost.4.25'!AN29</f>
        <v>#DIV/0!</v>
      </c>
      <c r="I23" s="704">
        <f>'cost.4.25'!O29</f>
        <v>0</v>
      </c>
      <c r="J23" s="705" t="e">
        <f>'cost.4.25'!T29/'cost.4.25'!O29</f>
        <v>#DIV/0!</v>
      </c>
      <c r="K23" s="704">
        <f>'cost.4.25'!V29</f>
        <v>0</v>
      </c>
      <c r="L23" s="705" t="e">
        <f>'cost.4.25'!Z29/'cost.4.25'!V29</f>
        <v>#DIV/0!</v>
      </c>
      <c r="M23" s="704">
        <f>'cost.4.25'!F29</f>
        <v>0</v>
      </c>
      <c r="N23" s="704"/>
    </row>
    <row r="24" spans="1:14" x14ac:dyDescent="0.3">
      <c r="A24" s="702" t="s">
        <v>296</v>
      </c>
      <c r="B24" s="703">
        <f t="shared" si="0"/>
        <v>23</v>
      </c>
      <c r="C24" s="703">
        <v>4</v>
      </c>
      <c r="D24" s="703">
        <v>2025</v>
      </c>
      <c r="E24" s="704">
        <f>'cost.4.25'!J30</f>
        <v>0</v>
      </c>
      <c r="F24" s="705">
        <v>1.49</v>
      </c>
      <c r="G24" s="704">
        <f>'cost.4.25'!AN30</f>
        <v>0</v>
      </c>
      <c r="H24" s="705" t="e">
        <f>'cost.4.25'!AS30/'cost.4.25'!AN30</f>
        <v>#DIV/0!</v>
      </c>
      <c r="I24" s="704">
        <f>'cost.4.25'!O30</f>
        <v>0</v>
      </c>
      <c r="J24" s="705" t="e">
        <f>'cost.4.25'!T30/'cost.4.25'!O30</f>
        <v>#DIV/0!</v>
      </c>
      <c r="K24" s="704">
        <f>'cost.4.25'!V30</f>
        <v>0</v>
      </c>
      <c r="L24" s="705" t="e">
        <f>'cost.4.25'!Z30/'cost.4.25'!V30</f>
        <v>#DIV/0!</v>
      </c>
      <c r="M24" s="704">
        <f>'cost.4.25'!F30</f>
        <v>0</v>
      </c>
      <c r="N24" s="704"/>
    </row>
    <row r="25" spans="1:14" x14ac:dyDescent="0.3">
      <c r="A25" s="702" t="s">
        <v>296</v>
      </c>
      <c r="B25" s="703">
        <f t="shared" si="0"/>
        <v>24</v>
      </c>
      <c r="C25" s="703">
        <v>4</v>
      </c>
      <c r="D25" s="703">
        <v>2025</v>
      </c>
      <c r="E25" s="704">
        <f>'cost.4.25'!J31</f>
        <v>0</v>
      </c>
      <c r="F25" s="705">
        <v>1.49</v>
      </c>
      <c r="G25" s="704">
        <f>'cost.4.25'!AN31</f>
        <v>0</v>
      </c>
      <c r="H25" s="705" t="e">
        <f>'cost.4.25'!AS31/'cost.4.25'!AN31</f>
        <v>#DIV/0!</v>
      </c>
      <c r="I25" s="704">
        <f>'cost.4.25'!O31</f>
        <v>0</v>
      </c>
      <c r="J25" s="705" t="e">
        <f>'cost.4.25'!T31/'cost.4.25'!O31</f>
        <v>#DIV/0!</v>
      </c>
      <c r="K25" s="704">
        <f>'cost.4.25'!V31</f>
        <v>0</v>
      </c>
      <c r="L25" s="705" t="e">
        <f>'cost.4.25'!Z31/'cost.4.25'!V31</f>
        <v>#DIV/0!</v>
      </c>
      <c r="M25" s="704">
        <f>'cost.4.25'!F31</f>
        <v>0</v>
      </c>
      <c r="N25" s="704"/>
    </row>
    <row r="26" spans="1:14" x14ac:dyDescent="0.3">
      <c r="A26" s="702" t="s">
        <v>296</v>
      </c>
      <c r="B26" s="703">
        <f>B25+1</f>
        <v>25</v>
      </c>
      <c r="C26" s="703">
        <v>4</v>
      </c>
      <c r="D26" s="703">
        <v>2025</v>
      </c>
      <c r="E26" s="704">
        <f>'cost.4.25'!J32</f>
        <v>0</v>
      </c>
      <c r="F26" s="705">
        <v>1.49</v>
      </c>
      <c r="G26" s="704">
        <f>'cost.4.25'!AN32</f>
        <v>0</v>
      </c>
      <c r="H26" s="705" t="e">
        <f>'cost.4.25'!AS32/'cost.4.25'!AN32</f>
        <v>#DIV/0!</v>
      </c>
      <c r="I26" s="704">
        <f>'cost.4.25'!O32</f>
        <v>0</v>
      </c>
      <c r="J26" s="705" t="e">
        <f>'cost.4.25'!T32/'cost.4.25'!O32</f>
        <v>#DIV/0!</v>
      </c>
      <c r="K26" s="704">
        <f>'cost.4.25'!V32</f>
        <v>0</v>
      </c>
      <c r="L26" s="705" t="e">
        <f>'cost.4.25'!Z32/'cost.4.25'!V32</f>
        <v>#DIV/0!</v>
      </c>
      <c r="M26" s="704">
        <f>'cost.4.25'!F32</f>
        <v>0</v>
      </c>
      <c r="N26" s="704"/>
    </row>
    <row r="27" spans="1:14" x14ac:dyDescent="0.3">
      <c r="A27" s="702" t="s">
        <v>296</v>
      </c>
      <c r="B27" s="703">
        <f t="shared" si="0"/>
        <v>26</v>
      </c>
      <c r="C27" s="703">
        <v>4</v>
      </c>
      <c r="D27" s="703">
        <v>2025</v>
      </c>
      <c r="E27" s="704">
        <f>'cost.4.25'!J33</f>
        <v>0</v>
      </c>
      <c r="F27" s="705">
        <v>1.49</v>
      </c>
      <c r="G27" s="704">
        <f>'cost.4.25'!AN33</f>
        <v>0</v>
      </c>
      <c r="H27" s="705" t="e">
        <f>'cost.4.25'!AS33/'cost.4.25'!AN33</f>
        <v>#DIV/0!</v>
      </c>
      <c r="I27" s="704">
        <f>'cost.4.25'!O33</f>
        <v>0</v>
      </c>
      <c r="J27" s="705" t="e">
        <f>'cost.4.25'!T33/'cost.4.25'!O33</f>
        <v>#DIV/0!</v>
      </c>
      <c r="K27" s="704">
        <f>'cost.4.25'!V33</f>
        <v>0</v>
      </c>
      <c r="L27" s="705" t="e">
        <f>'cost.4.25'!Z33/'cost.4.25'!V33</f>
        <v>#DIV/0!</v>
      </c>
      <c r="M27" s="704">
        <f>'cost.4.25'!F33</f>
        <v>0</v>
      </c>
      <c r="N27" s="704"/>
    </row>
    <row r="28" spans="1:14" x14ac:dyDescent="0.3">
      <c r="A28" s="702" t="s">
        <v>296</v>
      </c>
      <c r="B28" s="703">
        <f t="shared" si="0"/>
        <v>27</v>
      </c>
      <c r="C28" s="703">
        <v>4</v>
      </c>
      <c r="D28" s="703">
        <v>2025</v>
      </c>
      <c r="E28" s="704">
        <f>'cost.4.25'!J34</f>
        <v>0</v>
      </c>
      <c r="F28" s="705">
        <v>1.49</v>
      </c>
      <c r="G28" s="704">
        <f>'cost.4.25'!AN34</f>
        <v>0</v>
      </c>
      <c r="H28" s="705" t="e">
        <f>'cost.4.25'!AS34/'cost.4.25'!AN34</f>
        <v>#DIV/0!</v>
      </c>
      <c r="I28" s="704">
        <f>'cost.4.25'!O34</f>
        <v>0</v>
      </c>
      <c r="J28" s="705" t="e">
        <f>'cost.4.25'!T34/'cost.4.25'!O34</f>
        <v>#DIV/0!</v>
      </c>
      <c r="K28" s="704">
        <f>'cost.4.25'!V34</f>
        <v>0</v>
      </c>
      <c r="L28" s="705" t="e">
        <f>'cost.4.25'!Z34/'cost.4.25'!V34</f>
        <v>#DIV/0!</v>
      </c>
      <c r="M28" s="704">
        <f>'cost.4.25'!F34</f>
        <v>0</v>
      </c>
      <c r="N28" s="704"/>
    </row>
    <row r="29" spans="1:14" x14ac:dyDescent="0.3">
      <c r="A29" s="702" t="s">
        <v>296</v>
      </c>
      <c r="B29" s="703">
        <f t="shared" si="0"/>
        <v>28</v>
      </c>
      <c r="C29" s="703">
        <v>4</v>
      </c>
      <c r="D29" s="703">
        <v>2025</v>
      </c>
      <c r="E29" s="704">
        <f>'cost.4.25'!J35</f>
        <v>0</v>
      </c>
      <c r="F29" s="705">
        <v>1.49</v>
      </c>
      <c r="G29" s="704">
        <f>'cost.4.25'!AN35</f>
        <v>0</v>
      </c>
      <c r="H29" s="705" t="e">
        <f>'cost.4.25'!AS35/'cost.4.25'!AN35</f>
        <v>#DIV/0!</v>
      </c>
      <c r="I29" s="704">
        <f>'cost.4.25'!O35</f>
        <v>0</v>
      </c>
      <c r="J29" s="705" t="e">
        <f>'cost.4.25'!T35/'cost.4.25'!O35</f>
        <v>#DIV/0!</v>
      </c>
      <c r="K29" s="704">
        <f>'cost.4.25'!V35</f>
        <v>0</v>
      </c>
      <c r="L29" s="705" t="e">
        <f>'cost.4.25'!Z35/'cost.4.25'!V35</f>
        <v>#DIV/0!</v>
      </c>
      <c r="M29" s="704">
        <f>'cost.4.25'!F35</f>
        <v>0</v>
      </c>
      <c r="N29" s="704"/>
    </row>
    <row r="30" spans="1:14" x14ac:dyDescent="0.3">
      <c r="A30" s="702" t="s">
        <v>296</v>
      </c>
      <c r="B30" s="703">
        <f t="shared" si="0"/>
        <v>29</v>
      </c>
      <c r="C30" s="703">
        <v>4</v>
      </c>
      <c r="D30" s="703">
        <v>2025</v>
      </c>
      <c r="E30" s="704">
        <f>'cost.4.25'!J36</f>
        <v>0</v>
      </c>
      <c r="F30" s="705">
        <v>1.49</v>
      </c>
      <c r="G30" s="704">
        <f>'cost.4.25'!AN36</f>
        <v>0</v>
      </c>
      <c r="H30" s="705" t="e">
        <f>'cost.4.25'!AS36/'cost.4.25'!AN36</f>
        <v>#DIV/0!</v>
      </c>
      <c r="I30" s="704">
        <f>'cost.4.25'!O36</f>
        <v>0</v>
      </c>
      <c r="J30" s="705" t="e">
        <f>'cost.4.25'!T36/'cost.4.25'!O36</f>
        <v>#DIV/0!</v>
      </c>
      <c r="K30" s="704">
        <f>'cost.4.25'!V36</f>
        <v>0</v>
      </c>
      <c r="L30" s="705" t="e">
        <f>'cost.4.25'!Z36/'cost.4.25'!V36</f>
        <v>#DIV/0!</v>
      </c>
      <c r="M30" s="704">
        <f>'cost.4.25'!F36</f>
        <v>0</v>
      </c>
      <c r="N30" s="704"/>
    </row>
    <row r="31" spans="1:14" x14ac:dyDescent="0.3">
      <c r="A31" s="702" t="s">
        <v>296</v>
      </c>
      <c r="B31" s="703">
        <f t="shared" si="0"/>
        <v>30</v>
      </c>
      <c r="C31" s="703">
        <v>4</v>
      </c>
      <c r="D31" s="703">
        <v>2025</v>
      </c>
      <c r="E31" s="704">
        <f>'cost.4.25'!J37</f>
        <v>0</v>
      </c>
      <c r="F31" s="705">
        <v>1.49</v>
      </c>
      <c r="G31" s="704">
        <f>'cost.4.25'!AN37</f>
        <v>0</v>
      </c>
      <c r="H31" s="705" t="e">
        <f>'cost.4.25'!AS37/'cost.4.25'!AN37</f>
        <v>#DIV/0!</v>
      </c>
      <c r="I31" s="704">
        <f>'cost.4.25'!O37</f>
        <v>0</v>
      </c>
      <c r="J31" s="705" t="e">
        <f>'cost.4.25'!T37/'cost.4.25'!O37</f>
        <v>#DIV/0!</v>
      </c>
      <c r="K31" s="704">
        <f>'cost.4.25'!V37</f>
        <v>0</v>
      </c>
      <c r="L31" s="705" t="e">
        <f>'cost.4.25'!Z37/'cost.4.25'!V37</f>
        <v>#DIV/0!</v>
      </c>
      <c r="M31" s="704">
        <f>'cost.4.25'!F37</f>
        <v>0</v>
      </c>
      <c r="N31" s="704"/>
    </row>
    <row r="32" spans="1:14" x14ac:dyDescent="0.3">
      <c r="A32" s="702" t="s">
        <v>296</v>
      </c>
      <c r="B32" s="703">
        <f t="shared" si="0"/>
        <v>31</v>
      </c>
      <c r="C32" s="703">
        <v>4</v>
      </c>
      <c r="D32" s="703">
        <v>2025</v>
      </c>
      <c r="E32" s="704"/>
      <c r="G32" s="704"/>
      <c r="I32" s="704">
        <f>'cost.4.25'!O38</f>
        <v>0</v>
      </c>
      <c r="J32" s="705" t="e">
        <f>'cost.4.25'!T38/'cost.4.25'!O38</f>
        <v>#DIV/0!</v>
      </c>
      <c r="K32" s="704"/>
      <c r="L32" s="706"/>
      <c r="M32" s="704"/>
      <c r="N32" s="704"/>
    </row>
    <row r="33" spans="7:7" x14ac:dyDescent="0.3">
      <c r="G33" s="7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60"/>
  <sheetViews>
    <sheetView view="pageBreakPreview" zoomScale="80" zoomScaleNormal="80" zoomScaleSheetLayoutView="80" workbookViewId="0">
      <pane ySplit="5" topLeftCell="A6" activePane="bottomLeft" state="frozen"/>
      <selection activeCell="B5" sqref="B5"/>
      <selection pane="bottomLeft" activeCell="R8" sqref="R8"/>
    </sheetView>
  </sheetViews>
  <sheetFormatPr defaultRowHeight="13.2" x14ac:dyDescent="0.25"/>
  <cols>
    <col min="1" max="1" width="39.33203125" customWidth="1"/>
    <col min="2" max="2" width="13" customWidth="1"/>
    <col min="3" max="3" width="13.6640625" customWidth="1"/>
    <col min="4" max="4" width="13.109375" bestFit="1" customWidth="1"/>
    <col min="5" max="6" width="13.6640625" customWidth="1"/>
    <col min="7" max="7" width="13.6640625" style="46" customWidth="1"/>
    <col min="8" max="8" width="15" style="46" customWidth="1"/>
    <col min="9" max="9" width="16.5546875" style="46" bestFit="1" customWidth="1"/>
    <col min="10" max="10" width="18" customWidth="1"/>
    <col min="11" max="11" width="10.44140625" customWidth="1"/>
    <col min="12" max="12" width="12.6640625" customWidth="1"/>
    <col min="13" max="13" width="13.44140625" customWidth="1"/>
    <col min="14" max="14" width="11.5546875" customWidth="1"/>
    <col min="15" max="15" width="9.6640625" bestFit="1" customWidth="1"/>
    <col min="16" max="16" width="12.88671875" customWidth="1"/>
    <col min="17" max="17" width="10.109375" customWidth="1"/>
    <col min="18" max="19" width="13.88671875" bestFit="1" customWidth="1"/>
    <col min="22" max="22" width="16.109375" customWidth="1"/>
    <col min="23" max="23" width="17.33203125" customWidth="1"/>
  </cols>
  <sheetData>
    <row r="1" spans="1:23" s="316" customFormat="1" ht="23.25" customHeight="1" x14ac:dyDescent="0.25">
      <c r="A1" s="317" t="s">
        <v>66</v>
      </c>
      <c r="B1" s="566">
        <f ca="1">TODAY()-1</f>
        <v>45752</v>
      </c>
      <c r="C1" s="566"/>
      <c r="D1" s="342"/>
      <c r="E1" s="315" t="s">
        <v>202</v>
      </c>
      <c r="G1" s="329"/>
      <c r="H1" s="329"/>
      <c r="I1" s="329"/>
      <c r="Q1"/>
      <c r="R1"/>
    </row>
    <row r="2" spans="1:23" ht="19.2" customHeight="1" x14ac:dyDescent="0.25">
      <c r="A2" s="198" t="s">
        <v>65</v>
      </c>
      <c r="B2" s="161"/>
      <c r="C2" s="161"/>
      <c r="D2" s="161"/>
      <c r="E2" s="521"/>
      <c r="F2" s="161"/>
      <c r="G2" s="330"/>
      <c r="H2" s="330"/>
      <c r="I2" s="330"/>
      <c r="J2" s="161"/>
    </row>
    <row r="3" spans="1:23" ht="18.600000000000001" customHeight="1" x14ac:dyDescent="0.25">
      <c r="A3" s="161"/>
      <c r="B3" s="161"/>
      <c r="C3" s="161"/>
      <c r="D3" s="161"/>
      <c r="E3" s="161"/>
      <c r="F3" s="161"/>
      <c r="G3" s="330"/>
      <c r="H3" s="330"/>
      <c r="I3" s="330"/>
      <c r="J3" s="161"/>
      <c r="L3" s="360" t="s">
        <v>93</v>
      </c>
      <c r="M3" s="360"/>
      <c r="N3" s="360"/>
      <c r="O3" s="360"/>
      <c r="U3" s="318"/>
      <c r="V3" s="318"/>
      <c r="W3" s="319"/>
    </row>
    <row r="4" spans="1:23" ht="16.95" customHeight="1" x14ac:dyDescent="0.25">
      <c r="A4" s="161"/>
      <c r="B4" s="568" t="s">
        <v>68</v>
      </c>
      <c r="C4" s="569"/>
      <c r="D4" s="569"/>
      <c r="E4" s="570"/>
      <c r="F4" s="567" t="s">
        <v>70</v>
      </c>
      <c r="G4" s="567"/>
      <c r="H4" s="567"/>
      <c r="I4" s="567"/>
      <c r="J4" s="567"/>
    </row>
    <row r="5" spans="1:23" x14ac:dyDescent="0.25">
      <c r="A5" s="161"/>
      <c r="B5" s="165" t="s">
        <v>69</v>
      </c>
      <c r="C5" s="165" t="s">
        <v>17</v>
      </c>
      <c r="D5" s="165" t="s">
        <v>168</v>
      </c>
      <c r="E5" s="165" t="s">
        <v>161</v>
      </c>
      <c r="F5" s="166" t="s">
        <v>69</v>
      </c>
      <c r="G5" s="331" t="s">
        <v>17</v>
      </c>
      <c r="H5" s="331" t="s">
        <v>168</v>
      </c>
      <c r="I5" s="331" t="s">
        <v>169</v>
      </c>
      <c r="J5" s="166" t="s">
        <v>161</v>
      </c>
    </row>
    <row r="6" spans="1:23" ht="19.95" customHeight="1" x14ac:dyDescent="0.25">
      <c r="A6" s="161"/>
      <c r="B6" s="167"/>
      <c r="C6" s="167"/>
      <c r="D6" s="167"/>
      <c r="E6" s="167"/>
      <c r="F6" s="167"/>
      <c r="G6" s="332"/>
      <c r="H6" s="332"/>
      <c r="I6" s="332"/>
      <c r="J6" s="167"/>
    </row>
    <row r="7" spans="1:23" ht="19.95" customHeight="1" x14ac:dyDescent="0.25">
      <c r="A7" s="170" t="s">
        <v>22</v>
      </c>
      <c r="B7" s="200">
        <f ca="1">VLOOKUP(B1,'Reading.4.25'!A5:EL35,39,FALSE)</f>
        <v>0</v>
      </c>
      <c r="C7" s="201">
        <f>'Reading.4.25'!AO6</f>
        <v>341.9</v>
      </c>
      <c r="D7" s="348">
        <f ca="1">B7-C7</f>
        <v>-341.9</v>
      </c>
      <c r="E7" s="201">
        <v>431.3</v>
      </c>
      <c r="F7" s="180">
        <f>'Reading.4.25'!AM36</f>
        <v>1366.1271999999999</v>
      </c>
      <c r="G7" s="333">
        <f ca="1">C7*DAY(B1)</f>
        <v>1709.5</v>
      </c>
      <c r="H7" s="355">
        <f ca="1">(F7-G7)/F7</f>
        <v>-0.25134760511319892</v>
      </c>
      <c r="I7" s="355">
        <f ca="1">(F7-J7)/F7</f>
        <v>-0.57854993297842261</v>
      </c>
      <c r="J7" s="164">
        <f ca="1">E7*DAY(B1)</f>
        <v>2156.5</v>
      </c>
    </row>
    <row r="8" spans="1:23" ht="20.100000000000001" customHeight="1" x14ac:dyDescent="0.25">
      <c r="A8" s="170" t="s">
        <v>67</v>
      </c>
      <c r="B8" s="320">
        <f ca="1">VLOOKUP(B1,'Reading.4.25'!A5:EL35,35,FALSE)</f>
        <v>0</v>
      </c>
      <c r="C8" s="320">
        <f>'Reading.4.25'!AK6</f>
        <v>0.65</v>
      </c>
      <c r="D8" s="349">
        <f ca="1">B8-C8</f>
        <v>-0.65</v>
      </c>
      <c r="E8" s="323">
        <v>0.82</v>
      </c>
      <c r="F8" s="185">
        <f>'Reading.4.25'!AI36</f>
        <v>0.86573333333333335</v>
      </c>
      <c r="G8" s="324">
        <f>C8</f>
        <v>0.65</v>
      </c>
      <c r="H8" s="355">
        <f>F8-G8</f>
        <v>0.21573333333333333</v>
      </c>
      <c r="I8" s="355">
        <f>F8-J8</f>
        <v>0.17673333333333341</v>
      </c>
      <c r="J8" s="324">
        <v>0.68899999999999995</v>
      </c>
      <c r="U8" s="43"/>
    </row>
    <row r="9" spans="1:23" ht="6.75" customHeight="1" x14ac:dyDescent="0.25">
      <c r="A9" s="168"/>
      <c r="B9" s="321"/>
      <c r="C9" s="321"/>
      <c r="D9" s="350"/>
      <c r="E9" s="321"/>
      <c r="F9" s="169"/>
      <c r="G9" s="334"/>
      <c r="H9" s="354"/>
      <c r="I9" s="354"/>
      <c r="J9" s="169"/>
    </row>
    <row r="10" spans="1:23" ht="20.100000000000001" customHeight="1" x14ac:dyDescent="0.25">
      <c r="A10" s="170" t="s">
        <v>86</v>
      </c>
      <c r="B10" s="200">
        <f ca="1">VLOOKUP(B1,'Reading.4.25'!A5:EL35,31,FALSE)</f>
        <v>0</v>
      </c>
      <c r="C10" s="201">
        <f>'Reading.4.25'!AG6</f>
        <v>26554.533333333333</v>
      </c>
      <c r="D10" s="348">
        <f ca="1">B10-C10</f>
        <v>-26554.533333333333</v>
      </c>
      <c r="E10" s="201">
        <v>39500</v>
      </c>
      <c r="F10" s="210">
        <f>'Reading.4.25'!AE36</f>
        <v>103619.99999999418</v>
      </c>
      <c r="G10" s="333">
        <f ca="1">C10*DAY(B1)</f>
        <v>132772.66666666666</v>
      </c>
      <c r="H10" s="355">
        <f ca="1">(F10-G10)/F10</f>
        <v>-0.28134208325298316</v>
      </c>
      <c r="I10" s="355">
        <f ca="1">(F10-J10)/F10</f>
        <v>-0.9060027021811532</v>
      </c>
      <c r="J10" s="322">
        <f ca="1">+E10*DAY(B1)</f>
        <v>197500</v>
      </c>
      <c r="R10" s="46"/>
      <c r="S10" s="328"/>
      <c r="U10" s="279"/>
    </row>
    <row r="11" spans="1:23" ht="20.100000000000001" customHeight="1" x14ac:dyDescent="0.25">
      <c r="A11" s="170" t="s">
        <v>74</v>
      </c>
      <c r="B11" s="200">
        <f ca="1">VLOOKUP(B1,'Reading.4.25'!A5:EL35,20,FALSE)</f>
        <v>0</v>
      </c>
      <c r="C11" s="201">
        <f>'cost.4.25'!P8</f>
        <v>83.967741935483872</v>
      </c>
      <c r="D11" s="348">
        <f ca="1">B11-C11</f>
        <v>-83.967741935483872</v>
      </c>
      <c r="E11" s="200">
        <v>0</v>
      </c>
      <c r="F11" s="164">
        <f>'Reading.4.25'!T36</f>
        <v>0</v>
      </c>
      <c r="G11" s="333">
        <f ca="1">C11*DAY(B1)</f>
        <v>419.83870967741939</v>
      </c>
      <c r="H11" s="353">
        <f t="shared" ref="H11:H18" ca="1" si="0">F11-G11</f>
        <v>-419.83870967741939</v>
      </c>
      <c r="I11" s="353">
        <f>F11-J11</f>
        <v>0</v>
      </c>
      <c r="J11" s="164">
        <v>0</v>
      </c>
    </row>
    <row r="12" spans="1:23" ht="7.5" customHeight="1" x14ac:dyDescent="0.25">
      <c r="A12" s="168"/>
      <c r="B12" s="321"/>
      <c r="C12" s="321"/>
      <c r="D12" s="350"/>
      <c r="E12" s="321"/>
      <c r="F12" s="169"/>
      <c r="G12" s="334"/>
      <c r="H12" s="354"/>
      <c r="I12" s="354"/>
      <c r="J12" s="169"/>
    </row>
    <row r="13" spans="1:23" ht="20.100000000000001" customHeight="1" x14ac:dyDescent="0.25">
      <c r="A13" s="170" t="s">
        <v>75</v>
      </c>
      <c r="B13" s="200">
        <f ca="1">VLOOKUP(B1,'Reading.4.25'!A5:EL35,15,FALSE)</f>
        <v>0</v>
      </c>
      <c r="C13" s="201">
        <f>'cost.4.25'!AD8</f>
        <v>487.5</v>
      </c>
      <c r="D13" s="348">
        <f ca="1">B13-C13</f>
        <v>-487.5</v>
      </c>
      <c r="E13" s="200">
        <v>636</v>
      </c>
      <c r="F13" s="164">
        <f>'Reading.4.25'!O36</f>
        <v>2000.7400000000002</v>
      </c>
      <c r="G13" s="333">
        <f ca="1">C13*DAY(B1)</f>
        <v>2437.5</v>
      </c>
      <c r="H13" s="355">
        <f ca="1">(F13-G13)/F13</f>
        <v>-0.21829922928516435</v>
      </c>
      <c r="I13" s="355">
        <f ca="1">(F13-J13)/F13</f>
        <v>-0.58941191759049139</v>
      </c>
      <c r="J13" s="164">
        <f ca="1">E13*DAY(B1)</f>
        <v>3180</v>
      </c>
      <c r="R13" s="328"/>
    </row>
    <row r="14" spans="1:23" ht="20.100000000000001" customHeight="1" x14ac:dyDescent="0.25">
      <c r="A14" s="170" t="s">
        <v>71</v>
      </c>
      <c r="B14" s="200">
        <f ca="1">VLOOKUP(B1,'Reading.4.25'!A5:EL35,11,FALSE)</f>
        <v>0</v>
      </c>
      <c r="C14" s="201">
        <f>'cost.4.25'!AJ8</f>
        <v>162.5</v>
      </c>
      <c r="D14" s="348">
        <f ca="1">B14-C14</f>
        <v>-162.5</v>
      </c>
      <c r="E14" s="200">
        <v>212</v>
      </c>
      <c r="F14" s="164">
        <f>'Reading.4.25'!K36</f>
        <v>830.904</v>
      </c>
      <c r="G14" s="333">
        <f ca="1">C14*DAY(B1)</f>
        <v>812.5</v>
      </c>
      <c r="H14" s="355">
        <f ca="1">(F14-G14)/F14</f>
        <v>2.2149369842966209E-2</v>
      </c>
      <c r="I14" s="355">
        <f ca="1">(F14-J14)/F14</f>
        <v>-0.27571897595871486</v>
      </c>
      <c r="J14" s="164">
        <f ca="1">E14*DAY(B1)</f>
        <v>1060</v>
      </c>
      <c r="R14" s="328"/>
    </row>
    <row r="15" spans="1:23" ht="6" customHeight="1" x14ac:dyDescent="0.25">
      <c r="A15" s="168"/>
      <c r="B15" s="321"/>
      <c r="C15" s="321"/>
      <c r="D15" s="350"/>
      <c r="E15" s="321"/>
      <c r="F15" s="169"/>
      <c r="G15" s="334"/>
      <c r="H15" s="354">
        <f t="shared" si="0"/>
        <v>0</v>
      </c>
      <c r="I15" s="354"/>
      <c r="J15" s="169"/>
    </row>
    <row r="16" spans="1:23" ht="20.100000000000001" customHeight="1" x14ac:dyDescent="0.25">
      <c r="A16" s="170" t="s">
        <v>72</v>
      </c>
      <c r="B16" s="200">
        <f ca="1">VLOOKUP(B1,'Reading.4.25'!A2:EL35,88,FALSE)</f>
        <v>0</v>
      </c>
      <c r="C16" s="201">
        <v>0</v>
      </c>
      <c r="D16" s="348">
        <f ca="1">B16-C16</f>
        <v>0</v>
      </c>
      <c r="E16" s="200">
        <v>0</v>
      </c>
      <c r="F16" s="164">
        <v>0</v>
      </c>
      <c r="G16" s="333">
        <v>0</v>
      </c>
      <c r="H16" s="353">
        <f t="shared" si="0"/>
        <v>0</v>
      </c>
      <c r="I16" s="353"/>
      <c r="J16" s="164">
        <v>0</v>
      </c>
      <c r="R16" s="297"/>
      <c r="S16" s="328"/>
      <c r="V16" s="43"/>
      <c r="W16" s="43"/>
    </row>
    <row r="17" spans="1:22" ht="20.100000000000001" customHeight="1" x14ac:dyDescent="0.25">
      <c r="A17" s="170" t="s">
        <v>120</v>
      </c>
      <c r="B17" s="200">
        <f ca="1">VLOOKUP(B1,'Reading.4.25'!A5:EL35,73,FALSE)</f>
        <v>0</v>
      </c>
      <c r="C17" s="200">
        <v>0</v>
      </c>
      <c r="D17" s="351">
        <f ca="1">-B17-C17</f>
        <v>0</v>
      </c>
      <c r="E17" s="200">
        <v>0</v>
      </c>
      <c r="F17" s="164">
        <f>'Reading.4.25'!BU36</f>
        <v>172</v>
      </c>
      <c r="G17" s="333">
        <v>0</v>
      </c>
      <c r="H17" s="353">
        <f t="shared" si="0"/>
        <v>172</v>
      </c>
      <c r="I17" s="353"/>
      <c r="J17" s="164">
        <v>0</v>
      </c>
      <c r="V17" s="43"/>
    </row>
    <row r="18" spans="1:22" ht="20.100000000000001" customHeight="1" x14ac:dyDescent="0.25">
      <c r="A18" s="170" t="s">
        <v>121</v>
      </c>
      <c r="B18" s="200">
        <f ca="1">VLOOKUP(B1,'Reading.4.25'!A5:EL35,69,FALSE)</f>
        <v>0</v>
      </c>
      <c r="C18" s="200">
        <v>0</v>
      </c>
      <c r="D18" s="351">
        <f ca="1">B18-C18</f>
        <v>0</v>
      </c>
      <c r="E18" s="200">
        <v>0</v>
      </c>
      <c r="F18" s="164">
        <f>'Reading.4.25'!BQ36</f>
        <v>140</v>
      </c>
      <c r="G18" s="333">
        <v>0</v>
      </c>
      <c r="H18" s="353">
        <f t="shared" si="0"/>
        <v>140</v>
      </c>
      <c r="I18" s="353"/>
      <c r="J18" s="164">
        <v>0</v>
      </c>
      <c r="R18" s="297"/>
    </row>
    <row r="19" spans="1:22" ht="20.100000000000001" customHeight="1" x14ac:dyDescent="0.25">
      <c r="A19" s="170" t="s">
        <v>73</v>
      </c>
      <c r="B19" s="200">
        <f ca="1">VLOOKUP(B1,'Reading.4.25'!A5:EL35,6,FALSE)</f>
        <v>0</v>
      </c>
      <c r="C19" s="200">
        <f>'cost.4.25'!W8</f>
        <v>493.48387096774195</v>
      </c>
      <c r="D19" s="351">
        <f ca="1">B19-C19</f>
        <v>-493.48387096774195</v>
      </c>
      <c r="E19" s="200">
        <v>656</v>
      </c>
      <c r="F19" s="164">
        <f>'cost.4.25'!V38</f>
        <v>2284</v>
      </c>
      <c r="G19" s="333">
        <f>'cost.4.25'!W38</f>
        <v>1480.4516129032259</v>
      </c>
      <c r="H19" s="355">
        <f>(F19-G19)/F19</f>
        <v>0.35181628156601319</v>
      </c>
      <c r="I19" s="355">
        <f ca="1">(F19-J19)/F19</f>
        <v>-0.43607705779334499</v>
      </c>
      <c r="J19" s="164">
        <f ca="1">E19*DAY(B1)</f>
        <v>3280</v>
      </c>
    </row>
    <row r="20" spans="1:22" ht="12" customHeight="1" x14ac:dyDescent="0.25">
      <c r="A20" s="161"/>
      <c r="B20" s="161"/>
      <c r="C20" s="161"/>
      <c r="D20" s="284"/>
      <c r="E20" s="161"/>
      <c r="F20" s="161"/>
      <c r="G20" s="330"/>
      <c r="H20" s="284"/>
      <c r="I20" s="284"/>
      <c r="J20" s="161"/>
      <c r="R20" s="279"/>
    </row>
    <row r="21" spans="1:22" ht="15.6" x14ac:dyDescent="0.25">
      <c r="A21" s="171" t="s">
        <v>76</v>
      </c>
      <c r="B21" s="270">
        <f ca="1">VLOOKUP(B1,'cost.4.25'!B8:BI37,56,FALSE)</f>
        <v>0</v>
      </c>
      <c r="C21" s="201">
        <f>'cost.4.25'!BD8</f>
        <v>71443.80860215053</v>
      </c>
      <c r="D21" s="348">
        <f ca="1">B21-C21</f>
        <v>-71443.80860215053</v>
      </c>
      <c r="E21" s="200">
        <f>(E10*1.94)+(E19*5.1)+((E13+E11)*4)</f>
        <v>82519.600000000006</v>
      </c>
      <c r="F21" s="269">
        <f>'cost.4.25'!BE38</f>
        <v>223030.77619998873</v>
      </c>
      <c r="G21" s="335">
        <f ca="1">C21*DAY(B1)</f>
        <v>357219.04301075265</v>
      </c>
      <c r="H21" s="355">
        <f ca="1">(F21-G21)/F21</f>
        <v>-0.60165807202517685</v>
      </c>
      <c r="I21" s="355">
        <f ca="1">(F21-J21)/F21</f>
        <v>-0.88798159238088725</v>
      </c>
      <c r="J21" s="203">
        <f ca="1">+(J10*1.94)+((J13+J14)*5)+(J19*5.1)</f>
        <v>421078</v>
      </c>
      <c r="R21" s="279"/>
      <c r="S21" s="279"/>
    </row>
    <row r="22" spans="1:22" ht="15.6" x14ac:dyDescent="0.25">
      <c r="A22" s="171" t="s">
        <v>77</v>
      </c>
      <c r="B22" s="241" t="e">
        <f t="shared" ref="B22:F22" ca="1" si="1">B21/B7</f>
        <v>#DIV/0!</v>
      </c>
      <c r="C22" s="202">
        <f t="shared" si="1"/>
        <v>208.96112489660877</v>
      </c>
      <c r="D22" s="352" t="e">
        <f ca="1">B22-C22</f>
        <v>#DIV/0!</v>
      </c>
      <c r="E22" s="202">
        <f>E21/E7</f>
        <v>191.32761418965919</v>
      </c>
      <c r="F22" s="242">
        <f t="shared" si="1"/>
        <v>163.25769386627303</v>
      </c>
      <c r="G22" s="336">
        <f ca="1">G21/G7</f>
        <v>208.96112489660874</v>
      </c>
      <c r="H22" s="355">
        <f ca="1">(F22-G22)/F22</f>
        <v>-0.27994656758885811</v>
      </c>
      <c r="I22" s="355">
        <f ca="1">(F22-J22)/F22</f>
        <v>-0.19602272499459428</v>
      </c>
      <c r="J22" s="204">
        <f ca="1">J21/J7</f>
        <v>195.25991189427313</v>
      </c>
      <c r="K22" s="43"/>
      <c r="R22" s="297"/>
      <c r="S22" s="279"/>
      <c r="T22" s="279"/>
    </row>
    <row r="23" spans="1:22" ht="15.6" x14ac:dyDescent="0.25">
      <c r="A23" s="171" t="s">
        <v>158</v>
      </c>
      <c r="B23" s="241">
        <f ca="1">B21/526</f>
        <v>0</v>
      </c>
      <c r="C23" s="202">
        <f>C21/526</f>
        <v>135.82473118279569</v>
      </c>
      <c r="D23" s="352">
        <f ca="1">B23-C23</f>
        <v>-135.82473118279569</v>
      </c>
      <c r="E23" s="202">
        <f>E21/526</f>
        <v>156.8813688212928</v>
      </c>
      <c r="F23" s="242">
        <f ca="1">F21/(526*DAY(B1))</f>
        <v>84.802576501896851</v>
      </c>
      <c r="G23" s="336">
        <f ca="1">G21/(DAY(B1)*526)</f>
        <v>135.82473118279569</v>
      </c>
      <c r="H23" s="355">
        <f ca="1">(F23-G23)/F23</f>
        <v>-0.60165807202517696</v>
      </c>
      <c r="I23" s="355">
        <f ca="1">(F23-J23)/F23</f>
        <v>-0.88798159238088736</v>
      </c>
      <c r="J23" s="204">
        <f ca="1">J21/(526*DAY(B1))</f>
        <v>160.10570342205324</v>
      </c>
      <c r="K23" s="43"/>
      <c r="R23" s="328"/>
      <c r="U23" s="279"/>
    </row>
    <row r="24" spans="1:22" ht="7.5" customHeight="1" x14ac:dyDescent="0.25">
      <c r="A24" s="43"/>
      <c r="B24" s="43"/>
      <c r="C24" s="43"/>
      <c r="D24" s="43"/>
      <c r="E24" s="43"/>
      <c r="F24" s="43"/>
      <c r="G24" s="337"/>
      <c r="H24" s="337"/>
      <c r="I24" s="337"/>
      <c r="J24" s="43"/>
      <c r="K24" s="43"/>
    </row>
    <row r="25" spans="1:22" ht="9.75" customHeight="1" x14ac:dyDescent="0.25">
      <c r="A25" s="293"/>
      <c r="B25" s="294"/>
      <c r="C25" s="295"/>
      <c r="D25" s="295"/>
      <c r="E25" s="295"/>
      <c r="F25" s="294"/>
      <c r="G25" s="338"/>
      <c r="H25" s="338"/>
      <c r="I25" s="338"/>
      <c r="J25" s="295"/>
      <c r="K25" s="296"/>
      <c r="L25" s="297"/>
      <c r="M25" s="297"/>
    </row>
    <row r="26" spans="1:22" x14ac:dyDescent="0.25">
      <c r="A26" s="161"/>
      <c r="B26" s="161"/>
      <c r="C26" s="161"/>
      <c r="D26" s="161"/>
      <c r="E26" s="161"/>
      <c r="F26" s="161"/>
      <c r="G26" s="330"/>
      <c r="H26" s="330"/>
      <c r="I26" s="330"/>
      <c r="J26" s="161"/>
    </row>
    <row r="27" spans="1:22" x14ac:dyDescent="0.25">
      <c r="A27" s="161"/>
      <c r="B27" s="161"/>
      <c r="C27" s="161"/>
      <c r="D27" s="161"/>
      <c r="E27" s="161"/>
      <c r="F27" s="161"/>
      <c r="G27" s="330"/>
      <c r="H27" s="330"/>
      <c r="I27" s="330"/>
      <c r="J27" s="161"/>
      <c r="S27" s="279"/>
    </row>
    <row r="28" spans="1:22" x14ac:dyDescent="0.25">
      <c r="A28" s="161"/>
      <c r="B28" s="161"/>
      <c r="C28" s="161"/>
      <c r="D28" s="161"/>
      <c r="E28" s="161"/>
      <c r="F28" s="161"/>
      <c r="G28" s="330"/>
      <c r="H28" s="330"/>
      <c r="I28" s="330"/>
      <c r="J28" s="161"/>
      <c r="S28" s="279"/>
      <c r="T28" s="279"/>
    </row>
    <row r="29" spans="1:22" x14ac:dyDescent="0.25">
      <c r="A29" s="161"/>
      <c r="B29" s="161"/>
      <c r="C29" s="161"/>
      <c r="D29" s="161"/>
      <c r="E29" s="161"/>
      <c r="F29" s="161"/>
      <c r="G29" s="330"/>
      <c r="H29" s="330"/>
      <c r="I29" s="330"/>
      <c r="J29" s="161"/>
      <c r="T29" s="279"/>
    </row>
    <row r="30" spans="1:22" x14ac:dyDescent="0.25">
      <c r="A30" s="161"/>
      <c r="B30" s="161"/>
      <c r="C30" s="161"/>
      <c r="D30" s="161"/>
      <c r="E30" s="161"/>
      <c r="F30" s="161"/>
      <c r="G30" s="330"/>
      <c r="H30" s="330"/>
      <c r="I30" s="330"/>
      <c r="J30" s="161"/>
      <c r="T30" s="279"/>
    </row>
    <row r="31" spans="1:22" x14ac:dyDescent="0.25">
      <c r="A31" s="161"/>
      <c r="B31" s="161"/>
      <c r="C31" s="161"/>
      <c r="D31" s="161"/>
      <c r="E31" s="161"/>
      <c r="F31" s="161"/>
      <c r="G31" s="330"/>
      <c r="H31" s="330"/>
      <c r="I31" s="330"/>
      <c r="J31" s="161"/>
    </row>
    <row r="32" spans="1:22" x14ac:dyDescent="0.25">
      <c r="A32" s="161"/>
      <c r="B32" s="161"/>
      <c r="C32" s="161"/>
      <c r="D32" s="161"/>
      <c r="E32" s="161"/>
      <c r="F32" s="161"/>
      <c r="G32" s="330"/>
      <c r="H32" s="330"/>
      <c r="I32" s="330"/>
      <c r="J32" s="161"/>
      <c r="U32" s="279"/>
    </row>
    <row r="33" spans="1:20" x14ac:dyDescent="0.25">
      <c r="A33" s="161"/>
      <c r="B33" s="161"/>
      <c r="C33" s="161"/>
      <c r="D33" s="161"/>
      <c r="E33" s="161"/>
      <c r="F33" s="161"/>
      <c r="G33" s="330"/>
      <c r="H33" s="330"/>
      <c r="I33" s="330"/>
      <c r="J33" s="161"/>
      <c r="T33" s="279"/>
    </row>
    <row r="34" spans="1:20" x14ac:dyDescent="0.25">
      <c r="A34" s="161"/>
      <c r="B34" s="161"/>
      <c r="C34" s="161"/>
      <c r="D34" s="161"/>
      <c r="E34" s="161"/>
      <c r="F34" s="161"/>
      <c r="G34" s="330"/>
      <c r="H34" s="330"/>
      <c r="I34" s="330"/>
      <c r="J34" s="161"/>
    </row>
    <row r="35" spans="1:20" x14ac:dyDescent="0.25">
      <c r="A35" s="161"/>
      <c r="B35" s="161"/>
      <c r="C35" s="161"/>
      <c r="D35" s="161"/>
      <c r="E35" s="161"/>
      <c r="F35" s="161"/>
      <c r="G35" s="330"/>
      <c r="H35" s="330"/>
      <c r="I35" s="330"/>
      <c r="J35" s="161"/>
    </row>
    <row r="39" spans="1:20" x14ac:dyDescent="0.25">
      <c r="T39" s="328"/>
    </row>
    <row r="45" spans="1:20" ht="18.75" customHeight="1" x14ac:dyDescent="0.25">
      <c r="A45" s="573" t="s">
        <v>91</v>
      </c>
      <c r="B45" s="573"/>
      <c r="C45" s="199"/>
      <c r="D45" s="199"/>
      <c r="E45" s="573" t="s">
        <v>281</v>
      </c>
      <c r="F45" s="573"/>
      <c r="G45" s="573"/>
      <c r="H45" s="573"/>
      <c r="I45" s="573"/>
      <c r="L45" s="573" t="s">
        <v>89</v>
      </c>
      <c r="M45" s="573"/>
      <c r="N45" s="573"/>
      <c r="O45" s="573"/>
    </row>
    <row r="46" spans="1:20" s="161" customFormat="1" ht="24" customHeight="1" thickBot="1" x14ac:dyDescent="0.3">
      <c r="A46" s="340"/>
      <c r="B46" s="340"/>
      <c r="C46" s="341"/>
      <c r="D46" s="341"/>
      <c r="E46" s="571" t="s">
        <v>88</v>
      </c>
      <c r="F46" s="571"/>
      <c r="G46" s="571"/>
      <c r="H46" s="343"/>
      <c r="I46" s="343"/>
      <c r="L46" s="571" t="s">
        <v>90</v>
      </c>
      <c r="M46" s="571"/>
      <c r="N46" s="571"/>
      <c r="O46" s="571"/>
    </row>
    <row r="47" spans="1:20" x14ac:dyDescent="0.25">
      <c r="A47" s="574" t="s">
        <v>98</v>
      </c>
      <c r="B47" s="561" t="s">
        <v>68</v>
      </c>
      <c r="C47" s="572"/>
      <c r="D47" s="347"/>
      <c r="E47" s="238" t="s">
        <v>96</v>
      </c>
      <c r="F47" s="237" t="s">
        <v>18</v>
      </c>
      <c r="G47" s="339"/>
      <c r="H47" s="565" t="s">
        <v>164</v>
      </c>
      <c r="I47" s="546" t="s">
        <v>68</v>
      </c>
      <c r="J47" s="547" t="s">
        <v>166</v>
      </c>
      <c r="K47" s="547" t="s">
        <v>167</v>
      </c>
      <c r="L47" s="548" t="s">
        <v>172</v>
      </c>
      <c r="M47" s="548" t="s">
        <v>173</v>
      </c>
      <c r="N47" s="545" t="s">
        <v>178</v>
      </c>
      <c r="O47" s="545" t="s">
        <v>175</v>
      </c>
      <c r="P47" s="548" t="s">
        <v>176</v>
      </c>
      <c r="Q47" s="548" t="s">
        <v>179</v>
      </c>
      <c r="R47" s="548" t="s">
        <v>180</v>
      </c>
    </row>
    <row r="48" spans="1:20" x14ac:dyDescent="0.25">
      <c r="A48" s="575"/>
      <c r="B48" s="211" t="s">
        <v>69</v>
      </c>
      <c r="C48" s="213" t="s">
        <v>100</v>
      </c>
      <c r="D48" s="213"/>
      <c r="E48" s="214" t="s">
        <v>97</v>
      </c>
      <c r="F48" s="214" t="s">
        <v>97</v>
      </c>
      <c r="G48" s="339"/>
      <c r="H48" s="565"/>
      <c r="I48" s="558" t="e">
        <f ca="1">B10/B7</f>
        <v>#DIV/0!</v>
      </c>
      <c r="J48" s="558">
        <f>F10/F7</f>
        <v>75.849452378954311</v>
      </c>
      <c r="K48" s="558">
        <f>C10/C7</f>
        <v>77.667544116213321</v>
      </c>
      <c r="L48" s="557">
        <f>'cost.4.25'!M38</f>
        <v>200595.99999998871</v>
      </c>
      <c r="M48" s="557">
        <f>'cost.4.25'!K38</f>
        <v>198281.89999999997</v>
      </c>
      <c r="N48" s="557">
        <f>L48-M48</f>
        <v>2314.0999999887426</v>
      </c>
      <c r="O48" s="554">
        <f>(L48/M48)-1</f>
        <v>1.1670757643480023E-2</v>
      </c>
      <c r="P48" s="557">
        <f ca="1">J10*1.94</f>
        <v>383150</v>
      </c>
      <c r="Q48" s="578">
        <f ca="1">L48-P48</f>
        <v>-182554.00000001129</v>
      </c>
      <c r="R48" s="554">
        <f ca="1">(L48/P48)-1</f>
        <v>-0.47645569620256112</v>
      </c>
    </row>
    <row r="49" spans="1:18" ht="13.8" thickBot="1" x14ac:dyDescent="0.3">
      <c r="A49" s="576"/>
      <c r="B49" s="268">
        <f>'Reading.4.25'!AQ36</f>
        <v>1332</v>
      </c>
      <c r="C49" s="235">
        <f>'Reading.4.25'!AQ37</f>
        <v>2216</v>
      </c>
      <c r="D49" s="235"/>
      <c r="E49" s="215">
        <v>2180</v>
      </c>
      <c r="F49" s="215">
        <v>2120</v>
      </c>
      <c r="G49" s="339"/>
      <c r="H49" s="565"/>
      <c r="I49" s="558"/>
      <c r="J49" s="558"/>
      <c r="K49" s="558"/>
      <c r="L49" s="557"/>
      <c r="M49" s="557"/>
      <c r="N49" s="558"/>
      <c r="O49" s="554"/>
      <c r="P49" s="557"/>
      <c r="Q49" s="578"/>
      <c r="R49" s="554"/>
    </row>
    <row r="50" spans="1:18" ht="13.8" thickBot="1" x14ac:dyDescent="0.3"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18" x14ac:dyDescent="0.25">
      <c r="A51" s="559" t="s">
        <v>95</v>
      </c>
      <c r="B51" s="561" t="s">
        <v>68</v>
      </c>
      <c r="C51" s="562"/>
      <c r="D51" s="347"/>
      <c r="E51" s="563" t="s">
        <v>70</v>
      </c>
      <c r="F51" s="564"/>
      <c r="H51" s="565" t="s">
        <v>165</v>
      </c>
      <c r="I51" s="546" t="s">
        <v>68</v>
      </c>
      <c r="J51" s="547" t="s">
        <v>166</v>
      </c>
      <c r="K51" s="547" t="s">
        <v>167</v>
      </c>
      <c r="L51" s="548" t="s">
        <v>172</v>
      </c>
      <c r="M51" s="548" t="s">
        <v>173</v>
      </c>
      <c r="N51" s="545" t="s">
        <v>174</v>
      </c>
      <c r="O51" s="545" t="s">
        <v>117</v>
      </c>
      <c r="P51" s="548" t="s">
        <v>177</v>
      </c>
      <c r="Q51" s="548" t="s">
        <v>179</v>
      </c>
      <c r="R51" s="548" t="s">
        <v>181</v>
      </c>
    </row>
    <row r="52" spans="1:18" x14ac:dyDescent="0.25">
      <c r="A52" s="560"/>
      <c r="B52" s="211" t="s">
        <v>69</v>
      </c>
      <c r="C52" s="212" t="s">
        <v>94</v>
      </c>
      <c r="D52" s="344"/>
      <c r="E52" s="356" t="s">
        <v>69</v>
      </c>
      <c r="F52" s="212" t="s">
        <v>18</v>
      </c>
      <c r="H52" s="565"/>
      <c r="I52" s="558" t="e">
        <f ca="1">B19/B7</f>
        <v>#DIV/0!</v>
      </c>
      <c r="J52" s="558">
        <f>F19/F7</f>
        <v>1.6718794560272281</v>
      </c>
      <c r="K52" s="558">
        <f>C19/C7</f>
        <v>1.443357329534197</v>
      </c>
      <c r="L52" s="557">
        <f>'cost.4.25'!Z38</f>
        <v>11648.4</v>
      </c>
      <c r="M52" s="557">
        <f>'cost.4.25'!X38</f>
        <v>8067.2999999999993</v>
      </c>
      <c r="N52" s="557">
        <f>L52-M52</f>
        <v>3581.1000000000004</v>
      </c>
      <c r="O52" s="554">
        <f>(L52/M52)-1</f>
        <v>0.44390316462757062</v>
      </c>
      <c r="P52" s="557">
        <f ca="1">J19*5.1</f>
        <v>16728</v>
      </c>
      <c r="Q52" s="578">
        <f ca="1">L52-P52</f>
        <v>-5079.6000000000004</v>
      </c>
      <c r="R52" s="554">
        <f ca="1">(L52/P52)-1</f>
        <v>-0.3036585365853659</v>
      </c>
    </row>
    <row r="53" spans="1:18" ht="13.5" customHeight="1" x14ac:dyDescent="0.25">
      <c r="A53" s="560"/>
      <c r="B53" s="225">
        <f ca="1">VLOOKUP(B1,'Reading.4.25'!A5:EL35,55,FALSE)</f>
        <v>0</v>
      </c>
      <c r="C53" s="226">
        <f ca="1">VLOOKUP(B1,'Reading.4.25'!A5:EL35,59,FALSE)</f>
        <v>0</v>
      </c>
      <c r="D53" s="345"/>
      <c r="E53" s="357">
        <f>'Reading.4.25'!BC36</f>
        <v>16</v>
      </c>
      <c r="F53" s="227">
        <f>'Reading.4.25'!BG36</f>
        <v>80</v>
      </c>
      <c r="H53" s="565"/>
      <c r="I53" s="558"/>
      <c r="J53" s="558"/>
      <c r="K53" s="558"/>
      <c r="L53" s="557"/>
      <c r="M53" s="557"/>
      <c r="N53" s="558"/>
      <c r="O53" s="554"/>
      <c r="P53" s="557"/>
      <c r="Q53" s="578"/>
      <c r="R53" s="554"/>
    </row>
    <row r="54" spans="1:18" ht="21.75" customHeight="1" thickBot="1" x14ac:dyDescent="0.3">
      <c r="A54" s="230" t="s">
        <v>109</v>
      </c>
      <c r="B54" s="233">
        <f ca="1">VLOOKUP(B1,'Reading.4.25'!A5:EL35,58,FALSE)</f>
        <v>0</v>
      </c>
      <c r="C54" s="234">
        <v>60</v>
      </c>
      <c r="D54" s="346"/>
      <c r="E54" s="358">
        <f>'Reading.4.25'!BF36</f>
        <v>25</v>
      </c>
      <c r="F54" s="312">
        <f ca="1">VLOOKUP(B1,'Reading.4.25'!A5:EL35,62,FALSE)</f>
        <v>0</v>
      </c>
      <c r="H54" s="522" t="s">
        <v>279</v>
      </c>
      <c r="I54" s="545" t="s">
        <v>280</v>
      </c>
      <c r="J54" s="545" t="s">
        <v>174</v>
      </c>
      <c r="K54" s="545" t="s">
        <v>117</v>
      </c>
      <c r="O54" s="33"/>
      <c r="P54" s="577" t="s">
        <v>270</v>
      </c>
      <c r="Q54" s="577"/>
      <c r="R54" s="494">
        <f ca="1">VLOOKUP(B1,'Reading.4.25'!A5:EL35,3,FALSE)</f>
        <v>0</v>
      </c>
    </row>
    <row r="55" spans="1:18" ht="15.75" customHeight="1" x14ac:dyDescent="0.25">
      <c r="H55" s="550">
        <f>+F21</f>
        <v>223030.77619998873</v>
      </c>
      <c r="I55" s="552">
        <f ca="1">+J21</f>
        <v>421078</v>
      </c>
      <c r="J55" s="555">
        <f ca="1">+H55-I55</f>
        <v>-198047.22380001127</v>
      </c>
      <c r="K55" s="554">
        <f ca="1">+(H55/I55)-1</f>
        <v>-0.47033381891243731</v>
      </c>
      <c r="O55" s="33"/>
      <c r="P55" s="577" t="s">
        <v>271</v>
      </c>
      <c r="Q55" s="577"/>
      <c r="R55" s="495">
        <f ca="1">+B19</f>
        <v>0</v>
      </c>
    </row>
    <row r="56" spans="1:18" ht="17.25" customHeight="1" x14ac:dyDescent="0.25">
      <c r="A56" s="205" t="s">
        <v>92</v>
      </c>
      <c r="H56" s="551"/>
      <c r="I56" s="553"/>
      <c r="J56" s="556"/>
      <c r="K56" s="554"/>
      <c r="O56" s="33"/>
      <c r="P56" s="577" t="s">
        <v>272</v>
      </c>
      <c r="Q56" s="577"/>
      <c r="R56" s="495">
        <f ca="1">+R54-R55</f>
        <v>0</v>
      </c>
    </row>
    <row r="57" spans="1:18" ht="22.5" customHeight="1" x14ac:dyDescent="0.25">
      <c r="A57" s="43"/>
    </row>
    <row r="58" spans="1:18" ht="22.5" customHeight="1" x14ac:dyDescent="0.25"/>
    <row r="59" spans="1:18" x14ac:dyDescent="0.25">
      <c r="A59" s="43"/>
    </row>
    <row r="60" spans="1:18" x14ac:dyDescent="0.25">
      <c r="A60" s="43"/>
    </row>
  </sheetData>
  <mergeCells count="42">
    <mergeCell ref="P54:Q54"/>
    <mergeCell ref="P55:Q55"/>
    <mergeCell ref="P56:Q56"/>
    <mergeCell ref="R48:R49"/>
    <mergeCell ref="R52:R53"/>
    <mergeCell ref="P48:P49"/>
    <mergeCell ref="Q48:Q49"/>
    <mergeCell ref="P52:P53"/>
    <mergeCell ref="Q52:Q53"/>
    <mergeCell ref="B1:C1"/>
    <mergeCell ref="F4:J4"/>
    <mergeCell ref="B4:E4"/>
    <mergeCell ref="L46:O46"/>
    <mergeCell ref="B47:C47"/>
    <mergeCell ref="L45:O45"/>
    <mergeCell ref="A45:B45"/>
    <mergeCell ref="E46:G46"/>
    <mergeCell ref="A47:A49"/>
    <mergeCell ref="H47:H49"/>
    <mergeCell ref="L48:L49"/>
    <mergeCell ref="K48:K49"/>
    <mergeCell ref="J48:J49"/>
    <mergeCell ref="I48:I49"/>
    <mergeCell ref="N48:N49"/>
    <mergeCell ref="E45:I45"/>
    <mergeCell ref="O48:O49"/>
    <mergeCell ref="O52:O53"/>
    <mergeCell ref="M52:M53"/>
    <mergeCell ref="M48:M49"/>
    <mergeCell ref="A51:A53"/>
    <mergeCell ref="B51:C51"/>
    <mergeCell ref="E51:F51"/>
    <mergeCell ref="L52:L53"/>
    <mergeCell ref="K52:K53"/>
    <mergeCell ref="H51:H53"/>
    <mergeCell ref="I52:I53"/>
    <mergeCell ref="J52:J53"/>
    <mergeCell ref="H55:H56"/>
    <mergeCell ref="I55:I56"/>
    <mergeCell ref="K55:K56"/>
    <mergeCell ref="J55:J56"/>
    <mergeCell ref="N52:N53"/>
  </mergeCells>
  <printOptions horizontalCentered="1" verticalCentered="1"/>
  <pageMargins left="0.43307086614173229" right="0.35433070866141736" top="0.86614173228346458" bottom="0.6692913385826772" header="0.31496062992125984" footer="0.31496062992125984"/>
  <pageSetup paperSize="9"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FA150"/>
  <sheetViews>
    <sheetView topLeftCell="D1" zoomScale="112" zoomScaleNormal="112" workbookViewId="0">
      <selection activeCell="Y10" sqref="Y10"/>
    </sheetView>
  </sheetViews>
  <sheetFormatPr defaultRowHeight="13.2" x14ac:dyDescent="0.25"/>
  <cols>
    <col min="1" max="1" width="11.88671875" customWidth="1"/>
    <col min="4" max="4" width="6.5546875" customWidth="1"/>
    <col min="5" max="5" width="7.44140625" customWidth="1"/>
    <col min="6" max="6" width="10.109375" style="343" customWidth="1"/>
    <col min="7" max="7" width="11.33203125" customWidth="1"/>
    <col min="8" max="8" width="9.33203125" bestFit="1" customWidth="1"/>
    <col min="9" max="9" width="1.33203125" customWidth="1"/>
    <col min="10" max="10" width="9" customWidth="1"/>
    <col min="11" max="11" width="11.33203125" style="56" customWidth="1"/>
    <col min="12" max="12" width="9.33203125" style="56" bestFit="1" customWidth="1"/>
    <col min="13" max="13" width="1.33203125" customWidth="1"/>
    <col min="14" max="14" width="16.33203125" customWidth="1"/>
    <col min="15" max="15" width="10.88671875" style="56" bestFit="1" customWidth="1"/>
    <col min="16" max="16" width="8.33203125" style="56" customWidth="1"/>
    <col min="17" max="17" width="1.33203125" customWidth="1"/>
    <col min="19" max="19" width="6.44140625" customWidth="1"/>
    <col min="20" max="20" width="10.6640625" customWidth="1"/>
    <col min="21" max="21" width="8.88671875" customWidth="1"/>
    <col min="22" max="22" width="1.33203125" customWidth="1"/>
    <col min="23" max="23" width="10.44140625" bestFit="1" customWidth="1"/>
    <col min="24" max="24" width="12.5546875" customWidth="1"/>
    <col min="25" max="25" width="10.6640625" customWidth="1"/>
    <col min="26" max="26" width="1.44140625" customWidth="1"/>
    <col min="27" max="27" width="11.88671875" bestFit="1" customWidth="1"/>
    <col min="28" max="29" width="10" customWidth="1"/>
    <col min="30" max="30" width="1.33203125" customWidth="1"/>
    <col min="31" max="31" width="12.33203125" bestFit="1" customWidth="1"/>
    <col min="32" max="32" width="12.33203125" customWidth="1"/>
    <col min="33" max="33" width="11.33203125" customWidth="1"/>
    <col min="34" max="34" width="1.109375" customWidth="1"/>
    <col min="35" max="35" width="8.88671875" customWidth="1"/>
    <col min="36" max="36" width="8.109375" customWidth="1"/>
    <col min="37" max="37" width="8.33203125" customWidth="1"/>
    <col min="38" max="38" width="1.109375" customWidth="1"/>
    <col min="39" max="39" width="10.5546875" customWidth="1"/>
    <col min="40" max="40" width="8.109375" customWidth="1"/>
    <col min="41" max="41" width="8.6640625" customWidth="1"/>
    <col min="42" max="42" width="1.109375" customWidth="1"/>
    <col min="43" max="43" width="9.109375" customWidth="1"/>
    <col min="44" max="44" width="13.33203125" bestFit="1" customWidth="1"/>
    <col min="45" max="45" width="1.33203125" customWidth="1"/>
    <col min="46" max="46" width="9.109375" customWidth="1"/>
    <col min="47" max="47" width="9" customWidth="1"/>
    <col min="48" max="48" width="7.109375" customWidth="1"/>
    <col min="49" max="49" width="1.33203125" customWidth="1"/>
    <col min="50" max="50" width="4.44140625" customWidth="1"/>
    <col min="51" max="51" width="12.88671875" bestFit="1" customWidth="1"/>
    <col min="52" max="52" width="11.44140625" bestFit="1" customWidth="1"/>
    <col min="53" max="53" width="12.88671875" bestFit="1" customWidth="1"/>
    <col min="54" max="54" width="1.5546875" customWidth="1"/>
    <col min="55" max="55" width="7" bestFit="1" customWidth="1"/>
    <col min="56" max="57" width="6.6640625" customWidth="1"/>
    <col min="58" max="58" width="7.5546875" customWidth="1"/>
    <col min="59" max="59" width="7" bestFit="1" customWidth="1"/>
    <col min="60" max="61" width="6.6640625" customWidth="1"/>
    <col min="62" max="62" width="8.5546875" customWidth="1"/>
    <col min="63" max="63" width="2.5546875" customWidth="1"/>
    <col min="64" max="64" width="10" style="150" customWidth="1"/>
    <col min="65" max="65" width="5.88671875" customWidth="1"/>
    <col min="66" max="66" width="9.109375" style="158"/>
    <col min="67" max="67" width="2" customWidth="1"/>
    <col min="69" max="70" width="12.5546875" customWidth="1"/>
    <col min="71" max="71" width="2" customWidth="1"/>
    <col min="73" max="74" width="12.5546875" customWidth="1"/>
    <col min="75" max="75" width="2" customWidth="1"/>
    <col min="77" max="77" width="12.5546875" customWidth="1"/>
    <col min="78" max="78" width="12" customWidth="1"/>
    <col min="79" max="79" width="2" customWidth="1"/>
    <col min="80" max="80" width="10.109375" bestFit="1" customWidth="1"/>
    <col min="81" max="82" width="11.88671875" customWidth="1"/>
    <col min="83" max="83" width="2" customWidth="1"/>
    <col min="85" max="86" width="11.88671875" customWidth="1"/>
    <col min="88" max="89" width="11.88671875" customWidth="1"/>
    <col min="90" max="90" width="4.109375" customWidth="1"/>
    <col min="91" max="92" width="10.33203125" customWidth="1"/>
    <col min="93" max="93" width="3.5546875" customWidth="1"/>
    <col min="95" max="95" width="13.5546875" customWidth="1"/>
    <col min="96" max="96" width="10.109375" customWidth="1"/>
    <col min="97" max="97" width="15.5546875" customWidth="1"/>
    <col min="99" max="99" width="3.6640625" customWidth="1"/>
    <col min="101" max="102" width="9.109375" customWidth="1"/>
    <col min="103" max="103" width="3.6640625" customWidth="1"/>
    <col min="105" max="106" width="9.109375" customWidth="1"/>
    <col min="107" max="107" width="3.6640625" customWidth="1"/>
    <col min="111" max="111" width="3.6640625" customWidth="1"/>
    <col min="115" max="115" width="3.6640625" customWidth="1"/>
    <col min="119" max="119" width="3.6640625" customWidth="1"/>
    <col min="120" max="122" width="9.109375"/>
    <col min="123" max="123" width="3.6640625" customWidth="1"/>
    <col min="124" max="124" width="10" bestFit="1" customWidth="1"/>
    <col min="125" max="126" width="9.109375"/>
    <col min="127" max="127" width="3.6640625" customWidth="1"/>
    <col min="128" max="128" width="9.109375"/>
    <col min="129" max="129" width="3.6640625" customWidth="1"/>
    <col min="130" max="131" width="9.109375"/>
    <col min="132" max="132" width="3.6640625" customWidth="1"/>
    <col min="135" max="135" width="3.44140625" customWidth="1"/>
    <col min="136" max="138" width="9.109375"/>
    <col min="139" max="139" width="3.44140625" customWidth="1"/>
    <col min="140" max="142" width="9.109375"/>
    <col min="143" max="143" width="3.44140625" customWidth="1"/>
    <col min="144" max="144" width="9.109375" style="150"/>
    <col min="148" max="148" width="3.44140625" customWidth="1"/>
    <col min="149" max="149" width="13.33203125" style="150" bestFit="1" customWidth="1"/>
    <col min="150" max="150" width="14.44140625" style="150" customWidth="1"/>
  </cols>
  <sheetData>
    <row r="1" spans="1:157" ht="16.95" customHeight="1" thickBot="1" x14ac:dyDescent="0.3">
      <c r="A1">
        <v>1</v>
      </c>
      <c r="B1">
        <v>2</v>
      </c>
      <c r="C1">
        <v>3</v>
      </c>
      <c r="D1">
        <v>4</v>
      </c>
      <c r="E1">
        <v>5</v>
      </c>
      <c r="F1" s="343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</row>
    <row r="2" spans="1:157" ht="14.25" customHeight="1" thickTop="1" thickBot="1" x14ac:dyDescent="0.3">
      <c r="A2" s="36"/>
      <c r="B2" s="597" t="s">
        <v>1</v>
      </c>
      <c r="C2" s="597"/>
      <c r="D2" s="597"/>
      <c r="E2" s="597"/>
      <c r="F2" s="597"/>
      <c r="G2" s="597"/>
      <c r="H2" s="597"/>
      <c r="I2" s="40"/>
      <c r="J2" s="597" t="s">
        <v>20</v>
      </c>
      <c r="K2" s="597"/>
      <c r="L2" s="597"/>
      <c r="M2" s="42"/>
      <c r="N2" s="597" t="s">
        <v>171</v>
      </c>
      <c r="O2" s="597"/>
      <c r="P2" s="597"/>
      <c r="Q2" s="41"/>
      <c r="R2" s="597" t="s">
        <v>2</v>
      </c>
      <c r="S2" s="597"/>
      <c r="T2" s="597"/>
      <c r="U2" s="597"/>
      <c r="V2" s="34"/>
      <c r="W2" s="604" t="s">
        <v>3</v>
      </c>
      <c r="X2" s="605"/>
      <c r="Y2" s="606"/>
      <c r="Z2" s="34"/>
      <c r="AA2" s="604" t="s">
        <v>14</v>
      </c>
      <c r="AB2" s="605"/>
      <c r="AC2" s="606"/>
      <c r="AD2" s="34"/>
      <c r="AE2" s="597" t="s">
        <v>38</v>
      </c>
      <c r="AF2" s="597"/>
      <c r="AG2" s="597"/>
      <c r="AH2" s="34"/>
      <c r="AI2" s="604" t="s">
        <v>41</v>
      </c>
      <c r="AJ2" s="605"/>
      <c r="AK2" s="606"/>
      <c r="AL2" s="34"/>
      <c r="AM2" s="604" t="s">
        <v>36</v>
      </c>
      <c r="AN2" s="605"/>
      <c r="AO2" s="606"/>
      <c r="AP2" s="34"/>
      <c r="AQ2" s="597" t="s">
        <v>40</v>
      </c>
      <c r="AR2" s="597"/>
      <c r="AS2" s="35"/>
      <c r="AT2" s="597" t="s">
        <v>61</v>
      </c>
      <c r="AU2" s="597"/>
      <c r="AV2" s="597"/>
      <c r="AW2" s="35"/>
      <c r="AX2" s="120"/>
      <c r="AY2" s="601" t="s">
        <v>19</v>
      </c>
      <c r="AZ2" s="602"/>
      <c r="BA2" s="603"/>
      <c r="BC2" s="593" t="s">
        <v>35</v>
      </c>
      <c r="BD2" s="594"/>
      <c r="BE2" s="594"/>
      <c r="BF2" s="594"/>
      <c r="BG2" s="594"/>
      <c r="BH2" s="594"/>
      <c r="BI2" s="594"/>
      <c r="BJ2" s="595"/>
      <c r="BL2" s="583" t="s">
        <v>60</v>
      </c>
      <c r="BN2" s="589" t="s">
        <v>113</v>
      </c>
      <c r="BP2" s="579" t="s">
        <v>102</v>
      </c>
      <c r="BQ2" s="579"/>
      <c r="BR2" s="579"/>
      <c r="BT2" s="579" t="s">
        <v>105</v>
      </c>
      <c r="BU2" s="579"/>
      <c r="BV2" s="579"/>
      <c r="BX2" s="579" t="s">
        <v>106</v>
      </c>
      <c r="BY2" s="579"/>
      <c r="BZ2" s="579"/>
      <c r="CB2" s="579" t="s">
        <v>108</v>
      </c>
      <c r="CC2" s="579"/>
      <c r="CD2" s="579"/>
      <c r="CF2" s="579" t="s">
        <v>170</v>
      </c>
      <c r="CG2" s="579"/>
      <c r="CH2" s="579"/>
      <c r="CI2" s="579" t="s">
        <v>162</v>
      </c>
      <c r="CJ2" s="579"/>
      <c r="CK2" s="579"/>
      <c r="CM2" s="246" t="s">
        <v>111</v>
      </c>
      <c r="CN2" s="244"/>
      <c r="CP2" s="586" t="s">
        <v>114</v>
      </c>
      <c r="CQ2" s="587"/>
      <c r="CR2" s="587"/>
      <c r="CS2" s="587"/>
      <c r="CT2" s="587"/>
      <c r="CV2" s="579" t="s">
        <v>118</v>
      </c>
      <c r="CW2" s="579"/>
      <c r="CX2" s="579"/>
      <c r="CZ2" s="579" t="s">
        <v>119</v>
      </c>
      <c r="DA2" s="579"/>
      <c r="DB2" s="579"/>
      <c r="DD2" s="579" t="s">
        <v>122</v>
      </c>
      <c r="DE2" s="579"/>
      <c r="DF2" s="579"/>
      <c r="DH2" s="579" t="s">
        <v>125</v>
      </c>
      <c r="DI2" s="579"/>
      <c r="DJ2" s="579"/>
      <c r="DL2" s="579" t="s">
        <v>126</v>
      </c>
      <c r="DM2" s="579"/>
      <c r="DN2" s="579"/>
      <c r="DP2" s="579" t="s">
        <v>127</v>
      </c>
      <c r="DQ2" s="579"/>
      <c r="DR2" s="579"/>
      <c r="DT2" s="580" t="s">
        <v>128</v>
      </c>
      <c r="DU2" s="581"/>
      <c r="DV2" s="582"/>
      <c r="DW2" s="280"/>
      <c r="DX2" s="583" t="s">
        <v>140</v>
      </c>
      <c r="DZ2" s="579" t="s">
        <v>129</v>
      </c>
      <c r="EA2" s="579"/>
      <c r="EC2" s="579" t="s">
        <v>141</v>
      </c>
      <c r="ED2" s="579"/>
      <c r="EF2" s="579" t="s">
        <v>144</v>
      </c>
      <c r="EG2" s="579"/>
      <c r="EH2" s="579"/>
      <c r="EJ2" s="579" t="s">
        <v>157</v>
      </c>
      <c r="EK2" s="579"/>
      <c r="EL2" s="579"/>
      <c r="EN2" s="579" t="s">
        <v>268</v>
      </c>
      <c r="EO2" s="579"/>
      <c r="EP2" s="579"/>
      <c r="EQ2" s="579"/>
      <c r="ES2" s="499" t="s">
        <v>274</v>
      </c>
      <c r="ET2" s="499" t="s">
        <v>275</v>
      </c>
    </row>
    <row r="3" spans="1:157" ht="9.75" customHeight="1" thickTop="1" thickBot="1" x14ac:dyDescent="0.3">
      <c r="A3" s="36"/>
      <c r="B3" s="300"/>
      <c r="C3" s="300"/>
      <c r="D3" s="300"/>
      <c r="E3" s="300"/>
      <c r="F3" s="488"/>
      <c r="G3" s="300"/>
      <c r="H3" s="300"/>
      <c r="I3" s="301"/>
      <c r="J3" s="300"/>
      <c r="K3" s="300"/>
      <c r="L3" s="300"/>
      <c r="M3" s="302"/>
      <c r="N3" s="300"/>
      <c r="O3" s="300"/>
      <c r="P3" s="300"/>
      <c r="Q3" s="188"/>
      <c r="R3" s="300"/>
      <c r="S3" s="300"/>
      <c r="T3" s="300"/>
      <c r="U3" s="300"/>
      <c r="V3" s="34"/>
      <c r="W3" s="501"/>
      <c r="X3" s="303"/>
      <c r="Y3" s="304"/>
      <c r="Z3" s="34"/>
      <c r="AA3" s="501"/>
      <c r="AB3" s="303"/>
      <c r="AC3" s="304"/>
      <c r="AD3" s="34"/>
      <c r="AE3" s="300"/>
      <c r="AF3" s="300"/>
      <c r="AG3" s="500"/>
      <c r="AH3" s="34"/>
      <c r="AI3" s="501"/>
      <c r="AJ3" s="502"/>
      <c r="AK3" s="503"/>
      <c r="AL3" s="34"/>
      <c r="AM3" s="501"/>
      <c r="AN3" s="502"/>
      <c r="AO3" s="503"/>
      <c r="AP3" s="34"/>
      <c r="AQ3" s="300"/>
      <c r="AR3" s="300"/>
      <c r="AS3" s="35"/>
      <c r="AT3" s="300"/>
      <c r="AU3" s="300"/>
      <c r="AV3" s="300"/>
      <c r="AW3" s="35"/>
      <c r="AX3" s="120"/>
      <c r="AY3" s="305"/>
      <c r="AZ3" s="306"/>
      <c r="BA3" s="307"/>
      <c r="BC3" s="308"/>
      <c r="BD3" s="309"/>
      <c r="BE3" s="309"/>
      <c r="BF3" s="309"/>
      <c r="BG3" s="309"/>
      <c r="BH3" s="309"/>
      <c r="BI3" s="309"/>
      <c r="BJ3" s="310"/>
      <c r="BL3" s="584"/>
      <c r="BN3" s="589"/>
      <c r="BP3" s="499"/>
      <c r="BQ3" s="499"/>
      <c r="BR3" s="508"/>
      <c r="BT3" s="499"/>
      <c r="BU3" s="499"/>
      <c r="BV3" s="508"/>
      <c r="BX3" s="499"/>
      <c r="BY3" s="499"/>
      <c r="BZ3" s="499"/>
      <c r="CB3" s="499"/>
      <c r="CC3" s="499"/>
      <c r="CD3" s="499"/>
      <c r="CF3" s="499"/>
      <c r="CG3" s="499"/>
      <c r="CH3" s="499"/>
      <c r="CI3" s="499"/>
      <c r="CJ3" s="499"/>
      <c r="CK3" s="499"/>
      <c r="CM3" s="246"/>
      <c r="CN3" s="244"/>
      <c r="CP3" s="504"/>
      <c r="CQ3" s="505"/>
      <c r="CR3" s="505"/>
      <c r="CS3" s="505"/>
      <c r="CT3" s="505"/>
      <c r="CV3" s="499"/>
      <c r="CW3" s="499"/>
      <c r="CX3" s="499"/>
      <c r="CZ3" s="499"/>
      <c r="DA3" s="499"/>
      <c r="DB3" s="499"/>
      <c r="DD3" s="499"/>
      <c r="DE3" s="499"/>
      <c r="DF3" s="499"/>
      <c r="DH3" s="499"/>
      <c r="DI3" s="499"/>
      <c r="DJ3" s="499"/>
      <c r="DL3" s="499"/>
      <c r="DM3" s="499"/>
      <c r="DN3" s="499"/>
      <c r="DP3" s="499"/>
      <c r="DQ3" s="499"/>
      <c r="DR3" s="499"/>
      <c r="DT3" s="506"/>
      <c r="DU3" s="507"/>
      <c r="DV3" s="508"/>
      <c r="DW3" s="280"/>
      <c r="DX3" s="584"/>
      <c r="DZ3" s="499"/>
      <c r="EA3" s="499"/>
      <c r="EC3" s="499"/>
      <c r="ED3" s="499"/>
      <c r="EF3" s="499"/>
      <c r="EG3" s="499"/>
      <c r="EH3" s="499"/>
      <c r="EJ3" s="499"/>
      <c r="EK3" s="499"/>
      <c r="EL3" s="499"/>
      <c r="EN3" s="499"/>
      <c r="EO3" s="499"/>
      <c r="EP3" s="499"/>
      <c r="EQ3" s="499"/>
      <c r="ES3" s="499"/>
      <c r="ET3" s="499"/>
    </row>
    <row r="4" spans="1:157" s="243" customFormat="1" ht="24.75" customHeight="1" thickTop="1" x14ac:dyDescent="0.25">
      <c r="A4" s="102" t="s">
        <v>8</v>
      </c>
      <c r="B4" s="493" t="s">
        <v>9</v>
      </c>
      <c r="C4" s="493" t="s">
        <v>11</v>
      </c>
      <c r="D4" s="493" t="s">
        <v>21</v>
      </c>
      <c r="E4" s="493" t="s">
        <v>12</v>
      </c>
      <c r="F4" s="489" t="s">
        <v>267</v>
      </c>
      <c r="G4" s="112" t="s">
        <v>34</v>
      </c>
      <c r="H4" s="103" t="s">
        <v>18</v>
      </c>
      <c r="I4" s="104"/>
      <c r="J4" s="493" t="s">
        <v>9</v>
      </c>
      <c r="K4" s="112" t="s">
        <v>34</v>
      </c>
      <c r="L4" s="103" t="s">
        <v>18</v>
      </c>
      <c r="M4" s="105"/>
      <c r="N4" s="493" t="s">
        <v>9</v>
      </c>
      <c r="O4" s="113" t="s">
        <v>34</v>
      </c>
      <c r="P4" s="103" t="s">
        <v>18</v>
      </c>
      <c r="Q4" s="106"/>
      <c r="R4" s="493" t="s">
        <v>9</v>
      </c>
      <c r="S4" s="493" t="s">
        <v>10</v>
      </c>
      <c r="T4" s="112" t="s">
        <v>34</v>
      </c>
      <c r="U4" s="103" t="s">
        <v>18</v>
      </c>
      <c r="V4" s="107"/>
      <c r="W4" s="108" t="s">
        <v>9</v>
      </c>
      <c r="X4" s="112" t="s">
        <v>34</v>
      </c>
      <c r="Y4" s="112" t="s">
        <v>37</v>
      </c>
      <c r="Z4" s="109"/>
      <c r="AA4" s="108" t="s">
        <v>9</v>
      </c>
      <c r="AB4" s="112" t="s">
        <v>34</v>
      </c>
      <c r="AC4" s="112" t="s">
        <v>37</v>
      </c>
      <c r="AD4" s="109"/>
      <c r="AE4" s="493" t="s">
        <v>39</v>
      </c>
      <c r="AF4" s="493" t="s">
        <v>18</v>
      </c>
      <c r="AG4" s="108" t="s">
        <v>17</v>
      </c>
      <c r="AH4" s="109"/>
      <c r="AI4" s="108" t="s">
        <v>39</v>
      </c>
      <c r="AJ4" s="119" t="s">
        <v>18</v>
      </c>
      <c r="AK4" s="119" t="s">
        <v>17</v>
      </c>
      <c r="AL4" s="109"/>
      <c r="AM4" s="108" t="s">
        <v>39</v>
      </c>
      <c r="AN4" s="119" t="s">
        <v>18</v>
      </c>
      <c r="AO4" s="119" t="s">
        <v>17</v>
      </c>
      <c r="AP4" s="109"/>
      <c r="AQ4" s="493" t="s">
        <v>43</v>
      </c>
      <c r="AR4" s="493" t="s">
        <v>44</v>
      </c>
      <c r="AS4" s="110"/>
      <c r="AT4" s="493" t="s">
        <v>63</v>
      </c>
      <c r="AU4" s="493" t="s">
        <v>64</v>
      </c>
      <c r="AV4" s="493" t="s">
        <v>62</v>
      </c>
      <c r="AW4" s="110"/>
      <c r="AX4" s="121"/>
      <c r="AY4" s="598" t="s">
        <v>276</v>
      </c>
      <c r="AZ4" s="599"/>
      <c r="BA4" s="600"/>
      <c r="BC4" s="590" t="s">
        <v>277</v>
      </c>
      <c r="BD4" s="591"/>
      <c r="BE4" s="591"/>
      <c r="BF4" s="592"/>
      <c r="BG4" s="590" t="s">
        <v>278</v>
      </c>
      <c r="BH4" s="591"/>
      <c r="BI4" s="591"/>
      <c r="BJ4" s="592"/>
      <c r="BL4" s="584"/>
      <c r="BN4" s="589"/>
      <c r="BP4" s="219" t="s">
        <v>103</v>
      </c>
      <c r="BQ4" s="248" t="s">
        <v>112</v>
      </c>
      <c r="BR4" s="291" t="s">
        <v>107</v>
      </c>
      <c r="BS4" s="271"/>
      <c r="BT4" s="219" t="s">
        <v>103</v>
      </c>
      <c r="BU4" s="219" t="s">
        <v>104</v>
      </c>
      <c r="BV4" s="291" t="s">
        <v>107</v>
      </c>
      <c r="BW4" s="271"/>
      <c r="BX4" s="219" t="s">
        <v>103</v>
      </c>
      <c r="BY4" s="219" t="s">
        <v>104</v>
      </c>
      <c r="BZ4" s="219" t="s">
        <v>107</v>
      </c>
      <c r="CB4" s="219" t="s">
        <v>103</v>
      </c>
      <c r="CC4" s="219" t="s">
        <v>104</v>
      </c>
      <c r="CD4" s="219" t="s">
        <v>107</v>
      </c>
      <c r="CF4" s="219" t="s">
        <v>103</v>
      </c>
      <c r="CG4" s="219" t="s">
        <v>104</v>
      </c>
      <c r="CH4" s="219" t="s">
        <v>107</v>
      </c>
      <c r="CI4" s="219" t="s">
        <v>103</v>
      </c>
      <c r="CJ4" s="219" t="s">
        <v>104</v>
      </c>
      <c r="CK4" s="219" t="s">
        <v>107</v>
      </c>
      <c r="CM4" s="245" t="s">
        <v>39</v>
      </c>
      <c r="CN4" s="245" t="s">
        <v>18</v>
      </c>
      <c r="CP4" s="219" t="s">
        <v>103</v>
      </c>
      <c r="CQ4" s="248" t="s">
        <v>116</v>
      </c>
      <c r="CR4" s="248" t="s">
        <v>117</v>
      </c>
      <c r="CS4" s="248" t="s">
        <v>115</v>
      </c>
      <c r="CT4" s="248" t="s">
        <v>117</v>
      </c>
      <c r="CV4" s="219" t="s">
        <v>103</v>
      </c>
      <c r="CW4" s="219" t="s">
        <v>123</v>
      </c>
      <c r="CX4" s="219" t="s">
        <v>124</v>
      </c>
      <c r="CZ4" s="219" t="s">
        <v>103</v>
      </c>
      <c r="DA4" s="219" t="s">
        <v>123</v>
      </c>
      <c r="DB4" s="219" t="s">
        <v>124</v>
      </c>
      <c r="DD4" s="219" t="s">
        <v>103</v>
      </c>
      <c r="DE4" s="219" t="s">
        <v>123</v>
      </c>
      <c r="DF4" s="219" t="s">
        <v>124</v>
      </c>
      <c r="DH4" s="219" t="s">
        <v>103</v>
      </c>
      <c r="DI4" s="219" t="s">
        <v>123</v>
      </c>
      <c r="DJ4" s="219" t="s">
        <v>124</v>
      </c>
      <c r="DL4" s="219" t="s">
        <v>103</v>
      </c>
      <c r="DM4" s="219" t="s">
        <v>123</v>
      </c>
      <c r="DN4" s="219" t="s">
        <v>124</v>
      </c>
      <c r="DP4" s="219" t="s">
        <v>103</v>
      </c>
      <c r="DQ4" s="219" t="s">
        <v>123</v>
      </c>
      <c r="DR4" s="219" t="s">
        <v>124</v>
      </c>
      <c r="DT4" s="219" t="s">
        <v>103</v>
      </c>
      <c r="DU4" s="219" t="s">
        <v>123</v>
      </c>
      <c r="DV4" s="219" t="s">
        <v>124</v>
      </c>
      <c r="DW4" s="271"/>
      <c r="DX4" s="585"/>
      <c r="DZ4" s="219" t="s">
        <v>123</v>
      </c>
      <c r="EA4" s="219" t="s">
        <v>124</v>
      </c>
      <c r="EC4" s="248" t="s">
        <v>142</v>
      </c>
      <c r="ED4" s="248" t="s">
        <v>143</v>
      </c>
      <c r="EF4" s="219" t="s">
        <v>103</v>
      </c>
      <c r="EG4" s="219" t="s">
        <v>123</v>
      </c>
      <c r="EH4" s="219" t="s">
        <v>124</v>
      </c>
      <c r="EJ4" s="219" t="s">
        <v>103</v>
      </c>
      <c r="EK4" s="219" t="s">
        <v>123</v>
      </c>
      <c r="EL4" s="219" t="s">
        <v>124</v>
      </c>
      <c r="EN4" s="219" t="s">
        <v>264</v>
      </c>
      <c r="EO4" s="219" t="s">
        <v>265</v>
      </c>
      <c r="EP4" s="219" t="s">
        <v>266</v>
      </c>
      <c r="EQ4" s="219" t="s">
        <v>273</v>
      </c>
      <c r="ES4" s="219"/>
      <c r="ET4" s="219"/>
    </row>
    <row r="5" spans="1:157" x14ac:dyDescent="0.25">
      <c r="A5" s="37"/>
      <c r="B5" s="33">
        <v>502969</v>
      </c>
      <c r="C5" s="33"/>
      <c r="D5" s="33"/>
      <c r="E5" s="251">
        <v>770</v>
      </c>
      <c r="F5" s="490"/>
      <c r="G5" s="33">
        <f t="shared" ref="G5" si="0">F5+ET5</f>
        <v>0</v>
      </c>
      <c r="H5" s="190"/>
      <c r="I5" s="187"/>
      <c r="J5" s="33">
        <v>224175</v>
      </c>
      <c r="K5" s="189"/>
      <c r="L5" s="258"/>
      <c r="M5" s="188"/>
      <c r="N5" s="33">
        <v>770511</v>
      </c>
      <c r="O5" s="189"/>
      <c r="P5" s="258"/>
      <c r="Q5" s="34"/>
      <c r="R5" s="33">
        <v>65800</v>
      </c>
      <c r="S5" s="33"/>
      <c r="T5" s="33"/>
      <c r="U5" s="258"/>
      <c r="V5" s="34"/>
      <c r="W5" s="186">
        <v>48917.4</v>
      </c>
      <c r="X5" s="189"/>
      <c r="Y5" s="258"/>
      <c r="Z5" s="34"/>
      <c r="AA5" s="266">
        <v>535640</v>
      </c>
      <c r="AB5" s="189"/>
      <c r="AC5" s="258"/>
      <c r="AD5" s="34"/>
      <c r="AE5" s="260"/>
      <c r="AF5" s="261"/>
      <c r="AG5" s="259"/>
      <c r="AH5" s="34"/>
      <c r="AI5" s="287"/>
      <c r="AJ5" s="193"/>
      <c r="AK5" s="192"/>
      <c r="AL5" s="34"/>
      <c r="AM5" s="218"/>
      <c r="AN5" s="326"/>
      <c r="AO5" s="194"/>
      <c r="AP5" s="34"/>
      <c r="AQ5" s="265"/>
      <c r="AR5" s="261"/>
      <c r="AS5" s="34"/>
      <c r="AT5" s="196">
        <v>7557.67</v>
      </c>
      <c r="AU5" s="197"/>
      <c r="AV5" s="195"/>
      <c r="AW5" s="34"/>
      <c r="AX5" s="191"/>
      <c r="AY5" s="262"/>
      <c r="AZ5" s="262"/>
      <c r="BA5" s="263"/>
      <c r="BC5" s="154"/>
      <c r="BD5" s="267"/>
      <c r="BE5" s="221"/>
      <c r="BF5" s="223"/>
      <c r="BG5" s="222"/>
      <c r="BH5" s="267"/>
      <c r="BI5" s="267"/>
      <c r="BJ5" s="267"/>
      <c r="BL5" s="151">
        <v>526</v>
      </c>
      <c r="BN5" s="189"/>
      <c r="BP5" s="33">
        <v>80374</v>
      </c>
      <c r="BQ5" s="33"/>
      <c r="BR5" s="247"/>
      <c r="BT5" s="33">
        <v>96123</v>
      </c>
      <c r="BU5" s="33"/>
      <c r="BV5" s="247"/>
      <c r="BX5" s="33">
        <v>4317</v>
      </c>
      <c r="BY5" s="33"/>
      <c r="BZ5" s="247"/>
      <c r="CB5" s="33">
        <v>248910</v>
      </c>
      <c r="CC5" s="33"/>
      <c r="CD5" s="247"/>
      <c r="CF5" s="33">
        <v>9150</v>
      </c>
      <c r="CG5" s="33"/>
      <c r="CH5" s="247"/>
      <c r="CI5" s="33">
        <v>19771</v>
      </c>
      <c r="CJ5" s="33"/>
      <c r="CK5" s="247"/>
      <c r="CM5" s="33"/>
      <c r="CN5" s="33"/>
      <c r="CP5" s="33">
        <v>83180</v>
      </c>
      <c r="CQ5" s="33"/>
      <c r="CR5" s="134"/>
      <c r="CS5" s="247"/>
      <c r="CT5" s="497"/>
      <c r="CV5" s="33">
        <v>418</v>
      </c>
      <c r="CW5" s="33"/>
      <c r="CX5" s="498"/>
      <c r="CZ5" s="33">
        <v>2417</v>
      </c>
      <c r="DA5" s="33"/>
      <c r="DB5" s="247"/>
      <c r="DD5" s="33">
        <v>1739496</v>
      </c>
      <c r="DE5" s="33"/>
      <c r="DF5" s="247"/>
      <c r="DH5" s="33">
        <v>3947489</v>
      </c>
      <c r="DI5" s="33"/>
      <c r="DJ5" s="247"/>
      <c r="DL5" s="33">
        <v>3363547</v>
      </c>
      <c r="DM5" s="33"/>
      <c r="DN5" s="247"/>
      <c r="DP5" s="33">
        <v>2900611</v>
      </c>
      <c r="DQ5" s="33"/>
      <c r="DR5" s="247"/>
      <c r="DT5" s="33">
        <v>3582939</v>
      </c>
      <c r="DU5" s="33"/>
      <c r="DV5" s="247"/>
      <c r="DX5" s="33">
        <v>720</v>
      </c>
      <c r="DZ5" s="33"/>
      <c r="EA5" s="247"/>
      <c r="EC5" s="196"/>
      <c r="ED5" s="281"/>
      <c r="EF5" s="33">
        <v>69556</v>
      </c>
      <c r="EG5" s="292"/>
      <c r="EH5" s="247"/>
      <c r="EJ5" s="33">
        <v>32597</v>
      </c>
      <c r="EK5" s="292"/>
      <c r="EL5" s="247"/>
      <c r="EN5" s="151">
        <v>35710</v>
      </c>
      <c r="EO5" s="491">
        <v>34971</v>
      </c>
      <c r="EP5" s="491">
        <v>34295</v>
      </c>
      <c r="EQ5" s="496"/>
      <c r="ES5" s="151">
        <v>6974</v>
      </c>
      <c r="ET5" s="151"/>
    </row>
    <row r="6" spans="1:157" x14ac:dyDescent="0.25">
      <c r="A6" s="298">
        <v>45748</v>
      </c>
      <c r="B6" s="33">
        <v>503666</v>
      </c>
      <c r="C6" s="33">
        <f t="shared" ref="C6" si="1">B6-B5</f>
        <v>697</v>
      </c>
      <c r="D6" s="33"/>
      <c r="E6" s="251">
        <v>800</v>
      </c>
      <c r="F6" s="490">
        <f t="shared" ref="F6" si="2">EQ6</f>
        <v>746</v>
      </c>
      <c r="G6" s="33">
        <f t="shared" ref="G6" si="3">F6+ET6</f>
        <v>777</v>
      </c>
      <c r="H6" s="190">
        <f>'Reading.4.24'!G6</f>
        <v>505</v>
      </c>
      <c r="I6" s="187"/>
      <c r="J6" s="33">
        <v>224234</v>
      </c>
      <c r="K6" s="189">
        <f t="shared" ref="K6" si="4">(J6-J5)*4.668</f>
        <v>275.41200000000003</v>
      </c>
      <c r="L6" s="258">
        <f>'Reading.4.24'!K6</f>
        <v>112.03200000000001</v>
      </c>
      <c r="M6" s="188"/>
      <c r="N6" s="33">
        <v>770641</v>
      </c>
      <c r="O6" s="189">
        <f t="shared" ref="O6" si="5">(N6-N5)*4.61</f>
        <v>599.30000000000007</v>
      </c>
      <c r="P6" s="258">
        <f>'Reading.4.24'!O6</f>
        <v>391.85</v>
      </c>
      <c r="Q6" s="34"/>
      <c r="R6" s="33">
        <v>65800</v>
      </c>
      <c r="S6" s="33"/>
      <c r="T6" s="33">
        <f t="shared" ref="T6" si="6">(R5+S5)-R6</f>
        <v>0</v>
      </c>
      <c r="U6" s="258">
        <f>'Reading.4.24'!T6</f>
        <v>0</v>
      </c>
      <c r="V6" s="34"/>
      <c r="W6" s="186">
        <v>48926.06</v>
      </c>
      <c r="X6" s="189">
        <f t="shared" ref="X6" si="7">(W6-W5)*4000</f>
        <v>34639.999999984866</v>
      </c>
      <c r="Y6" s="258">
        <f>'Reading.4.24'!X6</f>
        <v>27720.000000001164</v>
      </c>
      <c r="Z6" s="34"/>
      <c r="AA6" s="266">
        <v>535860</v>
      </c>
      <c r="AB6" s="189">
        <f t="shared" ref="AB6" si="8">AA6-AA5</f>
        <v>220</v>
      </c>
      <c r="AC6" s="258">
        <f>'Reading.4.24'!AB6</f>
        <v>0</v>
      </c>
      <c r="AD6" s="34"/>
      <c r="AE6" s="260">
        <f t="shared" ref="AE6" si="9">+X6+AB6</f>
        <v>34859.999999984866</v>
      </c>
      <c r="AF6" s="261">
        <f>'Reading.4.24'!AE6</f>
        <v>27720.000000001164</v>
      </c>
      <c r="AG6" s="259">
        <f t="shared" ref="AG6:AG8" si="10">796636/30</f>
        <v>26554.533333333333</v>
      </c>
      <c r="AH6" s="34"/>
      <c r="AI6" s="287">
        <v>0.87290000000000001</v>
      </c>
      <c r="AJ6" s="193">
        <f>'Reading.4.24'!AI6</f>
        <v>0.52090000000000003</v>
      </c>
      <c r="AK6" s="192">
        <v>0.65</v>
      </c>
      <c r="AL6" s="34"/>
      <c r="AM6" s="218">
        <f t="shared" ref="AM6" si="11">AI6*526</f>
        <v>459.1454</v>
      </c>
      <c r="AN6" s="326">
        <f>'Reading.4.24'!AM6</f>
        <v>274</v>
      </c>
      <c r="AO6" s="194">
        <f>10257/30</f>
        <v>341.9</v>
      </c>
      <c r="AP6" s="34"/>
      <c r="AQ6" s="265">
        <f>333*4</f>
        <v>1332</v>
      </c>
      <c r="AR6" s="261">
        <f>'Reading.4.24'!AQ6</f>
        <v>1460</v>
      </c>
      <c r="AS6" s="34"/>
      <c r="AT6" s="196">
        <v>7559.13</v>
      </c>
      <c r="AU6" s="197">
        <f t="shared" ref="AU6" si="12">(AT6-AT5)*4000</f>
        <v>5840.0000000001455</v>
      </c>
      <c r="AV6" s="195">
        <f t="shared" ref="AV6" si="13">+X6/SQRT(((POWER((X6),2)+(POWER((AU6),2)))))</f>
        <v>0.98608444809108653</v>
      </c>
      <c r="AW6" s="34"/>
      <c r="AX6" s="191"/>
      <c r="AY6" s="262">
        <f>'Reading.4.24'!X6</f>
        <v>27720.000000001164</v>
      </c>
      <c r="AZ6" s="262">
        <f>'Reading.4.24'!Y6</f>
        <v>25200.000000011642</v>
      </c>
      <c r="BA6" s="263">
        <f t="shared" ref="BA6" si="14">AY6+AZ6</f>
        <v>52920.000000012806</v>
      </c>
      <c r="BC6" s="154">
        <v>16</v>
      </c>
      <c r="BD6" s="267">
        <v>20</v>
      </c>
      <c r="BE6" s="221">
        <v>18</v>
      </c>
      <c r="BF6" s="223">
        <v>25</v>
      </c>
      <c r="BG6" s="222">
        <v>80</v>
      </c>
      <c r="BH6" s="267">
        <f>'Reading.4.24'!BD6</f>
        <v>16.100000000000001</v>
      </c>
      <c r="BI6" s="267">
        <f>'Reading.4.24'!BE6</f>
        <v>12</v>
      </c>
      <c r="BJ6" s="267">
        <f>'Reading.4.24'!BF6</f>
        <v>56</v>
      </c>
      <c r="BL6" s="151">
        <v>526</v>
      </c>
      <c r="BN6" s="189">
        <f>'Reading.4.24'!E3</f>
        <v>0</v>
      </c>
      <c r="BP6" s="33">
        <v>80400</v>
      </c>
      <c r="BQ6" s="33">
        <f t="shared" ref="BQ6" si="15">BP6-BP5</f>
        <v>26</v>
      </c>
      <c r="BR6" s="247">
        <f>'Reading.4.24'!BQ6</f>
        <v>30</v>
      </c>
      <c r="BT6" s="33">
        <v>96172</v>
      </c>
      <c r="BU6" s="33">
        <f t="shared" ref="BU6" si="16">BT6-BT5</f>
        <v>49</v>
      </c>
      <c r="BV6" s="247">
        <f>'Reading.4.24'!BU6</f>
        <v>30</v>
      </c>
      <c r="BX6" s="33">
        <v>4317</v>
      </c>
      <c r="BY6" s="33">
        <f t="shared" ref="BY6" si="17">BX6-BX5</f>
        <v>0</v>
      </c>
      <c r="BZ6" s="247">
        <f>'Reading.4.24'!BY6</f>
        <v>11</v>
      </c>
      <c r="CB6" s="33">
        <v>248950</v>
      </c>
      <c r="CC6" s="33">
        <f t="shared" ref="CC6" si="18">CB6-CB5</f>
        <v>40</v>
      </c>
      <c r="CD6" s="247">
        <f>'Reading.4.24'!CC6</f>
        <v>30</v>
      </c>
      <c r="CF6" s="33">
        <v>9160</v>
      </c>
      <c r="CG6" s="33">
        <f t="shared" ref="CG6" si="19">CF6-CF5</f>
        <v>10</v>
      </c>
      <c r="CH6" s="247">
        <f>'Reading.4.24'!CG6</f>
        <v>10</v>
      </c>
      <c r="CI6" s="33">
        <v>19771</v>
      </c>
      <c r="CJ6" s="33">
        <f t="shared" ref="CJ6" si="20">CI6-CI5</f>
        <v>0</v>
      </c>
      <c r="CK6" s="247">
        <f>'Reading.4.24'!CJ6</f>
        <v>-3</v>
      </c>
      <c r="CM6" s="33">
        <f t="shared" ref="CM6" si="21">BQ6+BU6+BY6+CC6+CJ6</f>
        <v>115</v>
      </c>
      <c r="CN6" s="33">
        <f t="shared" ref="CN6" si="22">BR6+BV6+BZ6+CD6+CK6</f>
        <v>98</v>
      </c>
      <c r="CP6" s="33">
        <v>83780</v>
      </c>
      <c r="CQ6" s="33">
        <f t="shared" ref="CQ6" si="23">CP6-CP5</f>
        <v>600</v>
      </c>
      <c r="CR6" s="134">
        <f t="shared" ref="CR6" si="24">CQ6/G6</f>
        <v>0.77220077220077221</v>
      </c>
      <c r="CS6" s="247">
        <f>'Reading.4.24'!CN6</f>
        <v>135</v>
      </c>
      <c r="CT6" s="497">
        <f>'Reading.4.24'!CR6</f>
        <v>0.67920792079207926</v>
      </c>
      <c r="CV6" s="33">
        <v>419</v>
      </c>
      <c r="CW6" s="33">
        <f t="shared" ref="CW6" si="25">CV6-CV5</f>
        <v>1</v>
      </c>
      <c r="CX6" s="498">
        <f>'Reading.4.24'!CW6</f>
        <v>2</v>
      </c>
      <c r="CZ6" s="33">
        <v>2423</v>
      </c>
      <c r="DA6" s="33">
        <f t="shared" ref="DA6" si="26">CZ6-CZ5</f>
        <v>6</v>
      </c>
      <c r="DB6" s="247">
        <f>'Reading.4.24'!DA6</f>
        <v>3</v>
      </c>
      <c r="DD6" s="33">
        <v>1740450</v>
      </c>
      <c r="DE6" s="33">
        <f t="shared" ref="DE6" si="27">DD6-DD5</f>
        <v>954</v>
      </c>
      <c r="DF6" s="247">
        <f>'Reading.4.24'!DE6</f>
        <v>757</v>
      </c>
      <c r="DH6" s="33">
        <v>3949300</v>
      </c>
      <c r="DI6" s="33">
        <f t="shared" ref="DI6" si="28">DH6-DH5</f>
        <v>1811</v>
      </c>
      <c r="DJ6" s="247">
        <f>'Reading.4.24'!DI6</f>
        <v>1866</v>
      </c>
      <c r="DL6" s="33">
        <v>3365383</v>
      </c>
      <c r="DM6" s="33">
        <f t="shared" ref="DM6" si="29">DL6-DL5</f>
        <v>1836</v>
      </c>
      <c r="DN6" s="247">
        <f>'Reading.4.24'!DM6</f>
        <v>3208</v>
      </c>
      <c r="DP6" s="33">
        <v>2902187</v>
      </c>
      <c r="DQ6" s="33">
        <f t="shared" ref="DQ6" si="30">DP6-DP5</f>
        <v>1576</v>
      </c>
      <c r="DR6" s="247">
        <f>'Reading.4.24'!DQ6</f>
        <v>31</v>
      </c>
      <c r="DT6" s="33">
        <v>3582953</v>
      </c>
      <c r="DU6" s="33">
        <f t="shared" ref="DU6" si="31">DT6-DT5</f>
        <v>14</v>
      </c>
      <c r="DV6" s="247">
        <f>'Reading.4.24'!DU6</f>
        <v>31</v>
      </c>
      <c r="DX6" s="33">
        <v>720</v>
      </c>
      <c r="DZ6" s="33">
        <f t="shared" ref="DZ6" si="32">DM6+DQ6+DU6+DX6</f>
        <v>4146</v>
      </c>
      <c r="EA6" s="247">
        <f>'Reading.4.24'!DZ6</f>
        <v>3990</v>
      </c>
      <c r="EC6" s="196">
        <f t="shared" ref="EC6" si="33">C6*5.2</f>
        <v>3624.4</v>
      </c>
      <c r="ED6" s="281">
        <f>'Reading.4.24'!EC6</f>
        <v>2158</v>
      </c>
      <c r="EF6" s="33">
        <v>69598</v>
      </c>
      <c r="EG6" s="292">
        <f t="shared" ref="EG6" si="34">EF6-EF5</f>
        <v>42</v>
      </c>
      <c r="EH6" s="247">
        <f>'Reading.4.24'!EG6</f>
        <v>40</v>
      </c>
      <c r="EJ6" s="33">
        <v>32629</v>
      </c>
      <c r="EK6" s="292">
        <f t="shared" ref="EK6" si="35">EJ6-EJ5</f>
        <v>32</v>
      </c>
      <c r="EL6" s="247">
        <f>'Reading.4.24'!EK6</f>
        <v>33</v>
      </c>
      <c r="EN6" s="151">
        <v>35728</v>
      </c>
      <c r="EO6" s="491">
        <v>35550</v>
      </c>
      <c r="EP6" s="491">
        <v>34444</v>
      </c>
      <c r="EQ6" s="496">
        <f t="shared" ref="EQ6" si="36">(EN6-EN5)+(EO6-EO5)+(EP6-EP5)</f>
        <v>746</v>
      </c>
      <c r="ES6" s="151">
        <v>7005</v>
      </c>
      <c r="ET6" s="151">
        <f t="shared" ref="ET6" si="37">+ES6-ES5</f>
        <v>31</v>
      </c>
    </row>
    <row r="7" spans="1:157" x14ac:dyDescent="0.25">
      <c r="A7" s="298">
        <v>45749</v>
      </c>
      <c r="B7" s="33">
        <v>504119</v>
      </c>
      <c r="C7" s="33">
        <f t="shared" ref="C7" si="38">B7-B6</f>
        <v>453</v>
      </c>
      <c r="D7" s="33"/>
      <c r="E7" s="251">
        <v>800</v>
      </c>
      <c r="F7" s="490">
        <f t="shared" ref="F7" si="39">EQ7</f>
        <v>723</v>
      </c>
      <c r="G7" s="33">
        <f t="shared" ref="G7" si="40">F7+ET7</f>
        <v>754</v>
      </c>
      <c r="H7" s="190">
        <f>'Reading.4.24'!G7</f>
        <v>460</v>
      </c>
      <c r="I7" s="187"/>
      <c r="J7" s="33">
        <v>224291</v>
      </c>
      <c r="K7" s="189">
        <f t="shared" ref="K7" si="41">(J7-J6)*4.668</f>
        <v>266.07600000000002</v>
      </c>
      <c r="L7" s="258">
        <f>'Reading.4.24'!K7</f>
        <v>121.36800000000001</v>
      </c>
      <c r="M7" s="188"/>
      <c r="N7" s="33">
        <v>770784</v>
      </c>
      <c r="O7" s="189">
        <f t="shared" ref="O7" si="42">(N7-N6)*4.61</f>
        <v>659.23</v>
      </c>
      <c r="P7" s="258">
        <f>'Reading.4.24'!O7</f>
        <v>410.29</v>
      </c>
      <c r="Q7" s="34"/>
      <c r="R7" s="33">
        <v>65800</v>
      </c>
      <c r="S7" s="33"/>
      <c r="T7" s="33">
        <f t="shared" ref="T7" si="43">(R6+S6)-R7</f>
        <v>0</v>
      </c>
      <c r="U7" s="258">
        <f>'Reading.4.24'!T7</f>
        <v>0</v>
      </c>
      <c r="V7" s="34"/>
      <c r="W7" s="186">
        <v>48934.5</v>
      </c>
      <c r="X7" s="189">
        <f t="shared" ref="X7" si="44">(W7-W6)*4000</f>
        <v>33760.000000009313</v>
      </c>
      <c r="Y7" s="258">
        <f>'Reading.4.24'!X7</f>
        <v>28599.999999976717</v>
      </c>
      <c r="Z7" s="34"/>
      <c r="AA7" s="266">
        <v>535860</v>
      </c>
      <c r="AB7" s="189">
        <f t="shared" ref="AB7" si="45">AA7-AA6</f>
        <v>0</v>
      </c>
      <c r="AC7" s="258">
        <f>'Reading.4.24'!AB7</f>
        <v>0</v>
      </c>
      <c r="AD7" s="34"/>
      <c r="AE7" s="260">
        <f t="shared" ref="AE7" si="46">+X7+AB7</f>
        <v>33760.000000009313</v>
      </c>
      <c r="AF7" s="261">
        <f>'Reading.4.24'!AE7</f>
        <v>28599.999999976717</v>
      </c>
      <c r="AG7" s="259">
        <f t="shared" si="10"/>
        <v>26554.533333333333</v>
      </c>
      <c r="AH7" s="34"/>
      <c r="AI7" s="287">
        <v>0.87829999999999997</v>
      </c>
      <c r="AJ7" s="193">
        <f>'Reading.4.24'!AI7</f>
        <v>0.4924</v>
      </c>
      <c r="AK7" s="192">
        <v>0.65</v>
      </c>
      <c r="AL7" s="34"/>
      <c r="AM7" s="218">
        <f t="shared" ref="AM7" si="47">AI7*526</f>
        <v>461.98579999999998</v>
      </c>
      <c r="AN7" s="326">
        <f>'Reading.4.24'!AM7</f>
        <v>259</v>
      </c>
      <c r="AO7" s="194">
        <f>10257/30</f>
        <v>341.9</v>
      </c>
      <c r="AP7" s="34"/>
      <c r="AQ7" s="265">
        <f>333*4</f>
        <v>1332</v>
      </c>
      <c r="AR7" s="261">
        <f>'Reading.4.24'!AQ7</f>
        <v>1460</v>
      </c>
      <c r="AS7" s="34"/>
      <c r="AT7" s="196">
        <v>7560.53</v>
      </c>
      <c r="AU7" s="197">
        <f t="shared" ref="AU7" si="48">(AT7-AT6)*4000</f>
        <v>5599.9999999985448</v>
      </c>
      <c r="AV7" s="195">
        <f t="shared" ref="AV7" si="49">+X7/SQRT(((POWER((X7),2)+(POWER((AU7),2)))))</f>
        <v>0.98651999596762208</v>
      </c>
      <c r="AW7" s="34"/>
      <c r="AX7" s="191"/>
      <c r="AY7" s="262">
        <f>'Reading.4.24'!X7</f>
        <v>28599.999999976717</v>
      </c>
      <c r="AZ7" s="262">
        <f>'Reading.4.24'!Y7</f>
        <v>25639.999999984866</v>
      </c>
      <c r="BA7" s="263">
        <f t="shared" ref="BA7" si="50">AY7+AZ7</f>
        <v>54239.999999961583</v>
      </c>
      <c r="BC7" s="154">
        <v>16</v>
      </c>
      <c r="BD7" s="267">
        <v>20</v>
      </c>
      <c r="BE7" s="221">
        <v>18</v>
      </c>
      <c r="BF7" s="223">
        <v>25</v>
      </c>
      <c r="BG7" s="222">
        <v>80</v>
      </c>
      <c r="BH7" s="267">
        <f>'Reading.4.24'!BD7</f>
        <v>16.100000000000001</v>
      </c>
      <c r="BI7" s="267">
        <f>'Reading.4.24'!BE7</f>
        <v>12</v>
      </c>
      <c r="BJ7" s="267">
        <f>'Reading.4.24'!BF7</f>
        <v>56</v>
      </c>
      <c r="BL7" s="151">
        <v>526</v>
      </c>
      <c r="BN7" s="189" t="str">
        <f>'Reading.4.24'!E4</f>
        <v>Sold</v>
      </c>
      <c r="BP7" s="33">
        <v>80432</v>
      </c>
      <c r="BQ7" s="33">
        <f t="shared" ref="BQ7" si="51">BP7-BP6</f>
        <v>32</v>
      </c>
      <c r="BR7" s="247">
        <f>'Reading.4.24'!BQ7</f>
        <v>18</v>
      </c>
      <c r="BT7" s="33">
        <v>96234</v>
      </c>
      <c r="BU7" s="33">
        <f t="shared" ref="BU7" si="52">BT7-BT6</f>
        <v>62</v>
      </c>
      <c r="BV7" s="247">
        <f>'Reading.4.24'!BU7</f>
        <v>34</v>
      </c>
      <c r="BX7" s="33">
        <v>4317</v>
      </c>
      <c r="BY7" s="33">
        <f t="shared" ref="BY7" si="53">BX7-BX6</f>
        <v>0</v>
      </c>
      <c r="BZ7" s="247">
        <f>'Reading.4.24'!BY7</f>
        <v>0</v>
      </c>
      <c r="CB7" s="33">
        <v>249030</v>
      </c>
      <c r="CC7" s="33">
        <f t="shared" ref="CC7" si="54">CB7-CB6</f>
        <v>80</v>
      </c>
      <c r="CD7" s="247">
        <f>'Reading.4.24'!CC7</f>
        <v>20</v>
      </c>
      <c r="CF7" s="33">
        <v>9170</v>
      </c>
      <c r="CG7" s="33">
        <f t="shared" ref="CG7" si="55">CF7-CF6</f>
        <v>10</v>
      </c>
      <c r="CH7" s="247">
        <f>'Reading.4.24'!CG7</f>
        <v>0</v>
      </c>
      <c r="CI7" s="33">
        <v>19771</v>
      </c>
      <c r="CJ7" s="33">
        <f t="shared" ref="CJ7" si="56">CI7-CI6</f>
        <v>0</v>
      </c>
      <c r="CK7" s="247">
        <f>'Reading.4.24'!CJ7</f>
        <v>0</v>
      </c>
      <c r="CM7" s="33">
        <f t="shared" ref="CM7" si="57">BQ7+BU7+BY7+CC7+CJ7</f>
        <v>174</v>
      </c>
      <c r="CN7" s="33">
        <f t="shared" ref="CN7" si="58">BR7+BV7+BZ7+CD7+CK7</f>
        <v>72</v>
      </c>
      <c r="CP7" s="33">
        <v>84400</v>
      </c>
      <c r="CQ7" s="33">
        <f t="shared" ref="CQ7" si="59">CP7-CP6</f>
        <v>620</v>
      </c>
      <c r="CR7" s="134">
        <f t="shared" ref="CR7" si="60">CQ7/G7</f>
        <v>0.82228116710875332</v>
      </c>
      <c r="CS7" s="247">
        <f>'Reading.4.24'!CN7</f>
        <v>148</v>
      </c>
      <c r="CT7" s="497">
        <f>'Reading.4.24'!CR7</f>
        <v>0.76086956521739135</v>
      </c>
      <c r="CV7" s="33">
        <v>420</v>
      </c>
      <c r="CW7" s="33">
        <f t="shared" ref="CW7" si="61">CV7-CV6</f>
        <v>1</v>
      </c>
      <c r="CX7" s="498">
        <f>'Reading.4.24'!CW7</f>
        <v>2</v>
      </c>
      <c r="CZ7" s="33">
        <v>2428</v>
      </c>
      <c r="DA7" s="33">
        <f t="shared" ref="DA7" si="62">CZ7-CZ6</f>
        <v>5</v>
      </c>
      <c r="DB7" s="247">
        <f>'Reading.4.24'!DA7</f>
        <v>2</v>
      </c>
      <c r="DD7" s="33">
        <v>1741445</v>
      </c>
      <c r="DE7" s="33">
        <f t="shared" ref="DE7" si="63">DD7-DD6</f>
        <v>995</v>
      </c>
      <c r="DF7" s="247">
        <f>'Reading.4.24'!DE7</f>
        <v>706</v>
      </c>
      <c r="DH7" s="33">
        <v>3951100</v>
      </c>
      <c r="DI7" s="33">
        <f t="shared" ref="DI7" si="64">DH7-DH6</f>
        <v>1800</v>
      </c>
      <c r="DJ7" s="247">
        <f>'Reading.4.24'!DI7</f>
        <v>1144</v>
      </c>
      <c r="DL7" s="33">
        <v>3367398</v>
      </c>
      <c r="DM7" s="33">
        <f t="shared" ref="DM7" si="65">DL7-DL6</f>
        <v>2015</v>
      </c>
      <c r="DN7" s="247">
        <f>'Reading.4.24'!DM7</f>
        <v>3552</v>
      </c>
      <c r="DP7" s="33">
        <v>2903962</v>
      </c>
      <c r="DQ7" s="33">
        <f t="shared" ref="DQ7" si="66">DP7-DP6</f>
        <v>1775</v>
      </c>
      <c r="DR7" s="247">
        <f>'Reading.4.24'!DQ7</f>
        <v>34</v>
      </c>
      <c r="DT7" s="33">
        <v>3582972</v>
      </c>
      <c r="DU7" s="33">
        <f t="shared" ref="DU7" si="67">DT7-DT6</f>
        <v>19</v>
      </c>
      <c r="DV7" s="247">
        <f>'Reading.4.24'!DU7</f>
        <v>31</v>
      </c>
      <c r="DX7" s="33">
        <v>720</v>
      </c>
      <c r="DZ7" s="33">
        <f t="shared" ref="DZ7" si="68">DM7+DQ7+DU7+DX7</f>
        <v>4529</v>
      </c>
      <c r="EA7" s="247">
        <f>'Reading.4.24'!DZ7</f>
        <v>4337</v>
      </c>
      <c r="EC7" s="196">
        <f t="shared" ref="EC7" si="69">C7*5.2</f>
        <v>2355.6</v>
      </c>
      <c r="ED7" s="281">
        <f>'Reading.4.24'!EC7</f>
        <v>2626</v>
      </c>
      <c r="EF7" s="33">
        <v>69645</v>
      </c>
      <c r="EG7" s="292">
        <f t="shared" ref="EG7" si="70">EF7-EF6</f>
        <v>47</v>
      </c>
      <c r="EH7" s="247">
        <f>'Reading.4.24'!EG7</f>
        <v>49</v>
      </c>
      <c r="EJ7" s="33">
        <v>32665</v>
      </c>
      <c r="EK7" s="292">
        <f t="shared" ref="EK7" si="71">EJ7-EJ6</f>
        <v>36</v>
      </c>
      <c r="EL7" s="247">
        <f>'Reading.4.24'!EK7</f>
        <v>17</v>
      </c>
      <c r="EN7" s="151">
        <v>35838</v>
      </c>
      <c r="EO7" s="491">
        <v>35716</v>
      </c>
      <c r="EP7" s="491">
        <v>34891</v>
      </c>
      <c r="EQ7" s="496">
        <f t="shared" ref="EQ7" si="72">(EN7-EN6)+(EO7-EO6)+(EP7-EP6)</f>
        <v>723</v>
      </c>
      <c r="ES7" s="151">
        <v>7036</v>
      </c>
      <c r="ET7" s="151">
        <f t="shared" ref="ET7" si="73">+ES7-ES6</f>
        <v>31</v>
      </c>
    </row>
    <row r="8" spans="1:157" x14ac:dyDescent="0.25">
      <c r="A8" s="298">
        <v>45750</v>
      </c>
      <c r="B8" s="33">
        <v>504871</v>
      </c>
      <c r="C8" s="33">
        <f t="shared" ref="C8" si="74">B8-B7</f>
        <v>752</v>
      </c>
      <c r="D8" s="33"/>
      <c r="E8" s="251">
        <v>695</v>
      </c>
      <c r="F8" s="490">
        <f t="shared" ref="F8" si="75">EQ8</f>
        <v>718</v>
      </c>
      <c r="G8" s="33">
        <f t="shared" ref="G8" si="76">F8+ET8</f>
        <v>753</v>
      </c>
      <c r="H8" s="190">
        <f>'Reading.4.24'!G8</f>
        <v>552</v>
      </c>
      <c r="I8" s="187"/>
      <c r="J8" s="33">
        <v>224353</v>
      </c>
      <c r="K8" s="189">
        <f t="shared" ref="K8" si="77">(J8-J7)*4.668</f>
        <v>289.416</v>
      </c>
      <c r="L8" s="258">
        <f>'Reading.4.24'!K8</f>
        <v>149.376</v>
      </c>
      <c r="M8" s="188"/>
      <c r="N8" s="33">
        <v>770945</v>
      </c>
      <c r="O8" s="189">
        <f t="shared" ref="O8" si="78">(N8-N7)*4.61</f>
        <v>742.21</v>
      </c>
      <c r="P8" s="258">
        <f>'Reading.4.24'!O8</f>
        <v>387.24</v>
      </c>
      <c r="Q8" s="34"/>
      <c r="R8" s="33">
        <v>65800</v>
      </c>
      <c r="S8" s="33"/>
      <c r="T8" s="33">
        <f t="shared" ref="T8" si="79">(R7+S7)-R8</f>
        <v>0</v>
      </c>
      <c r="U8" s="258">
        <f>'Reading.4.24'!T8</f>
        <v>0</v>
      </c>
      <c r="V8" s="34"/>
      <c r="W8" s="186">
        <v>48943.25</v>
      </c>
      <c r="X8" s="189">
        <f t="shared" ref="X8" si="80">(W8-W7)*4000</f>
        <v>35000</v>
      </c>
      <c r="Y8" s="258">
        <f>'Reading.4.24'!X8</f>
        <v>29160.000000003492</v>
      </c>
      <c r="Z8" s="34"/>
      <c r="AA8" s="266">
        <v>535860</v>
      </c>
      <c r="AB8" s="189">
        <f t="shared" ref="AB8" si="81">AA8-AA7</f>
        <v>0</v>
      </c>
      <c r="AC8" s="258">
        <f>'Reading.4.24'!AB8</f>
        <v>0</v>
      </c>
      <c r="AD8" s="34"/>
      <c r="AE8" s="260">
        <f t="shared" ref="AE8" si="82">+X8+AB8</f>
        <v>35000</v>
      </c>
      <c r="AF8" s="261">
        <f>'Reading.4.24'!AE8</f>
        <v>29160.000000003492</v>
      </c>
      <c r="AG8" s="259">
        <f t="shared" si="10"/>
        <v>26554.533333333333</v>
      </c>
      <c r="AH8" s="34"/>
      <c r="AI8" s="287">
        <v>0.84599999999999997</v>
      </c>
      <c r="AJ8" s="193">
        <f>'Reading.4.24'!AI8</f>
        <v>0.49430000000000002</v>
      </c>
      <c r="AK8" s="192">
        <v>0.65</v>
      </c>
      <c r="AL8" s="34"/>
      <c r="AM8" s="218">
        <f t="shared" ref="AM8" si="83">AI8*526</f>
        <v>444.99599999999998</v>
      </c>
      <c r="AN8" s="326">
        <f>'Reading.4.24'!AM8</f>
        <v>260</v>
      </c>
      <c r="AO8" s="194">
        <f>10257/30</f>
        <v>341.9</v>
      </c>
      <c r="AP8" s="34"/>
      <c r="AQ8" s="265">
        <f>333*4</f>
        <v>1332</v>
      </c>
      <c r="AR8" s="261">
        <f>'Reading.4.24'!AQ8</f>
        <v>1548</v>
      </c>
      <c r="AS8" s="34"/>
      <c r="AT8" s="196">
        <v>7561.84</v>
      </c>
      <c r="AU8" s="197">
        <f t="shared" ref="AU8" si="84">(AT8-AT7)*4000</f>
        <v>5240.0000000016007</v>
      </c>
      <c r="AV8" s="195">
        <f t="shared" ref="AV8" si="85">+X8/SQRT(((POWER((X8),2)+(POWER((AU8),2)))))</f>
        <v>0.98897776634660939</v>
      </c>
      <c r="AW8" s="34"/>
      <c r="AX8" s="191"/>
      <c r="AY8" s="262">
        <f>'Reading.4.24'!X8</f>
        <v>29160.000000003492</v>
      </c>
      <c r="AZ8" s="262">
        <f>'Reading.4.24'!Y8</f>
        <v>25760.000000009313</v>
      </c>
      <c r="BA8" s="263">
        <f t="shared" ref="BA8" si="86">AY8+AZ8</f>
        <v>54920.000000012806</v>
      </c>
      <c r="BC8" s="154">
        <v>16</v>
      </c>
      <c r="BD8" s="267">
        <v>20</v>
      </c>
      <c r="BE8" s="221">
        <v>18</v>
      </c>
      <c r="BF8" s="223">
        <v>25</v>
      </c>
      <c r="BG8" s="222">
        <v>80</v>
      </c>
      <c r="BH8" s="267">
        <f>'Reading.4.24'!BD8</f>
        <v>16.100000000000001</v>
      </c>
      <c r="BI8" s="267">
        <f>'Reading.4.24'!BE8</f>
        <v>12</v>
      </c>
      <c r="BJ8" s="267">
        <f>'Reading.4.24'!BF8</f>
        <v>56</v>
      </c>
      <c r="BL8" s="151">
        <v>526</v>
      </c>
      <c r="BN8" s="189">
        <f>'Reading.4.24'!E5</f>
        <v>0</v>
      </c>
      <c r="BP8" s="33">
        <v>80514</v>
      </c>
      <c r="BQ8" s="33">
        <f t="shared" ref="BQ8" si="87">BP8-BP7</f>
        <v>82</v>
      </c>
      <c r="BR8" s="247">
        <f>'Reading.4.24'!BQ8</f>
        <v>18</v>
      </c>
      <c r="BT8" s="33">
        <v>96295</v>
      </c>
      <c r="BU8" s="33">
        <f t="shared" ref="BU8" si="88">BT8-BT7</f>
        <v>61</v>
      </c>
      <c r="BV8" s="247">
        <f>'Reading.4.24'!BU8</f>
        <v>36</v>
      </c>
      <c r="BX8" s="33">
        <v>4317</v>
      </c>
      <c r="BY8" s="33">
        <f t="shared" ref="BY8" si="89">BX8-BX7</f>
        <v>0</v>
      </c>
      <c r="BZ8" s="247">
        <f>'Reading.4.24'!BY8</f>
        <v>0</v>
      </c>
      <c r="CB8" s="33">
        <v>249050</v>
      </c>
      <c r="CC8" s="33">
        <f t="shared" ref="CC8" si="90">CB8-CB7</f>
        <v>20</v>
      </c>
      <c r="CD8" s="247">
        <f>'Reading.4.24'!CC8</f>
        <v>30</v>
      </c>
      <c r="CF8" s="33">
        <v>9185</v>
      </c>
      <c r="CG8" s="33">
        <f t="shared" ref="CG8" si="91">CF8-CF7</f>
        <v>15</v>
      </c>
      <c r="CH8" s="247">
        <f>'Reading.4.24'!CG8</f>
        <v>10</v>
      </c>
      <c r="CI8" s="33">
        <v>19771</v>
      </c>
      <c r="CJ8" s="33">
        <f t="shared" ref="CJ8" si="92">CI8-CI7</f>
        <v>0</v>
      </c>
      <c r="CK8" s="247">
        <f>'Reading.4.24'!CJ8</f>
        <v>0</v>
      </c>
      <c r="CM8" s="33">
        <f t="shared" ref="CM8" si="93">BQ8+BU8+BY8+CC8+CJ8</f>
        <v>163</v>
      </c>
      <c r="CN8" s="33">
        <f t="shared" ref="CN8" si="94">BR8+BV8+BZ8+CD8+CK8</f>
        <v>84</v>
      </c>
      <c r="CP8" s="33">
        <v>84950</v>
      </c>
      <c r="CQ8" s="33">
        <f t="shared" ref="CQ8" si="95">CP8-CP7</f>
        <v>550</v>
      </c>
      <c r="CR8" s="134">
        <f t="shared" ref="CR8" si="96">CQ8/G8</f>
        <v>0.73041168658698541</v>
      </c>
      <c r="CS8" s="247">
        <f>'Reading.4.24'!CN8</f>
        <v>122</v>
      </c>
      <c r="CT8" s="497">
        <f>'Reading.4.24'!CR8</f>
        <v>0.66123188405797106</v>
      </c>
      <c r="CV8" s="33">
        <v>423</v>
      </c>
      <c r="CW8" s="33">
        <f t="shared" ref="CW8" si="97">CV8-CV7</f>
        <v>3</v>
      </c>
      <c r="CX8" s="498">
        <f>'Reading.4.24'!CW8</f>
        <v>2</v>
      </c>
      <c r="CZ8" s="33">
        <v>2429</v>
      </c>
      <c r="DA8" s="33">
        <f t="shared" ref="DA8" si="98">CZ8-CZ7</f>
        <v>1</v>
      </c>
      <c r="DB8" s="247">
        <f>'Reading.4.24'!DA8</f>
        <v>3</v>
      </c>
      <c r="DD8" s="33">
        <v>1742447</v>
      </c>
      <c r="DE8" s="33">
        <f t="shared" ref="DE8" si="99">DD8-DD7</f>
        <v>1002</v>
      </c>
      <c r="DF8" s="247">
        <f>'Reading.4.24'!DE8</f>
        <v>695</v>
      </c>
      <c r="DH8" s="33">
        <v>3952437</v>
      </c>
      <c r="DI8" s="33">
        <f t="shared" ref="DI8" si="100">DH8-DH7</f>
        <v>1337</v>
      </c>
      <c r="DJ8" s="247">
        <f>'Reading.4.24'!DI8</f>
        <v>1151</v>
      </c>
      <c r="DL8" s="33">
        <v>3369186</v>
      </c>
      <c r="DM8" s="33">
        <f t="shared" ref="DM8" si="101">DL8-DL7</f>
        <v>1788</v>
      </c>
      <c r="DN8" s="247">
        <f>'Reading.4.24'!DM8</f>
        <v>3782</v>
      </c>
      <c r="DP8" s="33">
        <v>2905512</v>
      </c>
      <c r="DQ8" s="33">
        <f t="shared" ref="DQ8" si="102">DP8-DP7</f>
        <v>1550</v>
      </c>
      <c r="DR8" s="247">
        <f>'Reading.4.24'!DQ8</f>
        <v>31</v>
      </c>
      <c r="DT8" s="33">
        <v>3582989</v>
      </c>
      <c r="DU8" s="33">
        <f t="shared" ref="DU8" si="103">DT8-DT7</f>
        <v>17</v>
      </c>
      <c r="DV8" s="247">
        <f>'Reading.4.24'!DU8</f>
        <v>32</v>
      </c>
      <c r="DX8" s="33">
        <v>720</v>
      </c>
      <c r="DZ8" s="33">
        <f t="shared" ref="DZ8" si="104">DM8+DQ8+DU8+DX8</f>
        <v>4075</v>
      </c>
      <c r="EA8" s="247">
        <f>'Reading.4.24'!DZ8</f>
        <v>4565</v>
      </c>
      <c r="EC8" s="196">
        <f t="shared" ref="EC8" si="105">C8*5.2</f>
        <v>3910.4</v>
      </c>
      <c r="ED8" s="281">
        <f>'Reading.4.24'!EC8</f>
        <v>3026.4</v>
      </c>
      <c r="EF8" s="33">
        <v>69779</v>
      </c>
      <c r="EG8" s="292">
        <f t="shared" ref="EG8" si="106">EF8-EF7</f>
        <v>134</v>
      </c>
      <c r="EH8" s="247">
        <f>'Reading.4.24'!EG8</f>
        <v>45</v>
      </c>
      <c r="EJ8" s="33">
        <v>32674</v>
      </c>
      <c r="EK8" s="292">
        <f t="shared" ref="EK8" si="107">EJ8-EJ7</f>
        <v>9</v>
      </c>
      <c r="EL8" s="247">
        <f>'Reading.4.24'!EK8</f>
        <v>25</v>
      </c>
      <c r="EN8" s="151">
        <v>36388</v>
      </c>
      <c r="EO8" s="491">
        <v>35763</v>
      </c>
      <c r="EP8" s="491">
        <v>35012</v>
      </c>
      <c r="EQ8" s="496">
        <f t="shared" ref="EQ8" si="108">(EN8-EN7)+(EO8-EO7)+(EP8-EP7)</f>
        <v>718</v>
      </c>
      <c r="ES8" s="151">
        <v>7071</v>
      </c>
      <c r="ET8" s="151">
        <f t="shared" ref="ET8" si="109">+ES8-ES7</f>
        <v>35</v>
      </c>
    </row>
    <row r="9" spans="1:157" x14ac:dyDescent="0.25">
      <c r="A9" s="298">
        <v>45751</v>
      </c>
      <c r="B9" s="33"/>
      <c r="C9" s="33"/>
      <c r="D9" s="33"/>
      <c r="E9" s="251"/>
      <c r="F9" s="490"/>
      <c r="G9" s="33"/>
      <c r="H9" s="190"/>
      <c r="I9" s="187"/>
      <c r="J9" s="33"/>
      <c r="K9" s="189"/>
      <c r="L9" s="258"/>
      <c r="M9" s="188"/>
      <c r="N9" s="33"/>
      <c r="O9" s="189"/>
      <c r="P9" s="258"/>
      <c r="Q9" s="34"/>
      <c r="R9" s="33"/>
      <c r="S9" s="33"/>
      <c r="T9" s="33"/>
      <c r="U9" s="258"/>
      <c r="V9" s="34"/>
      <c r="W9" s="186"/>
      <c r="X9" s="189"/>
      <c r="Y9" s="258"/>
      <c r="Z9" s="34"/>
      <c r="AA9" s="266"/>
      <c r="AB9" s="189"/>
      <c r="AC9" s="258"/>
      <c r="AD9" s="34"/>
      <c r="AE9" s="260"/>
      <c r="AF9" s="261"/>
      <c r="AG9" s="259"/>
      <c r="AH9" s="34"/>
      <c r="AI9" s="287"/>
      <c r="AJ9" s="193"/>
      <c r="AK9" s="192"/>
      <c r="AL9" s="34"/>
      <c r="AM9" s="218"/>
      <c r="AN9" s="326"/>
      <c r="AO9" s="194"/>
      <c r="AP9" s="34"/>
      <c r="AQ9" s="265"/>
      <c r="AR9" s="261"/>
      <c r="AS9" s="34"/>
      <c r="AT9" s="196"/>
      <c r="AU9" s="197"/>
      <c r="AV9" s="195"/>
      <c r="AW9" s="34"/>
      <c r="AX9" s="191"/>
      <c r="AY9" s="262"/>
      <c r="AZ9" s="262"/>
      <c r="BA9" s="263"/>
      <c r="BC9" s="154"/>
      <c r="BD9" s="267"/>
      <c r="BE9" s="221"/>
      <c r="BF9" s="223"/>
      <c r="BG9" s="222"/>
      <c r="BH9" s="267"/>
      <c r="BI9" s="267"/>
      <c r="BJ9" s="267"/>
      <c r="BL9" s="151"/>
      <c r="BN9" s="189"/>
      <c r="BP9" s="33"/>
      <c r="BQ9" s="33"/>
      <c r="BR9" s="247"/>
      <c r="BT9" s="33"/>
      <c r="BU9" s="33"/>
      <c r="BV9" s="247"/>
      <c r="BX9" s="33"/>
      <c r="BY9" s="33"/>
      <c r="BZ9" s="247"/>
      <c r="CB9" s="33"/>
      <c r="CC9" s="33"/>
      <c r="CD9" s="247"/>
      <c r="CF9" s="33"/>
      <c r="CG9" s="33"/>
      <c r="CH9" s="247"/>
      <c r="CI9" s="33"/>
      <c r="CJ9" s="33"/>
      <c r="CK9" s="247"/>
      <c r="CM9" s="33"/>
      <c r="CN9" s="33"/>
      <c r="CP9" s="33"/>
      <c r="CQ9" s="33"/>
      <c r="CR9" s="134"/>
      <c r="CS9" s="247"/>
      <c r="CT9" s="497"/>
      <c r="CV9" s="33"/>
      <c r="CW9" s="33"/>
      <c r="CX9" s="498"/>
      <c r="CZ9" s="33"/>
      <c r="DA9" s="33"/>
      <c r="DB9" s="247"/>
      <c r="DD9" s="33"/>
      <c r="DE9" s="33"/>
      <c r="DF9" s="247"/>
      <c r="DH9" s="33"/>
      <c r="DI9" s="33"/>
      <c r="DJ9" s="247"/>
      <c r="DL9" s="33"/>
      <c r="DM9" s="33"/>
      <c r="DN9" s="247"/>
      <c r="DP9" s="33"/>
      <c r="DQ9" s="33"/>
      <c r="DR9" s="247"/>
      <c r="DT9" s="33"/>
      <c r="DU9" s="33"/>
      <c r="DV9" s="247"/>
      <c r="DX9" s="33"/>
      <c r="DZ9" s="33"/>
      <c r="EA9" s="247"/>
      <c r="EC9" s="196"/>
      <c r="ED9" s="281"/>
      <c r="EF9" s="33"/>
      <c r="EG9" s="292"/>
      <c r="EH9" s="247"/>
      <c r="EJ9" s="33"/>
      <c r="EK9" s="292"/>
      <c r="EL9" s="247"/>
      <c r="EN9" s="151"/>
      <c r="EO9" s="491"/>
      <c r="EP9" s="491"/>
      <c r="EQ9" s="496"/>
      <c r="ES9" s="151"/>
      <c r="ET9" s="151"/>
    </row>
    <row r="10" spans="1:157" x14ac:dyDescent="0.25">
      <c r="A10" s="298">
        <v>45752</v>
      </c>
      <c r="B10" s="33"/>
      <c r="C10" s="33"/>
      <c r="D10" s="33"/>
      <c r="E10" s="251"/>
      <c r="F10" s="490"/>
      <c r="G10" s="33"/>
      <c r="H10" s="190"/>
      <c r="I10" s="187"/>
      <c r="J10" s="33"/>
      <c r="K10" s="189"/>
      <c r="L10" s="258"/>
      <c r="M10" s="188"/>
      <c r="N10" s="33"/>
      <c r="O10" s="189"/>
      <c r="P10" s="258"/>
      <c r="Q10" s="34"/>
      <c r="R10" s="33"/>
      <c r="S10" s="33"/>
      <c r="T10" s="33"/>
      <c r="U10" s="258"/>
      <c r="V10" s="34"/>
      <c r="W10" s="186"/>
      <c r="X10" s="189"/>
      <c r="Y10" s="258"/>
      <c r="Z10" s="34"/>
      <c r="AA10" s="266"/>
      <c r="AB10" s="189"/>
      <c r="AC10" s="258"/>
      <c r="AD10" s="34"/>
      <c r="AE10" s="260"/>
      <c r="AF10" s="261"/>
      <c r="AG10" s="259"/>
      <c r="AH10" s="34"/>
      <c r="AI10" s="287"/>
      <c r="AJ10" s="193"/>
      <c r="AK10" s="192"/>
      <c r="AL10" s="34"/>
      <c r="AM10" s="218"/>
      <c r="AN10" s="326"/>
      <c r="AO10" s="194"/>
      <c r="AP10" s="34"/>
      <c r="AQ10" s="265"/>
      <c r="AR10" s="261"/>
      <c r="AS10" s="34"/>
      <c r="AT10" s="196"/>
      <c r="AU10" s="197"/>
      <c r="AV10" s="195"/>
      <c r="AW10" s="34"/>
      <c r="AX10" s="191"/>
      <c r="AY10" s="262"/>
      <c r="AZ10" s="262"/>
      <c r="BA10" s="263"/>
      <c r="BC10" s="154"/>
      <c r="BD10" s="267"/>
      <c r="BE10" s="221"/>
      <c r="BF10" s="223"/>
      <c r="BG10" s="222"/>
      <c r="BH10" s="267"/>
      <c r="BI10" s="267"/>
      <c r="BJ10" s="267"/>
      <c r="BL10" s="151"/>
      <c r="BN10" s="189"/>
      <c r="BP10" s="33"/>
      <c r="BQ10" s="33"/>
      <c r="BR10" s="247"/>
      <c r="BT10" s="33"/>
      <c r="BU10" s="33"/>
      <c r="BV10" s="247"/>
      <c r="BX10" s="33"/>
      <c r="BY10" s="33"/>
      <c r="BZ10" s="247"/>
      <c r="CB10" s="33"/>
      <c r="CC10" s="33"/>
      <c r="CD10" s="247"/>
      <c r="CF10" s="33"/>
      <c r="CG10" s="33"/>
      <c r="CH10" s="247"/>
      <c r="CI10" s="33"/>
      <c r="CJ10" s="33"/>
      <c r="CK10" s="247"/>
      <c r="CM10" s="33"/>
      <c r="CN10" s="33"/>
      <c r="CP10" s="33"/>
      <c r="CQ10" s="33"/>
      <c r="CR10" s="134"/>
      <c r="CS10" s="247"/>
      <c r="CT10" s="497"/>
      <c r="CV10" s="33"/>
      <c r="CW10" s="33"/>
      <c r="CX10" s="498"/>
      <c r="CZ10" s="33"/>
      <c r="DA10" s="33"/>
      <c r="DB10" s="247"/>
      <c r="DD10" s="33"/>
      <c r="DE10" s="33"/>
      <c r="DF10" s="247"/>
      <c r="DH10" s="33"/>
      <c r="DI10" s="33"/>
      <c r="DJ10" s="247"/>
      <c r="DL10" s="33"/>
      <c r="DM10" s="33"/>
      <c r="DN10" s="247"/>
      <c r="DP10" s="33"/>
      <c r="DQ10" s="33"/>
      <c r="DR10" s="247"/>
      <c r="DT10" s="33"/>
      <c r="DU10" s="33"/>
      <c r="DV10" s="247"/>
      <c r="DX10" s="33"/>
      <c r="DZ10" s="33"/>
      <c r="EA10" s="247"/>
      <c r="EC10" s="196"/>
      <c r="ED10" s="281"/>
      <c r="EF10" s="33"/>
      <c r="EG10" s="292"/>
      <c r="EH10" s="247"/>
      <c r="EJ10" s="33"/>
      <c r="EK10" s="292"/>
      <c r="EL10" s="247"/>
      <c r="EN10" s="151"/>
      <c r="EO10" s="491"/>
      <c r="EP10" s="491"/>
      <c r="EQ10" s="496"/>
      <c r="ES10" s="151"/>
      <c r="ET10" s="151"/>
    </row>
    <row r="11" spans="1:157" x14ac:dyDescent="0.25">
      <c r="A11" s="298">
        <v>45753</v>
      </c>
      <c r="B11" s="33"/>
      <c r="C11" s="33"/>
      <c r="D11" s="33"/>
      <c r="E11" s="251"/>
      <c r="F11" s="490"/>
      <c r="G11" s="33"/>
      <c r="H11" s="190"/>
      <c r="I11" s="187"/>
      <c r="J11" s="33"/>
      <c r="K11" s="189"/>
      <c r="L11" s="258"/>
      <c r="M11" s="188"/>
      <c r="N11" s="33"/>
      <c r="O11" s="189"/>
      <c r="P11" s="258"/>
      <c r="Q11" s="34"/>
      <c r="R11" s="33"/>
      <c r="S11" s="33"/>
      <c r="T11" s="33"/>
      <c r="U11" s="258"/>
      <c r="V11" s="34"/>
      <c r="W11" s="186"/>
      <c r="X11" s="189"/>
      <c r="Y11" s="258"/>
      <c r="Z11" s="34"/>
      <c r="AA11" s="266"/>
      <c r="AB11" s="189"/>
      <c r="AC11" s="258"/>
      <c r="AD11" s="34"/>
      <c r="AE11" s="260"/>
      <c r="AF11" s="261"/>
      <c r="AG11" s="259"/>
      <c r="AH11" s="34"/>
      <c r="AI11" s="287"/>
      <c r="AJ11" s="193"/>
      <c r="AK11" s="192"/>
      <c r="AL11" s="34"/>
      <c r="AM11" s="218"/>
      <c r="AN11" s="326"/>
      <c r="AO11" s="194"/>
      <c r="AP11" s="34"/>
      <c r="AQ11" s="265"/>
      <c r="AR11" s="261"/>
      <c r="AS11" s="34"/>
      <c r="AT11" s="196"/>
      <c r="AU11" s="197"/>
      <c r="AV11" s="195"/>
      <c r="AW11" s="34"/>
      <c r="AX11" s="191"/>
      <c r="AY11" s="262"/>
      <c r="AZ11" s="262"/>
      <c r="BA11" s="263"/>
      <c r="BC11" s="154"/>
      <c r="BD11" s="267"/>
      <c r="BE11" s="221"/>
      <c r="BF11" s="223"/>
      <c r="BG11" s="222"/>
      <c r="BH11" s="267"/>
      <c r="BI11" s="267"/>
      <c r="BJ11" s="267"/>
      <c r="BL11" s="151"/>
      <c r="BN11" s="189"/>
      <c r="BP11" s="33"/>
      <c r="BQ11" s="33"/>
      <c r="BR11" s="247"/>
      <c r="BT11" s="33"/>
      <c r="BU11" s="33"/>
      <c r="BV11" s="247"/>
      <c r="BX11" s="33"/>
      <c r="BY11" s="33"/>
      <c r="BZ11" s="247"/>
      <c r="CB11" s="33"/>
      <c r="CC11" s="33"/>
      <c r="CD11" s="247"/>
      <c r="CF11" s="33"/>
      <c r="CG11" s="33"/>
      <c r="CH11" s="247"/>
      <c r="CI11" s="33"/>
      <c r="CJ11" s="33"/>
      <c r="CK11" s="247"/>
      <c r="CM11" s="33"/>
      <c r="CN11" s="33"/>
      <c r="CP11" s="33"/>
      <c r="CQ11" s="33"/>
      <c r="CR11" s="134"/>
      <c r="CS11" s="247"/>
      <c r="CT11" s="497"/>
      <c r="CV11" s="33"/>
      <c r="CW11" s="33"/>
      <c r="CX11" s="498"/>
      <c r="CZ11" s="33"/>
      <c r="DA11" s="33"/>
      <c r="DB11" s="247"/>
      <c r="DD11" s="33"/>
      <c r="DE11" s="33"/>
      <c r="DF11" s="247"/>
      <c r="DH11" s="33"/>
      <c r="DI11" s="33"/>
      <c r="DJ11" s="247"/>
      <c r="DL11" s="33"/>
      <c r="DM11" s="33"/>
      <c r="DN11" s="247"/>
      <c r="DP11" s="33"/>
      <c r="DQ11" s="33"/>
      <c r="DR11" s="247"/>
      <c r="DT11" s="33"/>
      <c r="DU11" s="33"/>
      <c r="DV11" s="247"/>
      <c r="DX11" s="33"/>
      <c r="DZ11" s="33"/>
      <c r="EA11" s="247"/>
      <c r="EC11" s="196"/>
      <c r="ED11" s="281"/>
      <c r="EF11" s="33"/>
      <c r="EG11" s="292"/>
      <c r="EH11" s="247"/>
      <c r="EJ11" s="33"/>
      <c r="EK11" s="292"/>
      <c r="EL11" s="247"/>
      <c r="EN11" s="151"/>
      <c r="EO11" s="491"/>
      <c r="EP11" s="491"/>
      <c r="EQ11" s="496"/>
      <c r="ES11" s="151"/>
      <c r="ET11" s="151"/>
    </row>
    <row r="12" spans="1:157" x14ac:dyDescent="0.25">
      <c r="A12" s="298">
        <v>45754</v>
      </c>
      <c r="B12" s="33"/>
      <c r="C12" s="33"/>
      <c r="D12" s="33"/>
      <c r="E12" s="251"/>
      <c r="F12" s="490"/>
      <c r="G12" s="33"/>
      <c r="H12" s="190"/>
      <c r="I12" s="187"/>
      <c r="J12" s="33"/>
      <c r="K12" s="189"/>
      <c r="L12" s="258"/>
      <c r="M12" s="188"/>
      <c r="N12" s="33"/>
      <c r="O12" s="189"/>
      <c r="P12" s="258"/>
      <c r="Q12" s="34"/>
      <c r="R12" s="33"/>
      <c r="S12" s="33"/>
      <c r="T12" s="33"/>
      <c r="U12" s="258"/>
      <c r="V12" s="34"/>
      <c r="W12" s="186"/>
      <c r="X12" s="189"/>
      <c r="Y12" s="258"/>
      <c r="Z12" s="34"/>
      <c r="AA12" s="266"/>
      <c r="AB12" s="189"/>
      <c r="AC12" s="258"/>
      <c r="AD12" s="34"/>
      <c r="AE12" s="260"/>
      <c r="AF12" s="261"/>
      <c r="AG12" s="259"/>
      <c r="AH12" s="34"/>
      <c r="AI12" s="287"/>
      <c r="AJ12" s="193"/>
      <c r="AK12" s="192"/>
      <c r="AL12" s="34"/>
      <c r="AM12" s="218"/>
      <c r="AN12" s="326"/>
      <c r="AO12" s="194"/>
      <c r="AP12" s="34"/>
      <c r="AQ12" s="265"/>
      <c r="AR12" s="261"/>
      <c r="AS12" s="34"/>
      <c r="AT12" s="196"/>
      <c r="AU12" s="197"/>
      <c r="AV12" s="195"/>
      <c r="AW12" s="34"/>
      <c r="AX12" s="191"/>
      <c r="AY12" s="262"/>
      <c r="AZ12" s="262"/>
      <c r="BA12" s="263"/>
      <c r="BC12" s="154"/>
      <c r="BD12" s="267"/>
      <c r="BE12" s="221"/>
      <c r="BF12" s="223"/>
      <c r="BG12" s="222"/>
      <c r="BH12" s="267"/>
      <c r="BI12" s="267"/>
      <c r="BJ12" s="267"/>
      <c r="BL12" s="151"/>
      <c r="BN12" s="189"/>
      <c r="BP12" s="33"/>
      <c r="BQ12" s="33"/>
      <c r="BR12" s="247"/>
      <c r="BT12" s="33"/>
      <c r="BU12" s="33"/>
      <c r="BV12" s="247"/>
      <c r="BX12" s="33"/>
      <c r="BY12" s="33"/>
      <c r="BZ12" s="247"/>
      <c r="CB12" s="33"/>
      <c r="CC12" s="33"/>
      <c r="CD12" s="247"/>
      <c r="CF12" s="33"/>
      <c r="CG12" s="33"/>
      <c r="CH12" s="247"/>
      <c r="CI12" s="33"/>
      <c r="CJ12" s="33"/>
      <c r="CK12" s="247"/>
      <c r="CM12" s="33"/>
      <c r="CN12" s="33"/>
      <c r="CP12" s="33"/>
      <c r="CQ12" s="33"/>
      <c r="CR12" s="134"/>
      <c r="CS12" s="247"/>
      <c r="CT12" s="497"/>
      <c r="CV12" s="33"/>
      <c r="CW12" s="33"/>
      <c r="CX12" s="498"/>
      <c r="CZ12" s="33"/>
      <c r="DA12" s="33"/>
      <c r="DB12" s="247"/>
      <c r="DD12" s="33"/>
      <c r="DE12" s="33"/>
      <c r="DF12" s="247"/>
      <c r="DH12" s="33"/>
      <c r="DI12" s="33"/>
      <c r="DJ12" s="247"/>
      <c r="DL12" s="33"/>
      <c r="DM12" s="33"/>
      <c r="DN12" s="247"/>
      <c r="DP12" s="33"/>
      <c r="DQ12" s="33"/>
      <c r="DR12" s="247"/>
      <c r="DT12" s="33"/>
      <c r="DU12" s="33"/>
      <c r="DV12" s="247"/>
      <c r="DX12" s="33"/>
      <c r="DZ12" s="33"/>
      <c r="EA12" s="247"/>
      <c r="EC12" s="196"/>
      <c r="ED12" s="281"/>
      <c r="EF12" s="33"/>
      <c r="EG12" s="292"/>
      <c r="EH12" s="247"/>
      <c r="EJ12" s="33"/>
      <c r="EK12" s="292"/>
      <c r="EL12" s="247"/>
      <c r="EN12" s="151"/>
      <c r="EO12" s="491"/>
      <c r="EP12" s="491"/>
      <c r="EQ12" s="496"/>
      <c r="ES12" s="151"/>
      <c r="ET12" s="151"/>
    </row>
    <row r="13" spans="1:157" x14ac:dyDescent="0.25">
      <c r="A13" s="298">
        <v>45755</v>
      </c>
      <c r="B13" s="33"/>
      <c r="C13" s="33"/>
      <c r="D13" s="33"/>
      <c r="E13" s="251"/>
      <c r="F13" s="490"/>
      <c r="G13" s="33"/>
      <c r="H13" s="190"/>
      <c r="I13" s="187"/>
      <c r="J13" s="33"/>
      <c r="K13" s="189"/>
      <c r="L13" s="258"/>
      <c r="M13" s="188"/>
      <c r="N13" s="33"/>
      <c r="O13" s="189"/>
      <c r="P13" s="258"/>
      <c r="Q13" s="34"/>
      <c r="R13" s="33"/>
      <c r="S13" s="33"/>
      <c r="T13" s="33"/>
      <c r="U13" s="258"/>
      <c r="V13" s="34"/>
      <c r="W13" s="186"/>
      <c r="X13" s="189"/>
      <c r="Y13" s="258"/>
      <c r="Z13" s="34"/>
      <c r="AA13" s="266"/>
      <c r="AB13" s="189"/>
      <c r="AC13" s="258"/>
      <c r="AD13" s="34"/>
      <c r="AE13" s="260"/>
      <c r="AF13" s="261"/>
      <c r="AG13" s="259"/>
      <c r="AH13" s="34"/>
      <c r="AI13" s="287"/>
      <c r="AJ13" s="193"/>
      <c r="AK13" s="192"/>
      <c r="AL13" s="34"/>
      <c r="AM13" s="218"/>
      <c r="AN13" s="326"/>
      <c r="AO13" s="194"/>
      <c r="AP13" s="34"/>
      <c r="AQ13" s="265"/>
      <c r="AR13" s="261"/>
      <c r="AS13" s="34"/>
      <c r="AT13" s="196"/>
      <c r="AU13" s="197"/>
      <c r="AV13" s="195"/>
      <c r="AW13" s="34"/>
      <c r="AX13" s="191"/>
      <c r="AY13" s="262"/>
      <c r="AZ13" s="262"/>
      <c r="BA13" s="263"/>
      <c r="BC13" s="154"/>
      <c r="BD13" s="267"/>
      <c r="BE13" s="221"/>
      <c r="BF13" s="223"/>
      <c r="BG13" s="222"/>
      <c r="BH13" s="267"/>
      <c r="BI13" s="267"/>
      <c r="BJ13" s="267"/>
      <c r="BL13" s="151"/>
      <c r="BN13" s="189"/>
      <c r="BP13" s="33"/>
      <c r="BQ13" s="33"/>
      <c r="BR13" s="247"/>
      <c r="BT13" s="33"/>
      <c r="BU13" s="33"/>
      <c r="BV13" s="247"/>
      <c r="BX13" s="33"/>
      <c r="BY13" s="33"/>
      <c r="BZ13" s="247"/>
      <c r="CB13" s="33"/>
      <c r="CC13" s="33"/>
      <c r="CD13" s="247"/>
      <c r="CF13" s="33"/>
      <c r="CG13" s="33"/>
      <c r="CH13" s="247"/>
      <c r="CI13" s="33"/>
      <c r="CJ13" s="33"/>
      <c r="CK13" s="247"/>
      <c r="CM13" s="33"/>
      <c r="CN13" s="33"/>
      <c r="CP13" s="33"/>
      <c r="CQ13" s="33"/>
      <c r="CR13" s="134"/>
      <c r="CS13" s="247"/>
      <c r="CT13" s="497"/>
      <c r="CV13" s="33"/>
      <c r="CW13" s="33"/>
      <c r="CX13" s="498"/>
      <c r="CZ13" s="33"/>
      <c r="DA13" s="33"/>
      <c r="DB13" s="247"/>
      <c r="DD13" s="33"/>
      <c r="DE13" s="33"/>
      <c r="DF13" s="247"/>
      <c r="DH13" s="33"/>
      <c r="DI13" s="33"/>
      <c r="DJ13" s="247"/>
      <c r="DL13" s="33"/>
      <c r="DM13" s="33"/>
      <c r="DN13" s="247"/>
      <c r="DP13" s="33"/>
      <c r="DQ13" s="33"/>
      <c r="DR13" s="247"/>
      <c r="DT13" s="33"/>
      <c r="DU13" s="33"/>
      <c r="DV13" s="247"/>
      <c r="DX13" s="33"/>
      <c r="DZ13" s="33"/>
      <c r="EA13" s="247"/>
      <c r="EC13" s="196"/>
      <c r="ED13" s="281"/>
      <c r="EF13" s="33"/>
      <c r="EG13" s="292"/>
      <c r="EH13" s="247"/>
      <c r="EJ13" s="33"/>
      <c r="EK13" s="292"/>
      <c r="EL13" s="247"/>
      <c r="EN13" s="151"/>
      <c r="EO13" s="491"/>
      <c r="EP13" s="491"/>
      <c r="EQ13" s="496"/>
      <c r="ES13" s="151"/>
      <c r="ET13" s="151"/>
      <c r="FA13" s="43"/>
    </row>
    <row r="14" spans="1:157" x14ac:dyDescent="0.25">
      <c r="A14" s="298">
        <v>45756</v>
      </c>
      <c r="B14" s="33"/>
      <c r="C14" s="33"/>
      <c r="D14" s="33"/>
      <c r="E14" s="251"/>
      <c r="F14" s="490"/>
      <c r="G14" s="33"/>
      <c r="H14" s="190"/>
      <c r="I14" s="187"/>
      <c r="J14" s="33"/>
      <c r="K14" s="189"/>
      <c r="L14" s="258"/>
      <c r="M14" s="188"/>
      <c r="N14" s="33"/>
      <c r="O14" s="189"/>
      <c r="P14" s="258"/>
      <c r="Q14" s="34"/>
      <c r="R14" s="33"/>
      <c r="S14" s="33"/>
      <c r="T14" s="33"/>
      <c r="U14" s="258"/>
      <c r="V14" s="34"/>
      <c r="W14" s="186"/>
      <c r="X14" s="189"/>
      <c r="Y14" s="258"/>
      <c r="Z14" s="34"/>
      <c r="AA14" s="266"/>
      <c r="AB14" s="189"/>
      <c r="AC14" s="258"/>
      <c r="AD14" s="34"/>
      <c r="AE14" s="260"/>
      <c r="AF14" s="261"/>
      <c r="AG14" s="259"/>
      <c r="AH14" s="34"/>
      <c r="AI14" s="287"/>
      <c r="AJ14" s="193"/>
      <c r="AK14" s="192"/>
      <c r="AL14" s="34"/>
      <c r="AM14" s="218"/>
      <c r="AN14" s="326"/>
      <c r="AO14" s="194"/>
      <c r="AP14" s="34"/>
      <c r="AQ14" s="265"/>
      <c r="AR14" s="261"/>
      <c r="AS14" s="34"/>
      <c r="AT14" s="196"/>
      <c r="AU14" s="197"/>
      <c r="AV14" s="195"/>
      <c r="AW14" s="34"/>
      <c r="AX14" s="191"/>
      <c r="AY14" s="262"/>
      <c r="AZ14" s="262"/>
      <c r="BA14" s="263"/>
      <c r="BC14" s="154"/>
      <c r="BD14" s="267"/>
      <c r="BE14" s="221"/>
      <c r="BF14" s="223"/>
      <c r="BG14" s="222"/>
      <c r="BH14" s="267"/>
      <c r="BI14" s="267"/>
      <c r="BJ14" s="267"/>
      <c r="BL14" s="151"/>
      <c r="BN14" s="189"/>
      <c r="BP14" s="33"/>
      <c r="BQ14" s="33"/>
      <c r="BR14" s="247"/>
      <c r="BT14" s="33"/>
      <c r="BU14" s="33"/>
      <c r="BV14" s="247"/>
      <c r="BX14" s="33"/>
      <c r="BY14" s="33"/>
      <c r="BZ14" s="247"/>
      <c r="CB14" s="33"/>
      <c r="CC14" s="33"/>
      <c r="CD14" s="247"/>
      <c r="CF14" s="33"/>
      <c r="CG14" s="33"/>
      <c r="CH14" s="247"/>
      <c r="CI14" s="33"/>
      <c r="CJ14" s="33"/>
      <c r="CK14" s="247"/>
      <c r="CM14" s="33"/>
      <c r="CN14" s="33"/>
      <c r="CP14" s="33"/>
      <c r="CQ14" s="33"/>
      <c r="CR14" s="134"/>
      <c r="CS14" s="247"/>
      <c r="CT14" s="497"/>
      <c r="CV14" s="33"/>
      <c r="CW14" s="33"/>
      <c r="CX14" s="498"/>
      <c r="CZ14" s="33"/>
      <c r="DA14" s="33"/>
      <c r="DB14" s="247"/>
      <c r="DD14" s="33"/>
      <c r="DE14" s="33"/>
      <c r="DF14" s="247"/>
      <c r="DH14" s="33"/>
      <c r="DI14" s="33"/>
      <c r="DJ14" s="247"/>
      <c r="DL14" s="33"/>
      <c r="DM14" s="33"/>
      <c r="DN14" s="247"/>
      <c r="DP14" s="33"/>
      <c r="DQ14" s="33"/>
      <c r="DR14" s="247"/>
      <c r="DT14" s="33"/>
      <c r="DU14" s="33"/>
      <c r="DV14" s="247"/>
      <c r="DX14" s="33"/>
      <c r="DZ14" s="33"/>
      <c r="EA14" s="247"/>
      <c r="EC14" s="196"/>
      <c r="ED14" s="281"/>
      <c r="EF14" s="33"/>
      <c r="EG14" s="292"/>
      <c r="EH14" s="247"/>
      <c r="EJ14" s="33"/>
      <c r="EK14" s="292"/>
      <c r="EL14" s="247"/>
      <c r="EN14" s="151"/>
      <c r="EO14" s="491"/>
      <c r="EP14" s="491"/>
      <c r="EQ14" s="496"/>
      <c r="ES14" s="151"/>
      <c r="ET14" s="151"/>
    </row>
    <row r="15" spans="1:157" x14ac:dyDescent="0.25">
      <c r="A15" s="298">
        <v>45757</v>
      </c>
      <c r="B15" s="33"/>
      <c r="C15" s="33"/>
      <c r="D15" s="33"/>
      <c r="E15" s="251"/>
      <c r="F15" s="490"/>
      <c r="G15" s="33"/>
      <c r="H15" s="190"/>
      <c r="I15" s="187"/>
      <c r="J15" s="33"/>
      <c r="K15" s="189"/>
      <c r="L15" s="258"/>
      <c r="M15" s="188"/>
      <c r="N15" s="33"/>
      <c r="O15" s="189"/>
      <c r="P15" s="258"/>
      <c r="Q15" s="34"/>
      <c r="R15" s="33"/>
      <c r="S15" s="33"/>
      <c r="T15" s="33"/>
      <c r="U15" s="258"/>
      <c r="V15" s="34"/>
      <c r="W15" s="186"/>
      <c r="X15" s="189"/>
      <c r="Y15" s="258"/>
      <c r="Z15" s="34"/>
      <c r="AA15" s="266"/>
      <c r="AB15" s="189"/>
      <c r="AC15" s="258"/>
      <c r="AD15" s="34"/>
      <c r="AE15" s="260"/>
      <c r="AF15" s="261"/>
      <c r="AG15" s="259"/>
      <c r="AH15" s="34"/>
      <c r="AI15" s="287"/>
      <c r="AJ15" s="193"/>
      <c r="AK15" s="192"/>
      <c r="AL15" s="34"/>
      <c r="AM15" s="218"/>
      <c r="AN15" s="326"/>
      <c r="AO15" s="194"/>
      <c r="AP15" s="34"/>
      <c r="AQ15" s="265"/>
      <c r="AR15" s="261"/>
      <c r="AS15" s="34"/>
      <c r="AT15" s="196"/>
      <c r="AU15" s="197"/>
      <c r="AV15" s="195"/>
      <c r="AW15" s="34"/>
      <c r="AX15" s="191"/>
      <c r="AY15" s="262"/>
      <c r="AZ15" s="262"/>
      <c r="BA15" s="263"/>
      <c r="BC15" s="154"/>
      <c r="BD15" s="267"/>
      <c r="BE15" s="221"/>
      <c r="BF15" s="223"/>
      <c r="BG15" s="222"/>
      <c r="BH15" s="267"/>
      <c r="BI15" s="267"/>
      <c r="BJ15" s="267"/>
      <c r="BL15" s="151"/>
      <c r="BN15" s="189"/>
      <c r="BP15" s="33"/>
      <c r="BQ15" s="33"/>
      <c r="BR15" s="247"/>
      <c r="BT15" s="33"/>
      <c r="BU15" s="33"/>
      <c r="BV15" s="247"/>
      <c r="BX15" s="33"/>
      <c r="BY15" s="33"/>
      <c r="BZ15" s="247"/>
      <c r="CB15" s="33"/>
      <c r="CC15" s="33"/>
      <c r="CD15" s="247"/>
      <c r="CF15" s="33"/>
      <c r="CG15" s="33"/>
      <c r="CH15" s="247"/>
      <c r="CI15" s="33"/>
      <c r="CJ15" s="33"/>
      <c r="CK15" s="247"/>
      <c r="CM15" s="33"/>
      <c r="CN15" s="33"/>
      <c r="CP15" s="33"/>
      <c r="CQ15" s="33"/>
      <c r="CR15" s="134"/>
      <c r="CS15" s="247"/>
      <c r="CT15" s="497"/>
      <c r="CV15" s="33"/>
      <c r="CW15" s="33"/>
      <c r="CX15" s="498"/>
      <c r="CZ15" s="33"/>
      <c r="DA15" s="33"/>
      <c r="DB15" s="247"/>
      <c r="DD15" s="33"/>
      <c r="DE15" s="33"/>
      <c r="DF15" s="247"/>
      <c r="DH15" s="33"/>
      <c r="DI15" s="33"/>
      <c r="DJ15" s="247"/>
      <c r="DL15" s="33"/>
      <c r="DM15" s="33"/>
      <c r="DN15" s="247"/>
      <c r="DP15" s="33"/>
      <c r="DQ15" s="33"/>
      <c r="DR15" s="247"/>
      <c r="DT15" s="33"/>
      <c r="DU15" s="33"/>
      <c r="DV15" s="247"/>
      <c r="DX15" s="33"/>
      <c r="DZ15" s="33"/>
      <c r="EA15" s="247"/>
      <c r="EC15" s="196"/>
      <c r="ED15" s="281"/>
      <c r="EF15" s="33"/>
      <c r="EG15" s="292"/>
      <c r="EH15" s="247"/>
      <c r="EJ15" s="33"/>
      <c r="EK15" s="292"/>
      <c r="EL15" s="247"/>
      <c r="EN15" s="151"/>
      <c r="EO15" s="491"/>
      <c r="EP15" s="491"/>
      <c r="EQ15" s="496"/>
      <c r="ES15" s="151"/>
      <c r="ET15" s="151"/>
    </row>
    <row r="16" spans="1:157" x14ac:dyDescent="0.25">
      <c r="A16" s="298">
        <v>45758</v>
      </c>
      <c r="B16" s="33"/>
      <c r="C16" s="33"/>
      <c r="D16" s="33"/>
      <c r="E16" s="251"/>
      <c r="F16" s="490"/>
      <c r="G16" s="33"/>
      <c r="H16" s="190"/>
      <c r="I16" s="187"/>
      <c r="J16" s="33"/>
      <c r="K16" s="189"/>
      <c r="L16" s="258"/>
      <c r="M16" s="188"/>
      <c r="N16" s="33"/>
      <c r="O16" s="189"/>
      <c r="P16" s="258"/>
      <c r="Q16" s="34"/>
      <c r="R16" s="33"/>
      <c r="S16" s="33"/>
      <c r="T16" s="33"/>
      <c r="U16" s="258"/>
      <c r="V16" s="34"/>
      <c r="W16" s="186"/>
      <c r="X16" s="189"/>
      <c r="Y16" s="258"/>
      <c r="Z16" s="34"/>
      <c r="AA16" s="266"/>
      <c r="AB16" s="189"/>
      <c r="AC16" s="258"/>
      <c r="AD16" s="34"/>
      <c r="AE16" s="260"/>
      <c r="AF16" s="261"/>
      <c r="AG16" s="259"/>
      <c r="AH16" s="34"/>
      <c r="AI16" s="287"/>
      <c r="AJ16" s="193"/>
      <c r="AK16" s="192"/>
      <c r="AL16" s="34"/>
      <c r="AM16" s="218"/>
      <c r="AN16" s="326"/>
      <c r="AO16" s="194"/>
      <c r="AP16" s="34"/>
      <c r="AQ16" s="265"/>
      <c r="AR16" s="261"/>
      <c r="AS16" s="34"/>
      <c r="AT16" s="196"/>
      <c r="AU16" s="197"/>
      <c r="AV16" s="195"/>
      <c r="AW16" s="34"/>
      <c r="AX16" s="191"/>
      <c r="AY16" s="262"/>
      <c r="AZ16" s="262"/>
      <c r="BA16" s="263"/>
      <c r="BC16" s="154"/>
      <c r="BD16" s="267"/>
      <c r="BE16" s="221"/>
      <c r="BF16" s="223"/>
      <c r="BG16" s="222"/>
      <c r="BH16" s="267"/>
      <c r="BI16" s="267"/>
      <c r="BJ16" s="267"/>
      <c r="BL16" s="151"/>
      <c r="BN16" s="189"/>
      <c r="BP16" s="33"/>
      <c r="BQ16" s="33"/>
      <c r="BR16" s="247"/>
      <c r="BT16" s="33"/>
      <c r="BU16" s="33"/>
      <c r="BV16" s="247"/>
      <c r="BX16" s="33"/>
      <c r="BY16" s="33"/>
      <c r="BZ16" s="247"/>
      <c r="CB16" s="33"/>
      <c r="CC16" s="33"/>
      <c r="CD16" s="247"/>
      <c r="CF16" s="33"/>
      <c r="CG16" s="33"/>
      <c r="CH16" s="247"/>
      <c r="CI16" s="33"/>
      <c r="CJ16" s="33"/>
      <c r="CK16" s="247"/>
      <c r="CM16" s="33"/>
      <c r="CN16" s="33"/>
      <c r="CP16" s="33"/>
      <c r="CQ16" s="33"/>
      <c r="CR16" s="134"/>
      <c r="CS16" s="247"/>
      <c r="CT16" s="497"/>
      <c r="CV16" s="33"/>
      <c r="CW16" s="33"/>
      <c r="CX16" s="498"/>
      <c r="CZ16" s="33"/>
      <c r="DA16" s="33"/>
      <c r="DB16" s="247"/>
      <c r="DD16" s="33"/>
      <c r="DE16" s="33"/>
      <c r="DF16" s="247"/>
      <c r="DH16" s="33"/>
      <c r="DI16" s="33"/>
      <c r="DJ16" s="247"/>
      <c r="DL16" s="33"/>
      <c r="DM16" s="33"/>
      <c r="DN16" s="247"/>
      <c r="DP16" s="33"/>
      <c r="DQ16" s="33"/>
      <c r="DR16" s="247"/>
      <c r="DT16" s="33"/>
      <c r="DU16" s="33"/>
      <c r="DV16" s="247"/>
      <c r="DX16" s="33"/>
      <c r="DZ16" s="33"/>
      <c r="EA16" s="247"/>
      <c r="EC16" s="196"/>
      <c r="ED16" s="281"/>
      <c r="EF16" s="33"/>
      <c r="EG16" s="292"/>
      <c r="EH16" s="247"/>
      <c r="EJ16" s="33"/>
      <c r="EK16" s="292"/>
      <c r="EL16" s="247"/>
      <c r="EN16" s="151"/>
      <c r="EO16" s="491"/>
      <c r="EP16" s="491"/>
      <c r="EQ16" s="496"/>
      <c r="ES16" s="151"/>
      <c r="ET16" s="151"/>
    </row>
    <row r="17" spans="1:150" x14ac:dyDescent="0.25">
      <c r="A17" s="298">
        <v>45759</v>
      </c>
      <c r="B17" s="33"/>
      <c r="C17" s="33"/>
      <c r="D17" s="33"/>
      <c r="E17" s="251"/>
      <c r="F17" s="490"/>
      <c r="G17" s="33"/>
      <c r="H17" s="190"/>
      <c r="I17" s="187"/>
      <c r="J17" s="33"/>
      <c r="K17" s="189"/>
      <c r="L17" s="258"/>
      <c r="M17" s="188"/>
      <c r="N17" s="33"/>
      <c r="O17" s="189"/>
      <c r="P17" s="258"/>
      <c r="Q17" s="34"/>
      <c r="R17" s="33"/>
      <c r="S17" s="33"/>
      <c r="T17" s="33"/>
      <c r="U17" s="258"/>
      <c r="V17" s="34"/>
      <c r="W17" s="186"/>
      <c r="X17" s="189"/>
      <c r="Y17" s="258"/>
      <c r="Z17" s="34"/>
      <c r="AA17" s="266"/>
      <c r="AB17" s="189"/>
      <c r="AC17" s="258"/>
      <c r="AD17" s="34"/>
      <c r="AE17" s="260"/>
      <c r="AF17" s="261"/>
      <c r="AG17" s="259"/>
      <c r="AH17" s="34"/>
      <c r="AI17" s="287"/>
      <c r="AJ17" s="193"/>
      <c r="AK17" s="192"/>
      <c r="AL17" s="34"/>
      <c r="AM17" s="218"/>
      <c r="AN17" s="326"/>
      <c r="AO17" s="194"/>
      <c r="AP17" s="34"/>
      <c r="AQ17" s="265"/>
      <c r="AR17" s="261"/>
      <c r="AS17" s="34"/>
      <c r="AT17" s="196"/>
      <c r="AU17" s="197"/>
      <c r="AV17" s="195"/>
      <c r="AW17" s="34"/>
      <c r="AX17" s="191"/>
      <c r="AY17" s="262"/>
      <c r="AZ17" s="262"/>
      <c r="BA17" s="263"/>
      <c r="BC17" s="154"/>
      <c r="BD17" s="267"/>
      <c r="BE17" s="221"/>
      <c r="BF17" s="223"/>
      <c r="BG17" s="222"/>
      <c r="BH17" s="267"/>
      <c r="BI17" s="267"/>
      <c r="BJ17" s="267"/>
      <c r="BL17" s="151"/>
      <c r="BN17" s="189"/>
      <c r="BP17" s="33"/>
      <c r="BQ17" s="33"/>
      <c r="BR17" s="247"/>
      <c r="BT17" s="33"/>
      <c r="BU17" s="33"/>
      <c r="BV17" s="247"/>
      <c r="BX17" s="33"/>
      <c r="BY17" s="33"/>
      <c r="BZ17" s="247"/>
      <c r="CB17" s="33"/>
      <c r="CC17" s="33"/>
      <c r="CD17" s="247"/>
      <c r="CF17" s="33"/>
      <c r="CG17" s="33"/>
      <c r="CH17" s="247"/>
      <c r="CI17" s="33"/>
      <c r="CJ17" s="33"/>
      <c r="CK17" s="247"/>
      <c r="CM17" s="33"/>
      <c r="CN17" s="33"/>
      <c r="CP17" s="33"/>
      <c r="CQ17" s="33"/>
      <c r="CR17" s="134"/>
      <c r="CS17" s="247"/>
      <c r="CT17" s="497"/>
      <c r="CV17" s="33"/>
      <c r="CW17" s="33"/>
      <c r="CX17" s="498"/>
      <c r="CZ17" s="33"/>
      <c r="DA17" s="33"/>
      <c r="DB17" s="247"/>
      <c r="DD17" s="33"/>
      <c r="DE17" s="33"/>
      <c r="DF17" s="247"/>
      <c r="DH17" s="33"/>
      <c r="DI17" s="33"/>
      <c r="DJ17" s="247"/>
      <c r="DL17" s="33"/>
      <c r="DM17" s="33"/>
      <c r="DN17" s="247"/>
      <c r="DP17" s="33"/>
      <c r="DQ17" s="33"/>
      <c r="DR17" s="247"/>
      <c r="DT17" s="33"/>
      <c r="DU17" s="33"/>
      <c r="DV17" s="247"/>
      <c r="DX17" s="33"/>
      <c r="DZ17" s="33"/>
      <c r="EA17" s="247"/>
      <c r="EC17" s="196"/>
      <c r="ED17" s="281"/>
      <c r="EF17" s="33"/>
      <c r="EG17" s="292"/>
      <c r="EH17" s="247"/>
      <c r="EJ17" s="33"/>
      <c r="EK17" s="292"/>
      <c r="EL17" s="247"/>
      <c r="EN17" s="151"/>
      <c r="EO17" s="491"/>
      <c r="EP17" s="491"/>
      <c r="EQ17" s="496"/>
      <c r="ES17" s="151"/>
      <c r="ET17" s="151"/>
    </row>
    <row r="18" spans="1:150" x14ac:dyDescent="0.25">
      <c r="A18" s="298">
        <v>45760</v>
      </c>
      <c r="B18" s="33"/>
      <c r="C18" s="33"/>
      <c r="D18" s="33"/>
      <c r="E18" s="251"/>
      <c r="F18" s="490"/>
      <c r="G18" s="33"/>
      <c r="H18" s="190"/>
      <c r="I18" s="187"/>
      <c r="J18" s="33"/>
      <c r="K18" s="189"/>
      <c r="L18" s="258"/>
      <c r="M18" s="188"/>
      <c r="N18" s="33"/>
      <c r="O18" s="189"/>
      <c r="P18" s="258"/>
      <c r="Q18" s="34"/>
      <c r="R18" s="33"/>
      <c r="S18" s="33"/>
      <c r="T18" s="33"/>
      <c r="U18" s="258"/>
      <c r="V18" s="34"/>
      <c r="W18" s="186"/>
      <c r="X18" s="189"/>
      <c r="Y18" s="258"/>
      <c r="Z18" s="34"/>
      <c r="AA18" s="266"/>
      <c r="AB18" s="189"/>
      <c r="AC18" s="258"/>
      <c r="AD18" s="34"/>
      <c r="AE18" s="260"/>
      <c r="AF18" s="261"/>
      <c r="AG18" s="259"/>
      <c r="AH18" s="34"/>
      <c r="AI18" s="287"/>
      <c r="AJ18" s="193"/>
      <c r="AK18" s="192"/>
      <c r="AL18" s="34"/>
      <c r="AM18" s="218"/>
      <c r="AN18" s="326"/>
      <c r="AO18" s="194"/>
      <c r="AP18" s="34"/>
      <c r="AQ18" s="265"/>
      <c r="AR18" s="261"/>
      <c r="AS18" s="34"/>
      <c r="AT18" s="196"/>
      <c r="AU18" s="197"/>
      <c r="AV18" s="195"/>
      <c r="AW18" s="34"/>
      <c r="AX18" s="191"/>
      <c r="AY18" s="262"/>
      <c r="AZ18" s="262"/>
      <c r="BA18" s="263"/>
      <c r="BC18" s="154"/>
      <c r="BD18" s="267"/>
      <c r="BE18" s="221"/>
      <c r="BF18" s="223"/>
      <c r="BG18" s="222"/>
      <c r="BH18" s="267"/>
      <c r="BI18" s="267"/>
      <c r="BJ18" s="267"/>
      <c r="BL18" s="151"/>
      <c r="BN18" s="189"/>
      <c r="BP18" s="33"/>
      <c r="BQ18" s="33"/>
      <c r="BR18" s="247"/>
      <c r="BT18" s="33"/>
      <c r="BU18" s="33"/>
      <c r="BV18" s="247"/>
      <c r="BX18" s="33"/>
      <c r="BY18" s="33"/>
      <c r="BZ18" s="247"/>
      <c r="CB18" s="33"/>
      <c r="CC18" s="33"/>
      <c r="CD18" s="247"/>
      <c r="CF18" s="33"/>
      <c r="CG18" s="33"/>
      <c r="CH18" s="247"/>
      <c r="CI18" s="33"/>
      <c r="CJ18" s="33"/>
      <c r="CK18" s="247"/>
      <c r="CM18" s="33"/>
      <c r="CN18" s="33"/>
      <c r="CP18" s="33"/>
      <c r="CQ18" s="33"/>
      <c r="CR18" s="134"/>
      <c r="CS18" s="247"/>
      <c r="CT18" s="497"/>
      <c r="CV18" s="33"/>
      <c r="CW18" s="33"/>
      <c r="CX18" s="498"/>
      <c r="CZ18" s="33"/>
      <c r="DA18" s="33"/>
      <c r="DB18" s="247"/>
      <c r="DD18" s="33"/>
      <c r="DE18" s="33"/>
      <c r="DF18" s="247"/>
      <c r="DH18" s="33"/>
      <c r="DI18" s="33"/>
      <c r="DJ18" s="247"/>
      <c r="DL18" s="33"/>
      <c r="DM18" s="33"/>
      <c r="DN18" s="247"/>
      <c r="DP18" s="33"/>
      <c r="DQ18" s="33"/>
      <c r="DR18" s="247"/>
      <c r="DT18" s="33"/>
      <c r="DU18" s="33"/>
      <c r="DV18" s="247"/>
      <c r="DX18" s="33"/>
      <c r="DZ18" s="33"/>
      <c r="EA18" s="247"/>
      <c r="EC18" s="196"/>
      <c r="ED18" s="281"/>
      <c r="EF18" s="33"/>
      <c r="EG18" s="292"/>
      <c r="EH18" s="247"/>
      <c r="EJ18" s="33"/>
      <c r="EK18" s="292"/>
      <c r="EL18" s="247"/>
      <c r="EN18" s="151"/>
      <c r="EO18" s="491"/>
      <c r="EP18" s="491"/>
      <c r="EQ18" s="496"/>
      <c r="ES18" s="151"/>
      <c r="ET18" s="151"/>
    </row>
    <row r="19" spans="1:150" x14ac:dyDescent="0.25">
      <c r="A19" s="298">
        <v>45761</v>
      </c>
      <c r="B19" s="33"/>
      <c r="C19" s="33"/>
      <c r="D19" s="33"/>
      <c r="E19" s="251"/>
      <c r="F19" s="490"/>
      <c r="G19" s="33"/>
      <c r="H19" s="190"/>
      <c r="I19" s="187"/>
      <c r="J19" s="33"/>
      <c r="K19" s="189"/>
      <c r="L19" s="258"/>
      <c r="M19" s="188"/>
      <c r="N19" s="33"/>
      <c r="O19" s="189"/>
      <c r="P19" s="258"/>
      <c r="Q19" s="34"/>
      <c r="R19" s="33"/>
      <c r="S19" s="33"/>
      <c r="T19" s="33"/>
      <c r="U19" s="258"/>
      <c r="V19" s="34"/>
      <c r="W19" s="186"/>
      <c r="X19" s="189"/>
      <c r="Y19" s="258"/>
      <c r="Z19" s="34"/>
      <c r="AA19" s="266"/>
      <c r="AB19" s="189"/>
      <c r="AC19" s="258"/>
      <c r="AD19" s="34"/>
      <c r="AE19" s="260"/>
      <c r="AF19" s="261"/>
      <c r="AG19" s="259"/>
      <c r="AH19" s="34"/>
      <c r="AI19" s="287"/>
      <c r="AJ19" s="193"/>
      <c r="AK19" s="192"/>
      <c r="AL19" s="34"/>
      <c r="AM19" s="218"/>
      <c r="AN19" s="326"/>
      <c r="AO19" s="194"/>
      <c r="AP19" s="34"/>
      <c r="AQ19" s="265"/>
      <c r="AR19" s="261"/>
      <c r="AS19" s="34"/>
      <c r="AT19" s="196"/>
      <c r="AU19" s="197"/>
      <c r="AV19" s="195"/>
      <c r="AW19" s="34"/>
      <c r="AX19" s="191"/>
      <c r="AY19" s="262"/>
      <c r="AZ19" s="262"/>
      <c r="BA19" s="263"/>
      <c r="BC19" s="154"/>
      <c r="BD19" s="267"/>
      <c r="BE19" s="221"/>
      <c r="BF19" s="223"/>
      <c r="BG19" s="222"/>
      <c r="BH19" s="267"/>
      <c r="BI19" s="267"/>
      <c r="BJ19" s="267"/>
      <c r="BL19" s="151"/>
      <c r="BN19" s="189"/>
      <c r="BP19" s="33"/>
      <c r="BQ19" s="33"/>
      <c r="BR19" s="247"/>
      <c r="BT19" s="33"/>
      <c r="BU19" s="33"/>
      <c r="BV19" s="247"/>
      <c r="BX19" s="33"/>
      <c r="BY19" s="33"/>
      <c r="BZ19" s="247"/>
      <c r="CB19" s="33"/>
      <c r="CC19" s="33"/>
      <c r="CD19" s="247"/>
      <c r="CF19" s="33"/>
      <c r="CG19" s="33"/>
      <c r="CH19" s="247"/>
      <c r="CI19" s="33"/>
      <c r="CJ19" s="33"/>
      <c r="CK19" s="247"/>
      <c r="CM19" s="33"/>
      <c r="CN19" s="33"/>
      <c r="CP19" s="33"/>
      <c r="CQ19" s="33"/>
      <c r="CR19" s="134"/>
      <c r="CS19" s="247"/>
      <c r="CT19" s="497"/>
      <c r="CV19" s="33"/>
      <c r="CW19" s="33"/>
      <c r="CX19" s="498"/>
      <c r="CZ19" s="33"/>
      <c r="DA19" s="33"/>
      <c r="DB19" s="247"/>
      <c r="DD19" s="33"/>
      <c r="DE19" s="33"/>
      <c r="DF19" s="247"/>
      <c r="DH19" s="33"/>
      <c r="DI19" s="33"/>
      <c r="DJ19" s="247"/>
      <c r="DL19" s="33"/>
      <c r="DM19" s="33"/>
      <c r="DN19" s="247"/>
      <c r="DP19" s="33"/>
      <c r="DQ19" s="33"/>
      <c r="DR19" s="247"/>
      <c r="DT19" s="33"/>
      <c r="DU19" s="33"/>
      <c r="DV19" s="247"/>
      <c r="DX19" s="33"/>
      <c r="DZ19" s="33"/>
      <c r="EA19" s="247"/>
      <c r="EC19" s="196"/>
      <c r="ED19" s="281"/>
      <c r="EF19" s="33"/>
      <c r="EG19" s="292"/>
      <c r="EH19" s="247"/>
      <c r="EJ19" s="33"/>
      <c r="EK19" s="292"/>
      <c r="EL19" s="247"/>
      <c r="EN19" s="151"/>
      <c r="EO19" s="491"/>
      <c r="EP19" s="491"/>
      <c r="EQ19" s="496"/>
      <c r="ES19" s="151"/>
      <c r="ET19" s="151"/>
    </row>
    <row r="20" spans="1:150" x14ac:dyDescent="0.25">
      <c r="A20" s="298">
        <v>45762</v>
      </c>
      <c r="B20" s="33"/>
      <c r="C20" s="33"/>
      <c r="D20" s="33"/>
      <c r="E20" s="251"/>
      <c r="F20" s="490"/>
      <c r="G20" s="33"/>
      <c r="H20" s="190"/>
      <c r="I20" s="187"/>
      <c r="J20" s="33"/>
      <c r="K20" s="189"/>
      <c r="L20" s="258"/>
      <c r="M20" s="188"/>
      <c r="N20" s="33"/>
      <c r="O20" s="189"/>
      <c r="P20" s="258"/>
      <c r="Q20" s="34"/>
      <c r="R20" s="33"/>
      <c r="S20" s="33"/>
      <c r="T20" s="33"/>
      <c r="U20" s="258"/>
      <c r="V20" s="34"/>
      <c r="W20" s="186"/>
      <c r="X20" s="189"/>
      <c r="Y20" s="258"/>
      <c r="Z20" s="34"/>
      <c r="AA20" s="266"/>
      <c r="AB20" s="189"/>
      <c r="AC20" s="258"/>
      <c r="AD20" s="34"/>
      <c r="AE20" s="260"/>
      <c r="AF20" s="261"/>
      <c r="AG20" s="259"/>
      <c r="AH20" s="34"/>
      <c r="AI20" s="287"/>
      <c r="AJ20" s="193"/>
      <c r="AK20" s="192"/>
      <c r="AL20" s="34"/>
      <c r="AM20" s="218"/>
      <c r="AN20" s="326"/>
      <c r="AO20" s="194"/>
      <c r="AP20" s="34"/>
      <c r="AQ20" s="265"/>
      <c r="AR20" s="261"/>
      <c r="AS20" s="34"/>
      <c r="AT20" s="196"/>
      <c r="AU20" s="197"/>
      <c r="AV20" s="195"/>
      <c r="AW20" s="34"/>
      <c r="AX20" s="191"/>
      <c r="AY20" s="262"/>
      <c r="AZ20" s="262"/>
      <c r="BA20" s="263"/>
      <c r="BC20" s="154"/>
      <c r="BD20" s="267"/>
      <c r="BE20" s="221"/>
      <c r="BF20" s="223"/>
      <c r="BG20" s="222"/>
      <c r="BH20" s="267"/>
      <c r="BI20" s="267"/>
      <c r="BJ20" s="267"/>
      <c r="BL20" s="151"/>
      <c r="BN20" s="189"/>
      <c r="BP20" s="33"/>
      <c r="BQ20" s="33"/>
      <c r="BR20" s="247"/>
      <c r="BT20" s="33"/>
      <c r="BU20" s="33"/>
      <c r="BV20" s="247"/>
      <c r="BX20" s="33"/>
      <c r="BY20" s="33"/>
      <c r="BZ20" s="247"/>
      <c r="CB20" s="33"/>
      <c r="CC20" s="33"/>
      <c r="CD20" s="247"/>
      <c r="CF20" s="33"/>
      <c r="CG20" s="33"/>
      <c r="CH20" s="247"/>
      <c r="CI20" s="33"/>
      <c r="CJ20" s="33"/>
      <c r="CK20" s="247"/>
      <c r="CM20" s="33"/>
      <c r="CN20" s="33"/>
      <c r="CP20" s="33"/>
      <c r="CQ20" s="33"/>
      <c r="CR20" s="134"/>
      <c r="CS20" s="247"/>
      <c r="CT20" s="497"/>
      <c r="CV20" s="33"/>
      <c r="CW20" s="33"/>
      <c r="CX20" s="498"/>
      <c r="CZ20" s="33"/>
      <c r="DA20" s="33"/>
      <c r="DB20" s="247"/>
      <c r="DD20" s="33"/>
      <c r="DE20" s="33"/>
      <c r="DF20" s="247"/>
      <c r="DH20" s="33"/>
      <c r="DI20" s="33"/>
      <c r="DJ20" s="247"/>
      <c r="DL20" s="33"/>
      <c r="DM20" s="33"/>
      <c r="DN20" s="247"/>
      <c r="DP20" s="33"/>
      <c r="DQ20" s="33"/>
      <c r="DR20" s="247"/>
      <c r="DT20" s="33"/>
      <c r="DU20" s="33"/>
      <c r="DV20" s="247"/>
      <c r="DX20" s="33"/>
      <c r="DZ20" s="33"/>
      <c r="EA20" s="247"/>
      <c r="EC20" s="196"/>
      <c r="ED20" s="281"/>
      <c r="EF20" s="33"/>
      <c r="EG20" s="292"/>
      <c r="EH20" s="247"/>
      <c r="EJ20" s="33"/>
      <c r="EK20" s="292"/>
      <c r="EL20" s="247"/>
      <c r="EN20" s="151"/>
      <c r="EO20" s="491"/>
      <c r="EP20" s="491"/>
      <c r="EQ20" s="496"/>
      <c r="ES20" s="151"/>
      <c r="ET20" s="151"/>
    </row>
    <row r="21" spans="1:150" x14ac:dyDescent="0.25">
      <c r="A21" s="298">
        <v>45763</v>
      </c>
      <c r="B21" s="33"/>
      <c r="C21" s="33"/>
      <c r="D21" s="33"/>
      <c r="E21" s="251"/>
      <c r="F21" s="490"/>
      <c r="G21" s="33"/>
      <c r="H21" s="190"/>
      <c r="I21" s="187"/>
      <c r="J21" s="33"/>
      <c r="K21" s="189"/>
      <c r="L21" s="258"/>
      <c r="M21" s="188"/>
      <c r="N21" s="33"/>
      <c r="O21" s="189"/>
      <c r="P21" s="258"/>
      <c r="Q21" s="34"/>
      <c r="R21" s="33"/>
      <c r="S21" s="33"/>
      <c r="T21" s="33"/>
      <c r="U21" s="258"/>
      <c r="V21" s="34"/>
      <c r="W21" s="186"/>
      <c r="X21" s="189"/>
      <c r="Y21" s="258"/>
      <c r="Z21" s="34"/>
      <c r="AA21" s="266"/>
      <c r="AB21" s="189"/>
      <c r="AC21" s="258"/>
      <c r="AD21" s="34"/>
      <c r="AE21" s="260"/>
      <c r="AF21" s="261"/>
      <c r="AG21" s="259"/>
      <c r="AH21" s="34"/>
      <c r="AI21" s="287"/>
      <c r="AJ21" s="193"/>
      <c r="AK21" s="192"/>
      <c r="AL21" s="34"/>
      <c r="AM21" s="218"/>
      <c r="AN21" s="326"/>
      <c r="AO21" s="194"/>
      <c r="AP21" s="34"/>
      <c r="AQ21" s="265"/>
      <c r="AR21" s="261"/>
      <c r="AS21" s="34"/>
      <c r="AT21" s="196"/>
      <c r="AU21" s="197"/>
      <c r="AV21" s="195"/>
      <c r="AW21" s="34"/>
      <c r="AX21" s="191"/>
      <c r="AY21" s="262"/>
      <c r="AZ21" s="262"/>
      <c r="BA21" s="263"/>
      <c r="BC21" s="154"/>
      <c r="BD21" s="267"/>
      <c r="BE21" s="221"/>
      <c r="BF21" s="223"/>
      <c r="BG21" s="222"/>
      <c r="BH21" s="267"/>
      <c r="BI21" s="267"/>
      <c r="BJ21" s="267"/>
      <c r="BL21" s="151"/>
      <c r="BN21" s="189"/>
      <c r="BP21" s="33"/>
      <c r="BQ21" s="33"/>
      <c r="BR21" s="247"/>
      <c r="BT21" s="33"/>
      <c r="BU21" s="33"/>
      <c r="BV21" s="247"/>
      <c r="BX21" s="33"/>
      <c r="BY21" s="33"/>
      <c r="BZ21" s="247"/>
      <c r="CB21" s="33"/>
      <c r="CC21" s="33"/>
      <c r="CD21" s="247"/>
      <c r="CF21" s="33"/>
      <c r="CG21" s="33"/>
      <c r="CH21" s="247"/>
      <c r="CI21" s="33"/>
      <c r="CJ21" s="33"/>
      <c r="CK21" s="247"/>
      <c r="CM21" s="33"/>
      <c r="CN21" s="33"/>
      <c r="CP21" s="33"/>
      <c r="CQ21" s="33"/>
      <c r="CR21" s="134"/>
      <c r="CS21" s="247"/>
      <c r="CT21" s="497"/>
      <c r="CV21" s="33"/>
      <c r="CW21" s="33"/>
      <c r="CX21" s="498"/>
      <c r="CZ21" s="33"/>
      <c r="DA21" s="33"/>
      <c r="DB21" s="247"/>
      <c r="DD21" s="33"/>
      <c r="DE21" s="33"/>
      <c r="DF21" s="247"/>
      <c r="DH21" s="33"/>
      <c r="DI21" s="33"/>
      <c r="DJ21" s="247"/>
      <c r="DL21" s="33"/>
      <c r="DM21" s="33"/>
      <c r="DN21" s="247"/>
      <c r="DP21" s="33"/>
      <c r="DQ21" s="33"/>
      <c r="DR21" s="247"/>
      <c r="DT21" s="33"/>
      <c r="DU21" s="33"/>
      <c r="DV21" s="247"/>
      <c r="DX21" s="33"/>
      <c r="DZ21" s="33"/>
      <c r="EA21" s="247"/>
      <c r="EC21" s="196"/>
      <c r="ED21" s="281"/>
      <c r="EF21" s="33"/>
      <c r="EG21" s="292"/>
      <c r="EH21" s="247"/>
      <c r="EJ21" s="33"/>
      <c r="EK21" s="292"/>
      <c r="EL21" s="247"/>
      <c r="EN21" s="151"/>
      <c r="EO21" s="491"/>
      <c r="EP21" s="491"/>
      <c r="EQ21" s="496"/>
      <c r="ES21" s="151"/>
      <c r="ET21" s="151"/>
    </row>
    <row r="22" spans="1:150" x14ac:dyDescent="0.25">
      <c r="A22" s="298">
        <v>45764</v>
      </c>
      <c r="B22" s="33"/>
      <c r="C22" s="33"/>
      <c r="D22" s="33"/>
      <c r="E22" s="251"/>
      <c r="F22" s="490"/>
      <c r="G22" s="33"/>
      <c r="H22" s="190"/>
      <c r="I22" s="187"/>
      <c r="J22" s="33"/>
      <c r="K22" s="189"/>
      <c r="L22" s="258"/>
      <c r="M22" s="188"/>
      <c r="N22" s="33"/>
      <c r="O22" s="189"/>
      <c r="P22" s="258"/>
      <c r="Q22" s="34"/>
      <c r="R22" s="33"/>
      <c r="S22" s="33"/>
      <c r="T22" s="33"/>
      <c r="U22" s="258"/>
      <c r="V22" s="34"/>
      <c r="W22" s="186"/>
      <c r="X22" s="189"/>
      <c r="Y22" s="258"/>
      <c r="Z22" s="34"/>
      <c r="AA22" s="266"/>
      <c r="AB22" s="189"/>
      <c r="AC22" s="258"/>
      <c r="AD22" s="34"/>
      <c r="AE22" s="260"/>
      <c r="AF22" s="261"/>
      <c r="AG22" s="259"/>
      <c r="AH22" s="34"/>
      <c r="AI22" s="287"/>
      <c r="AJ22" s="193"/>
      <c r="AK22" s="192"/>
      <c r="AL22" s="34"/>
      <c r="AM22" s="218"/>
      <c r="AN22" s="326"/>
      <c r="AO22" s="194"/>
      <c r="AP22" s="34"/>
      <c r="AQ22" s="265"/>
      <c r="AR22" s="261"/>
      <c r="AS22" s="34"/>
      <c r="AT22" s="196"/>
      <c r="AU22" s="197"/>
      <c r="AV22" s="195"/>
      <c r="AW22" s="34"/>
      <c r="AX22" s="191"/>
      <c r="AY22" s="262"/>
      <c r="AZ22" s="262"/>
      <c r="BA22" s="263"/>
      <c r="BC22" s="154"/>
      <c r="BD22" s="267"/>
      <c r="BE22" s="221"/>
      <c r="BF22" s="223"/>
      <c r="BG22" s="222"/>
      <c r="BH22" s="267"/>
      <c r="BI22" s="267"/>
      <c r="BJ22" s="267"/>
      <c r="BL22" s="151"/>
      <c r="BN22" s="189"/>
      <c r="BP22" s="33"/>
      <c r="BQ22" s="33"/>
      <c r="BR22" s="247"/>
      <c r="BT22" s="33"/>
      <c r="BU22" s="33"/>
      <c r="BV22" s="247"/>
      <c r="BX22" s="33"/>
      <c r="BY22" s="33"/>
      <c r="BZ22" s="247"/>
      <c r="CB22" s="33"/>
      <c r="CC22" s="33"/>
      <c r="CD22" s="247"/>
      <c r="CF22" s="33"/>
      <c r="CG22" s="33"/>
      <c r="CH22" s="247"/>
      <c r="CI22" s="33"/>
      <c r="CJ22" s="33"/>
      <c r="CK22" s="247"/>
      <c r="CM22" s="33"/>
      <c r="CN22" s="33"/>
      <c r="CP22" s="33"/>
      <c r="CQ22" s="33"/>
      <c r="CR22" s="134"/>
      <c r="CS22" s="247"/>
      <c r="CT22" s="497"/>
      <c r="CV22" s="33"/>
      <c r="CW22" s="33"/>
      <c r="CX22" s="498"/>
      <c r="CZ22" s="33"/>
      <c r="DA22" s="33"/>
      <c r="DB22" s="247"/>
      <c r="DD22" s="33"/>
      <c r="DE22" s="33"/>
      <c r="DF22" s="247"/>
      <c r="DH22" s="33"/>
      <c r="DI22" s="33"/>
      <c r="DJ22" s="247"/>
      <c r="DL22" s="33"/>
      <c r="DM22" s="33"/>
      <c r="DN22" s="247"/>
      <c r="DP22" s="33"/>
      <c r="DQ22" s="33"/>
      <c r="DR22" s="247"/>
      <c r="DT22" s="33"/>
      <c r="DU22" s="33"/>
      <c r="DV22" s="247"/>
      <c r="DX22" s="33"/>
      <c r="DZ22" s="33"/>
      <c r="EA22" s="247"/>
      <c r="EC22" s="196"/>
      <c r="ED22" s="281"/>
      <c r="EF22" s="33"/>
      <c r="EG22" s="292"/>
      <c r="EH22" s="247"/>
      <c r="EJ22" s="33"/>
      <c r="EK22" s="292"/>
      <c r="EL22" s="247"/>
      <c r="EN22" s="151"/>
      <c r="EO22" s="491"/>
      <c r="EP22" s="491"/>
      <c r="EQ22" s="496"/>
      <c r="ES22" s="151"/>
      <c r="ET22" s="151"/>
    </row>
    <row r="23" spans="1:150" x14ac:dyDescent="0.25">
      <c r="A23" s="298">
        <v>45765</v>
      </c>
      <c r="B23" s="33"/>
      <c r="C23" s="33"/>
      <c r="D23" s="33"/>
      <c r="E23" s="251"/>
      <c r="F23" s="490"/>
      <c r="G23" s="33"/>
      <c r="H23" s="190"/>
      <c r="I23" s="187"/>
      <c r="J23" s="33"/>
      <c r="K23" s="189"/>
      <c r="L23" s="258"/>
      <c r="M23" s="188"/>
      <c r="N23" s="33"/>
      <c r="O23" s="189"/>
      <c r="P23" s="258"/>
      <c r="Q23" s="34"/>
      <c r="R23" s="33"/>
      <c r="S23" s="33"/>
      <c r="T23" s="33"/>
      <c r="U23" s="258"/>
      <c r="V23" s="34"/>
      <c r="W23" s="186"/>
      <c r="X23" s="189"/>
      <c r="Y23" s="258"/>
      <c r="Z23" s="34"/>
      <c r="AA23" s="266"/>
      <c r="AB23" s="189"/>
      <c r="AC23" s="258"/>
      <c r="AD23" s="34"/>
      <c r="AE23" s="260"/>
      <c r="AF23" s="261"/>
      <c r="AG23" s="259"/>
      <c r="AH23" s="34"/>
      <c r="AI23" s="287"/>
      <c r="AJ23" s="193"/>
      <c r="AK23" s="192"/>
      <c r="AL23" s="34"/>
      <c r="AM23" s="218"/>
      <c r="AN23" s="326"/>
      <c r="AO23" s="194"/>
      <c r="AP23" s="34"/>
      <c r="AQ23" s="265"/>
      <c r="AR23" s="261"/>
      <c r="AS23" s="34"/>
      <c r="AT23" s="196"/>
      <c r="AU23" s="197"/>
      <c r="AV23" s="195"/>
      <c r="AW23" s="34"/>
      <c r="AX23" s="191"/>
      <c r="AY23" s="262"/>
      <c r="AZ23" s="262"/>
      <c r="BA23" s="263"/>
      <c r="BC23" s="154"/>
      <c r="BD23" s="267"/>
      <c r="BE23" s="221"/>
      <c r="BF23" s="223"/>
      <c r="BG23" s="222"/>
      <c r="BH23" s="267"/>
      <c r="BI23" s="267"/>
      <c r="BJ23" s="267"/>
      <c r="BL23" s="151"/>
      <c r="BN23" s="189"/>
      <c r="BP23" s="33"/>
      <c r="BQ23" s="33"/>
      <c r="BR23" s="247"/>
      <c r="BT23" s="33"/>
      <c r="BU23" s="33"/>
      <c r="BV23" s="247"/>
      <c r="BX23" s="33"/>
      <c r="BY23" s="33"/>
      <c r="BZ23" s="247"/>
      <c r="CB23" s="33"/>
      <c r="CC23" s="33"/>
      <c r="CD23" s="247"/>
      <c r="CF23" s="33"/>
      <c r="CG23" s="33"/>
      <c r="CH23" s="247"/>
      <c r="CI23" s="33"/>
      <c r="CJ23" s="33"/>
      <c r="CK23" s="247"/>
      <c r="CM23" s="33"/>
      <c r="CN23" s="33"/>
      <c r="CP23" s="33"/>
      <c r="CQ23" s="33"/>
      <c r="CR23" s="134"/>
      <c r="CS23" s="247"/>
      <c r="CT23" s="497"/>
      <c r="CV23" s="33"/>
      <c r="CW23" s="33"/>
      <c r="CX23" s="498"/>
      <c r="CZ23" s="33"/>
      <c r="DA23" s="33"/>
      <c r="DB23" s="247"/>
      <c r="DD23" s="33"/>
      <c r="DE23" s="33"/>
      <c r="DF23" s="247"/>
      <c r="DH23" s="33"/>
      <c r="DI23" s="33"/>
      <c r="DJ23" s="247"/>
      <c r="DL23" s="33"/>
      <c r="DM23" s="33"/>
      <c r="DN23" s="247"/>
      <c r="DP23" s="33"/>
      <c r="DQ23" s="33"/>
      <c r="DR23" s="247"/>
      <c r="DT23" s="33"/>
      <c r="DU23" s="33"/>
      <c r="DV23" s="247"/>
      <c r="DX23" s="33"/>
      <c r="DZ23" s="33"/>
      <c r="EA23" s="247"/>
      <c r="EC23" s="196"/>
      <c r="ED23" s="281"/>
      <c r="EF23" s="33"/>
      <c r="EG23" s="292"/>
      <c r="EH23" s="247"/>
      <c r="EJ23" s="33"/>
      <c r="EK23" s="292"/>
      <c r="EL23" s="247"/>
      <c r="EN23" s="151"/>
      <c r="EO23" s="491"/>
      <c r="EP23" s="491"/>
      <c r="EQ23" s="496"/>
      <c r="ES23" s="151"/>
      <c r="ET23" s="151"/>
    </row>
    <row r="24" spans="1:150" x14ac:dyDescent="0.25">
      <c r="A24" s="298">
        <v>45766</v>
      </c>
      <c r="B24" s="33"/>
      <c r="C24" s="33"/>
      <c r="D24" s="33"/>
      <c r="E24" s="251"/>
      <c r="F24" s="490"/>
      <c r="G24" s="33"/>
      <c r="H24" s="190"/>
      <c r="I24" s="187"/>
      <c r="J24" s="33"/>
      <c r="K24" s="189"/>
      <c r="L24" s="258"/>
      <c r="M24" s="188"/>
      <c r="N24" s="33"/>
      <c r="O24" s="189"/>
      <c r="P24" s="258"/>
      <c r="Q24" s="34"/>
      <c r="R24" s="33"/>
      <c r="S24" s="33"/>
      <c r="T24" s="33"/>
      <c r="U24" s="258"/>
      <c r="V24" s="34"/>
      <c r="W24" s="186"/>
      <c r="X24" s="189"/>
      <c r="Y24" s="258"/>
      <c r="Z24" s="34"/>
      <c r="AA24" s="266"/>
      <c r="AB24" s="189"/>
      <c r="AC24" s="258"/>
      <c r="AD24" s="34"/>
      <c r="AE24" s="260"/>
      <c r="AF24" s="261"/>
      <c r="AG24" s="259"/>
      <c r="AH24" s="34"/>
      <c r="AI24" s="287"/>
      <c r="AJ24" s="193"/>
      <c r="AK24" s="192"/>
      <c r="AL24" s="34"/>
      <c r="AM24" s="218"/>
      <c r="AN24" s="326"/>
      <c r="AO24" s="194"/>
      <c r="AP24" s="34"/>
      <c r="AQ24" s="265"/>
      <c r="AR24" s="261"/>
      <c r="AS24" s="34"/>
      <c r="AT24" s="196"/>
      <c r="AU24" s="197"/>
      <c r="AV24" s="195"/>
      <c r="AW24" s="34"/>
      <c r="AX24" s="191"/>
      <c r="AY24" s="262"/>
      <c r="AZ24" s="262"/>
      <c r="BA24" s="263"/>
      <c r="BC24" s="154"/>
      <c r="BD24" s="267"/>
      <c r="BE24" s="221"/>
      <c r="BF24" s="223"/>
      <c r="BG24" s="222"/>
      <c r="BH24" s="267"/>
      <c r="BI24" s="267"/>
      <c r="BJ24" s="267"/>
      <c r="BL24" s="151"/>
      <c r="BN24" s="189"/>
      <c r="BP24" s="33"/>
      <c r="BQ24" s="33"/>
      <c r="BR24" s="247"/>
      <c r="BT24" s="33"/>
      <c r="BU24" s="33"/>
      <c r="BV24" s="247"/>
      <c r="BX24" s="33"/>
      <c r="BY24" s="33"/>
      <c r="BZ24" s="247"/>
      <c r="CB24" s="33"/>
      <c r="CC24" s="33"/>
      <c r="CD24" s="247"/>
      <c r="CF24" s="33"/>
      <c r="CG24" s="33"/>
      <c r="CH24" s="247"/>
      <c r="CI24" s="33"/>
      <c r="CJ24" s="33"/>
      <c r="CK24" s="247"/>
      <c r="CM24" s="33"/>
      <c r="CN24" s="33"/>
      <c r="CP24" s="33"/>
      <c r="CQ24" s="33"/>
      <c r="CR24" s="134"/>
      <c r="CS24" s="247"/>
      <c r="CT24" s="497"/>
      <c r="CV24" s="33"/>
      <c r="CW24" s="33"/>
      <c r="CX24" s="498"/>
      <c r="CZ24" s="33"/>
      <c r="DA24" s="33"/>
      <c r="DB24" s="247"/>
      <c r="DD24" s="33"/>
      <c r="DE24" s="33"/>
      <c r="DF24" s="247"/>
      <c r="DH24" s="33"/>
      <c r="DI24" s="33"/>
      <c r="DJ24" s="247"/>
      <c r="DL24" s="33"/>
      <c r="DM24" s="33"/>
      <c r="DN24" s="247"/>
      <c r="DP24" s="33"/>
      <c r="DQ24" s="33"/>
      <c r="DR24" s="247"/>
      <c r="DT24" s="33"/>
      <c r="DU24" s="33"/>
      <c r="DV24" s="247"/>
      <c r="DX24" s="33"/>
      <c r="DZ24" s="33"/>
      <c r="EA24" s="247"/>
      <c r="EC24" s="196"/>
      <c r="ED24" s="281"/>
      <c r="EF24" s="33"/>
      <c r="EG24" s="292"/>
      <c r="EH24" s="247"/>
      <c r="EJ24" s="33"/>
      <c r="EK24" s="292"/>
      <c r="EL24" s="247"/>
      <c r="EN24" s="151"/>
      <c r="EO24" s="491"/>
      <c r="EP24" s="491"/>
      <c r="EQ24" s="496"/>
      <c r="ES24" s="151"/>
      <c r="ET24" s="151"/>
    </row>
    <row r="25" spans="1:150" x14ac:dyDescent="0.25">
      <c r="A25" s="298">
        <v>45767</v>
      </c>
      <c r="B25" s="33"/>
      <c r="C25" s="33"/>
      <c r="D25" s="33"/>
      <c r="E25" s="251"/>
      <c r="F25" s="490"/>
      <c r="G25" s="33"/>
      <c r="H25" s="190"/>
      <c r="I25" s="187"/>
      <c r="J25" s="33"/>
      <c r="K25" s="189"/>
      <c r="L25" s="258"/>
      <c r="M25" s="188"/>
      <c r="N25" s="33"/>
      <c r="O25" s="189"/>
      <c r="P25" s="258"/>
      <c r="Q25" s="34"/>
      <c r="R25" s="33"/>
      <c r="S25" s="33"/>
      <c r="T25" s="33"/>
      <c r="U25" s="258"/>
      <c r="V25" s="34"/>
      <c r="W25" s="186"/>
      <c r="X25" s="189"/>
      <c r="Y25" s="258"/>
      <c r="Z25" s="34"/>
      <c r="AA25" s="266"/>
      <c r="AB25" s="189"/>
      <c r="AC25" s="258"/>
      <c r="AD25" s="34"/>
      <c r="AE25" s="260"/>
      <c r="AF25" s="261"/>
      <c r="AG25" s="259"/>
      <c r="AH25" s="34"/>
      <c r="AI25" s="287"/>
      <c r="AJ25" s="193"/>
      <c r="AK25" s="192"/>
      <c r="AL25" s="34"/>
      <c r="AM25" s="218"/>
      <c r="AN25" s="326"/>
      <c r="AO25" s="194"/>
      <c r="AP25" s="34"/>
      <c r="AQ25" s="265"/>
      <c r="AR25" s="261"/>
      <c r="AS25" s="34"/>
      <c r="AT25" s="196"/>
      <c r="AU25" s="197"/>
      <c r="AV25" s="195"/>
      <c r="AW25" s="34"/>
      <c r="AX25" s="191"/>
      <c r="AY25" s="262"/>
      <c r="AZ25" s="262"/>
      <c r="BA25" s="263"/>
      <c r="BC25" s="154"/>
      <c r="BD25" s="267"/>
      <c r="BE25" s="221"/>
      <c r="BF25" s="223"/>
      <c r="BG25" s="222"/>
      <c r="BH25" s="267"/>
      <c r="BI25" s="267"/>
      <c r="BJ25" s="267"/>
      <c r="BL25" s="151"/>
      <c r="BN25" s="189"/>
      <c r="BP25" s="33"/>
      <c r="BQ25" s="33"/>
      <c r="BR25" s="247"/>
      <c r="BT25" s="33"/>
      <c r="BU25" s="33"/>
      <c r="BV25" s="247"/>
      <c r="BX25" s="33"/>
      <c r="BY25" s="33"/>
      <c r="BZ25" s="247"/>
      <c r="CB25" s="33"/>
      <c r="CC25" s="33"/>
      <c r="CD25" s="247"/>
      <c r="CF25" s="33"/>
      <c r="CG25" s="33"/>
      <c r="CH25" s="247"/>
      <c r="CI25" s="33"/>
      <c r="CJ25" s="33"/>
      <c r="CK25" s="247"/>
      <c r="CM25" s="33"/>
      <c r="CN25" s="33"/>
      <c r="CP25" s="33"/>
      <c r="CQ25" s="33"/>
      <c r="CR25" s="134"/>
      <c r="CS25" s="247"/>
      <c r="CT25" s="497"/>
      <c r="CV25" s="33"/>
      <c r="CW25" s="33"/>
      <c r="CX25" s="498"/>
      <c r="CZ25" s="33"/>
      <c r="DA25" s="33"/>
      <c r="DB25" s="247"/>
      <c r="DD25" s="33"/>
      <c r="DE25" s="33"/>
      <c r="DF25" s="247"/>
      <c r="DH25" s="33"/>
      <c r="DI25" s="33"/>
      <c r="DJ25" s="247"/>
      <c r="DL25" s="33"/>
      <c r="DM25" s="33"/>
      <c r="DN25" s="247"/>
      <c r="DP25" s="33"/>
      <c r="DQ25" s="33"/>
      <c r="DR25" s="247"/>
      <c r="DT25" s="33"/>
      <c r="DU25" s="33"/>
      <c r="DV25" s="247"/>
      <c r="DX25" s="33"/>
      <c r="DZ25" s="33"/>
      <c r="EA25" s="247"/>
      <c r="EC25" s="196"/>
      <c r="ED25" s="281"/>
      <c r="EF25" s="33"/>
      <c r="EG25" s="292"/>
      <c r="EH25" s="247"/>
      <c r="EJ25" s="33"/>
      <c r="EK25" s="292"/>
      <c r="EL25" s="247"/>
      <c r="EN25" s="151"/>
      <c r="EO25" s="491"/>
      <c r="EP25" s="491"/>
      <c r="EQ25" s="496"/>
      <c r="ES25" s="151"/>
      <c r="ET25" s="151"/>
    </row>
    <row r="26" spans="1:150" x14ac:dyDescent="0.25">
      <c r="A26" s="298">
        <v>45768</v>
      </c>
      <c r="B26" s="33"/>
      <c r="C26" s="33"/>
      <c r="D26" s="33"/>
      <c r="E26" s="251"/>
      <c r="F26" s="490"/>
      <c r="G26" s="33"/>
      <c r="H26" s="190"/>
      <c r="I26" s="187"/>
      <c r="J26" s="33"/>
      <c r="K26" s="189"/>
      <c r="L26" s="258"/>
      <c r="M26" s="188"/>
      <c r="N26" s="33"/>
      <c r="O26" s="189"/>
      <c r="P26" s="258"/>
      <c r="Q26" s="34"/>
      <c r="R26" s="33"/>
      <c r="S26" s="33"/>
      <c r="T26" s="33"/>
      <c r="U26" s="258"/>
      <c r="V26" s="34"/>
      <c r="W26" s="186"/>
      <c r="X26" s="189"/>
      <c r="Y26" s="258"/>
      <c r="Z26" s="34"/>
      <c r="AA26" s="266"/>
      <c r="AB26" s="189"/>
      <c r="AC26" s="258"/>
      <c r="AD26" s="34"/>
      <c r="AE26" s="260"/>
      <c r="AF26" s="261"/>
      <c r="AG26" s="259"/>
      <c r="AH26" s="34"/>
      <c r="AI26" s="287"/>
      <c r="AJ26" s="193"/>
      <c r="AK26" s="192"/>
      <c r="AL26" s="34"/>
      <c r="AM26" s="218"/>
      <c r="AN26" s="326"/>
      <c r="AO26" s="194"/>
      <c r="AP26" s="34"/>
      <c r="AQ26" s="265"/>
      <c r="AR26" s="261"/>
      <c r="AS26" s="34"/>
      <c r="AT26" s="196"/>
      <c r="AU26" s="197"/>
      <c r="AV26" s="195"/>
      <c r="AW26" s="34"/>
      <c r="AX26" s="191"/>
      <c r="AY26" s="262"/>
      <c r="AZ26" s="262"/>
      <c r="BA26" s="263"/>
      <c r="BC26" s="154"/>
      <c r="BD26" s="267"/>
      <c r="BE26" s="221"/>
      <c r="BF26" s="223"/>
      <c r="BG26" s="222"/>
      <c r="BH26" s="267"/>
      <c r="BI26" s="267"/>
      <c r="BJ26" s="267"/>
      <c r="BL26" s="151"/>
      <c r="BN26" s="189"/>
      <c r="BP26" s="33"/>
      <c r="BQ26" s="33"/>
      <c r="BR26" s="247"/>
      <c r="BT26" s="33"/>
      <c r="BU26" s="33"/>
      <c r="BV26" s="247"/>
      <c r="BX26" s="33"/>
      <c r="BY26" s="33"/>
      <c r="BZ26" s="247"/>
      <c r="CB26" s="33"/>
      <c r="CC26" s="33"/>
      <c r="CD26" s="247"/>
      <c r="CF26" s="33"/>
      <c r="CG26" s="33"/>
      <c r="CH26" s="247"/>
      <c r="CI26" s="33"/>
      <c r="CJ26" s="33"/>
      <c r="CK26" s="247"/>
      <c r="CM26" s="33"/>
      <c r="CN26" s="33"/>
      <c r="CP26" s="33"/>
      <c r="CQ26" s="33"/>
      <c r="CR26" s="134"/>
      <c r="CS26" s="247"/>
      <c r="CT26" s="497"/>
      <c r="CV26" s="33"/>
      <c r="CW26" s="33"/>
      <c r="CX26" s="498"/>
      <c r="CZ26" s="33"/>
      <c r="DA26" s="33"/>
      <c r="DB26" s="247"/>
      <c r="DD26" s="33"/>
      <c r="DE26" s="33"/>
      <c r="DF26" s="247"/>
      <c r="DH26" s="33"/>
      <c r="DI26" s="33"/>
      <c r="DJ26" s="247"/>
      <c r="DL26" s="33"/>
      <c r="DM26" s="33"/>
      <c r="DN26" s="247"/>
      <c r="DP26" s="33"/>
      <c r="DQ26" s="33"/>
      <c r="DR26" s="247"/>
      <c r="DT26" s="33"/>
      <c r="DU26" s="33"/>
      <c r="DV26" s="247"/>
      <c r="DX26" s="33"/>
      <c r="DZ26" s="33"/>
      <c r="EA26" s="247"/>
      <c r="EC26" s="196"/>
      <c r="ED26" s="281"/>
      <c r="EF26" s="33"/>
      <c r="EG26" s="292"/>
      <c r="EH26" s="247"/>
      <c r="EJ26" s="33"/>
      <c r="EK26" s="292"/>
      <c r="EL26" s="247"/>
      <c r="EN26" s="151"/>
      <c r="EO26" s="491"/>
      <c r="EP26" s="491"/>
      <c r="EQ26" s="496"/>
      <c r="ES26" s="151"/>
      <c r="ET26" s="151"/>
    </row>
    <row r="27" spans="1:150" x14ac:dyDescent="0.25">
      <c r="A27" s="298">
        <v>45769</v>
      </c>
      <c r="B27" s="33"/>
      <c r="C27" s="33"/>
      <c r="D27" s="33"/>
      <c r="E27" s="251"/>
      <c r="F27" s="490"/>
      <c r="G27" s="33"/>
      <c r="H27" s="190"/>
      <c r="I27" s="187"/>
      <c r="J27" s="33"/>
      <c r="K27" s="189"/>
      <c r="L27" s="258"/>
      <c r="M27" s="188"/>
      <c r="N27" s="33"/>
      <c r="O27" s="189"/>
      <c r="P27" s="258"/>
      <c r="Q27" s="34"/>
      <c r="R27" s="33"/>
      <c r="S27" s="33"/>
      <c r="T27" s="33"/>
      <c r="U27" s="258"/>
      <c r="V27" s="34"/>
      <c r="W27" s="186"/>
      <c r="X27" s="189"/>
      <c r="Y27" s="258"/>
      <c r="Z27" s="34"/>
      <c r="AA27" s="266"/>
      <c r="AB27" s="189"/>
      <c r="AC27" s="258"/>
      <c r="AD27" s="34"/>
      <c r="AE27" s="260"/>
      <c r="AF27" s="261"/>
      <c r="AG27" s="259"/>
      <c r="AH27" s="34"/>
      <c r="AI27" s="287"/>
      <c r="AJ27" s="193"/>
      <c r="AK27" s="192"/>
      <c r="AL27" s="34"/>
      <c r="AM27" s="218"/>
      <c r="AN27" s="326"/>
      <c r="AO27" s="194"/>
      <c r="AP27" s="34"/>
      <c r="AQ27" s="265"/>
      <c r="AR27" s="261"/>
      <c r="AS27" s="34"/>
      <c r="AT27" s="196"/>
      <c r="AU27" s="197"/>
      <c r="AV27" s="195"/>
      <c r="AW27" s="34"/>
      <c r="AX27" s="191"/>
      <c r="AY27" s="262"/>
      <c r="AZ27" s="262"/>
      <c r="BA27" s="263"/>
      <c r="BC27" s="154"/>
      <c r="BD27" s="267"/>
      <c r="BE27" s="221"/>
      <c r="BF27" s="223"/>
      <c r="BG27" s="222"/>
      <c r="BH27" s="267"/>
      <c r="BI27" s="267"/>
      <c r="BJ27" s="267"/>
      <c r="BL27" s="151"/>
      <c r="BN27" s="189"/>
      <c r="BP27" s="33"/>
      <c r="BQ27" s="33"/>
      <c r="BR27" s="247"/>
      <c r="BT27" s="33"/>
      <c r="BU27" s="33"/>
      <c r="BV27" s="247"/>
      <c r="BX27" s="33"/>
      <c r="BY27" s="33"/>
      <c r="BZ27" s="247"/>
      <c r="CB27" s="33"/>
      <c r="CC27" s="33"/>
      <c r="CD27" s="247"/>
      <c r="CF27" s="33"/>
      <c r="CG27" s="33"/>
      <c r="CH27" s="247"/>
      <c r="CI27" s="33"/>
      <c r="CJ27" s="33"/>
      <c r="CK27" s="247"/>
      <c r="CM27" s="33"/>
      <c r="CN27" s="33"/>
      <c r="CP27" s="33"/>
      <c r="CQ27" s="33"/>
      <c r="CR27" s="134"/>
      <c r="CS27" s="247"/>
      <c r="CT27" s="497"/>
      <c r="CV27" s="33"/>
      <c r="CW27" s="33"/>
      <c r="CX27" s="498"/>
      <c r="CZ27" s="33"/>
      <c r="DA27" s="33"/>
      <c r="DB27" s="247"/>
      <c r="DD27" s="33"/>
      <c r="DE27" s="33"/>
      <c r="DF27" s="247"/>
      <c r="DH27" s="33"/>
      <c r="DI27" s="33"/>
      <c r="DJ27" s="247"/>
      <c r="DL27" s="33"/>
      <c r="DM27" s="33"/>
      <c r="DN27" s="247"/>
      <c r="DP27" s="33"/>
      <c r="DQ27" s="33"/>
      <c r="DR27" s="247"/>
      <c r="DT27" s="33"/>
      <c r="DU27" s="33"/>
      <c r="DV27" s="247"/>
      <c r="DX27" s="33"/>
      <c r="DZ27" s="33"/>
      <c r="EA27" s="247"/>
      <c r="EC27" s="196"/>
      <c r="ED27" s="281"/>
      <c r="EF27" s="33"/>
      <c r="EG27" s="292"/>
      <c r="EH27" s="247"/>
      <c r="EJ27" s="33"/>
      <c r="EK27" s="292"/>
      <c r="EL27" s="247"/>
      <c r="EN27" s="151"/>
      <c r="EO27" s="491"/>
      <c r="EP27" s="491"/>
      <c r="EQ27" s="496"/>
      <c r="ES27" s="151"/>
      <c r="ET27" s="151"/>
    </row>
    <row r="28" spans="1:150" x14ac:dyDescent="0.25">
      <c r="A28" s="298">
        <v>45770</v>
      </c>
      <c r="B28" s="33"/>
      <c r="C28" s="33"/>
      <c r="D28" s="33"/>
      <c r="E28" s="251"/>
      <c r="F28" s="490"/>
      <c r="G28" s="33"/>
      <c r="H28" s="190"/>
      <c r="I28" s="187"/>
      <c r="J28" s="33"/>
      <c r="K28" s="189"/>
      <c r="L28" s="258"/>
      <c r="M28" s="188"/>
      <c r="N28" s="33"/>
      <c r="O28" s="189"/>
      <c r="P28" s="258"/>
      <c r="Q28" s="34"/>
      <c r="R28" s="33"/>
      <c r="S28" s="33"/>
      <c r="T28" s="33"/>
      <c r="U28" s="258"/>
      <c r="V28" s="34"/>
      <c r="W28" s="186"/>
      <c r="X28" s="189"/>
      <c r="Y28" s="258"/>
      <c r="Z28" s="34"/>
      <c r="AA28" s="266"/>
      <c r="AB28" s="189"/>
      <c r="AC28" s="258"/>
      <c r="AD28" s="34"/>
      <c r="AE28" s="260"/>
      <c r="AF28" s="261"/>
      <c r="AG28" s="259"/>
      <c r="AH28" s="34"/>
      <c r="AI28" s="287"/>
      <c r="AJ28" s="193"/>
      <c r="AK28" s="192"/>
      <c r="AL28" s="34"/>
      <c r="AM28" s="218"/>
      <c r="AN28" s="326"/>
      <c r="AO28" s="194"/>
      <c r="AP28" s="34"/>
      <c r="AQ28" s="265"/>
      <c r="AR28" s="261"/>
      <c r="AS28" s="34"/>
      <c r="AT28" s="196"/>
      <c r="AU28" s="197"/>
      <c r="AV28" s="195"/>
      <c r="AW28" s="34"/>
      <c r="AX28" s="191"/>
      <c r="AY28" s="262"/>
      <c r="AZ28" s="262"/>
      <c r="BA28" s="263"/>
      <c r="BC28" s="154"/>
      <c r="BD28" s="267"/>
      <c r="BE28" s="221"/>
      <c r="BF28" s="223"/>
      <c r="BG28" s="222"/>
      <c r="BH28" s="267"/>
      <c r="BI28" s="267"/>
      <c r="BJ28" s="267"/>
      <c r="BL28" s="151"/>
      <c r="BN28" s="189"/>
      <c r="BP28" s="33"/>
      <c r="BQ28" s="33"/>
      <c r="BR28" s="247"/>
      <c r="BT28" s="33"/>
      <c r="BU28" s="33"/>
      <c r="BV28" s="247"/>
      <c r="BX28" s="33"/>
      <c r="BY28" s="33"/>
      <c r="BZ28" s="247"/>
      <c r="CB28" s="33"/>
      <c r="CC28" s="33"/>
      <c r="CD28" s="247"/>
      <c r="CF28" s="33"/>
      <c r="CG28" s="33"/>
      <c r="CH28" s="247"/>
      <c r="CI28" s="33"/>
      <c r="CJ28" s="33"/>
      <c r="CK28" s="247"/>
      <c r="CM28" s="33"/>
      <c r="CN28" s="33"/>
      <c r="CP28" s="33"/>
      <c r="CQ28" s="33"/>
      <c r="CR28" s="134"/>
      <c r="CS28" s="247"/>
      <c r="CT28" s="497"/>
      <c r="CV28" s="33"/>
      <c r="CW28" s="33"/>
      <c r="CX28" s="498"/>
      <c r="CZ28" s="33"/>
      <c r="DA28" s="33"/>
      <c r="DB28" s="247"/>
      <c r="DD28" s="33"/>
      <c r="DE28" s="33"/>
      <c r="DF28" s="247"/>
      <c r="DH28" s="33"/>
      <c r="DI28" s="33"/>
      <c r="DJ28" s="247"/>
      <c r="DL28" s="33"/>
      <c r="DM28" s="33"/>
      <c r="DN28" s="247"/>
      <c r="DP28" s="33"/>
      <c r="DQ28" s="33"/>
      <c r="DR28" s="247"/>
      <c r="DT28" s="33"/>
      <c r="DU28" s="33"/>
      <c r="DV28" s="247"/>
      <c r="DX28" s="33"/>
      <c r="DZ28" s="33"/>
      <c r="EA28" s="247"/>
      <c r="EC28" s="196"/>
      <c r="ED28" s="281"/>
      <c r="EF28" s="33"/>
      <c r="EG28" s="292"/>
      <c r="EH28" s="247"/>
      <c r="EJ28" s="33"/>
      <c r="EK28" s="292"/>
      <c r="EL28" s="247"/>
      <c r="EN28" s="151"/>
      <c r="EO28" s="491"/>
      <c r="EP28" s="491"/>
      <c r="EQ28" s="496"/>
      <c r="ES28" s="151"/>
      <c r="ET28" s="151"/>
    </row>
    <row r="29" spans="1:150" x14ac:dyDescent="0.25">
      <c r="A29" s="298">
        <v>45771</v>
      </c>
      <c r="B29" s="33"/>
      <c r="C29" s="33"/>
      <c r="D29" s="33"/>
      <c r="E29" s="251"/>
      <c r="F29" s="490"/>
      <c r="G29" s="33"/>
      <c r="H29" s="190"/>
      <c r="I29" s="187"/>
      <c r="J29" s="33"/>
      <c r="K29" s="189"/>
      <c r="L29" s="258"/>
      <c r="M29" s="188"/>
      <c r="N29" s="33"/>
      <c r="O29" s="189"/>
      <c r="P29" s="258"/>
      <c r="Q29" s="34"/>
      <c r="R29" s="33"/>
      <c r="S29" s="33"/>
      <c r="T29" s="33"/>
      <c r="U29" s="258"/>
      <c r="V29" s="34"/>
      <c r="W29" s="186"/>
      <c r="X29" s="189"/>
      <c r="Y29" s="258"/>
      <c r="Z29" s="34"/>
      <c r="AA29" s="266"/>
      <c r="AB29" s="189"/>
      <c r="AC29" s="258"/>
      <c r="AD29" s="34"/>
      <c r="AE29" s="260"/>
      <c r="AF29" s="261"/>
      <c r="AG29" s="259"/>
      <c r="AH29" s="34"/>
      <c r="AI29" s="287"/>
      <c r="AJ29" s="193"/>
      <c r="AK29" s="192"/>
      <c r="AL29" s="34"/>
      <c r="AM29" s="218"/>
      <c r="AN29" s="326"/>
      <c r="AO29" s="194"/>
      <c r="AP29" s="34"/>
      <c r="AQ29" s="265"/>
      <c r="AR29" s="261"/>
      <c r="AS29" s="34"/>
      <c r="AT29" s="196"/>
      <c r="AU29" s="197"/>
      <c r="AV29" s="195"/>
      <c r="AW29" s="34"/>
      <c r="AX29" s="191"/>
      <c r="AY29" s="262"/>
      <c r="AZ29" s="262"/>
      <c r="BA29" s="263"/>
      <c r="BC29" s="154"/>
      <c r="BD29" s="267"/>
      <c r="BE29" s="221"/>
      <c r="BF29" s="223"/>
      <c r="BG29" s="222"/>
      <c r="BH29" s="267"/>
      <c r="BI29" s="267"/>
      <c r="BJ29" s="267"/>
      <c r="BL29" s="151"/>
      <c r="BN29" s="189"/>
      <c r="BP29" s="33"/>
      <c r="BQ29" s="33"/>
      <c r="BR29" s="247"/>
      <c r="BT29" s="33"/>
      <c r="BU29" s="33"/>
      <c r="BV29" s="247"/>
      <c r="BX29" s="33"/>
      <c r="BY29" s="33"/>
      <c r="BZ29" s="247"/>
      <c r="CB29" s="33"/>
      <c r="CC29" s="33"/>
      <c r="CD29" s="247"/>
      <c r="CF29" s="33"/>
      <c r="CG29" s="33"/>
      <c r="CH29" s="247"/>
      <c r="CI29" s="33"/>
      <c r="CJ29" s="33"/>
      <c r="CK29" s="247"/>
      <c r="CM29" s="33"/>
      <c r="CN29" s="33"/>
      <c r="CP29" s="33"/>
      <c r="CQ29" s="33"/>
      <c r="CR29" s="134"/>
      <c r="CS29" s="247"/>
      <c r="CT29" s="497"/>
      <c r="CV29" s="33"/>
      <c r="CW29" s="33"/>
      <c r="CX29" s="498"/>
      <c r="CZ29" s="33"/>
      <c r="DA29" s="33"/>
      <c r="DB29" s="247"/>
      <c r="DD29" s="33"/>
      <c r="DE29" s="33"/>
      <c r="DF29" s="247"/>
      <c r="DH29" s="33"/>
      <c r="DI29" s="33"/>
      <c r="DJ29" s="247"/>
      <c r="DL29" s="33"/>
      <c r="DM29" s="33"/>
      <c r="DN29" s="247"/>
      <c r="DP29" s="33"/>
      <c r="DQ29" s="33"/>
      <c r="DR29" s="247"/>
      <c r="DT29" s="33"/>
      <c r="DU29" s="33"/>
      <c r="DV29" s="247"/>
      <c r="DX29" s="33"/>
      <c r="DZ29" s="33"/>
      <c r="EA29" s="247"/>
      <c r="EC29" s="196"/>
      <c r="ED29" s="281"/>
      <c r="EF29" s="33"/>
      <c r="EG29" s="292"/>
      <c r="EH29" s="247"/>
      <c r="EJ29" s="33"/>
      <c r="EK29" s="292"/>
      <c r="EL29" s="247"/>
      <c r="EN29" s="151"/>
      <c r="EO29" s="491"/>
      <c r="EP29" s="491"/>
      <c r="EQ29" s="496"/>
      <c r="ES29" s="151"/>
      <c r="ET29" s="151"/>
    </row>
    <row r="30" spans="1:150" x14ac:dyDescent="0.25">
      <c r="A30" s="298">
        <v>45772</v>
      </c>
      <c r="B30" s="33"/>
      <c r="C30" s="33"/>
      <c r="D30" s="33"/>
      <c r="E30" s="251"/>
      <c r="F30" s="490"/>
      <c r="G30" s="33"/>
      <c r="H30" s="190"/>
      <c r="I30" s="187"/>
      <c r="J30" s="33"/>
      <c r="K30" s="189"/>
      <c r="L30" s="258"/>
      <c r="M30" s="188"/>
      <c r="N30" s="33"/>
      <c r="O30" s="189"/>
      <c r="P30" s="258"/>
      <c r="Q30" s="34"/>
      <c r="R30" s="33"/>
      <c r="S30" s="33"/>
      <c r="T30" s="33"/>
      <c r="U30" s="258"/>
      <c r="V30" s="34"/>
      <c r="W30" s="186"/>
      <c r="X30" s="189"/>
      <c r="Y30" s="258"/>
      <c r="Z30" s="34"/>
      <c r="AA30" s="266"/>
      <c r="AB30" s="189"/>
      <c r="AC30" s="258"/>
      <c r="AD30" s="34"/>
      <c r="AE30" s="260"/>
      <c r="AF30" s="261"/>
      <c r="AG30" s="259"/>
      <c r="AH30" s="34"/>
      <c r="AI30" s="287"/>
      <c r="AJ30" s="193"/>
      <c r="AK30" s="192"/>
      <c r="AL30" s="34"/>
      <c r="AM30" s="218"/>
      <c r="AN30" s="326"/>
      <c r="AO30" s="194"/>
      <c r="AP30" s="34"/>
      <c r="AQ30" s="265"/>
      <c r="AR30" s="261"/>
      <c r="AS30" s="34"/>
      <c r="AT30" s="196"/>
      <c r="AU30" s="197"/>
      <c r="AV30" s="195"/>
      <c r="AW30" s="34"/>
      <c r="AX30" s="191"/>
      <c r="AY30" s="262"/>
      <c r="AZ30" s="262"/>
      <c r="BA30" s="263"/>
      <c r="BC30" s="154"/>
      <c r="BD30" s="267"/>
      <c r="BE30" s="221"/>
      <c r="BF30" s="223"/>
      <c r="BG30" s="222"/>
      <c r="BH30" s="267"/>
      <c r="BI30" s="267"/>
      <c r="BJ30" s="267"/>
      <c r="BL30" s="151"/>
      <c r="BN30" s="189"/>
      <c r="BP30" s="33"/>
      <c r="BQ30" s="33"/>
      <c r="BR30" s="247"/>
      <c r="BT30" s="33"/>
      <c r="BU30" s="33"/>
      <c r="BV30" s="247"/>
      <c r="BX30" s="33"/>
      <c r="BY30" s="33"/>
      <c r="BZ30" s="247"/>
      <c r="CB30" s="33"/>
      <c r="CC30" s="33"/>
      <c r="CD30" s="247"/>
      <c r="CF30" s="33"/>
      <c r="CG30" s="33"/>
      <c r="CH30" s="247"/>
      <c r="CI30" s="33"/>
      <c r="CJ30" s="33"/>
      <c r="CK30" s="247"/>
      <c r="CM30" s="33"/>
      <c r="CN30" s="33"/>
      <c r="CP30" s="33"/>
      <c r="CQ30" s="33"/>
      <c r="CR30" s="134"/>
      <c r="CS30" s="247"/>
      <c r="CT30" s="497"/>
      <c r="CV30" s="33"/>
      <c r="CW30" s="33"/>
      <c r="CX30" s="498"/>
      <c r="CZ30" s="33"/>
      <c r="DA30" s="33"/>
      <c r="DB30" s="247"/>
      <c r="DD30" s="33"/>
      <c r="DE30" s="33"/>
      <c r="DF30" s="247"/>
      <c r="DH30" s="33"/>
      <c r="DI30" s="33"/>
      <c r="DJ30" s="247"/>
      <c r="DL30" s="33"/>
      <c r="DM30" s="33"/>
      <c r="DN30" s="247"/>
      <c r="DP30" s="33"/>
      <c r="DQ30" s="33"/>
      <c r="DR30" s="247"/>
      <c r="DT30" s="33"/>
      <c r="DU30" s="33"/>
      <c r="DV30" s="247"/>
      <c r="DX30" s="33"/>
      <c r="DZ30" s="33"/>
      <c r="EA30" s="247"/>
      <c r="EC30" s="196"/>
      <c r="ED30" s="281"/>
      <c r="EF30" s="33"/>
      <c r="EG30" s="292"/>
      <c r="EH30" s="247"/>
      <c r="EJ30" s="33"/>
      <c r="EK30" s="292"/>
      <c r="EL30" s="247"/>
      <c r="EN30" s="151"/>
      <c r="EO30" s="491"/>
      <c r="EP30" s="491"/>
      <c r="EQ30" s="496"/>
      <c r="ES30" s="151"/>
      <c r="ET30" s="151"/>
    </row>
    <row r="31" spans="1:150" x14ac:dyDescent="0.25">
      <c r="A31" s="298">
        <v>45773</v>
      </c>
      <c r="B31" s="33"/>
      <c r="C31" s="33"/>
      <c r="D31" s="33"/>
      <c r="E31" s="251"/>
      <c r="F31" s="490"/>
      <c r="G31" s="33"/>
      <c r="H31" s="190"/>
      <c r="I31" s="187"/>
      <c r="J31" s="33"/>
      <c r="K31" s="189"/>
      <c r="L31" s="258"/>
      <c r="M31" s="188"/>
      <c r="N31" s="33"/>
      <c r="O31" s="189"/>
      <c r="P31" s="258"/>
      <c r="Q31" s="34"/>
      <c r="R31" s="33"/>
      <c r="S31" s="33"/>
      <c r="T31" s="33"/>
      <c r="U31" s="258"/>
      <c r="V31" s="34"/>
      <c r="W31" s="186"/>
      <c r="X31" s="189"/>
      <c r="Y31" s="258"/>
      <c r="Z31" s="34"/>
      <c r="AA31" s="266"/>
      <c r="AB31" s="189"/>
      <c r="AC31" s="258"/>
      <c r="AD31" s="34"/>
      <c r="AE31" s="260"/>
      <c r="AF31" s="261"/>
      <c r="AG31" s="259"/>
      <c r="AH31" s="34"/>
      <c r="AI31" s="287"/>
      <c r="AJ31" s="193"/>
      <c r="AK31" s="192"/>
      <c r="AL31" s="34"/>
      <c r="AM31" s="218"/>
      <c r="AN31" s="326"/>
      <c r="AO31" s="194"/>
      <c r="AP31" s="34"/>
      <c r="AQ31" s="265"/>
      <c r="AR31" s="261"/>
      <c r="AS31" s="34"/>
      <c r="AT31" s="196"/>
      <c r="AU31" s="197"/>
      <c r="AV31" s="195"/>
      <c r="AW31" s="34"/>
      <c r="AX31" s="191"/>
      <c r="AY31" s="262"/>
      <c r="AZ31" s="262"/>
      <c r="BA31" s="263"/>
      <c r="BC31" s="154"/>
      <c r="BD31" s="267"/>
      <c r="BE31" s="221"/>
      <c r="BF31" s="223"/>
      <c r="BG31" s="222"/>
      <c r="BH31" s="267"/>
      <c r="BI31" s="267"/>
      <c r="BJ31" s="267"/>
      <c r="BL31" s="151"/>
      <c r="BN31" s="189"/>
      <c r="BP31" s="33"/>
      <c r="BQ31" s="33"/>
      <c r="BR31" s="247"/>
      <c r="BT31" s="33"/>
      <c r="BU31" s="33"/>
      <c r="BV31" s="247"/>
      <c r="BX31" s="33"/>
      <c r="BY31" s="33"/>
      <c r="BZ31" s="247"/>
      <c r="CB31" s="33"/>
      <c r="CC31" s="33"/>
      <c r="CD31" s="247"/>
      <c r="CF31" s="33"/>
      <c r="CG31" s="33"/>
      <c r="CH31" s="247"/>
      <c r="CI31" s="33"/>
      <c r="CJ31" s="33"/>
      <c r="CK31" s="247"/>
      <c r="CM31" s="33"/>
      <c r="CN31" s="33"/>
      <c r="CP31" s="33"/>
      <c r="CQ31" s="33"/>
      <c r="CR31" s="134"/>
      <c r="CS31" s="247"/>
      <c r="CT31" s="497"/>
      <c r="CV31" s="33"/>
      <c r="CW31" s="33"/>
      <c r="CX31" s="498"/>
      <c r="CZ31" s="33"/>
      <c r="DA31" s="33"/>
      <c r="DB31" s="247"/>
      <c r="DD31" s="33"/>
      <c r="DE31" s="33"/>
      <c r="DF31" s="247"/>
      <c r="DH31" s="33"/>
      <c r="DI31" s="33"/>
      <c r="DJ31" s="247"/>
      <c r="DL31" s="33"/>
      <c r="DM31" s="33"/>
      <c r="DN31" s="247"/>
      <c r="DP31" s="33"/>
      <c r="DQ31" s="33"/>
      <c r="DR31" s="247"/>
      <c r="DT31" s="33"/>
      <c r="DU31" s="33"/>
      <c r="DV31" s="247"/>
      <c r="DX31" s="33"/>
      <c r="DZ31" s="33"/>
      <c r="EA31" s="247"/>
      <c r="EC31" s="196"/>
      <c r="ED31" s="281"/>
      <c r="EF31" s="33"/>
      <c r="EG31" s="292"/>
      <c r="EH31" s="247"/>
      <c r="EJ31" s="33"/>
      <c r="EK31" s="292"/>
      <c r="EL31" s="247"/>
      <c r="EN31" s="151"/>
      <c r="EO31" s="491"/>
      <c r="EP31" s="491"/>
      <c r="EQ31" s="496"/>
      <c r="ES31" s="151"/>
      <c r="ET31" s="151"/>
    </row>
    <row r="32" spans="1:150" x14ac:dyDescent="0.25">
      <c r="A32" s="298">
        <v>45774</v>
      </c>
      <c r="B32" s="33"/>
      <c r="C32" s="33"/>
      <c r="D32" s="33"/>
      <c r="E32" s="251"/>
      <c r="F32" s="490"/>
      <c r="G32" s="33"/>
      <c r="H32" s="190"/>
      <c r="I32" s="187"/>
      <c r="J32" s="33"/>
      <c r="K32" s="189"/>
      <c r="L32" s="258"/>
      <c r="M32" s="188"/>
      <c r="N32" s="33"/>
      <c r="O32" s="189"/>
      <c r="P32" s="258"/>
      <c r="Q32" s="34"/>
      <c r="R32" s="33"/>
      <c r="S32" s="33"/>
      <c r="T32" s="33"/>
      <c r="U32" s="258"/>
      <c r="V32" s="34"/>
      <c r="W32" s="186"/>
      <c r="X32" s="189"/>
      <c r="Y32" s="258"/>
      <c r="Z32" s="34"/>
      <c r="AA32" s="266"/>
      <c r="AB32" s="189"/>
      <c r="AC32" s="258"/>
      <c r="AD32" s="34"/>
      <c r="AE32" s="260"/>
      <c r="AF32" s="261"/>
      <c r="AG32" s="259"/>
      <c r="AH32" s="34"/>
      <c r="AI32" s="287"/>
      <c r="AJ32" s="193"/>
      <c r="AK32" s="192"/>
      <c r="AL32" s="34"/>
      <c r="AM32" s="218"/>
      <c r="AN32" s="326"/>
      <c r="AO32" s="194"/>
      <c r="AP32" s="34"/>
      <c r="AQ32" s="265"/>
      <c r="AR32" s="261"/>
      <c r="AS32" s="34"/>
      <c r="AT32" s="196"/>
      <c r="AU32" s="197"/>
      <c r="AV32" s="195"/>
      <c r="AW32" s="34"/>
      <c r="AX32" s="191"/>
      <c r="AY32" s="262"/>
      <c r="AZ32" s="262"/>
      <c r="BA32" s="263"/>
      <c r="BC32" s="154"/>
      <c r="BD32" s="267"/>
      <c r="BE32" s="221"/>
      <c r="BF32" s="223"/>
      <c r="BG32" s="222"/>
      <c r="BH32" s="267"/>
      <c r="BI32" s="267"/>
      <c r="BJ32" s="267"/>
      <c r="BL32" s="151"/>
      <c r="BN32" s="189"/>
      <c r="BP32" s="33"/>
      <c r="BQ32" s="33"/>
      <c r="BR32" s="247"/>
      <c r="BT32" s="33"/>
      <c r="BU32" s="33"/>
      <c r="BV32" s="247"/>
      <c r="BX32" s="33"/>
      <c r="BY32" s="33"/>
      <c r="BZ32" s="247"/>
      <c r="CB32" s="33"/>
      <c r="CC32" s="33"/>
      <c r="CD32" s="247"/>
      <c r="CF32" s="33"/>
      <c r="CG32" s="33"/>
      <c r="CH32" s="247"/>
      <c r="CI32" s="33"/>
      <c r="CJ32" s="33"/>
      <c r="CK32" s="247"/>
      <c r="CM32" s="33"/>
      <c r="CN32" s="33"/>
      <c r="CP32" s="33"/>
      <c r="CQ32" s="33"/>
      <c r="CR32" s="134"/>
      <c r="CS32" s="247"/>
      <c r="CT32" s="497"/>
      <c r="CV32" s="33"/>
      <c r="CW32" s="33"/>
      <c r="CX32" s="498"/>
      <c r="CZ32" s="33"/>
      <c r="DA32" s="33"/>
      <c r="DB32" s="247"/>
      <c r="DD32" s="33"/>
      <c r="DE32" s="33"/>
      <c r="DF32" s="247"/>
      <c r="DH32" s="33"/>
      <c r="DI32" s="33"/>
      <c r="DJ32" s="247"/>
      <c r="DL32" s="33"/>
      <c r="DM32" s="33"/>
      <c r="DN32" s="247"/>
      <c r="DP32" s="33"/>
      <c r="DQ32" s="33"/>
      <c r="DR32" s="247"/>
      <c r="DT32" s="33"/>
      <c r="DU32" s="33"/>
      <c r="DV32" s="247"/>
      <c r="DX32" s="33"/>
      <c r="DZ32" s="33"/>
      <c r="EA32" s="247"/>
      <c r="EC32" s="196"/>
      <c r="ED32" s="281"/>
      <c r="EF32" s="33"/>
      <c r="EG32" s="292"/>
      <c r="EH32" s="247"/>
      <c r="EJ32" s="33"/>
      <c r="EK32" s="292"/>
      <c r="EL32" s="247"/>
      <c r="EN32" s="151"/>
      <c r="EO32" s="491"/>
      <c r="EP32" s="491"/>
      <c r="EQ32" s="496"/>
      <c r="ES32" s="151"/>
      <c r="ET32" s="151"/>
    </row>
    <row r="33" spans="1:150" x14ac:dyDescent="0.25">
      <c r="A33" s="298">
        <v>45775</v>
      </c>
      <c r="B33" s="33"/>
      <c r="C33" s="33"/>
      <c r="D33" s="33"/>
      <c r="E33" s="251"/>
      <c r="F33" s="490"/>
      <c r="G33" s="33"/>
      <c r="H33" s="190"/>
      <c r="I33" s="187"/>
      <c r="J33" s="33"/>
      <c r="K33" s="189"/>
      <c r="L33" s="258"/>
      <c r="M33" s="188"/>
      <c r="N33" s="33"/>
      <c r="O33" s="189"/>
      <c r="P33" s="258"/>
      <c r="Q33" s="34"/>
      <c r="R33" s="33"/>
      <c r="S33" s="33"/>
      <c r="T33" s="33"/>
      <c r="U33" s="258"/>
      <c r="V33" s="34"/>
      <c r="W33" s="186"/>
      <c r="X33" s="189"/>
      <c r="Y33" s="258"/>
      <c r="Z33" s="34"/>
      <c r="AA33" s="266"/>
      <c r="AB33" s="189"/>
      <c r="AC33" s="258"/>
      <c r="AD33" s="34"/>
      <c r="AE33" s="260"/>
      <c r="AF33" s="261"/>
      <c r="AG33" s="259"/>
      <c r="AH33" s="34"/>
      <c r="AI33" s="287"/>
      <c r="AJ33" s="193"/>
      <c r="AK33" s="192"/>
      <c r="AL33" s="34"/>
      <c r="AM33" s="218"/>
      <c r="AN33" s="326"/>
      <c r="AO33" s="194"/>
      <c r="AP33" s="34"/>
      <c r="AQ33" s="265"/>
      <c r="AR33" s="261"/>
      <c r="AS33" s="34"/>
      <c r="AT33" s="196"/>
      <c r="AU33" s="197"/>
      <c r="AV33" s="195"/>
      <c r="AW33" s="34"/>
      <c r="AX33" s="191"/>
      <c r="AY33" s="262"/>
      <c r="AZ33" s="262"/>
      <c r="BA33" s="263"/>
      <c r="BC33" s="154"/>
      <c r="BD33" s="267"/>
      <c r="BE33" s="221"/>
      <c r="BF33" s="223"/>
      <c r="BG33" s="222"/>
      <c r="BH33" s="267"/>
      <c r="BI33" s="267"/>
      <c r="BJ33" s="267"/>
      <c r="BL33" s="151"/>
      <c r="BN33" s="189"/>
      <c r="BP33" s="33"/>
      <c r="BQ33" s="33"/>
      <c r="BR33" s="247"/>
      <c r="BT33" s="33"/>
      <c r="BU33" s="33"/>
      <c r="BV33" s="247"/>
      <c r="BX33" s="33"/>
      <c r="BY33" s="33"/>
      <c r="BZ33" s="247"/>
      <c r="CB33" s="33"/>
      <c r="CC33" s="33"/>
      <c r="CD33" s="247"/>
      <c r="CF33" s="33"/>
      <c r="CG33" s="33"/>
      <c r="CH33" s="247"/>
      <c r="CI33" s="33"/>
      <c r="CJ33" s="33"/>
      <c r="CK33" s="247"/>
      <c r="CM33" s="33"/>
      <c r="CN33" s="33"/>
      <c r="CP33" s="33"/>
      <c r="CQ33" s="33"/>
      <c r="CR33" s="134"/>
      <c r="CS33" s="247"/>
      <c r="CT33" s="497"/>
      <c r="CV33" s="33"/>
      <c r="CW33" s="33"/>
      <c r="CX33" s="498"/>
      <c r="CZ33" s="33"/>
      <c r="DA33" s="33"/>
      <c r="DB33" s="247"/>
      <c r="DD33" s="33"/>
      <c r="DE33" s="33"/>
      <c r="DF33" s="247"/>
      <c r="DH33" s="33"/>
      <c r="DI33" s="33"/>
      <c r="DJ33" s="247"/>
      <c r="DL33" s="33"/>
      <c r="DM33" s="33"/>
      <c r="DN33" s="247"/>
      <c r="DP33" s="33"/>
      <c r="DQ33" s="33"/>
      <c r="DR33" s="247"/>
      <c r="DT33" s="33"/>
      <c r="DU33" s="33"/>
      <c r="DV33" s="247"/>
      <c r="DX33" s="33"/>
      <c r="DZ33" s="33"/>
      <c r="EA33" s="247"/>
      <c r="EC33" s="196"/>
      <c r="ED33" s="281"/>
      <c r="EF33" s="33"/>
      <c r="EG33" s="292"/>
      <c r="EH33" s="247"/>
      <c r="EJ33" s="33"/>
      <c r="EK33" s="292"/>
      <c r="EL33" s="247"/>
      <c r="EN33" s="151"/>
      <c r="EO33" s="491"/>
      <c r="EP33" s="491"/>
      <c r="EQ33" s="496"/>
      <c r="ES33" s="151"/>
      <c r="ET33" s="151"/>
    </row>
    <row r="34" spans="1:150" x14ac:dyDescent="0.25">
      <c r="A34" s="298">
        <v>45776</v>
      </c>
      <c r="B34" s="33"/>
      <c r="C34" s="33"/>
      <c r="D34" s="33"/>
      <c r="E34" s="251"/>
      <c r="F34" s="490"/>
      <c r="G34" s="33"/>
      <c r="H34" s="190"/>
      <c r="I34" s="187"/>
      <c r="J34" s="33"/>
      <c r="K34" s="189"/>
      <c r="L34" s="258"/>
      <c r="M34" s="188"/>
      <c r="N34" s="33"/>
      <c r="O34" s="189"/>
      <c r="P34" s="258"/>
      <c r="Q34" s="34"/>
      <c r="R34" s="33"/>
      <c r="S34" s="33"/>
      <c r="T34" s="33"/>
      <c r="U34" s="258"/>
      <c r="V34" s="34"/>
      <c r="W34" s="186"/>
      <c r="X34" s="189"/>
      <c r="Y34" s="258"/>
      <c r="Z34" s="34"/>
      <c r="AA34" s="266"/>
      <c r="AB34" s="189"/>
      <c r="AC34" s="258"/>
      <c r="AD34" s="34"/>
      <c r="AE34" s="260"/>
      <c r="AF34" s="261"/>
      <c r="AG34" s="259"/>
      <c r="AH34" s="34"/>
      <c r="AI34" s="287"/>
      <c r="AJ34" s="193"/>
      <c r="AK34" s="192"/>
      <c r="AL34" s="34"/>
      <c r="AM34" s="218"/>
      <c r="AN34" s="326"/>
      <c r="AO34" s="194"/>
      <c r="AP34" s="34"/>
      <c r="AQ34" s="265"/>
      <c r="AR34" s="261"/>
      <c r="AS34" s="34"/>
      <c r="AT34" s="196"/>
      <c r="AU34" s="197"/>
      <c r="AV34" s="195"/>
      <c r="AW34" s="34"/>
      <c r="AX34" s="191"/>
      <c r="AY34" s="262"/>
      <c r="AZ34" s="262"/>
      <c r="BA34" s="263"/>
      <c r="BC34" s="154"/>
      <c r="BD34" s="267"/>
      <c r="BE34" s="221"/>
      <c r="BF34" s="223"/>
      <c r="BG34" s="222"/>
      <c r="BH34" s="267"/>
      <c r="BI34" s="267"/>
      <c r="BJ34" s="267"/>
      <c r="BL34" s="151"/>
      <c r="BN34" s="189"/>
      <c r="BP34" s="33"/>
      <c r="BQ34" s="33"/>
      <c r="BR34" s="247"/>
      <c r="BT34" s="33"/>
      <c r="BU34" s="33"/>
      <c r="BV34" s="247"/>
      <c r="BX34" s="33"/>
      <c r="BY34" s="33"/>
      <c r="BZ34" s="247"/>
      <c r="CB34" s="33"/>
      <c r="CC34" s="33"/>
      <c r="CD34" s="247"/>
      <c r="CF34" s="33"/>
      <c r="CG34" s="33"/>
      <c r="CH34" s="247"/>
      <c r="CI34" s="33"/>
      <c r="CJ34" s="33"/>
      <c r="CK34" s="247"/>
      <c r="CM34" s="33"/>
      <c r="CN34" s="33"/>
      <c r="CP34" s="33"/>
      <c r="CQ34" s="33"/>
      <c r="CR34" s="134"/>
      <c r="CS34" s="247"/>
      <c r="CT34" s="497"/>
      <c r="CV34" s="33"/>
      <c r="CW34" s="33"/>
      <c r="CX34" s="498"/>
      <c r="CZ34" s="33"/>
      <c r="DA34" s="33"/>
      <c r="DB34" s="247"/>
      <c r="DD34" s="33"/>
      <c r="DE34" s="33"/>
      <c r="DF34" s="247"/>
      <c r="DH34" s="33"/>
      <c r="DI34" s="33"/>
      <c r="DJ34" s="247"/>
      <c r="DL34" s="33"/>
      <c r="DM34" s="33"/>
      <c r="DN34" s="247"/>
      <c r="DP34" s="33"/>
      <c r="DQ34" s="33"/>
      <c r="DR34" s="247"/>
      <c r="DT34" s="33"/>
      <c r="DU34" s="33"/>
      <c r="DV34" s="247"/>
      <c r="DX34" s="33"/>
      <c r="DZ34" s="33"/>
      <c r="EA34" s="247"/>
      <c r="EC34" s="196"/>
      <c r="ED34" s="281"/>
      <c r="EF34" s="33"/>
      <c r="EG34" s="292"/>
      <c r="EH34" s="247"/>
      <c r="EJ34" s="33"/>
      <c r="EK34" s="292"/>
      <c r="EL34" s="247"/>
      <c r="EN34" s="151"/>
      <c r="EO34" s="491"/>
      <c r="EP34" s="491"/>
      <c r="EQ34" s="496"/>
      <c r="ES34" s="151"/>
      <c r="ET34" s="151"/>
    </row>
    <row r="35" spans="1:150" x14ac:dyDescent="0.25">
      <c r="A35" s="298">
        <v>45777</v>
      </c>
      <c r="B35" s="33"/>
      <c r="C35" s="33"/>
      <c r="D35" s="33"/>
      <c r="E35" s="251"/>
      <c r="F35" s="490"/>
      <c r="G35" s="33"/>
      <c r="H35" s="190"/>
      <c r="I35" s="187"/>
      <c r="J35" s="33"/>
      <c r="K35" s="189"/>
      <c r="L35" s="258"/>
      <c r="M35" s="188"/>
      <c r="N35" s="33"/>
      <c r="O35" s="189"/>
      <c r="P35" s="258"/>
      <c r="Q35" s="34"/>
      <c r="R35" s="33"/>
      <c r="S35" s="33"/>
      <c r="T35" s="33"/>
      <c r="U35" s="258"/>
      <c r="V35" s="34"/>
      <c r="W35" s="186"/>
      <c r="X35" s="189"/>
      <c r="Y35" s="258"/>
      <c r="Z35" s="34"/>
      <c r="AA35" s="266"/>
      <c r="AB35" s="189"/>
      <c r="AC35" s="258"/>
      <c r="AD35" s="34"/>
      <c r="AE35" s="260"/>
      <c r="AF35" s="261"/>
      <c r="AG35" s="259"/>
      <c r="AH35" s="34"/>
      <c r="AI35" s="287"/>
      <c r="AJ35" s="193"/>
      <c r="AK35" s="192"/>
      <c r="AL35" s="34"/>
      <c r="AM35" s="218"/>
      <c r="AN35" s="326"/>
      <c r="AO35" s="194"/>
      <c r="AP35" s="34"/>
      <c r="AQ35" s="265"/>
      <c r="AR35" s="261"/>
      <c r="AS35" s="34"/>
      <c r="AT35" s="196"/>
      <c r="AU35" s="197"/>
      <c r="AV35" s="195"/>
      <c r="AW35" s="34"/>
      <c r="AX35" s="191"/>
      <c r="AY35" s="262"/>
      <c r="AZ35" s="262"/>
      <c r="BA35" s="263"/>
      <c r="BC35" s="154"/>
      <c r="BD35" s="267"/>
      <c r="BE35" s="221"/>
      <c r="BF35" s="223"/>
      <c r="BG35" s="222"/>
      <c r="BH35" s="267"/>
      <c r="BI35" s="267"/>
      <c r="BJ35" s="267"/>
      <c r="BL35" s="151"/>
      <c r="BN35" s="189"/>
      <c r="BP35" s="33"/>
      <c r="BQ35" s="33"/>
      <c r="BR35" s="247"/>
      <c r="BT35" s="33"/>
      <c r="BU35" s="33"/>
      <c r="BV35" s="247"/>
      <c r="BX35" s="33"/>
      <c r="BY35" s="33"/>
      <c r="BZ35" s="247"/>
      <c r="CB35" s="33"/>
      <c r="CC35" s="33"/>
      <c r="CD35" s="247"/>
      <c r="CF35" s="33"/>
      <c r="CG35" s="33"/>
      <c r="CH35" s="247"/>
      <c r="CI35" s="33"/>
      <c r="CJ35" s="33"/>
      <c r="CK35" s="247"/>
      <c r="CM35" s="33"/>
      <c r="CN35" s="33"/>
      <c r="CP35" s="33"/>
      <c r="CQ35" s="33"/>
      <c r="CR35" s="134"/>
      <c r="CS35" s="247"/>
      <c r="CT35" s="497"/>
      <c r="CV35" s="33"/>
      <c r="CW35" s="33"/>
      <c r="CX35" s="498"/>
      <c r="CZ35" s="33"/>
      <c r="DA35" s="33"/>
      <c r="DB35" s="247"/>
      <c r="DD35" s="33"/>
      <c r="DE35" s="33"/>
      <c r="DF35" s="247"/>
      <c r="DH35" s="33"/>
      <c r="DI35" s="33"/>
      <c r="DJ35" s="247"/>
      <c r="DL35" s="33"/>
      <c r="DM35" s="33"/>
      <c r="DN35" s="247"/>
      <c r="DP35" s="33"/>
      <c r="DQ35" s="33"/>
      <c r="DR35" s="247"/>
      <c r="DT35" s="33"/>
      <c r="DU35" s="33"/>
      <c r="DV35" s="247"/>
      <c r="DX35" s="33"/>
      <c r="DZ35" s="33"/>
      <c r="EA35" s="247"/>
      <c r="EC35" s="196"/>
      <c r="ED35" s="281"/>
      <c r="EF35" s="33"/>
      <c r="EG35" s="292"/>
      <c r="EH35" s="247"/>
      <c r="EJ35" s="33"/>
      <c r="EK35" s="292"/>
      <c r="EL35" s="247"/>
      <c r="EN35" s="151"/>
      <c r="EO35" s="491"/>
      <c r="EP35" s="491"/>
      <c r="EQ35" s="496"/>
      <c r="ES35" s="151"/>
      <c r="ET35" s="151"/>
    </row>
    <row r="36" spans="1:150" ht="13.8" thickBot="1" x14ac:dyDescent="0.3">
      <c r="C36" s="126">
        <f>AVERAGE(C6:C35)</f>
        <v>634</v>
      </c>
      <c r="D36" s="492"/>
      <c r="G36" s="55">
        <f>SUM(G6:G35)</f>
        <v>2284</v>
      </c>
      <c r="H36" s="111">
        <f>SUM(H6:H35)</f>
        <v>1517</v>
      </c>
      <c r="I36" s="125"/>
      <c r="J36" s="38"/>
      <c r="K36" s="55">
        <f>SUM(K6:K35)</f>
        <v>830.904</v>
      </c>
      <c r="L36" s="111">
        <f>SUM(L6:L35)</f>
        <v>382.77600000000007</v>
      </c>
      <c r="M36" s="125"/>
      <c r="N36" s="38"/>
      <c r="O36" s="55">
        <f>SUM(O6:O35)</f>
        <v>2000.7400000000002</v>
      </c>
      <c r="P36" s="111">
        <f>SUM(P6:P35)</f>
        <v>1189.3800000000001</v>
      </c>
      <c r="Q36" s="125"/>
      <c r="R36" s="38"/>
      <c r="S36" s="133">
        <f>SUM(S6:S35)</f>
        <v>0</v>
      </c>
      <c r="T36" s="55">
        <f>SUM(T6:T35)</f>
        <v>0</v>
      </c>
      <c r="U36" s="111">
        <f>SUM(U6:U35)</f>
        <v>0</v>
      </c>
      <c r="V36" s="125"/>
      <c r="W36" s="39"/>
      <c r="X36" s="55">
        <f>SUM(X6:X35)</f>
        <v>103399.99999999418</v>
      </c>
      <c r="Y36" s="111">
        <f>SUM(Y6:Y35)</f>
        <v>85479.999999981374</v>
      </c>
      <c r="Z36" s="125"/>
      <c r="AA36" s="38"/>
      <c r="AB36" s="55">
        <f>SUM(AB6:AB35)</f>
        <v>220</v>
      </c>
      <c r="AC36" s="111">
        <f>SUM(AC6:AC35)</f>
        <v>0</v>
      </c>
      <c r="AD36" s="125"/>
      <c r="AE36" s="124">
        <f>SUM(AE6:AE35)</f>
        <v>103619.99999999418</v>
      </c>
      <c r="AF36" s="111">
        <f>SUM(AF6:AF35)</f>
        <v>85479.999999981374</v>
      </c>
      <c r="AG36" s="123">
        <f>SUM(AG6:AG35)</f>
        <v>79663.600000000006</v>
      </c>
      <c r="AH36" s="125"/>
      <c r="AI36" s="159">
        <f>AVERAGE(AI6:AI35)</f>
        <v>0.86573333333333335</v>
      </c>
      <c r="AJ36" s="159">
        <f>AVERAGE(AJ6:AJ35)</f>
        <v>0.50253333333333339</v>
      </c>
      <c r="AK36" s="160">
        <f>AVERAGE(AK6:AK35)</f>
        <v>0.65</v>
      </c>
      <c r="AL36" s="125"/>
      <c r="AM36" s="124">
        <f>SUM(AM6:AM35)</f>
        <v>1366.1271999999999</v>
      </c>
      <c r="AN36" s="111">
        <f>SUM(AN6:AN35)</f>
        <v>793</v>
      </c>
      <c r="AO36" s="123">
        <f>SUM(AO6:AO35)</f>
        <v>1025.6999999999998</v>
      </c>
      <c r="AP36" s="125"/>
      <c r="AQ36" s="124">
        <f>MAX(AQ6:AQ35)</f>
        <v>1332</v>
      </c>
      <c r="AR36" s="111">
        <f>MAX(AR6:AR35)</f>
        <v>1548</v>
      </c>
      <c r="AS36" s="156"/>
      <c r="AT36" s="157"/>
      <c r="AU36" s="157"/>
      <c r="AV36" s="157">
        <f>AVERAGE(AV6:AV35)</f>
        <v>0.98719407013510596</v>
      </c>
      <c r="AW36" s="156"/>
      <c r="AX36" s="122"/>
      <c r="AY36" s="127">
        <f>SUM(AY6:AY35)</f>
        <v>85479.999999981374</v>
      </c>
      <c r="AZ36" s="128">
        <f>SUM(AZ6:AZ35)</f>
        <v>76600.000000005821</v>
      </c>
      <c r="BA36" s="129">
        <f>SUM(BA6:BA35)</f>
        <v>162079.99999998719</v>
      </c>
      <c r="BC36" s="239">
        <f t="shared" ref="BC36:BJ36" si="110">AVERAGE(BC6:BC35)</f>
        <v>16</v>
      </c>
      <c r="BD36" s="118">
        <f t="shared" si="110"/>
        <v>20</v>
      </c>
      <c r="BE36" s="155">
        <f t="shared" si="110"/>
        <v>18</v>
      </c>
      <c r="BF36" s="224">
        <f t="shared" si="110"/>
        <v>25</v>
      </c>
      <c r="BG36" s="239">
        <f t="shared" si="110"/>
        <v>80</v>
      </c>
      <c r="BH36" s="118">
        <f t="shared" si="110"/>
        <v>16.100000000000001</v>
      </c>
      <c r="BI36" s="155">
        <f t="shared" si="110"/>
        <v>12</v>
      </c>
      <c r="BJ36" s="224">
        <f t="shared" si="110"/>
        <v>56</v>
      </c>
      <c r="BL36" s="151">
        <f>SUM(BL6:BL35)</f>
        <v>1578</v>
      </c>
      <c r="BN36" s="179">
        <f>SUM(BN6:BN35)</f>
        <v>0</v>
      </c>
      <c r="BP36" s="33"/>
      <c r="BQ36" s="33">
        <f>SUM(BQ6:BQ35)</f>
        <v>140</v>
      </c>
      <c r="BR36" s="247">
        <f>SUM(BR6:BR35)</f>
        <v>66</v>
      </c>
      <c r="BT36" s="33"/>
      <c r="BU36" s="33">
        <f>SUM(BU6:BU35)</f>
        <v>172</v>
      </c>
      <c r="BV36" s="247">
        <f>SUM(BV6:BV35)</f>
        <v>100</v>
      </c>
      <c r="BX36" s="33"/>
      <c r="BY36" s="33">
        <f>SUM(BY6:BY35)</f>
        <v>0</v>
      </c>
      <c r="BZ36" s="247">
        <f>SUM(BZ6:BZ35)</f>
        <v>11</v>
      </c>
      <c r="CB36" s="33"/>
      <c r="CC36" s="33">
        <f>SUM(CC6:CC35)</f>
        <v>140</v>
      </c>
      <c r="CD36" s="247">
        <f>SUM(CD6:CD35)</f>
        <v>80</v>
      </c>
      <c r="CF36" s="33"/>
      <c r="CG36" s="33">
        <f>SUM(CG6:CG35)</f>
        <v>35</v>
      </c>
      <c r="CH36" s="247">
        <f>SUM(CH6:CH35)</f>
        <v>20</v>
      </c>
      <c r="CI36" s="33"/>
      <c r="CJ36" s="33">
        <f>SUM(CJ6:CJ35)</f>
        <v>0</v>
      </c>
      <c r="CK36" s="247">
        <f>SUM(CK6:CK35)</f>
        <v>-3</v>
      </c>
      <c r="CM36" s="33">
        <f>SUM(CM6:CM35)</f>
        <v>452</v>
      </c>
      <c r="CN36" s="33">
        <f>SUM(CN6:CN35)</f>
        <v>254</v>
      </c>
      <c r="CP36" s="33"/>
      <c r="CQ36" s="33">
        <f>SUM(CQ6:CQ35)</f>
        <v>1770</v>
      </c>
      <c r="CR36" s="249" t="e">
        <f>AVERAGE(CR13:CR35)</f>
        <v>#DIV/0!</v>
      </c>
      <c r="CS36" s="247">
        <f>'Reading.4.24'!CN35</f>
        <v>123</v>
      </c>
      <c r="CT36" s="282">
        <f>'Reading.4.24'!CO35</f>
        <v>0</v>
      </c>
      <c r="CV36" s="33"/>
      <c r="CW36" s="33">
        <f>SUM(CW6:CW35)</f>
        <v>5</v>
      </c>
      <c r="CX36" s="281">
        <f>'Reading.4.24'!CT37</f>
        <v>0.52997601918465231</v>
      </c>
      <c r="CZ36" s="33"/>
      <c r="DA36" s="33">
        <f>SUM(DA6:DA35)</f>
        <v>12</v>
      </c>
      <c r="DB36" s="247">
        <f>SUM(DB6:DB35)</f>
        <v>8</v>
      </c>
      <c r="DD36" s="33"/>
      <c r="DE36" s="33">
        <f>SUM(DE6:DE35)</f>
        <v>2951</v>
      </c>
      <c r="DF36" s="247">
        <f>SUM(DF6:DF35)</f>
        <v>2158</v>
      </c>
      <c r="DH36" s="33"/>
      <c r="DI36" s="33">
        <f>SUM(DI6:DI35)</f>
        <v>4948</v>
      </c>
      <c r="DJ36" s="247">
        <f>SUM(DJ6:DJ35)</f>
        <v>4161</v>
      </c>
      <c r="DL36" s="33"/>
      <c r="DM36" s="33">
        <f>SUM(DM6:DM35)</f>
        <v>5639</v>
      </c>
      <c r="DN36" s="247">
        <f>SUM(DN6:DN35)</f>
        <v>10542</v>
      </c>
      <c r="DP36" s="33"/>
      <c r="DQ36" s="33">
        <f>SUM(DQ6:DQ35)</f>
        <v>4901</v>
      </c>
      <c r="DR36" s="247">
        <f>SUM(DR6:DR35)</f>
        <v>96</v>
      </c>
      <c r="DT36" s="33" t="s">
        <v>202</v>
      </c>
      <c r="DU36" s="33">
        <f>SUM(DU6:DU35)</f>
        <v>50</v>
      </c>
      <c r="DV36" s="247">
        <f>SUM(DV6:DV35)</f>
        <v>94</v>
      </c>
      <c r="DX36" s="33"/>
      <c r="DZ36" s="33">
        <f>SUM(DZ6:DZ35)</f>
        <v>12750</v>
      </c>
      <c r="EA36" s="247">
        <f>SUM(EA6:EA35)</f>
        <v>12892</v>
      </c>
      <c r="EC36" s="196">
        <f>SUM(EC6:EC35)</f>
        <v>9890.4</v>
      </c>
      <c r="ED36" s="281">
        <f>SUM(ED6:ED35)</f>
        <v>7810.4</v>
      </c>
      <c r="EF36" s="33"/>
      <c r="EG36" s="33">
        <f>SUM(EG6:EG35)</f>
        <v>223</v>
      </c>
      <c r="EH36" s="247">
        <f>SUM(EH6:EH35)</f>
        <v>134</v>
      </c>
      <c r="EJ36" s="33"/>
      <c r="EK36" s="33">
        <f>SUM(EK6:EK35)</f>
        <v>77</v>
      </c>
      <c r="EL36" s="247">
        <f>SUM(EL6:EL35)</f>
        <v>75</v>
      </c>
      <c r="EN36" s="151"/>
      <c r="EO36" s="491"/>
      <c r="EP36" s="491"/>
      <c r="EQ36" s="292"/>
      <c r="ES36" s="151"/>
      <c r="ET36" s="151"/>
    </row>
    <row r="37" spans="1:150" ht="13.8" thickTop="1" x14ac:dyDescent="0.25">
      <c r="C37" t="s">
        <v>33</v>
      </c>
      <c r="W37" s="32"/>
      <c r="AP37" s="152" t="s">
        <v>99</v>
      </c>
      <c r="AQ37" s="153">
        <v>2216</v>
      </c>
      <c r="CQ37">
        <v>0</v>
      </c>
    </row>
    <row r="38" spans="1:150" x14ac:dyDescent="0.25">
      <c r="C38">
        <f>SUM(C6:C35)</f>
        <v>1902</v>
      </c>
      <c r="K38" s="325"/>
      <c r="P38" s="325"/>
      <c r="AP38" s="152" t="s">
        <v>101</v>
      </c>
      <c r="AQ38" s="153">
        <v>2160</v>
      </c>
    </row>
    <row r="39" spans="1:150" x14ac:dyDescent="0.25">
      <c r="B39">
        <f>+B31-B30</f>
        <v>0</v>
      </c>
      <c r="G39" s="328"/>
      <c r="U39" s="135" t="s">
        <v>49</v>
      </c>
      <c r="V39" s="132"/>
      <c r="W39" s="132"/>
      <c r="X39" s="132"/>
      <c r="Y39" s="132"/>
      <c r="Z39" s="132"/>
      <c r="AA39" s="132"/>
      <c r="AB39" s="137">
        <f>'cost.4.25'!BG38</f>
        <v>109.50474678432441</v>
      </c>
      <c r="AC39" s="136" t="s">
        <v>51</v>
      </c>
      <c r="AF39" s="33" t="s">
        <v>46</v>
      </c>
      <c r="AG39" s="33"/>
      <c r="AH39" s="33"/>
      <c r="AI39" s="130"/>
      <c r="AJ39" s="134">
        <f>AJ36</f>
        <v>0.50253333333333339</v>
      </c>
      <c r="AM39" s="33" t="s">
        <v>56</v>
      </c>
      <c r="AN39" s="33"/>
      <c r="AO39" s="33"/>
      <c r="AP39" s="130"/>
      <c r="AQ39" s="132"/>
      <c r="AR39" s="131">
        <f>AF36/AN36</f>
        <v>107.79319041611775</v>
      </c>
      <c r="AY39" s="588" t="s">
        <v>269</v>
      </c>
      <c r="AZ39" s="588"/>
      <c r="BA39" s="588"/>
      <c r="BB39" s="588"/>
      <c r="BC39" s="588"/>
      <c r="BD39" s="588"/>
      <c r="BE39" s="588"/>
      <c r="BF39" s="588"/>
      <c r="BG39" s="588"/>
      <c r="BH39" s="588"/>
      <c r="BI39" s="588"/>
      <c r="BJ39" s="220"/>
    </row>
    <row r="40" spans="1:150" x14ac:dyDescent="0.25">
      <c r="U40" s="135" t="s">
        <v>50</v>
      </c>
      <c r="V40" s="132"/>
      <c r="W40" s="132"/>
      <c r="X40" s="132"/>
      <c r="Y40" s="132"/>
      <c r="Z40" s="132"/>
      <c r="AA40" s="132"/>
      <c r="AB40" s="137">
        <f>'cost.4.25'!BI38</f>
        <v>163.33877245660815</v>
      </c>
      <c r="AC40" s="136" t="s">
        <v>51</v>
      </c>
      <c r="AF40" s="33" t="s">
        <v>45</v>
      </c>
      <c r="AG40" s="33"/>
      <c r="AH40" s="33"/>
      <c r="AI40" s="130"/>
      <c r="AJ40" s="134">
        <f>AI36</f>
        <v>0.86573333333333335</v>
      </c>
      <c r="AM40" s="33" t="s">
        <v>55</v>
      </c>
      <c r="AN40" s="33"/>
      <c r="AO40" s="33"/>
      <c r="AP40" s="130"/>
      <c r="AQ40" s="132"/>
      <c r="AR40" s="131">
        <f>AE36/AM36</f>
        <v>75.849452378954311</v>
      </c>
      <c r="AZ40" s="250"/>
      <c r="BA40" s="588"/>
      <c r="BB40" s="588"/>
      <c r="BC40" s="588"/>
      <c r="BD40" s="588"/>
      <c r="BE40" s="588"/>
      <c r="BF40" s="588"/>
      <c r="BG40" s="588"/>
      <c r="BH40" s="588"/>
      <c r="BI40" s="588"/>
      <c r="BJ40" s="588"/>
      <c r="BK40" s="588"/>
    </row>
    <row r="41" spans="1:150" x14ac:dyDescent="0.25">
      <c r="N41" s="328">
        <f>X36*2</f>
        <v>206799.99999998836</v>
      </c>
      <c r="U41" s="135" t="s">
        <v>48</v>
      </c>
      <c r="V41" s="132"/>
      <c r="W41" s="132"/>
      <c r="X41" s="132"/>
      <c r="Y41" s="132"/>
      <c r="Z41" s="132"/>
      <c r="AA41" s="132"/>
      <c r="AB41" s="137">
        <f>'cost.4.25'!BH38</f>
        <v>334.74341379856344</v>
      </c>
      <c r="AC41" s="136" t="s">
        <v>51</v>
      </c>
      <c r="AF41" s="33" t="s">
        <v>47</v>
      </c>
      <c r="AG41" s="33"/>
      <c r="AH41" s="130"/>
      <c r="AI41" s="132"/>
      <c r="AJ41" s="134">
        <f>AK36</f>
        <v>0.65</v>
      </c>
      <c r="AM41" s="33" t="s">
        <v>54</v>
      </c>
      <c r="AN41" s="33"/>
      <c r="AO41" s="33"/>
      <c r="AP41" s="130"/>
      <c r="AQ41" s="132"/>
      <c r="AR41" s="131">
        <f>AG36/AO36</f>
        <v>77.667544116213335</v>
      </c>
      <c r="CC41">
        <f>229975+25</f>
        <v>230000</v>
      </c>
    </row>
    <row r="42" spans="1:150" x14ac:dyDescent="0.25">
      <c r="K42" s="283"/>
      <c r="AY42" s="596"/>
      <c r="AZ42" s="596"/>
      <c r="BA42" s="596"/>
      <c r="BB42" s="596"/>
      <c r="BC42" s="596"/>
      <c r="BD42" s="596"/>
      <c r="BE42" s="596"/>
      <c r="BF42" s="596"/>
      <c r="BG42" s="596"/>
      <c r="BH42" s="596"/>
    </row>
    <row r="43" spans="1:150" x14ac:dyDescent="0.25">
      <c r="AM43" s="33" t="s">
        <v>57</v>
      </c>
      <c r="AN43" s="33"/>
      <c r="AO43" s="33"/>
      <c r="AP43" s="130"/>
      <c r="AQ43" s="132"/>
      <c r="AR43" s="131">
        <f>AF36/BL36</f>
        <v>54.169835234462212</v>
      </c>
    </row>
    <row r="44" spans="1:150" x14ac:dyDescent="0.25">
      <c r="AM44" s="33" t="s">
        <v>58</v>
      </c>
      <c r="AN44" s="33"/>
      <c r="AO44" s="33"/>
      <c r="AP44" s="130"/>
      <c r="AQ44" s="132"/>
      <c r="AR44" s="131">
        <f>AE36/BL36</f>
        <v>65.665399239540037</v>
      </c>
      <c r="BA44" s="150"/>
    </row>
    <row r="45" spans="1:150" x14ac:dyDescent="0.25">
      <c r="AM45" s="33" t="s">
        <v>59</v>
      </c>
      <c r="AN45" s="33"/>
      <c r="AO45" s="33"/>
      <c r="AP45" s="130"/>
      <c r="AQ45" s="132"/>
      <c r="AR45" s="131">
        <f>AG36/BL36</f>
        <v>50.483903675538663</v>
      </c>
      <c r="AV45" s="327"/>
    </row>
    <row r="48" spans="1:150" x14ac:dyDescent="0.25">
      <c r="AM48" s="236"/>
    </row>
    <row r="49" spans="37:60" x14ac:dyDescent="0.25">
      <c r="AK49" s="288"/>
      <c r="AL49" s="43"/>
      <c r="AM49" s="289"/>
      <c r="AN49" s="43"/>
    </row>
    <row r="50" spans="37:60" x14ac:dyDescent="0.25">
      <c r="AK50" s="288"/>
      <c r="AL50" s="43"/>
      <c r="AM50" s="289"/>
      <c r="AN50" s="43"/>
    </row>
    <row r="51" spans="37:60" x14ac:dyDescent="0.25">
      <c r="AK51" s="288"/>
      <c r="AL51" s="43"/>
      <c r="AM51" s="289"/>
      <c r="AN51" s="43"/>
    </row>
    <row r="52" spans="37:60" x14ac:dyDescent="0.25">
      <c r="AK52" s="288"/>
      <c r="AL52" s="43"/>
      <c r="AM52" s="289"/>
      <c r="AN52" s="43"/>
    </row>
    <row r="53" spans="37:60" x14ac:dyDescent="0.25">
      <c r="AK53" s="288"/>
      <c r="AL53" s="43"/>
      <c r="AM53" s="289"/>
      <c r="AN53" s="43"/>
    </row>
    <row r="54" spans="37:60" x14ac:dyDescent="0.25">
      <c r="AK54" s="288"/>
      <c r="AL54" s="43"/>
      <c r="AM54" s="289"/>
      <c r="AN54" s="43"/>
    </row>
    <row r="55" spans="37:60" x14ac:dyDescent="0.25">
      <c r="AK55" s="288"/>
      <c r="AL55" s="43"/>
      <c r="AM55" s="289"/>
      <c r="AN55" s="43"/>
    </row>
    <row r="56" spans="37:60" x14ac:dyDescent="0.25">
      <c r="AK56" s="288"/>
      <c r="AL56" s="43"/>
      <c r="AM56" s="289"/>
      <c r="AN56" s="43"/>
    </row>
    <row r="57" spans="37:60" x14ac:dyDescent="0.25">
      <c r="AK57" s="288"/>
      <c r="AL57" s="43"/>
      <c r="AM57" s="289"/>
      <c r="AN57" s="43"/>
      <c r="BF57" s="359"/>
      <c r="BG57" s="359"/>
      <c r="BH57" s="359"/>
    </row>
    <row r="58" spans="37:60" x14ac:dyDescent="0.25">
      <c r="AK58" s="288"/>
      <c r="AL58" s="43"/>
      <c r="AM58" s="289"/>
      <c r="AN58" s="43"/>
      <c r="BF58" s="359"/>
      <c r="BG58" s="359"/>
      <c r="BH58" s="359"/>
    </row>
    <row r="59" spans="37:60" x14ac:dyDescent="0.25">
      <c r="AK59" s="288"/>
      <c r="AL59" s="43"/>
      <c r="AM59" s="289"/>
      <c r="AN59" s="43"/>
      <c r="BF59" s="359"/>
      <c r="BG59" s="359"/>
      <c r="BH59" s="359"/>
    </row>
    <row r="60" spans="37:60" x14ac:dyDescent="0.25">
      <c r="AK60" s="288"/>
      <c r="AL60" s="43"/>
      <c r="AM60" s="289"/>
      <c r="AN60" s="43"/>
      <c r="BF60" s="359"/>
      <c r="BG60" s="359"/>
      <c r="BH60" s="359"/>
    </row>
    <row r="61" spans="37:60" x14ac:dyDescent="0.25">
      <c r="AK61" s="288"/>
      <c r="AL61" s="43"/>
      <c r="AM61" s="289"/>
      <c r="AN61" s="43"/>
      <c r="BF61" s="359"/>
      <c r="BG61" s="359"/>
      <c r="BH61" s="359"/>
    </row>
    <row r="62" spans="37:60" x14ac:dyDescent="0.25">
      <c r="AK62" s="288"/>
      <c r="AL62" s="43"/>
      <c r="AM62" s="289"/>
      <c r="AN62" s="43"/>
      <c r="BF62" s="359"/>
      <c r="BG62" s="359"/>
      <c r="BH62" s="359"/>
    </row>
    <row r="63" spans="37:60" x14ac:dyDescent="0.25">
      <c r="AK63" s="288"/>
      <c r="AL63" s="43"/>
      <c r="AM63" s="289"/>
      <c r="AN63" s="43"/>
      <c r="BF63" s="359"/>
      <c r="BG63" s="359"/>
      <c r="BH63" s="359"/>
    </row>
    <row r="64" spans="37:60" x14ac:dyDescent="0.25">
      <c r="AK64" s="288"/>
      <c r="AL64" s="43"/>
      <c r="AM64" s="289"/>
      <c r="AN64" s="43"/>
      <c r="BF64" s="359"/>
      <c r="BG64" s="359"/>
      <c r="BH64" s="359"/>
    </row>
    <row r="65" spans="37:117" x14ac:dyDescent="0.25">
      <c r="AK65" s="288"/>
      <c r="AL65" s="43"/>
      <c r="AM65" s="289"/>
      <c r="AN65" s="43"/>
      <c r="BF65" s="359"/>
      <c r="BG65" s="359"/>
      <c r="BH65" s="359"/>
    </row>
    <row r="66" spans="37:117" x14ac:dyDescent="0.25">
      <c r="AK66" s="288"/>
      <c r="AL66" s="43"/>
      <c r="AM66" s="289"/>
      <c r="AN66" s="43"/>
      <c r="BF66" s="359"/>
      <c r="BG66" s="359"/>
      <c r="BH66" s="359"/>
    </row>
    <row r="67" spans="37:117" x14ac:dyDescent="0.25">
      <c r="AK67" s="288"/>
      <c r="AL67" s="43"/>
      <c r="AM67" s="289"/>
      <c r="AN67" s="43"/>
      <c r="BF67" s="359"/>
      <c r="BG67" s="359"/>
      <c r="BH67" s="359"/>
    </row>
    <row r="68" spans="37:117" x14ac:dyDescent="0.25">
      <c r="AK68" s="288"/>
      <c r="AL68" s="43"/>
      <c r="AM68" s="289"/>
      <c r="AN68" s="43"/>
      <c r="BF68" s="359"/>
      <c r="BG68" s="359"/>
      <c r="BH68" s="359"/>
    </row>
    <row r="69" spans="37:117" x14ac:dyDescent="0.25">
      <c r="AK69" s="288"/>
      <c r="AL69" s="43"/>
      <c r="AM69" s="289"/>
      <c r="AN69" s="43"/>
      <c r="BF69" s="359"/>
      <c r="BG69" s="359"/>
      <c r="BH69" s="359"/>
    </row>
    <row r="70" spans="37:117" x14ac:dyDescent="0.25">
      <c r="AK70" s="288"/>
      <c r="AL70" s="43"/>
      <c r="AM70" s="289"/>
      <c r="AN70" s="43"/>
      <c r="BF70" s="359"/>
      <c r="BG70" s="359"/>
      <c r="BH70" s="359"/>
    </row>
    <row r="71" spans="37:117" x14ac:dyDescent="0.25">
      <c r="AK71" s="288"/>
      <c r="AL71" s="43"/>
      <c r="AM71" s="289"/>
      <c r="AN71" s="43"/>
      <c r="BF71" s="359"/>
      <c r="BG71" s="359"/>
      <c r="BH71" s="359"/>
    </row>
    <row r="72" spans="37:117" x14ac:dyDescent="0.25">
      <c r="AK72" s="288"/>
      <c r="AL72" s="43"/>
      <c r="AM72" s="290"/>
      <c r="AN72" s="43"/>
      <c r="BF72" s="359"/>
      <c r="BG72" s="359"/>
      <c r="BH72" s="359"/>
    </row>
    <row r="73" spans="37:117" x14ac:dyDescent="0.25">
      <c r="AK73" s="288"/>
      <c r="AL73" s="43"/>
      <c r="AM73" s="43"/>
      <c r="AN73" s="43"/>
      <c r="BF73" s="359"/>
      <c r="BG73" s="359"/>
      <c r="BH73" s="359"/>
    </row>
    <row r="74" spans="37:117" x14ac:dyDescent="0.25">
      <c r="AK74" s="43"/>
      <c r="AL74" s="43"/>
      <c r="AM74" s="43"/>
      <c r="AN74" s="43"/>
      <c r="BF74" s="359"/>
      <c r="BG74" s="359"/>
      <c r="BH74" s="359"/>
    </row>
    <row r="75" spans="37:117" x14ac:dyDescent="0.25">
      <c r="AK75" s="43"/>
      <c r="AL75" s="43"/>
      <c r="AM75" s="43"/>
      <c r="AN75" s="43"/>
      <c r="BF75" s="359"/>
      <c r="BG75" s="359"/>
      <c r="BH75" s="359"/>
    </row>
    <row r="76" spans="37:117" x14ac:dyDescent="0.25">
      <c r="AK76" s="43"/>
      <c r="AL76" s="43"/>
      <c r="AM76" s="43"/>
      <c r="AN76" s="43"/>
      <c r="BF76" s="359"/>
      <c r="BG76" s="359"/>
      <c r="BH76" s="359"/>
    </row>
    <row r="77" spans="37:117" x14ac:dyDescent="0.25">
      <c r="AK77" s="43"/>
      <c r="AL77" s="43"/>
      <c r="AM77" s="43"/>
      <c r="AN77" s="43"/>
      <c r="BF77" s="359"/>
      <c r="BG77" s="359"/>
      <c r="BH77" s="359"/>
    </row>
    <row r="78" spans="37:117" x14ac:dyDescent="0.25">
      <c r="AK78" s="43"/>
      <c r="AL78" s="43"/>
      <c r="AM78" s="43"/>
      <c r="AN78" s="43"/>
      <c r="BF78" s="359"/>
      <c r="BG78" s="359"/>
      <c r="BH78" s="359"/>
    </row>
    <row r="79" spans="37:117" x14ac:dyDescent="0.25">
      <c r="AK79" s="43"/>
      <c r="AL79" s="43"/>
      <c r="AM79" s="43"/>
      <c r="AN79" s="43"/>
      <c r="BF79" s="359"/>
      <c r="BG79" s="359"/>
      <c r="BH79" s="359"/>
    </row>
    <row r="80" spans="37:117" x14ac:dyDescent="0.25">
      <c r="AK80" s="43"/>
      <c r="AL80" s="43"/>
      <c r="AM80" s="43"/>
      <c r="AN80" s="43"/>
      <c r="BF80" s="359"/>
      <c r="BG80" s="359"/>
      <c r="BH80" s="359"/>
      <c r="DM80" t="s">
        <v>110</v>
      </c>
    </row>
    <row r="81" spans="39:60" x14ac:dyDescent="0.25">
      <c r="BF81" s="359"/>
      <c r="BG81" s="359"/>
      <c r="BH81" s="359"/>
    </row>
    <row r="82" spans="39:60" x14ac:dyDescent="0.25">
      <c r="BF82" s="359"/>
      <c r="BG82" s="359"/>
      <c r="BH82" s="359"/>
    </row>
    <row r="87" spans="39:60" x14ac:dyDescent="0.25">
      <c r="AM87" s="217"/>
    </row>
    <row r="88" spans="39:60" x14ac:dyDescent="0.25">
      <c r="AM88" s="217"/>
    </row>
    <row r="89" spans="39:60" x14ac:dyDescent="0.25">
      <c r="AM89" s="217"/>
    </row>
    <row r="90" spans="39:60" x14ac:dyDescent="0.25">
      <c r="AM90" s="217"/>
    </row>
    <row r="91" spans="39:60" x14ac:dyDescent="0.25">
      <c r="AM91" s="217"/>
    </row>
    <row r="92" spans="39:60" x14ac:dyDescent="0.25">
      <c r="AM92" s="217"/>
    </row>
    <row r="93" spans="39:60" x14ac:dyDescent="0.25">
      <c r="AM93" s="217"/>
    </row>
    <row r="94" spans="39:60" x14ac:dyDescent="0.25">
      <c r="AM94" s="217"/>
    </row>
    <row r="95" spans="39:60" x14ac:dyDescent="0.25">
      <c r="AM95" s="217"/>
    </row>
    <row r="96" spans="39:60" x14ac:dyDescent="0.25">
      <c r="AM96" s="217"/>
    </row>
    <row r="97" spans="39:39" x14ac:dyDescent="0.25">
      <c r="AM97" s="217"/>
    </row>
    <row r="98" spans="39:39" x14ac:dyDescent="0.25">
      <c r="AM98" s="217"/>
    </row>
    <row r="99" spans="39:39" x14ac:dyDescent="0.25">
      <c r="AM99" s="217"/>
    </row>
    <row r="100" spans="39:39" x14ac:dyDescent="0.25">
      <c r="AM100" s="217"/>
    </row>
    <row r="101" spans="39:39" x14ac:dyDescent="0.25">
      <c r="AM101" s="217"/>
    </row>
    <row r="102" spans="39:39" x14ac:dyDescent="0.25">
      <c r="AM102" s="217"/>
    </row>
    <row r="103" spans="39:39" x14ac:dyDescent="0.25">
      <c r="AM103" s="217"/>
    </row>
    <row r="104" spans="39:39" x14ac:dyDescent="0.25">
      <c r="AM104" s="217"/>
    </row>
    <row r="105" spans="39:39" x14ac:dyDescent="0.25">
      <c r="AM105" s="217"/>
    </row>
    <row r="106" spans="39:39" x14ac:dyDescent="0.25">
      <c r="AM106" s="217"/>
    </row>
    <row r="107" spans="39:39" x14ac:dyDescent="0.25">
      <c r="AM107" s="217"/>
    </row>
    <row r="108" spans="39:39" x14ac:dyDescent="0.25">
      <c r="AM108" s="217"/>
    </row>
    <row r="109" spans="39:39" x14ac:dyDescent="0.25">
      <c r="AM109" s="217"/>
    </row>
    <row r="150" spans="69:69" x14ac:dyDescent="0.25">
      <c r="BQ150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AY42:BH42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V2:CX2"/>
    <mergeCell ref="CP2:CT2"/>
    <mergeCell ref="BA40:BK40"/>
    <mergeCell ref="CB2:CD2"/>
    <mergeCell ref="CI2:CK2"/>
    <mergeCell ref="BX2:BZ2"/>
    <mergeCell ref="BT2:BV2"/>
    <mergeCell ref="BP2:BR2"/>
    <mergeCell ref="BN2:BN4"/>
    <mergeCell ref="AY39:BI39"/>
    <mergeCell ref="BL2:BL4"/>
    <mergeCell ref="BC4:BF4"/>
    <mergeCell ref="BG4:BJ4"/>
    <mergeCell ref="BC2:BJ2"/>
    <mergeCell ref="CF2:CH2"/>
    <mergeCell ref="EN2:EQ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</mergeCells>
  <phoneticPr fontId="7" type="noConversion"/>
  <hyperlinks>
    <hyperlink ref="AY39" r:id="rId1" xr:uid="{00000000-0004-0000-0100-000000000000}"/>
  </hyperlinks>
  <pageMargins left="0.75" right="0.75" top="1" bottom="1" header="0.5" footer="0.5"/>
  <pageSetup scale="95" orientation="portrait" r:id="rId2"/>
  <headerFooter alignWithMargins="0"/>
  <ignoredErrors>
    <ignoredError sqref="AB4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L42"/>
  <sheetViews>
    <sheetView view="pageBreakPreview" zoomScale="91" zoomScaleNormal="91" zoomScaleSheetLayoutView="91" workbookViewId="0">
      <pane ySplit="5" topLeftCell="A6" activePane="bottomLeft" state="frozen"/>
      <selection activeCell="CQ34" activeCellId="6" sqref="CQ27 CS35 CR35 CR35 CP34 CP34 CQ34"/>
      <selection pane="bottomLeft" activeCell="AE8" sqref="AE8"/>
    </sheetView>
  </sheetViews>
  <sheetFormatPr defaultRowHeight="13.2" x14ac:dyDescent="0.25"/>
  <cols>
    <col min="1" max="1" width="1.5546875" customWidth="1"/>
    <col min="2" max="2" width="13" bestFit="1" customWidth="1"/>
    <col min="3" max="3" width="1.109375" customWidth="1"/>
    <col min="4" max="4" width="7.88671875" customWidth="1"/>
    <col min="5" max="5" width="1.109375" customWidth="1"/>
    <col min="6" max="6" width="11.109375" customWidth="1"/>
    <col min="7" max="7" width="1.109375" customWidth="1"/>
    <col min="8" max="8" width="11.109375" customWidth="1"/>
    <col min="9" max="9" width="1.109375" customWidth="1"/>
    <col min="10" max="10" width="10.109375" customWidth="1"/>
    <col min="11" max="12" width="9.5546875" customWidth="1"/>
    <col min="13" max="13" width="12.33203125" bestFit="1" customWidth="1"/>
    <col min="14" max="14" width="1.109375" style="43" customWidth="1"/>
    <col min="15" max="16" width="10.33203125" customWidth="1"/>
    <col min="17" max="17" width="12" customWidth="1"/>
    <col min="19" max="19" width="9.109375"/>
    <col min="20" max="20" width="8.109375" customWidth="1"/>
    <col min="21" max="21" width="1.109375" style="43" customWidth="1"/>
    <col min="22" max="23" width="10.33203125" style="43" customWidth="1"/>
    <col min="24" max="26" width="9" style="43" customWidth="1"/>
    <col min="27" max="27" width="1.109375" style="43" customWidth="1"/>
    <col min="28" max="39" width="10.6640625" style="43" customWidth="1"/>
    <col min="40" max="42" width="10.109375" style="43" customWidth="1"/>
    <col min="43" max="44" width="9" style="43" customWidth="1"/>
    <col min="45" max="45" width="9.44140625" customWidth="1"/>
    <col min="46" max="46" width="3.44140625" customWidth="1"/>
    <col min="47" max="47" width="1.88671875" customWidth="1"/>
    <col min="48" max="48" width="12.5546875" customWidth="1"/>
    <col min="49" max="49" width="11.5546875" customWidth="1"/>
    <col min="50" max="50" width="10.33203125" customWidth="1"/>
    <col min="51" max="51" width="11" customWidth="1"/>
    <col min="52" max="52" width="10" customWidth="1"/>
    <col min="53" max="53" width="9.6640625" customWidth="1"/>
    <col min="54" max="54" width="1.6640625" customWidth="1"/>
    <col min="55" max="56" width="11.44140625" customWidth="1"/>
    <col min="57" max="57" width="28.88671875" customWidth="1"/>
    <col min="58" max="58" width="1.44140625" customWidth="1"/>
    <col min="59" max="59" width="11.88671875" customWidth="1"/>
    <col min="60" max="60" width="10.6640625" customWidth="1"/>
    <col min="61" max="61" width="13.6640625" customWidth="1"/>
    <col min="62" max="62" width="1.6640625" customWidth="1"/>
    <col min="63" max="63" width="16.33203125" customWidth="1"/>
  </cols>
  <sheetData>
    <row r="1" spans="1:64" ht="13.8" thickBot="1" x14ac:dyDescent="0.3">
      <c r="H1">
        <f>H8*31</f>
        <v>6616.2857142857138</v>
      </c>
      <c r="K1">
        <f>K8*31</f>
        <v>2048912.9666666666</v>
      </c>
      <c r="N1"/>
      <c r="P1">
        <f>P8*31</f>
        <v>2603</v>
      </c>
      <c r="R1">
        <f>R8*31</f>
        <v>0</v>
      </c>
      <c r="U1"/>
      <c r="V1"/>
      <c r="W1">
        <f>W8*31</f>
        <v>15298</v>
      </c>
      <c r="X1">
        <f>X8*31</f>
        <v>83362.099999999991</v>
      </c>
      <c r="Y1"/>
      <c r="Z1"/>
      <c r="AA1"/>
      <c r="AB1"/>
      <c r="AC1"/>
      <c r="AD1">
        <f>AD8*31</f>
        <v>15112.5</v>
      </c>
      <c r="AE1"/>
      <c r="AF1"/>
      <c r="AG1"/>
      <c r="AH1"/>
      <c r="AI1"/>
      <c r="AJ1">
        <f>AJ8*31</f>
        <v>5037.5</v>
      </c>
      <c r="AK1"/>
      <c r="AL1"/>
      <c r="AM1"/>
      <c r="AN1"/>
      <c r="AO1"/>
      <c r="AP1">
        <f>AP8*31</f>
        <v>20150</v>
      </c>
      <c r="AQ1">
        <f>AQ8*31</f>
        <v>82483</v>
      </c>
      <c r="AR1"/>
    </row>
    <row r="2" spans="1:64" ht="25.2" thickBot="1" x14ac:dyDescent="0.45">
      <c r="A2" s="609" t="s">
        <v>285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  <c r="AE2" s="610"/>
      <c r="AF2" s="610"/>
      <c r="AG2" s="610"/>
      <c r="AH2" s="610"/>
      <c r="AI2" s="610"/>
      <c r="AJ2" s="610"/>
      <c r="AK2" s="610"/>
      <c r="AL2" s="610"/>
      <c r="AM2" s="610"/>
      <c r="AN2" s="610"/>
      <c r="AO2" s="610"/>
      <c r="AP2" s="610"/>
      <c r="AQ2" s="610"/>
      <c r="AR2" s="610"/>
      <c r="AS2" s="610"/>
      <c r="AT2" s="79"/>
      <c r="AU2" s="86"/>
      <c r="AV2" s="86" t="s">
        <v>283</v>
      </c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7"/>
      <c r="BK2" s="77"/>
      <c r="BL2" s="77"/>
    </row>
    <row r="3" spans="1:64" ht="25.2" thickBot="1" x14ac:dyDescent="0.45">
      <c r="A3" s="313"/>
      <c r="B3" s="314">
        <v>1</v>
      </c>
      <c r="C3" s="314">
        <v>2</v>
      </c>
      <c r="D3" s="314">
        <v>3</v>
      </c>
      <c r="E3" s="314">
        <v>4</v>
      </c>
      <c r="F3" s="314">
        <v>5</v>
      </c>
      <c r="G3" s="314">
        <v>6</v>
      </c>
      <c r="H3" s="314">
        <v>7</v>
      </c>
      <c r="I3" s="314">
        <v>8</v>
      </c>
      <c r="J3" s="314">
        <v>9</v>
      </c>
      <c r="K3" s="314">
        <v>10</v>
      </c>
      <c r="L3" s="314">
        <v>11</v>
      </c>
      <c r="M3" s="314">
        <v>12</v>
      </c>
      <c r="N3" s="314">
        <v>13</v>
      </c>
      <c r="O3" s="314">
        <v>14</v>
      </c>
      <c r="P3" s="314">
        <v>15</v>
      </c>
      <c r="Q3" s="314">
        <v>16</v>
      </c>
      <c r="R3" s="314">
        <v>17</v>
      </c>
      <c r="S3" s="314">
        <v>18</v>
      </c>
      <c r="T3" s="314">
        <v>19</v>
      </c>
      <c r="U3" s="314">
        <v>20</v>
      </c>
      <c r="V3" s="314">
        <v>21</v>
      </c>
      <c r="W3" s="314">
        <v>22</v>
      </c>
      <c r="X3" s="314">
        <v>23</v>
      </c>
      <c r="Y3" s="314">
        <v>24</v>
      </c>
      <c r="Z3" s="314">
        <v>25</v>
      </c>
      <c r="AA3" s="314">
        <v>26</v>
      </c>
      <c r="AB3" s="314">
        <v>27</v>
      </c>
      <c r="AC3" s="314">
        <v>28</v>
      </c>
      <c r="AD3" s="314">
        <v>29</v>
      </c>
      <c r="AE3" s="314">
        <v>30</v>
      </c>
      <c r="AF3" s="314">
        <v>31</v>
      </c>
      <c r="AG3" s="314">
        <v>32</v>
      </c>
      <c r="AH3" s="314">
        <v>33</v>
      </c>
      <c r="AI3" s="314">
        <v>34</v>
      </c>
      <c r="AJ3" s="314">
        <v>35</v>
      </c>
      <c r="AK3" s="314">
        <v>36</v>
      </c>
      <c r="AL3" s="314">
        <v>37</v>
      </c>
      <c r="AM3" s="314">
        <v>38</v>
      </c>
      <c r="AN3" s="314">
        <v>39</v>
      </c>
      <c r="AO3" s="314">
        <v>40</v>
      </c>
      <c r="AP3" s="314">
        <v>41</v>
      </c>
      <c r="AQ3" s="314">
        <v>42</v>
      </c>
      <c r="AR3" s="314">
        <v>43</v>
      </c>
      <c r="AS3" s="314">
        <v>44</v>
      </c>
      <c r="AT3" s="314">
        <v>45</v>
      </c>
      <c r="AU3" s="314">
        <v>46</v>
      </c>
      <c r="AV3" s="314">
        <v>47</v>
      </c>
      <c r="AW3" s="314">
        <v>48</v>
      </c>
      <c r="AX3" s="314">
        <v>49</v>
      </c>
      <c r="AY3" s="314">
        <v>50</v>
      </c>
      <c r="AZ3" s="314">
        <v>51</v>
      </c>
      <c r="BA3" s="314">
        <v>52</v>
      </c>
      <c r="BB3" s="314">
        <v>53</v>
      </c>
      <c r="BC3" s="314">
        <v>54</v>
      </c>
      <c r="BD3" s="314">
        <v>55</v>
      </c>
      <c r="BE3" s="314">
        <v>56</v>
      </c>
      <c r="BF3" s="314">
        <v>57</v>
      </c>
      <c r="BG3" s="314">
        <v>58</v>
      </c>
      <c r="BH3" s="314">
        <v>59</v>
      </c>
      <c r="BI3" s="314">
        <v>60</v>
      </c>
      <c r="BJ3" s="313"/>
      <c r="BK3" s="77"/>
      <c r="BL3" s="77"/>
    </row>
    <row r="4" spans="1:64" ht="37.950000000000003" customHeight="1" thickTop="1" thickBot="1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8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7"/>
      <c r="BJ4" s="2"/>
    </row>
    <row r="5" spans="1:64" ht="13.5" customHeight="1" thickBot="1" x14ac:dyDescent="0.3">
      <c r="A5" s="3"/>
      <c r="B5" s="8"/>
      <c r="C5" s="8"/>
      <c r="D5" s="8"/>
      <c r="E5" s="8"/>
      <c r="F5" s="8"/>
      <c r="G5" s="8"/>
      <c r="H5" s="8"/>
      <c r="I5" s="8"/>
      <c r="J5" s="623" t="s">
        <v>3</v>
      </c>
      <c r="K5" s="624"/>
      <c r="L5" s="624"/>
      <c r="M5" s="625"/>
      <c r="N5" s="58"/>
      <c r="O5" s="620" t="s">
        <v>2</v>
      </c>
      <c r="P5" s="621"/>
      <c r="Q5" s="621"/>
      <c r="R5" s="621"/>
      <c r="S5" s="621"/>
      <c r="T5" s="622"/>
      <c r="U5" s="9"/>
      <c r="V5" s="617" t="s">
        <v>1</v>
      </c>
      <c r="W5" s="618"/>
      <c r="X5" s="618"/>
      <c r="Y5" s="618"/>
      <c r="Z5" s="619"/>
      <c r="AA5" s="10"/>
      <c r="AB5" s="626" t="s">
        <v>24</v>
      </c>
      <c r="AC5" s="627"/>
      <c r="AD5" s="627"/>
      <c r="AE5" s="627"/>
      <c r="AF5" s="627"/>
      <c r="AG5" s="627"/>
      <c r="AH5" s="627"/>
      <c r="AI5" s="627"/>
      <c r="AJ5" s="627"/>
      <c r="AK5" s="627"/>
      <c r="AL5" s="627"/>
      <c r="AM5" s="627"/>
      <c r="AN5" s="627"/>
      <c r="AO5" s="627"/>
      <c r="AP5" s="627"/>
      <c r="AQ5" s="627"/>
      <c r="AR5" s="627"/>
      <c r="AS5" s="628"/>
      <c r="AT5" s="89"/>
      <c r="AU5" s="34"/>
      <c r="AV5" s="611" t="s">
        <v>3</v>
      </c>
      <c r="AW5" s="612"/>
      <c r="AX5" s="613" t="s">
        <v>1</v>
      </c>
      <c r="AY5" s="614"/>
      <c r="AZ5" s="615" t="s">
        <v>24</v>
      </c>
      <c r="BA5" s="616"/>
      <c r="BB5" s="10"/>
      <c r="BC5" s="607" t="s">
        <v>53</v>
      </c>
      <c r="BD5" s="607" t="s">
        <v>30</v>
      </c>
      <c r="BE5" s="607" t="s">
        <v>31</v>
      </c>
      <c r="BF5" s="69"/>
      <c r="BG5" s="607" t="s">
        <v>52</v>
      </c>
      <c r="BH5" s="607" t="s">
        <v>27</v>
      </c>
      <c r="BI5" s="607" t="s">
        <v>28</v>
      </c>
      <c r="BJ5" s="4"/>
    </row>
    <row r="6" spans="1:64" ht="54" thickBot="1" x14ac:dyDescent="0.3">
      <c r="A6" s="3"/>
      <c r="B6" s="11" t="s">
        <v>0</v>
      </c>
      <c r="C6" s="12"/>
      <c r="D6" s="11" t="s">
        <v>16</v>
      </c>
      <c r="E6" s="12"/>
      <c r="F6" s="11" t="s">
        <v>22</v>
      </c>
      <c r="G6" s="12"/>
      <c r="H6" s="11" t="s">
        <v>32</v>
      </c>
      <c r="I6" s="12"/>
      <c r="J6" s="17" t="s">
        <v>6</v>
      </c>
      <c r="K6" s="18" t="s">
        <v>7</v>
      </c>
      <c r="L6" s="272" t="s">
        <v>130</v>
      </c>
      <c r="M6" s="30" t="s">
        <v>4</v>
      </c>
      <c r="N6" s="58"/>
      <c r="O6" s="15" t="s">
        <v>5</v>
      </c>
      <c r="P6" s="61" t="s">
        <v>79</v>
      </c>
      <c r="Q6" s="61" t="s">
        <v>23</v>
      </c>
      <c r="R6" s="16" t="s">
        <v>7</v>
      </c>
      <c r="S6" s="273" t="s">
        <v>130</v>
      </c>
      <c r="T6" s="27" t="s">
        <v>4</v>
      </c>
      <c r="U6" s="12"/>
      <c r="V6" s="13" t="s">
        <v>15</v>
      </c>
      <c r="W6" s="172" t="s">
        <v>78</v>
      </c>
      <c r="X6" s="14" t="s">
        <v>7</v>
      </c>
      <c r="Y6" s="275" t="s">
        <v>130</v>
      </c>
      <c r="Z6" s="28" t="s">
        <v>4</v>
      </c>
      <c r="AA6" s="19"/>
      <c r="AB6" s="178" t="s">
        <v>81</v>
      </c>
      <c r="AC6" s="174" t="s">
        <v>131</v>
      </c>
      <c r="AD6" s="174" t="s">
        <v>82</v>
      </c>
      <c r="AE6" s="174" t="s">
        <v>138</v>
      </c>
      <c r="AF6" s="174" t="s">
        <v>136</v>
      </c>
      <c r="AG6" s="174" t="s">
        <v>133</v>
      </c>
      <c r="AH6" s="174" t="s">
        <v>83</v>
      </c>
      <c r="AI6" s="174" t="s">
        <v>132</v>
      </c>
      <c r="AJ6" s="174" t="s">
        <v>84</v>
      </c>
      <c r="AK6" s="174" t="s">
        <v>139</v>
      </c>
      <c r="AL6" s="174" t="s">
        <v>137</v>
      </c>
      <c r="AM6" s="174" t="s">
        <v>134</v>
      </c>
      <c r="AN6" s="174" t="s">
        <v>80</v>
      </c>
      <c r="AO6" s="174" t="s">
        <v>135</v>
      </c>
      <c r="AP6" s="174" t="s">
        <v>85</v>
      </c>
      <c r="AQ6" s="64" t="s">
        <v>7</v>
      </c>
      <c r="AR6" s="277" t="s">
        <v>130</v>
      </c>
      <c r="AS6" s="65" t="s">
        <v>4</v>
      </c>
      <c r="AT6" s="90"/>
      <c r="AU6" s="34"/>
      <c r="AV6" s="70" t="s">
        <v>29</v>
      </c>
      <c r="AW6" s="71" t="s">
        <v>26</v>
      </c>
      <c r="AX6" s="72" t="s">
        <v>25</v>
      </c>
      <c r="AY6" s="73" t="s">
        <v>26</v>
      </c>
      <c r="AZ6" s="74" t="s">
        <v>25</v>
      </c>
      <c r="BA6" s="75" t="s">
        <v>26</v>
      </c>
      <c r="BB6" s="68"/>
      <c r="BC6" s="608"/>
      <c r="BD6" s="608"/>
      <c r="BE6" s="608"/>
      <c r="BF6" s="69"/>
      <c r="BG6" s="608"/>
      <c r="BH6" s="608"/>
      <c r="BI6" s="608"/>
      <c r="BJ6" s="4"/>
    </row>
    <row r="7" spans="1:64" ht="5.4" customHeight="1" thickBot="1" x14ac:dyDescent="0.3">
      <c r="A7" s="3"/>
      <c r="B7" s="12"/>
      <c r="C7" s="12"/>
      <c r="D7" s="57"/>
      <c r="E7" s="12"/>
      <c r="F7" s="12"/>
      <c r="G7" s="12"/>
      <c r="H7" s="117"/>
      <c r="I7" s="12"/>
      <c r="J7" s="12"/>
      <c r="K7" s="12"/>
      <c r="L7" s="12"/>
      <c r="M7" s="19"/>
      <c r="N7" s="34"/>
      <c r="O7" s="12"/>
      <c r="P7" s="117"/>
      <c r="Q7" s="12"/>
      <c r="R7" s="117"/>
      <c r="S7" s="117"/>
      <c r="T7" s="19"/>
      <c r="U7" s="12"/>
      <c r="V7" s="12"/>
      <c r="W7" s="12"/>
      <c r="X7" s="117"/>
      <c r="Y7" s="117"/>
      <c r="Z7" s="175"/>
      <c r="AA7" s="19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7"/>
      <c r="AQ7" s="12"/>
      <c r="AR7" s="12"/>
      <c r="AS7" s="19"/>
      <c r="AT7" s="90"/>
      <c r="AU7" s="34"/>
      <c r="AV7" s="76"/>
      <c r="AW7" s="76"/>
      <c r="AX7" s="76"/>
      <c r="AY7" s="76"/>
      <c r="AZ7" s="76"/>
      <c r="BA7" s="76"/>
      <c r="BB7" s="34"/>
      <c r="BC7" s="12"/>
      <c r="BD7" s="12"/>
      <c r="BE7" s="12"/>
      <c r="BF7" s="12"/>
      <c r="BG7" s="34"/>
      <c r="BH7" s="34"/>
      <c r="BI7" s="34"/>
      <c r="BJ7" s="4"/>
    </row>
    <row r="8" spans="1:64" ht="13.8" thickBot="1" x14ac:dyDescent="0.3">
      <c r="A8" s="3"/>
      <c r="B8" s="101">
        <v>45748</v>
      </c>
      <c r="C8" s="20"/>
      <c r="D8" s="138">
        <f>'Reading.4.25'!AI6</f>
        <v>0.87290000000000001</v>
      </c>
      <c r="E8" s="96"/>
      <c r="F8" s="139">
        <f>'Reading.4.25'!AM6</f>
        <v>459.1454</v>
      </c>
      <c r="G8" s="95"/>
      <c r="H8" s="139">
        <f t="shared" ref="H8:H10" si="0">5976/28</f>
        <v>213.42857142857142</v>
      </c>
      <c r="I8" s="96"/>
      <c r="J8" s="140">
        <f>'Reading.4.25'!X6</f>
        <v>34639.999999984866</v>
      </c>
      <c r="K8" s="206">
        <f>1982819/30</f>
        <v>66093.96666666666</v>
      </c>
      <c r="L8" s="206">
        <f>'Cost.4.24'!M7</f>
        <v>0</v>
      </c>
      <c r="M8" s="240">
        <f>J8*1.94</f>
        <v>67201.59999997064</v>
      </c>
      <c r="N8" s="98"/>
      <c r="O8" s="141">
        <f>'Reading.4.25'!T6</f>
        <v>0</v>
      </c>
      <c r="P8" s="264">
        <f>2603/31</f>
        <v>83.967741935483872</v>
      </c>
      <c r="Q8" s="142">
        <f>'Reading.4.25'!AB6</f>
        <v>220</v>
      </c>
      <c r="R8" s="207">
        <f>0/30</f>
        <v>0</v>
      </c>
      <c r="S8" s="274">
        <f>'Cost.4.24'!T7</f>
        <v>0</v>
      </c>
      <c r="T8" s="143">
        <f>O8*7.55</f>
        <v>0</v>
      </c>
      <c r="U8" s="99"/>
      <c r="V8" s="144">
        <f>'Reading.4.25'!G6</f>
        <v>777</v>
      </c>
      <c r="W8" s="173">
        <f>15298/31</f>
        <v>493.48387096774195</v>
      </c>
      <c r="X8" s="208">
        <f>80673/30</f>
        <v>2689.1</v>
      </c>
      <c r="Y8" s="276">
        <f>'Cost.4.24'!Z7</f>
        <v>0</v>
      </c>
      <c r="Z8" s="29">
        <f>'Reading.4.25'!G6*5.1</f>
        <v>3962.7</v>
      </c>
      <c r="AA8" s="100"/>
      <c r="AB8" s="145">
        <f>'Reading.4.25'!O6</f>
        <v>599.30000000000007</v>
      </c>
      <c r="AC8" s="216">
        <f t="shared" ref="AC8" si="1">AB8*3.73</f>
        <v>2235.3890000000001</v>
      </c>
      <c r="AD8" s="176">
        <f>((19500/4)*3)/30</f>
        <v>487.5</v>
      </c>
      <c r="AE8" s="216">
        <f>((83461/4)*3)/30</f>
        <v>2086.5250000000001</v>
      </c>
      <c r="AF8" s="216">
        <f>'Cost.4.24'!AB7</f>
        <v>0</v>
      </c>
      <c r="AG8" s="216">
        <f>'Cost.4.24'!AC7</f>
        <v>0</v>
      </c>
      <c r="AH8" s="216">
        <f>'Reading.4.25'!K6</f>
        <v>275.41200000000003</v>
      </c>
      <c r="AI8" s="216">
        <f t="shared" ref="AI8" si="2">AH8*4</f>
        <v>1101.6480000000001</v>
      </c>
      <c r="AJ8" s="176">
        <f>(19500/4)/30</f>
        <v>162.5</v>
      </c>
      <c r="AK8" s="216">
        <f>(83461/4)/30</f>
        <v>695.50833333333333</v>
      </c>
      <c r="AL8" s="216">
        <f>'Cost.4.24'!AH7</f>
        <v>0</v>
      </c>
      <c r="AM8" s="216">
        <f>'Cost.4.24'!AI7</f>
        <v>0</v>
      </c>
      <c r="AN8" s="176">
        <f t="shared" ref="AN8" si="3">AB8+AH8</f>
        <v>874.7120000000001</v>
      </c>
      <c r="AO8" s="176">
        <f t="shared" ref="AO8" si="4">AF8+AL8</f>
        <v>0</v>
      </c>
      <c r="AP8" s="176">
        <f t="shared" ref="AP8" si="5">AD8+AJ8</f>
        <v>650</v>
      </c>
      <c r="AQ8" s="182">
        <f>82483/31</f>
        <v>2660.7419354838707</v>
      </c>
      <c r="AR8" s="278">
        <f>'Cost.4.24'!AS7</f>
        <v>0</v>
      </c>
      <c r="AS8" s="66">
        <f t="shared" ref="AS8" si="6">AC8+AI8</f>
        <v>3337.0370000000003</v>
      </c>
      <c r="AT8" s="116"/>
      <c r="AU8" s="115"/>
      <c r="AV8" s="252">
        <f>'Reading.4.25'!AE6/'cost.4.25'!F8</f>
        <v>75.923661654858932</v>
      </c>
      <c r="AW8" s="253">
        <f>(M8+T8)/F8</f>
        <v>146.36235057559247</v>
      </c>
      <c r="AX8" s="254">
        <f>V8/F8</f>
        <v>1.6922743862837351</v>
      </c>
      <c r="AY8" s="255">
        <f>Z8/F8</f>
        <v>8.6305993700470474</v>
      </c>
      <c r="AZ8" s="256">
        <f>AN8/F8</f>
        <v>1.9050871466859955</v>
      </c>
      <c r="BA8" s="257">
        <f>AS8/F8</f>
        <v>7.267930812330909</v>
      </c>
      <c r="BB8" s="114"/>
      <c r="BC8" s="146">
        <f>'Cost.4.24'!BE7</f>
        <v>0</v>
      </c>
      <c r="BD8" s="146">
        <f>K8+R8+X8+AQ8</f>
        <v>71443.80860215053</v>
      </c>
      <c r="BE8" s="147">
        <f>M8+T8+Z8+AS8</f>
        <v>74501.336999970634</v>
      </c>
      <c r="BF8" s="99"/>
      <c r="BG8" s="148">
        <f>'Cost.4.24'!BI7</f>
        <v>0</v>
      </c>
      <c r="BH8" s="148">
        <f>BD8/H8</f>
        <v>334.74341379856344</v>
      </c>
      <c r="BI8" s="149">
        <f>BE8/F8</f>
        <v>162.26088075797043</v>
      </c>
      <c r="BJ8" s="4"/>
    </row>
    <row r="9" spans="1:64" ht="13.8" thickBot="1" x14ac:dyDescent="0.3">
      <c r="A9" s="3"/>
      <c r="B9" s="101">
        <v>45749</v>
      </c>
      <c r="C9" s="20"/>
      <c r="D9" s="138">
        <f>'Reading.4.25'!AI7</f>
        <v>0.87829999999999997</v>
      </c>
      <c r="E9" s="96"/>
      <c r="F9" s="139">
        <f>'Reading.4.25'!AM7</f>
        <v>461.98579999999998</v>
      </c>
      <c r="G9" s="95"/>
      <c r="H9" s="139">
        <f t="shared" si="0"/>
        <v>213.42857142857142</v>
      </c>
      <c r="I9" s="96"/>
      <c r="J9" s="140">
        <f>'Reading.4.25'!X7</f>
        <v>33760.000000009313</v>
      </c>
      <c r="K9" s="206">
        <f>1982819/30</f>
        <v>66093.96666666666</v>
      </c>
      <c r="L9" s="206">
        <f>'Cost.4.24'!M8</f>
        <v>38530.800000001618</v>
      </c>
      <c r="M9" s="240">
        <f>J9*1.94</f>
        <v>65494.400000018068</v>
      </c>
      <c r="N9" s="98"/>
      <c r="O9" s="141">
        <f>'Reading.4.25'!T7</f>
        <v>0</v>
      </c>
      <c r="P9" s="264">
        <f>2603/31</f>
        <v>83.967741935483872</v>
      </c>
      <c r="Q9" s="142">
        <f>'Reading.4.25'!AB7</f>
        <v>0</v>
      </c>
      <c r="R9" s="207">
        <f>0/30</f>
        <v>0</v>
      </c>
      <c r="S9" s="274">
        <f>'Cost.4.24'!T8</f>
        <v>0</v>
      </c>
      <c r="T9" s="143">
        <f>O9*7.55</f>
        <v>0</v>
      </c>
      <c r="U9" s="99"/>
      <c r="V9" s="144">
        <f>'Reading.4.25'!G7</f>
        <v>754</v>
      </c>
      <c r="W9" s="173">
        <f>15298/31</f>
        <v>493.48387096774195</v>
      </c>
      <c r="X9" s="208">
        <f>80673/30</f>
        <v>2689.1</v>
      </c>
      <c r="Y9" s="276">
        <f>'Cost.4.24'!Z8</f>
        <v>2454.3000000000002</v>
      </c>
      <c r="Z9" s="29">
        <f>'Reading.4.25'!G7*5.1</f>
        <v>3845.3999999999996</v>
      </c>
      <c r="AA9" s="100"/>
      <c r="AB9" s="145">
        <f>'Reading.4.25'!O7</f>
        <v>659.23</v>
      </c>
      <c r="AC9" s="216">
        <f t="shared" ref="AC9" si="7">AB9*3.73</f>
        <v>2458.9279000000001</v>
      </c>
      <c r="AD9" s="176">
        <f>((19500/4)*3)/30</f>
        <v>487.5</v>
      </c>
      <c r="AE9" s="216">
        <f>((83461/4)*3)/30</f>
        <v>2086.5250000000001</v>
      </c>
      <c r="AF9" s="216">
        <f>'Cost.4.24'!AB8</f>
        <v>391.85</v>
      </c>
      <c r="AG9" s="216">
        <f>'Cost.4.24'!AC8</f>
        <v>1461.6005</v>
      </c>
      <c r="AH9" s="216">
        <f>'Reading.4.25'!K7</f>
        <v>266.07600000000002</v>
      </c>
      <c r="AI9" s="216">
        <f t="shared" ref="AI9" si="8">AH9*4</f>
        <v>1064.3040000000001</v>
      </c>
      <c r="AJ9" s="176">
        <f>(19500/4)/30</f>
        <v>162.5</v>
      </c>
      <c r="AK9" s="216">
        <f>(83461/4)/30</f>
        <v>695.50833333333333</v>
      </c>
      <c r="AL9" s="216">
        <f>'Cost.4.24'!AH8</f>
        <v>112.03200000000001</v>
      </c>
      <c r="AM9" s="216">
        <f>'Cost.4.24'!AI8</f>
        <v>417.87936000000002</v>
      </c>
      <c r="AN9" s="176">
        <f t="shared" ref="AN9" si="9">AB9+AH9</f>
        <v>925.30600000000004</v>
      </c>
      <c r="AO9" s="176">
        <f t="shared" ref="AO9" si="10">AF9+AL9</f>
        <v>503.88200000000006</v>
      </c>
      <c r="AP9" s="176">
        <f t="shared" ref="AP9" si="11">AD9+AJ9</f>
        <v>650</v>
      </c>
      <c r="AQ9" s="182">
        <f>82483/31</f>
        <v>2660.7419354838707</v>
      </c>
      <c r="AR9" s="278">
        <f>'Cost.4.24'!AS8</f>
        <v>1879.4798599999999</v>
      </c>
      <c r="AS9" s="66">
        <f t="shared" ref="AS9" si="12">AC9+AI9</f>
        <v>3523.2319000000002</v>
      </c>
      <c r="AT9" s="116"/>
      <c r="AU9" s="115"/>
      <c r="AV9" s="252">
        <f>'Reading.4.25'!AE7/'cost.4.25'!F9</f>
        <v>73.075839127543134</v>
      </c>
      <c r="AW9" s="253">
        <f>(M9+T9)/F9</f>
        <v>141.76712790743366</v>
      </c>
      <c r="AX9" s="254">
        <f>V9/F9</f>
        <v>1.6320847956798672</v>
      </c>
      <c r="AY9" s="255">
        <f>Z9/F9</f>
        <v>8.3236324579673227</v>
      </c>
      <c r="AZ9" s="256">
        <f>AN9/F9</f>
        <v>2.0028884004659884</v>
      </c>
      <c r="BA9" s="257">
        <f>AS9/F9</f>
        <v>7.6262774743292985</v>
      </c>
      <c r="BB9" s="114"/>
      <c r="BC9" s="146">
        <f>'Cost.4.24'!BE8</f>
        <v>42864.579860001621</v>
      </c>
      <c r="BD9" s="146">
        <f>K9+R9+X9+AQ9</f>
        <v>71443.80860215053</v>
      </c>
      <c r="BE9" s="147">
        <f>M9+T9+Z9+AS9</f>
        <v>72863.031900018061</v>
      </c>
      <c r="BF9" s="99"/>
      <c r="BG9" s="148">
        <f>'Cost.4.24'!BI8</f>
        <v>156.44007248175774</v>
      </c>
      <c r="BH9" s="148">
        <f>BD9/H9</f>
        <v>334.74341379856344</v>
      </c>
      <c r="BI9" s="149">
        <f>BE9/F9</f>
        <v>157.71703783973027</v>
      </c>
      <c r="BJ9" s="4"/>
    </row>
    <row r="10" spans="1:64" ht="13.8" thickBot="1" x14ac:dyDescent="0.3">
      <c r="A10" s="3"/>
      <c r="B10" s="101">
        <v>45750</v>
      </c>
      <c r="C10" s="20"/>
      <c r="D10" s="138">
        <f>'Reading.4.25'!AI8</f>
        <v>0.84599999999999997</v>
      </c>
      <c r="E10" s="96"/>
      <c r="F10" s="139">
        <f>'Reading.4.25'!AM8</f>
        <v>444.99599999999998</v>
      </c>
      <c r="G10" s="95"/>
      <c r="H10" s="139">
        <f t="shared" si="0"/>
        <v>213.42857142857142</v>
      </c>
      <c r="I10" s="96"/>
      <c r="J10" s="140">
        <f>'Reading.4.25'!X8</f>
        <v>35000</v>
      </c>
      <c r="K10" s="206">
        <f>1982819/30</f>
        <v>66093.96666666666</v>
      </c>
      <c r="L10" s="206">
        <f>'Cost.4.24'!M9</f>
        <v>39753.999999967637</v>
      </c>
      <c r="M10" s="240">
        <f>J10*1.94</f>
        <v>67900</v>
      </c>
      <c r="N10" s="98"/>
      <c r="O10" s="141">
        <f>'Reading.4.25'!T8</f>
        <v>0</v>
      </c>
      <c r="P10" s="264">
        <f>2603/31</f>
        <v>83.967741935483872</v>
      </c>
      <c r="Q10" s="142">
        <f>'Reading.4.25'!AB8</f>
        <v>0</v>
      </c>
      <c r="R10" s="207">
        <f>0/30</f>
        <v>0</v>
      </c>
      <c r="S10" s="274">
        <f>'Cost.4.24'!T9</f>
        <v>0</v>
      </c>
      <c r="T10" s="143">
        <f>O10*7.55</f>
        <v>0</v>
      </c>
      <c r="U10" s="99"/>
      <c r="V10" s="144">
        <f>'Reading.4.25'!G8</f>
        <v>753</v>
      </c>
      <c r="W10" s="173">
        <f>15298/31</f>
        <v>493.48387096774195</v>
      </c>
      <c r="X10" s="208">
        <f>80673/30</f>
        <v>2689.1</v>
      </c>
      <c r="Y10" s="276">
        <f>'Cost.4.24'!Z9</f>
        <v>2235.6000000000004</v>
      </c>
      <c r="Z10" s="29">
        <f>'Reading.4.25'!G8*5.1</f>
        <v>3840.2999999999997</v>
      </c>
      <c r="AA10" s="100"/>
      <c r="AB10" s="145">
        <f>'Reading.4.25'!O8</f>
        <v>742.21</v>
      </c>
      <c r="AC10" s="216">
        <f t="shared" ref="AC10" si="13">AB10*3.73</f>
        <v>2768.4432999999999</v>
      </c>
      <c r="AD10" s="176">
        <f>((19500/4)*3)/30</f>
        <v>487.5</v>
      </c>
      <c r="AE10" s="216">
        <f>((83461/4)*3)/30</f>
        <v>2086.5250000000001</v>
      </c>
      <c r="AF10" s="216">
        <f>'Cost.4.24'!AB9</f>
        <v>410.29</v>
      </c>
      <c r="AG10" s="216">
        <f>'Cost.4.24'!AC9</f>
        <v>1530.3817000000001</v>
      </c>
      <c r="AH10" s="216">
        <f>'Reading.4.25'!K8</f>
        <v>289.416</v>
      </c>
      <c r="AI10" s="216">
        <f t="shared" ref="AI10" si="14">AH10*4</f>
        <v>1157.664</v>
      </c>
      <c r="AJ10" s="176">
        <f>(19500/4)/30</f>
        <v>162.5</v>
      </c>
      <c r="AK10" s="216">
        <f>(83461/4)/30</f>
        <v>695.50833333333333</v>
      </c>
      <c r="AL10" s="216">
        <f>'Cost.4.24'!AH9</f>
        <v>121.36800000000001</v>
      </c>
      <c r="AM10" s="216">
        <f>'Cost.4.24'!AI9</f>
        <v>452.70264000000003</v>
      </c>
      <c r="AN10" s="176">
        <f t="shared" ref="AN10" si="15">AB10+AH10</f>
        <v>1031.626</v>
      </c>
      <c r="AO10" s="176">
        <f t="shared" ref="AO10" si="16">AF10+AL10</f>
        <v>531.65800000000002</v>
      </c>
      <c r="AP10" s="176">
        <f t="shared" ref="AP10" si="17">AD10+AJ10</f>
        <v>650</v>
      </c>
      <c r="AQ10" s="182">
        <f>82483/31</f>
        <v>2660.7419354838707</v>
      </c>
      <c r="AR10" s="278">
        <f>'Cost.4.24'!AS9</f>
        <v>1983.0843400000001</v>
      </c>
      <c r="AS10" s="66">
        <f t="shared" ref="AS10" si="18">AC10+AI10</f>
        <v>3926.1072999999997</v>
      </c>
      <c r="AT10" s="116"/>
      <c r="AU10" s="115"/>
      <c r="AV10" s="252">
        <f>'Reading.4.25'!AE8/'cost.4.25'!F10</f>
        <v>78.652392381055108</v>
      </c>
      <c r="AW10" s="253">
        <f>(M10+T10)/F10</f>
        <v>152.58564121924692</v>
      </c>
      <c r="AX10" s="254">
        <f>V10/F10</f>
        <v>1.6921500417981286</v>
      </c>
      <c r="AY10" s="255">
        <f>Z10/F10</f>
        <v>8.6299652131704558</v>
      </c>
      <c r="AZ10" s="256">
        <f>AN10/F10</f>
        <v>2.3182815126428102</v>
      </c>
      <c r="BA10" s="257">
        <f>AS10/F10</f>
        <v>8.8227923397064245</v>
      </c>
      <c r="BB10" s="114"/>
      <c r="BC10" s="146">
        <f>'Cost.4.24'!BE9</f>
        <v>43972.684339967636</v>
      </c>
      <c r="BD10" s="146">
        <f>K10+R10+X10+AQ10</f>
        <v>71443.80860215053</v>
      </c>
      <c r="BE10" s="147">
        <f>M10+T10+Z10+AS10</f>
        <v>75666.407300000006</v>
      </c>
      <c r="BF10" s="99"/>
      <c r="BG10" s="148">
        <f>'Cost.4.24'!BI9</f>
        <v>169.77870401531905</v>
      </c>
      <c r="BH10" s="148">
        <f>BD10/H10</f>
        <v>334.74341379856344</v>
      </c>
      <c r="BI10" s="149">
        <f>BE10/F10</f>
        <v>170.03839877212383</v>
      </c>
      <c r="BJ10" s="4"/>
    </row>
    <row r="11" spans="1:64" ht="13.8" thickBot="1" x14ac:dyDescent="0.3">
      <c r="A11" s="3"/>
      <c r="B11" s="101">
        <v>45751</v>
      </c>
      <c r="C11" s="20"/>
      <c r="D11" s="138"/>
      <c r="E11" s="96"/>
      <c r="F11" s="139"/>
      <c r="G11" s="95"/>
      <c r="H11" s="139"/>
      <c r="I11" s="96"/>
      <c r="J11" s="140"/>
      <c r="K11" s="206"/>
      <c r="L11" s="206"/>
      <c r="M11" s="240"/>
      <c r="N11" s="98"/>
      <c r="O11" s="141"/>
      <c r="P11" s="264"/>
      <c r="Q11" s="142"/>
      <c r="R11" s="207"/>
      <c r="S11" s="274"/>
      <c r="T11" s="143"/>
      <c r="U11" s="99"/>
      <c r="V11" s="144"/>
      <c r="W11" s="173"/>
      <c r="X11" s="208"/>
      <c r="Y11" s="276"/>
      <c r="Z11" s="29"/>
      <c r="AA11" s="100"/>
      <c r="AB11" s="145"/>
      <c r="AC11" s="216"/>
      <c r="AD11" s="176"/>
      <c r="AE11" s="216"/>
      <c r="AF11" s="216"/>
      <c r="AG11" s="216"/>
      <c r="AH11" s="216"/>
      <c r="AI11" s="216"/>
      <c r="AJ11" s="176"/>
      <c r="AK11" s="216"/>
      <c r="AL11" s="216"/>
      <c r="AM11" s="216"/>
      <c r="AN11" s="176"/>
      <c r="AO11" s="176"/>
      <c r="AP11" s="176"/>
      <c r="AQ11" s="182"/>
      <c r="AR11" s="278"/>
      <c r="AS11" s="66"/>
      <c r="AT11" s="116"/>
      <c r="AU11" s="115"/>
      <c r="AV11" s="252"/>
      <c r="AW11" s="253"/>
      <c r="AX11" s="254"/>
      <c r="AY11" s="255"/>
      <c r="AZ11" s="256"/>
      <c r="BA11" s="257"/>
      <c r="BB11" s="114"/>
      <c r="BC11" s="146"/>
      <c r="BD11" s="146"/>
      <c r="BE11" s="147"/>
      <c r="BF11" s="99"/>
      <c r="BG11" s="148"/>
      <c r="BH11" s="148"/>
      <c r="BI11" s="149"/>
      <c r="BJ11" s="4"/>
    </row>
    <row r="12" spans="1:64" ht="13.8" thickBot="1" x14ac:dyDescent="0.3">
      <c r="A12" s="3"/>
      <c r="B12" s="101">
        <v>45752</v>
      </c>
      <c r="C12" s="20"/>
      <c r="D12" s="138"/>
      <c r="E12" s="96"/>
      <c r="F12" s="139"/>
      <c r="G12" s="95"/>
      <c r="H12" s="139"/>
      <c r="I12" s="96"/>
      <c r="J12" s="140"/>
      <c r="K12" s="206"/>
      <c r="L12" s="206"/>
      <c r="M12" s="240"/>
      <c r="N12" s="98"/>
      <c r="O12" s="141"/>
      <c r="P12" s="264"/>
      <c r="Q12" s="142"/>
      <c r="R12" s="207"/>
      <c r="S12" s="274"/>
      <c r="T12" s="143"/>
      <c r="U12" s="99"/>
      <c r="V12" s="144"/>
      <c r="W12" s="173"/>
      <c r="X12" s="208"/>
      <c r="Y12" s="276"/>
      <c r="Z12" s="29"/>
      <c r="AA12" s="100"/>
      <c r="AB12" s="145"/>
      <c r="AC12" s="216"/>
      <c r="AD12" s="176"/>
      <c r="AE12" s="216"/>
      <c r="AF12" s="216"/>
      <c r="AG12" s="216"/>
      <c r="AH12" s="216"/>
      <c r="AI12" s="216"/>
      <c r="AJ12" s="176"/>
      <c r="AK12" s="216"/>
      <c r="AL12" s="216"/>
      <c r="AM12" s="216"/>
      <c r="AN12" s="176"/>
      <c r="AO12" s="176"/>
      <c r="AP12" s="176"/>
      <c r="AQ12" s="182"/>
      <c r="AR12" s="278"/>
      <c r="AS12" s="66"/>
      <c r="AT12" s="116"/>
      <c r="AU12" s="115"/>
      <c r="AV12" s="252"/>
      <c r="AW12" s="253"/>
      <c r="AX12" s="254"/>
      <c r="AY12" s="255"/>
      <c r="AZ12" s="256"/>
      <c r="BA12" s="257"/>
      <c r="BB12" s="114"/>
      <c r="BC12" s="146"/>
      <c r="BD12" s="146"/>
      <c r="BE12" s="147"/>
      <c r="BF12" s="99"/>
      <c r="BG12" s="148"/>
      <c r="BH12" s="148"/>
      <c r="BI12" s="149"/>
      <c r="BJ12" s="4"/>
    </row>
    <row r="13" spans="1:64" ht="13.8" thickBot="1" x14ac:dyDescent="0.3">
      <c r="A13" s="3"/>
      <c r="B13" s="101">
        <v>45753</v>
      </c>
      <c r="C13" s="20"/>
      <c r="D13" s="138"/>
      <c r="E13" s="96"/>
      <c r="F13" s="139"/>
      <c r="G13" s="95"/>
      <c r="H13" s="139"/>
      <c r="I13" s="96"/>
      <c r="J13" s="140"/>
      <c r="K13" s="206"/>
      <c r="L13" s="206"/>
      <c r="M13" s="240"/>
      <c r="N13" s="98"/>
      <c r="O13" s="141"/>
      <c r="P13" s="264"/>
      <c r="Q13" s="142"/>
      <c r="R13" s="207"/>
      <c r="S13" s="274"/>
      <c r="T13" s="143"/>
      <c r="U13" s="99"/>
      <c r="V13" s="144"/>
      <c r="W13" s="173"/>
      <c r="X13" s="208"/>
      <c r="Y13" s="276"/>
      <c r="Z13" s="29"/>
      <c r="AA13" s="100"/>
      <c r="AB13" s="145"/>
      <c r="AC13" s="216"/>
      <c r="AD13" s="176"/>
      <c r="AE13" s="216"/>
      <c r="AF13" s="216"/>
      <c r="AG13" s="216"/>
      <c r="AH13" s="216"/>
      <c r="AI13" s="216"/>
      <c r="AJ13" s="176"/>
      <c r="AK13" s="216"/>
      <c r="AL13" s="216"/>
      <c r="AM13" s="216"/>
      <c r="AN13" s="176"/>
      <c r="AO13" s="176"/>
      <c r="AP13" s="176"/>
      <c r="AQ13" s="182"/>
      <c r="AR13" s="278"/>
      <c r="AS13" s="66"/>
      <c r="AT13" s="116"/>
      <c r="AU13" s="115"/>
      <c r="AV13" s="252"/>
      <c r="AW13" s="253"/>
      <c r="AX13" s="254"/>
      <c r="AY13" s="255"/>
      <c r="AZ13" s="256"/>
      <c r="BA13" s="257"/>
      <c r="BB13" s="114"/>
      <c r="BC13" s="146"/>
      <c r="BD13" s="146"/>
      <c r="BE13" s="147"/>
      <c r="BF13" s="99"/>
      <c r="BG13" s="148"/>
      <c r="BH13" s="148"/>
      <c r="BI13" s="149"/>
      <c r="BJ13" s="4"/>
    </row>
    <row r="14" spans="1:64" ht="13.8" thickBot="1" x14ac:dyDescent="0.3">
      <c r="A14" s="3"/>
      <c r="B14" s="101">
        <v>45754</v>
      </c>
      <c r="C14" s="20"/>
      <c r="D14" s="138"/>
      <c r="E14" s="96"/>
      <c r="F14" s="139"/>
      <c r="G14" s="95"/>
      <c r="H14" s="139"/>
      <c r="I14" s="96"/>
      <c r="J14" s="140"/>
      <c r="K14" s="206"/>
      <c r="L14" s="206"/>
      <c r="M14" s="240"/>
      <c r="N14" s="98"/>
      <c r="O14" s="141"/>
      <c r="P14" s="264"/>
      <c r="Q14" s="142"/>
      <c r="R14" s="207"/>
      <c r="S14" s="274"/>
      <c r="T14" s="143"/>
      <c r="U14" s="99"/>
      <c r="V14" s="144"/>
      <c r="W14" s="173"/>
      <c r="X14" s="208"/>
      <c r="Y14" s="276"/>
      <c r="Z14" s="29"/>
      <c r="AA14" s="100"/>
      <c r="AB14" s="145"/>
      <c r="AC14" s="216"/>
      <c r="AD14" s="176"/>
      <c r="AE14" s="216"/>
      <c r="AF14" s="216"/>
      <c r="AG14" s="216"/>
      <c r="AH14" s="216"/>
      <c r="AI14" s="216"/>
      <c r="AJ14" s="176"/>
      <c r="AK14" s="216"/>
      <c r="AL14" s="216"/>
      <c r="AM14" s="216"/>
      <c r="AN14" s="176"/>
      <c r="AO14" s="176"/>
      <c r="AP14" s="176"/>
      <c r="AQ14" s="182"/>
      <c r="AR14" s="278"/>
      <c r="AS14" s="66"/>
      <c r="AT14" s="116"/>
      <c r="AU14" s="115"/>
      <c r="AV14" s="252"/>
      <c r="AW14" s="253"/>
      <c r="AX14" s="254"/>
      <c r="AY14" s="255"/>
      <c r="AZ14" s="256"/>
      <c r="BA14" s="257"/>
      <c r="BB14" s="114"/>
      <c r="BC14" s="146"/>
      <c r="BD14" s="146"/>
      <c r="BE14" s="147"/>
      <c r="BF14" s="99"/>
      <c r="BG14" s="148"/>
      <c r="BH14" s="148"/>
      <c r="BI14" s="149"/>
      <c r="BJ14" s="4"/>
    </row>
    <row r="15" spans="1:64" ht="13.8" thickBot="1" x14ac:dyDescent="0.3">
      <c r="A15" s="3"/>
      <c r="B15" s="101">
        <v>45755</v>
      </c>
      <c r="C15" s="20"/>
      <c r="D15" s="138"/>
      <c r="E15" s="96"/>
      <c r="F15" s="139"/>
      <c r="G15" s="95"/>
      <c r="H15" s="139"/>
      <c r="I15" s="96"/>
      <c r="J15" s="140"/>
      <c r="K15" s="206"/>
      <c r="L15" s="206"/>
      <c r="M15" s="240"/>
      <c r="N15" s="98"/>
      <c r="O15" s="141"/>
      <c r="P15" s="264"/>
      <c r="Q15" s="142"/>
      <c r="R15" s="207"/>
      <c r="S15" s="274"/>
      <c r="T15" s="143"/>
      <c r="U15" s="99"/>
      <c r="V15" s="144"/>
      <c r="W15" s="173"/>
      <c r="X15" s="208"/>
      <c r="Y15" s="276"/>
      <c r="Z15" s="29"/>
      <c r="AA15" s="100"/>
      <c r="AB15" s="145"/>
      <c r="AC15" s="216"/>
      <c r="AD15" s="176"/>
      <c r="AE15" s="216"/>
      <c r="AF15" s="216"/>
      <c r="AG15" s="216"/>
      <c r="AH15" s="216"/>
      <c r="AI15" s="216"/>
      <c r="AJ15" s="176"/>
      <c r="AK15" s="216"/>
      <c r="AL15" s="216"/>
      <c r="AM15" s="216"/>
      <c r="AN15" s="176"/>
      <c r="AO15" s="176"/>
      <c r="AP15" s="176"/>
      <c r="AQ15" s="182"/>
      <c r="AR15" s="278"/>
      <c r="AS15" s="66"/>
      <c r="AT15" s="116"/>
      <c r="AU15" s="115"/>
      <c r="AV15" s="252"/>
      <c r="AW15" s="253"/>
      <c r="AX15" s="254"/>
      <c r="AY15" s="255"/>
      <c r="AZ15" s="256"/>
      <c r="BA15" s="257"/>
      <c r="BB15" s="114"/>
      <c r="BC15" s="146"/>
      <c r="BD15" s="146"/>
      <c r="BE15" s="147"/>
      <c r="BF15" s="99"/>
      <c r="BG15" s="148"/>
      <c r="BH15" s="148"/>
      <c r="BI15" s="149"/>
      <c r="BJ15" s="4"/>
    </row>
    <row r="16" spans="1:64" ht="13.8" thickBot="1" x14ac:dyDescent="0.3">
      <c r="A16" s="3"/>
      <c r="B16" s="101">
        <v>45756</v>
      </c>
      <c r="C16" s="20"/>
      <c r="D16" s="138"/>
      <c r="E16" s="96"/>
      <c r="F16" s="139"/>
      <c r="G16" s="95"/>
      <c r="H16" s="139"/>
      <c r="I16" s="96"/>
      <c r="J16" s="140"/>
      <c r="K16" s="206"/>
      <c r="L16" s="206"/>
      <c r="M16" s="240"/>
      <c r="N16" s="98"/>
      <c r="O16" s="141"/>
      <c r="P16" s="264"/>
      <c r="Q16" s="142"/>
      <c r="R16" s="207"/>
      <c r="S16" s="274"/>
      <c r="T16" s="143"/>
      <c r="U16" s="99"/>
      <c r="V16" s="144"/>
      <c r="W16" s="173"/>
      <c r="X16" s="208"/>
      <c r="Y16" s="276"/>
      <c r="Z16" s="29"/>
      <c r="AA16" s="100"/>
      <c r="AB16" s="145"/>
      <c r="AC16" s="216"/>
      <c r="AD16" s="176"/>
      <c r="AE16" s="216"/>
      <c r="AF16" s="216"/>
      <c r="AG16" s="216"/>
      <c r="AH16" s="216"/>
      <c r="AI16" s="216"/>
      <c r="AJ16" s="176"/>
      <c r="AK16" s="216"/>
      <c r="AL16" s="216"/>
      <c r="AM16" s="216"/>
      <c r="AN16" s="176"/>
      <c r="AO16" s="176"/>
      <c r="AP16" s="176"/>
      <c r="AQ16" s="182"/>
      <c r="AR16" s="278"/>
      <c r="AS16" s="66"/>
      <c r="AT16" s="116"/>
      <c r="AU16" s="115"/>
      <c r="AV16" s="252"/>
      <c r="AW16" s="253"/>
      <c r="AX16" s="254"/>
      <c r="AY16" s="255"/>
      <c r="AZ16" s="256"/>
      <c r="BA16" s="257"/>
      <c r="BB16" s="114"/>
      <c r="BC16" s="146"/>
      <c r="BD16" s="146"/>
      <c r="BE16" s="147"/>
      <c r="BF16" s="99"/>
      <c r="BG16" s="148"/>
      <c r="BH16" s="148"/>
      <c r="BI16" s="149"/>
      <c r="BJ16" s="4"/>
    </row>
    <row r="17" spans="1:62" ht="13.8" thickBot="1" x14ac:dyDescent="0.3">
      <c r="A17" s="3"/>
      <c r="B17" s="101">
        <v>45757</v>
      </c>
      <c r="C17" s="20"/>
      <c r="D17" s="138"/>
      <c r="E17" s="96"/>
      <c r="F17" s="139"/>
      <c r="G17" s="95"/>
      <c r="H17" s="139"/>
      <c r="I17" s="96"/>
      <c r="J17" s="140"/>
      <c r="K17" s="206"/>
      <c r="L17" s="206"/>
      <c r="M17" s="240"/>
      <c r="N17" s="98"/>
      <c r="O17" s="141"/>
      <c r="P17" s="264"/>
      <c r="Q17" s="142"/>
      <c r="R17" s="207"/>
      <c r="S17" s="274"/>
      <c r="T17" s="143"/>
      <c r="U17" s="99"/>
      <c r="V17" s="144"/>
      <c r="W17" s="173"/>
      <c r="X17" s="208"/>
      <c r="Y17" s="276"/>
      <c r="Z17" s="29"/>
      <c r="AA17" s="100"/>
      <c r="AB17" s="145"/>
      <c r="AC17" s="216"/>
      <c r="AD17" s="176"/>
      <c r="AE17" s="216"/>
      <c r="AF17" s="216"/>
      <c r="AG17" s="216"/>
      <c r="AH17" s="216"/>
      <c r="AI17" s="216"/>
      <c r="AJ17" s="176"/>
      <c r="AK17" s="216"/>
      <c r="AL17" s="216"/>
      <c r="AM17" s="216"/>
      <c r="AN17" s="176"/>
      <c r="AO17" s="176"/>
      <c r="AP17" s="176"/>
      <c r="AQ17" s="182"/>
      <c r="AR17" s="278"/>
      <c r="AS17" s="66"/>
      <c r="AT17" s="116"/>
      <c r="AU17" s="115"/>
      <c r="AV17" s="252"/>
      <c r="AW17" s="253"/>
      <c r="AX17" s="254"/>
      <c r="AY17" s="255"/>
      <c r="AZ17" s="256"/>
      <c r="BA17" s="257"/>
      <c r="BB17" s="114"/>
      <c r="BC17" s="146"/>
      <c r="BD17" s="146"/>
      <c r="BE17" s="147"/>
      <c r="BF17" s="99"/>
      <c r="BG17" s="148"/>
      <c r="BH17" s="148"/>
      <c r="BI17" s="149"/>
      <c r="BJ17" s="4"/>
    </row>
    <row r="18" spans="1:62" ht="13.8" thickBot="1" x14ac:dyDescent="0.3">
      <c r="A18" s="3"/>
      <c r="B18" s="101">
        <v>45758</v>
      </c>
      <c r="C18" s="20"/>
      <c r="D18" s="138"/>
      <c r="E18" s="96"/>
      <c r="F18" s="139"/>
      <c r="G18" s="95"/>
      <c r="H18" s="139"/>
      <c r="I18" s="96"/>
      <c r="J18" s="140"/>
      <c r="K18" s="206"/>
      <c r="L18" s="206"/>
      <c r="M18" s="240"/>
      <c r="N18" s="98"/>
      <c r="O18" s="141"/>
      <c r="P18" s="264"/>
      <c r="Q18" s="142"/>
      <c r="R18" s="207"/>
      <c r="S18" s="274"/>
      <c r="T18" s="143"/>
      <c r="U18" s="99"/>
      <c r="V18" s="144"/>
      <c r="W18" s="173"/>
      <c r="X18" s="208"/>
      <c r="Y18" s="276"/>
      <c r="Z18" s="29"/>
      <c r="AA18" s="100"/>
      <c r="AB18" s="145"/>
      <c r="AC18" s="216"/>
      <c r="AD18" s="176"/>
      <c r="AE18" s="216"/>
      <c r="AF18" s="216"/>
      <c r="AG18" s="216"/>
      <c r="AH18" s="216"/>
      <c r="AI18" s="216"/>
      <c r="AJ18" s="176"/>
      <c r="AK18" s="216"/>
      <c r="AL18" s="216"/>
      <c r="AM18" s="216"/>
      <c r="AN18" s="176"/>
      <c r="AO18" s="176"/>
      <c r="AP18" s="176"/>
      <c r="AQ18" s="182"/>
      <c r="AR18" s="278"/>
      <c r="AS18" s="66"/>
      <c r="AT18" s="116"/>
      <c r="AU18" s="115"/>
      <c r="AV18" s="252"/>
      <c r="AW18" s="253"/>
      <c r="AX18" s="254"/>
      <c r="AY18" s="255"/>
      <c r="AZ18" s="256"/>
      <c r="BA18" s="257"/>
      <c r="BB18" s="114"/>
      <c r="BC18" s="146"/>
      <c r="BD18" s="146"/>
      <c r="BE18" s="147"/>
      <c r="BF18" s="99"/>
      <c r="BG18" s="148"/>
      <c r="BH18" s="148"/>
      <c r="BI18" s="149"/>
      <c r="BJ18" s="4"/>
    </row>
    <row r="19" spans="1:62" ht="13.8" thickBot="1" x14ac:dyDescent="0.3">
      <c r="A19" s="3"/>
      <c r="B19" s="101">
        <v>45759</v>
      </c>
      <c r="C19" s="20"/>
      <c r="D19" s="138"/>
      <c r="E19" s="96"/>
      <c r="F19" s="139"/>
      <c r="G19" s="95"/>
      <c r="H19" s="139"/>
      <c r="I19" s="96"/>
      <c r="J19" s="140"/>
      <c r="K19" s="206"/>
      <c r="L19" s="206"/>
      <c r="M19" s="240"/>
      <c r="N19" s="98"/>
      <c r="O19" s="141"/>
      <c r="P19" s="264"/>
      <c r="Q19" s="142"/>
      <c r="R19" s="207"/>
      <c r="S19" s="274"/>
      <c r="T19" s="143"/>
      <c r="U19" s="99"/>
      <c r="V19" s="144"/>
      <c r="W19" s="173"/>
      <c r="X19" s="208"/>
      <c r="Y19" s="276"/>
      <c r="Z19" s="29"/>
      <c r="AA19" s="100"/>
      <c r="AB19" s="145"/>
      <c r="AC19" s="216"/>
      <c r="AD19" s="176"/>
      <c r="AE19" s="216"/>
      <c r="AF19" s="216"/>
      <c r="AG19" s="216"/>
      <c r="AH19" s="216"/>
      <c r="AI19" s="216"/>
      <c r="AJ19" s="176"/>
      <c r="AK19" s="216"/>
      <c r="AL19" s="216"/>
      <c r="AM19" s="216"/>
      <c r="AN19" s="176"/>
      <c r="AO19" s="176"/>
      <c r="AP19" s="176"/>
      <c r="AQ19" s="182"/>
      <c r="AR19" s="278"/>
      <c r="AS19" s="66"/>
      <c r="AT19" s="116"/>
      <c r="AU19" s="115"/>
      <c r="AV19" s="252"/>
      <c r="AW19" s="253"/>
      <c r="AX19" s="254"/>
      <c r="AY19" s="255"/>
      <c r="AZ19" s="256"/>
      <c r="BA19" s="257"/>
      <c r="BB19" s="114"/>
      <c r="BC19" s="146"/>
      <c r="BD19" s="146"/>
      <c r="BE19" s="147"/>
      <c r="BF19" s="99"/>
      <c r="BG19" s="148"/>
      <c r="BH19" s="148"/>
      <c r="BI19" s="149"/>
      <c r="BJ19" s="4"/>
    </row>
    <row r="20" spans="1:62" ht="13.8" thickBot="1" x14ac:dyDescent="0.3">
      <c r="A20" s="3"/>
      <c r="B20" s="101">
        <v>45760</v>
      </c>
      <c r="C20" s="20"/>
      <c r="D20" s="138"/>
      <c r="E20" s="96"/>
      <c r="F20" s="139"/>
      <c r="G20" s="95"/>
      <c r="H20" s="139"/>
      <c r="I20" s="96"/>
      <c r="J20" s="140"/>
      <c r="K20" s="206"/>
      <c r="L20" s="206"/>
      <c r="M20" s="240"/>
      <c r="N20" s="98"/>
      <c r="O20" s="141"/>
      <c r="P20" s="264"/>
      <c r="Q20" s="142"/>
      <c r="R20" s="207"/>
      <c r="S20" s="274"/>
      <c r="T20" s="143"/>
      <c r="U20" s="99"/>
      <c r="V20" s="144"/>
      <c r="W20" s="173"/>
      <c r="X20" s="208"/>
      <c r="Y20" s="276"/>
      <c r="Z20" s="29"/>
      <c r="AA20" s="100"/>
      <c r="AB20" s="145"/>
      <c r="AC20" s="216"/>
      <c r="AD20" s="176"/>
      <c r="AE20" s="216"/>
      <c r="AF20" s="216"/>
      <c r="AG20" s="216"/>
      <c r="AH20" s="216"/>
      <c r="AI20" s="216"/>
      <c r="AJ20" s="176"/>
      <c r="AK20" s="216"/>
      <c r="AL20" s="216"/>
      <c r="AM20" s="216"/>
      <c r="AN20" s="176"/>
      <c r="AO20" s="176"/>
      <c r="AP20" s="176"/>
      <c r="AQ20" s="182"/>
      <c r="AR20" s="278"/>
      <c r="AS20" s="66"/>
      <c r="AT20" s="116"/>
      <c r="AU20" s="115"/>
      <c r="AV20" s="252"/>
      <c r="AW20" s="253"/>
      <c r="AX20" s="254"/>
      <c r="AY20" s="255"/>
      <c r="AZ20" s="256"/>
      <c r="BA20" s="257"/>
      <c r="BB20" s="114"/>
      <c r="BC20" s="146"/>
      <c r="BD20" s="146"/>
      <c r="BE20" s="147"/>
      <c r="BF20" s="99"/>
      <c r="BG20" s="148"/>
      <c r="BH20" s="148"/>
      <c r="BI20" s="149"/>
      <c r="BJ20" s="4"/>
    </row>
    <row r="21" spans="1:62" ht="13.8" thickBot="1" x14ac:dyDescent="0.3">
      <c r="A21" s="3"/>
      <c r="B21" s="101">
        <v>45761</v>
      </c>
      <c r="C21" s="20"/>
      <c r="D21" s="138"/>
      <c r="E21" s="96"/>
      <c r="F21" s="139"/>
      <c r="G21" s="95"/>
      <c r="H21" s="139"/>
      <c r="I21" s="96"/>
      <c r="J21" s="140"/>
      <c r="K21" s="206"/>
      <c r="L21" s="206"/>
      <c r="M21" s="240"/>
      <c r="N21" s="98"/>
      <c r="O21" s="141"/>
      <c r="P21" s="264"/>
      <c r="Q21" s="142"/>
      <c r="R21" s="207"/>
      <c r="S21" s="274"/>
      <c r="T21" s="143"/>
      <c r="U21" s="99"/>
      <c r="V21" s="144"/>
      <c r="W21" s="173"/>
      <c r="X21" s="208"/>
      <c r="Y21" s="276"/>
      <c r="Z21" s="29"/>
      <c r="AA21" s="100"/>
      <c r="AB21" s="145"/>
      <c r="AC21" s="216"/>
      <c r="AD21" s="176"/>
      <c r="AE21" s="216"/>
      <c r="AF21" s="216"/>
      <c r="AG21" s="216"/>
      <c r="AH21" s="216"/>
      <c r="AI21" s="216"/>
      <c r="AJ21" s="176"/>
      <c r="AK21" s="216"/>
      <c r="AL21" s="216"/>
      <c r="AM21" s="216"/>
      <c r="AN21" s="176"/>
      <c r="AO21" s="176"/>
      <c r="AP21" s="176"/>
      <c r="AQ21" s="182"/>
      <c r="AR21" s="278"/>
      <c r="AS21" s="66"/>
      <c r="AT21" s="116"/>
      <c r="AU21" s="115"/>
      <c r="AV21" s="252"/>
      <c r="AW21" s="253"/>
      <c r="AX21" s="254"/>
      <c r="AY21" s="255"/>
      <c r="AZ21" s="256"/>
      <c r="BA21" s="257"/>
      <c r="BB21" s="114"/>
      <c r="BC21" s="146"/>
      <c r="BD21" s="146"/>
      <c r="BE21" s="147"/>
      <c r="BF21" s="99"/>
      <c r="BG21" s="148"/>
      <c r="BH21" s="148"/>
      <c r="BI21" s="149"/>
      <c r="BJ21" s="4"/>
    </row>
    <row r="22" spans="1:62" ht="13.8" thickBot="1" x14ac:dyDescent="0.3">
      <c r="A22" s="3"/>
      <c r="B22" s="101">
        <v>45762</v>
      </c>
      <c r="C22" s="20"/>
      <c r="D22" s="138"/>
      <c r="E22" s="96"/>
      <c r="F22" s="139"/>
      <c r="G22" s="95"/>
      <c r="H22" s="139"/>
      <c r="I22" s="96"/>
      <c r="J22" s="140"/>
      <c r="K22" s="206"/>
      <c r="L22" s="206"/>
      <c r="M22" s="240"/>
      <c r="N22" s="98"/>
      <c r="O22" s="141"/>
      <c r="P22" s="264"/>
      <c r="Q22" s="142"/>
      <c r="R22" s="207"/>
      <c r="S22" s="274"/>
      <c r="T22" s="143"/>
      <c r="U22" s="99"/>
      <c r="V22" s="144"/>
      <c r="W22" s="173"/>
      <c r="X22" s="208"/>
      <c r="Y22" s="276"/>
      <c r="Z22" s="29"/>
      <c r="AA22" s="100"/>
      <c r="AB22" s="145"/>
      <c r="AC22" s="216"/>
      <c r="AD22" s="176"/>
      <c r="AE22" s="216"/>
      <c r="AF22" s="216"/>
      <c r="AG22" s="216"/>
      <c r="AH22" s="216"/>
      <c r="AI22" s="216"/>
      <c r="AJ22" s="176"/>
      <c r="AK22" s="216"/>
      <c r="AL22" s="216"/>
      <c r="AM22" s="216"/>
      <c r="AN22" s="176"/>
      <c r="AO22" s="176"/>
      <c r="AP22" s="176"/>
      <c r="AQ22" s="182"/>
      <c r="AR22" s="278"/>
      <c r="AS22" s="66"/>
      <c r="AT22" s="116"/>
      <c r="AU22" s="115"/>
      <c r="AV22" s="252"/>
      <c r="AW22" s="253"/>
      <c r="AX22" s="254"/>
      <c r="AY22" s="255"/>
      <c r="AZ22" s="256"/>
      <c r="BA22" s="257"/>
      <c r="BB22" s="114"/>
      <c r="BC22" s="146"/>
      <c r="BD22" s="146"/>
      <c r="BE22" s="147"/>
      <c r="BF22" s="99"/>
      <c r="BG22" s="148"/>
      <c r="BH22" s="148"/>
      <c r="BI22" s="149"/>
      <c r="BJ22" s="4"/>
    </row>
    <row r="23" spans="1:62" ht="15" customHeight="1" thickBot="1" x14ac:dyDescent="0.3">
      <c r="A23" s="3"/>
      <c r="B23" s="101">
        <v>45763</v>
      </c>
      <c r="C23" s="20"/>
      <c r="D23" s="138"/>
      <c r="E23" s="96"/>
      <c r="F23" s="139"/>
      <c r="G23" s="95"/>
      <c r="H23" s="139"/>
      <c r="I23" s="96"/>
      <c r="J23" s="140"/>
      <c r="K23" s="206"/>
      <c r="L23" s="206"/>
      <c r="M23" s="240"/>
      <c r="N23" s="98"/>
      <c r="O23" s="141"/>
      <c r="P23" s="264"/>
      <c r="Q23" s="142"/>
      <c r="R23" s="207"/>
      <c r="S23" s="274"/>
      <c r="T23" s="143"/>
      <c r="U23" s="99"/>
      <c r="V23" s="144"/>
      <c r="W23" s="173"/>
      <c r="X23" s="208"/>
      <c r="Y23" s="276"/>
      <c r="Z23" s="29"/>
      <c r="AA23" s="100"/>
      <c r="AB23" s="145"/>
      <c r="AC23" s="216"/>
      <c r="AD23" s="176"/>
      <c r="AE23" s="216"/>
      <c r="AF23" s="216"/>
      <c r="AG23" s="216"/>
      <c r="AH23" s="216"/>
      <c r="AI23" s="216"/>
      <c r="AJ23" s="176"/>
      <c r="AK23" s="216"/>
      <c r="AL23" s="216"/>
      <c r="AM23" s="216"/>
      <c r="AN23" s="176"/>
      <c r="AO23" s="176"/>
      <c r="AP23" s="176"/>
      <c r="AQ23" s="182"/>
      <c r="AR23" s="278"/>
      <c r="AS23" s="66"/>
      <c r="AT23" s="116"/>
      <c r="AU23" s="115"/>
      <c r="AV23" s="252"/>
      <c r="AW23" s="253"/>
      <c r="AX23" s="254"/>
      <c r="AY23" s="255"/>
      <c r="AZ23" s="256"/>
      <c r="BA23" s="257"/>
      <c r="BB23" s="114"/>
      <c r="BC23" s="146"/>
      <c r="BD23" s="146"/>
      <c r="BE23" s="147"/>
      <c r="BF23" s="99"/>
      <c r="BG23" s="148"/>
      <c r="BH23" s="148"/>
      <c r="BI23" s="149"/>
      <c r="BJ23" s="4"/>
    </row>
    <row r="24" spans="1:62" ht="13.8" thickBot="1" x14ac:dyDescent="0.3">
      <c r="A24" s="3"/>
      <c r="B24" s="101">
        <v>45764</v>
      </c>
      <c r="C24" s="20"/>
      <c r="D24" s="138"/>
      <c r="E24" s="96"/>
      <c r="F24" s="139"/>
      <c r="G24" s="95"/>
      <c r="H24" s="139"/>
      <c r="I24" s="96"/>
      <c r="J24" s="140"/>
      <c r="K24" s="206"/>
      <c r="L24" s="206"/>
      <c r="M24" s="240"/>
      <c r="N24" s="98"/>
      <c r="O24" s="141"/>
      <c r="P24" s="264"/>
      <c r="Q24" s="142"/>
      <c r="R24" s="207"/>
      <c r="S24" s="274"/>
      <c r="T24" s="143"/>
      <c r="U24" s="99"/>
      <c r="V24" s="144"/>
      <c r="W24" s="173"/>
      <c r="X24" s="208"/>
      <c r="Y24" s="276"/>
      <c r="Z24" s="29"/>
      <c r="AA24" s="100"/>
      <c r="AB24" s="145"/>
      <c r="AC24" s="216"/>
      <c r="AD24" s="176"/>
      <c r="AE24" s="216"/>
      <c r="AF24" s="216"/>
      <c r="AG24" s="216"/>
      <c r="AH24" s="216"/>
      <c r="AI24" s="216"/>
      <c r="AJ24" s="176"/>
      <c r="AK24" s="216"/>
      <c r="AL24" s="216"/>
      <c r="AM24" s="216"/>
      <c r="AN24" s="176"/>
      <c r="AO24" s="176"/>
      <c r="AP24" s="176"/>
      <c r="AQ24" s="182"/>
      <c r="AR24" s="278"/>
      <c r="AS24" s="66"/>
      <c r="AT24" s="116"/>
      <c r="AU24" s="115"/>
      <c r="AV24" s="252"/>
      <c r="AW24" s="253"/>
      <c r="AX24" s="254"/>
      <c r="AY24" s="255"/>
      <c r="AZ24" s="256"/>
      <c r="BA24" s="257"/>
      <c r="BB24" s="114"/>
      <c r="BC24" s="146"/>
      <c r="BD24" s="146"/>
      <c r="BE24" s="147"/>
      <c r="BF24" s="99"/>
      <c r="BG24" s="148"/>
      <c r="BH24" s="148"/>
      <c r="BI24" s="149"/>
      <c r="BJ24" s="4"/>
    </row>
    <row r="25" spans="1:62" ht="13.8" thickBot="1" x14ac:dyDescent="0.3">
      <c r="A25" s="3"/>
      <c r="B25" s="101">
        <v>45765</v>
      </c>
      <c r="C25" s="20"/>
      <c r="D25" s="138"/>
      <c r="E25" s="96"/>
      <c r="F25" s="139"/>
      <c r="G25" s="95"/>
      <c r="H25" s="139"/>
      <c r="I25" s="96"/>
      <c r="J25" s="140"/>
      <c r="K25" s="206"/>
      <c r="L25" s="206"/>
      <c r="M25" s="240"/>
      <c r="N25" s="98"/>
      <c r="O25" s="141"/>
      <c r="P25" s="264"/>
      <c r="Q25" s="142"/>
      <c r="R25" s="207"/>
      <c r="S25" s="274"/>
      <c r="T25" s="143"/>
      <c r="U25" s="99"/>
      <c r="V25" s="144"/>
      <c r="W25" s="173"/>
      <c r="X25" s="208"/>
      <c r="Y25" s="276"/>
      <c r="Z25" s="29"/>
      <c r="AA25" s="100"/>
      <c r="AB25" s="145"/>
      <c r="AC25" s="216"/>
      <c r="AD25" s="176"/>
      <c r="AE25" s="216"/>
      <c r="AF25" s="216"/>
      <c r="AG25" s="216"/>
      <c r="AH25" s="216"/>
      <c r="AI25" s="216"/>
      <c r="AJ25" s="176"/>
      <c r="AK25" s="216"/>
      <c r="AL25" s="216"/>
      <c r="AM25" s="216"/>
      <c r="AN25" s="176"/>
      <c r="AO25" s="176"/>
      <c r="AP25" s="176"/>
      <c r="AQ25" s="182"/>
      <c r="AR25" s="278"/>
      <c r="AS25" s="66"/>
      <c r="AT25" s="116"/>
      <c r="AU25" s="115"/>
      <c r="AV25" s="252"/>
      <c r="AW25" s="253"/>
      <c r="AX25" s="254"/>
      <c r="AY25" s="255"/>
      <c r="AZ25" s="256"/>
      <c r="BA25" s="257"/>
      <c r="BB25" s="114"/>
      <c r="BC25" s="146"/>
      <c r="BD25" s="146"/>
      <c r="BE25" s="147"/>
      <c r="BF25" s="99"/>
      <c r="BG25" s="148"/>
      <c r="BH25" s="148"/>
      <c r="BI25" s="149"/>
      <c r="BJ25" s="4"/>
    </row>
    <row r="26" spans="1:62" ht="12.75" customHeight="1" thickBot="1" x14ac:dyDescent="0.3">
      <c r="A26" s="3"/>
      <c r="B26" s="101">
        <v>45766</v>
      </c>
      <c r="C26" s="20"/>
      <c r="D26" s="138"/>
      <c r="E26" s="96"/>
      <c r="F26" s="139"/>
      <c r="G26" s="95"/>
      <c r="H26" s="139"/>
      <c r="I26" s="96"/>
      <c r="J26" s="140"/>
      <c r="K26" s="206"/>
      <c r="L26" s="206"/>
      <c r="M26" s="240"/>
      <c r="N26" s="98"/>
      <c r="O26" s="141"/>
      <c r="P26" s="264"/>
      <c r="Q26" s="142"/>
      <c r="R26" s="207"/>
      <c r="S26" s="274"/>
      <c r="T26" s="143"/>
      <c r="U26" s="99"/>
      <c r="V26" s="144"/>
      <c r="W26" s="173"/>
      <c r="X26" s="208"/>
      <c r="Y26" s="276"/>
      <c r="Z26" s="29"/>
      <c r="AA26" s="100"/>
      <c r="AB26" s="145"/>
      <c r="AC26" s="216"/>
      <c r="AD26" s="176"/>
      <c r="AE26" s="216"/>
      <c r="AF26" s="216"/>
      <c r="AG26" s="216"/>
      <c r="AH26" s="216"/>
      <c r="AI26" s="216"/>
      <c r="AJ26" s="176"/>
      <c r="AK26" s="216"/>
      <c r="AL26" s="216"/>
      <c r="AM26" s="216"/>
      <c r="AN26" s="176"/>
      <c r="AO26" s="176"/>
      <c r="AP26" s="176"/>
      <c r="AQ26" s="182"/>
      <c r="AR26" s="278"/>
      <c r="AS26" s="66"/>
      <c r="AT26" s="116"/>
      <c r="AU26" s="115"/>
      <c r="AV26" s="252"/>
      <c r="AW26" s="253"/>
      <c r="AX26" s="254"/>
      <c r="AY26" s="255"/>
      <c r="AZ26" s="256"/>
      <c r="BA26" s="257"/>
      <c r="BB26" s="114"/>
      <c r="BC26" s="146"/>
      <c r="BD26" s="146"/>
      <c r="BE26" s="147"/>
      <c r="BF26" s="99"/>
      <c r="BG26" s="148"/>
      <c r="BH26" s="148"/>
      <c r="BI26" s="149"/>
      <c r="BJ26" s="4"/>
    </row>
    <row r="27" spans="1:62" ht="13.8" thickBot="1" x14ac:dyDescent="0.3">
      <c r="A27" s="3"/>
      <c r="B27" s="101">
        <v>45767</v>
      </c>
      <c r="C27" s="20"/>
      <c r="D27" s="138"/>
      <c r="E27" s="96"/>
      <c r="F27" s="139"/>
      <c r="G27" s="95"/>
      <c r="H27" s="139"/>
      <c r="I27" s="96"/>
      <c r="J27" s="140"/>
      <c r="K27" s="206"/>
      <c r="L27" s="206"/>
      <c r="M27" s="240"/>
      <c r="N27" s="98"/>
      <c r="O27" s="141"/>
      <c r="P27" s="264"/>
      <c r="Q27" s="142"/>
      <c r="R27" s="207"/>
      <c r="S27" s="274"/>
      <c r="T27" s="143"/>
      <c r="U27" s="99"/>
      <c r="V27" s="144"/>
      <c r="W27" s="173"/>
      <c r="X27" s="208"/>
      <c r="Y27" s="276"/>
      <c r="Z27" s="29"/>
      <c r="AA27" s="100"/>
      <c r="AB27" s="145"/>
      <c r="AC27" s="216"/>
      <c r="AD27" s="176"/>
      <c r="AE27" s="216"/>
      <c r="AF27" s="216"/>
      <c r="AG27" s="216"/>
      <c r="AH27" s="216"/>
      <c r="AI27" s="216"/>
      <c r="AJ27" s="176"/>
      <c r="AK27" s="216"/>
      <c r="AL27" s="216"/>
      <c r="AM27" s="216"/>
      <c r="AN27" s="176"/>
      <c r="AO27" s="176"/>
      <c r="AP27" s="176"/>
      <c r="AQ27" s="182"/>
      <c r="AR27" s="278"/>
      <c r="AS27" s="66"/>
      <c r="AT27" s="116"/>
      <c r="AU27" s="115"/>
      <c r="AV27" s="252"/>
      <c r="AW27" s="253"/>
      <c r="AX27" s="254"/>
      <c r="AY27" s="255"/>
      <c r="AZ27" s="256"/>
      <c r="BA27" s="257"/>
      <c r="BB27" s="114"/>
      <c r="BC27" s="146"/>
      <c r="BD27" s="146"/>
      <c r="BE27" s="147"/>
      <c r="BF27" s="99"/>
      <c r="BG27" s="148"/>
      <c r="BH27" s="148"/>
      <c r="BI27" s="149"/>
      <c r="BJ27" s="4"/>
    </row>
    <row r="28" spans="1:62" ht="13.8" thickBot="1" x14ac:dyDescent="0.3">
      <c r="A28" s="3"/>
      <c r="B28" s="101">
        <v>45768</v>
      </c>
      <c r="C28" s="20"/>
      <c r="D28" s="138"/>
      <c r="E28" s="96"/>
      <c r="F28" s="139"/>
      <c r="G28" s="95"/>
      <c r="H28" s="139"/>
      <c r="I28" s="96"/>
      <c r="J28" s="140"/>
      <c r="K28" s="206"/>
      <c r="L28" s="206"/>
      <c r="M28" s="240"/>
      <c r="N28" s="98"/>
      <c r="O28" s="141"/>
      <c r="P28" s="264"/>
      <c r="Q28" s="142"/>
      <c r="R28" s="207"/>
      <c r="S28" s="274"/>
      <c r="T28" s="143"/>
      <c r="U28" s="99"/>
      <c r="V28" s="144"/>
      <c r="W28" s="173"/>
      <c r="X28" s="208"/>
      <c r="Y28" s="276"/>
      <c r="Z28" s="29"/>
      <c r="AA28" s="100"/>
      <c r="AB28" s="145"/>
      <c r="AC28" s="216"/>
      <c r="AD28" s="176"/>
      <c r="AE28" s="216"/>
      <c r="AF28" s="216"/>
      <c r="AG28" s="216"/>
      <c r="AH28" s="216"/>
      <c r="AI28" s="216"/>
      <c r="AJ28" s="176"/>
      <c r="AK28" s="216"/>
      <c r="AL28" s="216"/>
      <c r="AM28" s="216"/>
      <c r="AN28" s="176"/>
      <c r="AO28" s="176"/>
      <c r="AP28" s="176"/>
      <c r="AQ28" s="182"/>
      <c r="AR28" s="278"/>
      <c r="AS28" s="66"/>
      <c r="AT28" s="116"/>
      <c r="AU28" s="115"/>
      <c r="AV28" s="252"/>
      <c r="AW28" s="253"/>
      <c r="AX28" s="254"/>
      <c r="AY28" s="255"/>
      <c r="AZ28" s="256"/>
      <c r="BA28" s="257"/>
      <c r="BB28" s="114"/>
      <c r="BC28" s="146"/>
      <c r="BD28" s="146"/>
      <c r="BE28" s="147"/>
      <c r="BF28" s="99"/>
      <c r="BG28" s="148"/>
      <c r="BH28" s="148"/>
      <c r="BI28" s="149"/>
      <c r="BJ28" s="4"/>
    </row>
    <row r="29" spans="1:62" ht="13.8" thickBot="1" x14ac:dyDescent="0.3">
      <c r="A29" s="3"/>
      <c r="B29" s="101">
        <v>45769</v>
      </c>
      <c r="C29" s="20"/>
      <c r="D29" s="138"/>
      <c r="E29" s="96"/>
      <c r="F29" s="139"/>
      <c r="G29" s="95"/>
      <c r="H29" s="139"/>
      <c r="I29" s="96"/>
      <c r="J29" s="140"/>
      <c r="K29" s="206"/>
      <c r="L29" s="206"/>
      <c r="M29" s="240"/>
      <c r="N29" s="98"/>
      <c r="O29" s="141"/>
      <c r="P29" s="264"/>
      <c r="Q29" s="142"/>
      <c r="R29" s="207"/>
      <c r="S29" s="274"/>
      <c r="T29" s="143"/>
      <c r="U29" s="99"/>
      <c r="V29" s="144"/>
      <c r="W29" s="173"/>
      <c r="X29" s="208"/>
      <c r="Y29" s="276"/>
      <c r="Z29" s="29"/>
      <c r="AA29" s="100"/>
      <c r="AB29" s="145"/>
      <c r="AC29" s="216"/>
      <c r="AD29" s="176"/>
      <c r="AE29" s="216"/>
      <c r="AF29" s="216"/>
      <c r="AG29" s="216"/>
      <c r="AH29" s="216"/>
      <c r="AI29" s="216"/>
      <c r="AJ29" s="176"/>
      <c r="AK29" s="216"/>
      <c r="AL29" s="216"/>
      <c r="AM29" s="216"/>
      <c r="AN29" s="176"/>
      <c r="AO29" s="176"/>
      <c r="AP29" s="176"/>
      <c r="AQ29" s="182"/>
      <c r="AR29" s="278"/>
      <c r="AS29" s="66"/>
      <c r="AT29" s="116"/>
      <c r="AU29" s="115"/>
      <c r="AV29" s="252"/>
      <c r="AW29" s="253"/>
      <c r="AX29" s="254"/>
      <c r="AY29" s="255"/>
      <c r="AZ29" s="256"/>
      <c r="BA29" s="257"/>
      <c r="BB29" s="114"/>
      <c r="BC29" s="146"/>
      <c r="BD29" s="146"/>
      <c r="BE29" s="147"/>
      <c r="BF29" s="99"/>
      <c r="BG29" s="148"/>
      <c r="BH29" s="148"/>
      <c r="BI29" s="149"/>
      <c r="BJ29" s="4"/>
    </row>
    <row r="30" spans="1:62" ht="13.8" thickBot="1" x14ac:dyDescent="0.3">
      <c r="A30" s="3"/>
      <c r="B30" s="101">
        <v>45770</v>
      </c>
      <c r="C30" s="20"/>
      <c r="D30" s="138"/>
      <c r="E30" s="96"/>
      <c r="F30" s="139"/>
      <c r="G30" s="95"/>
      <c r="H30" s="139"/>
      <c r="I30" s="96"/>
      <c r="J30" s="140"/>
      <c r="K30" s="206"/>
      <c r="L30" s="206"/>
      <c r="M30" s="240"/>
      <c r="N30" s="98"/>
      <c r="O30" s="141"/>
      <c r="P30" s="264"/>
      <c r="Q30" s="142"/>
      <c r="R30" s="207"/>
      <c r="S30" s="274"/>
      <c r="T30" s="143"/>
      <c r="U30" s="99"/>
      <c r="V30" s="144"/>
      <c r="W30" s="173"/>
      <c r="X30" s="208"/>
      <c r="Y30" s="276"/>
      <c r="Z30" s="29"/>
      <c r="AA30" s="100"/>
      <c r="AB30" s="145"/>
      <c r="AC30" s="216"/>
      <c r="AD30" s="176"/>
      <c r="AE30" s="216"/>
      <c r="AF30" s="216"/>
      <c r="AG30" s="216"/>
      <c r="AH30" s="216"/>
      <c r="AI30" s="216"/>
      <c r="AJ30" s="176"/>
      <c r="AK30" s="216"/>
      <c r="AL30" s="216"/>
      <c r="AM30" s="216"/>
      <c r="AN30" s="176"/>
      <c r="AO30" s="176"/>
      <c r="AP30" s="176"/>
      <c r="AQ30" s="182"/>
      <c r="AR30" s="278"/>
      <c r="AS30" s="66"/>
      <c r="AT30" s="116"/>
      <c r="AU30" s="115"/>
      <c r="AV30" s="252"/>
      <c r="AW30" s="253"/>
      <c r="AX30" s="254"/>
      <c r="AY30" s="255"/>
      <c r="AZ30" s="256"/>
      <c r="BA30" s="257"/>
      <c r="BB30" s="114"/>
      <c r="BC30" s="146"/>
      <c r="BD30" s="146"/>
      <c r="BE30" s="147"/>
      <c r="BF30" s="99"/>
      <c r="BG30" s="148"/>
      <c r="BH30" s="148"/>
      <c r="BI30" s="149"/>
      <c r="BJ30" s="4"/>
    </row>
    <row r="31" spans="1:62" ht="13.8" thickBot="1" x14ac:dyDescent="0.3">
      <c r="A31" s="3"/>
      <c r="B31" s="101">
        <v>45771</v>
      </c>
      <c r="C31" s="20"/>
      <c r="D31" s="138"/>
      <c r="E31" s="96"/>
      <c r="F31" s="139"/>
      <c r="G31" s="95"/>
      <c r="H31" s="139"/>
      <c r="I31" s="96"/>
      <c r="J31" s="140"/>
      <c r="K31" s="206"/>
      <c r="L31" s="206"/>
      <c r="M31" s="240"/>
      <c r="N31" s="98"/>
      <c r="O31" s="141"/>
      <c r="P31" s="264"/>
      <c r="Q31" s="142"/>
      <c r="R31" s="207"/>
      <c r="S31" s="274"/>
      <c r="T31" s="143"/>
      <c r="U31" s="99"/>
      <c r="V31" s="144"/>
      <c r="W31" s="173"/>
      <c r="X31" s="208"/>
      <c r="Y31" s="276"/>
      <c r="Z31" s="29"/>
      <c r="AA31" s="100"/>
      <c r="AB31" s="145"/>
      <c r="AC31" s="216"/>
      <c r="AD31" s="176"/>
      <c r="AE31" s="216"/>
      <c r="AF31" s="216"/>
      <c r="AG31" s="216"/>
      <c r="AH31" s="216"/>
      <c r="AI31" s="216"/>
      <c r="AJ31" s="176"/>
      <c r="AK31" s="216"/>
      <c r="AL31" s="216"/>
      <c r="AM31" s="216"/>
      <c r="AN31" s="176"/>
      <c r="AO31" s="176"/>
      <c r="AP31" s="176"/>
      <c r="AQ31" s="182"/>
      <c r="AR31" s="278"/>
      <c r="AS31" s="66"/>
      <c r="AT31" s="116"/>
      <c r="AU31" s="115"/>
      <c r="AV31" s="252"/>
      <c r="AW31" s="253"/>
      <c r="AX31" s="254"/>
      <c r="AY31" s="255"/>
      <c r="AZ31" s="256"/>
      <c r="BA31" s="257"/>
      <c r="BB31" s="114"/>
      <c r="BC31" s="146"/>
      <c r="BD31" s="146"/>
      <c r="BE31" s="147"/>
      <c r="BF31" s="99"/>
      <c r="BG31" s="148"/>
      <c r="BH31" s="148"/>
      <c r="BI31" s="149"/>
      <c r="BJ31" s="4"/>
    </row>
    <row r="32" spans="1:62" ht="13.8" thickBot="1" x14ac:dyDescent="0.3">
      <c r="A32" s="3"/>
      <c r="B32" s="101">
        <v>45772</v>
      </c>
      <c r="C32" s="20"/>
      <c r="D32" s="138"/>
      <c r="E32" s="96"/>
      <c r="F32" s="139"/>
      <c r="G32" s="95"/>
      <c r="H32" s="139"/>
      <c r="I32" s="96"/>
      <c r="J32" s="140"/>
      <c r="K32" s="206"/>
      <c r="L32" s="206"/>
      <c r="M32" s="240"/>
      <c r="N32" s="98"/>
      <c r="O32" s="141"/>
      <c r="P32" s="264"/>
      <c r="Q32" s="142"/>
      <c r="R32" s="207"/>
      <c r="S32" s="274"/>
      <c r="T32" s="143"/>
      <c r="U32" s="99"/>
      <c r="V32" s="144"/>
      <c r="W32" s="173"/>
      <c r="X32" s="208"/>
      <c r="Y32" s="276"/>
      <c r="Z32" s="29"/>
      <c r="AA32" s="100"/>
      <c r="AB32" s="145"/>
      <c r="AC32" s="216"/>
      <c r="AD32" s="176"/>
      <c r="AE32" s="216"/>
      <c r="AF32" s="216"/>
      <c r="AG32" s="216"/>
      <c r="AH32" s="216"/>
      <c r="AI32" s="216"/>
      <c r="AJ32" s="176"/>
      <c r="AK32" s="216"/>
      <c r="AL32" s="216"/>
      <c r="AM32" s="216"/>
      <c r="AN32" s="176"/>
      <c r="AO32" s="176"/>
      <c r="AP32" s="176"/>
      <c r="AQ32" s="182"/>
      <c r="AR32" s="278"/>
      <c r="AS32" s="66"/>
      <c r="AT32" s="116"/>
      <c r="AU32" s="115"/>
      <c r="AV32" s="252"/>
      <c r="AW32" s="253"/>
      <c r="AX32" s="254"/>
      <c r="AY32" s="255"/>
      <c r="AZ32" s="256"/>
      <c r="BA32" s="257"/>
      <c r="BB32" s="114"/>
      <c r="BC32" s="146"/>
      <c r="BD32" s="146"/>
      <c r="BE32" s="147"/>
      <c r="BF32" s="99"/>
      <c r="BG32" s="148"/>
      <c r="BH32" s="148"/>
      <c r="BI32" s="149"/>
      <c r="BJ32" s="4"/>
    </row>
    <row r="33" spans="1:62" ht="13.8" thickBot="1" x14ac:dyDescent="0.3">
      <c r="A33" s="3"/>
      <c r="B33" s="101">
        <v>45773</v>
      </c>
      <c r="C33" s="20"/>
      <c r="D33" s="138"/>
      <c r="E33" s="96"/>
      <c r="F33" s="139"/>
      <c r="G33" s="95"/>
      <c r="H33" s="139"/>
      <c r="I33" s="96"/>
      <c r="J33" s="140"/>
      <c r="K33" s="206"/>
      <c r="L33" s="206"/>
      <c r="M33" s="240"/>
      <c r="N33" s="98"/>
      <c r="O33" s="141"/>
      <c r="P33" s="264"/>
      <c r="Q33" s="142"/>
      <c r="R33" s="207"/>
      <c r="S33" s="274"/>
      <c r="T33" s="143"/>
      <c r="U33" s="99"/>
      <c r="V33" s="144"/>
      <c r="W33" s="173"/>
      <c r="X33" s="208"/>
      <c r="Y33" s="276"/>
      <c r="Z33" s="29"/>
      <c r="AA33" s="100"/>
      <c r="AB33" s="145"/>
      <c r="AC33" s="216"/>
      <c r="AD33" s="176"/>
      <c r="AE33" s="216"/>
      <c r="AF33" s="216"/>
      <c r="AG33" s="216"/>
      <c r="AH33" s="216"/>
      <c r="AI33" s="216"/>
      <c r="AJ33" s="176"/>
      <c r="AK33" s="216"/>
      <c r="AL33" s="216"/>
      <c r="AM33" s="216"/>
      <c r="AN33" s="176"/>
      <c r="AO33" s="176"/>
      <c r="AP33" s="176"/>
      <c r="AQ33" s="182"/>
      <c r="AR33" s="278"/>
      <c r="AS33" s="66"/>
      <c r="AT33" s="116"/>
      <c r="AU33" s="115"/>
      <c r="AV33" s="252"/>
      <c r="AW33" s="253"/>
      <c r="AX33" s="254"/>
      <c r="AY33" s="255"/>
      <c r="AZ33" s="256"/>
      <c r="BA33" s="257"/>
      <c r="BB33" s="114"/>
      <c r="BC33" s="146"/>
      <c r="BD33" s="146"/>
      <c r="BE33" s="147"/>
      <c r="BF33" s="99"/>
      <c r="BG33" s="148"/>
      <c r="BH33" s="148"/>
      <c r="BI33" s="149"/>
      <c r="BJ33" s="4"/>
    </row>
    <row r="34" spans="1:62" ht="13.8" thickBot="1" x14ac:dyDescent="0.3">
      <c r="A34" s="3"/>
      <c r="B34" s="101">
        <v>45774</v>
      </c>
      <c r="C34" s="20"/>
      <c r="D34" s="138"/>
      <c r="E34" s="96"/>
      <c r="F34" s="139"/>
      <c r="G34" s="95"/>
      <c r="H34" s="139"/>
      <c r="I34" s="96"/>
      <c r="J34" s="140"/>
      <c r="K34" s="206"/>
      <c r="L34" s="206"/>
      <c r="M34" s="240"/>
      <c r="N34" s="98"/>
      <c r="O34" s="141"/>
      <c r="P34" s="264"/>
      <c r="Q34" s="142"/>
      <c r="R34" s="207"/>
      <c r="S34" s="274"/>
      <c r="T34" s="143"/>
      <c r="U34" s="99"/>
      <c r="V34" s="144"/>
      <c r="W34" s="173"/>
      <c r="X34" s="208"/>
      <c r="Y34" s="276"/>
      <c r="Z34" s="29"/>
      <c r="AA34" s="100"/>
      <c r="AB34" s="145"/>
      <c r="AC34" s="216"/>
      <c r="AD34" s="176"/>
      <c r="AE34" s="216"/>
      <c r="AF34" s="216"/>
      <c r="AG34" s="216"/>
      <c r="AH34" s="216"/>
      <c r="AI34" s="216"/>
      <c r="AJ34" s="176"/>
      <c r="AK34" s="216"/>
      <c r="AL34" s="216"/>
      <c r="AM34" s="216"/>
      <c r="AN34" s="176"/>
      <c r="AO34" s="176"/>
      <c r="AP34" s="176"/>
      <c r="AQ34" s="182"/>
      <c r="AR34" s="278"/>
      <c r="AS34" s="66"/>
      <c r="AT34" s="116"/>
      <c r="AU34" s="115"/>
      <c r="AV34" s="252"/>
      <c r="AW34" s="253"/>
      <c r="AX34" s="254"/>
      <c r="AY34" s="255"/>
      <c r="AZ34" s="256"/>
      <c r="BA34" s="257"/>
      <c r="BB34" s="114"/>
      <c r="BC34" s="146"/>
      <c r="BD34" s="146"/>
      <c r="BE34" s="147"/>
      <c r="BF34" s="99"/>
      <c r="BG34" s="148"/>
      <c r="BH34" s="148"/>
      <c r="BI34" s="149"/>
      <c r="BJ34" s="4"/>
    </row>
    <row r="35" spans="1:62" ht="13.8" thickBot="1" x14ac:dyDescent="0.3">
      <c r="A35" s="3"/>
      <c r="B35" s="101">
        <v>45775</v>
      </c>
      <c r="C35" s="20"/>
      <c r="D35" s="138"/>
      <c r="E35" s="96"/>
      <c r="F35" s="139"/>
      <c r="G35" s="95"/>
      <c r="H35" s="139"/>
      <c r="I35" s="96"/>
      <c r="J35" s="140"/>
      <c r="K35" s="206"/>
      <c r="L35" s="206"/>
      <c r="M35" s="240"/>
      <c r="N35" s="98"/>
      <c r="O35" s="141"/>
      <c r="P35" s="264"/>
      <c r="Q35" s="142"/>
      <c r="R35" s="207"/>
      <c r="S35" s="274"/>
      <c r="T35" s="143"/>
      <c r="U35" s="99"/>
      <c r="V35" s="144"/>
      <c r="W35" s="173"/>
      <c r="X35" s="208"/>
      <c r="Y35" s="276"/>
      <c r="Z35" s="29"/>
      <c r="AA35" s="100"/>
      <c r="AB35" s="145"/>
      <c r="AC35" s="216"/>
      <c r="AD35" s="176"/>
      <c r="AE35" s="216"/>
      <c r="AF35" s="216"/>
      <c r="AG35" s="216"/>
      <c r="AH35" s="216"/>
      <c r="AI35" s="216"/>
      <c r="AJ35" s="176"/>
      <c r="AK35" s="216"/>
      <c r="AL35" s="216"/>
      <c r="AM35" s="216"/>
      <c r="AN35" s="176"/>
      <c r="AO35" s="176"/>
      <c r="AP35" s="176"/>
      <c r="AQ35" s="182"/>
      <c r="AR35" s="278"/>
      <c r="AS35" s="66"/>
      <c r="AT35" s="116"/>
      <c r="AU35" s="115"/>
      <c r="AV35" s="252"/>
      <c r="AW35" s="253"/>
      <c r="AX35" s="254"/>
      <c r="AY35" s="255"/>
      <c r="AZ35" s="256"/>
      <c r="BA35" s="257"/>
      <c r="BB35" s="114"/>
      <c r="BC35" s="146"/>
      <c r="BD35" s="146"/>
      <c r="BE35" s="147"/>
      <c r="BF35" s="99"/>
      <c r="BG35" s="148"/>
      <c r="BH35" s="148"/>
      <c r="BI35" s="149"/>
      <c r="BJ35" s="4"/>
    </row>
    <row r="36" spans="1:62" ht="13.8" thickBot="1" x14ac:dyDescent="0.3">
      <c r="A36" s="3"/>
      <c r="B36" s="101">
        <v>45776</v>
      </c>
      <c r="C36" s="20"/>
      <c r="D36" s="138"/>
      <c r="E36" s="96"/>
      <c r="F36" s="139"/>
      <c r="G36" s="95"/>
      <c r="H36" s="139"/>
      <c r="I36" s="96"/>
      <c r="J36" s="140"/>
      <c r="K36" s="206"/>
      <c r="L36" s="206"/>
      <c r="M36" s="240"/>
      <c r="N36" s="98"/>
      <c r="O36" s="141"/>
      <c r="P36" s="264"/>
      <c r="Q36" s="142"/>
      <c r="R36" s="207"/>
      <c r="S36" s="274"/>
      <c r="T36" s="143"/>
      <c r="U36" s="99"/>
      <c r="V36" s="144"/>
      <c r="W36" s="173"/>
      <c r="X36" s="208"/>
      <c r="Y36" s="276"/>
      <c r="Z36" s="29"/>
      <c r="AA36" s="100"/>
      <c r="AB36" s="145"/>
      <c r="AC36" s="216"/>
      <c r="AD36" s="176"/>
      <c r="AE36" s="216"/>
      <c r="AF36" s="216"/>
      <c r="AG36" s="216"/>
      <c r="AH36" s="216"/>
      <c r="AI36" s="216"/>
      <c r="AJ36" s="176"/>
      <c r="AK36" s="216"/>
      <c r="AL36" s="216"/>
      <c r="AM36" s="216"/>
      <c r="AN36" s="176"/>
      <c r="AO36" s="176"/>
      <c r="AP36" s="176"/>
      <c r="AQ36" s="182"/>
      <c r="AR36" s="278"/>
      <c r="AS36" s="66"/>
      <c r="AT36" s="116"/>
      <c r="AU36" s="115"/>
      <c r="AV36" s="252"/>
      <c r="AW36" s="253"/>
      <c r="AX36" s="254"/>
      <c r="AY36" s="255"/>
      <c r="AZ36" s="256"/>
      <c r="BA36" s="257"/>
      <c r="BB36" s="114"/>
      <c r="BC36" s="146"/>
      <c r="BD36" s="146"/>
      <c r="BE36" s="147"/>
      <c r="BF36" s="99"/>
      <c r="BG36" s="148"/>
      <c r="BH36" s="148"/>
      <c r="BI36" s="149"/>
      <c r="BJ36" s="4"/>
    </row>
    <row r="37" spans="1:62" ht="13.8" thickBot="1" x14ac:dyDescent="0.3">
      <c r="A37" s="3"/>
      <c r="B37" s="101">
        <v>45777</v>
      </c>
      <c r="C37" s="20"/>
      <c r="D37" s="138"/>
      <c r="E37" s="96"/>
      <c r="F37" s="139"/>
      <c r="G37" s="95"/>
      <c r="H37" s="139"/>
      <c r="I37" s="96"/>
      <c r="J37" s="140"/>
      <c r="K37" s="206"/>
      <c r="L37" s="206"/>
      <c r="M37" s="240"/>
      <c r="N37" s="98"/>
      <c r="O37" s="141"/>
      <c r="P37" s="264"/>
      <c r="Q37" s="142"/>
      <c r="R37" s="207"/>
      <c r="S37" s="274"/>
      <c r="T37" s="143"/>
      <c r="U37" s="99"/>
      <c r="V37" s="144"/>
      <c r="W37" s="173"/>
      <c r="X37" s="208"/>
      <c r="Y37" s="276"/>
      <c r="Z37" s="29"/>
      <c r="AA37" s="100"/>
      <c r="AB37" s="145"/>
      <c r="AC37" s="216"/>
      <c r="AD37" s="176"/>
      <c r="AE37" s="216"/>
      <c r="AF37" s="216"/>
      <c r="AG37" s="216"/>
      <c r="AH37" s="216"/>
      <c r="AI37" s="216"/>
      <c r="AJ37" s="176"/>
      <c r="AK37" s="216"/>
      <c r="AL37" s="216"/>
      <c r="AM37" s="216"/>
      <c r="AN37" s="176"/>
      <c r="AO37" s="176"/>
      <c r="AP37" s="176"/>
      <c r="AQ37" s="182"/>
      <c r="AR37" s="278"/>
      <c r="AS37" s="66"/>
      <c r="AT37" s="116"/>
      <c r="AU37" s="115"/>
      <c r="AV37" s="252"/>
      <c r="AW37" s="253"/>
      <c r="AX37" s="254"/>
      <c r="AY37" s="255"/>
      <c r="AZ37" s="256"/>
      <c r="BA37" s="257"/>
      <c r="BB37" s="114"/>
      <c r="BC37" s="146"/>
      <c r="BD37" s="146"/>
      <c r="BE37" s="147"/>
      <c r="BF37" s="99"/>
      <c r="BG37" s="148"/>
      <c r="BH37" s="148"/>
      <c r="BI37" s="149"/>
      <c r="BJ37" s="4"/>
    </row>
    <row r="38" spans="1:62" ht="27" customHeight="1" thickBot="1" x14ac:dyDescent="0.3">
      <c r="A38" s="3"/>
      <c r="B38" s="484" t="s">
        <v>13</v>
      </c>
      <c r="C38" s="23"/>
      <c r="D38" s="80">
        <f>AVERAGE(D8:D37)</f>
        <v>0.86573333333333335</v>
      </c>
      <c r="E38" s="97"/>
      <c r="F38" s="94">
        <f>SUM(F8:F37)</f>
        <v>1366.1271999999999</v>
      </c>
      <c r="G38" s="95"/>
      <c r="H38" s="94">
        <f>+SUM(H8:H37)</f>
        <v>640.28571428571422</v>
      </c>
      <c r="I38" s="23"/>
      <c r="J38" s="51">
        <f>SUM(J8:J37)</f>
        <v>103399.99999999418</v>
      </c>
      <c r="K38" s="52">
        <f>SUM(K8:K37)</f>
        <v>198281.89999999997</v>
      </c>
      <c r="L38" s="52">
        <f>SUM(L8:L37)</f>
        <v>78284.799999969255</v>
      </c>
      <c r="M38" s="31">
        <f>SUM(M8:M37)</f>
        <v>200595.99999998871</v>
      </c>
      <c r="N38" s="98"/>
      <c r="O38" s="49">
        <f t="shared" ref="O38:T38" si="19">SUM(O8:O37)</f>
        <v>0</v>
      </c>
      <c r="P38" s="85">
        <f t="shared" si="19"/>
        <v>251.90322580645162</v>
      </c>
      <c r="Q38" s="85">
        <f t="shared" si="19"/>
        <v>220</v>
      </c>
      <c r="R38" s="50">
        <f t="shared" si="19"/>
        <v>0</v>
      </c>
      <c r="S38" s="50">
        <f t="shared" si="19"/>
        <v>0</v>
      </c>
      <c r="T38" s="48">
        <f t="shared" si="19"/>
        <v>0</v>
      </c>
      <c r="U38" s="21"/>
      <c r="V38" s="53">
        <f>SUM(V8:V37)</f>
        <v>2284</v>
      </c>
      <c r="W38" s="54">
        <f>SUM(W8:W37)</f>
        <v>1480.4516129032259</v>
      </c>
      <c r="X38" s="54">
        <f>SUM(X8:X37)</f>
        <v>8067.2999999999993</v>
      </c>
      <c r="Y38" s="54">
        <f>SUM(Y8:Y37)</f>
        <v>4689.9000000000005</v>
      </c>
      <c r="Z38" s="29">
        <f>SUM(Z8:Z37)</f>
        <v>11648.4</v>
      </c>
      <c r="AA38" s="22"/>
      <c r="AB38" s="177">
        <f t="shared" ref="AB38:AS38" si="20">SUM(AB8:AB37)</f>
        <v>2000.7400000000002</v>
      </c>
      <c r="AC38" s="67">
        <f t="shared" si="20"/>
        <v>7462.7601999999997</v>
      </c>
      <c r="AD38" s="67">
        <f t="shared" si="20"/>
        <v>1462.5</v>
      </c>
      <c r="AE38" s="67">
        <f t="shared" si="20"/>
        <v>6259.5750000000007</v>
      </c>
      <c r="AF38" s="67">
        <f t="shared" si="20"/>
        <v>802.1400000000001</v>
      </c>
      <c r="AG38" s="67">
        <f t="shared" si="20"/>
        <v>2991.9822000000004</v>
      </c>
      <c r="AH38" s="67">
        <f t="shared" si="20"/>
        <v>830.904</v>
      </c>
      <c r="AI38" s="67">
        <f t="shared" si="20"/>
        <v>3323.616</v>
      </c>
      <c r="AJ38" s="67">
        <f t="shared" si="20"/>
        <v>487.5</v>
      </c>
      <c r="AK38" s="67">
        <f t="shared" si="20"/>
        <v>2086.5250000000001</v>
      </c>
      <c r="AL38" s="67">
        <f t="shared" si="20"/>
        <v>233.40000000000003</v>
      </c>
      <c r="AM38" s="67">
        <f t="shared" si="20"/>
        <v>870.58200000000011</v>
      </c>
      <c r="AN38" s="67">
        <f t="shared" si="20"/>
        <v>2831.6440000000002</v>
      </c>
      <c r="AO38" s="67">
        <f t="shared" si="20"/>
        <v>1035.54</v>
      </c>
      <c r="AP38" s="67">
        <f t="shared" si="20"/>
        <v>1950</v>
      </c>
      <c r="AQ38" s="67">
        <f t="shared" si="20"/>
        <v>7982.2258064516118</v>
      </c>
      <c r="AR38" s="67">
        <f t="shared" si="20"/>
        <v>3862.5641999999998</v>
      </c>
      <c r="AS38" s="66">
        <f t="shared" si="20"/>
        <v>10786.376200000001</v>
      </c>
      <c r="AT38" s="91"/>
      <c r="AU38" s="34"/>
      <c r="AV38" s="81">
        <f t="shared" ref="AV38:BA38" si="21">AVERAGE(AV8:AV37)</f>
        <v>75.883964387819063</v>
      </c>
      <c r="AW38" s="83">
        <f t="shared" si="21"/>
        <v>146.90503990075766</v>
      </c>
      <c r="AX38" s="81">
        <f t="shared" si="21"/>
        <v>1.6721697412539103</v>
      </c>
      <c r="AY38" s="82">
        <f t="shared" si="21"/>
        <v>8.5280656803949437</v>
      </c>
      <c r="AZ38" s="84">
        <f t="shared" si="21"/>
        <v>2.0754190199315978</v>
      </c>
      <c r="BA38" s="82">
        <f t="shared" si="21"/>
        <v>7.9056668754555446</v>
      </c>
      <c r="BB38" s="34"/>
      <c r="BC38" s="24">
        <f>SUM(BC8:BC37)</f>
        <v>86837.264199969257</v>
      </c>
      <c r="BD38" s="24">
        <f>SUM(BD8:BD37)</f>
        <v>214331.42580645159</v>
      </c>
      <c r="BE38" s="78">
        <f>SUM(BE8:BE37)</f>
        <v>223030.77619998873</v>
      </c>
      <c r="BF38" s="99"/>
      <c r="BG38" s="93">
        <f>BC38/'Reading.4.25'!AN36</f>
        <v>109.50474678432441</v>
      </c>
      <c r="BH38" s="93">
        <f>AVERAGE(BH8:BH37)</f>
        <v>334.74341379856344</v>
      </c>
      <c r="BI38" s="93">
        <f>AVERAGE(BI8:BI37)</f>
        <v>163.33877245660815</v>
      </c>
      <c r="BJ38" s="4"/>
    </row>
    <row r="39" spans="1:62" ht="7.5" customHeight="1" thickBot="1" x14ac:dyDescent="0.3">
      <c r="A39" s="5"/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60"/>
      <c r="O39" s="25"/>
      <c r="P39" s="25"/>
      <c r="Q39" s="25"/>
      <c r="R39" s="26"/>
      <c r="S39" s="26"/>
      <c r="T39" s="26"/>
      <c r="U39" s="26"/>
      <c r="V39" s="25"/>
      <c r="W39" s="25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92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26"/>
      <c r="BJ39" s="6"/>
    </row>
    <row r="40" spans="1:62" ht="13.8" thickTop="1" x14ac:dyDescent="0.25"/>
    <row r="41" spans="1:62" x14ac:dyDescent="0.25">
      <c r="M41" s="46"/>
      <c r="N41"/>
      <c r="T41" s="47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BG41" s="46"/>
      <c r="BH41" s="46"/>
    </row>
    <row r="42" spans="1:62" x14ac:dyDescent="0.25">
      <c r="M42" s="44"/>
      <c r="N42" s="44"/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</row>
  </sheetData>
  <mergeCells count="14">
    <mergeCell ref="BH5:BH6"/>
    <mergeCell ref="BC5:BC6"/>
    <mergeCell ref="BG5:BG6"/>
    <mergeCell ref="BI5:BI6"/>
    <mergeCell ref="A2:AS2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honeticPr fontId="7" type="noConversion"/>
  <pageMargins left="0.36" right="0.16" top="0.28999999999999998" bottom="0.39" header="0.28000000000000003" footer="0.34"/>
  <pageSetup paperSize="9" scale="23" fitToHeight="0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123"/>
  <sheetViews>
    <sheetView showGridLines="0" zoomScaleNormal="100" workbookViewId="0">
      <pane ySplit="9" topLeftCell="A10" activePane="bottomLeft" state="frozen"/>
      <selection activeCell="A9" sqref="A9"/>
      <selection pane="bottomLeft" activeCell="M6" sqref="M6"/>
    </sheetView>
  </sheetViews>
  <sheetFormatPr defaultColWidth="9.109375" defaultRowHeight="14.4" x14ac:dyDescent="0.3"/>
  <cols>
    <col min="1" max="1" width="6.109375" style="389" customWidth="1"/>
    <col min="2" max="6" width="10.33203125" style="364" customWidth="1"/>
    <col min="7" max="7" width="13.6640625" style="364" customWidth="1"/>
    <col min="8" max="8" width="10.33203125" style="415" customWidth="1"/>
    <col min="9" max="9" width="13.6640625" style="364" customWidth="1"/>
    <col min="10" max="12" width="10.33203125" style="364" customWidth="1"/>
    <col min="13" max="13" width="11.6640625" style="364" bestFit="1" customWidth="1"/>
    <col min="14" max="14" width="16.5546875" style="364" customWidth="1"/>
    <col min="15" max="15" width="17.33203125" style="364" customWidth="1"/>
    <col min="16" max="16" width="11" style="364" customWidth="1"/>
    <col min="17" max="16384" width="9.109375" style="364"/>
  </cols>
  <sheetData>
    <row r="1" spans="1:16" x14ac:dyDescent="0.3">
      <c r="A1" s="361"/>
      <c r="B1" s="362"/>
      <c r="C1" s="362"/>
      <c r="D1" s="362"/>
      <c r="E1" s="362"/>
      <c r="F1" s="362"/>
      <c r="G1" s="362"/>
      <c r="H1" s="386"/>
      <c r="I1" s="362"/>
      <c r="J1" s="362"/>
      <c r="K1" s="362"/>
      <c r="L1" s="362"/>
      <c r="M1" s="362"/>
      <c r="N1" s="362"/>
      <c r="O1" s="362"/>
    </row>
    <row r="2" spans="1:16" x14ac:dyDescent="0.3">
      <c r="A2" s="361"/>
      <c r="B2" s="362"/>
      <c r="C2" s="362"/>
      <c r="D2" s="362"/>
      <c r="E2" s="362"/>
      <c r="F2" s="362"/>
      <c r="G2" s="362"/>
      <c r="H2" s="386"/>
      <c r="I2" s="362"/>
      <c r="J2" s="362"/>
      <c r="K2" s="362"/>
      <c r="L2" s="362"/>
      <c r="M2" s="362"/>
      <c r="N2" s="362"/>
      <c r="O2" s="362"/>
    </row>
    <row r="3" spans="1:16" x14ac:dyDescent="0.3">
      <c r="A3" s="361"/>
      <c r="B3" s="362"/>
      <c r="C3" s="362"/>
      <c r="D3" s="362"/>
      <c r="E3" s="362"/>
      <c r="F3" s="362"/>
      <c r="G3" s="362"/>
      <c r="H3" s="386"/>
      <c r="I3" s="362"/>
      <c r="J3" s="362"/>
      <c r="K3" s="362"/>
      <c r="L3" s="362"/>
      <c r="M3" s="362"/>
      <c r="N3" s="362"/>
      <c r="O3" s="362"/>
    </row>
    <row r="4" spans="1:16" x14ac:dyDescent="0.3">
      <c r="A4" s="361"/>
      <c r="B4" s="362"/>
      <c r="C4" s="362"/>
      <c r="D4" s="362"/>
      <c r="E4" s="362"/>
      <c r="F4" s="362"/>
      <c r="G4" s="362"/>
      <c r="H4" s="386"/>
      <c r="I4" s="362"/>
      <c r="J4" s="362"/>
      <c r="K4" s="362"/>
      <c r="L4" s="362"/>
      <c r="M4" s="362"/>
      <c r="N4" s="362"/>
      <c r="O4" s="362"/>
    </row>
    <row r="5" spans="1:16" ht="20.399999999999999" x14ac:dyDescent="0.35">
      <c r="A5" s="365" t="s">
        <v>182</v>
      </c>
      <c r="B5" s="362"/>
      <c r="C5" s="362"/>
      <c r="D5" s="362"/>
      <c r="E5" s="362"/>
      <c r="F5" s="362"/>
      <c r="G5" s="362"/>
      <c r="H5" s="386"/>
      <c r="I5" s="362"/>
      <c r="J5" s="362"/>
      <c r="K5" s="362"/>
      <c r="L5" s="362"/>
      <c r="M5" s="362"/>
      <c r="N5" s="362"/>
      <c r="O5" s="362"/>
    </row>
    <row r="6" spans="1:16" ht="16.2" customHeight="1" x14ac:dyDescent="0.35">
      <c r="A6" s="365" t="s">
        <v>254</v>
      </c>
      <c r="B6" s="362"/>
      <c r="C6" s="362"/>
      <c r="D6" s="362"/>
      <c r="E6" s="362"/>
      <c r="F6" s="362"/>
      <c r="G6" s="362"/>
      <c r="H6" s="386"/>
      <c r="I6" s="362"/>
      <c r="J6" s="362"/>
      <c r="L6" s="367" t="s">
        <v>184</v>
      </c>
      <c r="M6" s="367" t="s">
        <v>284</v>
      </c>
      <c r="N6" s="368">
        <v>2025</v>
      </c>
      <c r="O6" s="362"/>
    </row>
    <row r="7" spans="1:16" ht="15" thickBot="1" x14ac:dyDescent="0.35">
      <c r="A7" s="361"/>
      <c r="B7" s="362"/>
      <c r="C7" s="362"/>
      <c r="D7" s="362"/>
      <c r="E7" s="362"/>
      <c r="F7" s="362"/>
      <c r="G7" s="362"/>
      <c r="H7" s="386"/>
      <c r="I7" s="362"/>
      <c r="J7" s="362"/>
      <c r="K7" s="362"/>
      <c r="L7" s="362"/>
      <c r="M7" s="362"/>
      <c r="N7" s="362"/>
      <c r="O7" s="362"/>
    </row>
    <row r="8" spans="1:16" ht="25.2" customHeight="1" x14ac:dyDescent="0.3">
      <c r="A8" s="467" t="s">
        <v>189</v>
      </c>
      <c r="B8" s="635" t="s">
        <v>255</v>
      </c>
      <c r="C8" s="636"/>
      <c r="D8" s="637" t="s">
        <v>217</v>
      </c>
      <c r="E8" s="638"/>
      <c r="F8" s="639"/>
      <c r="G8" s="408" t="s">
        <v>218</v>
      </c>
      <c r="H8" s="640" t="s">
        <v>192</v>
      </c>
      <c r="I8" s="642" t="s">
        <v>256</v>
      </c>
      <c r="J8" s="644" t="s">
        <v>193</v>
      </c>
      <c r="K8" s="646" t="s">
        <v>220</v>
      </c>
      <c r="L8" s="629" t="s">
        <v>195</v>
      </c>
      <c r="M8" s="631" t="s">
        <v>196</v>
      </c>
      <c r="N8" s="633" t="s">
        <v>257</v>
      </c>
      <c r="O8" s="362"/>
    </row>
    <row r="9" spans="1:16" ht="15" thickBot="1" x14ac:dyDescent="0.35">
      <c r="A9" s="468"/>
      <c r="B9" s="469" t="s">
        <v>258</v>
      </c>
      <c r="C9" s="470" t="s">
        <v>259</v>
      </c>
      <c r="D9" s="471" t="s">
        <v>227</v>
      </c>
      <c r="E9" s="411" t="s">
        <v>228</v>
      </c>
      <c r="F9" s="472" t="s">
        <v>260</v>
      </c>
      <c r="G9" s="413" t="s">
        <v>230</v>
      </c>
      <c r="H9" s="641"/>
      <c r="I9" s="643"/>
      <c r="J9" s="645"/>
      <c r="K9" s="647"/>
      <c r="L9" s="630"/>
      <c r="M9" s="632"/>
      <c r="N9" s="634"/>
      <c r="O9" s="362"/>
    </row>
    <row r="10" spans="1:16" x14ac:dyDescent="0.3">
      <c r="A10" s="382">
        <v>1</v>
      </c>
      <c r="B10" s="383"/>
      <c r="C10" s="383"/>
      <c r="D10" s="383"/>
      <c r="E10" s="383"/>
      <c r="F10" s="383"/>
      <c r="G10" s="383"/>
      <c r="H10" s="396"/>
      <c r="I10" s="383"/>
      <c r="J10" s="383"/>
      <c r="K10" s="383"/>
      <c r="L10" s="396"/>
      <c r="M10" s="396"/>
      <c r="N10" s="383"/>
      <c r="O10" s="362"/>
    </row>
    <row r="11" spans="1:16" x14ac:dyDescent="0.3">
      <c r="A11" s="385">
        <v>2</v>
      </c>
      <c r="B11" s="383"/>
      <c r="C11" s="383"/>
      <c r="D11" s="383"/>
      <c r="E11" s="383"/>
      <c r="F11" s="383"/>
      <c r="G11" s="383"/>
      <c r="H11" s="396"/>
      <c r="I11" s="383"/>
      <c r="J11" s="383"/>
      <c r="K11" s="383"/>
      <c r="L11" s="396"/>
      <c r="M11" s="396"/>
      <c r="N11" s="383"/>
      <c r="O11" s="362"/>
    </row>
    <row r="12" spans="1:16" x14ac:dyDescent="0.3">
      <c r="A12" s="382">
        <v>3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62"/>
    </row>
    <row r="13" spans="1:16" x14ac:dyDescent="0.3">
      <c r="A13" s="510">
        <v>4</v>
      </c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98"/>
      <c r="P13" s="398"/>
    </row>
    <row r="14" spans="1:16" x14ac:dyDescent="0.3">
      <c r="A14" s="382">
        <v>5</v>
      </c>
      <c r="B14" s="383"/>
      <c r="C14" s="383"/>
      <c r="D14" s="383"/>
      <c r="E14" s="383"/>
      <c r="F14" s="383"/>
      <c r="G14" s="383"/>
      <c r="H14" s="383"/>
      <c r="I14" s="383"/>
      <c r="J14" s="383"/>
      <c r="K14" s="383"/>
      <c r="L14" s="383"/>
      <c r="M14" s="383"/>
      <c r="N14" s="383"/>
    </row>
    <row r="15" spans="1:16" x14ac:dyDescent="0.3">
      <c r="A15" s="385">
        <v>6</v>
      </c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</row>
    <row r="16" spans="1:16" x14ac:dyDescent="0.3">
      <c r="A16" s="382">
        <v>7</v>
      </c>
      <c r="B16" s="383"/>
      <c r="C16" s="383"/>
      <c r="D16" s="383"/>
      <c r="E16" s="383"/>
      <c r="F16" s="383"/>
      <c r="G16" s="383"/>
      <c r="H16" s="383"/>
      <c r="I16" s="383"/>
      <c r="J16" s="383"/>
      <c r="K16" s="383"/>
      <c r="L16" s="383"/>
      <c r="M16" s="383"/>
      <c r="N16" s="383"/>
      <c r="O16" s="362"/>
    </row>
    <row r="17" spans="1:15" x14ac:dyDescent="0.3">
      <c r="A17" s="385">
        <v>8</v>
      </c>
      <c r="B17" s="383"/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  <c r="O17" s="362"/>
    </row>
    <row r="18" spans="1:15" x14ac:dyDescent="0.3">
      <c r="A18" s="382">
        <v>9</v>
      </c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62"/>
    </row>
    <row r="19" spans="1:15" x14ac:dyDescent="0.3">
      <c r="A19" s="385">
        <v>10</v>
      </c>
      <c r="B19" s="383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  <c r="O19" s="362"/>
    </row>
    <row r="20" spans="1:15" x14ac:dyDescent="0.3">
      <c r="A20" s="382">
        <v>11</v>
      </c>
      <c r="B20" s="383"/>
      <c r="C20" s="383"/>
      <c r="D20" s="383"/>
      <c r="E20" s="383"/>
      <c r="F20" s="383"/>
      <c r="G20" s="383"/>
      <c r="H20" s="383"/>
      <c r="I20" s="383"/>
      <c r="J20" s="383"/>
      <c r="K20" s="383"/>
      <c r="L20" s="383"/>
      <c r="M20" s="383"/>
      <c r="N20" s="383"/>
      <c r="O20" s="362"/>
    </row>
    <row r="21" spans="1:15" x14ac:dyDescent="0.3">
      <c r="A21" s="385">
        <v>12</v>
      </c>
      <c r="B21" s="383"/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  <c r="N21" s="383"/>
      <c r="O21" s="362"/>
    </row>
    <row r="22" spans="1:15" x14ac:dyDescent="0.3">
      <c r="A22" s="382">
        <v>13</v>
      </c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62"/>
    </row>
    <row r="23" spans="1:15" x14ac:dyDescent="0.3">
      <c r="A23" s="385">
        <v>14</v>
      </c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62"/>
    </row>
    <row r="24" spans="1:15" x14ac:dyDescent="0.3">
      <c r="A24" s="382">
        <v>15</v>
      </c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383"/>
      <c r="M24" s="383"/>
      <c r="N24" s="383"/>
      <c r="O24" s="362"/>
    </row>
    <row r="25" spans="1:15" x14ac:dyDescent="0.3">
      <c r="A25" s="385">
        <v>16</v>
      </c>
      <c r="B25" s="383"/>
      <c r="C25" s="383"/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  <c r="O25" s="362"/>
    </row>
    <row r="26" spans="1:15" x14ac:dyDescent="0.3">
      <c r="A26" s="382">
        <v>17</v>
      </c>
      <c r="B26" s="383"/>
      <c r="C26" s="383"/>
      <c r="D26" s="383"/>
      <c r="E26" s="383"/>
      <c r="F26" s="383"/>
      <c r="G26" s="383"/>
      <c r="H26" s="383"/>
      <c r="I26" s="383"/>
      <c r="J26" s="383"/>
      <c r="K26" s="383"/>
      <c r="L26" s="383"/>
      <c r="M26" s="383"/>
      <c r="N26" s="383"/>
      <c r="O26" s="362"/>
    </row>
    <row r="27" spans="1:15" x14ac:dyDescent="0.3">
      <c r="A27" s="385">
        <v>18</v>
      </c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549"/>
      <c r="O27" s="362"/>
    </row>
    <row r="28" spans="1:15" x14ac:dyDescent="0.3">
      <c r="A28" s="382">
        <v>19</v>
      </c>
      <c r="B28" s="383"/>
      <c r="C28" s="383"/>
      <c r="D28" s="383"/>
      <c r="E28" s="383"/>
      <c r="F28" s="383"/>
      <c r="G28" s="383"/>
      <c r="H28" s="383"/>
      <c r="I28" s="383"/>
      <c r="J28" s="383"/>
      <c r="K28" s="383"/>
      <c r="L28" s="383"/>
      <c r="M28" s="383"/>
      <c r="N28" s="383"/>
      <c r="O28" s="362"/>
    </row>
    <row r="29" spans="1:15" x14ac:dyDescent="0.3">
      <c r="A29" s="385">
        <v>20</v>
      </c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62"/>
    </row>
    <row r="30" spans="1:15" x14ac:dyDescent="0.3">
      <c r="A30" s="382">
        <v>21</v>
      </c>
      <c r="B30" s="383"/>
      <c r="C30" s="383"/>
      <c r="D30" s="383"/>
      <c r="E30" s="383"/>
      <c r="F30" s="383"/>
      <c r="G30" s="383"/>
      <c r="H30" s="383"/>
      <c r="I30" s="383"/>
      <c r="J30" s="383"/>
      <c r="K30" s="383"/>
      <c r="L30" s="383"/>
      <c r="M30" s="383"/>
      <c r="N30" s="383"/>
      <c r="O30" s="362"/>
    </row>
    <row r="31" spans="1:15" x14ac:dyDescent="0.3">
      <c r="A31" s="385">
        <v>22</v>
      </c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62"/>
    </row>
    <row r="32" spans="1:15" x14ac:dyDescent="0.3">
      <c r="A32" s="382">
        <v>23</v>
      </c>
      <c r="B32" s="383"/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62"/>
    </row>
    <row r="33" spans="1:15" x14ac:dyDescent="0.3">
      <c r="A33" s="385">
        <v>24</v>
      </c>
      <c r="B33" s="383"/>
      <c r="C33" s="383"/>
      <c r="D33" s="383"/>
      <c r="E33" s="383"/>
      <c r="F33" s="383"/>
      <c r="G33" s="383"/>
      <c r="H33" s="383"/>
      <c r="I33" s="383"/>
      <c r="J33" s="383"/>
      <c r="K33" s="383"/>
      <c r="L33" s="383"/>
      <c r="M33" s="383"/>
      <c r="N33" s="383"/>
      <c r="O33" s="509"/>
    </row>
    <row r="34" spans="1:15" x14ac:dyDescent="0.3">
      <c r="A34" s="382">
        <v>25</v>
      </c>
      <c r="B34" s="383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62"/>
    </row>
    <row r="35" spans="1:15" x14ac:dyDescent="0.3">
      <c r="A35" s="385">
        <v>26</v>
      </c>
      <c r="B35" s="383"/>
      <c r="C35" s="383"/>
      <c r="D35" s="383"/>
      <c r="E35" s="383"/>
      <c r="F35" s="383"/>
      <c r="G35" s="383"/>
      <c r="H35" s="383"/>
      <c r="I35" s="383"/>
      <c r="J35" s="383"/>
      <c r="K35" s="383"/>
      <c r="L35" s="383"/>
      <c r="M35" s="383"/>
      <c r="N35" s="383"/>
    </row>
    <row r="36" spans="1:15" x14ac:dyDescent="0.3">
      <c r="A36" s="382">
        <v>27</v>
      </c>
      <c r="B36" s="383"/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62"/>
    </row>
    <row r="37" spans="1:15" x14ac:dyDescent="0.3">
      <c r="A37" s="385">
        <v>28</v>
      </c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62"/>
    </row>
    <row r="38" spans="1:15" x14ac:dyDescent="0.3">
      <c r="A38" s="382">
        <v>29</v>
      </c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</row>
    <row r="39" spans="1:15" x14ac:dyDescent="0.3">
      <c r="A39" s="385">
        <v>30</v>
      </c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</row>
    <row r="40" spans="1:15" x14ac:dyDescent="0.3">
      <c r="A40" s="382">
        <v>31</v>
      </c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62"/>
    </row>
    <row r="41" spans="1:15" x14ac:dyDescent="0.3">
      <c r="A41" s="361"/>
      <c r="B41" s="362"/>
      <c r="C41" s="362"/>
      <c r="D41" s="362"/>
      <c r="E41" s="362"/>
      <c r="F41" s="362"/>
      <c r="G41" s="362"/>
      <c r="H41" s="473" t="e">
        <f>AVERAGE(H10:H40)</f>
        <v>#DIV/0!</v>
      </c>
      <c r="I41" s="362"/>
      <c r="J41" s="388" t="e">
        <f>AVERAGE(J10:J40)</f>
        <v>#DIV/0!</v>
      </c>
      <c r="K41" s="362"/>
      <c r="L41" s="388" t="e">
        <f>AVERAGE(L10:L40)</f>
        <v>#DIV/0!</v>
      </c>
      <c r="M41" s="388" t="e">
        <f>AVERAGE(M10:M40)</f>
        <v>#DIV/0!</v>
      </c>
      <c r="N41" s="362">
        <f>SUM(N10:N40)</f>
        <v>0</v>
      </c>
      <c r="O41" s="362"/>
    </row>
    <row r="42" spans="1:15" x14ac:dyDescent="0.3">
      <c r="A42" s="361"/>
      <c r="B42" s="362"/>
      <c r="C42" s="362"/>
      <c r="D42" s="362"/>
      <c r="E42" s="362"/>
      <c r="F42" s="362"/>
      <c r="G42" s="362"/>
      <c r="H42" s="386"/>
      <c r="I42" s="362"/>
      <c r="J42" s="362"/>
      <c r="K42" s="362"/>
      <c r="L42" s="362"/>
      <c r="M42" s="362"/>
      <c r="N42" s="362"/>
      <c r="O42" s="362"/>
    </row>
    <row r="43" spans="1:15" x14ac:dyDescent="0.3">
      <c r="A43" s="361"/>
      <c r="B43" s="362"/>
      <c r="C43" s="362"/>
      <c r="D43" s="362"/>
      <c r="E43" s="362"/>
      <c r="F43" s="362"/>
      <c r="G43" s="362"/>
      <c r="H43" s="386"/>
      <c r="I43" s="362"/>
      <c r="J43" s="362"/>
      <c r="K43" s="362"/>
      <c r="L43" s="362"/>
      <c r="M43" s="362"/>
      <c r="N43" s="362"/>
      <c r="O43" s="362"/>
    </row>
    <row r="44" spans="1:15" x14ac:dyDescent="0.3">
      <c r="A44" s="361"/>
      <c r="B44" s="362"/>
      <c r="C44" s="362"/>
      <c r="D44" s="362"/>
      <c r="E44" s="362"/>
      <c r="F44" s="362"/>
      <c r="G44" s="362"/>
      <c r="H44" s="386"/>
      <c r="I44" s="362"/>
      <c r="J44" s="362"/>
      <c r="K44" s="362"/>
      <c r="L44" s="362"/>
      <c r="M44" s="362"/>
      <c r="N44" s="362"/>
      <c r="O44" s="362"/>
    </row>
    <row r="45" spans="1:15" x14ac:dyDescent="0.3">
      <c r="A45" s="361"/>
      <c r="B45" s="362"/>
      <c r="C45" s="362"/>
      <c r="D45" s="362"/>
      <c r="E45" s="362"/>
      <c r="F45" s="362"/>
      <c r="G45" s="362"/>
      <c r="H45" s="386"/>
      <c r="I45" s="362"/>
      <c r="J45" s="362"/>
      <c r="K45" s="362"/>
      <c r="L45" s="362"/>
      <c r="M45" s="362"/>
      <c r="N45" s="362"/>
      <c r="O45" s="362"/>
    </row>
    <row r="46" spans="1:15" x14ac:dyDescent="0.3">
      <c r="A46" s="361"/>
      <c r="B46" s="362"/>
      <c r="C46" s="362"/>
      <c r="D46" s="362"/>
      <c r="E46" s="362"/>
      <c r="F46" s="362"/>
      <c r="G46" s="362"/>
      <c r="H46" s="386"/>
      <c r="I46" s="362"/>
      <c r="J46" s="362"/>
      <c r="K46" s="362"/>
      <c r="L46" s="362"/>
      <c r="M46" s="362"/>
      <c r="N46" s="362"/>
      <c r="O46" s="362"/>
    </row>
    <row r="47" spans="1:15" x14ac:dyDescent="0.3">
      <c r="A47" s="361"/>
      <c r="B47" s="362"/>
      <c r="C47" s="362"/>
      <c r="D47" s="362"/>
      <c r="E47" s="362"/>
      <c r="F47" s="362"/>
      <c r="G47" s="362"/>
      <c r="H47" s="386"/>
      <c r="I47" s="362"/>
      <c r="J47" s="362"/>
      <c r="K47" s="362"/>
      <c r="L47" s="362"/>
      <c r="M47" s="362"/>
      <c r="N47" s="362"/>
      <c r="O47" s="362"/>
    </row>
    <row r="48" spans="1:15" x14ac:dyDescent="0.3">
      <c r="A48" s="361"/>
      <c r="B48" s="362"/>
      <c r="C48" s="362"/>
      <c r="D48" s="362"/>
      <c r="E48" s="362"/>
      <c r="F48" s="362"/>
      <c r="G48" s="362"/>
      <c r="H48" s="386"/>
      <c r="I48" s="362"/>
      <c r="J48" s="362"/>
      <c r="K48" s="362"/>
      <c r="L48" s="362"/>
      <c r="M48" s="362"/>
      <c r="N48" s="362"/>
      <c r="O48" s="362"/>
    </row>
    <row r="49" spans="1:15" x14ac:dyDescent="0.3">
      <c r="A49" s="361"/>
      <c r="B49" s="362"/>
      <c r="C49" s="362"/>
      <c r="D49" s="362"/>
      <c r="E49" s="362"/>
      <c r="F49" s="362"/>
      <c r="G49" s="362"/>
      <c r="H49" s="386"/>
      <c r="I49" s="362"/>
      <c r="J49" s="362"/>
      <c r="K49" s="362"/>
      <c r="L49" s="362"/>
      <c r="M49" s="362"/>
      <c r="N49" s="362"/>
      <c r="O49" s="362"/>
    </row>
    <row r="50" spans="1:15" x14ac:dyDescent="0.3">
      <c r="A50" s="361"/>
      <c r="B50" s="362"/>
      <c r="C50" s="362"/>
      <c r="D50" s="362"/>
      <c r="E50" s="362"/>
      <c r="F50" s="362"/>
      <c r="G50" s="362"/>
      <c r="H50" s="386"/>
      <c r="I50" s="362"/>
      <c r="J50" s="362"/>
      <c r="K50" s="362"/>
      <c r="L50" s="362"/>
      <c r="M50" s="362"/>
      <c r="N50" s="362"/>
      <c r="O50" s="362"/>
    </row>
    <row r="51" spans="1:15" x14ac:dyDescent="0.3">
      <c r="A51" s="361"/>
      <c r="B51" s="362"/>
      <c r="C51" s="362"/>
      <c r="D51" s="362"/>
      <c r="E51" s="362"/>
      <c r="F51" s="362"/>
      <c r="G51" s="362"/>
      <c r="H51" s="386"/>
      <c r="I51" s="362"/>
      <c r="J51" s="362"/>
      <c r="K51" s="362"/>
      <c r="L51" s="362"/>
      <c r="M51" s="362"/>
      <c r="N51" s="362"/>
      <c r="O51" s="362"/>
    </row>
    <row r="52" spans="1:15" x14ac:dyDescent="0.3">
      <c r="A52" s="361"/>
      <c r="B52" s="362"/>
      <c r="C52" s="362"/>
      <c r="D52" s="362"/>
      <c r="E52" s="362"/>
      <c r="F52" s="362"/>
      <c r="G52" s="362"/>
      <c r="H52" s="386"/>
      <c r="I52" s="362"/>
      <c r="J52" s="362"/>
      <c r="K52" s="362"/>
      <c r="L52" s="362"/>
      <c r="M52" s="362"/>
      <c r="N52" s="362"/>
      <c r="O52" s="362"/>
    </row>
    <row r="53" spans="1:15" x14ac:dyDescent="0.3">
      <c r="A53" s="361"/>
      <c r="B53" s="362"/>
      <c r="C53" s="362"/>
      <c r="D53" s="362"/>
      <c r="E53" s="362"/>
      <c r="F53" s="362"/>
      <c r="G53" s="362"/>
      <c r="H53" s="386"/>
      <c r="I53" s="362"/>
      <c r="J53" s="362"/>
      <c r="K53" s="362"/>
      <c r="L53" s="362"/>
      <c r="M53" s="362"/>
      <c r="N53" s="362"/>
      <c r="O53" s="362"/>
    </row>
    <row r="54" spans="1:15" x14ac:dyDescent="0.3">
      <c r="A54" s="361"/>
      <c r="B54" s="362"/>
      <c r="C54" s="362"/>
      <c r="D54" s="362"/>
      <c r="E54" s="362"/>
      <c r="F54" s="362"/>
      <c r="G54" s="362"/>
      <c r="H54" s="386"/>
      <c r="I54" s="362"/>
      <c r="J54" s="362"/>
      <c r="K54" s="362"/>
      <c r="L54" s="362"/>
      <c r="M54" s="362"/>
      <c r="N54" s="362"/>
      <c r="O54" s="362"/>
    </row>
    <row r="55" spans="1:15" x14ac:dyDescent="0.3">
      <c r="A55" s="361"/>
      <c r="B55" s="362"/>
      <c r="C55" s="362"/>
      <c r="D55" s="362"/>
      <c r="E55" s="362"/>
      <c r="F55" s="362"/>
      <c r="G55" s="362"/>
      <c r="H55" s="386"/>
      <c r="I55" s="362"/>
      <c r="J55" s="362"/>
      <c r="K55" s="362"/>
      <c r="L55" s="362"/>
      <c r="M55" s="362"/>
      <c r="N55" s="362"/>
      <c r="O55" s="362"/>
    </row>
    <row r="56" spans="1:15" x14ac:dyDescent="0.3">
      <c r="A56" s="361"/>
      <c r="B56" s="362"/>
      <c r="C56" s="362"/>
      <c r="D56" s="362"/>
      <c r="E56" s="362"/>
      <c r="F56" s="362"/>
      <c r="G56" s="362"/>
      <c r="H56" s="386"/>
      <c r="I56" s="362"/>
      <c r="J56" s="362"/>
      <c r="K56" s="362"/>
      <c r="L56" s="362"/>
      <c r="M56" s="362"/>
      <c r="N56" s="362"/>
      <c r="O56" s="362"/>
    </row>
    <row r="57" spans="1:15" x14ac:dyDescent="0.3">
      <c r="A57" s="361"/>
      <c r="B57" s="362"/>
      <c r="C57" s="362"/>
      <c r="D57" s="362"/>
      <c r="E57" s="362"/>
      <c r="F57" s="362"/>
      <c r="G57" s="362"/>
      <c r="H57" s="386"/>
      <c r="I57" s="362"/>
      <c r="J57" s="362"/>
      <c r="K57" s="362"/>
      <c r="L57" s="362"/>
      <c r="M57" s="362"/>
      <c r="N57" s="362"/>
      <c r="O57" s="362"/>
    </row>
    <row r="58" spans="1:15" x14ac:dyDescent="0.3">
      <c r="A58" s="361"/>
      <c r="B58" s="362"/>
      <c r="C58" s="362"/>
      <c r="D58" s="362"/>
      <c r="E58" s="362"/>
      <c r="F58" s="362"/>
      <c r="G58" s="362"/>
      <c r="H58" s="386"/>
      <c r="I58" s="362"/>
      <c r="J58" s="362"/>
      <c r="K58" s="362"/>
      <c r="L58" s="362"/>
      <c r="M58" s="362"/>
      <c r="N58" s="362"/>
      <c r="O58" s="362"/>
    </row>
    <row r="59" spans="1:15" x14ac:dyDescent="0.3">
      <c r="A59" s="361"/>
      <c r="B59" s="362"/>
      <c r="C59" s="362"/>
      <c r="D59" s="362"/>
      <c r="E59" s="362"/>
      <c r="F59" s="362"/>
      <c r="G59" s="362"/>
      <c r="H59" s="386"/>
      <c r="I59" s="362"/>
      <c r="J59" s="362"/>
      <c r="K59" s="362"/>
      <c r="L59" s="362"/>
      <c r="M59" s="362"/>
      <c r="N59" s="362"/>
      <c r="O59" s="362"/>
    </row>
    <row r="60" spans="1:15" x14ac:dyDescent="0.3">
      <c r="A60" s="361"/>
      <c r="B60" s="362"/>
      <c r="C60" s="362"/>
      <c r="D60" s="362"/>
      <c r="E60" s="362"/>
      <c r="F60" s="362"/>
      <c r="G60" s="362"/>
      <c r="H60" s="386"/>
      <c r="I60" s="362"/>
      <c r="J60" s="362"/>
      <c r="K60" s="362"/>
      <c r="L60" s="362"/>
      <c r="M60" s="362"/>
      <c r="N60" s="362"/>
      <c r="O60" s="362"/>
    </row>
    <row r="61" spans="1:15" x14ac:dyDescent="0.3">
      <c r="A61" s="361"/>
      <c r="B61" s="362"/>
      <c r="C61" s="362"/>
      <c r="D61" s="362"/>
      <c r="E61" s="362"/>
      <c r="F61" s="362"/>
      <c r="G61" s="362"/>
      <c r="H61" s="386"/>
      <c r="I61" s="362"/>
      <c r="J61" s="362"/>
      <c r="K61" s="362"/>
      <c r="L61" s="362"/>
      <c r="M61" s="362"/>
      <c r="N61" s="362"/>
      <c r="O61" s="362"/>
    </row>
    <row r="62" spans="1:15" x14ac:dyDescent="0.3">
      <c r="A62" s="361"/>
      <c r="B62" s="362"/>
      <c r="C62" s="362"/>
      <c r="D62" s="362"/>
      <c r="E62" s="362"/>
      <c r="F62" s="362"/>
      <c r="G62" s="362"/>
      <c r="H62" s="386"/>
      <c r="I62" s="362"/>
      <c r="J62" s="362"/>
      <c r="K62" s="362"/>
      <c r="L62" s="362"/>
      <c r="M62" s="362"/>
      <c r="N62" s="362"/>
      <c r="O62" s="362"/>
    </row>
    <row r="63" spans="1:15" x14ac:dyDescent="0.3">
      <c r="A63" s="361"/>
      <c r="B63" s="362"/>
      <c r="C63" s="362"/>
      <c r="D63" s="362"/>
      <c r="E63" s="362"/>
      <c r="F63" s="362"/>
      <c r="G63" s="362"/>
      <c r="H63" s="386"/>
      <c r="I63" s="362"/>
      <c r="J63" s="362"/>
      <c r="K63" s="362"/>
      <c r="L63" s="362"/>
      <c r="M63" s="362"/>
      <c r="N63" s="362"/>
      <c r="O63" s="362"/>
    </row>
    <row r="64" spans="1:15" x14ac:dyDescent="0.3">
      <c r="A64" s="361"/>
      <c r="B64" s="362"/>
      <c r="C64" s="362"/>
      <c r="D64" s="362"/>
      <c r="E64" s="362"/>
      <c r="F64" s="362"/>
      <c r="G64" s="362"/>
      <c r="H64" s="386"/>
      <c r="I64" s="362"/>
      <c r="J64" s="362"/>
      <c r="K64" s="362"/>
      <c r="L64" s="362"/>
      <c r="M64" s="362"/>
      <c r="N64" s="362"/>
      <c r="O64" s="362"/>
    </row>
    <row r="65" spans="1:15" x14ac:dyDescent="0.3">
      <c r="A65" s="361"/>
      <c r="B65" s="362"/>
      <c r="C65" s="362"/>
      <c r="D65" s="362"/>
      <c r="E65" s="362"/>
      <c r="F65" s="362"/>
      <c r="G65" s="362"/>
      <c r="H65" s="386"/>
      <c r="I65" s="362"/>
      <c r="J65" s="362"/>
      <c r="K65" s="362"/>
      <c r="L65" s="362"/>
      <c r="M65" s="362"/>
      <c r="N65" s="362"/>
      <c r="O65" s="362"/>
    </row>
    <row r="66" spans="1:15" x14ac:dyDescent="0.3">
      <c r="A66" s="361"/>
      <c r="B66" s="362"/>
      <c r="C66" s="362"/>
      <c r="D66" s="362"/>
      <c r="E66" s="362"/>
      <c r="F66" s="362"/>
      <c r="G66" s="362"/>
      <c r="H66" s="386"/>
      <c r="I66" s="362"/>
      <c r="J66" s="362"/>
      <c r="K66" s="362"/>
      <c r="L66" s="362"/>
      <c r="M66" s="362"/>
      <c r="N66" s="362"/>
      <c r="O66" s="362"/>
    </row>
    <row r="67" spans="1:15" x14ac:dyDescent="0.3">
      <c r="A67" s="361"/>
      <c r="B67" s="362"/>
      <c r="C67" s="362"/>
      <c r="D67" s="362"/>
      <c r="E67" s="362"/>
      <c r="F67" s="362"/>
      <c r="G67" s="362"/>
      <c r="H67" s="386"/>
      <c r="I67" s="362"/>
      <c r="J67" s="362"/>
      <c r="K67" s="362"/>
      <c r="L67" s="362"/>
      <c r="M67" s="362"/>
      <c r="N67" s="362"/>
      <c r="O67" s="362"/>
    </row>
    <row r="68" spans="1:15" x14ac:dyDescent="0.3">
      <c r="A68" s="361"/>
      <c r="B68" s="362"/>
      <c r="C68" s="362"/>
      <c r="D68" s="362"/>
      <c r="E68" s="362"/>
      <c r="F68" s="362"/>
      <c r="G68" s="362"/>
      <c r="H68" s="386"/>
      <c r="I68" s="362"/>
      <c r="J68" s="362"/>
      <c r="K68" s="362"/>
      <c r="L68" s="362"/>
      <c r="M68" s="362"/>
      <c r="N68" s="362"/>
      <c r="O68" s="362"/>
    </row>
    <row r="69" spans="1:15" x14ac:dyDescent="0.3">
      <c r="A69" s="361"/>
      <c r="B69" s="362"/>
      <c r="C69" s="362"/>
      <c r="D69" s="362"/>
      <c r="E69" s="362"/>
      <c r="F69" s="362"/>
      <c r="G69" s="362"/>
      <c r="H69" s="386"/>
      <c r="I69" s="362"/>
      <c r="J69" s="362"/>
      <c r="K69" s="362"/>
      <c r="L69" s="362"/>
      <c r="M69" s="362"/>
      <c r="N69" s="362"/>
      <c r="O69" s="362"/>
    </row>
    <row r="70" spans="1:15" x14ac:dyDescent="0.3">
      <c r="A70" s="361"/>
      <c r="B70" s="362"/>
      <c r="C70" s="362"/>
      <c r="D70" s="362"/>
      <c r="E70" s="362"/>
      <c r="F70" s="362"/>
      <c r="G70" s="362"/>
      <c r="H70" s="386"/>
      <c r="I70" s="362"/>
      <c r="J70" s="362"/>
      <c r="K70" s="362"/>
      <c r="L70" s="362"/>
      <c r="M70" s="362"/>
      <c r="N70" s="362"/>
      <c r="O70" s="362"/>
    </row>
    <row r="71" spans="1:15" x14ac:dyDescent="0.3">
      <c r="A71" s="361"/>
      <c r="B71" s="362"/>
      <c r="C71" s="362"/>
      <c r="D71" s="362"/>
      <c r="E71" s="362"/>
      <c r="F71" s="362"/>
      <c r="G71" s="362"/>
      <c r="H71" s="386"/>
      <c r="I71" s="362"/>
      <c r="J71" s="362"/>
      <c r="K71" s="362"/>
      <c r="L71" s="362"/>
      <c r="M71" s="362"/>
      <c r="N71" s="362"/>
      <c r="O71" s="362"/>
    </row>
    <row r="72" spans="1:15" x14ac:dyDescent="0.3">
      <c r="A72" s="361"/>
      <c r="B72" s="362"/>
      <c r="C72" s="362"/>
      <c r="D72" s="362"/>
      <c r="E72" s="362"/>
      <c r="F72" s="362"/>
      <c r="G72" s="362"/>
      <c r="H72" s="386"/>
      <c r="I72" s="362"/>
      <c r="J72" s="362"/>
      <c r="K72" s="362"/>
      <c r="L72" s="362"/>
      <c r="M72" s="362"/>
      <c r="N72" s="362"/>
      <c r="O72" s="362"/>
    </row>
    <row r="73" spans="1:15" x14ac:dyDescent="0.3">
      <c r="A73" s="361"/>
      <c r="B73" s="362"/>
      <c r="C73" s="362"/>
      <c r="D73" s="362"/>
      <c r="E73" s="362"/>
      <c r="F73" s="362"/>
      <c r="G73" s="362"/>
      <c r="H73" s="386"/>
      <c r="I73" s="362"/>
      <c r="J73" s="362"/>
      <c r="K73" s="362"/>
      <c r="L73" s="362"/>
      <c r="M73" s="362"/>
      <c r="N73" s="362"/>
      <c r="O73" s="362"/>
    </row>
    <row r="74" spans="1:15" x14ac:dyDescent="0.3">
      <c r="A74" s="361"/>
      <c r="B74" s="362"/>
      <c r="C74" s="362"/>
      <c r="D74" s="362"/>
      <c r="E74" s="362"/>
      <c r="F74" s="362"/>
      <c r="G74" s="362"/>
      <c r="H74" s="386"/>
      <c r="I74" s="362"/>
      <c r="J74" s="362"/>
      <c r="K74" s="362"/>
      <c r="L74" s="362"/>
      <c r="M74" s="362"/>
      <c r="N74" s="362"/>
      <c r="O74" s="362"/>
    </row>
    <row r="75" spans="1:15" x14ac:dyDescent="0.3">
      <c r="A75" s="361"/>
      <c r="B75" s="362"/>
      <c r="C75" s="362"/>
      <c r="D75" s="362"/>
      <c r="E75" s="362"/>
      <c r="F75" s="362"/>
      <c r="G75" s="362"/>
      <c r="H75" s="386"/>
      <c r="I75" s="362"/>
      <c r="J75" s="362"/>
      <c r="K75" s="362"/>
      <c r="L75" s="362"/>
      <c r="M75" s="362"/>
      <c r="N75" s="362"/>
      <c r="O75" s="362"/>
    </row>
    <row r="76" spans="1:15" x14ac:dyDescent="0.3">
      <c r="A76" s="361"/>
      <c r="B76" s="362"/>
      <c r="C76" s="362"/>
      <c r="D76" s="362"/>
      <c r="E76" s="362"/>
      <c r="F76" s="362"/>
      <c r="G76" s="362"/>
      <c r="H76" s="386"/>
      <c r="I76" s="362"/>
      <c r="J76" s="362"/>
      <c r="K76" s="362"/>
      <c r="L76" s="362"/>
      <c r="M76" s="362"/>
      <c r="N76" s="362"/>
      <c r="O76" s="362"/>
    </row>
    <row r="77" spans="1:15" x14ac:dyDescent="0.3">
      <c r="A77" s="361"/>
      <c r="B77" s="362"/>
      <c r="C77" s="362"/>
      <c r="D77" s="362"/>
      <c r="E77" s="362"/>
      <c r="F77" s="362"/>
      <c r="G77" s="362"/>
      <c r="H77" s="386"/>
      <c r="I77" s="362"/>
      <c r="J77" s="362"/>
      <c r="K77" s="362"/>
      <c r="L77" s="362"/>
      <c r="M77" s="362"/>
      <c r="N77" s="362"/>
      <c r="O77" s="362"/>
    </row>
    <row r="78" spans="1:15" x14ac:dyDescent="0.3">
      <c r="A78" s="361"/>
      <c r="B78" s="362"/>
      <c r="C78" s="362"/>
      <c r="D78" s="362"/>
      <c r="E78" s="362"/>
      <c r="F78" s="362"/>
      <c r="G78" s="362"/>
      <c r="H78" s="386"/>
      <c r="I78" s="362"/>
      <c r="J78" s="362"/>
      <c r="K78" s="362"/>
      <c r="L78" s="362"/>
      <c r="M78" s="362"/>
      <c r="N78" s="362"/>
      <c r="O78" s="362"/>
    </row>
    <row r="79" spans="1:15" x14ac:dyDescent="0.3">
      <c r="A79" s="361"/>
      <c r="B79" s="362"/>
      <c r="C79" s="362"/>
      <c r="D79" s="362"/>
      <c r="E79" s="362"/>
      <c r="F79" s="362"/>
      <c r="G79" s="362"/>
      <c r="H79" s="386"/>
      <c r="I79" s="362"/>
      <c r="J79" s="362"/>
      <c r="K79" s="362"/>
      <c r="L79" s="362"/>
      <c r="M79" s="362"/>
      <c r="N79" s="362"/>
      <c r="O79" s="362"/>
    </row>
    <row r="80" spans="1:15" x14ac:dyDescent="0.3">
      <c r="A80" s="361"/>
      <c r="B80" s="362"/>
      <c r="C80" s="362"/>
      <c r="D80" s="362"/>
      <c r="E80" s="362"/>
      <c r="F80" s="362"/>
      <c r="G80" s="362"/>
      <c r="H80" s="386"/>
      <c r="I80" s="362"/>
      <c r="J80" s="362"/>
      <c r="K80" s="362"/>
      <c r="L80" s="362"/>
      <c r="M80" s="362"/>
      <c r="N80" s="362"/>
      <c r="O80" s="362"/>
    </row>
    <row r="81" spans="1:15" x14ac:dyDescent="0.3">
      <c r="A81" s="361"/>
      <c r="B81" s="362"/>
      <c r="C81" s="362"/>
      <c r="D81" s="362"/>
      <c r="E81" s="362"/>
      <c r="F81" s="362"/>
      <c r="G81" s="362"/>
      <c r="H81" s="386"/>
      <c r="I81" s="362"/>
      <c r="J81" s="362"/>
      <c r="K81" s="362"/>
      <c r="L81" s="362"/>
      <c r="M81" s="362"/>
      <c r="N81" s="362"/>
      <c r="O81" s="362"/>
    </row>
    <row r="82" spans="1:15" x14ac:dyDescent="0.3">
      <c r="A82" s="361"/>
      <c r="B82" s="362"/>
      <c r="C82" s="362"/>
      <c r="D82" s="362"/>
      <c r="E82" s="362"/>
      <c r="F82" s="362"/>
      <c r="G82" s="362"/>
      <c r="H82" s="386"/>
      <c r="I82" s="362"/>
      <c r="J82" s="362"/>
      <c r="K82" s="362"/>
      <c r="L82" s="362"/>
      <c r="M82" s="362"/>
      <c r="N82" s="362"/>
      <c r="O82" s="362"/>
    </row>
    <row r="83" spans="1:15" x14ac:dyDescent="0.3">
      <c r="A83" s="361"/>
      <c r="B83" s="362"/>
      <c r="C83" s="362"/>
      <c r="D83" s="362"/>
      <c r="E83" s="362"/>
      <c r="F83" s="362"/>
      <c r="G83" s="362"/>
      <c r="H83" s="386"/>
      <c r="I83" s="362"/>
      <c r="J83" s="362"/>
      <c r="K83" s="362"/>
      <c r="L83" s="362"/>
      <c r="M83" s="362"/>
      <c r="N83" s="362"/>
      <c r="O83" s="362"/>
    </row>
    <row r="84" spans="1:15" x14ac:dyDescent="0.3">
      <c r="A84" s="361"/>
      <c r="B84" s="362"/>
      <c r="C84" s="362"/>
      <c r="D84" s="362"/>
      <c r="E84" s="362"/>
      <c r="F84" s="362"/>
      <c r="G84" s="362"/>
      <c r="H84" s="386"/>
      <c r="I84" s="362"/>
      <c r="J84" s="362"/>
      <c r="K84" s="362"/>
      <c r="L84" s="362"/>
      <c r="M84" s="362"/>
      <c r="N84" s="362"/>
      <c r="O84" s="362"/>
    </row>
    <row r="85" spans="1:15" x14ac:dyDescent="0.3">
      <c r="A85" s="361"/>
      <c r="B85" s="362"/>
      <c r="C85" s="362"/>
      <c r="D85" s="362"/>
      <c r="E85" s="362"/>
      <c r="F85" s="362"/>
      <c r="G85" s="362"/>
      <c r="H85" s="386"/>
      <c r="I85" s="362"/>
      <c r="J85" s="362"/>
      <c r="K85" s="362"/>
      <c r="L85" s="362"/>
      <c r="M85" s="362"/>
      <c r="N85" s="362"/>
      <c r="O85" s="362"/>
    </row>
    <row r="86" spans="1:15" x14ac:dyDescent="0.3">
      <c r="A86" s="361"/>
      <c r="B86" s="362"/>
      <c r="C86" s="362"/>
      <c r="D86" s="362"/>
      <c r="E86" s="362"/>
      <c r="F86" s="362"/>
      <c r="G86" s="362"/>
      <c r="H86" s="386"/>
      <c r="I86" s="362"/>
      <c r="J86" s="362"/>
      <c r="K86" s="362"/>
      <c r="L86" s="362"/>
      <c r="M86" s="362"/>
      <c r="N86" s="362"/>
      <c r="O86" s="362"/>
    </row>
    <row r="87" spans="1:15" x14ac:dyDescent="0.3">
      <c r="A87" s="361"/>
      <c r="B87" s="362"/>
      <c r="C87" s="362"/>
      <c r="D87" s="362"/>
      <c r="E87" s="362"/>
      <c r="F87" s="362"/>
      <c r="G87" s="362"/>
      <c r="H87" s="386"/>
      <c r="I87" s="362"/>
      <c r="J87" s="362"/>
      <c r="K87" s="362"/>
      <c r="L87" s="362"/>
      <c r="M87" s="362"/>
      <c r="N87" s="362"/>
      <c r="O87" s="362"/>
    </row>
    <row r="88" spans="1:15" x14ac:dyDescent="0.3">
      <c r="A88" s="361"/>
      <c r="B88" s="362"/>
      <c r="C88" s="362"/>
      <c r="D88" s="362"/>
      <c r="E88" s="362"/>
      <c r="F88" s="362"/>
      <c r="G88" s="362"/>
      <c r="H88" s="386"/>
      <c r="I88" s="362"/>
      <c r="J88" s="362"/>
      <c r="K88" s="362"/>
      <c r="L88" s="362"/>
      <c r="M88" s="362"/>
      <c r="N88" s="362"/>
      <c r="O88" s="362"/>
    </row>
    <row r="89" spans="1:15" x14ac:dyDescent="0.3">
      <c r="A89" s="361"/>
      <c r="B89" s="362"/>
      <c r="C89" s="362"/>
      <c r="D89" s="362"/>
      <c r="E89" s="362"/>
      <c r="F89" s="362"/>
      <c r="G89" s="362"/>
      <c r="H89" s="386"/>
      <c r="I89" s="362"/>
      <c r="J89" s="362"/>
      <c r="K89" s="362"/>
      <c r="L89" s="362"/>
      <c r="M89" s="362"/>
      <c r="N89" s="362"/>
      <c r="O89" s="362"/>
    </row>
    <row r="90" spans="1:15" x14ac:dyDescent="0.3">
      <c r="A90" s="361"/>
      <c r="B90" s="362"/>
      <c r="C90" s="362"/>
      <c r="D90" s="362"/>
      <c r="E90" s="362"/>
      <c r="F90" s="362"/>
      <c r="G90" s="362"/>
      <c r="H90" s="386"/>
      <c r="I90" s="362"/>
      <c r="J90" s="362"/>
      <c r="K90" s="362"/>
      <c r="L90" s="362"/>
      <c r="M90" s="362"/>
      <c r="N90" s="362"/>
      <c r="O90" s="362"/>
    </row>
    <row r="91" spans="1:15" x14ac:dyDescent="0.3">
      <c r="A91" s="361"/>
      <c r="B91" s="362"/>
      <c r="C91" s="362"/>
      <c r="D91" s="362"/>
      <c r="E91" s="362"/>
      <c r="F91" s="362"/>
      <c r="G91" s="362"/>
      <c r="H91" s="386"/>
      <c r="I91" s="362"/>
      <c r="J91" s="362"/>
      <c r="K91" s="362"/>
      <c r="L91" s="362"/>
      <c r="M91" s="362"/>
      <c r="N91" s="362"/>
      <c r="O91" s="362"/>
    </row>
    <row r="92" spans="1:15" x14ac:dyDescent="0.3">
      <c r="A92" s="361"/>
      <c r="B92" s="362"/>
      <c r="C92" s="362"/>
      <c r="D92" s="362"/>
      <c r="E92" s="362"/>
      <c r="F92" s="362"/>
      <c r="G92" s="362"/>
      <c r="H92" s="386"/>
      <c r="I92" s="362"/>
      <c r="J92" s="362"/>
      <c r="K92" s="362"/>
      <c r="L92" s="362"/>
      <c r="M92" s="362"/>
      <c r="N92" s="362"/>
      <c r="O92" s="362"/>
    </row>
    <row r="93" spans="1:15" x14ac:dyDescent="0.3">
      <c r="A93" s="361"/>
      <c r="B93" s="362"/>
      <c r="C93" s="362"/>
      <c r="D93" s="362"/>
      <c r="E93" s="362"/>
      <c r="F93" s="362"/>
      <c r="G93" s="362"/>
      <c r="H93" s="386"/>
      <c r="I93" s="362"/>
      <c r="J93" s="362"/>
      <c r="K93" s="362"/>
      <c r="L93" s="362"/>
      <c r="M93" s="362"/>
      <c r="N93" s="362"/>
      <c r="O93" s="362"/>
    </row>
    <row r="94" spans="1:15" x14ac:dyDescent="0.3">
      <c r="A94" s="361"/>
      <c r="B94" s="362"/>
      <c r="C94" s="362"/>
      <c r="D94" s="362"/>
      <c r="E94" s="362"/>
      <c r="F94" s="362"/>
      <c r="G94" s="362"/>
      <c r="H94" s="386"/>
      <c r="I94" s="362"/>
      <c r="J94" s="362"/>
      <c r="K94" s="362"/>
      <c r="L94" s="362"/>
      <c r="M94" s="362"/>
      <c r="N94" s="362"/>
      <c r="O94" s="362"/>
    </row>
    <row r="95" spans="1:15" x14ac:dyDescent="0.3">
      <c r="A95" s="361"/>
      <c r="B95" s="362"/>
      <c r="C95" s="362"/>
      <c r="D95" s="362"/>
      <c r="E95" s="362"/>
      <c r="F95" s="362"/>
      <c r="G95" s="362"/>
      <c r="H95" s="386"/>
      <c r="I95" s="362"/>
      <c r="J95" s="362"/>
      <c r="K95" s="362"/>
      <c r="L95" s="362"/>
      <c r="M95" s="362"/>
      <c r="N95" s="362"/>
      <c r="O95" s="362"/>
    </row>
    <row r="96" spans="1:15" x14ac:dyDescent="0.3">
      <c r="A96" s="361"/>
      <c r="B96" s="362"/>
      <c r="C96" s="362"/>
      <c r="D96" s="362"/>
      <c r="E96" s="362"/>
      <c r="F96" s="362"/>
      <c r="G96" s="362"/>
      <c r="H96" s="386"/>
      <c r="I96" s="362"/>
      <c r="J96" s="362"/>
      <c r="K96" s="362"/>
      <c r="L96" s="362"/>
      <c r="M96" s="362"/>
      <c r="N96" s="362"/>
      <c r="O96" s="362"/>
    </row>
    <row r="97" spans="1:15" x14ac:dyDescent="0.3">
      <c r="A97" s="361"/>
      <c r="B97" s="362"/>
      <c r="C97" s="362"/>
      <c r="D97" s="362"/>
      <c r="E97" s="362"/>
      <c r="F97" s="362"/>
      <c r="G97" s="362"/>
      <c r="H97" s="386"/>
      <c r="I97" s="362"/>
      <c r="J97" s="362"/>
      <c r="K97" s="362"/>
      <c r="L97" s="362"/>
      <c r="M97" s="362"/>
      <c r="N97" s="362"/>
      <c r="O97" s="362"/>
    </row>
    <row r="98" spans="1:15" x14ac:dyDescent="0.3">
      <c r="A98" s="361"/>
      <c r="B98" s="362"/>
      <c r="C98" s="362"/>
      <c r="D98" s="362"/>
      <c r="E98" s="362"/>
      <c r="F98" s="362"/>
      <c r="G98" s="362"/>
      <c r="H98" s="386"/>
      <c r="I98" s="362"/>
      <c r="J98" s="362"/>
      <c r="K98" s="362"/>
      <c r="L98" s="362"/>
      <c r="M98" s="362"/>
      <c r="N98" s="362"/>
      <c r="O98" s="362"/>
    </row>
    <row r="99" spans="1:15" x14ac:dyDescent="0.3">
      <c r="A99" s="361"/>
      <c r="B99" s="362"/>
      <c r="C99" s="362"/>
      <c r="D99" s="362"/>
      <c r="E99" s="362"/>
      <c r="F99" s="362"/>
      <c r="G99" s="362"/>
      <c r="H99" s="386"/>
      <c r="I99" s="362"/>
      <c r="J99" s="362"/>
      <c r="K99" s="362"/>
      <c r="L99" s="362"/>
      <c r="M99" s="362"/>
      <c r="N99" s="362"/>
      <c r="O99" s="362"/>
    </row>
    <row r="100" spans="1:15" x14ac:dyDescent="0.3">
      <c r="A100" s="361"/>
      <c r="B100" s="362"/>
      <c r="C100" s="362"/>
      <c r="D100" s="362"/>
      <c r="E100" s="362"/>
      <c r="F100" s="362"/>
      <c r="G100" s="362"/>
      <c r="H100" s="386"/>
      <c r="I100" s="362"/>
      <c r="J100" s="362"/>
      <c r="K100" s="362"/>
      <c r="L100" s="362"/>
      <c r="M100" s="362"/>
      <c r="N100" s="362"/>
      <c r="O100" s="362"/>
    </row>
    <row r="101" spans="1:15" x14ac:dyDescent="0.3">
      <c r="A101" s="361"/>
      <c r="B101" s="362"/>
      <c r="C101" s="362"/>
      <c r="D101" s="362"/>
      <c r="E101" s="362"/>
      <c r="F101" s="362"/>
      <c r="G101" s="362"/>
      <c r="H101" s="386"/>
      <c r="I101" s="362"/>
      <c r="J101" s="362"/>
      <c r="K101" s="362"/>
      <c r="L101" s="362"/>
      <c r="M101" s="362"/>
      <c r="N101" s="362"/>
      <c r="O101" s="362"/>
    </row>
    <row r="102" spans="1:15" x14ac:dyDescent="0.3">
      <c r="A102" s="361"/>
      <c r="B102" s="362"/>
      <c r="C102" s="362"/>
      <c r="D102" s="362"/>
      <c r="E102" s="362"/>
      <c r="F102" s="362"/>
      <c r="G102" s="362"/>
      <c r="H102" s="386"/>
      <c r="I102" s="362"/>
      <c r="J102" s="362"/>
      <c r="K102" s="362"/>
      <c r="L102" s="362"/>
      <c r="M102" s="362"/>
      <c r="N102" s="362"/>
      <c r="O102" s="362"/>
    </row>
    <row r="103" spans="1:15" x14ac:dyDescent="0.3">
      <c r="A103" s="361"/>
      <c r="B103" s="362"/>
      <c r="C103" s="362"/>
      <c r="D103" s="362"/>
      <c r="E103" s="362"/>
      <c r="F103" s="362"/>
      <c r="G103" s="362"/>
      <c r="H103" s="386"/>
      <c r="I103" s="362"/>
      <c r="J103" s="362"/>
      <c r="K103" s="362"/>
      <c r="L103" s="362"/>
      <c r="M103" s="362"/>
      <c r="N103" s="362"/>
      <c r="O103" s="362"/>
    </row>
    <row r="104" spans="1:15" x14ac:dyDescent="0.3">
      <c r="A104" s="361"/>
      <c r="B104" s="362"/>
      <c r="C104" s="362"/>
      <c r="D104" s="362"/>
      <c r="E104" s="362"/>
      <c r="F104" s="362"/>
      <c r="G104" s="362"/>
      <c r="H104" s="386"/>
      <c r="I104" s="362"/>
      <c r="J104" s="362"/>
      <c r="K104" s="362"/>
      <c r="L104" s="362"/>
      <c r="M104" s="362"/>
      <c r="N104" s="362"/>
      <c r="O104" s="362"/>
    </row>
    <row r="105" spans="1:15" x14ac:dyDescent="0.3">
      <c r="A105" s="361"/>
      <c r="B105" s="362"/>
      <c r="C105" s="362"/>
      <c r="D105" s="362"/>
      <c r="E105" s="362"/>
      <c r="F105" s="362"/>
      <c r="G105" s="362"/>
      <c r="H105" s="386"/>
      <c r="I105" s="362"/>
      <c r="J105" s="362"/>
      <c r="K105" s="362"/>
      <c r="L105" s="362"/>
      <c r="M105" s="362"/>
      <c r="N105" s="362"/>
      <c r="O105" s="362"/>
    </row>
    <row r="106" spans="1:15" x14ac:dyDescent="0.3">
      <c r="A106" s="361"/>
      <c r="B106" s="362"/>
      <c r="C106" s="362"/>
      <c r="D106" s="362"/>
      <c r="E106" s="362"/>
      <c r="F106" s="362"/>
      <c r="G106" s="362"/>
      <c r="H106" s="386"/>
      <c r="I106" s="362"/>
      <c r="J106" s="362"/>
      <c r="K106" s="362"/>
      <c r="L106" s="362"/>
      <c r="M106" s="362"/>
      <c r="N106" s="362"/>
      <c r="O106" s="362"/>
    </row>
    <row r="107" spans="1:15" x14ac:dyDescent="0.3">
      <c r="A107" s="361"/>
      <c r="B107" s="362"/>
      <c r="C107" s="362"/>
      <c r="D107" s="362"/>
      <c r="E107" s="362"/>
      <c r="F107" s="362"/>
      <c r="G107" s="362"/>
      <c r="H107" s="386"/>
      <c r="I107" s="362"/>
      <c r="J107" s="362"/>
      <c r="K107" s="362"/>
      <c r="L107" s="362"/>
      <c r="M107" s="362"/>
      <c r="N107" s="362"/>
      <c r="O107" s="362"/>
    </row>
    <row r="108" spans="1:15" x14ac:dyDescent="0.3">
      <c r="A108" s="361"/>
      <c r="B108" s="362"/>
      <c r="C108" s="362"/>
      <c r="D108" s="362"/>
      <c r="E108" s="362"/>
      <c r="F108" s="362"/>
      <c r="G108" s="362"/>
      <c r="H108" s="386"/>
      <c r="I108" s="362"/>
      <c r="J108" s="362"/>
      <c r="K108" s="362"/>
      <c r="L108" s="362"/>
      <c r="M108" s="362"/>
      <c r="N108" s="362"/>
      <c r="O108" s="362"/>
    </row>
    <row r="109" spans="1:15" x14ac:dyDescent="0.3">
      <c r="A109" s="361"/>
      <c r="B109" s="362"/>
      <c r="C109" s="362"/>
      <c r="D109" s="362"/>
      <c r="E109" s="362"/>
      <c r="F109" s="362"/>
      <c r="G109" s="362"/>
      <c r="H109" s="386"/>
      <c r="I109" s="362"/>
      <c r="J109" s="362"/>
      <c r="K109" s="362"/>
      <c r="L109" s="362"/>
      <c r="M109" s="362"/>
      <c r="N109" s="362"/>
      <c r="O109" s="362"/>
    </row>
    <row r="110" spans="1:15" x14ac:dyDescent="0.3">
      <c r="A110" s="361"/>
      <c r="B110" s="362"/>
      <c r="C110" s="362"/>
      <c r="D110" s="362"/>
      <c r="E110" s="362"/>
      <c r="F110" s="362"/>
      <c r="G110" s="362"/>
      <c r="H110" s="386"/>
      <c r="I110" s="362"/>
      <c r="J110" s="362"/>
      <c r="K110" s="362"/>
      <c r="L110" s="362"/>
      <c r="M110" s="362"/>
      <c r="N110" s="362"/>
      <c r="O110" s="362"/>
    </row>
    <row r="111" spans="1:15" x14ac:dyDescent="0.3">
      <c r="A111" s="361"/>
      <c r="B111" s="362"/>
      <c r="C111" s="362"/>
      <c r="D111" s="362"/>
      <c r="E111" s="362"/>
      <c r="F111" s="362"/>
      <c r="G111" s="362"/>
      <c r="H111" s="386"/>
      <c r="I111" s="362"/>
      <c r="J111" s="362"/>
      <c r="K111" s="362"/>
      <c r="L111" s="362"/>
      <c r="M111" s="362"/>
      <c r="N111" s="362"/>
      <c r="O111" s="362"/>
    </row>
    <row r="112" spans="1:15" x14ac:dyDescent="0.3">
      <c r="A112" s="361"/>
      <c r="B112" s="362"/>
      <c r="C112" s="362"/>
      <c r="D112" s="362"/>
      <c r="E112" s="362"/>
      <c r="F112" s="362"/>
      <c r="G112" s="362"/>
      <c r="H112" s="386"/>
      <c r="I112" s="362"/>
      <c r="J112" s="362"/>
      <c r="K112" s="362"/>
      <c r="L112" s="362"/>
      <c r="M112" s="362"/>
      <c r="N112" s="362"/>
      <c r="O112" s="362"/>
    </row>
    <row r="113" spans="1:15" x14ac:dyDescent="0.3">
      <c r="A113" s="361"/>
      <c r="B113" s="362"/>
      <c r="C113" s="362"/>
      <c r="D113" s="362"/>
      <c r="E113" s="362"/>
      <c r="F113" s="362"/>
      <c r="G113" s="362"/>
      <c r="H113" s="386"/>
      <c r="I113" s="362"/>
      <c r="J113" s="362"/>
      <c r="K113" s="362"/>
      <c r="L113" s="362"/>
      <c r="M113" s="362"/>
      <c r="N113" s="362"/>
      <c r="O113" s="362"/>
    </row>
    <row r="114" spans="1:15" x14ac:dyDescent="0.3">
      <c r="A114" s="361"/>
      <c r="B114" s="362"/>
      <c r="C114" s="362"/>
      <c r="D114" s="362"/>
      <c r="E114" s="362"/>
      <c r="F114" s="362"/>
      <c r="G114" s="362"/>
      <c r="H114" s="386"/>
      <c r="I114" s="362"/>
      <c r="J114" s="362"/>
      <c r="K114" s="362"/>
      <c r="L114" s="362"/>
      <c r="M114" s="362"/>
      <c r="N114" s="362"/>
      <c r="O114" s="362"/>
    </row>
    <row r="115" spans="1:15" x14ac:dyDescent="0.3">
      <c r="A115" s="361"/>
      <c r="B115" s="362"/>
      <c r="C115" s="362"/>
      <c r="D115" s="362"/>
      <c r="E115" s="362"/>
      <c r="F115" s="362"/>
      <c r="G115" s="362"/>
      <c r="H115" s="386"/>
      <c r="I115" s="362"/>
      <c r="J115" s="362"/>
      <c r="K115" s="362"/>
      <c r="L115" s="362"/>
      <c r="M115" s="362"/>
      <c r="N115" s="362"/>
      <c r="O115" s="362"/>
    </row>
    <row r="116" spans="1:15" x14ac:dyDescent="0.3">
      <c r="A116" s="361"/>
      <c r="B116" s="362"/>
      <c r="C116" s="362"/>
      <c r="D116" s="362"/>
      <c r="E116" s="362"/>
      <c r="F116" s="362"/>
      <c r="G116" s="362"/>
      <c r="H116" s="386"/>
      <c r="I116" s="362"/>
      <c r="J116" s="362"/>
      <c r="K116" s="362"/>
      <c r="L116" s="362"/>
      <c r="M116" s="362"/>
      <c r="N116" s="362"/>
      <c r="O116" s="362"/>
    </row>
    <row r="117" spans="1:15" x14ac:dyDescent="0.3">
      <c r="A117" s="361"/>
      <c r="B117" s="362"/>
      <c r="C117" s="362"/>
      <c r="D117" s="362"/>
      <c r="E117" s="362"/>
      <c r="F117" s="362"/>
      <c r="G117" s="362"/>
      <c r="H117" s="386"/>
      <c r="I117" s="362"/>
      <c r="J117" s="362"/>
      <c r="K117" s="362"/>
      <c r="L117" s="362"/>
      <c r="M117" s="362"/>
      <c r="N117" s="362"/>
      <c r="O117" s="362"/>
    </row>
    <row r="118" spans="1:15" x14ac:dyDescent="0.3">
      <c r="A118" s="361"/>
      <c r="B118" s="362"/>
      <c r="C118" s="362"/>
      <c r="D118" s="362"/>
      <c r="E118" s="362"/>
      <c r="F118" s="362"/>
      <c r="G118" s="362"/>
      <c r="H118" s="386"/>
      <c r="I118" s="362"/>
      <c r="J118" s="362"/>
      <c r="K118" s="362"/>
      <c r="L118" s="362"/>
      <c r="M118" s="362"/>
      <c r="N118" s="362"/>
      <c r="O118" s="362"/>
    </row>
    <row r="119" spans="1:15" x14ac:dyDescent="0.3">
      <c r="A119" s="361"/>
      <c r="B119" s="362"/>
      <c r="C119" s="362"/>
      <c r="D119" s="362"/>
      <c r="E119" s="362"/>
      <c r="F119" s="362"/>
      <c r="G119" s="362"/>
      <c r="H119" s="386"/>
      <c r="I119" s="362"/>
      <c r="J119" s="362"/>
      <c r="K119" s="362"/>
      <c r="L119" s="362"/>
      <c r="M119" s="362"/>
      <c r="N119" s="362"/>
      <c r="O119" s="362"/>
    </row>
    <row r="120" spans="1:15" x14ac:dyDescent="0.3">
      <c r="A120" s="361"/>
      <c r="B120" s="362"/>
      <c r="C120" s="362"/>
      <c r="D120" s="362"/>
      <c r="E120" s="362"/>
      <c r="F120" s="362"/>
      <c r="G120" s="362"/>
      <c r="H120" s="386"/>
      <c r="I120" s="362"/>
      <c r="J120" s="362"/>
      <c r="K120" s="362"/>
      <c r="L120" s="362"/>
      <c r="M120" s="362"/>
      <c r="N120" s="362"/>
      <c r="O120" s="362"/>
    </row>
    <row r="121" spans="1:15" x14ac:dyDescent="0.3">
      <c r="A121" s="361"/>
      <c r="B121" s="362"/>
      <c r="C121" s="362"/>
      <c r="D121" s="362"/>
      <c r="E121" s="362"/>
      <c r="F121" s="362"/>
      <c r="G121" s="362"/>
      <c r="H121" s="386"/>
      <c r="I121" s="362"/>
      <c r="J121" s="362"/>
      <c r="K121" s="362"/>
      <c r="L121" s="362"/>
      <c r="M121" s="362"/>
      <c r="N121" s="362"/>
      <c r="O121" s="362"/>
    </row>
    <row r="122" spans="1:15" x14ac:dyDescent="0.3">
      <c r="A122" s="361"/>
      <c r="B122" s="362"/>
      <c r="C122" s="362"/>
      <c r="D122" s="362"/>
      <c r="E122" s="362"/>
      <c r="F122" s="362"/>
      <c r="G122" s="362"/>
      <c r="H122" s="386"/>
      <c r="I122" s="362"/>
      <c r="J122" s="362"/>
      <c r="K122" s="362"/>
      <c r="L122" s="362"/>
      <c r="M122" s="362"/>
      <c r="N122" s="362"/>
      <c r="O122" s="362"/>
    </row>
    <row r="123" spans="1:15" x14ac:dyDescent="0.3">
      <c r="A123" s="361"/>
      <c r="B123" s="362"/>
      <c r="C123" s="362"/>
      <c r="D123" s="362"/>
      <c r="E123" s="362"/>
      <c r="F123" s="362"/>
      <c r="G123" s="362"/>
      <c r="H123" s="386"/>
      <c r="I123" s="362"/>
      <c r="J123" s="362"/>
      <c r="K123" s="362"/>
      <c r="L123" s="362"/>
      <c r="M123" s="362"/>
      <c r="N123" s="362"/>
      <c r="O123" s="362"/>
    </row>
  </sheetData>
  <dataConsolidate/>
  <mergeCells count="9">
    <mergeCell ref="L8:L9"/>
    <mergeCell ref="M8:M9"/>
    <mergeCell ref="N8:N9"/>
    <mergeCell ref="B8:C8"/>
    <mergeCell ref="D8:F8"/>
    <mergeCell ref="H8:H9"/>
    <mergeCell ref="I8:I9"/>
    <mergeCell ref="J8:J9"/>
    <mergeCell ref="K8:K9"/>
  </mergeCells>
  <pageMargins left="0.4" right="0.36" top="0.45" bottom="0.55000000000000004" header="0.3" footer="0.3"/>
  <pageSetup scale="65" fitToWidth="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23"/>
  <sheetViews>
    <sheetView showGridLines="0" zoomScale="90" zoomScaleNormal="9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09375" defaultRowHeight="14.4" x14ac:dyDescent="0.3"/>
  <cols>
    <col min="1" max="1" width="6.109375" style="389" customWidth="1"/>
    <col min="2" max="3" width="10.33203125" style="364" customWidth="1"/>
    <col min="4" max="6" width="7.6640625" style="364" customWidth="1"/>
    <col min="7" max="8" width="7.6640625" style="366" customWidth="1"/>
    <col min="9" max="9" width="14.33203125" style="364" customWidth="1"/>
    <col min="10" max="10" width="12.5546875" style="364" customWidth="1"/>
    <col min="11" max="11" width="11.5546875" style="364" customWidth="1"/>
    <col min="12" max="12" width="11.109375" style="364" customWidth="1"/>
    <col min="13" max="13" width="10.109375" style="364" customWidth="1"/>
    <col min="14" max="14" width="12.5546875" style="364" customWidth="1"/>
    <col min="15" max="15" width="18.88671875" style="364" customWidth="1"/>
    <col min="16" max="16384" width="9.109375" style="364"/>
  </cols>
  <sheetData>
    <row r="1" spans="1:18" x14ac:dyDescent="0.3">
      <c r="A1" s="361"/>
      <c r="B1" s="362"/>
      <c r="C1" s="362"/>
      <c r="D1" s="362"/>
      <c r="E1" s="362"/>
      <c r="F1" s="362"/>
      <c r="G1" s="363"/>
      <c r="H1" s="363"/>
      <c r="I1" s="362"/>
      <c r="J1" s="362"/>
      <c r="K1" s="362"/>
      <c r="L1" s="362"/>
      <c r="M1" s="362"/>
      <c r="N1" s="362"/>
      <c r="O1" s="362"/>
      <c r="P1" s="362"/>
      <c r="Q1" s="362"/>
      <c r="R1" s="362"/>
    </row>
    <row r="2" spans="1:18" x14ac:dyDescent="0.3">
      <c r="A2" s="361"/>
      <c r="B2" s="362"/>
      <c r="C2" s="362"/>
      <c r="D2" s="362"/>
      <c r="E2" s="362"/>
      <c r="F2" s="362"/>
      <c r="G2" s="363"/>
      <c r="H2" s="363"/>
      <c r="I2" s="362"/>
      <c r="J2" s="362"/>
      <c r="K2" s="362"/>
      <c r="L2" s="362"/>
      <c r="M2" s="362"/>
      <c r="N2" s="362"/>
      <c r="O2" s="362"/>
      <c r="P2" s="362"/>
      <c r="Q2" s="362"/>
      <c r="R2" s="362"/>
    </row>
    <row r="3" spans="1:18" x14ac:dyDescent="0.3">
      <c r="A3" s="361"/>
      <c r="B3" s="362"/>
      <c r="C3" s="362"/>
      <c r="D3" s="362"/>
      <c r="E3" s="362"/>
      <c r="F3" s="362"/>
      <c r="G3" s="363"/>
      <c r="H3" s="363"/>
      <c r="I3" s="362"/>
      <c r="J3" s="362"/>
      <c r="K3" s="362"/>
      <c r="L3" s="362"/>
      <c r="M3" s="362"/>
      <c r="N3" s="362"/>
      <c r="O3" s="362"/>
      <c r="P3" s="362"/>
      <c r="Q3" s="362"/>
      <c r="R3" s="362"/>
    </row>
    <row r="4" spans="1:18" x14ac:dyDescent="0.3">
      <c r="A4" s="361"/>
      <c r="B4" s="362"/>
      <c r="C4" s="362"/>
      <c r="D4" s="362"/>
      <c r="E4" s="362"/>
      <c r="F4" s="362"/>
      <c r="G4" s="363"/>
      <c r="H4" s="363"/>
      <c r="I4" s="362"/>
      <c r="J4" s="362"/>
      <c r="K4" s="362"/>
      <c r="L4" s="362"/>
      <c r="M4" s="362"/>
      <c r="N4" s="362"/>
      <c r="O4" s="362"/>
      <c r="P4" s="362"/>
      <c r="Q4" s="362"/>
      <c r="R4" s="362"/>
    </row>
    <row r="5" spans="1:18" ht="20.399999999999999" x14ac:dyDescent="0.35">
      <c r="A5" s="365" t="s">
        <v>182</v>
      </c>
      <c r="B5" s="362"/>
      <c r="C5" s="362"/>
      <c r="D5" s="362"/>
      <c r="E5" s="362"/>
      <c r="F5" s="362"/>
      <c r="G5" s="363"/>
      <c r="H5" s="363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18" ht="20.399999999999999" x14ac:dyDescent="0.35">
      <c r="A6" s="365" t="s">
        <v>183</v>
      </c>
      <c r="B6" s="362"/>
      <c r="C6" s="362"/>
      <c r="D6" s="362"/>
      <c r="E6" s="362"/>
      <c r="F6" s="362"/>
      <c r="J6" s="362"/>
      <c r="K6" s="362"/>
      <c r="L6" s="362"/>
      <c r="M6" s="367" t="s">
        <v>184</v>
      </c>
      <c r="N6" s="367" t="s">
        <v>284</v>
      </c>
      <c r="O6" s="368">
        <v>2025</v>
      </c>
      <c r="P6" s="362"/>
      <c r="Q6" s="362"/>
      <c r="R6" s="362"/>
    </row>
    <row r="7" spans="1:18" ht="6.75" customHeight="1" thickBot="1" x14ac:dyDescent="0.4">
      <c r="A7" s="365"/>
      <c r="B7" s="362"/>
      <c r="C7" s="362"/>
      <c r="D7" s="362"/>
      <c r="E7" s="362"/>
      <c r="F7" s="362"/>
      <c r="J7" s="362"/>
      <c r="K7" s="362"/>
      <c r="L7" s="362"/>
      <c r="M7" s="362"/>
      <c r="N7" s="362"/>
      <c r="O7" s="362"/>
      <c r="P7" s="362"/>
      <c r="Q7" s="362"/>
      <c r="R7" s="362"/>
    </row>
    <row r="8" spans="1:18" ht="21" customHeight="1" thickBot="1" x14ac:dyDescent="0.35">
      <c r="A8" s="648" t="s">
        <v>185</v>
      </c>
      <c r="B8" s="649"/>
      <c r="C8" s="649"/>
      <c r="D8" s="649"/>
      <c r="E8" s="649"/>
      <c r="F8" s="649"/>
      <c r="G8" s="649"/>
      <c r="H8" s="650"/>
      <c r="I8" s="651" t="s">
        <v>186</v>
      </c>
      <c r="J8" s="653" t="s">
        <v>187</v>
      </c>
      <c r="K8" s="654"/>
      <c r="L8" s="654"/>
      <c r="M8" s="654"/>
      <c r="N8" s="655"/>
      <c r="O8" s="656" t="s">
        <v>188</v>
      </c>
      <c r="P8" s="362"/>
      <c r="Q8" s="362"/>
      <c r="R8" s="362"/>
    </row>
    <row r="9" spans="1:18" ht="28.2" thickBot="1" x14ac:dyDescent="0.35">
      <c r="A9" s="369" t="s">
        <v>189</v>
      </c>
      <c r="B9" s="370" t="s">
        <v>190</v>
      </c>
      <c r="C9" s="371" t="s">
        <v>191</v>
      </c>
      <c r="D9" s="372" t="s">
        <v>192</v>
      </c>
      <c r="E9" s="373" t="s">
        <v>193</v>
      </c>
      <c r="F9" s="374" t="s">
        <v>194</v>
      </c>
      <c r="G9" s="375" t="s">
        <v>195</v>
      </c>
      <c r="H9" s="376" t="s">
        <v>196</v>
      </c>
      <c r="I9" s="652"/>
      <c r="J9" s="377" t="s">
        <v>197</v>
      </c>
      <c r="K9" s="378" t="s">
        <v>198</v>
      </c>
      <c r="L9" s="379" t="s">
        <v>199</v>
      </c>
      <c r="M9" s="380" t="s">
        <v>200</v>
      </c>
      <c r="N9" s="381" t="s">
        <v>201</v>
      </c>
      <c r="O9" s="657"/>
      <c r="P9" s="362"/>
      <c r="Q9" s="362"/>
      <c r="R9" s="362"/>
    </row>
    <row r="10" spans="1:18" x14ac:dyDescent="0.3">
      <c r="A10" s="382">
        <v>1</v>
      </c>
      <c r="B10" s="393"/>
      <c r="C10" s="393"/>
      <c r="D10" s="393"/>
      <c r="E10" s="393"/>
      <c r="F10" s="393"/>
      <c r="G10" s="394"/>
      <c r="H10" s="394"/>
      <c r="I10" s="393"/>
      <c r="J10" s="395"/>
      <c r="K10" s="395"/>
      <c r="L10" s="394"/>
      <c r="M10" s="394"/>
      <c r="N10" s="394"/>
      <c r="O10" s="393"/>
      <c r="P10" s="362"/>
      <c r="Q10" s="362"/>
      <c r="R10" s="362"/>
    </row>
    <row r="11" spans="1:18" x14ac:dyDescent="0.3">
      <c r="A11" s="385">
        <v>2</v>
      </c>
      <c r="B11" s="393"/>
      <c r="C11" s="393"/>
      <c r="D11" s="393"/>
      <c r="E11" s="393"/>
      <c r="F11" s="393"/>
      <c r="G11" s="394"/>
      <c r="H11" s="394"/>
      <c r="I11" s="393"/>
      <c r="J11" s="395"/>
      <c r="K11" s="395"/>
      <c r="L11" s="394"/>
      <c r="M11" s="394"/>
      <c r="N11" s="394"/>
      <c r="O11" s="393"/>
      <c r="P11" s="362"/>
      <c r="Q11" s="362"/>
      <c r="R11" s="362"/>
    </row>
    <row r="12" spans="1:18" x14ac:dyDescent="0.3">
      <c r="A12" s="385">
        <v>3</v>
      </c>
      <c r="B12" s="393"/>
      <c r="C12" s="393"/>
      <c r="D12" s="393"/>
      <c r="E12" s="393"/>
      <c r="F12" s="393"/>
      <c r="G12" s="394"/>
      <c r="H12" s="394"/>
      <c r="I12" s="393"/>
      <c r="J12" s="395"/>
      <c r="K12" s="395"/>
      <c r="L12" s="394"/>
      <c r="M12" s="394"/>
      <c r="N12" s="394"/>
      <c r="O12" s="393"/>
      <c r="P12" s="362"/>
      <c r="Q12" s="362"/>
      <c r="R12" s="362"/>
    </row>
    <row r="13" spans="1:18" x14ac:dyDescent="0.3">
      <c r="A13" s="510">
        <v>4</v>
      </c>
      <c r="B13" s="393"/>
      <c r="C13" s="393"/>
      <c r="D13" s="393"/>
      <c r="E13" s="393"/>
      <c r="F13" s="393"/>
      <c r="G13" s="394"/>
      <c r="H13" s="394"/>
      <c r="I13" s="393"/>
      <c r="J13" s="395"/>
      <c r="K13" s="395"/>
      <c r="L13" s="394"/>
      <c r="M13" s="394"/>
      <c r="N13" s="394"/>
      <c r="O13" s="393"/>
      <c r="P13" s="362"/>
      <c r="Q13" s="362"/>
      <c r="R13" s="362"/>
    </row>
    <row r="14" spans="1:18" x14ac:dyDescent="0.3">
      <c r="A14" s="385">
        <v>5</v>
      </c>
      <c r="B14" s="393"/>
      <c r="C14" s="393"/>
      <c r="D14" s="393"/>
      <c r="E14" s="393"/>
      <c r="F14" s="393"/>
      <c r="G14" s="394"/>
      <c r="H14" s="394"/>
      <c r="I14" s="393"/>
      <c r="J14" s="395"/>
      <c r="K14" s="395"/>
      <c r="L14" s="394"/>
      <c r="M14" s="394"/>
      <c r="N14" s="394"/>
      <c r="O14" s="393"/>
      <c r="P14" s="362"/>
      <c r="Q14" s="362"/>
      <c r="R14" s="362"/>
    </row>
    <row r="15" spans="1:18" x14ac:dyDescent="0.3">
      <c r="A15" s="385">
        <v>6</v>
      </c>
      <c r="B15" s="393"/>
      <c r="C15" s="393"/>
      <c r="D15" s="393"/>
      <c r="E15" s="393"/>
      <c r="F15" s="393"/>
      <c r="G15" s="394"/>
      <c r="H15" s="394"/>
      <c r="I15" s="393"/>
      <c r="J15" s="395"/>
      <c r="K15" s="395"/>
      <c r="L15" s="394"/>
      <c r="M15" s="394"/>
      <c r="N15" s="394"/>
      <c r="O15" s="393"/>
      <c r="P15" s="362"/>
      <c r="Q15" s="362"/>
      <c r="R15" s="362"/>
    </row>
    <row r="16" spans="1:18" x14ac:dyDescent="0.3">
      <c r="A16" s="385">
        <v>7</v>
      </c>
      <c r="B16" s="393"/>
      <c r="C16" s="393"/>
      <c r="D16" s="393"/>
      <c r="E16" s="393"/>
      <c r="F16" s="393"/>
      <c r="G16" s="394"/>
      <c r="H16" s="394"/>
      <c r="I16" s="393"/>
      <c r="J16" s="395"/>
      <c r="K16" s="395"/>
      <c r="L16" s="394"/>
      <c r="M16" s="394"/>
      <c r="N16" s="394"/>
      <c r="O16" s="393"/>
      <c r="P16" s="386"/>
      <c r="Q16" s="362"/>
      <c r="R16" s="362"/>
    </row>
    <row r="17" spans="1:18" x14ac:dyDescent="0.3">
      <c r="A17" s="385">
        <v>8</v>
      </c>
      <c r="B17" s="393"/>
      <c r="C17" s="393"/>
      <c r="D17" s="393"/>
      <c r="E17" s="393"/>
      <c r="F17" s="393"/>
      <c r="G17" s="394"/>
      <c r="H17" s="394"/>
      <c r="I17" s="393"/>
      <c r="J17" s="395"/>
      <c r="K17" s="395"/>
      <c r="L17" s="394"/>
      <c r="M17" s="394"/>
      <c r="N17" s="394"/>
      <c r="O17" s="393"/>
      <c r="P17" s="362"/>
      <c r="Q17" s="362"/>
      <c r="R17" s="362"/>
    </row>
    <row r="18" spans="1:18" x14ac:dyDescent="0.3">
      <c r="A18" s="385">
        <v>9</v>
      </c>
      <c r="B18" s="393"/>
      <c r="C18" s="393"/>
      <c r="D18" s="393"/>
      <c r="E18" s="393"/>
      <c r="F18" s="393"/>
      <c r="G18" s="394"/>
      <c r="H18" s="394"/>
      <c r="I18" s="393"/>
      <c r="J18" s="395"/>
      <c r="K18" s="395"/>
      <c r="L18" s="394"/>
      <c r="M18" s="394"/>
      <c r="N18" s="394"/>
      <c r="O18" s="393"/>
      <c r="P18" s="362"/>
      <c r="Q18" s="362"/>
      <c r="R18" s="362"/>
    </row>
    <row r="19" spans="1:18" x14ac:dyDescent="0.3">
      <c r="A19" s="385">
        <v>10</v>
      </c>
      <c r="B19" s="393"/>
      <c r="C19" s="393"/>
      <c r="D19" s="393"/>
      <c r="E19" s="393"/>
      <c r="F19" s="393"/>
      <c r="G19" s="394"/>
      <c r="H19" s="394"/>
      <c r="I19" s="393"/>
      <c r="J19" s="395"/>
      <c r="K19" s="395"/>
      <c r="L19" s="394"/>
      <c r="M19" s="394"/>
      <c r="N19" s="394"/>
      <c r="O19" s="393"/>
      <c r="P19" s="362"/>
      <c r="Q19" s="362"/>
      <c r="R19" s="362"/>
    </row>
    <row r="20" spans="1:18" x14ac:dyDescent="0.3">
      <c r="A20" s="385">
        <v>11</v>
      </c>
      <c r="B20" s="393"/>
      <c r="C20" s="393"/>
      <c r="D20" s="393"/>
      <c r="E20" s="393"/>
      <c r="F20" s="393"/>
      <c r="G20" s="394"/>
      <c r="H20" s="394"/>
      <c r="I20" s="393"/>
      <c r="J20" s="395"/>
      <c r="K20" s="395"/>
      <c r="L20" s="394"/>
      <c r="M20" s="394"/>
      <c r="N20" s="394"/>
      <c r="O20" s="393"/>
      <c r="P20" s="362"/>
      <c r="Q20" s="362"/>
      <c r="R20" s="362"/>
    </row>
    <row r="21" spans="1:18" x14ac:dyDescent="0.3">
      <c r="A21" s="385">
        <v>12</v>
      </c>
      <c r="B21" s="393"/>
      <c r="C21" s="393"/>
      <c r="D21" s="393"/>
      <c r="E21" s="393"/>
      <c r="F21" s="393"/>
      <c r="G21" s="394"/>
      <c r="H21" s="394"/>
      <c r="I21" s="393"/>
      <c r="J21" s="395"/>
      <c r="K21" s="395"/>
      <c r="L21" s="394"/>
      <c r="M21" s="394"/>
      <c r="N21" s="394"/>
      <c r="O21" s="393"/>
      <c r="P21" s="362"/>
      <c r="Q21" s="362"/>
      <c r="R21" s="362"/>
    </row>
    <row r="22" spans="1:18" x14ac:dyDescent="0.3">
      <c r="A22" s="385">
        <v>13</v>
      </c>
      <c r="B22" s="393"/>
      <c r="C22" s="393"/>
      <c r="D22" s="393"/>
      <c r="E22" s="393"/>
      <c r="F22" s="393"/>
      <c r="G22" s="394"/>
      <c r="H22" s="394"/>
      <c r="I22" s="393"/>
      <c r="J22" s="395"/>
      <c r="K22" s="395"/>
      <c r="L22" s="394"/>
      <c r="M22" s="394"/>
      <c r="N22" s="394"/>
      <c r="O22" s="393"/>
      <c r="P22" s="362"/>
      <c r="Q22" s="362"/>
      <c r="R22" s="362"/>
    </row>
    <row r="23" spans="1:18" x14ac:dyDescent="0.3">
      <c r="A23" s="385">
        <v>14</v>
      </c>
      <c r="B23" s="393"/>
      <c r="C23" s="393"/>
      <c r="D23" s="393"/>
      <c r="E23" s="393"/>
      <c r="F23" s="393"/>
      <c r="G23" s="394"/>
      <c r="H23" s="394"/>
      <c r="I23" s="393"/>
      <c r="J23" s="395"/>
      <c r="K23" s="395"/>
      <c r="L23" s="394"/>
      <c r="M23" s="394"/>
      <c r="N23" s="394"/>
      <c r="O23" s="393"/>
      <c r="P23" s="362"/>
      <c r="Q23" s="362"/>
      <c r="R23" s="362"/>
    </row>
    <row r="24" spans="1:18" x14ac:dyDescent="0.3">
      <c r="A24" s="385">
        <v>15</v>
      </c>
      <c r="B24" s="393"/>
      <c r="C24" s="393"/>
      <c r="D24" s="393"/>
      <c r="E24" s="393"/>
      <c r="F24" s="393"/>
      <c r="G24" s="394"/>
      <c r="H24" s="394"/>
      <c r="I24" s="393"/>
      <c r="J24" s="395"/>
      <c r="K24" s="395"/>
      <c r="L24" s="394"/>
      <c r="M24" s="394"/>
      <c r="N24" s="394"/>
      <c r="O24" s="393"/>
      <c r="P24" s="362"/>
      <c r="Q24" s="362"/>
      <c r="R24" s="362"/>
    </row>
    <row r="25" spans="1:18" x14ac:dyDescent="0.3">
      <c r="A25" s="385">
        <v>16</v>
      </c>
      <c r="B25" s="393"/>
      <c r="C25" s="393"/>
      <c r="D25" s="393"/>
      <c r="E25" s="393"/>
      <c r="F25" s="393"/>
      <c r="G25" s="394"/>
      <c r="H25" s="394"/>
      <c r="I25" s="393"/>
      <c r="J25" s="395"/>
      <c r="K25" s="395"/>
      <c r="L25" s="394"/>
      <c r="M25" s="394"/>
      <c r="N25" s="394"/>
      <c r="O25" s="393"/>
      <c r="P25" s="362"/>
      <c r="Q25" s="362"/>
      <c r="R25" s="362"/>
    </row>
    <row r="26" spans="1:18" x14ac:dyDescent="0.3">
      <c r="A26" s="510">
        <v>17</v>
      </c>
      <c r="B26" s="393"/>
      <c r="C26" s="393"/>
      <c r="D26" s="393"/>
      <c r="E26" s="393"/>
      <c r="F26" s="393"/>
      <c r="G26" s="394"/>
      <c r="H26" s="394"/>
      <c r="I26" s="393"/>
      <c r="J26" s="395"/>
      <c r="K26" s="395"/>
      <c r="L26" s="394"/>
      <c r="M26" s="394"/>
      <c r="N26" s="394"/>
      <c r="O26" s="393"/>
      <c r="P26" s="362"/>
      <c r="Q26" s="362"/>
      <c r="R26" s="362"/>
    </row>
    <row r="27" spans="1:18" x14ac:dyDescent="0.3">
      <c r="A27" s="385">
        <v>18</v>
      </c>
      <c r="B27" s="393"/>
      <c r="C27" s="393"/>
      <c r="D27" s="393"/>
      <c r="E27" s="393"/>
      <c r="F27" s="393"/>
      <c r="G27" s="394"/>
      <c r="H27" s="394"/>
      <c r="I27" s="393"/>
      <c r="J27" s="395"/>
      <c r="K27" s="395"/>
      <c r="L27" s="394"/>
      <c r="M27" s="394"/>
      <c r="N27" s="394"/>
      <c r="O27" s="393"/>
      <c r="P27" s="362"/>
      <c r="Q27" s="362"/>
      <c r="R27" s="362"/>
    </row>
    <row r="28" spans="1:18" x14ac:dyDescent="0.3">
      <c r="A28" s="385">
        <v>19</v>
      </c>
      <c r="B28" s="393"/>
      <c r="C28" s="393"/>
      <c r="D28" s="393"/>
      <c r="E28" s="393"/>
      <c r="F28" s="393"/>
      <c r="G28" s="394"/>
      <c r="H28" s="394"/>
      <c r="I28" s="393"/>
      <c r="J28" s="395"/>
      <c r="K28" s="395"/>
      <c r="L28" s="394"/>
      <c r="M28" s="394"/>
      <c r="N28" s="394"/>
      <c r="O28" s="393"/>
      <c r="P28" s="362"/>
      <c r="Q28" s="362"/>
      <c r="R28" s="362"/>
    </row>
    <row r="29" spans="1:18" x14ac:dyDescent="0.3">
      <c r="A29" s="385">
        <v>20</v>
      </c>
      <c r="B29" s="393"/>
      <c r="C29" s="393"/>
      <c r="D29" s="393"/>
      <c r="E29" s="393"/>
      <c r="F29" s="393"/>
      <c r="G29" s="394"/>
      <c r="H29" s="394"/>
      <c r="I29" s="393"/>
      <c r="J29" s="395"/>
      <c r="K29" s="395"/>
      <c r="L29" s="394"/>
      <c r="M29" s="394"/>
      <c r="N29" s="394"/>
      <c r="O29" s="393"/>
      <c r="P29" s="362"/>
      <c r="Q29" s="362"/>
      <c r="R29" s="362"/>
    </row>
    <row r="30" spans="1:18" x14ac:dyDescent="0.3">
      <c r="A30" s="385">
        <v>21</v>
      </c>
      <c r="B30" s="393"/>
      <c r="C30" s="393"/>
      <c r="D30" s="393"/>
      <c r="E30" s="393"/>
      <c r="F30" s="393"/>
      <c r="G30" s="394"/>
      <c r="H30" s="394"/>
      <c r="I30" s="393"/>
      <c r="J30" s="395"/>
      <c r="K30" s="395"/>
      <c r="L30" s="394"/>
      <c r="M30" s="394"/>
      <c r="N30" s="394"/>
      <c r="O30" s="393"/>
      <c r="P30" s="362"/>
      <c r="Q30" s="362"/>
      <c r="R30" s="362"/>
    </row>
    <row r="31" spans="1:18" x14ac:dyDescent="0.3">
      <c r="A31" s="385">
        <v>22</v>
      </c>
      <c r="B31" s="393"/>
      <c r="C31" s="393"/>
      <c r="D31" s="393"/>
      <c r="E31" s="393"/>
      <c r="F31" s="393"/>
      <c r="G31" s="394"/>
      <c r="H31" s="394"/>
      <c r="I31" s="393"/>
      <c r="J31" s="395"/>
      <c r="K31" s="395"/>
      <c r="L31" s="394"/>
      <c r="M31" s="394"/>
      <c r="N31" s="394"/>
      <c r="O31" s="393"/>
      <c r="P31" s="362"/>
      <c r="Q31" s="362"/>
      <c r="R31" s="362"/>
    </row>
    <row r="32" spans="1:18" x14ac:dyDescent="0.3">
      <c r="A32" s="385">
        <v>23</v>
      </c>
      <c r="B32" s="393"/>
      <c r="C32" s="393"/>
      <c r="D32" s="393"/>
      <c r="E32" s="393"/>
      <c r="F32" s="393"/>
      <c r="G32" s="394"/>
      <c r="H32" s="394"/>
      <c r="I32" s="393"/>
      <c r="J32" s="395"/>
      <c r="K32" s="395"/>
      <c r="L32" s="394"/>
      <c r="M32" s="394"/>
      <c r="N32" s="394"/>
      <c r="O32" s="393"/>
      <c r="P32" s="387"/>
      <c r="Q32" s="362"/>
      <c r="R32" s="362"/>
    </row>
    <row r="33" spans="1:18" x14ac:dyDescent="0.3">
      <c r="A33" s="510">
        <v>24</v>
      </c>
      <c r="B33" s="393"/>
      <c r="C33" s="393"/>
      <c r="D33" s="393"/>
      <c r="E33" s="393"/>
      <c r="F33" s="393"/>
      <c r="G33" s="394"/>
      <c r="H33" s="394"/>
      <c r="I33" s="393"/>
      <c r="J33" s="395"/>
      <c r="K33" s="395"/>
      <c r="L33" s="394"/>
      <c r="M33" s="394"/>
      <c r="N33" s="394"/>
      <c r="O33" s="393"/>
      <c r="P33" s="658"/>
      <c r="Q33" s="659"/>
      <c r="R33" s="362"/>
    </row>
    <row r="34" spans="1:18" x14ac:dyDescent="0.3">
      <c r="A34" s="385">
        <v>25</v>
      </c>
      <c r="B34" s="393"/>
      <c r="C34" s="393"/>
      <c r="D34" s="393"/>
      <c r="E34" s="393"/>
      <c r="F34" s="393"/>
      <c r="G34" s="394"/>
      <c r="H34" s="394"/>
      <c r="I34" s="393"/>
      <c r="J34" s="395"/>
      <c r="K34" s="395"/>
      <c r="L34" s="394"/>
      <c r="M34" s="394"/>
      <c r="N34" s="394"/>
      <c r="O34" s="393"/>
      <c r="P34" s="362"/>
      <c r="Q34" s="362"/>
      <c r="R34" s="362"/>
    </row>
    <row r="35" spans="1:18" x14ac:dyDescent="0.3">
      <c r="A35" s="385">
        <v>26</v>
      </c>
      <c r="B35" s="393"/>
      <c r="C35" s="393"/>
      <c r="D35" s="393"/>
      <c r="E35" s="393"/>
      <c r="F35" s="393"/>
      <c r="G35" s="394"/>
      <c r="H35" s="394"/>
      <c r="I35" s="393"/>
      <c r="J35" s="395"/>
      <c r="K35" s="395"/>
      <c r="L35" s="394"/>
      <c r="M35" s="394"/>
      <c r="N35" s="394"/>
      <c r="O35" s="393"/>
      <c r="P35" s="362"/>
      <c r="Q35" s="362"/>
      <c r="R35" s="362"/>
    </row>
    <row r="36" spans="1:18" x14ac:dyDescent="0.3">
      <c r="A36" s="385">
        <v>27</v>
      </c>
      <c r="B36" s="393"/>
      <c r="C36" s="393"/>
      <c r="D36" s="393"/>
      <c r="E36" s="393"/>
      <c r="F36" s="393"/>
      <c r="G36" s="394"/>
      <c r="H36" s="394"/>
      <c r="I36" s="393"/>
      <c r="J36" s="395"/>
      <c r="K36" s="395"/>
      <c r="L36" s="394"/>
      <c r="M36" s="394"/>
      <c r="N36" s="394"/>
      <c r="O36" s="393"/>
      <c r="P36" s="362"/>
      <c r="Q36" s="362"/>
      <c r="R36" s="362"/>
    </row>
    <row r="37" spans="1:18" x14ac:dyDescent="0.3">
      <c r="A37" s="385">
        <v>28</v>
      </c>
      <c r="B37" s="393"/>
      <c r="C37" s="393"/>
      <c r="D37" s="393"/>
      <c r="E37" s="393"/>
      <c r="F37" s="393"/>
      <c r="G37" s="394"/>
      <c r="H37" s="394"/>
      <c r="I37" s="393"/>
      <c r="J37" s="395"/>
      <c r="K37" s="395"/>
      <c r="L37" s="394"/>
      <c r="M37" s="394"/>
      <c r="N37" s="394"/>
      <c r="O37" s="393"/>
      <c r="P37" s="362"/>
      <c r="Q37" s="362"/>
      <c r="R37" s="362"/>
    </row>
    <row r="38" spans="1:18" x14ac:dyDescent="0.3">
      <c r="A38" s="385">
        <v>29</v>
      </c>
      <c r="B38" s="393"/>
      <c r="C38" s="393"/>
      <c r="D38" s="393"/>
      <c r="E38" s="393"/>
      <c r="F38" s="393"/>
      <c r="G38" s="394"/>
      <c r="H38" s="394"/>
      <c r="I38" s="393"/>
      <c r="J38" s="395"/>
      <c r="K38" s="395"/>
      <c r="L38" s="394"/>
      <c r="M38" s="394"/>
      <c r="N38" s="394"/>
      <c r="O38" s="393"/>
      <c r="P38" s="362"/>
      <c r="Q38" s="362"/>
      <c r="R38" s="362"/>
    </row>
    <row r="39" spans="1:18" x14ac:dyDescent="0.3">
      <c r="A39" s="385">
        <v>30</v>
      </c>
      <c r="B39" s="393"/>
      <c r="C39" s="393"/>
      <c r="D39" s="393"/>
      <c r="E39" s="393"/>
      <c r="F39" s="393"/>
      <c r="G39" s="394"/>
      <c r="H39" s="394"/>
      <c r="I39" s="393"/>
      <c r="J39" s="395"/>
      <c r="K39" s="395"/>
      <c r="L39" s="394"/>
      <c r="M39" s="394"/>
      <c r="N39" s="394"/>
      <c r="O39" s="393"/>
      <c r="P39" s="362"/>
      <c r="Q39" s="362"/>
      <c r="R39" s="362"/>
    </row>
    <row r="40" spans="1:18" x14ac:dyDescent="0.3">
      <c r="A40" s="385">
        <v>31</v>
      </c>
      <c r="B40" s="393"/>
      <c r="C40" s="393"/>
      <c r="D40" s="393"/>
      <c r="E40" s="393"/>
      <c r="F40" s="393"/>
      <c r="G40" s="394"/>
      <c r="H40" s="394"/>
      <c r="I40" s="393"/>
      <c r="J40" s="395"/>
      <c r="K40" s="395"/>
      <c r="L40" s="394"/>
      <c r="M40" s="394"/>
      <c r="N40" s="394"/>
      <c r="O40" s="393"/>
      <c r="P40" s="362"/>
      <c r="Q40" s="362"/>
      <c r="R40" s="362"/>
    </row>
    <row r="41" spans="1:18" x14ac:dyDescent="0.3">
      <c r="A41" s="361"/>
      <c r="B41" s="362"/>
      <c r="C41" s="362"/>
      <c r="D41" s="363" t="e">
        <f>AVERAGE(D10:D40)</f>
        <v>#DIV/0!</v>
      </c>
      <c r="E41" s="362"/>
      <c r="F41" s="362"/>
      <c r="G41" s="363" t="e">
        <f>AVERAGE(G10:G40)</f>
        <v>#DIV/0!</v>
      </c>
      <c r="H41" s="363" t="e">
        <f>AVERAGE(H10:H40)</f>
        <v>#DIV/0!</v>
      </c>
      <c r="I41" s="388">
        <f>SUM(I10:I40)</f>
        <v>0</v>
      </c>
      <c r="J41" s="388">
        <f>SUM(J10:J40)</f>
        <v>0</v>
      </c>
      <c r="K41" s="388">
        <f>SUM(K10:K40)</f>
        <v>0</v>
      </c>
      <c r="L41" s="362"/>
      <c r="M41" s="362"/>
      <c r="N41" s="362"/>
      <c r="O41" s="362"/>
      <c r="P41" s="362"/>
      <c r="Q41" s="362"/>
      <c r="R41" s="362"/>
    </row>
    <row r="42" spans="1:18" x14ac:dyDescent="0.3">
      <c r="A42" s="361"/>
      <c r="B42" s="362"/>
      <c r="C42" s="362"/>
      <c r="D42" s="362"/>
      <c r="E42" s="362"/>
      <c r="F42" s="362"/>
      <c r="G42" s="363"/>
      <c r="H42" s="363"/>
      <c r="I42" s="362"/>
      <c r="J42" s="362"/>
      <c r="K42" s="362"/>
      <c r="L42" s="362"/>
      <c r="M42" s="362"/>
      <c r="N42" s="362"/>
      <c r="O42" s="362"/>
      <c r="P42" s="362"/>
      <c r="Q42" s="362"/>
      <c r="R42" s="362"/>
    </row>
    <row r="43" spans="1:18" x14ac:dyDescent="0.3">
      <c r="A43" s="361"/>
      <c r="B43" s="362"/>
      <c r="C43" s="362"/>
      <c r="D43" s="362"/>
      <c r="E43" s="362"/>
      <c r="F43" s="362"/>
      <c r="G43" s="363"/>
      <c r="H43" s="363"/>
      <c r="I43" s="362"/>
      <c r="J43" s="362"/>
      <c r="K43" s="362"/>
      <c r="L43" s="362"/>
      <c r="M43" s="362"/>
      <c r="N43" s="362"/>
      <c r="O43" s="362"/>
      <c r="P43" s="362"/>
      <c r="Q43" s="362"/>
      <c r="R43" s="362"/>
    </row>
    <row r="44" spans="1:18" x14ac:dyDescent="0.3">
      <c r="A44" s="361"/>
      <c r="B44" s="362"/>
      <c r="C44" s="362"/>
      <c r="D44" s="362"/>
      <c r="E44" s="362"/>
      <c r="F44" s="362"/>
      <c r="G44" s="363"/>
      <c r="H44" s="363"/>
      <c r="I44" s="362"/>
      <c r="J44" s="362"/>
      <c r="K44" s="362"/>
      <c r="L44" s="362"/>
      <c r="M44" s="362"/>
      <c r="N44" s="362"/>
      <c r="O44" s="362"/>
      <c r="P44" s="362"/>
      <c r="Q44" s="362"/>
      <c r="R44" s="362"/>
    </row>
    <row r="45" spans="1:18" x14ac:dyDescent="0.3">
      <c r="A45" s="361"/>
      <c r="B45" s="362"/>
      <c r="C45" s="362"/>
      <c r="D45" s="362"/>
      <c r="E45" s="362"/>
      <c r="F45" s="362"/>
      <c r="G45" s="363"/>
      <c r="H45" s="363"/>
      <c r="I45" s="362"/>
      <c r="J45" s="362"/>
      <c r="K45" s="362"/>
      <c r="L45" s="362"/>
      <c r="M45" s="362"/>
      <c r="N45" s="362"/>
      <c r="O45" s="362"/>
      <c r="P45" s="362"/>
      <c r="Q45" s="362"/>
      <c r="R45" s="362"/>
    </row>
    <row r="46" spans="1:18" x14ac:dyDescent="0.3">
      <c r="A46" s="361"/>
      <c r="B46" s="362"/>
      <c r="C46" s="362"/>
      <c r="D46" s="362"/>
      <c r="E46" s="362"/>
      <c r="F46" s="362"/>
      <c r="G46" s="363"/>
      <c r="H46" s="363"/>
      <c r="I46" s="362"/>
      <c r="J46" s="362"/>
      <c r="K46" s="362"/>
      <c r="L46" s="362"/>
      <c r="M46" s="362"/>
      <c r="N46" s="362"/>
      <c r="O46" s="362"/>
      <c r="P46" s="362"/>
      <c r="Q46" s="362"/>
      <c r="R46" s="362"/>
    </row>
    <row r="47" spans="1:18" x14ac:dyDescent="0.3">
      <c r="A47" s="361"/>
      <c r="B47" s="362"/>
      <c r="C47" s="362"/>
      <c r="D47" s="362"/>
      <c r="E47" s="362"/>
      <c r="F47" s="362"/>
      <c r="G47" s="363"/>
      <c r="H47" s="363"/>
      <c r="I47" s="362"/>
      <c r="J47" s="362"/>
      <c r="K47" s="362"/>
      <c r="L47" s="362"/>
      <c r="M47" s="362"/>
      <c r="N47" s="362"/>
      <c r="O47" s="362"/>
      <c r="P47" s="362"/>
      <c r="Q47" s="362"/>
      <c r="R47" s="362"/>
    </row>
    <row r="48" spans="1:18" x14ac:dyDescent="0.3">
      <c r="A48" s="361"/>
      <c r="B48" s="362"/>
      <c r="C48" s="362"/>
      <c r="D48" s="362"/>
      <c r="E48" s="362"/>
      <c r="F48" s="362"/>
      <c r="G48" s="363"/>
      <c r="H48" s="363"/>
      <c r="I48" s="362"/>
      <c r="J48" s="362"/>
      <c r="K48" s="362"/>
      <c r="L48" s="362"/>
      <c r="M48" s="362"/>
      <c r="N48" s="362"/>
      <c r="O48" s="362"/>
      <c r="P48" s="362"/>
      <c r="Q48" s="362"/>
      <c r="R48" s="362"/>
    </row>
    <row r="49" spans="1:18" x14ac:dyDescent="0.3">
      <c r="A49" s="361"/>
      <c r="B49" s="362"/>
      <c r="C49" s="362"/>
      <c r="D49" s="362"/>
      <c r="E49" s="362"/>
      <c r="F49" s="362"/>
      <c r="G49" s="363"/>
      <c r="H49" s="363"/>
      <c r="I49" s="362"/>
      <c r="J49" s="362"/>
      <c r="K49" s="362"/>
      <c r="L49" s="362"/>
      <c r="M49" s="362"/>
      <c r="N49" s="362"/>
      <c r="O49" s="362"/>
      <c r="P49" s="362"/>
      <c r="Q49" s="362"/>
      <c r="R49" s="362"/>
    </row>
    <row r="50" spans="1:18" x14ac:dyDescent="0.3">
      <c r="A50" s="361"/>
      <c r="B50" s="362"/>
      <c r="C50" s="362"/>
      <c r="D50" s="362"/>
      <c r="E50" s="362"/>
      <c r="F50" s="362"/>
      <c r="G50" s="363"/>
      <c r="H50" s="363"/>
      <c r="I50" s="362"/>
      <c r="J50" s="362"/>
      <c r="K50" s="362"/>
      <c r="L50" s="362"/>
      <c r="M50" s="362"/>
      <c r="N50" s="362"/>
      <c r="O50" s="362"/>
      <c r="P50" s="362"/>
      <c r="Q50" s="362"/>
      <c r="R50" s="362"/>
    </row>
    <row r="51" spans="1:18" x14ac:dyDescent="0.3">
      <c r="A51" s="361"/>
      <c r="B51" s="362"/>
      <c r="C51" s="362"/>
      <c r="D51" s="362"/>
      <c r="E51" s="362"/>
      <c r="F51" s="362"/>
      <c r="G51" s="363"/>
      <c r="H51" s="363"/>
      <c r="I51" s="362"/>
      <c r="J51" s="362"/>
      <c r="K51" s="362"/>
      <c r="L51" s="362"/>
      <c r="M51" s="362"/>
      <c r="N51" s="362"/>
      <c r="O51" s="362"/>
      <c r="P51" s="362"/>
      <c r="Q51" s="362"/>
      <c r="R51" s="362"/>
    </row>
    <row r="52" spans="1:18" x14ac:dyDescent="0.3">
      <c r="A52" s="361"/>
      <c r="B52" s="362"/>
      <c r="C52" s="362"/>
      <c r="D52" s="362"/>
      <c r="E52" s="362"/>
      <c r="F52" s="362"/>
      <c r="G52" s="363"/>
      <c r="H52" s="363"/>
      <c r="I52" s="362"/>
      <c r="J52" s="362"/>
      <c r="K52" s="362"/>
      <c r="L52" s="362"/>
      <c r="M52" s="362"/>
      <c r="N52" s="362"/>
      <c r="O52" s="362"/>
      <c r="P52" s="362"/>
      <c r="Q52" s="362"/>
      <c r="R52" s="362"/>
    </row>
    <row r="53" spans="1:18" x14ac:dyDescent="0.3">
      <c r="A53" s="361"/>
      <c r="B53" s="362"/>
      <c r="C53" s="362"/>
      <c r="D53" s="362"/>
      <c r="E53" s="362"/>
      <c r="F53" s="362"/>
      <c r="G53" s="363"/>
      <c r="H53" s="363"/>
      <c r="I53" s="362"/>
      <c r="J53" s="362"/>
      <c r="K53" s="362"/>
      <c r="L53" s="362"/>
      <c r="M53" s="362"/>
      <c r="N53" s="362"/>
      <c r="O53" s="362"/>
      <c r="P53" s="362"/>
      <c r="Q53" s="362"/>
      <c r="R53" s="362"/>
    </row>
    <row r="54" spans="1:18" x14ac:dyDescent="0.3">
      <c r="A54" s="361"/>
      <c r="B54" s="362"/>
      <c r="C54" s="362"/>
      <c r="D54" s="362"/>
      <c r="E54" s="362"/>
      <c r="F54" s="362"/>
      <c r="G54" s="363"/>
      <c r="H54" s="363"/>
      <c r="I54" s="362"/>
      <c r="J54" s="362"/>
      <c r="K54" s="362"/>
      <c r="L54" s="362"/>
      <c r="M54" s="362"/>
      <c r="N54" s="362"/>
      <c r="O54" s="362"/>
      <c r="P54" s="362"/>
      <c r="Q54" s="362"/>
      <c r="R54" s="362"/>
    </row>
    <row r="55" spans="1:18" x14ac:dyDescent="0.3">
      <c r="A55" s="361"/>
      <c r="B55" s="362"/>
      <c r="C55" s="362"/>
      <c r="D55" s="362"/>
      <c r="E55" s="362"/>
      <c r="F55" s="362"/>
      <c r="G55" s="363"/>
      <c r="H55" s="363"/>
      <c r="I55" s="362"/>
      <c r="J55" s="362"/>
      <c r="K55" s="362"/>
      <c r="L55" s="362"/>
      <c r="M55" s="362"/>
      <c r="N55" s="362"/>
      <c r="O55" s="362"/>
      <c r="P55" s="362"/>
      <c r="Q55" s="362"/>
      <c r="R55" s="362"/>
    </row>
    <row r="56" spans="1:18" x14ac:dyDescent="0.3">
      <c r="A56" s="361"/>
      <c r="B56" s="362"/>
      <c r="C56" s="362"/>
      <c r="D56" s="362"/>
      <c r="E56" s="362"/>
      <c r="F56" s="362"/>
      <c r="G56" s="363"/>
      <c r="H56" s="363"/>
      <c r="I56" s="362"/>
      <c r="J56" s="362"/>
      <c r="K56" s="362"/>
      <c r="L56" s="362"/>
      <c r="M56" s="362"/>
      <c r="N56" s="362"/>
      <c r="O56" s="362"/>
      <c r="P56" s="362"/>
      <c r="Q56" s="362"/>
      <c r="R56" s="362"/>
    </row>
    <row r="57" spans="1:18" x14ac:dyDescent="0.3">
      <c r="A57" s="361"/>
      <c r="B57" s="362"/>
      <c r="C57" s="362"/>
      <c r="D57" s="362"/>
      <c r="E57" s="362"/>
      <c r="F57" s="362"/>
      <c r="G57" s="363"/>
      <c r="H57" s="363"/>
      <c r="I57" s="362"/>
      <c r="J57" s="362"/>
      <c r="K57" s="362"/>
      <c r="L57" s="362"/>
      <c r="M57" s="362"/>
      <c r="N57" s="362"/>
      <c r="O57" s="362"/>
      <c r="P57" s="362"/>
      <c r="Q57" s="362"/>
      <c r="R57" s="362"/>
    </row>
    <row r="58" spans="1:18" x14ac:dyDescent="0.3">
      <c r="A58" s="361"/>
      <c r="B58" s="362"/>
      <c r="C58" s="362"/>
      <c r="D58" s="362"/>
      <c r="E58" s="362"/>
      <c r="F58" s="362"/>
      <c r="G58" s="363"/>
      <c r="H58" s="363"/>
      <c r="I58" s="362"/>
      <c r="J58" s="362"/>
      <c r="K58" s="362"/>
      <c r="L58" s="362"/>
      <c r="M58" s="362"/>
      <c r="N58" s="362"/>
      <c r="O58" s="362"/>
      <c r="P58" s="362"/>
      <c r="Q58" s="362"/>
      <c r="R58" s="362"/>
    </row>
    <row r="59" spans="1:18" x14ac:dyDescent="0.3">
      <c r="A59" s="361"/>
      <c r="B59" s="362"/>
      <c r="C59" s="362"/>
      <c r="D59" s="362"/>
      <c r="E59" s="362"/>
      <c r="F59" s="362"/>
      <c r="G59" s="363"/>
      <c r="H59" s="363"/>
      <c r="I59" s="362"/>
      <c r="J59" s="362"/>
      <c r="K59" s="362"/>
      <c r="L59" s="362"/>
      <c r="M59" s="362"/>
      <c r="N59" s="362"/>
      <c r="O59" s="362"/>
      <c r="P59" s="362"/>
      <c r="Q59" s="362"/>
      <c r="R59" s="362"/>
    </row>
    <row r="60" spans="1:18" x14ac:dyDescent="0.3">
      <c r="A60" s="361"/>
      <c r="B60" s="362"/>
      <c r="C60" s="362"/>
      <c r="D60" s="362"/>
      <c r="E60" s="362"/>
      <c r="F60" s="362"/>
      <c r="G60" s="363"/>
      <c r="H60" s="363"/>
      <c r="I60" s="362"/>
      <c r="J60" s="362"/>
      <c r="K60" s="362"/>
      <c r="L60" s="362"/>
      <c r="M60" s="362"/>
      <c r="N60" s="362"/>
      <c r="O60" s="362"/>
      <c r="P60" s="362"/>
      <c r="Q60" s="362"/>
      <c r="R60" s="362"/>
    </row>
    <row r="61" spans="1:18" x14ac:dyDescent="0.3">
      <c r="A61" s="361"/>
      <c r="B61" s="362"/>
      <c r="C61" s="362"/>
      <c r="D61" s="362"/>
      <c r="E61" s="362"/>
      <c r="F61" s="362"/>
      <c r="G61" s="363"/>
      <c r="H61" s="363"/>
      <c r="I61" s="362"/>
      <c r="J61" s="362"/>
    </row>
    <row r="62" spans="1:18" x14ac:dyDescent="0.3">
      <c r="A62" s="361"/>
      <c r="B62" s="362"/>
      <c r="C62" s="362"/>
      <c r="D62" s="362"/>
      <c r="E62" s="362"/>
      <c r="F62" s="362"/>
      <c r="G62" s="363"/>
      <c r="H62" s="363"/>
      <c r="I62" s="362"/>
      <c r="J62" s="362"/>
    </row>
    <row r="63" spans="1:18" x14ac:dyDescent="0.3">
      <c r="A63" s="361"/>
      <c r="B63" s="362"/>
      <c r="C63" s="362"/>
      <c r="D63" s="362"/>
      <c r="E63" s="362"/>
      <c r="F63" s="362"/>
      <c r="G63" s="363"/>
      <c r="H63" s="363"/>
      <c r="I63" s="362"/>
      <c r="J63" s="362"/>
    </row>
    <row r="64" spans="1:18" x14ac:dyDescent="0.3">
      <c r="A64" s="361"/>
      <c r="B64" s="362"/>
      <c r="C64" s="362"/>
      <c r="D64" s="362"/>
      <c r="E64" s="362"/>
      <c r="F64" s="362"/>
      <c r="G64" s="363"/>
      <c r="H64" s="363"/>
      <c r="I64" s="362"/>
      <c r="J64" s="362"/>
    </row>
    <row r="65" spans="1:10" x14ac:dyDescent="0.3">
      <c r="A65" s="361"/>
      <c r="B65" s="362"/>
      <c r="C65" s="362"/>
      <c r="D65" s="362"/>
      <c r="E65" s="362"/>
      <c r="F65" s="362"/>
      <c r="G65" s="363"/>
      <c r="H65" s="363"/>
      <c r="I65" s="362"/>
      <c r="J65" s="362"/>
    </row>
    <row r="66" spans="1:10" x14ac:dyDescent="0.3">
      <c r="A66" s="361"/>
      <c r="B66" s="362"/>
      <c r="C66" s="362"/>
      <c r="D66" s="362"/>
      <c r="E66" s="362"/>
      <c r="F66" s="362"/>
      <c r="G66" s="363"/>
      <c r="H66" s="363"/>
      <c r="I66" s="362"/>
      <c r="J66" s="362"/>
    </row>
    <row r="67" spans="1:10" x14ac:dyDescent="0.3">
      <c r="A67" s="361"/>
      <c r="B67" s="362"/>
      <c r="C67" s="362"/>
      <c r="D67" s="362"/>
      <c r="E67" s="362"/>
      <c r="F67" s="362"/>
      <c r="G67" s="363"/>
      <c r="H67" s="363"/>
      <c r="I67" s="362"/>
      <c r="J67" s="362"/>
    </row>
    <row r="68" spans="1:10" x14ac:dyDescent="0.3">
      <c r="A68" s="361"/>
      <c r="B68" s="362"/>
      <c r="C68" s="362"/>
      <c r="D68" s="362"/>
      <c r="E68" s="362"/>
      <c r="F68" s="362"/>
      <c r="G68" s="363"/>
      <c r="H68" s="363"/>
      <c r="I68" s="362"/>
      <c r="J68" s="362"/>
    </row>
    <row r="69" spans="1:10" x14ac:dyDescent="0.3">
      <c r="A69" s="361"/>
      <c r="B69" s="362"/>
      <c r="C69" s="362"/>
      <c r="D69" s="362"/>
      <c r="E69" s="362"/>
      <c r="F69" s="362"/>
      <c r="G69" s="363"/>
      <c r="H69" s="363"/>
      <c r="I69" s="362"/>
      <c r="J69" s="362"/>
    </row>
    <row r="70" spans="1:10" x14ac:dyDescent="0.3">
      <c r="A70" s="361"/>
      <c r="B70" s="362"/>
      <c r="C70" s="362"/>
      <c r="D70" s="362"/>
      <c r="E70" s="362"/>
      <c r="F70" s="362"/>
      <c r="G70" s="363"/>
      <c r="H70" s="363"/>
      <c r="I70" s="362"/>
      <c r="J70" s="362"/>
    </row>
    <row r="71" spans="1:10" x14ac:dyDescent="0.3">
      <c r="A71" s="361"/>
      <c r="B71" s="362"/>
      <c r="C71" s="362"/>
      <c r="D71" s="362"/>
      <c r="E71" s="362"/>
      <c r="F71" s="362"/>
      <c r="G71" s="363"/>
      <c r="H71" s="363"/>
      <c r="I71" s="362"/>
      <c r="J71" s="362"/>
    </row>
    <row r="72" spans="1:10" x14ac:dyDescent="0.3">
      <c r="A72" s="361"/>
      <c r="B72" s="362"/>
      <c r="C72" s="362"/>
      <c r="D72" s="362"/>
      <c r="E72" s="362"/>
      <c r="F72" s="362"/>
      <c r="G72" s="363"/>
      <c r="H72" s="363"/>
      <c r="I72" s="362"/>
      <c r="J72" s="362"/>
    </row>
    <row r="73" spans="1:10" x14ac:dyDescent="0.3">
      <c r="A73" s="361"/>
      <c r="B73" s="362"/>
      <c r="C73" s="362"/>
      <c r="D73" s="362"/>
      <c r="E73" s="362"/>
      <c r="F73" s="362"/>
      <c r="G73" s="363"/>
      <c r="H73" s="363"/>
      <c r="I73" s="362"/>
      <c r="J73" s="362"/>
    </row>
    <row r="74" spans="1:10" x14ac:dyDescent="0.3">
      <c r="A74" s="361"/>
      <c r="B74" s="362"/>
      <c r="C74" s="362"/>
      <c r="D74" s="362"/>
      <c r="E74" s="362"/>
      <c r="F74" s="362"/>
      <c r="G74" s="363"/>
      <c r="H74" s="363"/>
      <c r="I74" s="362"/>
      <c r="J74" s="362"/>
    </row>
    <row r="75" spans="1:10" x14ac:dyDescent="0.3">
      <c r="A75" s="361"/>
      <c r="B75" s="362"/>
      <c r="C75" s="362"/>
      <c r="D75" s="362"/>
      <c r="E75" s="362"/>
      <c r="F75" s="362"/>
      <c r="G75" s="363"/>
      <c r="H75" s="363"/>
      <c r="I75" s="362"/>
      <c r="J75" s="362"/>
    </row>
    <row r="76" spans="1:10" x14ac:dyDescent="0.3">
      <c r="A76" s="361"/>
      <c r="B76" s="362"/>
      <c r="C76" s="362"/>
      <c r="D76" s="362"/>
      <c r="E76" s="362"/>
      <c r="F76" s="362"/>
      <c r="G76" s="363"/>
      <c r="H76" s="363"/>
      <c r="I76" s="362"/>
      <c r="J76" s="362"/>
    </row>
    <row r="77" spans="1:10" x14ac:dyDescent="0.3">
      <c r="A77" s="361"/>
      <c r="B77" s="362"/>
      <c r="C77" s="362"/>
      <c r="D77" s="362"/>
      <c r="E77" s="362"/>
      <c r="F77" s="362"/>
      <c r="G77" s="363"/>
      <c r="H77" s="363"/>
      <c r="I77" s="362"/>
      <c r="J77" s="362"/>
    </row>
    <row r="78" spans="1:10" x14ac:dyDescent="0.3">
      <c r="A78" s="361"/>
      <c r="B78" s="362"/>
      <c r="C78" s="362"/>
      <c r="D78" s="362"/>
      <c r="E78" s="362"/>
      <c r="F78" s="362"/>
      <c r="G78" s="363"/>
      <c r="H78" s="363"/>
      <c r="I78" s="362"/>
      <c r="J78" s="362"/>
    </row>
    <row r="79" spans="1:10" x14ac:dyDescent="0.3">
      <c r="A79" s="361"/>
      <c r="B79" s="362"/>
      <c r="C79" s="362"/>
      <c r="D79" s="362"/>
      <c r="E79" s="362"/>
      <c r="F79" s="362"/>
      <c r="G79" s="363"/>
      <c r="H79" s="363"/>
      <c r="I79" s="362"/>
      <c r="J79" s="362"/>
    </row>
    <row r="80" spans="1:10" x14ac:dyDescent="0.3">
      <c r="A80" s="361"/>
      <c r="B80" s="362"/>
      <c r="C80" s="362"/>
      <c r="D80" s="362"/>
      <c r="E80" s="362"/>
      <c r="F80" s="362"/>
      <c r="G80" s="363"/>
      <c r="H80" s="363"/>
      <c r="I80" s="362"/>
      <c r="J80" s="362"/>
    </row>
    <row r="81" spans="1:10" x14ac:dyDescent="0.3">
      <c r="A81" s="361"/>
      <c r="B81" s="362"/>
      <c r="C81" s="362"/>
      <c r="D81" s="362"/>
      <c r="E81" s="362"/>
      <c r="F81" s="362"/>
      <c r="G81" s="363"/>
      <c r="H81" s="363"/>
      <c r="I81" s="362"/>
      <c r="J81" s="362"/>
    </row>
    <row r="82" spans="1:10" x14ac:dyDescent="0.3">
      <c r="A82" s="361"/>
      <c r="B82" s="362"/>
      <c r="C82" s="362"/>
      <c r="D82" s="362"/>
      <c r="E82" s="362"/>
      <c r="F82" s="362"/>
      <c r="G82" s="363"/>
      <c r="H82" s="363"/>
      <c r="I82" s="362"/>
      <c r="J82" s="362"/>
    </row>
    <row r="83" spans="1:10" x14ac:dyDescent="0.3">
      <c r="A83" s="361"/>
      <c r="B83" s="362"/>
      <c r="C83" s="362"/>
      <c r="D83" s="362"/>
      <c r="E83" s="362"/>
      <c r="F83" s="362"/>
      <c r="G83" s="363"/>
      <c r="H83" s="363"/>
      <c r="I83" s="362"/>
      <c r="J83" s="362"/>
    </row>
    <row r="84" spans="1:10" x14ac:dyDescent="0.3">
      <c r="A84" s="361"/>
      <c r="B84" s="362"/>
      <c r="C84" s="362"/>
      <c r="D84" s="362"/>
      <c r="E84" s="362"/>
      <c r="F84" s="362"/>
      <c r="G84" s="363"/>
      <c r="H84" s="363"/>
      <c r="I84" s="362"/>
      <c r="J84" s="362"/>
    </row>
    <row r="85" spans="1:10" x14ac:dyDescent="0.3">
      <c r="A85" s="361"/>
      <c r="B85" s="362"/>
      <c r="C85" s="362"/>
      <c r="D85" s="362"/>
      <c r="E85" s="362"/>
      <c r="F85" s="362"/>
      <c r="G85" s="363"/>
      <c r="H85" s="363"/>
      <c r="I85" s="362"/>
      <c r="J85" s="362"/>
    </row>
    <row r="86" spans="1:10" x14ac:dyDescent="0.3">
      <c r="A86" s="361"/>
      <c r="B86" s="362"/>
      <c r="C86" s="362"/>
      <c r="D86" s="362"/>
      <c r="E86" s="362"/>
      <c r="F86" s="362"/>
      <c r="G86" s="363"/>
      <c r="H86" s="363"/>
      <c r="I86" s="362"/>
      <c r="J86" s="362"/>
    </row>
    <row r="87" spans="1:10" x14ac:dyDescent="0.3">
      <c r="A87" s="361"/>
      <c r="B87" s="362"/>
      <c r="C87" s="362"/>
      <c r="D87" s="362"/>
      <c r="E87" s="362"/>
      <c r="F87" s="362"/>
      <c r="G87" s="363"/>
      <c r="H87" s="363"/>
      <c r="I87" s="362"/>
      <c r="J87" s="362"/>
    </row>
    <row r="88" spans="1:10" x14ac:dyDescent="0.3">
      <c r="A88" s="361"/>
      <c r="B88" s="362"/>
      <c r="C88" s="362"/>
      <c r="D88" s="362"/>
      <c r="E88" s="362"/>
      <c r="F88" s="362"/>
      <c r="G88" s="363"/>
      <c r="H88" s="363"/>
      <c r="I88" s="362"/>
      <c r="J88" s="362"/>
    </row>
    <row r="89" spans="1:10" x14ac:dyDescent="0.3">
      <c r="A89" s="361"/>
      <c r="B89" s="362"/>
      <c r="C89" s="362"/>
      <c r="D89" s="362"/>
      <c r="E89" s="362"/>
      <c r="F89" s="362"/>
      <c r="G89" s="363"/>
      <c r="H89" s="363"/>
      <c r="I89" s="362"/>
      <c r="J89" s="362"/>
    </row>
    <row r="90" spans="1:10" x14ac:dyDescent="0.3">
      <c r="A90" s="361"/>
      <c r="B90" s="362"/>
      <c r="C90" s="362"/>
      <c r="D90" s="362"/>
      <c r="E90" s="362"/>
      <c r="F90" s="362"/>
      <c r="G90" s="363"/>
      <c r="H90" s="363"/>
      <c r="I90" s="362"/>
      <c r="J90" s="362"/>
    </row>
    <row r="91" spans="1:10" x14ac:dyDescent="0.3">
      <c r="A91" s="361"/>
      <c r="B91" s="362"/>
      <c r="C91" s="362"/>
      <c r="D91" s="362"/>
      <c r="E91" s="362"/>
      <c r="F91" s="362"/>
      <c r="G91" s="363"/>
      <c r="H91" s="363"/>
      <c r="I91" s="362"/>
      <c r="J91" s="362"/>
    </row>
    <row r="92" spans="1:10" x14ac:dyDescent="0.3">
      <c r="A92" s="361"/>
      <c r="B92" s="362"/>
      <c r="C92" s="362"/>
      <c r="D92" s="362"/>
      <c r="E92" s="362"/>
      <c r="F92" s="362"/>
      <c r="G92" s="363"/>
      <c r="H92" s="363"/>
      <c r="I92" s="362"/>
      <c r="J92" s="362"/>
    </row>
    <row r="93" spans="1:10" x14ac:dyDescent="0.3">
      <c r="A93" s="361"/>
      <c r="B93" s="362"/>
      <c r="C93" s="362"/>
      <c r="D93" s="362"/>
      <c r="E93" s="362"/>
      <c r="F93" s="362"/>
      <c r="G93" s="363"/>
      <c r="H93" s="363"/>
      <c r="I93" s="362"/>
      <c r="J93" s="362"/>
    </row>
    <row r="94" spans="1:10" x14ac:dyDescent="0.3">
      <c r="A94" s="361"/>
      <c r="B94" s="362"/>
      <c r="C94" s="362"/>
      <c r="D94" s="362"/>
      <c r="E94" s="362"/>
      <c r="F94" s="362"/>
      <c r="G94" s="363"/>
      <c r="H94" s="363"/>
      <c r="I94" s="362"/>
      <c r="J94" s="362"/>
    </row>
    <row r="95" spans="1:10" x14ac:dyDescent="0.3">
      <c r="A95" s="361"/>
      <c r="B95" s="362"/>
      <c r="C95" s="362"/>
      <c r="D95" s="362"/>
      <c r="E95" s="362"/>
      <c r="F95" s="362"/>
      <c r="G95" s="363"/>
      <c r="H95" s="363"/>
      <c r="I95" s="362"/>
      <c r="J95" s="362"/>
    </row>
    <row r="96" spans="1:10" x14ac:dyDescent="0.3">
      <c r="A96" s="361"/>
      <c r="B96" s="362"/>
      <c r="C96" s="362"/>
      <c r="D96" s="362"/>
      <c r="E96" s="362"/>
      <c r="F96" s="362"/>
      <c r="G96" s="363"/>
      <c r="H96" s="363"/>
      <c r="I96" s="362"/>
      <c r="J96" s="362"/>
    </row>
    <row r="97" spans="1:10" x14ac:dyDescent="0.3">
      <c r="A97" s="361"/>
      <c r="B97" s="362"/>
      <c r="C97" s="362"/>
      <c r="D97" s="362"/>
      <c r="E97" s="362"/>
      <c r="F97" s="362"/>
      <c r="G97" s="363"/>
      <c r="H97" s="363"/>
      <c r="I97" s="362"/>
      <c r="J97" s="362"/>
    </row>
    <row r="98" spans="1:10" x14ac:dyDescent="0.3">
      <c r="A98" s="361"/>
      <c r="B98" s="362"/>
      <c r="C98" s="362"/>
      <c r="D98" s="362"/>
      <c r="E98" s="362"/>
      <c r="F98" s="362"/>
      <c r="G98" s="363"/>
      <c r="H98" s="363"/>
      <c r="I98" s="362"/>
      <c r="J98" s="362"/>
    </row>
    <row r="99" spans="1:10" x14ac:dyDescent="0.3">
      <c r="A99" s="361"/>
      <c r="B99" s="362"/>
      <c r="C99" s="362"/>
      <c r="D99" s="362"/>
      <c r="E99" s="362"/>
      <c r="F99" s="362"/>
      <c r="G99" s="363"/>
      <c r="H99" s="363"/>
      <c r="I99" s="362"/>
      <c r="J99" s="362"/>
    </row>
    <row r="100" spans="1:10" x14ac:dyDescent="0.3">
      <c r="A100" s="361"/>
      <c r="B100" s="362"/>
      <c r="C100" s="362"/>
      <c r="D100" s="362"/>
      <c r="E100" s="362"/>
      <c r="F100" s="362"/>
      <c r="G100" s="363"/>
      <c r="H100" s="363"/>
      <c r="I100" s="362"/>
      <c r="J100" s="362"/>
    </row>
    <row r="101" spans="1:10" x14ac:dyDescent="0.3">
      <c r="A101" s="361"/>
      <c r="B101" s="362"/>
      <c r="C101" s="362"/>
      <c r="D101" s="362"/>
      <c r="E101" s="362"/>
      <c r="F101" s="362"/>
      <c r="G101" s="363"/>
      <c r="H101" s="363"/>
      <c r="I101" s="362"/>
      <c r="J101" s="362"/>
    </row>
    <row r="102" spans="1:10" x14ac:dyDescent="0.3">
      <c r="A102" s="361"/>
      <c r="B102" s="362"/>
      <c r="C102" s="362"/>
      <c r="D102" s="362"/>
      <c r="E102" s="362"/>
      <c r="F102" s="362"/>
      <c r="G102" s="363"/>
      <c r="H102" s="363"/>
      <c r="I102" s="362"/>
      <c r="J102" s="362"/>
    </row>
    <row r="103" spans="1:10" x14ac:dyDescent="0.3">
      <c r="A103" s="361"/>
      <c r="B103" s="362"/>
      <c r="C103" s="362"/>
      <c r="D103" s="362"/>
      <c r="E103" s="362"/>
      <c r="F103" s="362"/>
      <c r="G103" s="363"/>
      <c r="H103" s="363"/>
      <c r="I103" s="362"/>
      <c r="J103" s="362"/>
    </row>
    <row r="104" spans="1:10" x14ac:dyDescent="0.3">
      <c r="A104" s="361"/>
      <c r="B104" s="362"/>
      <c r="C104" s="362"/>
      <c r="D104" s="362"/>
      <c r="E104" s="362"/>
      <c r="F104" s="362"/>
      <c r="G104" s="363"/>
      <c r="H104" s="363"/>
      <c r="I104" s="362"/>
      <c r="J104" s="362"/>
    </row>
    <row r="105" spans="1:10" x14ac:dyDescent="0.3">
      <c r="A105" s="361"/>
      <c r="B105" s="362"/>
      <c r="C105" s="362"/>
      <c r="D105" s="362"/>
      <c r="E105" s="362"/>
      <c r="F105" s="362"/>
      <c r="G105" s="363"/>
      <c r="H105" s="363"/>
      <c r="I105" s="362"/>
      <c r="J105" s="362"/>
    </row>
    <row r="106" spans="1:10" x14ac:dyDescent="0.3">
      <c r="A106" s="361"/>
      <c r="B106" s="362"/>
      <c r="C106" s="362"/>
      <c r="D106" s="362"/>
      <c r="E106" s="362"/>
      <c r="F106" s="362"/>
      <c r="G106" s="363"/>
      <c r="H106" s="363"/>
      <c r="I106" s="362"/>
      <c r="J106" s="362"/>
    </row>
    <row r="107" spans="1:10" x14ac:dyDescent="0.3">
      <c r="A107" s="361"/>
      <c r="B107" s="362"/>
      <c r="C107" s="362"/>
      <c r="D107" s="362"/>
      <c r="E107" s="362"/>
      <c r="F107" s="362"/>
      <c r="G107" s="363"/>
      <c r="H107" s="363"/>
      <c r="I107" s="362"/>
      <c r="J107" s="362"/>
    </row>
    <row r="108" spans="1:10" x14ac:dyDescent="0.3">
      <c r="A108" s="361"/>
      <c r="B108" s="362"/>
      <c r="C108" s="362"/>
      <c r="D108" s="362"/>
      <c r="E108" s="362"/>
      <c r="F108" s="362"/>
      <c r="G108" s="363"/>
      <c r="H108" s="363"/>
      <c r="I108" s="362"/>
      <c r="J108" s="362"/>
    </row>
    <row r="109" spans="1:10" x14ac:dyDescent="0.3">
      <c r="A109" s="361"/>
      <c r="B109" s="362"/>
      <c r="C109" s="362"/>
      <c r="D109" s="362"/>
      <c r="E109" s="362"/>
      <c r="F109" s="362"/>
      <c r="G109" s="363"/>
      <c r="H109" s="363"/>
      <c r="I109" s="362"/>
      <c r="J109" s="362"/>
    </row>
    <row r="110" spans="1:10" x14ac:dyDescent="0.3">
      <c r="A110" s="361"/>
      <c r="B110" s="362"/>
      <c r="C110" s="362"/>
      <c r="D110" s="362"/>
      <c r="E110" s="362"/>
      <c r="F110" s="362"/>
      <c r="G110" s="363"/>
      <c r="H110" s="363"/>
      <c r="I110" s="362"/>
      <c r="J110" s="362"/>
    </row>
    <row r="111" spans="1:10" x14ac:dyDescent="0.3">
      <c r="A111" s="361"/>
      <c r="B111" s="362"/>
      <c r="C111" s="362"/>
      <c r="D111" s="362"/>
      <c r="E111" s="362"/>
      <c r="F111" s="362"/>
      <c r="G111" s="363"/>
      <c r="H111" s="363"/>
      <c r="I111" s="362"/>
      <c r="J111" s="362"/>
    </row>
    <row r="112" spans="1:10" x14ac:dyDescent="0.3">
      <c r="A112" s="361"/>
      <c r="B112" s="362"/>
      <c r="C112" s="362"/>
      <c r="D112" s="362"/>
      <c r="E112" s="362"/>
      <c r="F112" s="362"/>
      <c r="G112" s="363"/>
      <c r="H112" s="363"/>
      <c r="I112" s="362"/>
      <c r="J112" s="362"/>
    </row>
    <row r="113" spans="1:10" x14ac:dyDescent="0.3">
      <c r="A113" s="361"/>
      <c r="B113" s="362"/>
      <c r="C113" s="362"/>
      <c r="D113" s="362"/>
      <c r="E113" s="362"/>
      <c r="F113" s="362"/>
      <c r="G113" s="363"/>
      <c r="H113" s="363"/>
      <c r="I113" s="362"/>
      <c r="J113" s="362"/>
    </row>
    <row r="114" spans="1:10" x14ac:dyDescent="0.3">
      <c r="A114" s="361"/>
      <c r="B114" s="362"/>
      <c r="C114" s="362"/>
      <c r="D114" s="362"/>
      <c r="E114" s="362"/>
      <c r="F114" s="362"/>
      <c r="G114" s="363"/>
      <c r="H114" s="363"/>
      <c r="I114" s="362"/>
      <c r="J114" s="362"/>
    </row>
    <row r="115" spans="1:10" x14ac:dyDescent="0.3">
      <c r="A115" s="361"/>
      <c r="B115" s="362"/>
      <c r="C115" s="362"/>
      <c r="D115" s="362"/>
      <c r="E115" s="362"/>
      <c r="F115" s="362"/>
      <c r="G115" s="363"/>
      <c r="H115" s="363"/>
      <c r="I115" s="362"/>
      <c r="J115" s="362"/>
    </row>
    <row r="116" spans="1:10" x14ac:dyDescent="0.3">
      <c r="A116" s="361"/>
      <c r="B116" s="362"/>
      <c r="C116" s="362"/>
      <c r="D116" s="362"/>
      <c r="E116" s="362"/>
      <c r="F116" s="362"/>
      <c r="G116" s="363"/>
      <c r="H116" s="363"/>
      <c r="I116" s="362"/>
      <c r="J116" s="362"/>
    </row>
    <row r="117" spans="1:10" x14ac:dyDescent="0.3">
      <c r="A117" s="361"/>
      <c r="B117" s="362"/>
      <c r="C117" s="362"/>
      <c r="D117" s="362"/>
      <c r="E117" s="362"/>
      <c r="F117" s="362"/>
      <c r="G117" s="363"/>
      <c r="H117" s="363"/>
      <c r="I117" s="362"/>
      <c r="J117" s="362"/>
    </row>
    <row r="118" spans="1:10" x14ac:dyDescent="0.3">
      <c r="A118" s="361"/>
      <c r="B118" s="362"/>
      <c r="C118" s="362"/>
      <c r="D118" s="362"/>
      <c r="E118" s="362"/>
      <c r="F118" s="362"/>
      <c r="G118" s="363"/>
      <c r="H118" s="363"/>
      <c r="I118" s="362"/>
      <c r="J118" s="362"/>
    </row>
    <row r="119" spans="1:10" x14ac:dyDescent="0.3">
      <c r="A119" s="361"/>
      <c r="B119" s="362"/>
      <c r="C119" s="362"/>
      <c r="D119" s="362"/>
      <c r="E119" s="362"/>
      <c r="F119" s="362"/>
      <c r="G119" s="363"/>
      <c r="H119" s="363"/>
      <c r="I119" s="362"/>
      <c r="J119" s="362"/>
    </row>
    <row r="120" spans="1:10" x14ac:dyDescent="0.3">
      <c r="A120" s="361"/>
      <c r="B120" s="362"/>
      <c r="C120" s="362"/>
      <c r="D120" s="362"/>
      <c r="E120" s="362"/>
      <c r="F120" s="362"/>
      <c r="G120" s="363"/>
      <c r="H120" s="363"/>
      <c r="I120" s="362"/>
      <c r="J120" s="362"/>
    </row>
    <row r="121" spans="1:10" x14ac:dyDescent="0.3">
      <c r="A121" s="361"/>
      <c r="B121" s="362"/>
      <c r="C121" s="362"/>
      <c r="D121" s="362"/>
      <c r="E121" s="362"/>
      <c r="F121" s="362"/>
      <c r="G121" s="363"/>
      <c r="H121" s="363"/>
      <c r="I121" s="362"/>
      <c r="J121" s="362"/>
    </row>
    <row r="122" spans="1:10" x14ac:dyDescent="0.3">
      <c r="A122" s="361"/>
      <c r="B122" s="362"/>
      <c r="C122" s="362"/>
      <c r="D122" s="362"/>
      <c r="E122" s="362"/>
      <c r="F122" s="362"/>
      <c r="G122" s="363"/>
      <c r="H122" s="363"/>
      <c r="I122" s="362"/>
      <c r="J122" s="362"/>
    </row>
    <row r="123" spans="1:10" x14ac:dyDescent="0.3">
      <c r="A123" s="361"/>
      <c r="B123" s="362"/>
      <c r="C123" s="362"/>
      <c r="D123" s="362"/>
      <c r="E123" s="362"/>
      <c r="F123" s="362"/>
      <c r="G123" s="363"/>
      <c r="H123" s="363"/>
      <c r="I123" s="362"/>
      <c r="J123" s="362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09375" defaultRowHeight="14.4" x14ac:dyDescent="0.3"/>
  <cols>
    <col min="1" max="1" width="6.109375" style="389" customWidth="1"/>
    <col min="2" max="3" width="10.33203125" style="364" customWidth="1"/>
    <col min="4" max="4" width="7.6640625" style="366" customWidth="1"/>
    <col min="5" max="6" width="7.6640625" style="364" customWidth="1"/>
    <col min="7" max="7" width="8.88671875" style="364" customWidth="1"/>
    <col min="8" max="8" width="9.88671875" style="364" customWidth="1"/>
    <col min="9" max="9" width="14.33203125" style="364" customWidth="1"/>
    <col min="10" max="10" width="12.5546875" style="364" customWidth="1"/>
    <col min="11" max="11" width="11.5546875" style="364" customWidth="1"/>
    <col min="12" max="12" width="11.109375" style="364" customWidth="1"/>
    <col min="13" max="13" width="10.109375" style="364" customWidth="1"/>
    <col min="14" max="14" width="12.109375" style="364" customWidth="1"/>
    <col min="15" max="15" width="16.88671875" style="364" customWidth="1"/>
    <col min="16" max="16384" width="9.109375" style="364"/>
  </cols>
  <sheetData>
    <row r="1" spans="1:18" x14ac:dyDescent="0.3">
      <c r="A1" s="361"/>
      <c r="B1" s="362"/>
      <c r="C1" s="362"/>
      <c r="D1" s="363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</row>
    <row r="2" spans="1:18" x14ac:dyDescent="0.3">
      <c r="A2" s="361"/>
      <c r="B2" s="362"/>
      <c r="C2" s="362"/>
      <c r="D2" s="363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</row>
    <row r="3" spans="1:18" x14ac:dyDescent="0.3">
      <c r="A3" s="361"/>
      <c r="B3" s="362"/>
      <c r="C3" s="362"/>
      <c r="D3" s="363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</row>
    <row r="4" spans="1:18" x14ac:dyDescent="0.3">
      <c r="A4" s="361"/>
      <c r="B4" s="362"/>
      <c r="C4" s="362"/>
      <c r="D4" s="363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</row>
    <row r="5" spans="1:18" ht="20.399999999999999" x14ac:dyDescent="0.35">
      <c r="A5" s="365" t="s">
        <v>182</v>
      </c>
      <c r="B5" s="362"/>
      <c r="C5" s="362"/>
      <c r="D5" s="363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</row>
    <row r="6" spans="1:18" ht="20.399999999999999" x14ac:dyDescent="0.35">
      <c r="A6" s="365" t="s">
        <v>203</v>
      </c>
      <c r="B6" s="362"/>
      <c r="C6" s="362"/>
      <c r="D6" s="363"/>
      <c r="E6" s="362"/>
      <c r="F6" s="362"/>
      <c r="J6" s="362"/>
      <c r="K6" s="362"/>
      <c r="L6" s="362"/>
      <c r="M6" s="367" t="s">
        <v>184</v>
      </c>
      <c r="N6" s="367" t="s">
        <v>284</v>
      </c>
      <c r="O6" s="368">
        <v>2025</v>
      </c>
      <c r="P6" s="362"/>
      <c r="Q6" s="362"/>
    </row>
    <row r="7" spans="1:18" ht="6.75" customHeight="1" thickBot="1" x14ac:dyDescent="0.4">
      <c r="A7" s="365"/>
      <c r="B7" s="362"/>
      <c r="C7" s="362"/>
      <c r="D7" s="363"/>
      <c r="E7" s="362"/>
      <c r="F7" s="362"/>
      <c r="J7" s="362"/>
      <c r="K7" s="362"/>
      <c r="L7" s="362"/>
      <c r="M7" s="362"/>
      <c r="N7" s="362"/>
      <c r="O7" s="362"/>
      <c r="P7" s="362"/>
      <c r="Q7" s="362"/>
    </row>
    <row r="8" spans="1:18" ht="21" customHeight="1" thickBot="1" x14ac:dyDescent="0.35">
      <c r="A8" s="648" t="s">
        <v>185</v>
      </c>
      <c r="B8" s="649"/>
      <c r="C8" s="649"/>
      <c r="D8" s="649"/>
      <c r="E8" s="649"/>
      <c r="F8" s="649"/>
      <c r="G8" s="649"/>
      <c r="H8" s="650"/>
      <c r="I8" s="651" t="s">
        <v>186</v>
      </c>
      <c r="J8" s="653" t="s">
        <v>187</v>
      </c>
      <c r="K8" s="654"/>
      <c r="L8" s="654"/>
      <c r="M8" s="654"/>
      <c r="N8" s="655"/>
      <c r="O8" s="656" t="s">
        <v>188</v>
      </c>
      <c r="P8" s="362"/>
      <c r="Q8" s="362"/>
    </row>
    <row r="9" spans="1:18" ht="28.2" thickBot="1" x14ac:dyDescent="0.35">
      <c r="A9" s="369" t="s">
        <v>189</v>
      </c>
      <c r="B9" s="370" t="s">
        <v>190</v>
      </c>
      <c r="C9" s="371" t="s">
        <v>191</v>
      </c>
      <c r="D9" s="390" t="s">
        <v>192</v>
      </c>
      <c r="E9" s="373" t="s">
        <v>193</v>
      </c>
      <c r="F9" s="374" t="s">
        <v>194</v>
      </c>
      <c r="G9" s="391" t="s">
        <v>195</v>
      </c>
      <c r="H9" s="392" t="s">
        <v>196</v>
      </c>
      <c r="I9" s="652"/>
      <c r="J9" s="377" t="s">
        <v>197</v>
      </c>
      <c r="K9" s="378" t="s">
        <v>198</v>
      </c>
      <c r="L9" s="379" t="s">
        <v>204</v>
      </c>
      <c r="M9" s="380" t="s">
        <v>200</v>
      </c>
      <c r="N9" s="381" t="s">
        <v>201</v>
      </c>
      <c r="O9" s="657"/>
      <c r="P9" s="362"/>
      <c r="Q9" s="362"/>
    </row>
    <row r="10" spans="1:18" x14ac:dyDescent="0.3">
      <c r="A10" s="385">
        <v>1</v>
      </c>
      <c r="B10" s="393"/>
      <c r="C10" s="393"/>
      <c r="D10" s="394"/>
      <c r="E10" s="393"/>
      <c r="F10" s="393"/>
      <c r="G10" s="394"/>
      <c r="H10" s="394"/>
      <c r="I10" s="393"/>
      <c r="J10" s="512"/>
      <c r="K10" s="512"/>
      <c r="L10" s="394"/>
      <c r="M10" s="394"/>
      <c r="N10" s="394"/>
      <c r="O10" s="393"/>
      <c r="P10" s="362"/>
      <c r="Q10" s="362"/>
    </row>
    <row r="11" spans="1:18" x14ac:dyDescent="0.3">
      <c r="A11" s="385">
        <v>2</v>
      </c>
      <c r="B11" s="393"/>
      <c r="C11" s="393"/>
      <c r="D11" s="394"/>
      <c r="E11" s="393"/>
      <c r="F11" s="393"/>
      <c r="G11" s="394"/>
      <c r="H11" s="394"/>
      <c r="I11" s="393"/>
      <c r="J11" s="512"/>
      <c r="K11" s="512"/>
      <c r="L11" s="394"/>
      <c r="M11" s="394"/>
      <c r="N11" s="394"/>
      <c r="O11" s="393"/>
      <c r="P11" s="362"/>
      <c r="Q11" s="362"/>
    </row>
    <row r="12" spans="1:18" x14ac:dyDescent="0.3">
      <c r="A12" s="385">
        <v>3</v>
      </c>
      <c r="B12" s="393"/>
      <c r="C12" s="393"/>
      <c r="D12" s="394"/>
      <c r="E12" s="393"/>
      <c r="F12" s="393"/>
      <c r="G12" s="394"/>
      <c r="H12" s="394"/>
      <c r="I12" s="393"/>
      <c r="J12" s="512"/>
      <c r="K12" s="512"/>
      <c r="L12" s="394"/>
      <c r="M12" s="394"/>
      <c r="N12" s="394"/>
      <c r="O12" s="393"/>
      <c r="P12" s="362"/>
      <c r="Q12" s="362"/>
    </row>
    <row r="13" spans="1:18" x14ac:dyDescent="0.3">
      <c r="A13" s="510">
        <v>4</v>
      </c>
      <c r="B13" s="393"/>
      <c r="C13" s="393"/>
      <c r="D13" s="394"/>
      <c r="E13" s="393"/>
      <c r="F13" s="393"/>
      <c r="G13" s="394"/>
      <c r="H13" s="394"/>
      <c r="I13" s="393"/>
      <c r="J13" s="512"/>
      <c r="K13" s="512"/>
      <c r="L13" s="394"/>
      <c r="M13" s="394"/>
      <c r="N13" s="394"/>
      <c r="O13" s="393"/>
      <c r="P13" s="362"/>
      <c r="Q13" s="362"/>
    </row>
    <row r="14" spans="1:18" x14ac:dyDescent="0.3">
      <c r="A14" s="385">
        <v>5</v>
      </c>
      <c r="B14" s="393"/>
      <c r="C14" s="393"/>
      <c r="D14" s="394"/>
      <c r="E14" s="393"/>
      <c r="F14" s="393"/>
      <c r="G14" s="394"/>
      <c r="H14" s="394"/>
      <c r="I14" s="393"/>
      <c r="J14" s="512"/>
      <c r="K14" s="512"/>
      <c r="L14" s="394"/>
      <c r="M14" s="394"/>
      <c r="N14" s="394"/>
      <c r="O14" s="393"/>
      <c r="P14" s="362"/>
      <c r="Q14" s="362"/>
    </row>
    <row r="15" spans="1:18" x14ac:dyDescent="0.3">
      <c r="A15" s="385">
        <v>6</v>
      </c>
      <c r="B15" s="393"/>
      <c r="C15" s="393"/>
      <c r="D15" s="394"/>
      <c r="E15" s="393"/>
      <c r="F15" s="393"/>
      <c r="G15" s="394"/>
      <c r="H15" s="394"/>
      <c r="I15" s="393"/>
      <c r="J15" s="512"/>
      <c r="K15" s="512"/>
      <c r="L15" s="394"/>
      <c r="M15" s="394"/>
      <c r="N15" s="394"/>
      <c r="O15" s="393"/>
      <c r="P15" s="362"/>
      <c r="Q15" s="362"/>
    </row>
    <row r="16" spans="1:18" x14ac:dyDescent="0.3">
      <c r="A16" s="385">
        <v>7</v>
      </c>
      <c r="B16" s="393"/>
      <c r="C16" s="393"/>
      <c r="D16" s="394"/>
      <c r="E16" s="393"/>
      <c r="F16" s="393"/>
      <c r="G16" s="394"/>
      <c r="H16" s="394"/>
      <c r="I16" s="393"/>
      <c r="J16" s="512"/>
      <c r="K16" s="512"/>
      <c r="L16" s="394"/>
      <c r="M16" s="394"/>
      <c r="N16" s="394"/>
      <c r="O16" s="393"/>
      <c r="P16" s="362"/>
      <c r="Q16" s="362"/>
      <c r="R16" s="362"/>
    </row>
    <row r="17" spans="1:18" x14ac:dyDescent="0.3">
      <c r="A17" s="385">
        <v>8</v>
      </c>
      <c r="B17" s="393"/>
      <c r="C17" s="393"/>
      <c r="D17" s="394"/>
      <c r="E17" s="393"/>
      <c r="F17" s="393"/>
      <c r="G17" s="394"/>
      <c r="H17" s="394"/>
      <c r="I17" s="393"/>
      <c r="J17" s="512"/>
      <c r="K17" s="512"/>
      <c r="L17" s="394"/>
      <c r="M17" s="394"/>
      <c r="N17" s="394"/>
      <c r="O17" s="393"/>
      <c r="P17" s="362"/>
      <c r="Q17" s="362"/>
      <c r="R17" s="362"/>
    </row>
    <row r="18" spans="1:18" x14ac:dyDescent="0.3">
      <c r="A18" s="385">
        <v>9</v>
      </c>
      <c r="B18" s="393"/>
      <c r="C18" s="393"/>
      <c r="D18" s="394"/>
      <c r="E18" s="393"/>
      <c r="F18" s="393"/>
      <c r="G18" s="394"/>
      <c r="H18" s="394"/>
      <c r="I18" s="393"/>
      <c r="J18" s="512"/>
      <c r="K18" s="512"/>
      <c r="L18" s="394"/>
      <c r="M18" s="394"/>
      <c r="N18" s="394"/>
      <c r="O18" s="393"/>
      <c r="P18" s="362"/>
      <c r="Q18" s="362"/>
      <c r="R18" s="362"/>
    </row>
    <row r="19" spans="1:18" x14ac:dyDescent="0.3">
      <c r="A19" s="385">
        <v>10</v>
      </c>
      <c r="B19" s="393"/>
      <c r="C19" s="393"/>
      <c r="D19" s="394"/>
      <c r="E19" s="393"/>
      <c r="F19" s="393"/>
      <c r="G19" s="394"/>
      <c r="H19" s="394"/>
      <c r="I19" s="393"/>
      <c r="J19" s="512"/>
      <c r="K19" s="512"/>
      <c r="L19" s="394"/>
      <c r="M19" s="394"/>
      <c r="N19" s="394"/>
      <c r="O19" s="393"/>
      <c r="P19" s="362"/>
      <c r="Q19" s="362"/>
      <c r="R19" s="362"/>
    </row>
    <row r="20" spans="1:18" x14ac:dyDescent="0.3">
      <c r="A20" s="385">
        <v>11</v>
      </c>
      <c r="B20" s="393"/>
      <c r="C20" s="393"/>
      <c r="D20" s="394"/>
      <c r="E20" s="393"/>
      <c r="F20" s="393"/>
      <c r="G20" s="394"/>
      <c r="H20" s="394"/>
      <c r="I20" s="393"/>
      <c r="J20" s="512"/>
      <c r="K20" s="512"/>
      <c r="L20" s="394"/>
      <c r="M20" s="394"/>
      <c r="N20" s="394"/>
      <c r="O20" s="393"/>
      <c r="P20" s="362"/>
      <c r="Q20" s="362"/>
    </row>
    <row r="21" spans="1:18" x14ac:dyDescent="0.3">
      <c r="A21" s="385">
        <v>12</v>
      </c>
      <c r="B21" s="393"/>
      <c r="C21" s="393"/>
      <c r="D21" s="394"/>
      <c r="E21" s="393"/>
      <c r="F21" s="393"/>
      <c r="G21" s="394"/>
      <c r="H21" s="394"/>
      <c r="I21" s="393"/>
      <c r="J21" s="512"/>
      <c r="K21" s="512"/>
      <c r="L21" s="394"/>
      <c r="M21" s="394"/>
      <c r="N21" s="394"/>
      <c r="O21" s="393"/>
      <c r="P21" s="362"/>
      <c r="Q21" s="362"/>
    </row>
    <row r="22" spans="1:18" x14ac:dyDescent="0.3">
      <c r="A22" s="385">
        <v>13</v>
      </c>
      <c r="B22" s="393"/>
      <c r="C22" s="393"/>
      <c r="D22" s="394"/>
      <c r="E22" s="393"/>
      <c r="F22" s="393"/>
      <c r="G22" s="394"/>
      <c r="H22" s="394"/>
      <c r="I22" s="393"/>
      <c r="J22" s="512"/>
      <c r="K22" s="512"/>
      <c r="L22" s="394"/>
      <c r="M22" s="394"/>
      <c r="N22" s="394"/>
      <c r="O22" s="393"/>
      <c r="P22" s="362"/>
      <c r="Q22" s="362"/>
    </row>
    <row r="23" spans="1:18" x14ac:dyDescent="0.3">
      <c r="A23" s="385">
        <v>14</v>
      </c>
      <c r="B23" s="393"/>
      <c r="C23" s="393"/>
      <c r="D23" s="394"/>
      <c r="E23" s="393"/>
      <c r="F23" s="393"/>
      <c r="G23" s="394"/>
      <c r="H23" s="394"/>
      <c r="I23" s="393"/>
      <c r="J23" s="512"/>
      <c r="K23" s="512"/>
      <c r="L23" s="394"/>
      <c r="M23" s="394"/>
      <c r="N23" s="394"/>
      <c r="O23" s="393"/>
      <c r="P23" s="362"/>
      <c r="Q23" s="362"/>
    </row>
    <row r="24" spans="1:18" x14ac:dyDescent="0.3">
      <c r="A24" s="385">
        <v>15</v>
      </c>
      <c r="B24" s="393"/>
      <c r="C24" s="393"/>
      <c r="D24" s="394"/>
      <c r="E24" s="393"/>
      <c r="F24" s="393"/>
      <c r="G24" s="394"/>
      <c r="H24" s="394"/>
      <c r="I24" s="393"/>
      <c r="J24" s="512"/>
      <c r="K24" s="512"/>
      <c r="L24" s="394"/>
      <c r="M24" s="394"/>
      <c r="N24" s="394"/>
      <c r="O24" s="393"/>
      <c r="P24" s="362"/>
      <c r="Q24" s="362"/>
    </row>
    <row r="25" spans="1:18" x14ac:dyDescent="0.3">
      <c r="A25" s="385">
        <v>16</v>
      </c>
      <c r="B25" s="393"/>
      <c r="C25" s="393"/>
      <c r="D25" s="394"/>
      <c r="E25" s="393"/>
      <c r="F25" s="393"/>
      <c r="G25" s="394"/>
      <c r="H25" s="394"/>
      <c r="I25" s="393"/>
      <c r="J25" s="512"/>
      <c r="K25" s="512"/>
      <c r="L25" s="394"/>
      <c r="M25" s="394"/>
      <c r="N25" s="394"/>
      <c r="O25" s="393"/>
      <c r="Q25" s="362"/>
    </row>
    <row r="26" spans="1:18" x14ac:dyDescent="0.3">
      <c r="A26" s="510">
        <v>17</v>
      </c>
      <c r="B26" s="393"/>
      <c r="C26" s="393"/>
      <c r="D26" s="394"/>
      <c r="E26" s="393"/>
      <c r="F26" s="393"/>
      <c r="G26" s="394"/>
      <c r="H26" s="394"/>
      <c r="I26" s="393"/>
      <c r="J26" s="512"/>
      <c r="K26" s="512"/>
      <c r="L26" s="394"/>
      <c r="M26" s="394"/>
      <c r="N26" s="394"/>
      <c r="O26" s="393"/>
      <c r="Q26" s="362"/>
    </row>
    <row r="27" spans="1:18" x14ac:dyDescent="0.3">
      <c r="A27" s="385">
        <v>18</v>
      </c>
      <c r="B27" s="393"/>
      <c r="C27" s="393"/>
      <c r="D27" s="394"/>
      <c r="E27" s="393"/>
      <c r="F27" s="393"/>
      <c r="G27" s="394"/>
      <c r="H27" s="394"/>
      <c r="I27" s="393"/>
      <c r="J27" s="512"/>
      <c r="K27" s="512"/>
      <c r="L27" s="394"/>
      <c r="M27" s="394"/>
      <c r="N27" s="394"/>
      <c r="O27" s="393"/>
      <c r="P27" s="362"/>
      <c r="Q27" s="362"/>
    </row>
    <row r="28" spans="1:18" x14ac:dyDescent="0.3">
      <c r="A28" s="385">
        <v>19</v>
      </c>
      <c r="B28" s="393"/>
      <c r="C28" s="393"/>
      <c r="D28" s="394"/>
      <c r="E28" s="393"/>
      <c r="F28" s="393"/>
      <c r="G28" s="394"/>
      <c r="H28" s="394"/>
      <c r="I28" s="393"/>
      <c r="J28" s="512"/>
      <c r="K28" s="512"/>
      <c r="L28" s="394"/>
      <c r="M28" s="394"/>
      <c r="N28" s="394"/>
      <c r="O28" s="393"/>
      <c r="P28" s="362"/>
      <c r="Q28" s="362"/>
    </row>
    <row r="29" spans="1:18" x14ac:dyDescent="0.3">
      <c r="A29" s="385">
        <v>20</v>
      </c>
      <c r="B29" s="393"/>
      <c r="C29" s="393"/>
      <c r="D29" s="394"/>
      <c r="E29" s="393"/>
      <c r="F29" s="393"/>
      <c r="G29" s="394"/>
      <c r="H29" s="394"/>
      <c r="I29" s="393"/>
      <c r="J29" s="512"/>
      <c r="K29" s="512"/>
      <c r="L29" s="394"/>
      <c r="M29" s="394"/>
      <c r="N29" s="394"/>
      <c r="O29" s="393"/>
      <c r="P29" s="362"/>
      <c r="Q29" s="362"/>
    </row>
    <row r="30" spans="1:18" x14ac:dyDescent="0.3">
      <c r="A30" s="385">
        <v>21</v>
      </c>
      <c r="B30" s="393"/>
      <c r="C30" s="393"/>
      <c r="D30" s="394"/>
      <c r="E30" s="393"/>
      <c r="F30" s="393"/>
      <c r="G30" s="394"/>
      <c r="H30" s="394"/>
      <c r="I30" s="393"/>
      <c r="J30" s="512"/>
      <c r="K30" s="512"/>
      <c r="L30" s="394"/>
      <c r="M30" s="394"/>
      <c r="N30" s="394"/>
      <c r="O30" s="393"/>
      <c r="P30" s="362"/>
      <c r="Q30" s="362"/>
    </row>
    <row r="31" spans="1:18" x14ac:dyDescent="0.3">
      <c r="A31" s="385">
        <v>22</v>
      </c>
      <c r="B31" s="393"/>
      <c r="C31" s="393"/>
      <c r="D31" s="394"/>
      <c r="E31" s="393"/>
      <c r="F31" s="393"/>
      <c r="G31" s="394"/>
      <c r="H31" s="394"/>
      <c r="I31" s="393"/>
      <c r="J31" s="512"/>
      <c r="K31" s="512"/>
      <c r="L31" s="394"/>
      <c r="M31" s="394"/>
      <c r="N31" s="394"/>
      <c r="O31" s="393"/>
      <c r="P31" s="362"/>
      <c r="Q31" s="362"/>
    </row>
    <row r="32" spans="1:18" x14ac:dyDescent="0.3">
      <c r="A32" s="385">
        <v>23</v>
      </c>
      <c r="B32" s="393"/>
      <c r="C32" s="393"/>
      <c r="D32" s="393"/>
      <c r="E32" s="393"/>
      <c r="F32" s="393"/>
      <c r="G32" s="394"/>
      <c r="H32" s="394"/>
      <c r="I32" s="393"/>
      <c r="J32" s="512"/>
      <c r="K32" s="512"/>
      <c r="L32" s="394"/>
      <c r="M32" s="394"/>
      <c r="N32" s="394"/>
      <c r="O32" s="393"/>
      <c r="P32" s="362"/>
      <c r="Q32" s="362"/>
    </row>
    <row r="33" spans="1:17" x14ac:dyDescent="0.3">
      <c r="A33" s="510">
        <v>24</v>
      </c>
      <c r="B33" s="393"/>
      <c r="C33" s="393"/>
      <c r="D33" s="394"/>
      <c r="E33" s="393"/>
      <c r="F33" s="393"/>
      <c r="G33" s="394"/>
      <c r="H33" s="394"/>
      <c r="I33" s="393"/>
      <c r="J33" s="512"/>
      <c r="K33" s="512"/>
      <c r="L33" s="394"/>
      <c r="M33" s="394"/>
      <c r="N33" s="511"/>
      <c r="O33" s="393"/>
      <c r="P33" s="659"/>
      <c r="Q33" s="659"/>
    </row>
    <row r="34" spans="1:17" x14ac:dyDescent="0.3">
      <c r="A34" s="385">
        <v>25</v>
      </c>
      <c r="B34" s="393"/>
      <c r="C34" s="393"/>
      <c r="D34" s="394"/>
      <c r="E34" s="393"/>
      <c r="F34" s="393"/>
      <c r="G34" s="394"/>
      <c r="H34" s="394"/>
      <c r="I34" s="393"/>
      <c r="J34" s="512"/>
      <c r="K34" s="512"/>
      <c r="L34" s="394"/>
      <c r="M34" s="394"/>
      <c r="N34" s="394"/>
      <c r="O34" s="393"/>
      <c r="P34" s="362"/>
      <c r="Q34" s="362"/>
    </row>
    <row r="35" spans="1:17" x14ac:dyDescent="0.3">
      <c r="A35" s="385">
        <v>26</v>
      </c>
      <c r="B35" s="393"/>
      <c r="C35" s="393"/>
      <c r="D35" s="394"/>
      <c r="E35" s="393"/>
      <c r="F35" s="393"/>
      <c r="G35" s="394"/>
      <c r="H35" s="394"/>
      <c r="I35" s="393"/>
      <c r="J35" s="512"/>
      <c r="K35" s="512"/>
      <c r="L35" s="394"/>
      <c r="M35" s="394"/>
      <c r="N35" s="394"/>
      <c r="O35" s="393"/>
      <c r="P35" s="362"/>
      <c r="Q35" s="362"/>
    </row>
    <row r="36" spans="1:17" x14ac:dyDescent="0.3">
      <c r="A36" s="385">
        <v>27</v>
      </c>
      <c r="B36" s="393"/>
      <c r="C36" s="393"/>
      <c r="D36" s="394"/>
      <c r="E36" s="393"/>
      <c r="F36" s="393"/>
      <c r="G36" s="394"/>
      <c r="H36" s="394"/>
      <c r="I36" s="393"/>
      <c r="J36" s="512"/>
      <c r="K36" s="512"/>
      <c r="L36" s="394"/>
      <c r="M36" s="394"/>
      <c r="N36" s="394"/>
      <c r="O36" s="393"/>
      <c r="P36" s="362"/>
      <c r="Q36" s="362"/>
    </row>
    <row r="37" spans="1:17" x14ac:dyDescent="0.3">
      <c r="A37" s="385">
        <v>28</v>
      </c>
      <c r="B37" s="393"/>
      <c r="C37" s="393"/>
      <c r="D37" s="394"/>
      <c r="E37" s="393"/>
      <c r="F37" s="393"/>
      <c r="G37" s="394"/>
      <c r="H37" s="394"/>
      <c r="I37" s="393"/>
      <c r="J37" s="512"/>
      <c r="K37" s="512"/>
      <c r="L37" s="394"/>
      <c r="M37" s="394"/>
      <c r="N37" s="394"/>
      <c r="O37" s="393"/>
      <c r="P37" s="362"/>
      <c r="Q37" s="362"/>
    </row>
    <row r="38" spans="1:17" x14ac:dyDescent="0.3">
      <c r="A38" s="385">
        <v>29</v>
      </c>
      <c r="B38" s="393"/>
      <c r="C38" s="393"/>
      <c r="D38" s="394"/>
      <c r="E38" s="393"/>
      <c r="F38" s="393"/>
      <c r="G38" s="394"/>
      <c r="H38" s="394"/>
      <c r="I38" s="393"/>
      <c r="J38" s="395"/>
      <c r="K38" s="395"/>
      <c r="L38" s="394"/>
      <c r="M38" s="394"/>
      <c r="N38" s="394"/>
      <c r="O38" s="393"/>
      <c r="P38" s="362"/>
      <c r="Q38" s="362"/>
    </row>
    <row r="39" spans="1:17" x14ac:dyDescent="0.3">
      <c r="A39" s="385">
        <v>30</v>
      </c>
      <c r="B39" s="393"/>
      <c r="C39" s="393"/>
      <c r="D39" s="394"/>
      <c r="E39" s="393"/>
      <c r="F39" s="393"/>
      <c r="G39" s="394"/>
      <c r="H39" s="394"/>
      <c r="I39" s="393"/>
      <c r="J39" s="395"/>
      <c r="K39" s="395"/>
      <c r="L39" s="394"/>
      <c r="M39" s="394"/>
      <c r="N39" s="394"/>
      <c r="O39" s="393"/>
      <c r="P39" s="362"/>
      <c r="Q39" s="362"/>
    </row>
    <row r="40" spans="1:17" x14ac:dyDescent="0.3">
      <c r="A40" s="385">
        <v>31</v>
      </c>
      <c r="B40" s="393"/>
      <c r="C40" s="393"/>
      <c r="D40" s="394"/>
      <c r="E40" s="393"/>
      <c r="F40" s="393"/>
      <c r="G40" s="394"/>
      <c r="H40" s="394"/>
      <c r="I40" s="393"/>
      <c r="J40" s="395"/>
      <c r="K40" s="395"/>
      <c r="L40" s="394"/>
      <c r="M40" s="394"/>
      <c r="N40" s="394"/>
      <c r="O40" s="393"/>
      <c r="P40" s="362"/>
      <c r="Q40" s="362"/>
    </row>
    <row r="41" spans="1:17" x14ac:dyDescent="0.3">
      <c r="A41" s="361"/>
      <c r="B41" s="362"/>
      <c r="C41" s="362"/>
      <c r="D41" s="363" t="e">
        <f>AVERAGE(D10:D40)</f>
        <v>#DIV/0!</v>
      </c>
      <c r="E41" s="362"/>
      <c r="F41" s="362"/>
      <c r="G41" s="388" t="e">
        <f>AVERAGE(G10:G40)</f>
        <v>#DIV/0!</v>
      </c>
      <c r="H41" s="388" t="e">
        <f>AVERAGE(H10:H40)</f>
        <v>#DIV/0!</v>
      </c>
      <c r="I41" s="388" t="e">
        <f>AVERAGE(I10:I40)</f>
        <v>#DIV/0!</v>
      </c>
      <c r="J41" s="388">
        <f>SUM(J10:J40)</f>
        <v>0</v>
      </c>
      <c r="K41" s="388">
        <f>SUM(K10:K40)</f>
        <v>0</v>
      </c>
      <c r="L41" s="362"/>
      <c r="M41" s="362"/>
      <c r="N41" s="362"/>
      <c r="O41" s="362"/>
      <c r="P41" s="362"/>
      <c r="Q41" s="362"/>
    </row>
    <row r="42" spans="1:17" x14ac:dyDescent="0.3">
      <c r="A42" s="361"/>
      <c r="B42" s="362"/>
      <c r="C42" s="362"/>
      <c r="D42" s="363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</row>
    <row r="43" spans="1:17" x14ac:dyDescent="0.3">
      <c r="A43" s="361"/>
      <c r="B43" s="362"/>
      <c r="C43" s="362"/>
      <c r="D43" s="363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</row>
    <row r="44" spans="1:17" x14ac:dyDescent="0.3">
      <c r="A44" s="361"/>
      <c r="B44" s="362"/>
      <c r="C44" s="362"/>
      <c r="D44" s="363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</row>
    <row r="45" spans="1:17" x14ac:dyDescent="0.3">
      <c r="A45" s="361"/>
      <c r="B45" s="362"/>
      <c r="C45" s="362"/>
      <c r="D45" s="363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</row>
    <row r="46" spans="1:17" x14ac:dyDescent="0.3">
      <c r="A46" s="361"/>
      <c r="B46" s="362"/>
      <c r="C46" s="362"/>
      <c r="D46" s="363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</row>
    <row r="47" spans="1:17" x14ac:dyDescent="0.3">
      <c r="A47" s="361"/>
      <c r="B47" s="362"/>
      <c r="C47" s="362"/>
      <c r="D47" s="363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</row>
    <row r="48" spans="1:17" x14ac:dyDescent="0.3">
      <c r="A48" s="361"/>
      <c r="B48" s="362"/>
      <c r="C48" s="362"/>
      <c r="D48" s="363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</row>
    <row r="49" spans="1:17" x14ac:dyDescent="0.3">
      <c r="A49" s="361"/>
      <c r="B49" s="362"/>
      <c r="C49" s="362"/>
      <c r="D49" s="363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</row>
    <row r="50" spans="1:17" x14ac:dyDescent="0.3">
      <c r="A50" s="361"/>
      <c r="B50" s="362"/>
      <c r="C50" s="362"/>
      <c r="D50" s="363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</row>
    <row r="51" spans="1:17" x14ac:dyDescent="0.3">
      <c r="A51" s="361"/>
      <c r="B51" s="362"/>
      <c r="C51" s="362"/>
      <c r="D51" s="363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</row>
    <row r="52" spans="1:17" x14ac:dyDescent="0.3">
      <c r="A52" s="361"/>
      <c r="B52" s="362"/>
      <c r="C52" s="362"/>
      <c r="D52" s="363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</row>
    <row r="53" spans="1:17" x14ac:dyDescent="0.3">
      <c r="A53" s="361"/>
      <c r="B53" s="362"/>
      <c r="C53" s="362"/>
      <c r="D53" s="363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</row>
    <row r="54" spans="1:17" x14ac:dyDescent="0.3">
      <c r="A54" s="361"/>
      <c r="B54" s="362"/>
      <c r="C54" s="362"/>
      <c r="D54" s="363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</row>
    <row r="55" spans="1:17" x14ac:dyDescent="0.3">
      <c r="A55" s="361"/>
      <c r="B55" s="362"/>
      <c r="C55" s="362"/>
      <c r="D55" s="363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</row>
    <row r="56" spans="1:17" x14ac:dyDescent="0.3">
      <c r="A56" s="361"/>
      <c r="B56" s="362"/>
      <c r="C56" s="362"/>
      <c r="D56" s="363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</row>
    <row r="57" spans="1:17" x14ac:dyDescent="0.3">
      <c r="A57" s="361"/>
      <c r="B57" s="362"/>
      <c r="C57" s="362"/>
      <c r="D57" s="363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</row>
    <row r="58" spans="1:17" x14ac:dyDescent="0.3">
      <c r="A58" s="361"/>
      <c r="B58" s="362"/>
      <c r="C58" s="362"/>
      <c r="D58" s="363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</row>
    <row r="59" spans="1:17" x14ac:dyDescent="0.3">
      <c r="A59" s="361"/>
      <c r="B59" s="362"/>
      <c r="C59" s="362"/>
      <c r="D59" s="363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</row>
    <row r="60" spans="1:17" x14ac:dyDescent="0.3">
      <c r="A60" s="361"/>
      <c r="B60" s="362"/>
      <c r="C60" s="362"/>
      <c r="D60" s="363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</row>
    <row r="61" spans="1:17" x14ac:dyDescent="0.3">
      <c r="A61" s="361"/>
      <c r="B61" s="362"/>
      <c r="C61" s="362"/>
      <c r="D61" s="363"/>
      <c r="E61" s="362"/>
      <c r="F61" s="362"/>
      <c r="G61" s="362"/>
      <c r="H61" s="362"/>
      <c r="I61" s="362"/>
      <c r="J61" s="362"/>
    </row>
    <row r="62" spans="1:17" x14ac:dyDescent="0.3">
      <c r="A62" s="361"/>
      <c r="B62" s="362"/>
      <c r="C62" s="362"/>
      <c r="D62" s="363"/>
      <c r="E62" s="362"/>
      <c r="F62" s="362"/>
      <c r="G62" s="362"/>
      <c r="H62" s="362"/>
      <c r="I62" s="362"/>
      <c r="J62" s="362"/>
    </row>
    <row r="63" spans="1:17" x14ac:dyDescent="0.3">
      <c r="A63" s="361"/>
      <c r="B63" s="362"/>
      <c r="C63" s="362"/>
      <c r="D63" s="363"/>
      <c r="E63" s="362"/>
      <c r="F63" s="362"/>
      <c r="G63" s="362"/>
      <c r="H63" s="362"/>
      <c r="I63" s="362"/>
      <c r="J63" s="362"/>
    </row>
    <row r="64" spans="1:17" x14ac:dyDescent="0.3">
      <c r="A64" s="361"/>
      <c r="B64" s="362"/>
      <c r="C64" s="362"/>
      <c r="D64" s="363"/>
      <c r="E64" s="362"/>
      <c r="F64" s="362"/>
      <c r="G64" s="362"/>
      <c r="H64" s="362"/>
      <c r="I64" s="362"/>
      <c r="J64" s="362"/>
    </row>
    <row r="65" spans="1:10" x14ac:dyDescent="0.3">
      <c r="A65" s="361"/>
      <c r="B65" s="362"/>
      <c r="C65" s="362"/>
      <c r="D65" s="363"/>
      <c r="E65" s="362"/>
      <c r="F65" s="362"/>
      <c r="G65" s="362"/>
      <c r="H65" s="362"/>
      <c r="I65" s="362"/>
      <c r="J65" s="362"/>
    </row>
    <row r="66" spans="1:10" x14ac:dyDescent="0.3">
      <c r="A66" s="361"/>
      <c r="B66" s="362"/>
      <c r="C66" s="362"/>
      <c r="D66" s="363"/>
      <c r="E66" s="362"/>
      <c r="F66" s="362"/>
      <c r="G66" s="362"/>
      <c r="H66" s="362"/>
      <c r="I66" s="362"/>
      <c r="J66" s="362"/>
    </row>
    <row r="67" spans="1:10" x14ac:dyDescent="0.3">
      <c r="A67" s="361"/>
      <c r="B67" s="362"/>
      <c r="C67" s="362"/>
      <c r="D67" s="363"/>
      <c r="E67" s="362"/>
      <c r="F67" s="362"/>
      <c r="G67" s="362"/>
      <c r="H67" s="362"/>
      <c r="I67" s="362"/>
      <c r="J67" s="362"/>
    </row>
    <row r="68" spans="1:10" x14ac:dyDescent="0.3">
      <c r="A68" s="361"/>
      <c r="B68" s="362"/>
      <c r="C68" s="362"/>
      <c r="D68" s="363"/>
      <c r="E68" s="362"/>
      <c r="F68" s="362"/>
      <c r="G68" s="362"/>
      <c r="H68" s="362"/>
      <c r="I68" s="362"/>
      <c r="J68" s="362"/>
    </row>
    <row r="69" spans="1:10" x14ac:dyDescent="0.3">
      <c r="A69" s="361"/>
      <c r="B69" s="362"/>
      <c r="C69" s="362"/>
      <c r="D69" s="363"/>
      <c r="E69" s="362"/>
      <c r="F69" s="362"/>
      <c r="G69" s="362"/>
      <c r="H69" s="362"/>
      <c r="I69" s="362"/>
      <c r="J69" s="362"/>
    </row>
    <row r="70" spans="1:10" x14ac:dyDescent="0.3">
      <c r="A70" s="361"/>
      <c r="B70" s="362"/>
      <c r="C70" s="362"/>
      <c r="D70" s="363"/>
      <c r="E70" s="362"/>
      <c r="F70" s="362"/>
      <c r="G70" s="362"/>
      <c r="H70" s="362"/>
      <c r="I70" s="362"/>
      <c r="J70" s="362"/>
    </row>
    <row r="71" spans="1:10" x14ac:dyDescent="0.3">
      <c r="A71" s="361"/>
      <c r="B71" s="362"/>
      <c r="C71" s="362"/>
      <c r="D71" s="363"/>
      <c r="E71" s="362"/>
      <c r="F71" s="362"/>
      <c r="G71" s="362"/>
      <c r="H71" s="362"/>
      <c r="I71" s="362"/>
      <c r="J71" s="362"/>
    </row>
    <row r="72" spans="1:10" x14ac:dyDescent="0.3">
      <c r="A72" s="361"/>
      <c r="B72" s="362"/>
      <c r="C72" s="362"/>
      <c r="D72" s="363"/>
      <c r="E72" s="362"/>
      <c r="F72" s="362"/>
      <c r="G72" s="362"/>
      <c r="H72" s="362"/>
      <c r="I72" s="362"/>
      <c r="J72" s="362"/>
    </row>
    <row r="73" spans="1:10" x14ac:dyDescent="0.3">
      <c r="A73" s="361"/>
      <c r="B73" s="362"/>
      <c r="C73" s="362"/>
      <c r="D73" s="363"/>
      <c r="E73" s="362"/>
      <c r="F73" s="362"/>
      <c r="G73" s="362"/>
      <c r="H73" s="362"/>
      <c r="I73" s="362"/>
      <c r="J73" s="362"/>
    </row>
    <row r="74" spans="1:10" x14ac:dyDescent="0.3">
      <c r="A74" s="361"/>
      <c r="B74" s="362"/>
      <c r="C74" s="362"/>
      <c r="D74" s="363"/>
      <c r="E74" s="362"/>
      <c r="F74" s="362"/>
      <c r="G74" s="362"/>
      <c r="H74" s="362"/>
      <c r="I74" s="362"/>
      <c r="J74" s="362"/>
    </row>
    <row r="75" spans="1:10" x14ac:dyDescent="0.3">
      <c r="A75" s="361"/>
      <c r="B75" s="362"/>
      <c r="C75" s="362"/>
      <c r="D75" s="363"/>
      <c r="E75" s="362"/>
      <c r="F75" s="362"/>
      <c r="G75" s="362"/>
      <c r="H75" s="362"/>
      <c r="I75" s="362"/>
      <c r="J75" s="362"/>
    </row>
    <row r="76" spans="1:10" x14ac:dyDescent="0.3">
      <c r="A76" s="361"/>
      <c r="B76" s="362"/>
      <c r="C76" s="362"/>
      <c r="D76" s="363"/>
      <c r="E76" s="362"/>
      <c r="F76" s="362"/>
      <c r="G76" s="362"/>
      <c r="H76" s="362"/>
      <c r="I76" s="362"/>
      <c r="J76" s="362"/>
    </row>
    <row r="77" spans="1:10" x14ac:dyDescent="0.3">
      <c r="A77" s="361"/>
      <c r="B77" s="362"/>
      <c r="C77" s="362"/>
      <c r="D77" s="363"/>
      <c r="E77" s="362"/>
      <c r="F77" s="362"/>
      <c r="G77" s="362"/>
      <c r="H77" s="362"/>
      <c r="I77" s="362"/>
      <c r="J77" s="362"/>
    </row>
    <row r="78" spans="1:10" x14ac:dyDescent="0.3">
      <c r="A78" s="361"/>
      <c r="B78" s="362"/>
      <c r="C78" s="362"/>
      <c r="D78" s="363"/>
      <c r="E78" s="362"/>
      <c r="F78" s="362"/>
      <c r="G78" s="362"/>
      <c r="H78" s="362"/>
      <c r="I78" s="362"/>
      <c r="J78" s="362"/>
    </row>
    <row r="79" spans="1:10" x14ac:dyDescent="0.3">
      <c r="A79" s="361"/>
      <c r="B79" s="362"/>
      <c r="C79" s="362"/>
      <c r="D79" s="363"/>
      <c r="E79" s="362"/>
      <c r="F79" s="362"/>
      <c r="G79" s="362"/>
      <c r="H79" s="362"/>
      <c r="I79" s="362"/>
      <c r="J79" s="362"/>
    </row>
    <row r="80" spans="1:10" x14ac:dyDescent="0.3">
      <c r="A80" s="361"/>
      <c r="B80" s="362"/>
      <c r="C80" s="362"/>
      <c r="D80" s="363"/>
      <c r="E80" s="362"/>
      <c r="F80" s="362"/>
      <c r="G80" s="362"/>
      <c r="H80" s="362"/>
      <c r="I80" s="362"/>
      <c r="J80" s="362"/>
    </row>
    <row r="81" spans="1:10" x14ac:dyDescent="0.3">
      <c r="A81" s="361"/>
      <c r="B81" s="362"/>
      <c r="C81" s="362"/>
      <c r="D81" s="363"/>
      <c r="E81" s="362"/>
      <c r="F81" s="362"/>
      <c r="G81" s="362"/>
      <c r="H81" s="362"/>
      <c r="I81" s="362"/>
      <c r="J81" s="362"/>
    </row>
    <row r="82" spans="1:10" x14ac:dyDescent="0.3">
      <c r="A82" s="361"/>
      <c r="B82" s="362"/>
      <c r="C82" s="362"/>
      <c r="D82" s="363"/>
      <c r="E82" s="362"/>
      <c r="F82" s="362"/>
      <c r="G82" s="362"/>
      <c r="H82" s="362"/>
      <c r="I82" s="362"/>
      <c r="J82" s="362"/>
    </row>
    <row r="83" spans="1:10" x14ac:dyDescent="0.3">
      <c r="A83" s="361"/>
      <c r="B83" s="362"/>
      <c r="C83" s="362"/>
      <c r="D83" s="363"/>
      <c r="E83" s="362"/>
      <c r="F83" s="362"/>
      <c r="G83" s="362"/>
      <c r="H83" s="362"/>
      <c r="I83" s="362"/>
      <c r="J83" s="362"/>
    </row>
    <row r="84" spans="1:10" x14ac:dyDescent="0.3">
      <c r="A84" s="361"/>
      <c r="B84" s="362"/>
      <c r="C84" s="362"/>
      <c r="D84" s="363"/>
      <c r="E84" s="362"/>
      <c r="F84" s="362"/>
      <c r="G84" s="362"/>
      <c r="H84" s="362"/>
      <c r="I84" s="362"/>
      <c r="J84" s="362"/>
    </row>
    <row r="85" spans="1:10" x14ac:dyDescent="0.3">
      <c r="A85" s="361"/>
      <c r="B85" s="362"/>
      <c r="C85" s="362"/>
      <c r="D85" s="363"/>
      <c r="E85" s="362"/>
      <c r="F85" s="362"/>
      <c r="G85" s="362"/>
      <c r="H85" s="362"/>
      <c r="I85" s="362"/>
      <c r="J85" s="362"/>
    </row>
    <row r="86" spans="1:10" x14ac:dyDescent="0.3">
      <c r="A86" s="361"/>
      <c r="B86" s="362"/>
      <c r="C86" s="362"/>
      <c r="D86" s="363"/>
      <c r="E86" s="362"/>
      <c r="F86" s="362"/>
      <c r="G86" s="362"/>
      <c r="H86" s="362"/>
      <c r="I86" s="362"/>
      <c r="J86" s="362"/>
    </row>
    <row r="87" spans="1:10" x14ac:dyDescent="0.3">
      <c r="A87" s="361"/>
      <c r="B87" s="362"/>
      <c r="C87" s="362"/>
      <c r="D87" s="363"/>
      <c r="E87" s="362"/>
      <c r="F87" s="362"/>
      <c r="G87" s="362"/>
      <c r="H87" s="362"/>
      <c r="I87" s="362"/>
      <c r="J87" s="362"/>
    </row>
    <row r="88" spans="1:10" x14ac:dyDescent="0.3">
      <c r="A88" s="361"/>
      <c r="B88" s="362"/>
      <c r="C88" s="362"/>
      <c r="D88" s="363"/>
      <c r="E88" s="362"/>
      <c r="F88" s="362"/>
      <c r="G88" s="362"/>
      <c r="H88" s="362"/>
      <c r="I88" s="362"/>
      <c r="J88" s="362"/>
    </row>
    <row r="89" spans="1:10" x14ac:dyDescent="0.3">
      <c r="A89" s="361"/>
      <c r="B89" s="362"/>
      <c r="C89" s="362"/>
      <c r="D89" s="363"/>
      <c r="E89" s="362"/>
      <c r="F89" s="362"/>
      <c r="G89" s="362"/>
      <c r="H89" s="362"/>
      <c r="I89" s="362"/>
      <c r="J89" s="362"/>
    </row>
    <row r="90" spans="1:10" x14ac:dyDescent="0.3">
      <c r="A90" s="361"/>
      <c r="B90" s="362"/>
      <c r="C90" s="362"/>
      <c r="D90" s="363"/>
      <c r="E90" s="362"/>
      <c r="F90" s="362"/>
      <c r="G90" s="362"/>
      <c r="H90" s="362"/>
      <c r="I90" s="362"/>
      <c r="J90" s="362"/>
    </row>
    <row r="91" spans="1:10" x14ac:dyDescent="0.3">
      <c r="A91" s="361"/>
      <c r="B91" s="362"/>
      <c r="C91" s="362"/>
      <c r="D91" s="363"/>
      <c r="E91" s="362"/>
      <c r="F91" s="362"/>
      <c r="G91" s="362"/>
      <c r="H91" s="362"/>
      <c r="I91" s="362"/>
      <c r="J91" s="362"/>
    </row>
    <row r="92" spans="1:10" x14ac:dyDescent="0.3">
      <c r="A92" s="361"/>
      <c r="B92" s="362"/>
      <c r="C92" s="362"/>
      <c r="D92" s="363"/>
      <c r="E92" s="362"/>
      <c r="F92" s="362"/>
      <c r="G92" s="362"/>
      <c r="H92" s="362"/>
      <c r="I92" s="362"/>
      <c r="J92" s="362"/>
    </row>
    <row r="93" spans="1:10" x14ac:dyDescent="0.3">
      <c r="A93" s="361"/>
      <c r="B93" s="362"/>
      <c r="C93" s="362"/>
      <c r="D93" s="363"/>
      <c r="E93" s="362"/>
      <c r="F93" s="362"/>
      <c r="G93" s="362"/>
      <c r="H93" s="362"/>
      <c r="I93" s="362"/>
      <c r="J93" s="362"/>
    </row>
    <row r="94" spans="1:10" x14ac:dyDescent="0.3">
      <c r="A94" s="361"/>
      <c r="B94" s="362"/>
      <c r="C94" s="362"/>
      <c r="D94" s="363"/>
      <c r="E94" s="362"/>
      <c r="F94" s="362"/>
      <c r="G94" s="362"/>
      <c r="H94" s="362"/>
      <c r="I94" s="362"/>
      <c r="J94" s="362"/>
    </row>
    <row r="95" spans="1:10" x14ac:dyDescent="0.3">
      <c r="A95" s="361"/>
      <c r="B95" s="362"/>
      <c r="C95" s="362"/>
      <c r="D95" s="363"/>
      <c r="E95" s="362"/>
      <c r="F95" s="362"/>
      <c r="G95" s="362"/>
      <c r="H95" s="362"/>
      <c r="I95" s="362"/>
      <c r="J95" s="362"/>
    </row>
    <row r="96" spans="1:10" x14ac:dyDescent="0.3">
      <c r="A96" s="361"/>
      <c r="B96" s="362"/>
      <c r="C96" s="362"/>
      <c r="D96" s="363"/>
      <c r="E96" s="362"/>
      <c r="F96" s="362"/>
      <c r="G96" s="362"/>
      <c r="H96" s="362"/>
      <c r="I96" s="362"/>
      <c r="J96" s="362"/>
    </row>
    <row r="97" spans="1:10" x14ac:dyDescent="0.3">
      <c r="A97" s="361"/>
      <c r="B97" s="362"/>
      <c r="C97" s="362"/>
      <c r="D97" s="363"/>
      <c r="E97" s="362"/>
      <c r="F97" s="362"/>
      <c r="G97" s="362"/>
      <c r="H97" s="362"/>
      <c r="I97" s="362"/>
      <c r="J97" s="362"/>
    </row>
    <row r="98" spans="1:10" x14ac:dyDescent="0.3">
      <c r="A98" s="361"/>
      <c r="B98" s="362"/>
      <c r="C98" s="362"/>
      <c r="D98" s="363"/>
      <c r="E98" s="362"/>
      <c r="F98" s="362"/>
      <c r="G98" s="362"/>
      <c r="H98" s="362"/>
      <c r="I98" s="362"/>
      <c r="J98" s="362"/>
    </row>
    <row r="99" spans="1:10" x14ac:dyDescent="0.3">
      <c r="A99" s="361"/>
      <c r="B99" s="362"/>
      <c r="C99" s="362"/>
      <c r="D99" s="363"/>
      <c r="E99" s="362"/>
      <c r="F99" s="362"/>
      <c r="G99" s="362"/>
      <c r="H99" s="362"/>
      <c r="I99" s="362"/>
      <c r="J99" s="362"/>
    </row>
    <row r="100" spans="1:10" x14ac:dyDescent="0.3">
      <c r="A100" s="361"/>
      <c r="B100" s="362"/>
      <c r="C100" s="362"/>
      <c r="D100" s="363"/>
      <c r="E100" s="362"/>
      <c r="F100" s="362"/>
      <c r="G100" s="362"/>
      <c r="H100" s="362"/>
      <c r="I100" s="362"/>
      <c r="J100" s="362"/>
    </row>
    <row r="101" spans="1:10" x14ac:dyDescent="0.3">
      <c r="A101" s="361"/>
      <c r="B101" s="362"/>
      <c r="C101" s="362"/>
      <c r="D101" s="363"/>
      <c r="E101" s="362"/>
      <c r="F101" s="362"/>
      <c r="G101" s="362"/>
      <c r="H101" s="362"/>
      <c r="I101" s="362"/>
      <c r="J101" s="362"/>
    </row>
    <row r="102" spans="1:10" x14ac:dyDescent="0.3">
      <c r="A102" s="361"/>
      <c r="B102" s="362"/>
      <c r="C102" s="362"/>
      <c r="D102" s="363"/>
      <c r="E102" s="362"/>
      <c r="F102" s="362"/>
      <c r="G102" s="362"/>
      <c r="H102" s="362"/>
      <c r="I102" s="362"/>
      <c r="J102" s="362"/>
    </row>
    <row r="103" spans="1:10" x14ac:dyDescent="0.3">
      <c r="A103" s="361"/>
      <c r="B103" s="362"/>
      <c r="C103" s="362"/>
      <c r="D103" s="363"/>
      <c r="E103" s="362"/>
      <c r="F103" s="362"/>
      <c r="G103" s="362"/>
      <c r="H103" s="362"/>
      <c r="I103" s="362"/>
      <c r="J103" s="362"/>
    </row>
    <row r="104" spans="1:10" x14ac:dyDescent="0.3">
      <c r="A104" s="361"/>
      <c r="B104" s="362"/>
      <c r="C104" s="362"/>
      <c r="D104" s="363"/>
      <c r="E104" s="362"/>
      <c r="F104" s="362"/>
      <c r="G104" s="362"/>
      <c r="H104" s="362"/>
      <c r="I104" s="362"/>
      <c r="J104" s="362"/>
    </row>
    <row r="105" spans="1:10" x14ac:dyDescent="0.3">
      <c r="A105" s="361"/>
      <c r="B105" s="362"/>
      <c r="C105" s="362"/>
      <c r="D105" s="363"/>
      <c r="E105" s="362"/>
      <c r="F105" s="362"/>
      <c r="G105" s="362"/>
      <c r="H105" s="362"/>
      <c r="I105" s="362"/>
      <c r="J105" s="362"/>
    </row>
    <row r="106" spans="1:10" x14ac:dyDescent="0.3">
      <c r="A106" s="361"/>
      <c r="B106" s="362"/>
      <c r="C106" s="362"/>
      <c r="D106" s="363"/>
      <c r="E106" s="362"/>
      <c r="F106" s="362"/>
      <c r="G106" s="362"/>
      <c r="H106" s="362"/>
      <c r="I106" s="362"/>
      <c r="J106" s="362"/>
    </row>
    <row r="107" spans="1:10" x14ac:dyDescent="0.3">
      <c r="A107" s="361"/>
      <c r="B107" s="362"/>
      <c r="C107" s="362"/>
      <c r="D107" s="363"/>
      <c r="E107" s="362"/>
      <c r="F107" s="362"/>
      <c r="G107" s="362"/>
      <c r="H107" s="362"/>
      <c r="I107" s="362"/>
      <c r="J107" s="362"/>
    </row>
    <row r="108" spans="1:10" x14ac:dyDescent="0.3">
      <c r="A108" s="361"/>
      <c r="B108" s="362"/>
      <c r="C108" s="362"/>
      <c r="D108" s="363"/>
      <c r="E108" s="362"/>
      <c r="F108" s="362"/>
      <c r="G108" s="362"/>
      <c r="H108" s="362"/>
      <c r="I108" s="362"/>
      <c r="J108" s="362"/>
    </row>
    <row r="109" spans="1:10" x14ac:dyDescent="0.3">
      <c r="A109" s="361"/>
      <c r="B109" s="362"/>
      <c r="C109" s="362"/>
      <c r="D109" s="363"/>
      <c r="E109" s="362"/>
      <c r="F109" s="362"/>
      <c r="G109" s="362"/>
      <c r="H109" s="362"/>
      <c r="I109" s="362"/>
      <c r="J109" s="362"/>
    </row>
    <row r="110" spans="1:10" x14ac:dyDescent="0.3">
      <c r="A110" s="361"/>
      <c r="B110" s="362"/>
      <c r="C110" s="362"/>
      <c r="D110" s="363"/>
      <c r="E110" s="362"/>
      <c r="F110" s="362"/>
      <c r="G110" s="362"/>
      <c r="H110" s="362"/>
      <c r="I110" s="362"/>
      <c r="J110" s="362"/>
    </row>
    <row r="111" spans="1:10" x14ac:dyDescent="0.3">
      <c r="A111" s="361"/>
      <c r="B111" s="362"/>
      <c r="C111" s="362"/>
      <c r="D111" s="363"/>
      <c r="E111" s="362"/>
      <c r="F111" s="362"/>
      <c r="G111" s="362"/>
      <c r="H111" s="362"/>
      <c r="I111" s="362"/>
      <c r="J111" s="362"/>
    </row>
    <row r="112" spans="1:10" x14ac:dyDescent="0.3">
      <c r="A112" s="361"/>
      <c r="B112" s="362"/>
      <c r="C112" s="362"/>
      <c r="D112" s="363"/>
      <c r="E112" s="362"/>
      <c r="F112" s="362"/>
      <c r="G112" s="362"/>
      <c r="H112" s="362"/>
      <c r="I112" s="362"/>
      <c r="J112" s="362"/>
    </row>
    <row r="113" spans="1:10" x14ac:dyDescent="0.3">
      <c r="A113" s="361"/>
      <c r="B113" s="362"/>
      <c r="C113" s="362"/>
      <c r="D113" s="363"/>
      <c r="E113" s="362"/>
      <c r="F113" s="362"/>
      <c r="G113" s="362"/>
      <c r="H113" s="362"/>
      <c r="I113" s="362"/>
      <c r="J113" s="362"/>
    </row>
    <row r="114" spans="1:10" x14ac:dyDescent="0.3">
      <c r="A114" s="361"/>
      <c r="B114" s="362"/>
      <c r="C114" s="362"/>
      <c r="D114" s="363"/>
      <c r="E114" s="362"/>
      <c r="F114" s="362"/>
      <c r="G114" s="362"/>
      <c r="H114" s="362"/>
      <c r="I114" s="362"/>
      <c r="J114" s="362"/>
    </row>
    <row r="115" spans="1:10" x14ac:dyDescent="0.3">
      <c r="A115" s="361"/>
      <c r="B115" s="362"/>
      <c r="C115" s="362"/>
      <c r="D115" s="363"/>
      <c r="E115" s="362"/>
      <c r="F115" s="362"/>
      <c r="G115" s="362"/>
      <c r="H115" s="362"/>
      <c r="I115" s="362"/>
      <c r="J115" s="362"/>
    </row>
    <row r="116" spans="1:10" x14ac:dyDescent="0.3">
      <c r="A116" s="361"/>
      <c r="B116" s="362"/>
      <c r="C116" s="362"/>
      <c r="D116" s="363"/>
      <c r="E116" s="362"/>
      <c r="F116" s="362"/>
      <c r="G116" s="362"/>
      <c r="H116" s="362"/>
      <c r="I116" s="362"/>
      <c r="J116" s="362"/>
    </row>
    <row r="117" spans="1:10" x14ac:dyDescent="0.3">
      <c r="A117" s="361"/>
      <c r="B117" s="362"/>
      <c r="C117" s="362"/>
      <c r="D117" s="363"/>
      <c r="E117" s="362"/>
      <c r="F117" s="362"/>
      <c r="G117" s="362"/>
      <c r="H117" s="362"/>
      <c r="I117" s="362"/>
      <c r="J117" s="362"/>
    </row>
    <row r="118" spans="1:10" x14ac:dyDescent="0.3">
      <c r="A118" s="361"/>
      <c r="B118" s="362"/>
      <c r="C118" s="362"/>
      <c r="D118" s="363"/>
      <c r="E118" s="362"/>
      <c r="F118" s="362"/>
      <c r="G118" s="362"/>
      <c r="H118" s="362"/>
      <c r="I118" s="362"/>
      <c r="J118" s="362"/>
    </row>
    <row r="119" spans="1:10" x14ac:dyDescent="0.3">
      <c r="A119" s="361"/>
      <c r="B119" s="362"/>
      <c r="C119" s="362"/>
      <c r="D119" s="363"/>
      <c r="E119" s="362"/>
      <c r="F119" s="362"/>
      <c r="G119" s="362"/>
      <c r="H119" s="362"/>
      <c r="I119" s="362"/>
      <c r="J119" s="362"/>
    </row>
    <row r="120" spans="1:10" x14ac:dyDescent="0.3">
      <c r="A120" s="361"/>
      <c r="B120" s="362"/>
      <c r="C120" s="362"/>
      <c r="D120" s="363"/>
      <c r="E120" s="362"/>
      <c r="F120" s="362"/>
      <c r="G120" s="362"/>
      <c r="H120" s="362"/>
      <c r="I120" s="362"/>
      <c r="J120" s="362"/>
    </row>
    <row r="121" spans="1:10" x14ac:dyDescent="0.3">
      <c r="A121" s="361"/>
      <c r="B121" s="362"/>
      <c r="C121" s="362"/>
      <c r="D121" s="363"/>
      <c r="E121" s="362"/>
      <c r="F121" s="362"/>
      <c r="G121" s="362"/>
      <c r="H121" s="362"/>
      <c r="I121" s="362"/>
      <c r="J121" s="362"/>
    </row>
    <row r="122" spans="1:10" x14ac:dyDescent="0.3">
      <c r="A122" s="361"/>
      <c r="B122" s="362"/>
      <c r="C122" s="362"/>
      <c r="D122" s="363"/>
      <c r="E122" s="362"/>
      <c r="F122" s="362"/>
      <c r="G122" s="362"/>
      <c r="H122" s="362"/>
      <c r="I122" s="362"/>
      <c r="J122" s="362"/>
    </row>
    <row r="123" spans="1:10" x14ac:dyDescent="0.3">
      <c r="A123" s="361"/>
      <c r="B123" s="362"/>
      <c r="C123" s="362"/>
      <c r="D123" s="363"/>
      <c r="E123" s="362"/>
      <c r="F123" s="362"/>
      <c r="G123" s="362"/>
      <c r="H123" s="362"/>
      <c r="I123" s="362"/>
      <c r="J123" s="362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123"/>
  <sheetViews>
    <sheetView showGridLines="0" zoomScaleNormal="10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09375" defaultRowHeight="14.4" x14ac:dyDescent="0.3"/>
  <cols>
    <col min="1" max="1" width="6.109375" style="389" customWidth="1"/>
    <col min="2" max="3" width="10.33203125" style="364" customWidth="1"/>
    <col min="4" max="6" width="7.6640625" style="364" customWidth="1"/>
    <col min="7" max="7" width="8.88671875" style="364" customWidth="1"/>
    <col min="8" max="8" width="9.88671875" style="364" customWidth="1"/>
    <col min="9" max="9" width="14.33203125" style="364" customWidth="1"/>
    <col min="10" max="10" width="12.5546875" style="364" customWidth="1"/>
    <col min="11" max="11" width="11.5546875" style="364" customWidth="1"/>
    <col min="12" max="12" width="11.109375" style="364" customWidth="1"/>
    <col min="13" max="13" width="10.109375" style="364" customWidth="1"/>
    <col min="14" max="14" width="12.109375" style="364" customWidth="1"/>
    <col min="15" max="15" width="16.109375" style="364" customWidth="1"/>
    <col min="16" max="16384" width="9.109375" style="364"/>
  </cols>
  <sheetData>
    <row r="1" spans="1:18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</row>
    <row r="2" spans="1:18" x14ac:dyDescent="0.3">
      <c r="A2" s="361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</row>
    <row r="3" spans="1:18" x14ac:dyDescent="0.3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</row>
    <row r="4" spans="1:18" x14ac:dyDescent="0.3">
      <c r="A4" s="361"/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</row>
    <row r="5" spans="1:18" ht="20.399999999999999" x14ac:dyDescent="0.35">
      <c r="A5" s="365" t="s">
        <v>182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18" ht="20.399999999999999" x14ac:dyDescent="0.35">
      <c r="A6" s="365" t="s">
        <v>205</v>
      </c>
      <c r="B6" s="362"/>
      <c r="C6" s="362"/>
      <c r="D6" s="362"/>
      <c r="E6" s="362"/>
      <c r="F6" s="362"/>
      <c r="J6" s="362"/>
      <c r="K6" s="362"/>
      <c r="L6" s="362"/>
      <c r="M6" s="367" t="s">
        <v>184</v>
      </c>
      <c r="N6" s="367" t="s">
        <v>284</v>
      </c>
      <c r="O6" s="368">
        <v>2025</v>
      </c>
      <c r="P6" s="362"/>
      <c r="Q6" s="362"/>
      <c r="R6" s="362"/>
    </row>
    <row r="7" spans="1:18" ht="6.75" customHeight="1" thickBot="1" x14ac:dyDescent="0.4">
      <c r="A7" s="365"/>
      <c r="B7" s="362"/>
      <c r="C7" s="362"/>
      <c r="D7" s="362"/>
      <c r="E7" s="362"/>
      <c r="F7" s="362"/>
      <c r="J7" s="362"/>
      <c r="K7" s="362"/>
      <c r="L7" s="362"/>
      <c r="M7" s="362"/>
      <c r="N7" s="362"/>
      <c r="O7" s="362"/>
      <c r="P7" s="362"/>
      <c r="Q7" s="362"/>
      <c r="R7" s="362"/>
    </row>
    <row r="8" spans="1:18" ht="21" customHeight="1" thickBot="1" x14ac:dyDescent="0.35">
      <c r="A8" s="648" t="s">
        <v>185</v>
      </c>
      <c r="B8" s="649"/>
      <c r="C8" s="649"/>
      <c r="D8" s="649"/>
      <c r="E8" s="649"/>
      <c r="F8" s="649"/>
      <c r="G8" s="649"/>
      <c r="H8" s="650"/>
      <c r="I8" s="651" t="s">
        <v>186</v>
      </c>
      <c r="J8" s="653" t="s">
        <v>187</v>
      </c>
      <c r="K8" s="654"/>
      <c r="L8" s="654"/>
      <c r="M8" s="654"/>
      <c r="N8" s="655"/>
      <c r="O8" s="656" t="s">
        <v>188</v>
      </c>
      <c r="P8" s="362"/>
      <c r="Q8" s="362"/>
      <c r="R8" s="362"/>
    </row>
    <row r="9" spans="1:18" ht="28.2" thickBot="1" x14ac:dyDescent="0.35">
      <c r="A9" s="369" t="s">
        <v>189</v>
      </c>
      <c r="B9" s="370" t="s">
        <v>190</v>
      </c>
      <c r="C9" s="371" t="s">
        <v>191</v>
      </c>
      <c r="D9" s="372" t="s">
        <v>192</v>
      </c>
      <c r="E9" s="373" t="s">
        <v>193</v>
      </c>
      <c r="F9" s="374" t="s">
        <v>194</v>
      </c>
      <c r="G9" s="391" t="s">
        <v>195</v>
      </c>
      <c r="H9" s="392" t="s">
        <v>196</v>
      </c>
      <c r="I9" s="652"/>
      <c r="J9" s="377" t="s">
        <v>197</v>
      </c>
      <c r="K9" s="378" t="s">
        <v>198</v>
      </c>
      <c r="L9" s="379" t="s">
        <v>204</v>
      </c>
      <c r="M9" s="380" t="s">
        <v>200</v>
      </c>
      <c r="N9" s="381" t="s">
        <v>201</v>
      </c>
      <c r="O9" s="657"/>
      <c r="P9" s="362"/>
      <c r="Q9" s="362"/>
      <c r="R9" s="362"/>
    </row>
    <row r="10" spans="1:18" x14ac:dyDescent="0.3">
      <c r="A10" s="382">
        <v>1</v>
      </c>
      <c r="B10" s="383"/>
      <c r="C10" s="383"/>
      <c r="D10" s="396"/>
      <c r="E10" s="396"/>
      <c r="F10" s="396"/>
      <c r="G10" s="396"/>
      <c r="H10" s="396"/>
      <c r="I10" s="383"/>
      <c r="J10" s="397"/>
      <c r="K10" s="397"/>
      <c r="L10" s="396"/>
      <c r="M10" s="396"/>
      <c r="N10" s="396"/>
      <c r="O10" s="383"/>
      <c r="P10" s="362"/>
      <c r="Q10" s="362"/>
      <c r="R10" s="362"/>
    </row>
    <row r="11" spans="1:18" x14ac:dyDescent="0.3">
      <c r="A11" s="385">
        <v>2</v>
      </c>
      <c r="B11" s="393"/>
      <c r="C11" s="393"/>
      <c r="D11" s="394"/>
      <c r="E11" s="394"/>
      <c r="F11" s="394"/>
      <c r="G11" s="394"/>
      <c r="H11" s="394"/>
      <c r="I11" s="393"/>
      <c r="J11" s="395"/>
      <c r="K11" s="395"/>
      <c r="L11" s="394"/>
      <c r="M11" s="394"/>
      <c r="N11" s="394"/>
      <c r="O11" s="383"/>
      <c r="P11" s="362"/>
      <c r="Q11" s="362"/>
      <c r="R11" s="362"/>
    </row>
    <row r="12" spans="1:18" x14ac:dyDescent="0.3">
      <c r="A12" s="385">
        <v>3</v>
      </c>
      <c r="B12" s="393"/>
      <c r="C12" s="393"/>
      <c r="D12" s="394"/>
      <c r="E12" s="394"/>
      <c r="F12" s="394"/>
      <c r="G12" s="394"/>
      <c r="H12" s="394"/>
      <c r="I12" s="393"/>
      <c r="J12" s="395"/>
      <c r="K12" s="395"/>
      <c r="L12" s="394"/>
      <c r="M12" s="394"/>
      <c r="N12" s="394"/>
      <c r="O12" s="383"/>
      <c r="P12" s="362"/>
      <c r="Q12" s="362"/>
      <c r="R12" s="362"/>
    </row>
    <row r="13" spans="1:18" x14ac:dyDescent="0.3">
      <c r="A13" s="510">
        <v>4</v>
      </c>
      <c r="B13" s="393"/>
      <c r="C13" s="393"/>
      <c r="D13" s="394"/>
      <c r="E13" s="394"/>
      <c r="F13" s="394"/>
      <c r="G13" s="394"/>
      <c r="H13" s="394"/>
      <c r="I13" s="393"/>
      <c r="J13" s="395"/>
      <c r="K13" s="395"/>
      <c r="L13" s="394"/>
      <c r="M13" s="394"/>
      <c r="N13" s="394"/>
      <c r="O13" s="383"/>
      <c r="P13" s="362"/>
      <c r="Q13" s="362"/>
      <c r="R13" s="362"/>
    </row>
    <row r="14" spans="1:18" x14ac:dyDescent="0.3">
      <c r="A14" s="385">
        <v>5</v>
      </c>
      <c r="B14" s="393"/>
      <c r="C14" s="393"/>
      <c r="D14" s="394"/>
      <c r="E14" s="394"/>
      <c r="F14" s="394"/>
      <c r="G14" s="394"/>
      <c r="H14" s="394"/>
      <c r="I14" s="393"/>
      <c r="J14" s="395"/>
      <c r="K14" s="395"/>
      <c r="L14" s="394"/>
      <c r="M14" s="394"/>
      <c r="N14" s="394"/>
      <c r="O14" s="383"/>
      <c r="P14" s="362"/>
      <c r="Q14" s="362"/>
      <c r="R14" s="362"/>
    </row>
    <row r="15" spans="1:18" x14ac:dyDescent="0.3">
      <c r="A15" s="385">
        <v>6</v>
      </c>
      <c r="B15" s="393"/>
      <c r="C15" s="393"/>
      <c r="D15" s="394"/>
      <c r="E15" s="394"/>
      <c r="F15" s="394"/>
      <c r="G15" s="394"/>
      <c r="H15" s="394"/>
      <c r="I15" s="393"/>
      <c r="J15" s="395"/>
      <c r="K15" s="395"/>
      <c r="L15" s="394"/>
      <c r="M15" s="394"/>
      <c r="N15" s="394"/>
      <c r="O15" s="383"/>
      <c r="P15" s="362"/>
      <c r="Q15" s="362"/>
      <c r="R15" s="362"/>
    </row>
    <row r="16" spans="1:18" x14ac:dyDescent="0.3">
      <c r="A16" s="385">
        <v>7</v>
      </c>
      <c r="B16" s="393"/>
      <c r="C16" s="393"/>
      <c r="D16" s="394"/>
      <c r="E16" s="394"/>
      <c r="F16" s="394"/>
      <c r="G16" s="394"/>
      <c r="H16" s="394"/>
      <c r="I16" s="393"/>
      <c r="J16" s="395"/>
      <c r="K16" s="395"/>
      <c r="L16" s="394"/>
      <c r="M16" s="394"/>
      <c r="N16" s="394"/>
      <c r="O16" s="383"/>
      <c r="P16" s="362"/>
      <c r="Q16" s="362"/>
      <c r="R16" s="362"/>
    </row>
    <row r="17" spans="1:18" x14ac:dyDescent="0.3">
      <c r="A17" s="385">
        <v>8</v>
      </c>
      <c r="B17" s="393"/>
      <c r="C17" s="393"/>
      <c r="D17" s="394"/>
      <c r="E17" s="394"/>
      <c r="F17" s="394"/>
      <c r="G17" s="394"/>
      <c r="H17" s="394"/>
      <c r="I17" s="393"/>
      <c r="J17" s="395"/>
      <c r="K17" s="395"/>
      <c r="L17" s="394"/>
      <c r="M17" s="394"/>
      <c r="N17" s="394"/>
      <c r="O17" s="383"/>
      <c r="P17" s="362"/>
      <c r="Q17" s="362"/>
      <c r="R17" s="362"/>
    </row>
    <row r="18" spans="1:18" x14ac:dyDescent="0.3">
      <c r="A18" s="385">
        <v>9</v>
      </c>
      <c r="B18" s="393"/>
      <c r="C18" s="393"/>
      <c r="D18" s="394"/>
      <c r="E18" s="394"/>
      <c r="F18" s="394"/>
      <c r="G18" s="394"/>
      <c r="H18" s="394"/>
      <c r="I18" s="393"/>
      <c r="J18" s="395"/>
      <c r="K18" s="395"/>
      <c r="L18" s="394"/>
      <c r="M18" s="394"/>
      <c r="N18" s="394"/>
      <c r="O18" s="383"/>
      <c r="P18" s="362"/>
      <c r="Q18" s="362"/>
      <c r="R18" s="362"/>
    </row>
    <row r="19" spans="1:18" x14ac:dyDescent="0.3">
      <c r="A19" s="385">
        <v>10</v>
      </c>
      <c r="B19" s="393"/>
      <c r="C19" s="393"/>
      <c r="D19" s="394"/>
      <c r="E19" s="394"/>
      <c r="F19" s="394"/>
      <c r="G19" s="394"/>
      <c r="H19" s="394"/>
      <c r="I19" s="393"/>
      <c r="J19" s="395"/>
      <c r="K19" s="395"/>
      <c r="L19" s="394"/>
      <c r="M19" s="394"/>
      <c r="N19" s="394"/>
      <c r="O19" s="383"/>
      <c r="P19" s="362"/>
      <c r="Q19" s="362"/>
      <c r="R19" s="362"/>
    </row>
    <row r="20" spans="1:18" x14ac:dyDescent="0.3">
      <c r="A20" s="385">
        <v>11</v>
      </c>
      <c r="B20" s="393"/>
      <c r="C20" s="393"/>
      <c r="D20" s="394"/>
      <c r="E20" s="394"/>
      <c r="F20" s="394"/>
      <c r="G20" s="394"/>
      <c r="H20" s="394"/>
      <c r="I20" s="393"/>
      <c r="J20" s="395"/>
      <c r="K20" s="395"/>
      <c r="L20" s="394"/>
      <c r="M20" s="394"/>
      <c r="N20" s="394"/>
      <c r="O20" s="383"/>
      <c r="P20" s="362"/>
      <c r="Q20" s="362"/>
      <c r="R20" s="362"/>
    </row>
    <row r="21" spans="1:18" x14ac:dyDescent="0.3">
      <c r="A21" s="385">
        <v>12</v>
      </c>
      <c r="B21" s="393"/>
      <c r="C21" s="393"/>
      <c r="D21" s="394"/>
      <c r="E21" s="396"/>
      <c r="F21" s="396"/>
      <c r="G21" s="396"/>
      <c r="H21" s="394"/>
      <c r="I21" s="393"/>
      <c r="J21" s="397"/>
      <c r="K21" s="397"/>
      <c r="L21" s="394"/>
      <c r="M21" s="394"/>
      <c r="N21" s="394"/>
      <c r="O21" s="383"/>
      <c r="P21" s="362"/>
      <c r="Q21" s="362"/>
      <c r="R21" s="362"/>
    </row>
    <row r="22" spans="1:18" x14ac:dyDescent="0.3">
      <c r="A22" s="385">
        <v>13</v>
      </c>
      <c r="B22" s="393"/>
      <c r="C22" s="393"/>
      <c r="D22" s="394"/>
      <c r="E22" s="394"/>
      <c r="F22" s="394"/>
      <c r="G22" s="394"/>
      <c r="H22" s="394"/>
      <c r="I22" s="393"/>
      <c r="J22" s="395"/>
      <c r="K22" s="395"/>
      <c r="L22" s="394"/>
      <c r="M22" s="394"/>
      <c r="N22" s="394"/>
      <c r="O22" s="383"/>
      <c r="P22" s="362"/>
      <c r="Q22" s="362"/>
      <c r="R22" s="362"/>
    </row>
    <row r="23" spans="1:18" x14ac:dyDescent="0.3">
      <c r="A23" s="385">
        <v>14</v>
      </c>
      <c r="B23" s="393"/>
      <c r="C23" s="393"/>
      <c r="D23" s="394"/>
      <c r="E23" s="394"/>
      <c r="F23" s="394"/>
      <c r="G23" s="394"/>
      <c r="H23" s="394"/>
      <c r="I23" s="393"/>
      <c r="J23" s="395"/>
      <c r="K23" s="395"/>
      <c r="L23" s="394"/>
      <c r="M23" s="394"/>
      <c r="N23" s="394"/>
      <c r="O23" s="383"/>
      <c r="P23" s="362"/>
      <c r="Q23" s="362"/>
      <c r="R23" s="362"/>
    </row>
    <row r="24" spans="1:18" x14ac:dyDescent="0.3">
      <c r="A24" s="385">
        <v>15</v>
      </c>
      <c r="B24" s="393"/>
      <c r="C24" s="393"/>
      <c r="D24" s="394"/>
      <c r="E24" s="394"/>
      <c r="F24" s="394"/>
      <c r="G24" s="394"/>
      <c r="H24" s="394"/>
      <c r="I24" s="393"/>
      <c r="J24" s="395"/>
      <c r="K24" s="395"/>
      <c r="L24" s="394"/>
      <c r="M24" s="394"/>
      <c r="N24" s="394"/>
      <c r="O24" s="383"/>
      <c r="P24" s="362"/>
      <c r="Q24" s="362"/>
      <c r="R24" s="362"/>
    </row>
    <row r="25" spans="1:18" x14ac:dyDescent="0.3">
      <c r="A25" s="385">
        <v>16</v>
      </c>
      <c r="B25" s="393"/>
      <c r="C25" s="393"/>
      <c r="D25" s="394"/>
      <c r="E25" s="394"/>
      <c r="F25" s="394"/>
      <c r="G25" s="394"/>
      <c r="H25" s="394"/>
      <c r="I25" s="393"/>
      <c r="J25" s="395"/>
      <c r="K25" s="395"/>
      <c r="L25" s="394"/>
      <c r="M25" s="394"/>
      <c r="N25" s="394"/>
      <c r="O25" s="383"/>
      <c r="P25" s="362"/>
      <c r="Q25" s="362"/>
      <c r="R25" s="362"/>
    </row>
    <row r="26" spans="1:18" x14ac:dyDescent="0.3">
      <c r="A26" s="510">
        <v>17</v>
      </c>
      <c r="B26" s="393"/>
      <c r="C26" s="393"/>
      <c r="D26" s="394"/>
      <c r="E26" s="394"/>
      <c r="F26" s="394"/>
      <c r="G26" s="394"/>
      <c r="H26" s="394"/>
      <c r="I26" s="393"/>
      <c r="J26" s="395"/>
      <c r="K26" s="395"/>
      <c r="L26" s="394"/>
      <c r="M26" s="394"/>
      <c r="N26" s="394"/>
      <c r="O26" s="383"/>
      <c r="P26" s="658"/>
      <c r="Q26" s="659"/>
      <c r="R26" s="362"/>
    </row>
    <row r="27" spans="1:18" x14ac:dyDescent="0.3">
      <c r="A27" s="385">
        <v>18</v>
      </c>
      <c r="B27" s="393"/>
      <c r="C27" s="393"/>
      <c r="D27" s="394"/>
      <c r="E27" s="394"/>
      <c r="F27" s="394"/>
      <c r="G27" s="394"/>
      <c r="H27" s="394"/>
      <c r="I27" s="393"/>
      <c r="J27" s="395"/>
      <c r="K27" s="395"/>
      <c r="L27" s="394"/>
      <c r="M27" s="394"/>
      <c r="N27" s="394"/>
      <c r="O27" s="383"/>
      <c r="P27" s="362"/>
      <c r="Q27" s="362"/>
      <c r="R27" s="362"/>
    </row>
    <row r="28" spans="1:18" x14ac:dyDescent="0.3">
      <c r="A28" s="385">
        <v>19</v>
      </c>
      <c r="B28" s="393"/>
      <c r="C28" s="393"/>
      <c r="D28" s="394"/>
      <c r="E28" s="394"/>
      <c r="F28" s="394"/>
      <c r="G28" s="394"/>
      <c r="H28" s="394"/>
      <c r="I28" s="393"/>
      <c r="J28" s="395"/>
      <c r="K28" s="395"/>
      <c r="L28" s="394"/>
      <c r="M28" s="394"/>
      <c r="N28" s="394"/>
      <c r="O28" s="383"/>
      <c r="P28" s="362"/>
      <c r="Q28" s="362"/>
      <c r="R28" s="362"/>
    </row>
    <row r="29" spans="1:18" x14ac:dyDescent="0.3">
      <c r="A29" s="385">
        <v>20</v>
      </c>
      <c r="B29" s="393"/>
      <c r="C29" s="393"/>
      <c r="D29" s="394"/>
      <c r="E29" s="394"/>
      <c r="F29" s="394"/>
      <c r="G29" s="394"/>
      <c r="H29" s="394"/>
      <c r="I29" s="393"/>
      <c r="J29" s="395"/>
      <c r="K29" s="395"/>
      <c r="L29" s="394"/>
      <c r="M29" s="394"/>
      <c r="N29" s="394"/>
      <c r="O29" s="383"/>
      <c r="P29" s="362"/>
      <c r="Q29" s="362"/>
      <c r="R29" s="362"/>
    </row>
    <row r="30" spans="1:18" x14ac:dyDescent="0.3">
      <c r="A30" s="385">
        <v>21</v>
      </c>
      <c r="B30" s="393"/>
      <c r="C30" s="393"/>
      <c r="D30" s="394"/>
      <c r="E30" s="394"/>
      <c r="F30" s="394"/>
      <c r="G30" s="394"/>
      <c r="H30" s="394"/>
      <c r="I30" s="393"/>
      <c r="J30" s="395"/>
      <c r="K30" s="395"/>
      <c r="L30" s="394"/>
      <c r="M30" s="394"/>
      <c r="N30" s="394"/>
      <c r="O30" s="383"/>
      <c r="P30" s="362"/>
      <c r="Q30" s="362"/>
      <c r="R30" s="362"/>
    </row>
    <row r="31" spans="1:18" x14ac:dyDescent="0.3">
      <c r="A31" s="385">
        <v>22</v>
      </c>
      <c r="B31" s="393"/>
      <c r="C31" s="393"/>
      <c r="D31" s="394"/>
      <c r="E31" s="394"/>
      <c r="F31" s="394"/>
      <c r="G31" s="394"/>
      <c r="H31" s="394"/>
      <c r="I31" s="393"/>
      <c r="J31" s="395"/>
      <c r="K31" s="395"/>
      <c r="L31" s="394"/>
      <c r="M31" s="394"/>
      <c r="N31" s="394"/>
      <c r="O31" s="383"/>
      <c r="P31" s="362"/>
      <c r="Q31" s="362"/>
      <c r="R31" s="362"/>
    </row>
    <row r="32" spans="1:18" x14ac:dyDescent="0.3">
      <c r="A32" s="385">
        <v>23</v>
      </c>
      <c r="B32" s="393"/>
      <c r="C32" s="393"/>
      <c r="D32" s="394"/>
      <c r="E32" s="394"/>
      <c r="F32" s="394"/>
      <c r="G32" s="394"/>
      <c r="H32" s="394"/>
      <c r="I32" s="393"/>
      <c r="J32" s="395"/>
      <c r="K32" s="395"/>
      <c r="L32" s="394"/>
      <c r="M32" s="394"/>
      <c r="N32" s="394"/>
      <c r="O32" s="383"/>
      <c r="P32" s="362"/>
      <c r="Q32" s="362"/>
      <c r="R32" s="362"/>
    </row>
    <row r="33" spans="1:18" x14ac:dyDescent="0.3">
      <c r="A33" s="510">
        <v>24</v>
      </c>
      <c r="B33" s="393"/>
      <c r="C33" s="393"/>
      <c r="D33" s="394"/>
      <c r="E33" s="394"/>
      <c r="F33" s="394"/>
      <c r="G33" s="394"/>
      <c r="H33" s="394"/>
      <c r="I33" s="393"/>
      <c r="J33" s="395"/>
      <c r="K33" s="395"/>
      <c r="L33" s="394"/>
      <c r="M33" s="394"/>
      <c r="N33" s="394"/>
      <c r="O33" s="383"/>
      <c r="P33" s="658"/>
      <c r="Q33" s="659"/>
      <c r="R33" s="362"/>
    </row>
    <row r="34" spans="1:18" x14ac:dyDescent="0.3">
      <c r="A34" s="385">
        <v>25</v>
      </c>
      <c r="B34" s="393"/>
      <c r="C34" s="393"/>
      <c r="D34" s="394"/>
      <c r="E34" s="394"/>
      <c r="F34" s="394"/>
      <c r="G34" s="394"/>
      <c r="H34" s="394"/>
      <c r="I34" s="393"/>
      <c r="J34" s="395"/>
      <c r="K34" s="395"/>
      <c r="L34" s="394"/>
      <c r="M34" s="394"/>
      <c r="N34" s="394"/>
      <c r="O34" s="383"/>
      <c r="P34" s="362"/>
      <c r="Q34" s="362"/>
      <c r="R34" s="362"/>
    </row>
    <row r="35" spans="1:18" x14ac:dyDescent="0.3">
      <c r="A35" s="385">
        <v>26</v>
      </c>
      <c r="B35" s="393"/>
      <c r="C35" s="393"/>
      <c r="D35" s="394"/>
      <c r="E35" s="396"/>
      <c r="F35" s="396"/>
      <c r="G35" s="396"/>
      <c r="H35" s="396"/>
      <c r="I35" s="383"/>
      <c r="J35" s="397"/>
      <c r="K35" s="397"/>
      <c r="L35" s="394"/>
      <c r="M35" s="394"/>
      <c r="N35" s="394"/>
      <c r="O35" s="383"/>
      <c r="P35" s="362"/>
      <c r="Q35" s="362"/>
      <c r="R35" s="362"/>
    </row>
    <row r="36" spans="1:18" x14ac:dyDescent="0.3">
      <c r="A36" s="385">
        <v>27</v>
      </c>
      <c r="B36" s="393"/>
      <c r="C36" s="393"/>
      <c r="D36" s="394"/>
      <c r="E36" s="394"/>
      <c r="F36" s="394"/>
      <c r="G36" s="394"/>
      <c r="H36" s="394"/>
      <c r="I36" s="393"/>
      <c r="J36" s="395"/>
      <c r="K36" s="395"/>
      <c r="L36" s="394"/>
      <c r="M36" s="394"/>
      <c r="N36" s="394"/>
      <c r="O36" s="383"/>
      <c r="P36" s="362"/>
      <c r="Q36" s="362"/>
      <c r="R36" s="362"/>
    </row>
    <row r="37" spans="1:18" x14ac:dyDescent="0.3">
      <c r="A37" s="385">
        <v>28</v>
      </c>
      <c r="B37" s="393"/>
      <c r="C37" s="393"/>
      <c r="D37" s="394"/>
      <c r="E37" s="394"/>
      <c r="F37" s="394"/>
      <c r="G37" s="394"/>
      <c r="H37" s="394"/>
      <c r="I37" s="393"/>
      <c r="J37" s="395"/>
      <c r="K37" s="395"/>
      <c r="L37" s="394"/>
      <c r="M37" s="394"/>
      <c r="N37" s="394"/>
      <c r="O37" s="383"/>
      <c r="P37" s="362"/>
      <c r="Q37" s="362"/>
      <c r="R37" s="362"/>
    </row>
    <row r="38" spans="1:18" x14ac:dyDescent="0.3">
      <c r="A38" s="385">
        <v>29</v>
      </c>
      <c r="B38" s="393"/>
      <c r="C38" s="393"/>
      <c r="D38" s="394"/>
      <c r="E38" s="394"/>
      <c r="F38" s="394"/>
      <c r="G38" s="394"/>
      <c r="H38" s="394"/>
      <c r="I38" s="393"/>
      <c r="J38" s="395"/>
      <c r="K38" s="395"/>
      <c r="L38" s="394"/>
      <c r="M38" s="394"/>
      <c r="N38" s="394"/>
      <c r="O38" s="383"/>
      <c r="P38" s="362"/>
      <c r="Q38" s="362"/>
      <c r="R38" s="362"/>
    </row>
    <row r="39" spans="1:18" x14ac:dyDescent="0.3">
      <c r="A39" s="385">
        <v>30</v>
      </c>
      <c r="B39" s="393"/>
      <c r="C39" s="393"/>
      <c r="D39" s="394"/>
      <c r="E39" s="394"/>
      <c r="F39" s="394"/>
      <c r="G39" s="394"/>
      <c r="H39" s="394"/>
      <c r="I39" s="393"/>
      <c r="J39" s="395"/>
      <c r="K39" s="395"/>
      <c r="L39" s="394"/>
      <c r="M39" s="394"/>
      <c r="N39" s="394"/>
      <c r="O39" s="383"/>
      <c r="P39" s="362"/>
      <c r="Q39" s="362"/>
      <c r="R39" s="362"/>
    </row>
    <row r="40" spans="1:18" x14ac:dyDescent="0.3">
      <c r="A40" s="385">
        <v>31</v>
      </c>
      <c r="B40" s="393"/>
      <c r="C40" s="393"/>
      <c r="D40" s="394"/>
      <c r="E40" s="394"/>
      <c r="F40" s="394"/>
      <c r="G40" s="394"/>
      <c r="H40" s="394"/>
      <c r="I40" s="393"/>
      <c r="J40" s="395"/>
      <c r="K40" s="395"/>
      <c r="L40" s="394"/>
      <c r="M40" s="394"/>
      <c r="N40" s="394"/>
      <c r="O40" s="383"/>
      <c r="P40" s="362"/>
      <c r="Q40" s="362"/>
      <c r="R40" s="362"/>
    </row>
    <row r="41" spans="1:18" x14ac:dyDescent="0.3">
      <c r="A41" s="361"/>
      <c r="B41" s="362"/>
      <c r="C41" s="362"/>
      <c r="D41" s="388" t="e">
        <f>AVERAGE(D10:D40)</f>
        <v>#DIV/0!</v>
      </c>
      <c r="E41" s="362"/>
      <c r="F41" s="362"/>
      <c r="G41" s="388" t="e">
        <f>AVERAGE(G10:G40)</f>
        <v>#DIV/0!</v>
      </c>
      <c r="H41" s="388" t="e">
        <f>AVERAGE(H10:H40)</f>
        <v>#DIV/0!</v>
      </c>
      <c r="I41" s="388" t="e">
        <f>AVERAGE(I10:I40)</f>
        <v>#DIV/0!</v>
      </c>
      <c r="J41" s="388">
        <f>SUM(J10:J40)</f>
        <v>0</v>
      </c>
      <c r="K41" s="388">
        <f>SUM(K10:K40)</f>
        <v>0</v>
      </c>
      <c r="L41" s="362"/>
      <c r="M41" s="362"/>
      <c r="N41" s="362"/>
      <c r="O41" s="362"/>
      <c r="P41" s="362"/>
      <c r="Q41" s="362"/>
      <c r="R41" s="362"/>
    </row>
    <row r="42" spans="1:18" x14ac:dyDescent="0.3">
      <c r="A42" s="361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</row>
    <row r="43" spans="1:18" x14ac:dyDescent="0.3">
      <c r="A43" s="361"/>
      <c r="B43" s="362"/>
      <c r="C43" s="362"/>
      <c r="D43" s="362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</row>
    <row r="44" spans="1:18" x14ac:dyDescent="0.3">
      <c r="A44" s="361"/>
      <c r="B44" s="362"/>
      <c r="C44" s="362"/>
      <c r="D44" s="362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</row>
    <row r="45" spans="1:18" x14ac:dyDescent="0.3">
      <c r="A45" s="361"/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</row>
    <row r="46" spans="1:18" x14ac:dyDescent="0.3">
      <c r="A46" s="361"/>
      <c r="B46" s="362"/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</row>
    <row r="47" spans="1:18" x14ac:dyDescent="0.3">
      <c r="A47" s="361"/>
      <c r="B47" s="362"/>
      <c r="C47" s="362"/>
      <c r="D47" s="362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</row>
    <row r="48" spans="1:18" x14ac:dyDescent="0.3">
      <c r="A48" s="361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</row>
    <row r="49" spans="1:18" x14ac:dyDescent="0.3">
      <c r="A49" s="361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</row>
    <row r="50" spans="1:18" x14ac:dyDescent="0.3">
      <c r="A50" s="361"/>
      <c r="B50" s="362"/>
      <c r="C50" s="362"/>
      <c r="D50" s="362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</row>
    <row r="51" spans="1:18" x14ac:dyDescent="0.3">
      <c r="A51" s="361"/>
      <c r="B51" s="362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</row>
    <row r="52" spans="1:18" x14ac:dyDescent="0.3">
      <c r="A52" s="361"/>
      <c r="B52" s="362"/>
      <c r="C52" s="362"/>
      <c r="D52" s="362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</row>
    <row r="53" spans="1:18" x14ac:dyDescent="0.3">
      <c r="A53" s="361"/>
      <c r="B53" s="362"/>
      <c r="C53" s="362"/>
      <c r="D53" s="362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</row>
    <row r="54" spans="1:18" x14ac:dyDescent="0.3">
      <c r="A54" s="361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</row>
    <row r="55" spans="1:18" x14ac:dyDescent="0.3">
      <c r="A55" s="361"/>
      <c r="B55" s="362"/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</row>
    <row r="56" spans="1:18" x14ac:dyDescent="0.3">
      <c r="A56" s="361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</row>
    <row r="57" spans="1:18" x14ac:dyDescent="0.3">
      <c r="A57" s="361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</row>
    <row r="58" spans="1:18" x14ac:dyDescent="0.3">
      <c r="A58" s="361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</row>
    <row r="59" spans="1:18" x14ac:dyDescent="0.3">
      <c r="A59" s="361"/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</row>
    <row r="60" spans="1:18" x14ac:dyDescent="0.3">
      <c r="A60" s="361"/>
      <c r="B60" s="362"/>
      <c r="C60" s="362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</row>
    <row r="61" spans="1:18" x14ac:dyDescent="0.3">
      <c r="A61" s="361"/>
      <c r="B61" s="362"/>
      <c r="C61" s="362"/>
      <c r="D61" s="362"/>
      <c r="E61" s="362"/>
      <c r="F61" s="362"/>
      <c r="G61" s="362"/>
      <c r="H61" s="362"/>
      <c r="I61" s="362"/>
      <c r="J61" s="362"/>
    </row>
    <row r="62" spans="1:18" x14ac:dyDescent="0.3">
      <c r="A62" s="361"/>
      <c r="B62" s="362"/>
      <c r="C62" s="362"/>
      <c r="D62" s="362"/>
      <c r="E62" s="362"/>
      <c r="F62" s="362"/>
      <c r="G62" s="362"/>
      <c r="H62" s="362"/>
      <c r="I62" s="362"/>
      <c r="J62" s="362"/>
    </row>
    <row r="63" spans="1:18" x14ac:dyDescent="0.3">
      <c r="A63" s="361"/>
      <c r="B63" s="362"/>
      <c r="C63" s="362"/>
      <c r="D63" s="362"/>
      <c r="E63" s="362"/>
      <c r="F63" s="362"/>
      <c r="G63" s="362"/>
      <c r="H63" s="362"/>
      <c r="I63" s="362"/>
      <c r="J63" s="362"/>
    </row>
    <row r="64" spans="1:18" x14ac:dyDescent="0.3">
      <c r="A64" s="361"/>
      <c r="B64" s="362"/>
      <c r="C64" s="362"/>
      <c r="D64" s="362"/>
      <c r="E64" s="362"/>
      <c r="F64" s="362"/>
      <c r="G64" s="362"/>
      <c r="H64" s="362"/>
      <c r="I64" s="362"/>
      <c r="J64" s="362"/>
    </row>
    <row r="65" spans="1:10" x14ac:dyDescent="0.3">
      <c r="A65" s="361"/>
      <c r="B65" s="362"/>
      <c r="C65" s="362"/>
      <c r="D65" s="362"/>
      <c r="E65" s="362"/>
      <c r="F65" s="362"/>
      <c r="G65" s="362"/>
      <c r="H65" s="362"/>
      <c r="I65" s="362"/>
      <c r="J65" s="362"/>
    </row>
    <row r="66" spans="1:10" x14ac:dyDescent="0.3">
      <c r="A66" s="361"/>
      <c r="B66" s="362"/>
      <c r="C66" s="362"/>
      <c r="D66" s="362"/>
      <c r="E66" s="362"/>
      <c r="F66" s="362"/>
      <c r="G66" s="362"/>
      <c r="H66" s="362"/>
      <c r="I66" s="362"/>
      <c r="J66" s="362"/>
    </row>
    <row r="67" spans="1:10" x14ac:dyDescent="0.3">
      <c r="A67" s="361"/>
      <c r="B67" s="362"/>
      <c r="C67" s="362"/>
      <c r="D67" s="362"/>
      <c r="E67" s="362"/>
      <c r="F67" s="362"/>
      <c r="G67" s="362"/>
      <c r="H67" s="362"/>
      <c r="I67" s="362"/>
      <c r="J67" s="362"/>
    </row>
    <row r="68" spans="1:10" x14ac:dyDescent="0.3">
      <c r="A68" s="361"/>
      <c r="B68" s="362"/>
      <c r="C68" s="362"/>
      <c r="D68" s="362"/>
      <c r="E68" s="362"/>
      <c r="F68" s="362"/>
      <c r="G68" s="362"/>
      <c r="H68" s="362"/>
      <c r="I68" s="362"/>
      <c r="J68" s="362"/>
    </row>
    <row r="69" spans="1:10" x14ac:dyDescent="0.3">
      <c r="A69" s="361"/>
      <c r="B69" s="362"/>
      <c r="C69" s="362"/>
      <c r="D69" s="362"/>
      <c r="E69" s="362"/>
      <c r="F69" s="362"/>
      <c r="G69" s="362"/>
      <c r="H69" s="362"/>
      <c r="I69" s="362"/>
      <c r="J69" s="362"/>
    </row>
    <row r="70" spans="1:10" x14ac:dyDescent="0.3">
      <c r="A70" s="361"/>
      <c r="B70" s="362"/>
      <c r="C70" s="362"/>
      <c r="D70" s="362"/>
      <c r="E70" s="362"/>
      <c r="F70" s="362"/>
      <c r="G70" s="362"/>
      <c r="H70" s="362"/>
      <c r="I70" s="362"/>
      <c r="J70" s="362"/>
    </row>
    <row r="71" spans="1:10" x14ac:dyDescent="0.3">
      <c r="A71" s="361"/>
      <c r="B71" s="362"/>
      <c r="C71" s="362"/>
      <c r="D71" s="362"/>
      <c r="E71" s="362"/>
      <c r="F71" s="362"/>
      <c r="G71" s="362"/>
      <c r="H71" s="362"/>
      <c r="I71" s="362"/>
      <c r="J71" s="362"/>
    </row>
    <row r="72" spans="1:10" x14ac:dyDescent="0.3">
      <c r="A72" s="361"/>
      <c r="B72" s="362"/>
      <c r="C72" s="362"/>
      <c r="D72" s="362"/>
      <c r="E72" s="362"/>
      <c r="F72" s="362"/>
      <c r="G72" s="362"/>
      <c r="H72" s="362"/>
      <c r="I72" s="362"/>
      <c r="J72" s="362"/>
    </row>
    <row r="73" spans="1:10" x14ac:dyDescent="0.3">
      <c r="A73" s="361"/>
      <c r="B73" s="362"/>
      <c r="C73" s="362"/>
      <c r="D73" s="362"/>
      <c r="E73" s="362"/>
      <c r="F73" s="362"/>
      <c r="G73" s="362"/>
      <c r="H73" s="362"/>
      <c r="I73" s="362"/>
      <c r="J73" s="362"/>
    </row>
    <row r="74" spans="1:10" x14ac:dyDescent="0.3">
      <c r="A74" s="361"/>
      <c r="B74" s="362"/>
      <c r="C74" s="362"/>
      <c r="D74" s="362"/>
      <c r="E74" s="362"/>
      <c r="F74" s="362"/>
      <c r="G74" s="362"/>
      <c r="H74" s="362"/>
      <c r="I74" s="362"/>
      <c r="J74" s="362"/>
    </row>
    <row r="75" spans="1:10" x14ac:dyDescent="0.3">
      <c r="A75" s="361"/>
      <c r="B75" s="362"/>
      <c r="C75" s="362"/>
      <c r="D75" s="362"/>
      <c r="E75" s="362"/>
      <c r="F75" s="362"/>
      <c r="G75" s="362"/>
      <c r="H75" s="362"/>
      <c r="I75" s="362"/>
      <c r="J75" s="362"/>
    </row>
    <row r="76" spans="1:10" x14ac:dyDescent="0.3">
      <c r="A76" s="361"/>
      <c r="B76" s="362"/>
      <c r="C76" s="362"/>
      <c r="D76" s="362"/>
      <c r="E76" s="362"/>
      <c r="F76" s="362"/>
      <c r="G76" s="362"/>
      <c r="H76" s="362"/>
      <c r="I76" s="362"/>
      <c r="J76" s="362"/>
    </row>
    <row r="77" spans="1:10" x14ac:dyDescent="0.3">
      <c r="A77" s="361"/>
      <c r="B77" s="362"/>
      <c r="C77" s="362"/>
      <c r="D77" s="362"/>
      <c r="E77" s="362"/>
      <c r="F77" s="362"/>
      <c r="G77" s="362"/>
      <c r="H77" s="362"/>
      <c r="I77" s="362"/>
      <c r="J77" s="362"/>
    </row>
    <row r="78" spans="1:10" x14ac:dyDescent="0.3">
      <c r="A78" s="361"/>
      <c r="B78" s="362"/>
      <c r="C78" s="362"/>
      <c r="D78" s="362"/>
      <c r="E78" s="362"/>
      <c r="F78" s="362"/>
      <c r="G78" s="362"/>
      <c r="H78" s="362"/>
      <c r="I78" s="362"/>
      <c r="J78" s="362"/>
    </row>
    <row r="79" spans="1:10" x14ac:dyDescent="0.3">
      <c r="A79" s="361"/>
      <c r="B79" s="362"/>
      <c r="C79" s="362"/>
      <c r="D79" s="362"/>
      <c r="E79" s="362"/>
      <c r="F79" s="362"/>
      <c r="G79" s="362"/>
      <c r="H79" s="362"/>
      <c r="I79" s="362"/>
      <c r="J79" s="362"/>
    </row>
    <row r="80" spans="1:10" x14ac:dyDescent="0.3">
      <c r="A80" s="361"/>
      <c r="B80" s="362"/>
      <c r="C80" s="362"/>
      <c r="D80" s="362"/>
      <c r="E80" s="362"/>
      <c r="F80" s="362"/>
      <c r="G80" s="362"/>
      <c r="H80" s="362"/>
      <c r="I80" s="362"/>
      <c r="J80" s="362"/>
    </row>
    <row r="81" spans="1:10" x14ac:dyDescent="0.3">
      <c r="A81" s="361"/>
      <c r="B81" s="362"/>
      <c r="C81" s="362"/>
      <c r="D81" s="362"/>
      <c r="E81" s="362"/>
      <c r="F81" s="362"/>
      <c r="G81" s="362"/>
      <c r="H81" s="362"/>
      <c r="I81" s="362"/>
      <c r="J81" s="362"/>
    </row>
    <row r="82" spans="1:10" x14ac:dyDescent="0.3">
      <c r="A82" s="361"/>
      <c r="B82" s="362"/>
      <c r="C82" s="362"/>
      <c r="D82" s="362"/>
      <c r="E82" s="362"/>
      <c r="F82" s="362"/>
      <c r="G82" s="362"/>
      <c r="H82" s="362"/>
      <c r="I82" s="362"/>
      <c r="J82" s="362"/>
    </row>
    <row r="83" spans="1:10" x14ac:dyDescent="0.3">
      <c r="A83" s="361"/>
      <c r="B83" s="362"/>
      <c r="C83" s="362"/>
      <c r="D83" s="362"/>
      <c r="E83" s="362"/>
      <c r="F83" s="362"/>
      <c r="G83" s="362"/>
      <c r="H83" s="362"/>
      <c r="I83" s="362"/>
      <c r="J83" s="362"/>
    </row>
    <row r="84" spans="1:10" x14ac:dyDescent="0.3">
      <c r="A84" s="361"/>
      <c r="B84" s="362"/>
      <c r="C84" s="362"/>
      <c r="D84" s="362"/>
      <c r="E84" s="362"/>
      <c r="F84" s="362"/>
      <c r="G84" s="362"/>
      <c r="H84" s="362"/>
      <c r="I84" s="362"/>
      <c r="J84" s="362"/>
    </row>
    <row r="85" spans="1:10" x14ac:dyDescent="0.3">
      <c r="A85" s="361"/>
      <c r="B85" s="362"/>
      <c r="C85" s="362"/>
      <c r="D85" s="362"/>
      <c r="E85" s="362"/>
      <c r="F85" s="362"/>
      <c r="G85" s="362"/>
      <c r="H85" s="362"/>
      <c r="I85" s="362"/>
      <c r="J85" s="362"/>
    </row>
    <row r="86" spans="1:10" x14ac:dyDescent="0.3">
      <c r="A86" s="361"/>
      <c r="B86" s="362"/>
      <c r="C86" s="362"/>
      <c r="D86" s="362"/>
      <c r="E86" s="362"/>
      <c r="F86" s="362"/>
      <c r="G86" s="362"/>
      <c r="H86" s="362"/>
      <c r="I86" s="362"/>
      <c r="J86" s="362"/>
    </row>
    <row r="87" spans="1:10" x14ac:dyDescent="0.3">
      <c r="A87" s="361"/>
      <c r="B87" s="362"/>
      <c r="C87" s="362"/>
      <c r="D87" s="362"/>
      <c r="E87" s="362"/>
      <c r="F87" s="362"/>
      <c r="G87" s="362"/>
      <c r="H87" s="362"/>
      <c r="I87" s="362"/>
      <c r="J87" s="362"/>
    </row>
    <row r="88" spans="1:10" x14ac:dyDescent="0.3">
      <c r="A88" s="361"/>
      <c r="B88" s="362"/>
      <c r="C88" s="362"/>
      <c r="D88" s="362"/>
      <c r="E88" s="362"/>
      <c r="F88" s="362"/>
      <c r="G88" s="362"/>
      <c r="H88" s="362"/>
      <c r="I88" s="362"/>
      <c r="J88" s="362"/>
    </row>
    <row r="89" spans="1:10" x14ac:dyDescent="0.3">
      <c r="A89" s="361"/>
      <c r="B89" s="362"/>
      <c r="C89" s="362"/>
      <c r="D89" s="362"/>
      <c r="E89" s="362"/>
      <c r="F89" s="362"/>
      <c r="G89" s="362"/>
      <c r="H89" s="362"/>
      <c r="I89" s="362"/>
      <c r="J89" s="362"/>
    </row>
    <row r="90" spans="1:10" x14ac:dyDescent="0.3">
      <c r="A90" s="361"/>
      <c r="B90" s="362"/>
      <c r="C90" s="362"/>
      <c r="D90" s="362"/>
      <c r="E90" s="362"/>
      <c r="F90" s="362"/>
      <c r="G90" s="362"/>
      <c r="H90" s="362"/>
      <c r="I90" s="362"/>
      <c r="J90" s="362"/>
    </row>
    <row r="91" spans="1:10" x14ac:dyDescent="0.3">
      <c r="A91" s="361"/>
      <c r="B91" s="362"/>
      <c r="C91" s="362"/>
      <c r="D91" s="362"/>
      <c r="E91" s="362"/>
      <c r="F91" s="362"/>
      <c r="G91" s="362"/>
      <c r="H91" s="362"/>
      <c r="I91" s="362"/>
      <c r="J91" s="362"/>
    </row>
    <row r="92" spans="1:10" x14ac:dyDescent="0.3">
      <c r="A92" s="361"/>
      <c r="B92" s="362"/>
      <c r="C92" s="362"/>
      <c r="D92" s="362"/>
      <c r="E92" s="362"/>
      <c r="F92" s="362"/>
      <c r="G92" s="362"/>
      <c r="H92" s="362"/>
      <c r="I92" s="362"/>
      <c r="J92" s="362"/>
    </row>
    <row r="93" spans="1:10" x14ac:dyDescent="0.3">
      <c r="A93" s="361"/>
      <c r="B93" s="362"/>
      <c r="C93" s="362"/>
      <c r="D93" s="362"/>
      <c r="E93" s="362"/>
      <c r="F93" s="362"/>
      <c r="G93" s="362"/>
      <c r="H93" s="362"/>
      <c r="I93" s="362"/>
      <c r="J93" s="362"/>
    </row>
    <row r="94" spans="1:10" x14ac:dyDescent="0.3">
      <c r="A94" s="361"/>
      <c r="B94" s="362"/>
      <c r="C94" s="362"/>
      <c r="D94" s="362"/>
      <c r="E94" s="362"/>
      <c r="F94" s="362"/>
      <c r="G94" s="362"/>
      <c r="H94" s="362"/>
      <c r="I94" s="362"/>
      <c r="J94" s="362"/>
    </row>
    <row r="95" spans="1:10" x14ac:dyDescent="0.3">
      <c r="A95" s="361"/>
      <c r="B95" s="362"/>
      <c r="C95" s="362"/>
      <c r="D95" s="362"/>
      <c r="E95" s="362"/>
      <c r="F95" s="362"/>
      <c r="G95" s="362"/>
      <c r="H95" s="362"/>
      <c r="I95" s="362"/>
      <c r="J95" s="362"/>
    </row>
    <row r="96" spans="1:10" x14ac:dyDescent="0.3">
      <c r="A96" s="361"/>
      <c r="B96" s="362"/>
      <c r="C96" s="362"/>
      <c r="D96" s="362"/>
      <c r="E96" s="362"/>
      <c r="F96" s="362"/>
      <c r="G96" s="362"/>
      <c r="H96" s="362"/>
      <c r="I96" s="362"/>
      <c r="J96" s="362"/>
    </row>
    <row r="97" spans="1:10" x14ac:dyDescent="0.3">
      <c r="A97" s="361"/>
      <c r="B97" s="362"/>
      <c r="C97" s="362"/>
      <c r="D97" s="362"/>
      <c r="E97" s="362"/>
      <c r="F97" s="362"/>
      <c r="G97" s="362"/>
      <c r="H97" s="362"/>
      <c r="I97" s="362"/>
      <c r="J97" s="362"/>
    </row>
    <row r="98" spans="1:10" x14ac:dyDescent="0.3">
      <c r="A98" s="361"/>
      <c r="B98" s="362"/>
      <c r="C98" s="362"/>
      <c r="D98" s="362"/>
      <c r="E98" s="362"/>
      <c r="F98" s="362"/>
      <c r="G98" s="362"/>
      <c r="H98" s="362"/>
      <c r="I98" s="362"/>
      <c r="J98" s="362"/>
    </row>
    <row r="99" spans="1:10" x14ac:dyDescent="0.3">
      <c r="A99" s="361"/>
      <c r="B99" s="362"/>
      <c r="C99" s="362"/>
      <c r="D99" s="362"/>
      <c r="E99" s="362"/>
      <c r="F99" s="362"/>
      <c r="G99" s="362"/>
      <c r="H99" s="362"/>
      <c r="I99" s="362"/>
      <c r="J99" s="362"/>
    </row>
    <row r="100" spans="1:10" x14ac:dyDescent="0.3">
      <c r="A100" s="361"/>
      <c r="B100" s="362"/>
      <c r="C100" s="362"/>
      <c r="D100" s="362"/>
      <c r="E100" s="362"/>
      <c r="F100" s="362"/>
      <c r="G100" s="362"/>
      <c r="H100" s="362"/>
      <c r="I100" s="362"/>
      <c r="J100" s="362"/>
    </row>
    <row r="101" spans="1:10" x14ac:dyDescent="0.3">
      <c r="A101" s="361"/>
      <c r="B101" s="362"/>
      <c r="C101" s="362"/>
      <c r="D101" s="362"/>
      <c r="E101" s="362"/>
      <c r="F101" s="362"/>
      <c r="G101" s="362"/>
      <c r="H101" s="362"/>
      <c r="I101" s="362"/>
      <c r="J101" s="362"/>
    </row>
    <row r="102" spans="1:10" x14ac:dyDescent="0.3">
      <c r="A102" s="361"/>
      <c r="B102" s="362"/>
      <c r="C102" s="362"/>
      <c r="D102" s="362"/>
      <c r="E102" s="362"/>
      <c r="F102" s="362"/>
      <c r="G102" s="362"/>
      <c r="H102" s="362"/>
      <c r="I102" s="362"/>
      <c r="J102" s="362"/>
    </row>
    <row r="103" spans="1:10" x14ac:dyDescent="0.3">
      <c r="A103" s="361"/>
      <c r="B103" s="362"/>
      <c r="C103" s="362"/>
      <c r="D103" s="362"/>
      <c r="E103" s="362"/>
      <c r="F103" s="362"/>
      <c r="G103" s="362"/>
      <c r="H103" s="362"/>
      <c r="I103" s="362"/>
      <c r="J103" s="362"/>
    </row>
    <row r="104" spans="1:10" x14ac:dyDescent="0.3">
      <c r="A104" s="361"/>
      <c r="B104" s="362"/>
      <c r="C104" s="362"/>
      <c r="D104" s="362"/>
      <c r="E104" s="362"/>
      <c r="F104" s="362"/>
      <c r="G104" s="362"/>
      <c r="H104" s="362"/>
      <c r="I104" s="362"/>
      <c r="J104" s="362"/>
    </row>
    <row r="105" spans="1:10" x14ac:dyDescent="0.3">
      <c r="A105" s="361"/>
      <c r="B105" s="362"/>
      <c r="C105" s="362"/>
      <c r="D105" s="362"/>
      <c r="E105" s="362"/>
      <c r="F105" s="362"/>
      <c r="G105" s="362"/>
      <c r="H105" s="362"/>
      <c r="I105" s="362"/>
      <c r="J105" s="362"/>
    </row>
    <row r="106" spans="1:10" x14ac:dyDescent="0.3">
      <c r="A106" s="361"/>
      <c r="B106" s="362"/>
      <c r="C106" s="362"/>
      <c r="D106" s="362"/>
      <c r="E106" s="362"/>
      <c r="F106" s="362"/>
      <c r="G106" s="362"/>
      <c r="H106" s="362"/>
      <c r="I106" s="362"/>
      <c r="J106" s="362"/>
    </row>
    <row r="107" spans="1:10" x14ac:dyDescent="0.3">
      <c r="A107" s="361"/>
      <c r="B107" s="362"/>
      <c r="C107" s="362"/>
      <c r="D107" s="362"/>
      <c r="E107" s="362"/>
      <c r="F107" s="362"/>
      <c r="G107" s="362"/>
      <c r="H107" s="362"/>
      <c r="I107" s="362"/>
      <c r="J107" s="362"/>
    </row>
    <row r="108" spans="1:10" x14ac:dyDescent="0.3">
      <c r="A108" s="361"/>
      <c r="B108" s="362"/>
      <c r="C108" s="362"/>
      <c r="D108" s="362"/>
      <c r="E108" s="362"/>
      <c r="F108" s="362"/>
      <c r="G108" s="362"/>
      <c r="H108" s="362"/>
      <c r="I108" s="362"/>
      <c r="J108" s="362"/>
    </row>
    <row r="109" spans="1:10" x14ac:dyDescent="0.3">
      <c r="A109" s="361"/>
      <c r="B109" s="362"/>
      <c r="C109" s="362"/>
      <c r="D109" s="362"/>
      <c r="E109" s="362"/>
      <c r="F109" s="362"/>
      <c r="G109" s="362"/>
      <c r="H109" s="362"/>
      <c r="I109" s="362"/>
      <c r="J109" s="362"/>
    </row>
    <row r="110" spans="1:10" x14ac:dyDescent="0.3">
      <c r="A110" s="361"/>
      <c r="B110" s="362"/>
      <c r="C110" s="362"/>
      <c r="D110" s="362"/>
      <c r="E110" s="362"/>
      <c r="F110" s="362"/>
      <c r="G110" s="362"/>
      <c r="H110" s="362"/>
      <c r="I110" s="362"/>
      <c r="J110" s="362"/>
    </row>
    <row r="111" spans="1:10" x14ac:dyDescent="0.3">
      <c r="A111" s="361"/>
      <c r="B111" s="362"/>
      <c r="C111" s="362"/>
      <c r="D111" s="362"/>
      <c r="E111" s="362"/>
      <c r="F111" s="362"/>
      <c r="G111" s="362"/>
      <c r="H111" s="362"/>
      <c r="I111" s="362"/>
      <c r="J111" s="362"/>
    </row>
    <row r="112" spans="1:10" x14ac:dyDescent="0.3">
      <c r="A112" s="361"/>
      <c r="B112" s="362"/>
      <c r="C112" s="362"/>
      <c r="D112" s="362"/>
      <c r="E112" s="362"/>
      <c r="F112" s="362"/>
      <c r="G112" s="362"/>
      <c r="H112" s="362"/>
      <c r="I112" s="362"/>
      <c r="J112" s="362"/>
    </row>
    <row r="113" spans="1:10" x14ac:dyDescent="0.3">
      <c r="A113" s="361"/>
      <c r="B113" s="362"/>
      <c r="C113" s="362"/>
      <c r="D113" s="362"/>
      <c r="E113" s="362"/>
      <c r="F113" s="362"/>
      <c r="G113" s="362"/>
      <c r="H113" s="362"/>
      <c r="I113" s="362"/>
      <c r="J113" s="362"/>
    </row>
    <row r="114" spans="1:10" x14ac:dyDescent="0.3">
      <c r="A114" s="361"/>
      <c r="B114" s="362"/>
      <c r="C114" s="362"/>
      <c r="D114" s="362"/>
      <c r="E114" s="362"/>
      <c r="F114" s="362"/>
      <c r="G114" s="362"/>
      <c r="H114" s="362"/>
      <c r="I114" s="362"/>
      <c r="J114" s="362"/>
    </row>
    <row r="115" spans="1:10" x14ac:dyDescent="0.3">
      <c r="A115" s="361"/>
      <c r="B115" s="362"/>
      <c r="C115" s="362"/>
      <c r="D115" s="362"/>
      <c r="E115" s="362"/>
      <c r="F115" s="362"/>
      <c r="G115" s="362"/>
      <c r="H115" s="362"/>
      <c r="I115" s="362"/>
      <c r="J115" s="362"/>
    </row>
    <row r="116" spans="1:10" x14ac:dyDescent="0.3">
      <c r="A116" s="361"/>
      <c r="B116" s="362"/>
      <c r="C116" s="362"/>
      <c r="D116" s="362"/>
      <c r="E116" s="362"/>
      <c r="F116" s="362"/>
      <c r="G116" s="362"/>
      <c r="H116" s="362"/>
      <c r="I116" s="362"/>
      <c r="J116" s="362"/>
    </row>
    <row r="117" spans="1:10" x14ac:dyDescent="0.3">
      <c r="A117" s="361"/>
      <c r="B117" s="362"/>
      <c r="C117" s="362"/>
      <c r="D117" s="362"/>
      <c r="E117" s="362"/>
      <c r="F117" s="362"/>
      <c r="G117" s="362"/>
      <c r="H117" s="362"/>
      <c r="I117" s="362"/>
      <c r="J117" s="362"/>
    </row>
    <row r="118" spans="1:10" x14ac:dyDescent="0.3">
      <c r="A118" s="361"/>
      <c r="B118" s="362"/>
      <c r="C118" s="362"/>
      <c r="D118" s="362"/>
      <c r="E118" s="362"/>
      <c r="F118" s="362"/>
      <c r="G118" s="362"/>
      <c r="H118" s="362"/>
      <c r="I118" s="362"/>
      <c r="J118" s="362"/>
    </row>
    <row r="119" spans="1:10" x14ac:dyDescent="0.3">
      <c r="A119" s="361"/>
      <c r="B119" s="362"/>
      <c r="C119" s="362"/>
      <c r="D119" s="362"/>
      <c r="E119" s="362"/>
      <c r="F119" s="362"/>
      <c r="G119" s="362"/>
      <c r="H119" s="362"/>
      <c r="I119" s="362"/>
      <c r="J119" s="362"/>
    </row>
    <row r="120" spans="1:10" x14ac:dyDescent="0.3">
      <c r="A120" s="361"/>
      <c r="B120" s="362"/>
      <c r="C120" s="362"/>
      <c r="D120" s="362"/>
      <c r="E120" s="362"/>
      <c r="F120" s="362"/>
      <c r="G120" s="362"/>
      <c r="H120" s="362"/>
      <c r="I120" s="362"/>
      <c r="J120" s="362"/>
    </row>
    <row r="121" spans="1:10" x14ac:dyDescent="0.3">
      <c r="A121" s="361"/>
      <c r="B121" s="362"/>
      <c r="C121" s="362"/>
      <c r="D121" s="362"/>
      <c r="E121" s="362"/>
      <c r="F121" s="362"/>
      <c r="G121" s="362"/>
      <c r="H121" s="362"/>
      <c r="I121" s="362"/>
      <c r="J121" s="362"/>
    </row>
    <row r="122" spans="1:10" x14ac:dyDescent="0.3">
      <c r="A122" s="361"/>
      <c r="B122" s="362"/>
      <c r="C122" s="362"/>
      <c r="D122" s="362"/>
      <c r="E122" s="362"/>
      <c r="F122" s="362"/>
      <c r="G122" s="362"/>
      <c r="H122" s="362"/>
      <c r="I122" s="362"/>
      <c r="J122" s="362"/>
    </row>
    <row r="123" spans="1:10" x14ac:dyDescent="0.3">
      <c r="A123" s="361"/>
      <c r="B123" s="362"/>
      <c r="C123" s="362"/>
      <c r="D123" s="362"/>
      <c r="E123" s="362"/>
      <c r="F123" s="362"/>
      <c r="G123" s="362"/>
      <c r="H123" s="362"/>
      <c r="I123" s="362"/>
      <c r="J123" s="362"/>
    </row>
  </sheetData>
  <mergeCells count="6">
    <mergeCell ref="A8:H8"/>
    <mergeCell ref="I8:I9"/>
    <mergeCell ref="J8:N8"/>
    <mergeCell ref="O8:O9"/>
    <mergeCell ref="P33:Q33"/>
    <mergeCell ref="P26:Q26"/>
  </mergeCells>
  <pageMargins left="0.4" right="0.36" top="0.45" bottom="0.55000000000000004" header="0.3" footer="0.3"/>
  <pageSetup scale="6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09375" defaultRowHeight="14.4" x14ac:dyDescent="0.3"/>
  <cols>
    <col min="1" max="1" width="6.109375" style="389" customWidth="1"/>
    <col min="2" max="3" width="10.33203125" style="364" customWidth="1"/>
    <col min="4" max="6" width="7.6640625" style="364" customWidth="1"/>
    <col min="7" max="7" width="8.88671875" style="364" customWidth="1"/>
    <col min="8" max="8" width="9.88671875" style="364" customWidth="1"/>
    <col min="9" max="9" width="14.33203125" style="364" customWidth="1"/>
    <col min="10" max="10" width="12.5546875" style="364" customWidth="1"/>
    <col min="11" max="11" width="11.5546875" style="364" customWidth="1"/>
    <col min="12" max="12" width="11.109375" style="364" customWidth="1"/>
    <col min="13" max="13" width="10.109375" style="364" customWidth="1"/>
    <col min="14" max="14" width="12.109375" style="364" customWidth="1"/>
    <col min="15" max="15" width="16.109375" style="364" customWidth="1"/>
    <col min="16" max="16384" width="9.109375" style="364"/>
  </cols>
  <sheetData>
    <row r="1" spans="1:18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</row>
    <row r="2" spans="1:18" x14ac:dyDescent="0.3">
      <c r="A2" s="361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</row>
    <row r="3" spans="1:18" x14ac:dyDescent="0.3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</row>
    <row r="4" spans="1:18" x14ac:dyDescent="0.3">
      <c r="A4" s="361"/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</row>
    <row r="5" spans="1:18" ht="20.399999999999999" x14ac:dyDescent="0.35">
      <c r="A5" s="365" t="s">
        <v>182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18" ht="20.399999999999999" x14ac:dyDescent="0.35">
      <c r="A6" s="365" t="s">
        <v>206</v>
      </c>
      <c r="B6" s="362"/>
      <c r="C6" s="362"/>
      <c r="D6" s="362"/>
      <c r="E6" s="362"/>
      <c r="F6" s="362"/>
      <c r="J6" s="362"/>
      <c r="K6" s="362"/>
      <c r="L6" s="362"/>
      <c r="M6" s="367" t="s">
        <v>184</v>
      </c>
      <c r="N6" s="367" t="s">
        <v>284</v>
      </c>
      <c r="O6" s="368">
        <v>2025</v>
      </c>
      <c r="P6" s="362"/>
      <c r="Q6" s="362"/>
      <c r="R6" s="362"/>
    </row>
    <row r="7" spans="1:18" ht="6.75" customHeight="1" thickBot="1" x14ac:dyDescent="0.4">
      <c r="A7" s="365"/>
      <c r="B7" s="362"/>
      <c r="C7" s="362"/>
      <c r="D7" s="362"/>
      <c r="E7" s="362"/>
      <c r="F7" s="362"/>
      <c r="J7" s="362"/>
      <c r="K7" s="362"/>
      <c r="L7" s="362"/>
      <c r="M7" s="362"/>
      <c r="N7" s="362"/>
      <c r="O7" s="362"/>
      <c r="P7" s="362"/>
      <c r="Q7" s="362"/>
      <c r="R7" s="362"/>
    </row>
    <row r="8" spans="1:18" ht="21" customHeight="1" thickBot="1" x14ac:dyDescent="0.35">
      <c r="A8" s="648" t="s">
        <v>185</v>
      </c>
      <c r="B8" s="649"/>
      <c r="C8" s="649"/>
      <c r="D8" s="649"/>
      <c r="E8" s="649"/>
      <c r="F8" s="649"/>
      <c r="G8" s="649"/>
      <c r="H8" s="650"/>
      <c r="I8" s="651" t="s">
        <v>186</v>
      </c>
      <c r="J8" s="653" t="s">
        <v>187</v>
      </c>
      <c r="K8" s="654"/>
      <c r="L8" s="654"/>
      <c r="M8" s="654"/>
      <c r="N8" s="655"/>
      <c r="O8" s="656" t="s">
        <v>188</v>
      </c>
      <c r="P8" s="362"/>
      <c r="Q8" s="362"/>
      <c r="R8" s="362"/>
    </row>
    <row r="9" spans="1:18" ht="28.2" thickBot="1" x14ac:dyDescent="0.35">
      <c r="A9" s="369" t="s">
        <v>189</v>
      </c>
      <c r="B9" s="370" t="s">
        <v>190</v>
      </c>
      <c r="C9" s="371" t="s">
        <v>191</v>
      </c>
      <c r="D9" s="372" t="s">
        <v>192</v>
      </c>
      <c r="E9" s="373" t="s">
        <v>193</v>
      </c>
      <c r="F9" s="374" t="s">
        <v>194</v>
      </c>
      <c r="G9" s="391" t="s">
        <v>195</v>
      </c>
      <c r="H9" s="392" t="s">
        <v>196</v>
      </c>
      <c r="I9" s="652"/>
      <c r="J9" s="377" t="s">
        <v>197</v>
      </c>
      <c r="K9" s="378" t="s">
        <v>198</v>
      </c>
      <c r="L9" s="379" t="s">
        <v>204</v>
      </c>
      <c r="M9" s="380" t="s">
        <v>200</v>
      </c>
      <c r="N9" s="381" t="s">
        <v>201</v>
      </c>
      <c r="O9" s="657"/>
      <c r="P9" s="362"/>
      <c r="Q9" s="362"/>
      <c r="R9" s="362"/>
    </row>
    <row r="10" spans="1:18" x14ac:dyDescent="0.3">
      <c r="A10" s="385">
        <v>1</v>
      </c>
      <c r="B10" s="393"/>
      <c r="C10" s="393"/>
      <c r="D10" s="487"/>
      <c r="E10" s="485"/>
      <c r="F10" s="485"/>
      <c r="G10" s="486"/>
      <c r="H10" s="485"/>
      <c r="I10" s="393"/>
      <c r="J10" s="395"/>
      <c r="K10" s="395"/>
      <c r="L10" s="394"/>
      <c r="M10" s="394"/>
      <c r="N10" s="394"/>
      <c r="O10" s="393"/>
      <c r="P10" s="362"/>
      <c r="Q10" s="362"/>
      <c r="R10" s="362"/>
    </row>
    <row r="11" spans="1:18" x14ac:dyDescent="0.3">
      <c r="A11" s="385">
        <v>2</v>
      </c>
      <c r="B11" s="393"/>
      <c r="C11" s="393"/>
      <c r="D11" s="487"/>
      <c r="E11" s="485"/>
      <c r="F11" s="485"/>
      <c r="G11" s="486"/>
      <c r="H11" s="485"/>
      <c r="I11" s="393"/>
      <c r="J11" s="395"/>
      <c r="K11" s="395"/>
      <c r="L11" s="394"/>
      <c r="M11" s="394"/>
      <c r="N11" s="394"/>
      <c r="O11" s="393"/>
      <c r="P11" s="398"/>
      <c r="Q11" s="398"/>
      <c r="R11" s="362"/>
    </row>
    <row r="12" spans="1:18" x14ac:dyDescent="0.3">
      <c r="A12" s="385">
        <v>3</v>
      </c>
      <c r="B12" s="393"/>
      <c r="C12" s="393"/>
      <c r="D12" s="487"/>
      <c r="E12" s="485"/>
      <c r="F12" s="485"/>
      <c r="G12" s="486"/>
      <c r="H12" s="485"/>
      <c r="I12" s="393"/>
      <c r="J12" s="395"/>
      <c r="K12" s="395"/>
      <c r="L12" s="394"/>
      <c r="M12" s="394"/>
      <c r="N12" s="394"/>
      <c r="O12" s="393"/>
      <c r="P12" s="398"/>
      <c r="Q12" s="398"/>
      <c r="R12" s="362"/>
    </row>
    <row r="13" spans="1:18" x14ac:dyDescent="0.3">
      <c r="A13" s="385">
        <v>4</v>
      </c>
      <c r="B13" s="393"/>
      <c r="C13" s="393"/>
      <c r="D13" s="487"/>
      <c r="E13" s="485"/>
      <c r="F13" s="485"/>
      <c r="G13" s="486"/>
      <c r="H13" s="485"/>
      <c r="I13" s="393"/>
      <c r="J13" s="395"/>
      <c r="K13" s="395"/>
      <c r="L13" s="394"/>
      <c r="M13" s="394"/>
      <c r="N13" s="394"/>
      <c r="O13" s="393"/>
      <c r="P13" s="398"/>
      <c r="Q13" s="398"/>
      <c r="R13" s="362"/>
    </row>
    <row r="14" spans="1:18" x14ac:dyDescent="0.3">
      <c r="A14" s="385">
        <v>5</v>
      </c>
      <c r="B14" s="393"/>
      <c r="C14" s="393"/>
      <c r="D14" s="487"/>
      <c r="E14" s="485"/>
      <c r="F14" s="485"/>
      <c r="G14" s="486"/>
      <c r="H14" s="485"/>
      <c r="I14" s="393"/>
      <c r="J14" s="395"/>
      <c r="K14" s="395"/>
      <c r="L14" s="394"/>
      <c r="M14" s="394"/>
      <c r="N14" s="394"/>
      <c r="O14" s="393"/>
      <c r="P14" s="398"/>
      <c r="Q14" s="398"/>
      <c r="R14" s="362"/>
    </row>
    <row r="15" spans="1:18" x14ac:dyDescent="0.3">
      <c r="A15" s="385">
        <v>6</v>
      </c>
      <c r="B15" s="393"/>
      <c r="C15" s="393"/>
      <c r="D15" s="487"/>
      <c r="E15" s="485"/>
      <c r="F15" s="485"/>
      <c r="G15" s="486"/>
      <c r="H15" s="485"/>
      <c r="I15" s="393"/>
      <c r="J15" s="395"/>
      <c r="K15" s="395"/>
      <c r="L15" s="394"/>
      <c r="M15" s="394"/>
      <c r="N15" s="394"/>
      <c r="O15" s="393"/>
      <c r="P15" s="398"/>
      <c r="Q15" s="398"/>
      <c r="R15" s="362"/>
    </row>
    <row r="16" spans="1:18" x14ac:dyDescent="0.3">
      <c r="A16" s="385">
        <v>7</v>
      </c>
      <c r="B16" s="393"/>
      <c r="C16" s="393"/>
      <c r="D16" s="487"/>
      <c r="E16" s="485"/>
      <c r="F16" s="485"/>
      <c r="G16" s="486"/>
      <c r="H16" s="485"/>
      <c r="I16" s="393"/>
      <c r="J16" s="395"/>
      <c r="K16" s="395"/>
      <c r="L16" s="394"/>
      <c r="M16" s="394"/>
      <c r="N16" s="394"/>
      <c r="O16" s="393"/>
      <c r="P16" s="398"/>
      <c r="Q16" s="398"/>
      <c r="R16" s="362"/>
    </row>
    <row r="17" spans="1:18" x14ac:dyDescent="0.3">
      <c r="A17" s="385">
        <v>8</v>
      </c>
      <c r="B17" s="393"/>
      <c r="C17" s="393"/>
      <c r="D17" s="487"/>
      <c r="E17" s="485"/>
      <c r="F17" s="485"/>
      <c r="G17" s="486"/>
      <c r="H17" s="485"/>
      <c r="I17" s="393"/>
      <c r="J17" s="395"/>
      <c r="K17" s="395"/>
      <c r="L17" s="394"/>
      <c r="M17" s="394"/>
      <c r="N17" s="394"/>
      <c r="O17" s="393"/>
      <c r="P17" s="398"/>
      <c r="Q17" s="398"/>
      <c r="R17" s="362"/>
    </row>
    <row r="18" spans="1:18" x14ac:dyDescent="0.3">
      <c r="A18" s="385">
        <v>9</v>
      </c>
      <c r="B18" s="393"/>
      <c r="C18" s="393"/>
      <c r="D18" s="487"/>
      <c r="E18" s="485"/>
      <c r="F18" s="485"/>
      <c r="G18" s="486"/>
      <c r="H18" s="485"/>
      <c r="I18" s="393"/>
      <c r="J18" s="395"/>
      <c r="K18" s="395"/>
      <c r="L18" s="394"/>
      <c r="M18" s="394"/>
      <c r="N18" s="394"/>
      <c r="O18" s="393"/>
      <c r="P18" s="398"/>
      <c r="Q18" s="398"/>
      <c r="R18" s="362"/>
    </row>
    <row r="19" spans="1:18" x14ac:dyDescent="0.3">
      <c r="A19" s="385">
        <v>10</v>
      </c>
      <c r="B19" s="393"/>
      <c r="C19" s="393"/>
      <c r="D19" s="487"/>
      <c r="E19" s="485"/>
      <c r="F19" s="485"/>
      <c r="G19" s="486"/>
      <c r="H19" s="485"/>
      <c r="I19" s="393"/>
      <c r="J19" s="395"/>
      <c r="K19" s="395"/>
      <c r="L19" s="394"/>
      <c r="M19" s="394"/>
      <c r="N19" s="394"/>
      <c r="O19" s="393"/>
      <c r="P19" s="398"/>
      <c r="Q19" s="398"/>
      <c r="R19" s="362"/>
    </row>
    <row r="20" spans="1:18" x14ac:dyDescent="0.3">
      <c r="A20" s="385">
        <v>11</v>
      </c>
      <c r="B20" s="393"/>
      <c r="C20" s="393"/>
      <c r="D20" s="487"/>
      <c r="E20" s="485"/>
      <c r="F20" s="485"/>
      <c r="G20" s="486"/>
      <c r="H20" s="485"/>
      <c r="I20" s="393"/>
      <c r="J20" s="395"/>
      <c r="K20" s="395"/>
      <c r="L20" s="394"/>
      <c r="M20" s="394"/>
      <c r="N20" s="394"/>
      <c r="O20" s="393"/>
      <c r="P20" s="398"/>
      <c r="Q20" s="398"/>
      <c r="R20" s="362"/>
    </row>
    <row r="21" spans="1:18" x14ac:dyDescent="0.3">
      <c r="A21" s="385">
        <v>12</v>
      </c>
      <c r="B21" s="393"/>
      <c r="C21" s="393"/>
      <c r="D21" s="487"/>
      <c r="E21" s="485"/>
      <c r="F21" s="485"/>
      <c r="G21" s="486"/>
      <c r="H21" s="485"/>
      <c r="I21" s="393"/>
      <c r="J21" s="395"/>
      <c r="K21" s="395"/>
      <c r="L21" s="394"/>
      <c r="M21" s="394"/>
      <c r="N21" s="394"/>
      <c r="O21" s="393"/>
      <c r="P21" s="398"/>
      <c r="Q21" s="398"/>
      <c r="R21" s="362"/>
    </row>
    <row r="22" spans="1:18" x14ac:dyDescent="0.3">
      <c r="A22" s="385">
        <v>13</v>
      </c>
      <c r="B22" s="393"/>
      <c r="C22" s="393"/>
      <c r="D22" s="487"/>
      <c r="E22" s="485"/>
      <c r="F22" s="485"/>
      <c r="G22" s="486"/>
      <c r="H22" s="485"/>
      <c r="I22" s="393"/>
      <c r="J22" s="395"/>
      <c r="K22" s="395"/>
      <c r="L22" s="394"/>
      <c r="M22" s="394"/>
      <c r="N22" s="394"/>
      <c r="O22" s="393"/>
      <c r="P22" s="398"/>
      <c r="Q22" s="398"/>
      <c r="R22" s="362"/>
    </row>
    <row r="23" spans="1:18" x14ac:dyDescent="0.3">
      <c r="A23" s="385">
        <v>14</v>
      </c>
      <c r="B23" s="393"/>
      <c r="C23" s="393"/>
      <c r="D23" s="487"/>
      <c r="E23" s="485"/>
      <c r="F23" s="485"/>
      <c r="G23" s="486"/>
      <c r="H23" s="485"/>
      <c r="I23" s="393"/>
      <c r="J23" s="395"/>
      <c r="K23" s="395"/>
      <c r="L23" s="394"/>
      <c r="M23" s="394"/>
      <c r="N23" s="394"/>
      <c r="O23" s="393"/>
      <c r="P23" s="398"/>
      <c r="Q23" s="398"/>
      <c r="R23" s="362"/>
    </row>
    <row r="24" spans="1:18" x14ac:dyDescent="0.3">
      <c r="A24" s="385">
        <v>15</v>
      </c>
      <c r="B24" s="393"/>
      <c r="C24" s="393"/>
      <c r="D24" s="487"/>
      <c r="E24" s="485"/>
      <c r="F24" s="485"/>
      <c r="G24" s="486"/>
      <c r="H24" s="485"/>
      <c r="I24" s="393"/>
      <c r="J24" s="395"/>
      <c r="K24" s="395"/>
      <c r="L24" s="394"/>
      <c r="M24" s="394"/>
      <c r="N24" s="394"/>
      <c r="O24" s="393"/>
      <c r="P24" s="398"/>
      <c r="Q24" s="398"/>
      <c r="R24" s="362"/>
    </row>
    <row r="25" spans="1:18" x14ac:dyDescent="0.3">
      <c r="A25" s="385">
        <v>16</v>
      </c>
      <c r="B25" s="393"/>
      <c r="C25" s="393"/>
      <c r="D25" s="487"/>
      <c r="E25" s="485"/>
      <c r="F25" s="485"/>
      <c r="G25" s="486"/>
      <c r="H25" s="485"/>
      <c r="I25" s="393"/>
      <c r="J25" s="395"/>
      <c r="K25" s="395"/>
      <c r="L25" s="394"/>
      <c r="M25" s="394"/>
      <c r="N25" s="394"/>
      <c r="O25" s="393"/>
      <c r="P25" s="398"/>
      <c r="Q25" s="398"/>
      <c r="R25" s="362"/>
    </row>
    <row r="26" spans="1:18" x14ac:dyDescent="0.3">
      <c r="A26" s="510">
        <v>17</v>
      </c>
      <c r="B26" s="393"/>
      <c r="C26" s="393"/>
      <c r="D26" s="487"/>
      <c r="E26" s="485"/>
      <c r="F26" s="485"/>
      <c r="G26" s="486"/>
      <c r="H26" s="485"/>
      <c r="I26" s="393"/>
      <c r="J26" s="395"/>
      <c r="K26" s="395"/>
      <c r="L26" s="394"/>
      <c r="M26" s="394"/>
      <c r="N26" s="394"/>
      <c r="O26" s="393"/>
      <c r="P26" s="398"/>
      <c r="Q26" s="398"/>
      <c r="R26" s="362"/>
    </row>
    <row r="27" spans="1:18" x14ac:dyDescent="0.3">
      <c r="A27" s="385">
        <v>18</v>
      </c>
      <c r="B27" s="393"/>
      <c r="C27" s="393"/>
      <c r="D27" s="487"/>
      <c r="E27" s="485"/>
      <c r="F27" s="485"/>
      <c r="G27" s="486"/>
      <c r="H27" s="485"/>
      <c r="I27" s="393"/>
      <c r="J27" s="395"/>
      <c r="K27" s="395"/>
      <c r="L27" s="394"/>
      <c r="M27" s="394"/>
      <c r="N27" s="394"/>
      <c r="O27" s="393"/>
      <c r="P27" s="398"/>
      <c r="Q27" s="398"/>
      <c r="R27" s="362"/>
    </row>
    <row r="28" spans="1:18" x14ac:dyDescent="0.3">
      <c r="A28" s="385">
        <v>19</v>
      </c>
      <c r="B28" s="393"/>
      <c r="C28" s="393"/>
      <c r="D28" s="487"/>
      <c r="E28" s="485"/>
      <c r="F28" s="485"/>
      <c r="G28" s="486"/>
      <c r="H28" s="485"/>
      <c r="I28" s="393"/>
      <c r="J28" s="395"/>
      <c r="K28" s="395"/>
      <c r="L28" s="394"/>
      <c r="M28" s="394"/>
      <c r="N28" s="394"/>
      <c r="O28" s="393"/>
      <c r="P28" s="398"/>
      <c r="Q28" s="398"/>
      <c r="R28" s="362"/>
    </row>
    <row r="29" spans="1:18" x14ac:dyDescent="0.3">
      <c r="A29" s="385">
        <v>20</v>
      </c>
      <c r="B29" s="393"/>
      <c r="C29" s="393"/>
      <c r="D29" s="487"/>
      <c r="E29" s="485"/>
      <c r="F29" s="485"/>
      <c r="G29" s="486"/>
      <c r="H29" s="485"/>
      <c r="I29" s="393"/>
      <c r="J29" s="395"/>
      <c r="K29" s="395"/>
      <c r="L29" s="394"/>
      <c r="M29" s="394"/>
      <c r="N29" s="394"/>
      <c r="O29" s="393"/>
      <c r="P29" s="398"/>
      <c r="Q29" s="398"/>
      <c r="R29" s="362"/>
    </row>
    <row r="30" spans="1:18" x14ac:dyDescent="0.3">
      <c r="A30" s="385">
        <v>21</v>
      </c>
      <c r="B30" s="393"/>
      <c r="C30" s="393"/>
      <c r="D30" s="487"/>
      <c r="E30" s="485"/>
      <c r="F30" s="485"/>
      <c r="G30" s="486"/>
      <c r="H30" s="485"/>
      <c r="I30" s="393"/>
      <c r="J30" s="395"/>
      <c r="K30" s="395"/>
      <c r="L30" s="394"/>
      <c r="M30" s="394"/>
      <c r="N30" s="394"/>
      <c r="O30" s="393"/>
      <c r="P30" s="398"/>
      <c r="Q30" s="398"/>
      <c r="R30" s="362"/>
    </row>
    <row r="31" spans="1:18" x14ac:dyDescent="0.3">
      <c r="A31" s="385">
        <v>22</v>
      </c>
      <c r="B31" s="393"/>
      <c r="C31" s="393"/>
      <c r="D31" s="487"/>
      <c r="E31" s="485"/>
      <c r="F31" s="485"/>
      <c r="G31" s="486"/>
      <c r="H31" s="485"/>
      <c r="I31" s="393"/>
      <c r="J31" s="395"/>
      <c r="K31" s="395"/>
      <c r="L31" s="394"/>
      <c r="M31" s="394"/>
      <c r="N31" s="394"/>
      <c r="O31" s="393"/>
      <c r="P31" s="398"/>
      <c r="Q31" s="398"/>
      <c r="R31" s="362"/>
    </row>
    <row r="32" spans="1:18" x14ac:dyDescent="0.3">
      <c r="A32" s="385">
        <v>23</v>
      </c>
      <c r="B32" s="393"/>
      <c r="C32" s="393"/>
      <c r="D32" s="487"/>
      <c r="E32" s="485"/>
      <c r="F32" s="485"/>
      <c r="G32" s="486"/>
      <c r="H32" s="485"/>
      <c r="I32" s="393"/>
      <c r="J32" s="395"/>
      <c r="K32" s="395"/>
      <c r="L32" s="394"/>
      <c r="M32" s="394"/>
      <c r="N32" s="394"/>
      <c r="O32" s="393"/>
      <c r="P32" s="398"/>
      <c r="Q32" s="398"/>
      <c r="R32" s="362"/>
    </row>
    <row r="33" spans="1:18" x14ac:dyDescent="0.3">
      <c r="A33" s="510">
        <v>24</v>
      </c>
      <c r="B33" s="393"/>
      <c r="C33" s="393"/>
      <c r="D33" s="487"/>
      <c r="E33" s="485"/>
      <c r="F33" s="485"/>
      <c r="G33" s="486"/>
      <c r="H33" s="485"/>
      <c r="I33" s="393"/>
      <c r="J33" s="395"/>
      <c r="K33" s="395"/>
      <c r="L33" s="394"/>
      <c r="M33" s="394"/>
      <c r="N33" s="394"/>
      <c r="O33" s="393"/>
      <c r="P33" s="658"/>
      <c r="Q33" s="659"/>
      <c r="R33" s="362"/>
    </row>
    <row r="34" spans="1:18" x14ac:dyDescent="0.3">
      <c r="A34" s="385">
        <v>25</v>
      </c>
      <c r="B34" s="393"/>
      <c r="C34" s="393"/>
      <c r="D34" s="487"/>
      <c r="E34" s="485"/>
      <c r="F34" s="485"/>
      <c r="G34" s="486"/>
      <c r="H34" s="485"/>
      <c r="I34" s="393"/>
      <c r="J34" s="395"/>
      <c r="K34" s="395"/>
      <c r="L34" s="394"/>
      <c r="M34" s="394"/>
      <c r="N34" s="394"/>
      <c r="O34" s="393"/>
      <c r="P34" s="398"/>
      <c r="Q34" s="398"/>
      <c r="R34" s="362"/>
    </row>
    <row r="35" spans="1:18" x14ac:dyDescent="0.3">
      <c r="A35" s="385">
        <v>26</v>
      </c>
      <c r="B35" s="393"/>
      <c r="C35" s="393"/>
      <c r="D35" s="487"/>
      <c r="E35" s="485"/>
      <c r="F35" s="485"/>
      <c r="G35" s="486"/>
      <c r="H35" s="485"/>
      <c r="I35" s="393"/>
      <c r="J35" s="395"/>
      <c r="K35" s="395"/>
      <c r="L35" s="394"/>
      <c r="M35" s="394"/>
      <c r="N35" s="394"/>
      <c r="O35" s="393"/>
      <c r="P35" s="398"/>
      <c r="Q35" s="398"/>
      <c r="R35" s="362"/>
    </row>
    <row r="36" spans="1:18" x14ac:dyDescent="0.3">
      <c r="A36" s="385">
        <v>27</v>
      </c>
      <c r="B36" s="393"/>
      <c r="C36" s="393"/>
      <c r="D36" s="487"/>
      <c r="E36" s="485"/>
      <c r="F36" s="485"/>
      <c r="G36" s="486"/>
      <c r="H36" s="485"/>
      <c r="I36" s="393"/>
      <c r="J36" s="395"/>
      <c r="K36" s="395"/>
      <c r="L36" s="394"/>
      <c r="M36" s="394"/>
      <c r="N36" s="394"/>
      <c r="O36" s="393"/>
      <c r="P36" s="398"/>
      <c r="Q36" s="398"/>
      <c r="R36" s="362"/>
    </row>
    <row r="37" spans="1:18" x14ac:dyDescent="0.3">
      <c r="A37" s="385">
        <v>28</v>
      </c>
      <c r="B37" s="393"/>
      <c r="C37" s="393"/>
      <c r="D37" s="487"/>
      <c r="E37" s="485"/>
      <c r="F37" s="485"/>
      <c r="G37" s="486"/>
      <c r="H37" s="485"/>
      <c r="I37" s="393"/>
      <c r="J37" s="395"/>
      <c r="K37" s="395"/>
      <c r="L37" s="394"/>
      <c r="M37" s="394"/>
      <c r="N37" s="394"/>
      <c r="O37" s="393"/>
      <c r="P37" s="398"/>
      <c r="Q37" s="398"/>
      <c r="R37" s="362"/>
    </row>
    <row r="38" spans="1:18" x14ac:dyDescent="0.3">
      <c r="A38" s="385">
        <v>29</v>
      </c>
      <c r="B38" s="393"/>
      <c r="C38" s="393"/>
      <c r="D38" s="487"/>
      <c r="E38" s="485"/>
      <c r="F38" s="485"/>
      <c r="G38" s="486"/>
      <c r="H38" s="485"/>
      <c r="I38" s="393"/>
      <c r="J38" s="395"/>
      <c r="K38" s="395"/>
      <c r="L38" s="394"/>
      <c r="M38" s="394"/>
      <c r="N38" s="394"/>
      <c r="O38" s="393"/>
      <c r="P38" s="398"/>
      <c r="Q38" s="398"/>
      <c r="R38" s="362"/>
    </row>
    <row r="39" spans="1:18" x14ac:dyDescent="0.3">
      <c r="A39" s="385">
        <v>30</v>
      </c>
      <c r="B39" s="393"/>
      <c r="C39" s="393"/>
      <c r="D39" s="487"/>
      <c r="E39" s="485"/>
      <c r="F39" s="485"/>
      <c r="G39" s="486"/>
      <c r="H39" s="485"/>
      <c r="I39" s="393"/>
      <c r="J39" s="395"/>
      <c r="K39" s="395"/>
      <c r="L39" s="394"/>
      <c r="M39" s="394"/>
      <c r="N39" s="394"/>
      <c r="O39" s="393"/>
      <c r="P39" s="398"/>
      <c r="Q39" s="398"/>
      <c r="R39" s="362"/>
    </row>
    <row r="40" spans="1:18" x14ac:dyDescent="0.3">
      <c r="A40" s="385">
        <v>31</v>
      </c>
      <c r="B40" s="393"/>
      <c r="C40" s="393"/>
      <c r="D40" s="487"/>
      <c r="E40" s="485"/>
      <c r="F40" s="485"/>
      <c r="G40" s="486"/>
      <c r="H40" s="485"/>
      <c r="I40" s="393"/>
      <c r="J40" s="395"/>
      <c r="K40" s="395"/>
      <c r="L40" s="394"/>
      <c r="M40" s="394"/>
      <c r="N40" s="394"/>
      <c r="O40" s="393"/>
      <c r="P40" s="398"/>
      <c r="Q40" s="398"/>
      <c r="R40" s="362"/>
    </row>
    <row r="41" spans="1:18" x14ac:dyDescent="0.3">
      <c r="A41" s="361"/>
      <c r="B41" s="362"/>
      <c r="C41" s="362"/>
      <c r="D41" s="388" t="e">
        <f>AVERAGE(D10:D40)</f>
        <v>#DIV/0!</v>
      </c>
      <c r="E41" s="362"/>
      <c r="F41" s="362"/>
      <c r="G41" s="388" t="e">
        <f>AVERAGE(G10:G40)</f>
        <v>#DIV/0!</v>
      </c>
      <c r="H41" s="388" t="e">
        <f>AVERAGE(H10:H40)</f>
        <v>#DIV/0!</v>
      </c>
      <c r="I41" s="388"/>
      <c r="J41" s="388">
        <f>SUM(J10:J40)</f>
        <v>0</v>
      </c>
      <c r="K41" s="388">
        <f>SUM(K10:K40)</f>
        <v>0</v>
      </c>
      <c r="L41" s="362"/>
      <c r="M41" s="362"/>
      <c r="N41" s="362"/>
      <c r="O41" s="362"/>
      <c r="P41" s="362"/>
      <c r="Q41" s="362"/>
      <c r="R41" s="362"/>
    </row>
    <row r="42" spans="1:18" x14ac:dyDescent="0.3">
      <c r="A42" s="361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</row>
    <row r="43" spans="1:18" x14ac:dyDescent="0.3">
      <c r="A43" s="361"/>
      <c r="B43" s="362"/>
      <c r="C43" s="362"/>
      <c r="D43" s="362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</row>
    <row r="44" spans="1:18" x14ac:dyDescent="0.3">
      <c r="A44" s="361"/>
      <c r="B44" s="362"/>
      <c r="C44" s="362"/>
      <c r="D44" s="362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</row>
    <row r="45" spans="1:18" x14ac:dyDescent="0.3">
      <c r="A45" s="361"/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</row>
    <row r="46" spans="1:18" x14ac:dyDescent="0.3">
      <c r="A46" s="361"/>
      <c r="B46" s="362"/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</row>
    <row r="47" spans="1:18" x14ac:dyDescent="0.3">
      <c r="A47" s="361"/>
      <c r="B47" s="362"/>
      <c r="C47" s="362"/>
      <c r="D47" s="362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</row>
    <row r="48" spans="1:18" x14ac:dyDescent="0.3">
      <c r="A48" s="361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</row>
    <row r="49" spans="1:18" x14ac:dyDescent="0.3">
      <c r="A49" s="361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</row>
    <row r="50" spans="1:18" x14ac:dyDescent="0.3">
      <c r="A50" s="361"/>
      <c r="B50" s="362"/>
      <c r="C50" s="362"/>
      <c r="D50" s="362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</row>
    <row r="51" spans="1:18" x14ac:dyDescent="0.3">
      <c r="A51" s="361"/>
      <c r="B51" s="362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</row>
    <row r="52" spans="1:18" x14ac:dyDescent="0.3">
      <c r="A52" s="361"/>
      <c r="B52" s="362"/>
      <c r="C52" s="362"/>
      <c r="D52" s="362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</row>
    <row r="53" spans="1:18" x14ac:dyDescent="0.3">
      <c r="A53" s="361"/>
      <c r="B53" s="362"/>
      <c r="C53" s="362"/>
      <c r="D53" s="362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</row>
    <row r="54" spans="1:18" x14ac:dyDescent="0.3">
      <c r="A54" s="361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</row>
    <row r="55" spans="1:18" x14ac:dyDescent="0.3">
      <c r="A55" s="361"/>
      <c r="B55" s="362"/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</row>
    <row r="56" spans="1:18" x14ac:dyDescent="0.3">
      <c r="A56" s="361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</row>
    <row r="57" spans="1:18" x14ac:dyDescent="0.3">
      <c r="A57" s="361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</row>
    <row r="58" spans="1:18" x14ac:dyDescent="0.3">
      <c r="A58" s="361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</row>
    <row r="59" spans="1:18" x14ac:dyDescent="0.3">
      <c r="A59" s="361"/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</row>
    <row r="60" spans="1:18" x14ac:dyDescent="0.3">
      <c r="A60" s="361"/>
      <c r="B60" s="362"/>
      <c r="C60" s="362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</row>
    <row r="61" spans="1:18" x14ac:dyDescent="0.3">
      <c r="A61" s="361"/>
      <c r="B61" s="362"/>
      <c r="C61" s="362"/>
      <c r="D61" s="362"/>
      <c r="E61" s="362"/>
      <c r="F61" s="362"/>
      <c r="G61" s="362"/>
      <c r="H61" s="362"/>
      <c r="I61" s="362"/>
      <c r="J61" s="362"/>
    </row>
    <row r="62" spans="1:18" x14ac:dyDescent="0.3">
      <c r="A62" s="361"/>
      <c r="B62" s="362"/>
      <c r="C62" s="362"/>
      <c r="D62" s="362"/>
      <c r="E62" s="362"/>
      <c r="F62" s="362"/>
      <c r="G62" s="362"/>
      <c r="H62" s="362"/>
      <c r="I62" s="362"/>
      <c r="J62" s="362"/>
    </row>
    <row r="63" spans="1:18" x14ac:dyDescent="0.3">
      <c r="A63" s="361"/>
      <c r="B63" s="362"/>
      <c r="C63" s="362"/>
      <c r="D63" s="362"/>
      <c r="E63" s="362"/>
      <c r="F63" s="362"/>
      <c r="G63" s="362"/>
      <c r="H63" s="362"/>
      <c r="I63" s="362"/>
      <c r="J63" s="362"/>
    </row>
    <row r="64" spans="1:18" x14ac:dyDescent="0.3">
      <c r="A64" s="361"/>
      <c r="B64" s="362"/>
      <c r="C64" s="362"/>
      <c r="D64" s="362"/>
      <c r="E64" s="362"/>
      <c r="F64" s="362"/>
      <c r="G64" s="362"/>
      <c r="H64" s="362"/>
      <c r="I64" s="362"/>
      <c r="J64" s="362"/>
    </row>
    <row r="65" spans="1:10" x14ac:dyDescent="0.3">
      <c r="A65" s="361"/>
      <c r="B65" s="362"/>
      <c r="C65" s="362"/>
      <c r="D65" s="362"/>
      <c r="E65" s="362"/>
      <c r="F65" s="362"/>
      <c r="G65" s="362"/>
      <c r="H65" s="362"/>
      <c r="I65" s="362"/>
      <c r="J65" s="362"/>
    </row>
    <row r="66" spans="1:10" x14ac:dyDescent="0.3">
      <c r="A66" s="361"/>
      <c r="B66" s="362"/>
      <c r="C66" s="362"/>
      <c r="D66" s="362"/>
      <c r="E66" s="362"/>
      <c r="F66" s="362"/>
      <c r="G66" s="362"/>
      <c r="H66" s="362"/>
      <c r="I66" s="362"/>
      <c r="J66" s="362"/>
    </row>
    <row r="67" spans="1:10" x14ac:dyDescent="0.3">
      <c r="A67" s="361"/>
      <c r="B67" s="362"/>
      <c r="C67" s="362"/>
      <c r="D67" s="362"/>
      <c r="E67" s="362"/>
      <c r="F67" s="362"/>
      <c r="G67" s="362"/>
      <c r="H67" s="362"/>
      <c r="I67" s="362"/>
      <c r="J67" s="362"/>
    </row>
    <row r="68" spans="1:10" x14ac:dyDescent="0.3">
      <c r="A68" s="361"/>
      <c r="B68" s="362"/>
      <c r="C68" s="362"/>
      <c r="D68" s="362"/>
      <c r="E68" s="362"/>
      <c r="F68" s="362"/>
      <c r="G68" s="362"/>
      <c r="H68" s="362"/>
      <c r="I68" s="362"/>
      <c r="J68" s="362"/>
    </row>
    <row r="69" spans="1:10" x14ac:dyDescent="0.3">
      <c r="A69" s="361"/>
      <c r="B69" s="362"/>
      <c r="C69" s="362"/>
      <c r="D69" s="362"/>
      <c r="E69" s="362"/>
      <c r="F69" s="362"/>
      <c r="G69" s="362"/>
      <c r="H69" s="362"/>
      <c r="I69" s="362"/>
      <c r="J69" s="362"/>
    </row>
    <row r="70" spans="1:10" x14ac:dyDescent="0.3">
      <c r="A70" s="361"/>
      <c r="B70" s="362"/>
      <c r="C70" s="362"/>
      <c r="D70" s="362"/>
      <c r="E70" s="362"/>
      <c r="F70" s="362"/>
      <c r="G70" s="362"/>
      <c r="H70" s="362"/>
      <c r="I70" s="362"/>
      <c r="J70" s="362"/>
    </row>
    <row r="71" spans="1:10" x14ac:dyDescent="0.3">
      <c r="A71" s="361"/>
      <c r="B71" s="362"/>
      <c r="C71" s="362"/>
      <c r="D71" s="362"/>
      <c r="E71" s="362"/>
      <c r="F71" s="362"/>
      <c r="G71" s="362"/>
      <c r="H71" s="362"/>
      <c r="I71" s="362"/>
      <c r="J71" s="362"/>
    </row>
    <row r="72" spans="1:10" x14ac:dyDescent="0.3">
      <c r="A72" s="361"/>
      <c r="B72" s="362"/>
      <c r="C72" s="362"/>
      <c r="D72" s="362"/>
      <c r="E72" s="362"/>
      <c r="F72" s="362"/>
      <c r="G72" s="362"/>
      <c r="H72" s="362"/>
      <c r="I72" s="362"/>
      <c r="J72" s="362"/>
    </row>
    <row r="73" spans="1:10" x14ac:dyDescent="0.3">
      <c r="A73" s="361"/>
      <c r="B73" s="362"/>
      <c r="C73" s="362"/>
      <c r="D73" s="362"/>
      <c r="E73" s="362"/>
      <c r="F73" s="362"/>
      <c r="G73" s="362"/>
      <c r="H73" s="362"/>
      <c r="I73" s="362"/>
      <c r="J73" s="362"/>
    </row>
    <row r="74" spans="1:10" x14ac:dyDescent="0.3">
      <c r="A74" s="361"/>
      <c r="B74" s="362"/>
      <c r="C74" s="362"/>
      <c r="D74" s="362"/>
      <c r="E74" s="362"/>
      <c r="F74" s="362"/>
      <c r="G74" s="362"/>
      <c r="H74" s="362"/>
      <c r="I74" s="362"/>
      <c r="J74" s="362"/>
    </row>
    <row r="75" spans="1:10" x14ac:dyDescent="0.3">
      <c r="A75" s="361"/>
      <c r="B75" s="362"/>
      <c r="C75" s="362"/>
      <c r="D75" s="362"/>
      <c r="E75" s="362"/>
      <c r="F75" s="362"/>
      <c r="G75" s="362"/>
      <c r="H75" s="362"/>
      <c r="I75" s="362"/>
      <c r="J75" s="362"/>
    </row>
    <row r="76" spans="1:10" x14ac:dyDescent="0.3">
      <c r="A76" s="361"/>
      <c r="B76" s="362"/>
      <c r="C76" s="362"/>
      <c r="D76" s="362"/>
      <c r="E76" s="362"/>
      <c r="F76" s="362"/>
      <c r="G76" s="362"/>
      <c r="H76" s="362"/>
      <c r="I76" s="362"/>
      <c r="J76" s="362"/>
    </row>
    <row r="77" spans="1:10" x14ac:dyDescent="0.3">
      <c r="A77" s="361"/>
      <c r="B77" s="362"/>
      <c r="C77" s="362"/>
      <c r="D77" s="362"/>
      <c r="E77" s="362"/>
      <c r="F77" s="362"/>
      <c r="G77" s="362"/>
      <c r="H77" s="362"/>
      <c r="I77" s="362"/>
      <c r="J77" s="362"/>
    </row>
    <row r="78" spans="1:10" x14ac:dyDescent="0.3">
      <c r="A78" s="361"/>
      <c r="B78" s="362"/>
      <c r="C78" s="362"/>
      <c r="D78" s="362"/>
      <c r="E78" s="362"/>
      <c r="F78" s="362"/>
      <c r="G78" s="362"/>
      <c r="H78" s="362"/>
      <c r="I78" s="362"/>
      <c r="J78" s="362"/>
    </row>
    <row r="79" spans="1:10" x14ac:dyDescent="0.3">
      <c r="A79" s="361"/>
      <c r="B79" s="362"/>
      <c r="C79" s="362"/>
      <c r="D79" s="362"/>
      <c r="E79" s="362"/>
      <c r="F79" s="362"/>
      <c r="G79" s="362"/>
      <c r="H79" s="362"/>
      <c r="I79" s="362"/>
      <c r="J79" s="362"/>
    </row>
    <row r="80" spans="1:10" x14ac:dyDescent="0.3">
      <c r="A80" s="361"/>
      <c r="B80" s="362"/>
      <c r="C80" s="362"/>
      <c r="D80" s="362"/>
      <c r="E80" s="362"/>
      <c r="F80" s="362"/>
      <c r="G80" s="362"/>
      <c r="H80" s="362"/>
      <c r="I80" s="362"/>
      <c r="J80" s="362"/>
    </row>
    <row r="81" spans="1:10" x14ac:dyDescent="0.3">
      <c r="A81" s="361"/>
      <c r="B81" s="362"/>
      <c r="C81" s="362"/>
      <c r="D81" s="362"/>
      <c r="E81" s="362"/>
      <c r="F81" s="362"/>
      <c r="G81" s="362"/>
      <c r="H81" s="362"/>
      <c r="I81" s="362"/>
      <c r="J81" s="362"/>
    </row>
    <row r="82" spans="1:10" x14ac:dyDescent="0.3">
      <c r="A82" s="361"/>
      <c r="B82" s="362"/>
      <c r="C82" s="362"/>
      <c r="D82" s="362"/>
      <c r="E82" s="362"/>
      <c r="F82" s="362"/>
      <c r="G82" s="362"/>
      <c r="H82" s="362"/>
      <c r="I82" s="362"/>
      <c r="J82" s="362"/>
    </row>
    <row r="83" spans="1:10" x14ac:dyDescent="0.3">
      <c r="A83" s="361"/>
      <c r="B83" s="362"/>
      <c r="C83" s="362"/>
      <c r="D83" s="362"/>
      <c r="E83" s="362"/>
      <c r="F83" s="362"/>
      <c r="G83" s="362"/>
      <c r="H83" s="362"/>
      <c r="I83" s="362"/>
      <c r="J83" s="362"/>
    </row>
    <row r="84" spans="1:10" x14ac:dyDescent="0.3">
      <c r="A84" s="361"/>
      <c r="B84" s="362"/>
      <c r="C84" s="362"/>
      <c r="D84" s="362"/>
      <c r="E84" s="362"/>
      <c r="F84" s="362"/>
      <c r="G84" s="362"/>
      <c r="H84" s="362"/>
      <c r="I84" s="362"/>
      <c r="J84" s="362"/>
    </row>
    <row r="85" spans="1:10" x14ac:dyDescent="0.3">
      <c r="A85" s="361"/>
      <c r="B85" s="362"/>
      <c r="C85" s="362"/>
      <c r="D85" s="362"/>
      <c r="E85" s="362"/>
      <c r="F85" s="362"/>
      <c r="G85" s="362"/>
      <c r="H85" s="362"/>
      <c r="I85" s="362"/>
      <c r="J85" s="362"/>
    </row>
    <row r="86" spans="1:10" x14ac:dyDescent="0.3">
      <c r="A86" s="361"/>
      <c r="B86" s="362"/>
      <c r="C86" s="362"/>
      <c r="D86" s="362"/>
      <c r="E86" s="362"/>
      <c r="F86" s="362"/>
      <c r="G86" s="362"/>
      <c r="H86" s="362"/>
      <c r="I86" s="362"/>
      <c r="J86" s="362"/>
    </row>
    <row r="87" spans="1:10" x14ac:dyDescent="0.3">
      <c r="A87" s="361"/>
      <c r="B87" s="362"/>
      <c r="C87" s="362"/>
      <c r="D87" s="362"/>
      <c r="E87" s="362"/>
      <c r="F87" s="362"/>
      <c r="G87" s="362"/>
      <c r="H87" s="362"/>
      <c r="I87" s="362"/>
      <c r="J87" s="362"/>
    </row>
    <row r="88" spans="1:10" x14ac:dyDescent="0.3">
      <c r="A88" s="361"/>
      <c r="B88" s="362"/>
      <c r="C88" s="362"/>
      <c r="D88" s="362"/>
      <c r="E88" s="362"/>
      <c r="F88" s="362"/>
      <c r="G88" s="362"/>
      <c r="H88" s="362"/>
      <c r="I88" s="362"/>
      <c r="J88" s="362"/>
    </row>
    <row r="89" spans="1:10" x14ac:dyDescent="0.3">
      <c r="A89" s="361"/>
      <c r="B89" s="362"/>
      <c r="C89" s="362"/>
      <c r="D89" s="362"/>
      <c r="E89" s="362"/>
      <c r="F89" s="362"/>
      <c r="G89" s="362"/>
      <c r="H89" s="362"/>
      <c r="I89" s="362"/>
      <c r="J89" s="362"/>
    </row>
    <row r="90" spans="1:10" x14ac:dyDescent="0.3">
      <c r="A90" s="361"/>
      <c r="B90" s="362"/>
      <c r="C90" s="362"/>
      <c r="D90" s="362"/>
      <c r="E90" s="362"/>
      <c r="F90" s="362"/>
      <c r="G90" s="362"/>
      <c r="H90" s="362"/>
      <c r="I90" s="362"/>
      <c r="J90" s="362"/>
    </row>
    <row r="91" spans="1:10" x14ac:dyDescent="0.3">
      <c r="A91" s="361"/>
      <c r="B91" s="362"/>
      <c r="C91" s="362"/>
      <c r="D91" s="362"/>
      <c r="E91" s="362"/>
      <c r="F91" s="362"/>
      <c r="G91" s="362"/>
      <c r="H91" s="362"/>
      <c r="I91" s="362"/>
      <c r="J91" s="362"/>
    </row>
    <row r="92" spans="1:10" x14ac:dyDescent="0.3">
      <c r="A92" s="361"/>
      <c r="B92" s="362"/>
      <c r="C92" s="362"/>
      <c r="D92" s="362"/>
      <c r="E92" s="362"/>
      <c r="F92" s="362"/>
      <c r="G92" s="362"/>
      <c r="H92" s="362"/>
      <c r="I92" s="362"/>
      <c r="J92" s="362"/>
    </row>
    <row r="93" spans="1:10" x14ac:dyDescent="0.3">
      <c r="A93" s="361"/>
      <c r="B93" s="362"/>
      <c r="C93" s="362"/>
      <c r="D93" s="362"/>
      <c r="E93" s="362"/>
      <c r="F93" s="362"/>
      <c r="G93" s="362"/>
      <c r="H93" s="362"/>
      <c r="I93" s="362"/>
      <c r="J93" s="362"/>
    </row>
    <row r="94" spans="1:10" x14ac:dyDescent="0.3">
      <c r="A94" s="361"/>
      <c r="B94" s="362"/>
      <c r="C94" s="362"/>
      <c r="D94" s="362"/>
      <c r="E94" s="362"/>
      <c r="F94" s="362"/>
      <c r="G94" s="362"/>
      <c r="H94" s="362"/>
      <c r="I94" s="362"/>
      <c r="J94" s="362"/>
    </row>
    <row r="95" spans="1:10" x14ac:dyDescent="0.3">
      <c r="A95" s="361"/>
      <c r="B95" s="362"/>
      <c r="C95" s="362"/>
      <c r="D95" s="362"/>
      <c r="E95" s="362"/>
      <c r="F95" s="362"/>
      <c r="G95" s="362"/>
      <c r="H95" s="362"/>
      <c r="I95" s="362"/>
      <c r="J95" s="362"/>
    </row>
    <row r="96" spans="1:10" x14ac:dyDescent="0.3">
      <c r="A96" s="361"/>
      <c r="B96" s="362"/>
      <c r="C96" s="362"/>
      <c r="D96" s="362"/>
      <c r="E96" s="362"/>
      <c r="F96" s="362"/>
      <c r="G96" s="362"/>
      <c r="H96" s="362"/>
      <c r="I96" s="362"/>
      <c r="J96" s="362"/>
    </row>
    <row r="97" spans="1:10" x14ac:dyDescent="0.3">
      <c r="A97" s="361"/>
      <c r="B97" s="362"/>
      <c r="C97" s="362"/>
      <c r="D97" s="362"/>
      <c r="E97" s="362"/>
      <c r="F97" s="362"/>
      <c r="G97" s="362"/>
      <c r="H97" s="362"/>
      <c r="I97" s="362"/>
      <c r="J97" s="362"/>
    </row>
    <row r="98" spans="1:10" x14ac:dyDescent="0.3">
      <c r="A98" s="361"/>
      <c r="B98" s="362"/>
      <c r="C98" s="362"/>
      <c r="D98" s="362"/>
      <c r="E98" s="362"/>
      <c r="F98" s="362"/>
      <c r="G98" s="362"/>
      <c r="H98" s="362"/>
      <c r="I98" s="362"/>
      <c r="J98" s="362"/>
    </row>
    <row r="99" spans="1:10" x14ac:dyDescent="0.3">
      <c r="A99" s="361"/>
      <c r="B99" s="362"/>
      <c r="C99" s="362"/>
      <c r="D99" s="362"/>
      <c r="E99" s="362"/>
      <c r="F99" s="362"/>
      <c r="G99" s="362"/>
      <c r="H99" s="362"/>
      <c r="I99" s="362"/>
      <c r="J99" s="362"/>
    </row>
    <row r="100" spans="1:10" x14ac:dyDescent="0.3">
      <c r="A100" s="361"/>
      <c r="B100" s="362"/>
      <c r="C100" s="362"/>
      <c r="D100" s="362"/>
      <c r="E100" s="362"/>
      <c r="F100" s="362"/>
      <c r="G100" s="362"/>
      <c r="H100" s="362"/>
      <c r="I100" s="362"/>
      <c r="J100" s="362"/>
    </row>
    <row r="101" spans="1:10" x14ac:dyDescent="0.3">
      <c r="A101" s="361"/>
      <c r="B101" s="362"/>
      <c r="C101" s="362"/>
      <c r="D101" s="362"/>
      <c r="E101" s="362"/>
      <c r="F101" s="362"/>
      <c r="G101" s="362"/>
      <c r="H101" s="362"/>
      <c r="I101" s="362"/>
      <c r="J101" s="362"/>
    </row>
    <row r="102" spans="1:10" x14ac:dyDescent="0.3">
      <c r="A102" s="361"/>
      <c r="B102" s="362"/>
      <c r="C102" s="362"/>
      <c r="D102" s="362"/>
      <c r="E102" s="362"/>
      <c r="F102" s="362"/>
      <c r="G102" s="362"/>
      <c r="H102" s="362"/>
      <c r="I102" s="362"/>
      <c r="J102" s="362"/>
    </row>
    <row r="103" spans="1:10" x14ac:dyDescent="0.3">
      <c r="A103" s="361"/>
      <c r="B103" s="362"/>
      <c r="C103" s="362"/>
      <c r="D103" s="362"/>
      <c r="E103" s="362"/>
      <c r="F103" s="362"/>
      <c r="G103" s="362"/>
      <c r="H103" s="362"/>
      <c r="I103" s="362"/>
      <c r="J103" s="362"/>
    </row>
    <row r="104" spans="1:10" x14ac:dyDescent="0.3">
      <c r="A104" s="361"/>
      <c r="B104" s="362"/>
      <c r="C104" s="362"/>
      <c r="D104" s="362"/>
      <c r="E104" s="362"/>
      <c r="F104" s="362"/>
      <c r="G104" s="362"/>
      <c r="H104" s="362"/>
      <c r="I104" s="362"/>
      <c r="J104" s="362"/>
    </row>
    <row r="105" spans="1:10" x14ac:dyDescent="0.3">
      <c r="A105" s="361"/>
      <c r="B105" s="362"/>
      <c r="C105" s="362"/>
      <c r="D105" s="362"/>
      <c r="E105" s="362"/>
      <c r="F105" s="362"/>
      <c r="G105" s="362"/>
      <c r="H105" s="362"/>
      <c r="I105" s="362"/>
      <c r="J105" s="362"/>
    </row>
    <row r="106" spans="1:10" x14ac:dyDescent="0.3">
      <c r="A106" s="361"/>
      <c r="B106" s="362"/>
      <c r="C106" s="362"/>
      <c r="D106" s="362"/>
      <c r="E106" s="362"/>
      <c r="F106" s="362"/>
      <c r="G106" s="362"/>
      <c r="H106" s="362"/>
      <c r="I106" s="362"/>
      <c r="J106" s="362"/>
    </row>
    <row r="107" spans="1:10" x14ac:dyDescent="0.3">
      <c r="A107" s="361"/>
      <c r="B107" s="362"/>
      <c r="C107" s="362"/>
      <c r="D107" s="362"/>
      <c r="E107" s="362"/>
      <c r="F107" s="362"/>
      <c r="G107" s="362"/>
      <c r="H107" s="362"/>
      <c r="I107" s="362"/>
      <c r="J107" s="362"/>
    </row>
    <row r="108" spans="1:10" x14ac:dyDescent="0.3">
      <c r="A108" s="361"/>
      <c r="B108" s="362"/>
      <c r="C108" s="362"/>
      <c r="D108" s="362"/>
      <c r="E108" s="362"/>
      <c r="F108" s="362"/>
      <c r="G108" s="362"/>
      <c r="H108" s="362"/>
      <c r="I108" s="362"/>
      <c r="J108" s="362"/>
    </row>
    <row r="109" spans="1:10" x14ac:dyDescent="0.3">
      <c r="A109" s="361"/>
      <c r="B109" s="362"/>
      <c r="C109" s="362"/>
      <c r="D109" s="362"/>
      <c r="E109" s="362"/>
      <c r="F109" s="362"/>
      <c r="G109" s="362"/>
      <c r="H109" s="362"/>
      <c r="I109" s="362"/>
      <c r="J109" s="362"/>
    </row>
    <row r="110" spans="1:10" x14ac:dyDescent="0.3">
      <c r="A110" s="361"/>
      <c r="B110" s="362"/>
      <c r="C110" s="362"/>
      <c r="D110" s="362"/>
      <c r="E110" s="362"/>
      <c r="F110" s="362"/>
      <c r="G110" s="362"/>
      <c r="H110" s="362"/>
      <c r="I110" s="362"/>
      <c r="J110" s="362"/>
    </row>
    <row r="111" spans="1:10" x14ac:dyDescent="0.3">
      <c r="A111" s="361"/>
      <c r="B111" s="362"/>
      <c r="C111" s="362"/>
      <c r="D111" s="362"/>
      <c r="E111" s="362"/>
      <c r="F111" s="362"/>
      <c r="G111" s="362"/>
      <c r="H111" s="362"/>
      <c r="I111" s="362"/>
      <c r="J111" s="362"/>
    </row>
    <row r="112" spans="1:10" x14ac:dyDescent="0.3">
      <c r="A112" s="361"/>
      <c r="B112" s="362"/>
      <c r="C112" s="362"/>
      <c r="D112" s="362"/>
      <c r="E112" s="362"/>
      <c r="F112" s="362"/>
      <c r="G112" s="362"/>
      <c r="H112" s="362"/>
      <c r="I112" s="362"/>
      <c r="J112" s="362"/>
    </row>
    <row r="113" spans="1:10" x14ac:dyDescent="0.3">
      <c r="A113" s="361"/>
      <c r="B113" s="362"/>
      <c r="C113" s="362"/>
      <c r="D113" s="362"/>
      <c r="E113" s="362"/>
      <c r="F113" s="362"/>
      <c r="G113" s="362"/>
      <c r="H113" s="362"/>
      <c r="I113" s="362"/>
      <c r="J113" s="362"/>
    </row>
    <row r="114" spans="1:10" x14ac:dyDescent="0.3">
      <c r="A114" s="361"/>
      <c r="B114" s="362"/>
      <c r="C114" s="362"/>
      <c r="D114" s="362"/>
      <c r="E114" s="362"/>
      <c r="F114" s="362"/>
      <c r="G114" s="362"/>
      <c r="H114" s="362"/>
      <c r="I114" s="362"/>
      <c r="J114" s="362"/>
    </row>
    <row r="115" spans="1:10" x14ac:dyDescent="0.3">
      <c r="A115" s="361"/>
      <c r="B115" s="362"/>
      <c r="C115" s="362"/>
      <c r="D115" s="362"/>
      <c r="E115" s="362"/>
      <c r="F115" s="362"/>
      <c r="G115" s="362"/>
      <c r="H115" s="362"/>
      <c r="I115" s="362"/>
      <c r="J115" s="362"/>
    </row>
    <row r="116" spans="1:10" x14ac:dyDescent="0.3">
      <c r="A116" s="361"/>
      <c r="B116" s="362"/>
      <c r="C116" s="362"/>
      <c r="D116" s="362"/>
      <c r="E116" s="362"/>
      <c r="F116" s="362"/>
      <c r="G116" s="362"/>
      <c r="H116" s="362"/>
      <c r="I116" s="362"/>
      <c r="J116" s="362"/>
    </row>
    <row r="117" spans="1:10" x14ac:dyDescent="0.3">
      <c r="A117" s="361"/>
      <c r="B117" s="362"/>
      <c r="C117" s="362"/>
      <c r="D117" s="362"/>
      <c r="E117" s="362"/>
      <c r="F117" s="362"/>
      <c r="G117" s="362"/>
      <c r="H117" s="362"/>
      <c r="I117" s="362"/>
      <c r="J117" s="362"/>
    </row>
    <row r="118" spans="1:10" x14ac:dyDescent="0.3">
      <c r="A118" s="361"/>
      <c r="B118" s="362"/>
      <c r="C118" s="362"/>
      <c r="D118" s="362"/>
      <c r="E118" s="362"/>
      <c r="F118" s="362"/>
      <c r="G118" s="362"/>
      <c r="H118" s="362"/>
      <c r="I118" s="362"/>
      <c r="J118" s="362"/>
    </row>
    <row r="119" spans="1:10" x14ac:dyDescent="0.3">
      <c r="A119" s="361"/>
      <c r="B119" s="362"/>
      <c r="C119" s="362"/>
      <c r="D119" s="362"/>
      <c r="E119" s="362"/>
      <c r="F119" s="362"/>
      <c r="G119" s="362"/>
      <c r="H119" s="362"/>
      <c r="I119" s="362"/>
      <c r="J119" s="362"/>
    </row>
    <row r="120" spans="1:10" x14ac:dyDescent="0.3">
      <c r="A120" s="361"/>
      <c r="B120" s="362"/>
      <c r="C120" s="362"/>
      <c r="D120" s="362"/>
      <c r="E120" s="362"/>
      <c r="F120" s="362"/>
      <c r="G120" s="362"/>
      <c r="H120" s="362"/>
      <c r="I120" s="362"/>
      <c r="J120" s="362"/>
    </row>
    <row r="121" spans="1:10" x14ac:dyDescent="0.3">
      <c r="A121" s="361"/>
      <c r="B121" s="362"/>
      <c r="C121" s="362"/>
      <c r="D121" s="362"/>
      <c r="E121" s="362"/>
      <c r="F121" s="362"/>
      <c r="G121" s="362"/>
      <c r="H121" s="362"/>
      <c r="I121" s="362"/>
      <c r="J121" s="362"/>
    </row>
    <row r="122" spans="1:10" x14ac:dyDescent="0.3">
      <c r="A122" s="361"/>
      <c r="B122" s="362"/>
      <c r="C122" s="362"/>
      <c r="D122" s="362"/>
      <c r="E122" s="362"/>
      <c r="F122" s="362"/>
      <c r="G122" s="362"/>
      <c r="H122" s="362"/>
      <c r="I122" s="362"/>
      <c r="J122" s="362"/>
    </row>
    <row r="123" spans="1:10" x14ac:dyDescent="0.3">
      <c r="A123" s="361"/>
      <c r="B123" s="362"/>
      <c r="C123" s="362"/>
      <c r="D123" s="362"/>
      <c r="E123" s="362"/>
      <c r="F123" s="362"/>
      <c r="G123" s="362"/>
      <c r="H123" s="362"/>
      <c r="I123" s="362"/>
      <c r="J123" s="362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123"/>
  <sheetViews>
    <sheetView showGridLines="0" zoomScaleNormal="100" workbookViewId="0">
      <pane ySplit="8" topLeftCell="A9" activePane="bottomLeft" state="frozen"/>
      <selection activeCell="X41" sqref="X41"/>
      <selection pane="bottomLeft" activeCell="M6" sqref="M6:N6"/>
    </sheetView>
  </sheetViews>
  <sheetFormatPr defaultColWidth="9.109375" defaultRowHeight="14.4" x14ac:dyDescent="0.3"/>
  <cols>
    <col min="1" max="1" width="6.109375" style="389" customWidth="1"/>
    <col min="2" max="3" width="6.6640625" style="364" customWidth="1"/>
    <col min="4" max="4" width="11.33203125" style="364" customWidth="1"/>
    <col min="5" max="6" width="6.6640625" style="364" customWidth="1"/>
    <col min="7" max="7" width="11.33203125" style="364" customWidth="1"/>
    <col min="8" max="11" width="6.6640625" style="364" customWidth="1"/>
    <col min="12" max="12" width="11.33203125" style="364" customWidth="1"/>
    <col min="13" max="16" width="6.6640625" style="364" customWidth="1"/>
    <col min="17" max="16384" width="9.109375" style="364"/>
  </cols>
  <sheetData>
    <row r="1" spans="1:18" ht="19.95" customHeigh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</row>
    <row r="2" spans="1:18" ht="19.95" customHeight="1" x14ac:dyDescent="0.3">
      <c r="A2" s="361"/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</row>
    <row r="3" spans="1:18" ht="21.6" customHeight="1" x14ac:dyDescent="0.3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</row>
    <row r="4" spans="1:18" ht="18.600000000000001" customHeight="1" x14ac:dyDescent="0.3">
      <c r="A4" s="361"/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</row>
    <row r="5" spans="1:18" ht="23.4" customHeight="1" x14ac:dyDescent="0.35">
      <c r="A5" s="365" t="s">
        <v>182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18" ht="22.2" customHeight="1" x14ac:dyDescent="0.35">
      <c r="A6" s="365" t="s">
        <v>207</v>
      </c>
      <c r="B6" s="362"/>
      <c r="C6" s="362"/>
      <c r="D6" s="362"/>
      <c r="E6" s="362"/>
      <c r="F6" s="362"/>
      <c r="G6" s="362"/>
      <c r="I6" s="367" t="s">
        <v>184</v>
      </c>
      <c r="J6" s="362"/>
      <c r="M6" s="662" t="s">
        <v>284</v>
      </c>
      <c r="N6" s="662">
        <v>2021</v>
      </c>
      <c r="O6" s="400">
        <v>2025</v>
      </c>
      <c r="Q6" s="362"/>
      <c r="R6" s="362"/>
    </row>
    <row r="7" spans="1:18" ht="21" customHeight="1" thickBot="1" x14ac:dyDescent="0.4">
      <c r="A7" s="365"/>
      <c r="B7" s="362"/>
      <c r="C7" s="362"/>
      <c r="D7" s="362"/>
      <c r="E7" s="362"/>
      <c r="F7" s="362"/>
      <c r="G7" s="362"/>
      <c r="J7" s="362"/>
      <c r="M7" s="362"/>
      <c r="N7" s="362"/>
      <c r="O7" s="362"/>
      <c r="P7" s="362"/>
      <c r="Q7" s="362"/>
      <c r="R7" s="362"/>
    </row>
    <row r="8" spans="1:18" ht="43.5" customHeight="1" thickBot="1" x14ac:dyDescent="0.35">
      <c r="A8" s="401"/>
      <c r="B8" s="660" t="s">
        <v>208</v>
      </c>
      <c r="C8" s="663"/>
      <c r="D8" s="661"/>
      <c r="E8" s="660" t="s">
        <v>209</v>
      </c>
      <c r="F8" s="663"/>
      <c r="G8" s="661"/>
      <c r="H8" s="660" t="s">
        <v>210</v>
      </c>
      <c r="I8" s="661"/>
      <c r="J8" s="660" t="s">
        <v>211</v>
      </c>
      <c r="K8" s="663"/>
      <c r="L8" s="661"/>
      <c r="M8" s="660" t="s">
        <v>212</v>
      </c>
      <c r="N8" s="663"/>
      <c r="O8" s="660" t="s">
        <v>213</v>
      </c>
      <c r="P8" s="661"/>
      <c r="Q8" s="362"/>
      <c r="R8" s="362"/>
    </row>
    <row r="9" spans="1:18" ht="29.25" customHeight="1" thickBot="1" x14ac:dyDescent="0.35">
      <c r="A9" s="402" t="s">
        <v>189</v>
      </c>
      <c r="B9" s="403" t="s">
        <v>192</v>
      </c>
      <c r="C9" s="404" t="s">
        <v>195</v>
      </c>
      <c r="D9" s="405" t="s">
        <v>188</v>
      </c>
      <c r="E9" s="403" t="s">
        <v>192</v>
      </c>
      <c r="F9" s="404" t="s">
        <v>195</v>
      </c>
      <c r="G9" s="405" t="s">
        <v>188</v>
      </c>
      <c r="H9" s="403" t="s">
        <v>192</v>
      </c>
      <c r="I9" s="404" t="s">
        <v>195</v>
      </c>
      <c r="J9" s="403" t="s">
        <v>192</v>
      </c>
      <c r="K9" s="404" t="s">
        <v>195</v>
      </c>
      <c r="L9" s="405" t="s">
        <v>188</v>
      </c>
      <c r="M9" s="403" t="s">
        <v>192</v>
      </c>
      <c r="N9" s="404" t="s">
        <v>195</v>
      </c>
      <c r="O9" s="403" t="s">
        <v>192</v>
      </c>
      <c r="P9" s="404" t="s">
        <v>195</v>
      </c>
      <c r="Q9" s="362"/>
      <c r="R9" s="362"/>
    </row>
    <row r="10" spans="1:18" ht="15.75" customHeight="1" x14ac:dyDescent="0.3">
      <c r="A10" s="382">
        <v>1</v>
      </c>
      <c r="B10" s="394"/>
      <c r="C10" s="394"/>
      <c r="D10" s="394"/>
      <c r="E10" s="406"/>
      <c r="F10" s="406"/>
      <c r="G10" s="406"/>
      <c r="H10" s="396"/>
      <c r="I10" s="396"/>
      <c r="J10" s="396"/>
      <c r="K10" s="396"/>
      <c r="L10" s="396"/>
      <c r="M10" s="384"/>
      <c r="N10" s="384"/>
      <c r="O10" s="384"/>
      <c r="P10" s="384"/>
      <c r="Q10" s="362"/>
      <c r="R10" s="362"/>
    </row>
    <row r="11" spans="1:18" x14ac:dyDescent="0.3">
      <c r="A11" s="385">
        <v>2</v>
      </c>
      <c r="B11" s="394"/>
      <c r="C11" s="394"/>
      <c r="D11" s="394"/>
      <c r="E11" s="406"/>
      <c r="F11" s="406"/>
      <c r="G11" s="406"/>
      <c r="H11" s="396"/>
      <c r="I11" s="396"/>
      <c r="J11" s="396"/>
      <c r="K11" s="396"/>
      <c r="L11" s="396"/>
      <c r="M11" s="384"/>
      <c r="N11" s="384"/>
      <c r="O11" s="384"/>
      <c r="P11" s="384"/>
      <c r="Q11" s="362"/>
      <c r="R11" s="362"/>
    </row>
    <row r="12" spans="1:18" x14ac:dyDescent="0.3">
      <c r="A12" s="382">
        <v>3</v>
      </c>
      <c r="B12" s="394"/>
      <c r="C12" s="394"/>
      <c r="D12" s="394"/>
      <c r="E12" s="406"/>
      <c r="F12" s="406"/>
      <c r="G12" s="406"/>
      <c r="H12" s="396"/>
      <c r="I12" s="396"/>
      <c r="J12" s="396"/>
      <c r="K12" s="396"/>
      <c r="L12" s="396"/>
      <c r="M12" s="384"/>
      <c r="N12" s="384"/>
      <c r="O12" s="384"/>
      <c r="P12" s="384"/>
      <c r="Q12" s="362"/>
      <c r="R12" s="362"/>
    </row>
    <row r="13" spans="1:18" x14ac:dyDescent="0.3">
      <c r="A13" s="385">
        <v>4</v>
      </c>
      <c r="B13" s="394"/>
      <c r="C13" s="394"/>
      <c r="D13" s="394"/>
      <c r="E13" s="406"/>
      <c r="F13" s="406"/>
      <c r="G13" s="406"/>
      <c r="H13" s="396"/>
      <c r="I13" s="396"/>
      <c r="J13" s="396"/>
      <c r="K13" s="396"/>
      <c r="L13" s="396"/>
      <c r="M13" s="384"/>
      <c r="N13" s="384"/>
      <c r="O13" s="384"/>
      <c r="P13" s="384"/>
      <c r="Q13" s="362"/>
      <c r="R13" s="362"/>
    </row>
    <row r="14" spans="1:18" x14ac:dyDescent="0.3">
      <c r="A14" s="382">
        <v>5</v>
      </c>
      <c r="B14" s="394"/>
      <c r="C14" s="394"/>
      <c r="D14" s="394"/>
      <c r="E14" s="406"/>
      <c r="F14" s="406"/>
      <c r="G14" s="406"/>
      <c r="H14" s="396"/>
      <c r="I14" s="396"/>
      <c r="J14" s="396"/>
      <c r="K14" s="396"/>
      <c r="L14" s="396"/>
      <c r="M14" s="384"/>
      <c r="N14" s="384"/>
      <c r="O14" s="384"/>
      <c r="P14" s="384"/>
      <c r="Q14" s="362"/>
      <c r="R14" s="362"/>
    </row>
    <row r="15" spans="1:18" x14ac:dyDescent="0.3">
      <c r="A15" s="385">
        <v>6</v>
      </c>
      <c r="B15" s="394"/>
      <c r="C15" s="394"/>
      <c r="D15" s="394"/>
      <c r="E15" s="406"/>
      <c r="F15" s="406"/>
      <c r="G15" s="406"/>
      <c r="H15" s="396"/>
      <c r="I15" s="396"/>
      <c r="J15" s="396"/>
      <c r="K15" s="396"/>
      <c r="L15" s="396"/>
      <c r="M15" s="384"/>
      <c r="N15" s="384"/>
      <c r="O15" s="384"/>
      <c r="P15" s="384"/>
      <c r="Q15" s="362"/>
      <c r="R15" s="362"/>
    </row>
    <row r="16" spans="1:18" x14ac:dyDescent="0.3">
      <c r="A16" s="382">
        <v>7</v>
      </c>
      <c r="B16" s="394"/>
      <c r="C16" s="394"/>
      <c r="D16" s="394"/>
      <c r="E16" s="406"/>
      <c r="F16" s="406"/>
      <c r="G16" s="406"/>
      <c r="H16" s="396"/>
      <c r="I16" s="396"/>
      <c r="J16" s="396"/>
      <c r="K16" s="396"/>
      <c r="L16" s="396"/>
      <c r="M16" s="384"/>
      <c r="N16" s="384"/>
      <c r="O16" s="384"/>
      <c r="P16" s="384"/>
      <c r="Q16" s="362"/>
      <c r="R16" s="362"/>
    </row>
    <row r="17" spans="1:18" x14ac:dyDescent="0.3">
      <c r="A17" s="385">
        <v>8</v>
      </c>
      <c r="B17" s="394"/>
      <c r="C17" s="394"/>
      <c r="D17" s="394"/>
      <c r="E17" s="406"/>
      <c r="F17" s="406"/>
      <c r="G17" s="406"/>
      <c r="H17" s="396"/>
      <c r="I17" s="396"/>
      <c r="J17" s="396"/>
      <c r="K17" s="396"/>
      <c r="L17" s="396"/>
      <c r="M17" s="384"/>
      <c r="N17" s="384"/>
      <c r="O17" s="384"/>
      <c r="P17" s="384"/>
      <c r="Q17" s="362"/>
      <c r="R17" s="362"/>
    </row>
    <row r="18" spans="1:18" x14ac:dyDescent="0.3">
      <c r="A18" s="382">
        <v>9</v>
      </c>
      <c r="B18" s="394"/>
      <c r="C18" s="394"/>
      <c r="D18" s="394"/>
      <c r="E18" s="406"/>
      <c r="F18" s="406"/>
      <c r="G18" s="406"/>
      <c r="H18" s="396"/>
      <c r="I18" s="396"/>
      <c r="J18" s="396"/>
      <c r="K18" s="396"/>
      <c r="L18" s="396"/>
      <c r="M18" s="384"/>
      <c r="N18" s="384"/>
      <c r="O18" s="384"/>
      <c r="P18" s="384"/>
      <c r="Q18" s="362"/>
      <c r="R18" s="362"/>
    </row>
    <row r="19" spans="1:18" x14ac:dyDescent="0.3">
      <c r="A19" s="385">
        <v>10</v>
      </c>
      <c r="B19" s="394"/>
      <c r="C19" s="394"/>
      <c r="D19" s="394"/>
      <c r="E19" s="406"/>
      <c r="F19" s="406"/>
      <c r="G19" s="406"/>
      <c r="H19" s="396"/>
      <c r="I19" s="396"/>
      <c r="J19" s="396"/>
      <c r="K19" s="396"/>
      <c r="L19" s="396"/>
      <c r="M19" s="384"/>
      <c r="N19" s="384"/>
      <c r="O19" s="384"/>
      <c r="P19" s="384"/>
      <c r="Q19" s="362"/>
      <c r="R19" s="362"/>
    </row>
    <row r="20" spans="1:18" x14ac:dyDescent="0.3">
      <c r="A20" s="382">
        <v>11</v>
      </c>
      <c r="B20" s="394"/>
      <c r="C20" s="394"/>
      <c r="D20" s="394"/>
      <c r="E20" s="406"/>
      <c r="F20" s="406"/>
      <c r="G20" s="406"/>
      <c r="H20" s="396"/>
      <c r="I20" s="396"/>
      <c r="J20" s="396"/>
      <c r="K20" s="396"/>
      <c r="L20" s="396"/>
      <c r="M20" s="384"/>
      <c r="N20" s="384"/>
      <c r="O20" s="384"/>
      <c r="P20" s="384"/>
      <c r="Q20" s="362"/>
      <c r="R20" s="362"/>
    </row>
    <row r="21" spans="1:18" x14ac:dyDescent="0.3">
      <c r="A21" s="385">
        <v>12</v>
      </c>
      <c r="B21" s="394"/>
      <c r="C21" s="394"/>
      <c r="D21" s="394"/>
      <c r="E21" s="406"/>
      <c r="F21" s="406"/>
      <c r="G21" s="406"/>
      <c r="H21" s="396"/>
      <c r="I21" s="396"/>
      <c r="J21" s="396"/>
      <c r="K21" s="396"/>
      <c r="L21" s="396"/>
      <c r="M21" s="384"/>
      <c r="N21" s="384"/>
      <c r="O21" s="384"/>
      <c r="P21" s="384"/>
      <c r="Q21" s="362"/>
      <c r="R21" s="362"/>
    </row>
    <row r="22" spans="1:18" x14ac:dyDescent="0.3">
      <c r="A22" s="382">
        <v>13</v>
      </c>
      <c r="B22" s="394"/>
      <c r="C22" s="394"/>
      <c r="D22" s="394"/>
      <c r="E22" s="406"/>
      <c r="F22" s="406"/>
      <c r="G22" s="406"/>
      <c r="H22" s="396"/>
      <c r="I22" s="396"/>
      <c r="J22" s="396"/>
      <c r="K22" s="396"/>
      <c r="L22" s="396"/>
      <c r="M22" s="384"/>
      <c r="N22" s="384"/>
      <c r="O22" s="384"/>
      <c r="P22" s="384"/>
      <c r="Q22" s="362"/>
      <c r="R22" s="362"/>
    </row>
    <row r="23" spans="1:18" x14ac:dyDescent="0.3">
      <c r="A23" s="385">
        <v>14</v>
      </c>
      <c r="B23" s="394"/>
      <c r="C23" s="394"/>
      <c r="D23" s="394"/>
      <c r="E23" s="406"/>
      <c r="F23" s="406"/>
      <c r="G23" s="406"/>
      <c r="H23" s="396"/>
      <c r="I23" s="396"/>
      <c r="J23" s="396"/>
      <c r="K23" s="396"/>
      <c r="L23" s="396"/>
      <c r="M23" s="384"/>
      <c r="N23" s="384"/>
      <c r="O23" s="384"/>
      <c r="P23" s="384"/>
      <c r="Q23" s="362"/>
      <c r="R23" s="362"/>
    </row>
    <row r="24" spans="1:18" x14ac:dyDescent="0.3">
      <c r="A24" s="382">
        <v>15</v>
      </c>
      <c r="B24" s="394"/>
      <c r="C24" s="394"/>
      <c r="D24" s="394"/>
      <c r="E24" s="406"/>
      <c r="F24" s="406"/>
      <c r="G24" s="406"/>
      <c r="H24" s="396"/>
      <c r="I24" s="396"/>
      <c r="J24" s="396"/>
      <c r="K24" s="396"/>
      <c r="L24" s="396"/>
      <c r="M24" s="384"/>
      <c r="N24" s="384"/>
      <c r="O24" s="384"/>
      <c r="P24" s="384"/>
      <c r="Q24" s="362"/>
      <c r="R24" s="362"/>
    </row>
    <row r="25" spans="1:18" x14ac:dyDescent="0.3">
      <c r="A25" s="385">
        <v>16</v>
      </c>
      <c r="B25" s="394"/>
      <c r="C25" s="394"/>
      <c r="D25" s="394"/>
      <c r="E25" s="406"/>
      <c r="F25" s="406"/>
      <c r="G25" s="406"/>
      <c r="H25" s="396"/>
      <c r="I25" s="396"/>
      <c r="J25" s="396"/>
      <c r="K25" s="396"/>
      <c r="L25" s="396"/>
      <c r="M25" s="384"/>
      <c r="N25" s="384"/>
      <c r="O25" s="384"/>
      <c r="P25" s="384"/>
      <c r="Q25" s="362"/>
      <c r="R25" s="362"/>
    </row>
    <row r="26" spans="1:18" x14ac:dyDescent="0.3">
      <c r="A26" s="382">
        <v>17</v>
      </c>
      <c r="B26" s="394"/>
      <c r="C26" s="394"/>
      <c r="D26" s="394"/>
      <c r="E26" s="406"/>
      <c r="F26" s="406"/>
      <c r="G26" s="406"/>
      <c r="H26" s="396"/>
      <c r="I26" s="396"/>
      <c r="J26" s="396"/>
      <c r="K26" s="396"/>
      <c r="L26" s="396"/>
      <c r="M26" s="384"/>
      <c r="N26" s="384"/>
      <c r="O26" s="384"/>
      <c r="P26" s="384"/>
      <c r="Q26" s="362"/>
      <c r="R26" s="362"/>
    </row>
    <row r="27" spans="1:18" x14ac:dyDescent="0.3">
      <c r="A27" s="385">
        <v>18</v>
      </c>
      <c r="B27" s="394"/>
      <c r="C27" s="394"/>
      <c r="D27" s="394"/>
      <c r="E27" s="406"/>
      <c r="F27" s="406"/>
      <c r="G27" s="406"/>
      <c r="H27" s="396"/>
      <c r="I27" s="396"/>
      <c r="J27" s="396"/>
      <c r="K27" s="396"/>
      <c r="L27" s="396"/>
      <c r="M27" s="384"/>
      <c r="N27" s="384"/>
      <c r="O27" s="384"/>
      <c r="P27" s="384"/>
      <c r="Q27" s="362"/>
      <c r="R27" s="362"/>
    </row>
    <row r="28" spans="1:18" x14ac:dyDescent="0.3">
      <c r="A28" s="382">
        <v>19</v>
      </c>
      <c r="B28" s="394"/>
      <c r="C28" s="394"/>
      <c r="D28" s="394"/>
      <c r="E28" s="406"/>
      <c r="F28" s="406"/>
      <c r="G28" s="406"/>
      <c r="H28" s="396"/>
      <c r="I28" s="396"/>
      <c r="J28" s="396"/>
      <c r="K28" s="396"/>
      <c r="L28" s="396"/>
      <c r="M28" s="384"/>
      <c r="N28" s="384"/>
      <c r="O28" s="384"/>
      <c r="P28" s="384"/>
      <c r="Q28" s="362"/>
      <c r="R28" s="362"/>
    </row>
    <row r="29" spans="1:18" x14ac:dyDescent="0.3">
      <c r="A29" s="385">
        <v>20</v>
      </c>
      <c r="B29" s="394"/>
      <c r="C29" s="394"/>
      <c r="D29" s="394"/>
      <c r="E29" s="406"/>
      <c r="F29" s="406"/>
      <c r="G29" s="406"/>
      <c r="H29" s="396"/>
      <c r="I29" s="396"/>
      <c r="J29" s="396"/>
      <c r="K29" s="396"/>
      <c r="L29" s="396"/>
      <c r="M29" s="384"/>
      <c r="N29" s="384"/>
      <c r="O29" s="384"/>
      <c r="P29" s="384"/>
      <c r="Q29" s="362"/>
      <c r="R29" s="362"/>
    </row>
    <row r="30" spans="1:18" x14ac:dyDescent="0.3">
      <c r="A30" s="382">
        <v>21</v>
      </c>
      <c r="B30" s="394"/>
      <c r="C30" s="394"/>
      <c r="D30" s="394"/>
      <c r="E30" s="406"/>
      <c r="F30" s="406"/>
      <c r="G30" s="406"/>
      <c r="H30" s="396"/>
      <c r="I30" s="396"/>
      <c r="J30" s="396"/>
      <c r="K30" s="396"/>
      <c r="L30" s="396"/>
      <c r="M30" s="384"/>
      <c r="N30" s="384"/>
      <c r="O30" s="384"/>
      <c r="P30" s="384"/>
      <c r="Q30" s="362"/>
      <c r="R30" s="362"/>
    </row>
    <row r="31" spans="1:18" x14ac:dyDescent="0.3">
      <c r="A31" s="385">
        <v>22</v>
      </c>
      <c r="B31" s="394"/>
      <c r="C31" s="394"/>
      <c r="D31" s="394"/>
      <c r="E31" s="406"/>
      <c r="F31" s="406"/>
      <c r="G31" s="406"/>
      <c r="H31" s="396"/>
      <c r="I31" s="396"/>
      <c r="J31" s="396"/>
      <c r="K31" s="396"/>
      <c r="L31" s="396"/>
      <c r="M31" s="384"/>
      <c r="N31" s="384"/>
      <c r="O31" s="384"/>
      <c r="P31" s="384"/>
      <c r="Q31" s="362"/>
      <c r="R31" s="362"/>
    </row>
    <row r="32" spans="1:18" x14ac:dyDescent="0.3">
      <c r="A32" s="382">
        <v>23</v>
      </c>
      <c r="B32" s="394"/>
      <c r="C32" s="394"/>
      <c r="D32" s="394"/>
      <c r="E32" s="406"/>
      <c r="F32" s="406"/>
      <c r="G32" s="406"/>
      <c r="H32" s="396"/>
      <c r="I32" s="396"/>
      <c r="J32" s="396"/>
      <c r="K32" s="396"/>
      <c r="L32" s="396"/>
      <c r="M32" s="384"/>
      <c r="N32" s="384"/>
      <c r="O32" s="384"/>
      <c r="P32" s="384"/>
      <c r="Q32" s="362"/>
      <c r="R32" s="362"/>
    </row>
    <row r="33" spans="1:18" x14ac:dyDescent="0.3">
      <c r="A33" s="385">
        <v>24</v>
      </c>
      <c r="B33" s="394"/>
      <c r="C33" s="394"/>
      <c r="D33" s="394"/>
      <c r="E33" s="406"/>
      <c r="F33" s="406"/>
      <c r="G33" s="406"/>
      <c r="H33" s="396"/>
      <c r="I33" s="396"/>
      <c r="J33" s="396"/>
      <c r="K33" s="396"/>
      <c r="L33" s="396"/>
      <c r="M33" s="384"/>
      <c r="N33" s="384"/>
      <c r="O33" s="384"/>
      <c r="P33" s="384"/>
      <c r="Q33" s="362"/>
      <c r="R33" s="362"/>
    </row>
    <row r="34" spans="1:18" x14ac:dyDescent="0.3">
      <c r="A34" s="382">
        <v>25</v>
      </c>
      <c r="B34" s="394"/>
      <c r="C34" s="394"/>
      <c r="D34" s="394"/>
      <c r="E34" s="406"/>
      <c r="F34" s="406"/>
      <c r="G34" s="406"/>
      <c r="H34" s="396"/>
      <c r="I34" s="396"/>
      <c r="J34" s="396"/>
      <c r="K34" s="396"/>
      <c r="L34" s="396"/>
      <c r="M34" s="384"/>
      <c r="N34" s="384"/>
      <c r="O34" s="384"/>
      <c r="P34" s="384"/>
      <c r="Q34" s="362"/>
      <c r="R34" s="362"/>
    </row>
    <row r="35" spans="1:18" x14ac:dyDescent="0.3">
      <c r="A35" s="385">
        <v>26</v>
      </c>
      <c r="B35" s="394"/>
      <c r="C35" s="394"/>
      <c r="D35" s="394"/>
      <c r="E35" s="406"/>
      <c r="F35" s="406"/>
      <c r="G35" s="406"/>
      <c r="H35" s="396"/>
      <c r="I35" s="396"/>
      <c r="J35" s="396"/>
      <c r="K35" s="396"/>
      <c r="L35" s="396"/>
      <c r="M35" s="384"/>
      <c r="N35" s="384"/>
      <c r="O35" s="384"/>
      <c r="P35" s="384"/>
      <c r="Q35" s="362"/>
      <c r="R35" s="362"/>
    </row>
    <row r="36" spans="1:18" x14ac:dyDescent="0.3">
      <c r="A36" s="382">
        <v>27</v>
      </c>
      <c r="B36" s="394"/>
      <c r="C36" s="394"/>
      <c r="D36" s="394"/>
      <c r="E36" s="406"/>
      <c r="F36" s="406"/>
      <c r="G36" s="406"/>
      <c r="H36" s="396"/>
      <c r="I36" s="396"/>
      <c r="J36" s="396"/>
      <c r="K36" s="396"/>
      <c r="L36" s="396"/>
      <c r="M36" s="384"/>
      <c r="N36" s="384"/>
      <c r="O36" s="384"/>
      <c r="P36" s="384"/>
      <c r="Q36" s="362"/>
      <c r="R36" s="362"/>
    </row>
    <row r="37" spans="1:18" x14ac:dyDescent="0.3">
      <c r="A37" s="385">
        <v>28</v>
      </c>
      <c r="B37" s="394"/>
      <c r="C37" s="394"/>
      <c r="D37" s="394"/>
      <c r="E37" s="406"/>
      <c r="F37" s="406"/>
      <c r="G37" s="406"/>
      <c r="H37" s="396"/>
      <c r="I37" s="396"/>
      <c r="J37" s="396"/>
      <c r="K37" s="396"/>
      <c r="L37" s="396"/>
      <c r="M37" s="384"/>
      <c r="N37" s="384"/>
      <c r="O37" s="384"/>
      <c r="P37" s="384"/>
      <c r="Q37" s="362"/>
      <c r="R37" s="362"/>
    </row>
    <row r="38" spans="1:18" x14ac:dyDescent="0.3">
      <c r="A38" s="382">
        <v>29</v>
      </c>
      <c r="B38" s="394"/>
      <c r="C38" s="394"/>
      <c r="D38" s="394"/>
      <c r="E38" s="406"/>
      <c r="F38" s="406"/>
      <c r="G38" s="406"/>
      <c r="H38" s="396"/>
      <c r="I38" s="396"/>
      <c r="J38" s="396"/>
      <c r="K38" s="396"/>
      <c r="L38" s="396"/>
      <c r="M38" s="384"/>
      <c r="N38" s="384"/>
      <c r="O38" s="384"/>
      <c r="P38" s="384"/>
      <c r="Q38" s="362"/>
      <c r="R38" s="362"/>
    </row>
    <row r="39" spans="1:18" x14ac:dyDescent="0.3">
      <c r="A39" s="385">
        <v>30</v>
      </c>
      <c r="B39" s="394"/>
      <c r="C39" s="394"/>
      <c r="D39" s="394"/>
      <c r="E39" s="406"/>
      <c r="F39" s="406"/>
      <c r="G39" s="406"/>
      <c r="H39" s="396"/>
      <c r="I39" s="396"/>
      <c r="J39" s="396"/>
      <c r="K39" s="396"/>
      <c r="L39" s="396"/>
      <c r="M39" s="384"/>
      <c r="N39" s="384"/>
      <c r="O39" s="384"/>
      <c r="P39" s="384"/>
      <c r="Q39" s="362"/>
      <c r="R39" s="362"/>
    </row>
    <row r="40" spans="1:18" x14ac:dyDescent="0.3">
      <c r="A40" s="382">
        <v>31</v>
      </c>
      <c r="B40" s="394"/>
      <c r="C40" s="394"/>
      <c r="D40" s="394"/>
      <c r="E40" s="406"/>
      <c r="F40" s="406"/>
      <c r="G40" s="406"/>
      <c r="H40" s="396"/>
      <c r="I40" s="396"/>
      <c r="J40" s="396"/>
      <c r="K40" s="396"/>
      <c r="L40" s="396"/>
      <c r="M40" s="384"/>
      <c r="N40" s="384"/>
      <c r="O40" s="384"/>
      <c r="P40" s="384"/>
      <c r="Q40" s="362"/>
      <c r="R40" s="362"/>
    </row>
    <row r="41" spans="1:18" x14ac:dyDescent="0.3">
      <c r="A41" s="361"/>
      <c r="B41" s="362"/>
      <c r="C41" s="362"/>
      <c r="D41" s="362"/>
      <c r="E41" s="388"/>
      <c r="F41" s="362"/>
      <c r="G41" s="362"/>
      <c r="H41" s="388"/>
      <c r="I41" s="388"/>
      <c r="J41" s="362"/>
      <c r="K41" s="388"/>
      <c r="L41" s="388"/>
      <c r="M41" s="388"/>
      <c r="N41" s="388"/>
      <c r="O41" s="362"/>
      <c r="P41" s="362"/>
      <c r="Q41" s="362"/>
      <c r="R41" s="362"/>
    </row>
    <row r="42" spans="1:18" x14ac:dyDescent="0.3">
      <c r="A42" s="361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</row>
    <row r="43" spans="1:18" x14ac:dyDescent="0.3">
      <c r="A43" s="361"/>
      <c r="B43" s="362"/>
      <c r="C43" s="362"/>
      <c r="D43" s="362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</row>
    <row r="44" spans="1:18" x14ac:dyDescent="0.3">
      <c r="A44" s="361"/>
      <c r="B44" s="362"/>
      <c r="C44" s="362"/>
      <c r="D44" s="362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</row>
    <row r="45" spans="1:18" x14ac:dyDescent="0.3">
      <c r="A45" s="361"/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</row>
    <row r="46" spans="1:18" x14ac:dyDescent="0.3">
      <c r="A46" s="361"/>
      <c r="B46" s="362"/>
      <c r="C46" s="362"/>
      <c r="D46" s="362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</row>
    <row r="47" spans="1:18" x14ac:dyDescent="0.3">
      <c r="A47" s="361"/>
      <c r="B47" s="362"/>
      <c r="C47" s="362"/>
      <c r="D47" s="362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</row>
    <row r="48" spans="1:18" x14ac:dyDescent="0.3">
      <c r="A48" s="361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</row>
    <row r="49" spans="1:18" x14ac:dyDescent="0.3">
      <c r="A49" s="361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</row>
    <row r="50" spans="1:18" x14ac:dyDescent="0.3">
      <c r="A50" s="361"/>
      <c r="B50" s="362"/>
      <c r="C50" s="362"/>
      <c r="D50" s="362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</row>
    <row r="51" spans="1:18" x14ac:dyDescent="0.3">
      <c r="A51" s="361"/>
      <c r="B51" s="362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</row>
    <row r="52" spans="1:18" x14ac:dyDescent="0.3">
      <c r="A52" s="361"/>
      <c r="B52" s="362"/>
      <c r="C52" s="362"/>
      <c r="D52" s="362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</row>
    <row r="53" spans="1:18" x14ac:dyDescent="0.3">
      <c r="A53" s="361"/>
      <c r="B53" s="362"/>
      <c r="C53" s="362"/>
      <c r="D53" s="362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</row>
    <row r="54" spans="1:18" x14ac:dyDescent="0.3">
      <c r="A54" s="361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</row>
    <row r="55" spans="1:18" x14ac:dyDescent="0.3">
      <c r="A55" s="361"/>
      <c r="B55" s="362"/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</row>
    <row r="56" spans="1:18" x14ac:dyDescent="0.3">
      <c r="A56" s="361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</row>
    <row r="57" spans="1:18" x14ac:dyDescent="0.3">
      <c r="A57" s="361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</row>
    <row r="58" spans="1:18" x14ac:dyDescent="0.3">
      <c r="A58" s="361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</row>
    <row r="59" spans="1:18" x14ac:dyDescent="0.3">
      <c r="A59" s="361"/>
      <c r="B59" s="362"/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</row>
    <row r="60" spans="1:18" x14ac:dyDescent="0.3">
      <c r="A60" s="361"/>
      <c r="B60" s="362"/>
      <c r="C60" s="362"/>
      <c r="D60" s="362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</row>
    <row r="61" spans="1:18" x14ac:dyDescent="0.3">
      <c r="A61" s="361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</row>
    <row r="62" spans="1:18" x14ac:dyDescent="0.3">
      <c r="A62" s="361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</row>
    <row r="63" spans="1:18" x14ac:dyDescent="0.3">
      <c r="A63" s="361"/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</row>
    <row r="64" spans="1:18" x14ac:dyDescent="0.3">
      <c r="A64" s="361"/>
      <c r="B64" s="362"/>
      <c r="C64" s="362"/>
      <c r="D64" s="362"/>
      <c r="E64" s="362"/>
      <c r="F64" s="362"/>
      <c r="G64" s="362"/>
      <c r="H64" s="362"/>
      <c r="I64" s="362"/>
      <c r="J64" s="362"/>
      <c r="K64" s="362"/>
      <c r="L64" s="362"/>
      <c r="M64" s="362"/>
    </row>
    <row r="65" spans="1:13" x14ac:dyDescent="0.3">
      <c r="A65" s="361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</row>
    <row r="66" spans="1:13" x14ac:dyDescent="0.3">
      <c r="A66" s="361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</row>
    <row r="67" spans="1:13" x14ac:dyDescent="0.3">
      <c r="A67" s="361"/>
      <c r="B67" s="362"/>
      <c r="C67" s="362"/>
      <c r="D67" s="362"/>
      <c r="E67" s="362"/>
      <c r="F67" s="362"/>
      <c r="G67" s="362"/>
      <c r="H67" s="362"/>
      <c r="I67" s="362"/>
      <c r="J67" s="362"/>
      <c r="K67" s="362"/>
      <c r="L67" s="362"/>
      <c r="M67" s="362"/>
    </row>
    <row r="68" spans="1:13" x14ac:dyDescent="0.3">
      <c r="A68" s="361"/>
      <c r="B68" s="362"/>
      <c r="C68" s="362"/>
      <c r="D68" s="362"/>
      <c r="E68" s="362"/>
      <c r="F68" s="362"/>
      <c r="G68" s="362"/>
      <c r="H68" s="362"/>
      <c r="I68" s="362"/>
      <c r="J68" s="362"/>
      <c r="K68" s="362"/>
      <c r="L68" s="362"/>
      <c r="M68" s="362"/>
    </row>
    <row r="69" spans="1:13" x14ac:dyDescent="0.3">
      <c r="A69" s="361"/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</row>
    <row r="70" spans="1:13" x14ac:dyDescent="0.3">
      <c r="A70" s="361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</row>
    <row r="71" spans="1:13" x14ac:dyDescent="0.3">
      <c r="A71" s="361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</row>
    <row r="72" spans="1:13" x14ac:dyDescent="0.3">
      <c r="A72" s="361"/>
      <c r="B72" s="362"/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</row>
    <row r="73" spans="1:13" x14ac:dyDescent="0.3">
      <c r="A73" s="361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</row>
    <row r="74" spans="1:13" x14ac:dyDescent="0.3">
      <c r="A74" s="361"/>
      <c r="B74" s="362"/>
      <c r="C74" s="362"/>
      <c r="D74" s="362"/>
      <c r="E74" s="362"/>
      <c r="F74" s="362"/>
      <c r="G74" s="362"/>
      <c r="H74" s="362"/>
      <c r="I74" s="362"/>
      <c r="J74" s="362"/>
      <c r="K74" s="362"/>
      <c r="L74" s="362"/>
      <c r="M74" s="362"/>
    </row>
    <row r="75" spans="1:13" x14ac:dyDescent="0.3">
      <c r="A75" s="361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</row>
    <row r="76" spans="1:13" x14ac:dyDescent="0.3">
      <c r="A76" s="361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</row>
    <row r="77" spans="1:13" x14ac:dyDescent="0.3">
      <c r="A77" s="361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</row>
    <row r="78" spans="1:13" x14ac:dyDescent="0.3">
      <c r="A78" s="361"/>
      <c r="B78" s="362"/>
      <c r="C78" s="362"/>
      <c r="D78" s="362"/>
      <c r="E78" s="362"/>
      <c r="F78" s="362"/>
      <c r="G78" s="362"/>
      <c r="H78" s="362"/>
      <c r="I78" s="362"/>
      <c r="J78" s="362"/>
      <c r="K78" s="362"/>
      <c r="L78" s="362"/>
      <c r="M78" s="362"/>
    </row>
    <row r="79" spans="1:13" x14ac:dyDescent="0.3">
      <c r="A79" s="361"/>
      <c r="B79" s="362"/>
      <c r="C79" s="362"/>
      <c r="D79" s="362"/>
      <c r="E79" s="362"/>
      <c r="F79" s="362"/>
      <c r="G79" s="362"/>
      <c r="H79" s="362"/>
      <c r="I79" s="362"/>
      <c r="J79" s="362"/>
      <c r="K79" s="362"/>
      <c r="L79" s="362"/>
      <c r="M79" s="362"/>
    </row>
    <row r="80" spans="1:13" x14ac:dyDescent="0.3">
      <c r="A80" s="361"/>
      <c r="B80" s="362"/>
      <c r="C80" s="362"/>
      <c r="D80" s="362"/>
      <c r="E80" s="362"/>
      <c r="F80" s="362"/>
      <c r="G80" s="362"/>
      <c r="H80" s="362"/>
      <c r="I80" s="362"/>
      <c r="J80" s="362"/>
      <c r="K80" s="362"/>
      <c r="L80" s="362"/>
      <c r="M80" s="362"/>
    </row>
    <row r="81" spans="1:13" x14ac:dyDescent="0.3">
      <c r="A81" s="361"/>
      <c r="B81" s="362"/>
      <c r="C81" s="362"/>
      <c r="D81" s="362"/>
      <c r="E81" s="362"/>
      <c r="F81" s="362"/>
      <c r="G81" s="362"/>
      <c r="H81" s="362"/>
      <c r="I81" s="362"/>
      <c r="J81" s="362"/>
      <c r="K81" s="362"/>
      <c r="L81" s="362"/>
      <c r="M81" s="362"/>
    </row>
    <row r="82" spans="1:13" x14ac:dyDescent="0.3">
      <c r="A82" s="361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</row>
    <row r="83" spans="1:13" x14ac:dyDescent="0.3">
      <c r="A83" s="361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</row>
    <row r="84" spans="1:13" x14ac:dyDescent="0.3">
      <c r="A84" s="361"/>
      <c r="B84" s="362"/>
      <c r="C84" s="362"/>
      <c r="D84" s="362"/>
      <c r="E84" s="362"/>
      <c r="F84" s="362"/>
      <c r="G84" s="362"/>
      <c r="H84" s="362"/>
      <c r="I84" s="362"/>
      <c r="J84" s="362"/>
      <c r="K84" s="362"/>
      <c r="L84" s="362"/>
      <c r="M84" s="362"/>
    </row>
    <row r="85" spans="1:13" x14ac:dyDescent="0.3">
      <c r="A85" s="361"/>
      <c r="B85" s="362"/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</row>
    <row r="86" spans="1:13" x14ac:dyDescent="0.3">
      <c r="A86" s="361"/>
      <c r="B86" s="362"/>
      <c r="C86" s="362"/>
      <c r="D86" s="362"/>
      <c r="E86" s="362"/>
      <c r="F86" s="362"/>
      <c r="G86" s="362"/>
      <c r="H86" s="362"/>
      <c r="I86" s="362"/>
      <c r="J86" s="362"/>
      <c r="K86" s="362"/>
      <c r="L86" s="362"/>
      <c r="M86" s="362"/>
    </row>
    <row r="87" spans="1:13" x14ac:dyDescent="0.3">
      <c r="A87" s="361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</row>
    <row r="88" spans="1:13" x14ac:dyDescent="0.3">
      <c r="A88" s="361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</row>
    <row r="89" spans="1:13" x14ac:dyDescent="0.3">
      <c r="A89" s="361"/>
      <c r="B89" s="362"/>
      <c r="C89" s="362"/>
      <c r="D89" s="362"/>
      <c r="E89" s="362"/>
      <c r="F89" s="362"/>
      <c r="G89" s="362"/>
      <c r="H89" s="362"/>
      <c r="I89" s="362"/>
      <c r="J89" s="362"/>
      <c r="K89" s="362"/>
      <c r="L89" s="362"/>
      <c r="M89" s="362"/>
    </row>
    <row r="90" spans="1:13" x14ac:dyDescent="0.3">
      <c r="A90" s="361"/>
      <c r="B90" s="362"/>
      <c r="C90" s="362"/>
      <c r="D90" s="362"/>
      <c r="E90" s="362"/>
      <c r="F90" s="362"/>
      <c r="G90" s="362"/>
      <c r="H90" s="362"/>
      <c r="I90" s="362"/>
      <c r="J90" s="362"/>
      <c r="K90" s="362"/>
      <c r="L90" s="362"/>
      <c r="M90" s="362"/>
    </row>
    <row r="91" spans="1:13" x14ac:dyDescent="0.3">
      <c r="A91" s="361"/>
      <c r="B91" s="362"/>
      <c r="C91" s="362"/>
      <c r="D91" s="362"/>
      <c r="E91" s="362"/>
      <c r="F91" s="362"/>
      <c r="G91" s="362"/>
      <c r="H91" s="362"/>
      <c r="I91" s="362"/>
      <c r="J91" s="362"/>
      <c r="K91" s="362"/>
      <c r="L91" s="362"/>
      <c r="M91" s="362"/>
    </row>
    <row r="92" spans="1:13" x14ac:dyDescent="0.3">
      <c r="A92" s="361"/>
      <c r="B92" s="362"/>
      <c r="C92" s="362"/>
      <c r="D92" s="362"/>
      <c r="E92" s="362"/>
      <c r="F92" s="362"/>
      <c r="G92" s="362"/>
      <c r="H92" s="362"/>
      <c r="I92" s="362"/>
      <c r="J92" s="362"/>
      <c r="K92" s="362"/>
      <c r="L92" s="362"/>
      <c r="M92" s="362"/>
    </row>
    <row r="93" spans="1:13" x14ac:dyDescent="0.3">
      <c r="A93" s="361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</row>
    <row r="94" spans="1:13" x14ac:dyDescent="0.3">
      <c r="A94" s="361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</row>
    <row r="95" spans="1:13" x14ac:dyDescent="0.3">
      <c r="A95" s="361"/>
      <c r="B95" s="362"/>
      <c r="C95" s="362"/>
      <c r="D95" s="362"/>
      <c r="E95" s="362"/>
      <c r="F95" s="362"/>
      <c r="G95" s="362"/>
      <c r="H95" s="362"/>
      <c r="I95" s="362"/>
      <c r="J95" s="362"/>
      <c r="K95" s="362"/>
      <c r="L95" s="362"/>
      <c r="M95" s="362"/>
    </row>
    <row r="96" spans="1:13" x14ac:dyDescent="0.3">
      <c r="A96" s="361"/>
      <c r="B96" s="362"/>
      <c r="C96" s="362"/>
      <c r="D96" s="362"/>
      <c r="E96" s="362"/>
      <c r="F96" s="362"/>
      <c r="G96" s="362"/>
      <c r="H96" s="362"/>
      <c r="I96" s="362"/>
      <c r="J96" s="362"/>
      <c r="K96" s="362"/>
      <c r="L96" s="362"/>
      <c r="M96" s="362"/>
    </row>
    <row r="97" spans="1:13" x14ac:dyDescent="0.3">
      <c r="A97" s="361"/>
      <c r="B97" s="362"/>
      <c r="C97" s="362"/>
      <c r="D97" s="362"/>
      <c r="E97" s="362"/>
      <c r="F97" s="362"/>
      <c r="G97" s="362"/>
      <c r="H97" s="362"/>
      <c r="I97" s="362"/>
      <c r="J97" s="362"/>
      <c r="K97" s="362"/>
      <c r="L97" s="362"/>
      <c r="M97" s="362"/>
    </row>
    <row r="98" spans="1:13" x14ac:dyDescent="0.3">
      <c r="A98" s="361"/>
      <c r="B98" s="362"/>
      <c r="C98" s="362"/>
      <c r="D98" s="362"/>
      <c r="E98" s="362"/>
      <c r="F98" s="362"/>
      <c r="G98" s="362"/>
      <c r="H98" s="362"/>
      <c r="I98" s="362"/>
      <c r="J98" s="362"/>
      <c r="K98" s="362"/>
      <c r="L98" s="362"/>
      <c r="M98" s="362"/>
    </row>
    <row r="99" spans="1:13" x14ac:dyDescent="0.3">
      <c r="A99" s="361"/>
      <c r="B99" s="362"/>
      <c r="C99" s="362"/>
      <c r="D99" s="362"/>
      <c r="E99" s="362"/>
      <c r="F99" s="362"/>
      <c r="G99" s="362"/>
      <c r="H99" s="362"/>
      <c r="I99" s="362"/>
      <c r="J99" s="362"/>
      <c r="K99" s="362"/>
      <c r="L99" s="362"/>
      <c r="M99" s="362"/>
    </row>
    <row r="100" spans="1:13" x14ac:dyDescent="0.3">
      <c r="A100" s="361"/>
      <c r="B100" s="362"/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2"/>
    </row>
    <row r="101" spans="1:13" x14ac:dyDescent="0.3">
      <c r="A101" s="361"/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</row>
    <row r="102" spans="1:13" x14ac:dyDescent="0.3">
      <c r="A102" s="361"/>
      <c r="B102" s="362"/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2"/>
    </row>
    <row r="103" spans="1:13" x14ac:dyDescent="0.3">
      <c r="A103" s="361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</row>
    <row r="104" spans="1:13" x14ac:dyDescent="0.3">
      <c r="A104" s="361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</row>
    <row r="105" spans="1:13" x14ac:dyDescent="0.3">
      <c r="A105" s="361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</row>
    <row r="106" spans="1:13" x14ac:dyDescent="0.3">
      <c r="A106" s="361"/>
      <c r="B106" s="362"/>
      <c r="C106" s="362"/>
      <c r="D106" s="362"/>
      <c r="E106" s="362"/>
      <c r="F106" s="362"/>
      <c r="G106" s="362"/>
      <c r="H106" s="362"/>
      <c r="I106" s="362"/>
      <c r="J106" s="362"/>
      <c r="K106" s="362"/>
      <c r="L106" s="362"/>
      <c r="M106" s="362"/>
    </row>
    <row r="107" spans="1:13" x14ac:dyDescent="0.3">
      <c r="A107" s="361"/>
      <c r="B107" s="362"/>
      <c r="C107" s="362"/>
      <c r="D107" s="362"/>
      <c r="E107" s="362"/>
      <c r="F107" s="362"/>
      <c r="G107" s="362"/>
      <c r="H107" s="362"/>
      <c r="I107" s="362"/>
      <c r="J107" s="362"/>
      <c r="K107" s="362"/>
      <c r="L107" s="362"/>
      <c r="M107" s="362"/>
    </row>
    <row r="108" spans="1:13" x14ac:dyDescent="0.3">
      <c r="A108" s="361"/>
      <c r="B108" s="362"/>
      <c r="C108" s="362"/>
      <c r="D108" s="362"/>
      <c r="E108" s="362"/>
      <c r="F108" s="362"/>
      <c r="G108" s="362"/>
      <c r="H108" s="362"/>
      <c r="I108" s="362"/>
      <c r="J108" s="362"/>
      <c r="K108" s="362"/>
      <c r="L108" s="362"/>
      <c r="M108" s="362"/>
    </row>
    <row r="109" spans="1:13" x14ac:dyDescent="0.3">
      <c r="A109" s="361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</row>
    <row r="110" spans="1:13" x14ac:dyDescent="0.3">
      <c r="A110" s="361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</row>
    <row r="111" spans="1:13" x14ac:dyDescent="0.3">
      <c r="A111" s="361"/>
      <c r="B111" s="362"/>
      <c r="C111" s="362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</row>
    <row r="112" spans="1:13" x14ac:dyDescent="0.3">
      <c r="A112" s="361"/>
      <c r="B112" s="362"/>
      <c r="C112" s="362"/>
      <c r="D112" s="362"/>
      <c r="E112" s="362"/>
      <c r="F112" s="362"/>
      <c r="G112" s="362"/>
      <c r="H112" s="362"/>
      <c r="I112" s="362"/>
      <c r="J112" s="362"/>
      <c r="K112" s="362"/>
      <c r="L112" s="362"/>
      <c r="M112" s="362"/>
    </row>
    <row r="113" spans="1:13" x14ac:dyDescent="0.3">
      <c r="A113" s="361"/>
      <c r="B113" s="362"/>
      <c r="C113" s="362"/>
      <c r="D113" s="362"/>
      <c r="E113" s="362"/>
      <c r="F113" s="362"/>
      <c r="G113" s="362"/>
      <c r="H113" s="362"/>
      <c r="I113" s="362"/>
      <c r="J113" s="362"/>
      <c r="K113" s="362"/>
      <c r="L113" s="362"/>
      <c r="M113" s="362"/>
    </row>
    <row r="114" spans="1:13" x14ac:dyDescent="0.3">
      <c r="A114" s="361"/>
      <c r="B114" s="362"/>
      <c r="C114" s="362"/>
      <c r="D114" s="362"/>
      <c r="E114" s="362"/>
      <c r="F114" s="362"/>
      <c r="G114" s="362"/>
      <c r="H114" s="362"/>
      <c r="I114" s="362"/>
      <c r="J114" s="362"/>
      <c r="K114" s="362"/>
      <c r="L114" s="362"/>
      <c r="M114" s="362"/>
    </row>
    <row r="115" spans="1:13" x14ac:dyDescent="0.3">
      <c r="A115" s="361"/>
      <c r="B115" s="362"/>
      <c r="C115" s="362"/>
      <c r="D115" s="362"/>
      <c r="E115" s="362"/>
      <c r="F115" s="362"/>
      <c r="G115" s="362"/>
      <c r="H115" s="362"/>
      <c r="I115" s="362"/>
      <c r="J115" s="362"/>
      <c r="K115" s="362"/>
      <c r="L115" s="362"/>
      <c r="M115" s="362"/>
    </row>
    <row r="116" spans="1:13" x14ac:dyDescent="0.3">
      <c r="A116" s="361"/>
      <c r="B116" s="362"/>
      <c r="C116" s="362"/>
      <c r="D116" s="362"/>
      <c r="E116" s="362"/>
      <c r="F116" s="362"/>
      <c r="G116" s="362"/>
      <c r="H116" s="362"/>
      <c r="I116" s="362"/>
      <c r="J116" s="362"/>
      <c r="K116" s="362"/>
      <c r="L116" s="362"/>
      <c r="M116" s="362"/>
    </row>
    <row r="117" spans="1:13" x14ac:dyDescent="0.3">
      <c r="A117" s="361"/>
      <c r="B117" s="362"/>
      <c r="C117" s="362"/>
      <c r="D117" s="362"/>
      <c r="E117" s="362"/>
      <c r="F117" s="362"/>
      <c r="G117" s="362"/>
      <c r="H117" s="362"/>
      <c r="I117" s="362"/>
      <c r="J117" s="362"/>
      <c r="K117" s="362"/>
      <c r="L117" s="362"/>
      <c r="M117" s="362"/>
    </row>
    <row r="118" spans="1:13" x14ac:dyDescent="0.3">
      <c r="A118" s="361"/>
      <c r="B118" s="362"/>
      <c r="C118" s="362"/>
      <c r="D118" s="362"/>
      <c r="E118" s="362"/>
      <c r="F118" s="362"/>
      <c r="G118" s="362"/>
      <c r="H118" s="362"/>
      <c r="I118" s="362"/>
      <c r="J118" s="362"/>
      <c r="K118" s="362"/>
      <c r="L118" s="362"/>
      <c r="M118" s="362"/>
    </row>
    <row r="119" spans="1:13" x14ac:dyDescent="0.3">
      <c r="A119" s="361"/>
      <c r="B119" s="362"/>
      <c r="C119" s="362"/>
      <c r="D119" s="362"/>
      <c r="E119" s="362"/>
      <c r="F119" s="362"/>
      <c r="G119" s="362"/>
      <c r="H119" s="362"/>
      <c r="I119" s="362"/>
      <c r="J119" s="362"/>
      <c r="K119" s="362"/>
      <c r="L119" s="362"/>
      <c r="M119" s="362"/>
    </row>
    <row r="120" spans="1:13" x14ac:dyDescent="0.3">
      <c r="A120" s="361"/>
      <c r="B120" s="362"/>
      <c r="C120" s="362"/>
      <c r="D120" s="362"/>
      <c r="E120" s="362"/>
      <c r="F120" s="362"/>
      <c r="G120" s="362"/>
      <c r="H120" s="362"/>
      <c r="I120" s="362"/>
      <c r="J120" s="362"/>
      <c r="K120" s="362"/>
      <c r="L120" s="362"/>
      <c r="M120" s="362"/>
    </row>
    <row r="121" spans="1:13" x14ac:dyDescent="0.3">
      <c r="A121" s="361"/>
      <c r="B121" s="362"/>
      <c r="C121" s="362"/>
      <c r="D121" s="362"/>
      <c r="E121" s="362"/>
      <c r="F121" s="362"/>
      <c r="G121" s="362"/>
      <c r="H121" s="362"/>
      <c r="I121" s="362"/>
      <c r="J121" s="362"/>
      <c r="K121" s="362"/>
      <c r="L121" s="362"/>
      <c r="M121" s="362"/>
    </row>
    <row r="122" spans="1:13" x14ac:dyDescent="0.3">
      <c r="A122" s="361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</row>
    <row r="123" spans="1:13" x14ac:dyDescent="0.3">
      <c r="A123" s="361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</row>
  </sheetData>
  <mergeCells count="7">
    <mergeCell ref="O8:P8"/>
    <mergeCell ref="M6:N6"/>
    <mergeCell ref="B8:D8"/>
    <mergeCell ref="E8:G8"/>
    <mergeCell ref="H8:I8"/>
    <mergeCell ref="J8:L8"/>
    <mergeCell ref="M8:N8"/>
  </mergeCells>
  <pageMargins left="0.4" right="0.36" top="0.45" bottom="0.55000000000000004" header="0.3" footer="0.3"/>
  <pageSetup scale="6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124"/>
  <sheetViews>
    <sheetView showGridLines="0" zoomScaleNormal="100" workbookViewId="0">
      <pane xSplit="1" ySplit="10" topLeftCell="B11" activePane="bottomRight" state="frozen"/>
      <selection activeCell="X41" sqref="X41"/>
      <selection pane="topRight" activeCell="X41" sqref="X41"/>
      <selection pane="bottomLeft" activeCell="X41" sqref="X41"/>
      <selection pane="bottomRight" activeCell="X6" sqref="X6"/>
    </sheetView>
  </sheetViews>
  <sheetFormatPr defaultColWidth="9.109375" defaultRowHeight="14.4" x14ac:dyDescent="0.3"/>
  <cols>
    <col min="1" max="1" width="4.6640625" style="389" customWidth="1"/>
    <col min="2" max="4" width="5.6640625" style="364" customWidth="1"/>
    <col min="5" max="5" width="9.88671875" style="364" customWidth="1"/>
    <col min="6" max="6" width="7" style="366" customWidth="1"/>
    <col min="7" max="7" width="9" style="364" customWidth="1"/>
    <col min="8" max="8" width="8.109375" style="364" customWidth="1"/>
    <col min="9" max="10" width="5.88671875" style="364" customWidth="1"/>
    <col min="11" max="11" width="6.33203125" style="364" customWidth="1"/>
    <col min="12" max="12" width="1.6640625" style="364" customWidth="1"/>
    <col min="13" max="15" width="5.6640625" style="364" customWidth="1"/>
    <col min="16" max="16" width="9.5546875" style="364" customWidth="1"/>
    <col min="17" max="17" width="6.6640625" style="364" customWidth="1"/>
    <col min="18" max="18" width="9.109375" style="364" customWidth="1"/>
    <col min="19" max="19" width="7.44140625" style="364" customWidth="1"/>
    <col min="20" max="20" width="5.88671875" style="364" customWidth="1"/>
    <col min="21" max="21" width="6.44140625" style="364" customWidth="1"/>
    <col min="22" max="22" width="6.88671875" style="364" customWidth="1"/>
    <col min="23" max="23" width="5.88671875" style="364" customWidth="1"/>
    <col min="24" max="24" width="6.5546875" style="364" customWidth="1"/>
    <col min="25" max="25" width="21.5546875" style="364" customWidth="1"/>
    <col min="26" max="16384" width="9.109375" style="364"/>
  </cols>
  <sheetData>
    <row r="1" spans="1:28" x14ac:dyDescent="0.3">
      <c r="A1" s="361"/>
      <c r="B1" s="362"/>
      <c r="C1" s="362"/>
      <c r="D1" s="362"/>
      <c r="E1" s="362"/>
      <c r="F1" s="363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</row>
    <row r="2" spans="1:28" x14ac:dyDescent="0.3">
      <c r="A2" s="361"/>
      <c r="B2" s="362"/>
      <c r="C2" s="362"/>
      <c r="D2" s="362"/>
      <c r="E2" s="362"/>
      <c r="F2" s="363"/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  <c r="Z2" s="362"/>
      <c r="AA2" s="362"/>
      <c r="AB2" s="362"/>
    </row>
    <row r="3" spans="1:28" x14ac:dyDescent="0.3">
      <c r="A3" s="361"/>
      <c r="B3" s="362"/>
      <c r="C3" s="362"/>
      <c r="D3" s="362"/>
      <c r="E3" s="362"/>
      <c r="F3" s="363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</row>
    <row r="4" spans="1:28" x14ac:dyDescent="0.3">
      <c r="A4" s="361"/>
      <c r="B4" s="362"/>
      <c r="C4" s="362"/>
      <c r="D4" s="362"/>
      <c r="E4" s="362"/>
      <c r="F4" s="363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</row>
    <row r="5" spans="1:28" ht="20.399999999999999" x14ac:dyDescent="0.35">
      <c r="A5" s="365" t="s">
        <v>182</v>
      </c>
      <c r="B5" s="362"/>
      <c r="C5" s="362"/>
      <c r="D5" s="362"/>
      <c r="E5" s="362"/>
      <c r="F5" s="363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</row>
    <row r="6" spans="1:28" ht="20.399999999999999" x14ac:dyDescent="0.35">
      <c r="A6" s="365" t="s">
        <v>214</v>
      </c>
      <c r="B6" s="362"/>
      <c r="C6" s="362"/>
      <c r="D6" s="362"/>
      <c r="E6" s="362"/>
      <c r="F6" s="363"/>
      <c r="G6" s="362"/>
      <c r="H6" s="362"/>
      <c r="V6" s="367" t="s">
        <v>184</v>
      </c>
      <c r="X6" s="367" t="s">
        <v>284</v>
      </c>
      <c r="Y6" s="368">
        <v>2025</v>
      </c>
      <c r="Z6" s="362"/>
      <c r="AA6" s="362"/>
      <c r="AB6" s="362"/>
    </row>
    <row r="7" spans="1:28" ht="6" customHeight="1" thickBot="1" x14ac:dyDescent="0.35">
      <c r="A7" s="361"/>
      <c r="B7" s="362"/>
      <c r="C7" s="362"/>
      <c r="D7" s="362"/>
      <c r="E7" s="362"/>
      <c r="F7" s="363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</row>
    <row r="8" spans="1:28" ht="19.5" customHeight="1" thickBot="1" x14ac:dyDescent="0.35">
      <c r="A8" s="672" t="s">
        <v>189</v>
      </c>
      <c r="B8" s="675" t="s">
        <v>215</v>
      </c>
      <c r="C8" s="676"/>
      <c r="D8" s="676"/>
      <c r="E8" s="676"/>
      <c r="F8" s="676"/>
      <c r="G8" s="676"/>
      <c r="H8" s="676"/>
      <c r="I8" s="676"/>
      <c r="J8" s="676"/>
      <c r="K8" s="677"/>
      <c r="L8" s="407"/>
      <c r="M8" s="678" t="s">
        <v>216</v>
      </c>
      <c r="N8" s="679"/>
      <c r="O8" s="679"/>
      <c r="P8" s="679"/>
      <c r="Q8" s="679"/>
      <c r="R8" s="679"/>
      <c r="S8" s="679"/>
      <c r="T8" s="679"/>
      <c r="U8" s="679"/>
      <c r="V8" s="679"/>
      <c r="W8" s="680"/>
      <c r="X8" s="362"/>
      <c r="Y8" s="362"/>
      <c r="Z8" s="362"/>
      <c r="AA8" s="362"/>
      <c r="AB8" s="362"/>
    </row>
    <row r="9" spans="1:28" x14ac:dyDescent="0.3">
      <c r="A9" s="673"/>
      <c r="B9" s="668" t="s">
        <v>217</v>
      </c>
      <c r="C9" s="638"/>
      <c r="D9" s="669"/>
      <c r="E9" s="408" t="s">
        <v>218</v>
      </c>
      <c r="F9" s="681" t="s">
        <v>192</v>
      </c>
      <c r="G9" s="670" t="s">
        <v>219</v>
      </c>
      <c r="H9" s="644" t="s">
        <v>193</v>
      </c>
      <c r="I9" s="646" t="s">
        <v>220</v>
      </c>
      <c r="J9" s="683" t="s">
        <v>221</v>
      </c>
      <c r="K9" s="685" t="s">
        <v>222</v>
      </c>
      <c r="L9" s="409"/>
      <c r="M9" s="668" t="s">
        <v>217</v>
      </c>
      <c r="N9" s="638"/>
      <c r="O9" s="669"/>
      <c r="P9" s="408" t="s">
        <v>218</v>
      </c>
      <c r="Q9" s="640" t="s">
        <v>192</v>
      </c>
      <c r="R9" s="670" t="s">
        <v>219</v>
      </c>
      <c r="S9" s="644" t="s">
        <v>193</v>
      </c>
      <c r="T9" s="646" t="s">
        <v>220</v>
      </c>
      <c r="U9" s="629" t="s">
        <v>223</v>
      </c>
      <c r="V9" s="687" t="s">
        <v>224</v>
      </c>
      <c r="W9" s="683" t="s">
        <v>221</v>
      </c>
      <c r="X9" s="664" t="s">
        <v>225</v>
      </c>
      <c r="Y9" s="666" t="s">
        <v>226</v>
      </c>
      <c r="Z9" s="362"/>
      <c r="AA9" s="362"/>
      <c r="AB9" s="362"/>
    </row>
    <row r="10" spans="1:28" ht="15" thickBot="1" x14ac:dyDescent="0.35">
      <c r="A10" s="674"/>
      <c r="B10" s="410" t="s">
        <v>227</v>
      </c>
      <c r="C10" s="411" t="s">
        <v>228</v>
      </c>
      <c r="D10" s="412" t="s">
        <v>229</v>
      </c>
      <c r="E10" s="413" t="s">
        <v>230</v>
      </c>
      <c r="F10" s="682"/>
      <c r="G10" s="671"/>
      <c r="H10" s="645"/>
      <c r="I10" s="647"/>
      <c r="J10" s="684"/>
      <c r="K10" s="686"/>
      <c r="L10" s="409"/>
      <c r="M10" s="410" t="s">
        <v>227</v>
      </c>
      <c r="N10" s="411" t="s">
        <v>228</v>
      </c>
      <c r="O10" s="412" t="s">
        <v>229</v>
      </c>
      <c r="P10" s="413" t="s">
        <v>230</v>
      </c>
      <c r="Q10" s="641"/>
      <c r="R10" s="671"/>
      <c r="S10" s="645"/>
      <c r="T10" s="647"/>
      <c r="U10" s="630"/>
      <c r="V10" s="688"/>
      <c r="W10" s="684"/>
      <c r="X10" s="665"/>
      <c r="Y10" s="667"/>
      <c r="Z10" s="362"/>
      <c r="AA10" s="362"/>
      <c r="AB10" s="362"/>
    </row>
    <row r="11" spans="1:28" ht="18" customHeight="1" x14ac:dyDescent="0.3">
      <c r="A11" s="382">
        <v>1</v>
      </c>
      <c r="B11" s="393"/>
      <c r="C11" s="393"/>
      <c r="D11" s="393"/>
      <c r="E11" s="393"/>
      <c r="F11" s="394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4"/>
      <c r="R11" s="393"/>
      <c r="S11" s="393"/>
      <c r="T11" s="393"/>
      <c r="U11" s="393"/>
      <c r="V11" s="393"/>
      <c r="W11" s="393"/>
      <c r="X11" s="399"/>
      <c r="Y11" s="393"/>
      <c r="Z11" s="362"/>
      <c r="AA11" s="362"/>
      <c r="AB11" s="362"/>
    </row>
    <row r="12" spans="1:28" ht="18" customHeight="1" x14ac:dyDescent="0.3">
      <c r="A12" s="385">
        <v>2</v>
      </c>
      <c r="B12" s="383"/>
      <c r="C12" s="383"/>
      <c r="D12" s="383"/>
      <c r="E12" s="393"/>
      <c r="F12" s="394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4"/>
      <c r="R12" s="393"/>
      <c r="S12" s="393"/>
      <c r="T12" s="393"/>
      <c r="U12" s="393"/>
      <c r="V12" s="393"/>
      <c r="W12" s="393"/>
      <c r="X12" s="399"/>
      <c r="Y12" s="393"/>
      <c r="Z12" s="362"/>
      <c r="AA12" s="362"/>
      <c r="AB12" s="362"/>
    </row>
    <row r="13" spans="1:28" ht="18" customHeight="1" x14ac:dyDescent="0.3">
      <c r="A13" s="385">
        <v>3</v>
      </c>
      <c r="B13" s="393"/>
      <c r="C13" s="393"/>
      <c r="D13" s="393"/>
      <c r="E13" s="393"/>
      <c r="F13" s="394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4"/>
      <c r="R13" s="393"/>
      <c r="S13" s="393"/>
      <c r="T13" s="393"/>
      <c r="U13" s="393"/>
      <c r="V13" s="393"/>
      <c r="W13" s="393"/>
      <c r="X13" s="399"/>
      <c r="Y13" s="393"/>
      <c r="Z13" s="362"/>
      <c r="AA13" s="362"/>
      <c r="AB13" s="362"/>
    </row>
    <row r="14" spans="1:28" ht="18" customHeight="1" x14ac:dyDescent="0.3">
      <c r="A14" s="510">
        <v>4</v>
      </c>
      <c r="B14" s="393"/>
      <c r="C14" s="393"/>
      <c r="D14" s="393"/>
      <c r="E14" s="393"/>
      <c r="F14" s="394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4"/>
      <c r="R14" s="393"/>
      <c r="S14" s="393"/>
      <c r="T14" s="393"/>
      <c r="U14" s="393"/>
      <c r="V14" s="393"/>
      <c r="W14" s="393"/>
      <c r="X14" s="399"/>
      <c r="Y14" s="393"/>
      <c r="Z14" s="362"/>
      <c r="AA14" s="362"/>
      <c r="AB14" s="362"/>
    </row>
    <row r="15" spans="1:28" ht="18" customHeight="1" x14ac:dyDescent="0.3">
      <c r="A15" s="385">
        <v>5</v>
      </c>
      <c r="B15" s="393"/>
      <c r="C15" s="393"/>
      <c r="D15" s="393"/>
      <c r="E15" s="393"/>
      <c r="F15" s="394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4"/>
      <c r="R15" s="393"/>
      <c r="S15" s="393"/>
      <c r="T15" s="393"/>
      <c r="U15" s="393"/>
      <c r="V15" s="393"/>
      <c r="W15" s="393"/>
      <c r="X15" s="399"/>
      <c r="Y15" s="393"/>
      <c r="Z15" s="362"/>
      <c r="AA15" s="362"/>
      <c r="AB15" s="362"/>
    </row>
    <row r="16" spans="1:28" ht="18" customHeight="1" x14ac:dyDescent="0.3">
      <c r="A16" s="385">
        <v>6</v>
      </c>
      <c r="B16" s="393"/>
      <c r="C16" s="393"/>
      <c r="D16" s="393"/>
      <c r="E16" s="393"/>
      <c r="F16" s="394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4"/>
      <c r="R16" s="393"/>
      <c r="S16" s="393"/>
      <c r="T16" s="393"/>
      <c r="U16" s="393"/>
      <c r="V16" s="393"/>
      <c r="W16" s="393"/>
      <c r="X16" s="399"/>
      <c r="Y16" s="393"/>
      <c r="Z16" s="362"/>
      <c r="AA16" s="362"/>
      <c r="AB16" s="362"/>
    </row>
    <row r="17" spans="1:28" ht="18" customHeight="1" x14ac:dyDescent="0.3">
      <c r="A17" s="385">
        <v>7</v>
      </c>
      <c r="B17" s="393"/>
      <c r="C17" s="393"/>
      <c r="D17" s="393"/>
      <c r="E17" s="393"/>
      <c r="F17" s="394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4"/>
      <c r="R17" s="393"/>
      <c r="S17" s="393"/>
      <c r="T17" s="393"/>
      <c r="U17" s="393"/>
      <c r="V17" s="393"/>
      <c r="W17" s="393"/>
      <c r="X17" s="399"/>
      <c r="Y17" s="393"/>
      <c r="Z17" s="362"/>
      <c r="AA17" s="362"/>
      <c r="AB17" s="362"/>
    </row>
    <row r="18" spans="1:28" ht="18" customHeight="1" x14ac:dyDescent="0.3">
      <c r="A18" s="385">
        <v>8</v>
      </c>
      <c r="B18" s="393"/>
      <c r="C18" s="393"/>
      <c r="D18" s="393"/>
      <c r="E18" s="393"/>
      <c r="F18" s="394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4"/>
      <c r="R18" s="393"/>
      <c r="S18" s="393"/>
      <c r="T18" s="393"/>
      <c r="U18" s="393"/>
      <c r="V18" s="393"/>
      <c r="W18" s="393"/>
      <c r="X18" s="399"/>
      <c r="Y18" s="393"/>
      <c r="Z18" s="362"/>
      <c r="AA18" s="362"/>
      <c r="AB18" s="362"/>
    </row>
    <row r="19" spans="1:28" ht="18" customHeight="1" x14ac:dyDescent="0.3">
      <c r="A19" s="385">
        <v>9</v>
      </c>
      <c r="B19" s="393"/>
      <c r="C19" s="393"/>
      <c r="D19" s="393"/>
      <c r="E19" s="393"/>
      <c r="F19" s="394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4"/>
      <c r="R19" s="393"/>
      <c r="S19" s="393"/>
      <c r="T19" s="393"/>
      <c r="U19" s="393"/>
      <c r="V19" s="393"/>
      <c r="W19" s="393"/>
      <c r="X19" s="399"/>
      <c r="Y19" s="393"/>
      <c r="Z19" s="362"/>
      <c r="AA19" s="362"/>
      <c r="AB19" s="362"/>
    </row>
    <row r="20" spans="1:28" ht="18" customHeight="1" x14ac:dyDescent="0.3">
      <c r="A20" s="385">
        <v>10</v>
      </c>
      <c r="B20" s="393"/>
      <c r="C20" s="393"/>
      <c r="D20" s="393"/>
      <c r="E20" s="393"/>
      <c r="F20" s="394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4"/>
      <c r="R20" s="393"/>
      <c r="S20" s="393"/>
      <c r="T20" s="393"/>
      <c r="U20" s="393"/>
      <c r="V20" s="393"/>
      <c r="W20" s="393"/>
      <c r="X20" s="399"/>
      <c r="Y20" s="483"/>
      <c r="Z20" s="362"/>
      <c r="AA20" s="362"/>
      <c r="AB20" s="362"/>
    </row>
    <row r="21" spans="1:28" ht="18" customHeight="1" x14ac:dyDescent="0.3">
      <c r="A21" s="385">
        <v>11</v>
      </c>
      <c r="B21" s="393"/>
      <c r="C21" s="393"/>
      <c r="D21" s="393"/>
      <c r="E21" s="393"/>
      <c r="F21" s="394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4"/>
      <c r="R21" s="393"/>
      <c r="S21" s="393"/>
      <c r="T21" s="393"/>
      <c r="U21" s="393"/>
      <c r="V21" s="393"/>
      <c r="W21" s="393"/>
      <c r="X21" s="399"/>
      <c r="Y21" s="482"/>
      <c r="Z21" s="362"/>
      <c r="AA21" s="362"/>
      <c r="AB21" s="362"/>
    </row>
    <row r="22" spans="1:28" ht="18" customHeight="1" x14ac:dyDescent="0.3">
      <c r="A22" s="385">
        <v>12</v>
      </c>
      <c r="B22" s="393"/>
      <c r="C22" s="393"/>
      <c r="D22" s="393"/>
      <c r="E22" s="393"/>
      <c r="F22" s="394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4"/>
      <c r="R22" s="393"/>
      <c r="S22" s="393"/>
      <c r="T22" s="393"/>
      <c r="U22" s="393"/>
      <c r="V22" s="393"/>
      <c r="W22" s="393"/>
      <c r="X22" s="399"/>
      <c r="Y22" s="483"/>
      <c r="Z22" s="362"/>
      <c r="AA22" s="362"/>
      <c r="AB22" s="362"/>
    </row>
    <row r="23" spans="1:28" ht="18" customHeight="1" x14ac:dyDescent="0.3">
      <c r="A23" s="385">
        <v>13</v>
      </c>
      <c r="B23" s="393"/>
      <c r="C23" s="393"/>
      <c r="D23" s="393"/>
      <c r="E23" s="393"/>
      <c r="F23" s="394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4"/>
      <c r="R23" s="393"/>
      <c r="S23" s="393"/>
      <c r="T23" s="393"/>
      <c r="U23" s="393"/>
      <c r="V23" s="393"/>
      <c r="W23" s="393"/>
      <c r="X23" s="399"/>
      <c r="Y23" s="393"/>
      <c r="Z23" s="362"/>
      <c r="AA23" s="362"/>
      <c r="AB23" s="362"/>
    </row>
    <row r="24" spans="1:28" ht="18" customHeight="1" x14ac:dyDescent="0.3">
      <c r="A24" s="385">
        <v>14</v>
      </c>
      <c r="B24" s="393"/>
      <c r="C24" s="393"/>
      <c r="D24" s="393"/>
      <c r="E24" s="393"/>
      <c r="F24" s="394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4"/>
      <c r="R24" s="393"/>
      <c r="S24" s="393"/>
      <c r="T24" s="393"/>
      <c r="U24" s="393"/>
      <c r="V24" s="393"/>
      <c r="W24" s="393"/>
      <c r="X24" s="399"/>
      <c r="Y24" s="393"/>
      <c r="Z24" s="362"/>
      <c r="AA24" s="362"/>
      <c r="AB24" s="362"/>
    </row>
    <row r="25" spans="1:28" ht="18" customHeight="1" x14ac:dyDescent="0.3">
      <c r="A25" s="385">
        <v>15</v>
      </c>
      <c r="B25" s="393"/>
      <c r="C25" s="393"/>
      <c r="D25" s="393"/>
      <c r="E25" s="393"/>
      <c r="F25" s="394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4"/>
      <c r="R25" s="393"/>
      <c r="S25" s="393"/>
      <c r="T25" s="393"/>
      <c r="U25" s="393"/>
      <c r="V25" s="393"/>
      <c r="W25" s="393"/>
      <c r="X25" s="399"/>
      <c r="Y25" s="393"/>
      <c r="Z25" s="362"/>
      <c r="AA25" s="362"/>
      <c r="AB25" s="362"/>
    </row>
    <row r="26" spans="1:28" ht="18" customHeight="1" x14ac:dyDescent="0.3">
      <c r="A26" s="385">
        <v>16</v>
      </c>
      <c r="B26" s="393"/>
      <c r="C26" s="393"/>
      <c r="D26" s="393"/>
      <c r="E26" s="393"/>
      <c r="F26" s="394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4"/>
      <c r="R26" s="393"/>
      <c r="S26" s="393"/>
      <c r="T26" s="393"/>
      <c r="U26" s="393"/>
      <c r="V26" s="393"/>
      <c r="W26" s="393"/>
      <c r="X26" s="399"/>
      <c r="Y26" s="393"/>
      <c r="Z26" s="362"/>
      <c r="AA26" s="362"/>
      <c r="AB26" s="362"/>
    </row>
    <row r="27" spans="1:28" ht="18" customHeight="1" x14ac:dyDescent="0.3">
      <c r="A27" s="510">
        <v>17</v>
      </c>
      <c r="B27" s="393"/>
      <c r="C27" s="393"/>
      <c r="D27" s="393"/>
      <c r="E27" s="393"/>
      <c r="F27" s="394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4"/>
      <c r="R27" s="393"/>
      <c r="S27" s="393"/>
      <c r="T27" s="393"/>
      <c r="U27" s="393"/>
      <c r="V27" s="393"/>
      <c r="W27" s="393"/>
      <c r="X27" s="399"/>
      <c r="Y27" s="393"/>
      <c r="Z27" s="362"/>
      <c r="AA27" s="362"/>
      <c r="AB27" s="362"/>
    </row>
    <row r="28" spans="1:28" ht="18" customHeight="1" x14ac:dyDescent="0.3">
      <c r="A28" s="385">
        <v>18</v>
      </c>
      <c r="B28" s="393"/>
      <c r="C28" s="393"/>
      <c r="D28" s="393"/>
      <c r="E28" s="393"/>
      <c r="F28" s="394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4"/>
      <c r="R28" s="393"/>
      <c r="S28" s="393"/>
      <c r="T28" s="393"/>
      <c r="U28" s="393"/>
      <c r="V28" s="393"/>
      <c r="W28" s="393"/>
      <c r="X28" s="399"/>
      <c r="Y28" s="393"/>
      <c r="Z28" s="362"/>
      <c r="AA28" s="362"/>
      <c r="AB28" s="362"/>
    </row>
    <row r="29" spans="1:28" ht="18" customHeight="1" x14ac:dyDescent="0.3">
      <c r="A29" s="385">
        <v>19</v>
      </c>
      <c r="B29" s="393"/>
      <c r="C29" s="393"/>
      <c r="D29" s="393"/>
      <c r="E29" s="393"/>
      <c r="F29" s="394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4"/>
      <c r="R29" s="393"/>
      <c r="S29" s="393"/>
      <c r="T29" s="393"/>
      <c r="U29" s="393"/>
      <c r="V29" s="393"/>
      <c r="W29" s="393"/>
      <c r="X29" s="399"/>
      <c r="Y29" s="393"/>
      <c r="Z29" s="362"/>
      <c r="AA29" s="362"/>
      <c r="AB29" s="362"/>
    </row>
    <row r="30" spans="1:28" ht="18" customHeight="1" x14ac:dyDescent="0.3">
      <c r="A30" s="385">
        <v>20</v>
      </c>
      <c r="B30" s="393"/>
      <c r="C30" s="393"/>
      <c r="D30" s="393"/>
      <c r="E30" s="393"/>
      <c r="F30" s="394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4"/>
      <c r="R30" s="393"/>
      <c r="S30" s="393"/>
      <c r="T30" s="393"/>
      <c r="U30" s="393"/>
      <c r="V30" s="393"/>
      <c r="W30" s="393"/>
      <c r="X30" s="399"/>
      <c r="Y30" s="393"/>
      <c r="Z30" s="362"/>
      <c r="AA30" s="362"/>
      <c r="AB30" s="362"/>
    </row>
    <row r="31" spans="1:28" ht="18" customHeight="1" x14ac:dyDescent="0.3">
      <c r="A31" s="385">
        <v>21</v>
      </c>
      <c r="B31" s="393"/>
      <c r="C31" s="393"/>
      <c r="D31" s="393"/>
      <c r="E31" s="393"/>
      <c r="F31" s="394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4"/>
      <c r="R31" s="393"/>
      <c r="S31" s="393"/>
      <c r="T31" s="393"/>
      <c r="U31" s="393"/>
      <c r="V31" s="393"/>
      <c r="W31" s="393"/>
      <c r="X31" s="399"/>
      <c r="Y31" s="393"/>
      <c r="Z31" s="362"/>
      <c r="AA31" s="362"/>
      <c r="AB31" s="362"/>
    </row>
    <row r="32" spans="1:28" ht="18" customHeight="1" x14ac:dyDescent="0.3">
      <c r="A32" s="385">
        <v>22</v>
      </c>
      <c r="B32" s="393"/>
      <c r="C32" s="393"/>
      <c r="D32" s="393"/>
      <c r="E32" s="393"/>
      <c r="F32" s="394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4"/>
      <c r="R32" s="393"/>
      <c r="S32" s="393"/>
      <c r="T32" s="393"/>
      <c r="U32" s="393"/>
      <c r="V32" s="393"/>
      <c r="W32" s="393"/>
      <c r="X32" s="399"/>
      <c r="Y32" s="393"/>
      <c r="Z32" s="362"/>
      <c r="AA32" s="362"/>
      <c r="AB32" s="362"/>
    </row>
    <row r="33" spans="1:28" ht="18" customHeight="1" x14ac:dyDescent="0.3">
      <c r="A33" s="385">
        <v>23</v>
      </c>
      <c r="B33" s="393"/>
      <c r="C33" s="393"/>
      <c r="D33" s="393"/>
      <c r="E33" s="393"/>
      <c r="F33" s="394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4"/>
      <c r="R33" s="393"/>
      <c r="S33" s="393"/>
      <c r="T33" s="393"/>
      <c r="U33" s="393"/>
      <c r="V33" s="393"/>
      <c r="W33" s="393"/>
      <c r="X33" s="399"/>
      <c r="Y33" s="383"/>
      <c r="Z33" s="362"/>
      <c r="AA33" s="362"/>
      <c r="AB33" s="362"/>
    </row>
    <row r="34" spans="1:28" ht="18" customHeight="1" x14ac:dyDescent="0.3">
      <c r="A34" s="510">
        <v>24</v>
      </c>
      <c r="B34" s="393"/>
      <c r="C34" s="393"/>
      <c r="D34" s="393"/>
      <c r="E34" s="393"/>
      <c r="F34" s="394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4"/>
      <c r="R34" s="393"/>
      <c r="S34" s="393"/>
      <c r="T34" s="393"/>
      <c r="U34" s="393"/>
      <c r="V34" s="393"/>
      <c r="W34" s="393"/>
      <c r="X34" s="399"/>
      <c r="Y34" s="393"/>
      <c r="Z34" s="658"/>
      <c r="AA34" s="659"/>
      <c r="AB34" s="362"/>
    </row>
    <row r="35" spans="1:28" ht="18" customHeight="1" x14ac:dyDescent="0.3">
      <c r="A35" s="385">
        <v>25</v>
      </c>
      <c r="B35" s="393"/>
      <c r="C35" s="393"/>
      <c r="D35" s="393"/>
      <c r="E35" s="393"/>
      <c r="F35" s="394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4"/>
      <c r="R35" s="393"/>
      <c r="S35" s="393"/>
      <c r="T35" s="393"/>
      <c r="U35" s="393"/>
      <c r="V35" s="393"/>
      <c r="W35" s="393"/>
      <c r="X35" s="399"/>
      <c r="Y35" s="393"/>
      <c r="Z35" s="362"/>
      <c r="AA35" s="362"/>
      <c r="AB35" s="362"/>
    </row>
    <row r="36" spans="1:28" ht="18" customHeight="1" x14ac:dyDescent="0.3">
      <c r="A36" s="385">
        <v>26</v>
      </c>
      <c r="B36" s="393"/>
      <c r="C36" s="393"/>
      <c r="D36" s="393"/>
      <c r="E36" s="393"/>
      <c r="F36" s="394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4"/>
      <c r="R36" s="393"/>
      <c r="S36" s="393"/>
      <c r="T36" s="393"/>
      <c r="U36" s="393"/>
      <c r="V36" s="393"/>
      <c r="W36" s="393"/>
      <c r="X36" s="399"/>
      <c r="Y36" s="393"/>
      <c r="Z36" s="362"/>
      <c r="AA36" s="362"/>
      <c r="AB36" s="362"/>
    </row>
    <row r="37" spans="1:28" ht="18" customHeight="1" x14ac:dyDescent="0.3">
      <c r="A37" s="385">
        <v>27</v>
      </c>
      <c r="B37" s="393"/>
      <c r="C37" s="393"/>
      <c r="D37" s="393"/>
      <c r="E37" s="393"/>
      <c r="F37" s="394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4"/>
      <c r="R37" s="393"/>
      <c r="S37" s="393"/>
      <c r="T37" s="393"/>
      <c r="U37" s="393"/>
      <c r="V37" s="393"/>
      <c r="W37" s="393"/>
      <c r="X37" s="399"/>
      <c r="Y37" s="393"/>
      <c r="Z37" s="362"/>
      <c r="AA37" s="362"/>
      <c r="AB37" s="362"/>
    </row>
    <row r="38" spans="1:28" ht="18" customHeight="1" x14ac:dyDescent="0.3">
      <c r="A38" s="385">
        <v>28</v>
      </c>
      <c r="B38" s="393"/>
      <c r="C38" s="393"/>
      <c r="D38" s="393"/>
      <c r="E38" s="393"/>
      <c r="F38" s="394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4"/>
      <c r="R38" s="393"/>
      <c r="S38" s="393"/>
      <c r="T38" s="393"/>
      <c r="U38" s="393"/>
      <c r="V38" s="393"/>
      <c r="W38" s="393"/>
      <c r="X38" s="399"/>
      <c r="Y38" s="393"/>
      <c r="Z38" s="362"/>
      <c r="AA38" s="362"/>
      <c r="AB38" s="362"/>
    </row>
    <row r="39" spans="1:28" ht="18" customHeight="1" x14ac:dyDescent="0.3">
      <c r="A39" s="385">
        <v>29</v>
      </c>
      <c r="B39" s="393"/>
      <c r="C39" s="393"/>
      <c r="D39" s="393"/>
      <c r="E39" s="393"/>
      <c r="F39" s="394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4"/>
      <c r="R39" s="393"/>
      <c r="S39" s="393"/>
      <c r="T39" s="393"/>
      <c r="U39" s="393"/>
      <c r="V39" s="393"/>
      <c r="W39" s="393"/>
      <c r="X39" s="399"/>
      <c r="Y39" s="393"/>
      <c r="Z39" s="362"/>
      <c r="AA39" s="362"/>
      <c r="AB39" s="362"/>
    </row>
    <row r="40" spans="1:28" ht="18" customHeight="1" x14ac:dyDescent="0.3">
      <c r="A40" s="385">
        <v>30</v>
      </c>
      <c r="B40" s="393"/>
      <c r="C40" s="393"/>
      <c r="D40" s="393"/>
      <c r="E40" s="393"/>
      <c r="F40" s="394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4"/>
      <c r="R40" s="393"/>
      <c r="S40" s="393"/>
      <c r="T40" s="393"/>
      <c r="U40" s="393"/>
      <c r="V40" s="393"/>
      <c r="W40" s="393"/>
      <c r="X40" s="399"/>
      <c r="Y40" s="393"/>
      <c r="Z40" s="362"/>
      <c r="AA40" s="362"/>
      <c r="AB40" s="362"/>
    </row>
    <row r="41" spans="1:28" ht="18" customHeight="1" x14ac:dyDescent="0.3">
      <c r="A41" s="385">
        <v>31</v>
      </c>
      <c r="B41" s="393"/>
      <c r="C41" s="393"/>
      <c r="D41" s="393"/>
      <c r="E41" s="393"/>
      <c r="F41" s="394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4"/>
      <c r="R41" s="393"/>
      <c r="S41" s="393"/>
      <c r="T41" s="393"/>
      <c r="U41" s="393"/>
      <c r="V41" s="393"/>
      <c r="W41" s="393"/>
      <c r="X41" s="399"/>
      <c r="Y41" s="393"/>
      <c r="Z41" s="362"/>
      <c r="AA41" s="362"/>
      <c r="AB41" s="362"/>
    </row>
    <row r="42" spans="1:28" x14ac:dyDescent="0.3">
      <c r="A42" s="361"/>
      <c r="B42" s="362"/>
      <c r="C42" s="362"/>
      <c r="D42" s="362"/>
      <c r="E42" s="362"/>
      <c r="F42" s="363"/>
      <c r="G42" s="362"/>
      <c r="H42" s="388" t="e">
        <f>AVERAGE(H11:H41)</f>
        <v>#DIV/0!</v>
      </c>
      <c r="I42" s="388" t="e">
        <f>AVERAGE(I11:I41)</f>
        <v>#DIV/0!</v>
      </c>
      <c r="J42" s="388" t="e">
        <f>AVERAGE(J11:J41)</f>
        <v>#DIV/0!</v>
      </c>
      <c r="K42" s="388" t="e">
        <f>AVERAGE(K11:K41)</f>
        <v>#DIV/0!</v>
      </c>
      <c r="L42" s="362"/>
      <c r="M42" s="362"/>
      <c r="N42" s="362"/>
      <c r="O42" s="362"/>
      <c r="P42" s="362"/>
      <c r="Q42" s="363" t="e">
        <f>AVERAGE(Q11:Q41)</f>
        <v>#DIV/0!</v>
      </c>
      <c r="R42" s="362"/>
      <c r="S42" s="414" t="e">
        <f>AVERAGE(S11:S41)</f>
        <v>#DIV/0!</v>
      </c>
      <c r="T42" s="388" t="e">
        <f>AVERAGE(T11:T41)</f>
        <v>#DIV/0!</v>
      </c>
      <c r="U42" s="362"/>
      <c r="V42" s="362"/>
      <c r="W42" s="362"/>
      <c r="X42" s="362"/>
      <c r="Y42" s="362"/>
      <c r="Z42" s="362"/>
      <c r="AA42" s="362"/>
      <c r="AB42" s="362"/>
    </row>
    <row r="43" spans="1:28" x14ac:dyDescent="0.3">
      <c r="A43" s="361"/>
      <c r="B43" s="362"/>
      <c r="C43" s="362"/>
      <c r="D43" s="362"/>
      <c r="E43" s="362"/>
      <c r="F43" s="363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</row>
    <row r="44" spans="1:28" x14ac:dyDescent="0.3">
      <c r="A44" s="361"/>
      <c r="B44" s="362"/>
      <c r="C44" s="362"/>
      <c r="D44" s="362"/>
      <c r="E44" s="362"/>
      <c r="F44" s="363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</row>
    <row r="45" spans="1:28" x14ac:dyDescent="0.3">
      <c r="A45" s="361"/>
      <c r="B45" s="362"/>
      <c r="C45" s="362"/>
      <c r="D45" s="362"/>
      <c r="E45" s="362"/>
      <c r="F45" s="363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</row>
    <row r="46" spans="1:28" x14ac:dyDescent="0.3">
      <c r="A46" s="361"/>
      <c r="B46" s="362"/>
      <c r="C46" s="362"/>
      <c r="D46" s="362"/>
      <c r="E46" s="362"/>
      <c r="F46" s="363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</row>
    <row r="47" spans="1:28" x14ac:dyDescent="0.3">
      <c r="A47" s="361"/>
      <c r="B47" s="362"/>
      <c r="C47" s="362"/>
      <c r="D47" s="362"/>
      <c r="E47" s="362"/>
      <c r="F47" s="363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</row>
    <row r="48" spans="1:28" x14ac:dyDescent="0.3">
      <c r="A48" s="361"/>
      <c r="B48" s="362"/>
      <c r="C48" s="362"/>
      <c r="D48" s="362"/>
      <c r="E48" s="362"/>
      <c r="F48" s="363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</row>
    <row r="49" spans="1:28" x14ac:dyDescent="0.3">
      <c r="A49" s="361"/>
      <c r="B49" s="362"/>
      <c r="C49" s="362"/>
      <c r="D49" s="362"/>
      <c r="E49" s="362"/>
      <c r="F49" s="363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</row>
    <row r="50" spans="1:28" x14ac:dyDescent="0.3">
      <c r="A50" s="361"/>
      <c r="B50" s="362"/>
      <c r="C50" s="362"/>
      <c r="D50" s="362"/>
      <c r="E50" s="362"/>
      <c r="F50" s="363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</row>
    <row r="51" spans="1:28" x14ac:dyDescent="0.3">
      <c r="A51" s="361"/>
      <c r="B51" s="362"/>
      <c r="C51" s="362"/>
      <c r="D51" s="362"/>
      <c r="E51" s="362"/>
      <c r="F51" s="363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  <c r="Z51" s="362"/>
      <c r="AA51" s="362"/>
      <c r="AB51" s="362"/>
    </row>
    <row r="52" spans="1:28" x14ac:dyDescent="0.3">
      <c r="A52" s="361"/>
      <c r="B52" s="362"/>
      <c r="C52" s="362"/>
      <c r="D52" s="362"/>
      <c r="E52" s="362"/>
      <c r="F52" s="363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</row>
    <row r="53" spans="1:28" x14ac:dyDescent="0.3">
      <c r="A53" s="361"/>
      <c r="B53" s="362"/>
      <c r="C53" s="362"/>
      <c r="D53" s="362"/>
      <c r="E53" s="362"/>
      <c r="F53" s="363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362"/>
      <c r="X53" s="362"/>
      <c r="Y53" s="362"/>
      <c r="Z53" s="362"/>
      <c r="AA53" s="362"/>
      <c r="AB53" s="362"/>
    </row>
    <row r="54" spans="1:28" x14ac:dyDescent="0.3">
      <c r="A54" s="361"/>
      <c r="B54" s="362"/>
      <c r="C54" s="362"/>
      <c r="D54" s="362"/>
      <c r="E54" s="362"/>
      <c r="F54" s="363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</row>
    <row r="55" spans="1:28" x14ac:dyDescent="0.3">
      <c r="A55" s="361"/>
      <c r="B55" s="362"/>
      <c r="C55" s="362"/>
      <c r="D55" s="362"/>
      <c r="E55" s="362"/>
      <c r="F55" s="363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362"/>
      <c r="X55" s="362"/>
      <c r="Y55" s="362"/>
      <c r="Z55" s="362"/>
      <c r="AA55" s="362"/>
      <c r="AB55" s="362"/>
    </row>
    <row r="56" spans="1:28" x14ac:dyDescent="0.3">
      <c r="A56" s="361"/>
      <c r="B56" s="362"/>
      <c r="C56" s="362"/>
      <c r="D56" s="362"/>
      <c r="E56" s="362"/>
      <c r="F56" s="363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2"/>
      <c r="AB56" s="362"/>
    </row>
    <row r="57" spans="1:28" x14ac:dyDescent="0.3">
      <c r="A57" s="361"/>
      <c r="B57" s="362"/>
      <c r="C57" s="362"/>
      <c r="D57" s="362"/>
      <c r="E57" s="362"/>
      <c r="F57" s="363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</row>
    <row r="58" spans="1:28" x14ac:dyDescent="0.3">
      <c r="A58" s="361"/>
      <c r="B58" s="362"/>
      <c r="C58" s="362"/>
      <c r="D58" s="362"/>
      <c r="E58" s="362"/>
      <c r="F58" s="363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</row>
    <row r="59" spans="1:28" x14ac:dyDescent="0.3">
      <c r="A59" s="361"/>
      <c r="B59" s="362"/>
      <c r="C59" s="362"/>
      <c r="D59" s="362"/>
      <c r="E59" s="362"/>
      <c r="F59" s="363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</row>
    <row r="60" spans="1:28" x14ac:dyDescent="0.3">
      <c r="A60" s="361"/>
      <c r="B60" s="362"/>
      <c r="C60" s="362"/>
      <c r="D60" s="362"/>
      <c r="E60" s="362"/>
      <c r="F60" s="363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</row>
    <row r="61" spans="1:28" x14ac:dyDescent="0.3">
      <c r="A61" s="361"/>
      <c r="B61" s="362"/>
      <c r="C61" s="362"/>
      <c r="D61" s="362"/>
      <c r="E61" s="362"/>
      <c r="F61" s="363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</row>
    <row r="62" spans="1:28" x14ac:dyDescent="0.3">
      <c r="A62" s="361"/>
      <c r="B62" s="362"/>
      <c r="C62" s="362"/>
      <c r="D62" s="362"/>
      <c r="E62" s="362"/>
      <c r="F62" s="363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</row>
    <row r="63" spans="1:28" x14ac:dyDescent="0.3">
      <c r="A63" s="361"/>
      <c r="B63" s="362"/>
      <c r="C63" s="362"/>
      <c r="D63" s="362"/>
      <c r="E63" s="362"/>
      <c r="F63" s="363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</row>
    <row r="64" spans="1:28" x14ac:dyDescent="0.3">
      <c r="A64" s="361"/>
      <c r="B64" s="362"/>
      <c r="C64" s="362"/>
      <c r="D64" s="362"/>
      <c r="E64" s="362"/>
      <c r="F64" s="363"/>
      <c r="G64" s="362"/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</row>
    <row r="65" spans="1:28" x14ac:dyDescent="0.3">
      <c r="A65" s="361"/>
      <c r="B65" s="362"/>
      <c r="C65" s="362"/>
      <c r="D65" s="362"/>
      <c r="E65" s="362"/>
      <c r="F65" s="363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</row>
    <row r="66" spans="1:28" x14ac:dyDescent="0.3">
      <c r="A66" s="361"/>
      <c r="B66" s="362"/>
      <c r="C66" s="362"/>
      <c r="D66" s="362"/>
      <c r="E66" s="362"/>
      <c r="F66" s="363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</row>
    <row r="67" spans="1:28" x14ac:dyDescent="0.3">
      <c r="A67" s="361"/>
      <c r="B67" s="362"/>
      <c r="C67" s="362"/>
      <c r="D67" s="362"/>
      <c r="E67" s="362"/>
      <c r="F67" s="363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</row>
    <row r="68" spans="1:28" x14ac:dyDescent="0.3">
      <c r="A68" s="361"/>
      <c r="B68" s="362"/>
      <c r="C68" s="362"/>
      <c r="D68" s="362"/>
      <c r="E68" s="362"/>
      <c r="F68" s="363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</row>
    <row r="69" spans="1:28" x14ac:dyDescent="0.3">
      <c r="A69" s="361"/>
      <c r="B69" s="362"/>
      <c r="C69" s="362"/>
      <c r="D69" s="362"/>
      <c r="E69" s="362"/>
      <c r="F69" s="363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</row>
    <row r="70" spans="1:28" x14ac:dyDescent="0.3">
      <c r="A70" s="361"/>
      <c r="B70" s="362"/>
      <c r="C70" s="362"/>
      <c r="D70" s="362"/>
      <c r="E70" s="362"/>
      <c r="F70" s="363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</row>
    <row r="71" spans="1:28" x14ac:dyDescent="0.3">
      <c r="A71" s="361"/>
      <c r="B71" s="362"/>
      <c r="C71" s="362"/>
      <c r="D71" s="362"/>
      <c r="E71" s="362"/>
      <c r="F71" s="363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</row>
    <row r="72" spans="1:28" x14ac:dyDescent="0.3">
      <c r="A72" s="361"/>
      <c r="B72" s="362"/>
      <c r="C72" s="362"/>
      <c r="D72" s="362"/>
      <c r="E72" s="362"/>
      <c r="F72" s="363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</row>
    <row r="73" spans="1:28" x14ac:dyDescent="0.3">
      <c r="A73" s="361"/>
      <c r="B73" s="362"/>
      <c r="C73" s="362"/>
      <c r="D73" s="362"/>
      <c r="E73" s="362"/>
      <c r="F73" s="363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</row>
    <row r="74" spans="1:28" x14ac:dyDescent="0.3">
      <c r="A74" s="361"/>
      <c r="B74" s="362"/>
      <c r="C74" s="362"/>
      <c r="D74" s="362"/>
      <c r="E74" s="362"/>
      <c r="F74" s="363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</row>
    <row r="75" spans="1:28" x14ac:dyDescent="0.3">
      <c r="A75" s="361"/>
      <c r="B75" s="362"/>
      <c r="C75" s="362"/>
      <c r="D75" s="362"/>
      <c r="E75" s="362"/>
      <c r="F75" s="363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</row>
    <row r="76" spans="1:28" x14ac:dyDescent="0.3">
      <c r="A76" s="361"/>
      <c r="B76" s="362"/>
      <c r="C76" s="362"/>
      <c r="D76" s="362"/>
      <c r="E76" s="362"/>
      <c r="F76" s="363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</row>
    <row r="77" spans="1:28" x14ac:dyDescent="0.3">
      <c r="A77" s="361"/>
      <c r="B77" s="362"/>
      <c r="C77" s="362"/>
      <c r="D77" s="362"/>
      <c r="E77" s="362"/>
      <c r="F77" s="363"/>
      <c r="G77" s="362"/>
      <c r="H77" s="362"/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</row>
    <row r="78" spans="1:28" x14ac:dyDescent="0.3">
      <c r="A78" s="361"/>
      <c r="B78" s="362"/>
      <c r="C78" s="362"/>
      <c r="D78" s="362"/>
      <c r="E78" s="362"/>
      <c r="F78" s="363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</row>
    <row r="79" spans="1:28" x14ac:dyDescent="0.3">
      <c r="A79" s="361"/>
      <c r="B79" s="362"/>
      <c r="C79" s="362"/>
      <c r="D79" s="362"/>
      <c r="E79" s="362"/>
      <c r="F79" s="363"/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</row>
    <row r="80" spans="1:28" x14ac:dyDescent="0.3">
      <c r="A80" s="361"/>
      <c r="B80" s="362"/>
      <c r="C80" s="362"/>
      <c r="D80" s="362"/>
      <c r="E80" s="362"/>
      <c r="F80" s="363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362"/>
      <c r="AB80" s="362"/>
    </row>
    <row r="81" spans="1:28" x14ac:dyDescent="0.3">
      <c r="A81" s="361"/>
      <c r="B81" s="362"/>
      <c r="C81" s="362"/>
      <c r="D81" s="362"/>
      <c r="E81" s="362"/>
      <c r="F81" s="363"/>
      <c r="G81" s="362"/>
      <c r="H81" s="362"/>
      <c r="I81" s="362"/>
      <c r="J81" s="362"/>
      <c r="K81" s="362"/>
      <c r="L81" s="362"/>
      <c r="M81" s="362"/>
      <c r="N81" s="362"/>
      <c r="O81" s="362"/>
      <c r="P81" s="362"/>
      <c r="Q81" s="362"/>
      <c r="R81" s="362"/>
      <c r="S81" s="362"/>
      <c r="T81" s="362"/>
      <c r="U81" s="362"/>
      <c r="V81" s="362"/>
      <c r="W81" s="362"/>
      <c r="X81" s="362"/>
      <c r="Y81" s="362"/>
      <c r="Z81" s="362"/>
      <c r="AA81" s="362"/>
      <c r="AB81" s="362"/>
    </row>
    <row r="82" spans="1:28" x14ac:dyDescent="0.3">
      <c r="A82" s="361"/>
      <c r="B82" s="362"/>
      <c r="C82" s="362"/>
      <c r="D82" s="362"/>
      <c r="E82" s="362"/>
      <c r="F82" s="363"/>
      <c r="G82" s="362"/>
      <c r="H82" s="362"/>
      <c r="I82" s="362"/>
      <c r="J82" s="362"/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</row>
    <row r="83" spans="1:28" x14ac:dyDescent="0.3">
      <c r="A83" s="361"/>
      <c r="B83" s="362"/>
      <c r="C83" s="362"/>
      <c r="D83" s="362"/>
      <c r="E83" s="362"/>
      <c r="F83" s="363"/>
      <c r="G83" s="362"/>
      <c r="H83" s="362"/>
      <c r="I83" s="362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62"/>
      <c r="W83" s="362"/>
      <c r="X83" s="362"/>
      <c r="Y83" s="362"/>
      <c r="Z83" s="362"/>
      <c r="AA83" s="362"/>
      <c r="AB83" s="362"/>
    </row>
    <row r="84" spans="1:28" x14ac:dyDescent="0.3">
      <c r="A84" s="361"/>
      <c r="B84" s="362"/>
      <c r="C84" s="362"/>
      <c r="D84" s="362"/>
      <c r="E84" s="362"/>
      <c r="F84" s="363"/>
      <c r="G84" s="362"/>
      <c r="H84" s="362"/>
      <c r="I84" s="362"/>
      <c r="J84" s="362"/>
      <c r="K84" s="362"/>
      <c r="L84" s="362"/>
      <c r="M84" s="362"/>
      <c r="N84" s="362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</row>
    <row r="85" spans="1:28" x14ac:dyDescent="0.3">
      <c r="A85" s="361"/>
      <c r="B85" s="362"/>
      <c r="C85" s="362"/>
      <c r="D85" s="362"/>
      <c r="E85" s="362"/>
      <c r="F85" s="363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</row>
    <row r="86" spans="1:28" x14ac:dyDescent="0.3">
      <c r="A86" s="361"/>
      <c r="B86" s="362"/>
      <c r="C86" s="362"/>
      <c r="D86" s="362"/>
      <c r="E86" s="362"/>
      <c r="F86" s="363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</row>
    <row r="87" spans="1:28" x14ac:dyDescent="0.3">
      <c r="A87" s="361"/>
      <c r="B87" s="362"/>
      <c r="C87" s="362"/>
      <c r="D87" s="362"/>
      <c r="E87" s="362"/>
      <c r="F87" s="363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</row>
    <row r="88" spans="1:28" x14ac:dyDescent="0.3">
      <c r="A88" s="361"/>
      <c r="B88" s="362"/>
      <c r="C88" s="362"/>
      <c r="D88" s="362"/>
      <c r="E88" s="362"/>
      <c r="F88" s="363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</row>
    <row r="89" spans="1:28" x14ac:dyDescent="0.3">
      <c r="A89" s="361"/>
      <c r="B89" s="362"/>
      <c r="C89" s="362"/>
      <c r="D89" s="362"/>
      <c r="E89" s="362"/>
      <c r="F89" s="363"/>
      <c r="G89" s="362"/>
      <c r="H89" s="362"/>
      <c r="I89" s="362"/>
      <c r="J89" s="362"/>
      <c r="K89" s="362"/>
      <c r="L89" s="362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</row>
    <row r="90" spans="1:28" x14ac:dyDescent="0.3">
      <c r="A90" s="361"/>
      <c r="B90" s="362"/>
      <c r="C90" s="362"/>
      <c r="D90" s="362"/>
      <c r="E90" s="362"/>
      <c r="F90" s="363"/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362"/>
      <c r="S90" s="362"/>
      <c r="T90" s="362"/>
      <c r="U90" s="362"/>
      <c r="V90" s="362"/>
      <c r="W90" s="362"/>
      <c r="X90" s="362"/>
      <c r="Y90" s="362"/>
      <c r="Z90" s="362"/>
      <c r="AA90" s="362"/>
      <c r="AB90" s="362"/>
    </row>
    <row r="91" spans="1:28" x14ac:dyDescent="0.3">
      <c r="A91" s="361"/>
      <c r="B91" s="362"/>
      <c r="C91" s="362"/>
      <c r="D91" s="362"/>
      <c r="E91" s="362"/>
      <c r="F91" s="363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</row>
    <row r="92" spans="1:28" x14ac:dyDescent="0.3">
      <c r="A92" s="361"/>
      <c r="B92" s="362"/>
      <c r="C92" s="362"/>
      <c r="D92" s="362"/>
      <c r="E92" s="362"/>
      <c r="F92" s="363"/>
      <c r="G92" s="362"/>
      <c r="H92" s="362"/>
      <c r="I92" s="362"/>
      <c r="J92" s="362"/>
      <c r="K92" s="362"/>
      <c r="L92" s="362"/>
      <c r="M92" s="362"/>
      <c r="N92" s="362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</row>
    <row r="93" spans="1:28" x14ac:dyDescent="0.3">
      <c r="A93" s="361"/>
      <c r="B93" s="362"/>
      <c r="C93" s="362"/>
      <c r="D93" s="362"/>
      <c r="E93" s="362"/>
      <c r="F93" s="363"/>
      <c r="G93" s="362"/>
      <c r="H93" s="362"/>
      <c r="I93" s="362"/>
      <c r="J93" s="362"/>
      <c r="K93" s="362"/>
      <c r="L93" s="362"/>
      <c r="M93" s="362"/>
      <c r="N93" s="362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</row>
    <row r="94" spans="1:28" x14ac:dyDescent="0.3">
      <c r="A94" s="361"/>
      <c r="B94" s="362"/>
      <c r="C94" s="362"/>
      <c r="D94" s="362"/>
      <c r="E94" s="362"/>
      <c r="F94" s="363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</row>
    <row r="95" spans="1:28" x14ac:dyDescent="0.3">
      <c r="A95" s="361"/>
      <c r="B95" s="362"/>
      <c r="C95" s="362"/>
      <c r="D95" s="362"/>
      <c r="E95" s="362"/>
      <c r="F95" s="363"/>
      <c r="G95" s="362"/>
      <c r="H95" s="362"/>
      <c r="I95" s="362"/>
      <c r="J95" s="362"/>
      <c r="K95" s="362"/>
      <c r="L95" s="362"/>
      <c r="M95" s="362"/>
      <c r="N95" s="362"/>
      <c r="O95" s="362"/>
      <c r="P95" s="362"/>
      <c r="Q95" s="362"/>
      <c r="R95" s="362"/>
      <c r="S95" s="362"/>
      <c r="T95" s="362"/>
      <c r="U95" s="362"/>
      <c r="V95" s="362"/>
      <c r="W95" s="362"/>
      <c r="X95" s="362"/>
      <c r="Y95" s="362"/>
      <c r="Z95" s="362"/>
      <c r="AA95" s="362"/>
      <c r="AB95" s="362"/>
    </row>
    <row r="96" spans="1:28" x14ac:dyDescent="0.3">
      <c r="A96" s="361"/>
      <c r="B96" s="362"/>
      <c r="C96" s="362"/>
      <c r="D96" s="362"/>
      <c r="E96" s="362"/>
      <c r="F96" s="363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</row>
    <row r="97" spans="1:28" x14ac:dyDescent="0.3">
      <c r="A97" s="361"/>
      <c r="B97" s="362"/>
      <c r="C97" s="362"/>
      <c r="D97" s="362"/>
      <c r="E97" s="362"/>
      <c r="F97" s="363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</row>
    <row r="98" spans="1:28" x14ac:dyDescent="0.3">
      <c r="A98" s="361"/>
      <c r="B98" s="362"/>
      <c r="C98" s="362"/>
      <c r="D98" s="362"/>
      <c r="E98" s="362"/>
      <c r="F98" s="363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</row>
    <row r="99" spans="1:28" x14ac:dyDescent="0.3">
      <c r="A99" s="361"/>
      <c r="B99" s="362"/>
      <c r="C99" s="362"/>
      <c r="D99" s="362"/>
      <c r="E99" s="362"/>
      <c r="F99" s="363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</row>
    <row r="100" spans="1:28" x14ac:dyDescent="0.3">
      <c r="A100" s="361"/>
      <c r="B100" s="362"/>
      <c r="C100" s="362"/>
      <c r="D100" s="362"/>
      <c r="E100" s="362"/>
      <c r="F100" s="363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</row>
    <row r="101" spans="1:28" x14ac:dyDescent="0.3">
      <c r="A101" s="361"/>
      <c r="B101" s="362"/>
      <c r="C101" s="362"/>
      <c r="D101" s="362"/>
      <c r="E101" s="362"/>
      <c r="F101" s="363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</row>
    <row r="102" spans="1:28" x14ac:dyDescent="0.3">
      <c r="A102" s="361"/>
      <c r="B102" s="362"/>
      <c r="C102" s="362"/>
      <c r="D102" s="362"/>
      <c r="E102" s="362"/>
      <c r="F102" s="363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</row>
    <row r="103" spans="1:28" x14ac:dyDescent="0.3">
      <c r="A103" s="361"/>
      <c r="B103" s="362"/>
      <c r="C103" s="362"/>
      <c r="D103" s="362"/>
      <c r="E103" s="362"/>
      <c r="F103" s="363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</row>
    <row r="104" spans="1:28" x14ac:dyDescent="0.3">
      <c r="A104" s="361"/>
      <c r="B104" s="362"/>
      <c r="C104" s="362"/>
      <c r="D104" s="362"/>
      <c r="E104" s="362"/>
      <c r="F104" s="363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</row>
    <row r="105" spans="1:28" x14ac:dyDescent="0.3">
      <c r="A105" s="361"/>
      <c r="B105" s="362"/>
      <c r="C105" s="362"/>
      <c r="D105" s="362"/>
      <c r="E105" s="362"/>
      <c r="F105" s="363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2"/>
      <c r="W105" s="362"/>
      <c r="X105" s="362"/>
      <c r="Y105" s="362"/>
      <c r="Z105" s="362"/>
      <c r="AA105" s="362"/>
      <c r="AB105" s="362"/>
    </row>
    <row r="106" spans="1:28" x14ac:dyDescent="0.3">
      <c r="A106" s="361"/>
      <c r="B106" s="362"/>
      <c r="C106" s="362"/>
      <c r="D106" s="362"/>
      <c r="E106" s="362"/>
      <c r="F106" s="363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2"/>
      <c r="W106" s="362"/>
      <c r="X106" s="362"/>
      <c r="Y106" s="362"/>
      <c r="Z106" s="362"/>
      <c r="AA106" s="362"/>
      <c r="AB106" s="362"/>
    </row>
    <row r="107" spans="1:28" x14ac:dyDescent="0.3">
      <c r="A107" s="361"/>
      <c r="B107" s="362"/>
      <c r="C107" s="362"/>
      <c r="D107" s="362"/>
      <c r="E107" s="362"/>
      <c r="F107" s="363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  <c r="AA107" s="362"/>
      <c r="AB107" s="362"/>
    </row>
    <row r="108" spans="1:28" x14ac:dyDescent="0.3">
      <c r="A108" s="361"/>
      <c r="B108" s="362"/>
      <c r="C108" s="362"/>
      <c r="D108" s="362"/>
      <c r="E108" s="362"/>
      <c r="F108" s="363"/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2"/>
      <c r="W108" s="362"/>
      <c r="X108" s="362"/>
      <c r="Y108" s="362"/>
      <c r="Z108" s="362"/>
      <c r="AA108" s="362"/>
      <c r="AB108" s="362"/>
    </row>
    <row r="109" spans="1:28" x14ac:dyDescent="0.3">
      <c r="A109" s="361"/>
      <c r="B109" s="362"/>
      <c r="C109" s="362"/>
      <c r="D109" s="362"/>
      <c r="E109" s="362"/>
      <c r="F109" s="363"/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2"/>
      <c r="W109" s="362"/>
      <c r="X109" s="362"/>
      <c r="Y109" s="362"/>
      <c r="Z109" s="362"/>
      <c r="AA109" s="362"/>
      <c r="AB109" s="362"/>
    </row>
    <row r="110" spans="1:28" x14ac:dyDescent="0.3">
      <c r="A110" s="361"/>
      <c r="B110" s="362"/>
      <c r="C110" s="362"/>
      <c r="D110" s="362"/>
      <c r="E110" s="362"/>
      <c r="F110" s="363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2"/>
      <c r="W110" s="362"/>
      <c r="X110" s="362"/>
      <c r="Y110" s="362"/>
      <c r="Z110" s="362"/>
      <c r="AA110" s="362"/>
      <c r="AB110" s="362"/>
    </row>
    <row r="111" spans="1:28" x14ac:dyDescent="0.3">
      <c r="A111" s="361"/>
      <c r="B111" s="362"/>
      <c r="C111" s="362"/>
      <c r="D111" s="362"/>
      <c r="E111" s="362"/>
      <c r="F111" s="363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  <c r="Z111" s="362"/>
      <c r="AA111" s="362"/>
      <c r="AB111" s="362"/>
    </row>
    <row r="112" spans="1:28" x14ac:dyDescent="0.3">
      <c r="A112" s="361"/>
      <c r="B112" s="362"/>
      <c r="C112" s="362"/>
      <c r="D112" s="362"/>
      <c r="E112" s="362"/>
      <c r="F112" s="363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</row>
    <row r="113" spans="1:28" x14ac:dyDescent="0.3">
      <c r="A113" s="361"/>
      <c r="B113" s="362"/>
      <c r="C113" s="362"/>
      <c r="D113" s="362"/>
      <c r="E113" s="362"/>
      <c r="F113" s="363"/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2"/>
      <c r="AB113" s="362"/>
    </row>
    <row r="114" spans="1:28" x14ac:dyDescent="0.3">
      <c r="A114" s="361"/>
      <c r="B114" s="362"/>
      <c r="C114" s="362"/>
      <c r="D114" s="362"/>
      <c r="E114" s="362"/>
      <c r="F114" s="363"/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2"/>
      <c r="W114" s="362"/>
      <c r="X114" s="362"/>
      <c r="Y114" s="362"/>
      <c r="Z114" s="362"/>
      <c r="AA114" s="362"/>
      <c r="AB114" s="362"/>
    </row>
    <row r="115" spans="1:28" x14ac:dyDescent="0.3">
      <c r="A115" s="361"/>
      <c r="B115" s="362"/>
      <c r="C115" s="362"/>
      <c r="D115" s="362"/>
      <c r="E115" s="362"/>
      <c r="F115" s="363"/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</row>
    <row r="116" spans="1:28" x14ac:dyDescent="0.3">
      <c r="A116" s="361"/>
      <c r="B116" s="362"/>
      <c r="C116" s="362"/>
      <c r="D116" s="362"/>
      <c r="E116" s="362"/>
      <c r="F116" s="363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</row>
    <row r="117" spans="1:28" x14ac:dyDescent="0.3">
      <c r="A117" s="361"/>
      <c r="B117" s="362"/>
      <c r="C117" s="362"/>
      <c r="D117" s="362"/>
      <c r="E117" s="362"/>
      <c r="F117" s="363"/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</row>
    <row r="118" spans="1:28" x14ac:dyDescent="0.3">
      <c r="A118" s="361"/>
      <c r="B118" s="362"/>
      <c r="C118" s="362"/>
      <c r="D118" s="362"/>
      <c r="E118" s="362"/>
      <c r="F118" s="363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</row>
    <row r="119" spans="1:28" x14ac:dyDescent="0.3">
      <c r="A119" s="361"/>
      <c r="B119" s="362"/>
      <c r="C119" s="362"/>
      <c r="D119" s="362"/>
      <c r="E119" s="362"/>
      <c r="F119" s="363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</row>
    <row r="120" spans="1:28" x14ac:dyDescent="0.3">
      <c r="A120" s="361"/>
      <c r="B120" s="362"/>
      <c r="C120" s="362"/>
      <c r="D120" s="362"/>
      <c r="E120" s="362"/>
      <c r="F120" s="363"/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362"/>
      <c r="W120" s="362"/>
      <c r="X120" s="362"/>
      <c r="Y120" s="362"/>
      <c r="Z120" s="362"/>
      <c r="AA120" s="362"/>
      <c r="AB120" s="362"/>
    </row>
    <row r="121" spans="1:28" x14ac:dyDescent="0.3">
      <c r="A121" s="361"/>
      <c r="B121" s="362"/>
      <c r="C121" s="362"/>
      <c r="D121" s="362"/>
      <c r="E121" s="362"/>
      <c r="F121" s="363"/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362"/>
      <c r="W121" s="362"/>
      <c r="X121" s="362"/>
      <c r="Y121" s="362"/>
      <c r="Z121" s="362"/>
      <c r="AA121" s="362"/>
      <c r="AB121" s="362"/>
    </row>
    <row r="122" spans="1:28" x14ac:dyDescent="0.3">
      <c r="A122" s="361"/>
      <c r="B122" s="362"/>
      <c r="C122" s="362"/>
      <c r="D122" s="362"/>
      <c r="E122" s="362"/>
      <c r="F122" s="363"/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362"/>
      <c r="W122" s="362"/>
      <c r="X122" s="362"/>
      <c r="Y122" s="362"/>
      <c r="Z122" s="362"/>
      <c r="AA122" s="362"/>
      <c r="AB122" s="362"/>
    </row>
    <row r="123" spans="1:28" x14ac:dyDescent="0.3">
      <c r="A123" s="361"/>
      <c r="B123" s="362"/>
      <c r="C123" s="362"/>
      <c r="D123" s="362"/>
      <c r="E123" s="362"/>
      <c r="F123" s="363"/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362"/>
      <c r="W123" s="362"/>
      <c r="X123" s="362"/>
      <c r="Y123" s="362"/>
      <c r="Z123" s="362"/>
      <c r="AA123" s="362"/>
      <c r="AB123" s="362"/>
    </row>
    <row r="124" spans="1:28" x14ac:dyDescent="0.3">
      <c r="A124" s="361"/>
      <c r="B124" s="362"/>
      <c r="C124" s="362"/>
      <c r="D124" s="362"/>
      <c r="E124" s="362"/>
      <c r="F124" s="363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362"/>
      <c r="W124" s="362"/>
      <c r="X124" s="362"/>
      <c r="Y124" s="362"/>
      <c r="Z124" s="362"/>
      <c r="AA124" s="362"/>
      <c r="AB124" s="362"/>
    </row>
  </sheetData>
  <mergeCells count="21">
    <mergeCell ref="A8:A10"/>
    <mergeCell ref="B8:K8"/>
    <mergeCell ref="M8:W8"/>
    <mergeCell ref="B9:D9"/>
    <mergeCell ref="F9:F10"/>
    <mergeCell ref="G9:G10"/>
    <mergeCell ref="H9:H10"/>
    <mergeCell ref="I9:I10"/>
    <mergeCell ref="J9:J10"/>
    <mergeCell ref="K9:K10"/>
    <mergeCell ref="V9:V10"/>
    <mergeCell ref="W9:W10"/>
    <mergeCell ref="Z34:AA34"/>
    <mergeCell ref="X9:X10"/>
    <mergeCell ref="Y9:Y10"/>
    <mergeCell ref="M9:O9"/>
    <mergeCell ref="Q9:Q10"/>
    <mergeCell ref="R9:R10"/>
    <mergeCell ref="S9:S10"/>
    <mergeCell ref="T9:T10"/>
    <mergeCell ref="U9:U10"/>
  </mergeCells>
  <pageMargins left="0.4" right="0.36" top="0.45" bottom="0.55000000000000004" header="0.3" footer="0.3"/>
  <pageSetup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Q321"/>
  <sheetViews>
    <sheetView showGridLines="0" workbookViewId="0">
      <pane xSplit="1" ySplit="9" topLeftCell="B165" activePane="bottomRight" state="frozen"/>
      <selection activeCell="X41" sqref="X41"/>
      <selection pane="topRight" activeCell="X41" sqref="X41"/>
      <selection pane="bottomLeft" activeCell="X41" sqref="X41"/>
      <selection pane="bottomRight" activeCell="T9" sqref="T9"/>
    </sheetView>
  </sheetViews>
  <sheetFormatPr defaultColWidth="9.109375" defaultRowHeight="14.4" x14ac:dyDescent="0.3"/>
  <cols>
    <col min="1" max="1" width="35.33203125" style="520" bestFit="1" customWidth="1"/>
    <col min="2" max="2" width="1.109375" style="389" customWidth="1"/>
    <col min="3" max="3" width="7.6640625" style="364" customWidth="1"/>
    <col min="4" max="4" width="8.88671875" style="364" customWidth="1"/>
    <col min="5" max="7" width="7.6640625" style="364" customWidth="1"/>
    <col min="8" max="8" width="7.6640625" style="415" customWidth="1"/>
    <col min="9" max="9" width="1.88671875" style="364" customWidth="1"/>
    <col min="10" max="10" width="7.6640625" style="364" customWidth="1"/>
    <col min="11" max="11" width="9.33203125" style="364" customWidth="1"/>
    <col min="12" max="14" width="7.6640625" style="364" customWidth="1"/>
    <col min="15" max="15" width="7.6640625" style="415" customWidth="1"/>
    <col min="16" max="16" width="1" style="364" customWidth="1"/>
    <col min="17" max="17" width="18.6640625" style="364" customWidth="1"/>
    <col min="18" max="16384" width="9.109375" style="364"/>
  </cols>
  <sheetData>
    <row r="1" spans="1:17" x14ac:dyDescent="0.3">
      <c r="A1" s="513"/>
      <c r="B1" s="361"/>
      <c r="C1" s="362"/>
      <c r="D1" s="362"/>
      <c r="E1" s="362"/>
      <c r="F1" s="362"/>
      <c r="G1" s="362"/>
      <c r="H1" s="386"/>
      <c r="I1" s="362"/>
    </row>
    <row r="2" spans="1:17" x14ac:dyDescent="0.3">
      <c r="A2" s="513"/>
      <c r="B2" s="361"/>
      <c r="C2" s="362"/>
      <c r="D2" s="362"/>
      <c r="E2" s="362"/>
      <c r="F2" s="362"/>
      <c r="G2" s="362"/>
      <c r="H2" s="386"/>
      <c r="I2" s="362"/>
    </row>
    <row r="3" spans="1:17" x14ac:dyDescent="0.3">
      <c r="A3" s="513"/>
      <c r="B3" s="361"/>
      <c r="C3" s="362"/>
      <c r="D3" s="362"/>
      <c r="E3" s="362"/>
      <c r="F3" s="362"/>
      <c r="G3" s="362"/>
      <c r="H3" s="386"/>
      <c r="I3" s="362"/>
    </row>
    <row r="4" spans="1:17" x14ac:dyDescent="0.3">
      <c r="A4" s="513"/>
      <c r="B4" s="361"/>
      <c r="C4" s="362"/>
      <c r="D4" s="362"/>
      <c r="E4" s="362"/>
      <c r="F4" s="362"/>
      <c r="G4" s="362"/>
      <c r="H4" s="386"/>
      <c r="I4" s="362"/>
    </row>
    <row r="5" spans="1:17" ht="20.399999999999999" x14ac:dyDescent="0.35">
      <c r="A5" s="514" t="s">
        <v>182</v>
      </c>
      <c r="B5" s="365"/>
      <c r="C5" s="362"/>
      <c r="D5" s="362"/>
      <c r="E5" s="362"/>
      <c r="F5" s="362"/>
      <c r="G5" s="362"/>
      <c r="H5" s="386"/>
      <c r="I5" s="362"/>
    </row>
    <row r="6" spans="1:17" ht="21" x14ac:dyDescent="0.35">
      <c r="A6" s="514" t="s">
        <v>231</v>
      </c>
      <c r="B6" s="365"/>
      <c r="C6" s="362"/>
      <c r="D6" s="362"/>
      <c r="E6" s="362"/>
      <c r="F6" s="362"/>
      <c r="G6" s="362"/>
      <c r="I6" s="362"/>
      <c r="L6" s="416" t="s">
        <v>232</v>
      </c>
      <c r="M6" s="417"/>
      <c r="N6" s="417"/>
      <c r="O6" s="409"/>
      <c r="P6" s="367"/>
      <c r="Q6" s="368"/>
    </row>
    <row r="7" spans="1:17" ht="6.75" customHeight="1" thickBot="1" x14ac:dyDescent="0.4">
      <c r="A7" s="514"/>
      <c r="B7" s="365"/>
      <c r="C7" s="362"/>
      <c r="D7" s="362"/>
      <c r="E7" s="362"/>
      <c r="F7" s="362"/>
      <c r="G7" s="362"/>
      <c r="I7" s="362"/>
      <c r="M7" s="367"/>
      <c r="N7" s="367"/>
      <c r="O7" s="409"/>
      <c r="P7" s="367"/>
      <c r="Q7" s="368"/>
    </row>
    <row r="8" spans="1:17" ht="21" customHeight="1" thickBot="1" x14ac:dyDescent="0.35">
      <c r="A8" s="689" t="s">
        <v>8</v>
      </c>
      <c r="B8" s="418"/>
      <c r="C8" s="648" t="s">
        <v>233</v>
      </c>
      <c r="D8" s="649"/>
      <c r="E8" s="649"/>
      <c r="F8" s="649"/>
      <c r="G8" s="649"/>
      <c r="H8" s="650"/>
      <c r="I8" s="362"/>
      <c r="J8" s="648" t="s">
        <v>234</v>
      </c>
      <c r="K8" s="649"/>
      <c r="L8" s="649"/>
      <c r="M8" s="649"/>
      <c r="N8" s="649"/>
      <c r="O8" s="650"/>
      <c r="P8" s="407"/>
      <c r="Q8" s="691" t="s">
        <v>226</v>
      </c>
    </row>
    <row r="9" spans="1:17" ht="28.2" thickBot="1" x14ac:dyDescent="0.35">
      <c r="A9" s="690"/>
      <c r="B9" s="419"/>
      <c r="C9" s="403" t="s">
        <v>192</v>
      </c>
      <c r="D9" s="420" t="s">
        <v>219</v>
      </c>
      <c r="E9" s="373" t="s">
        <v>193</v>
      </c>
      <c r="F9" s="374" t="s">
        <v>220</v>
      </c>
      <c r="G9" s="404" t="s">
        <v>235</v>
      </c>
      <c r="H9" s="421" t="s">
        <v>236</v>
      </c>
      <c r="I9" s="362"/>
      <c r="J9" s="403" t="s">
        <v>192</v>
      </c>
      <c r="K9" s="420" t="s">
        <v>219</v>
      </c>
      <c r="L9" s="373" t="s">
        <v>193</v>
      </c>
      <c r="M9" s="422" t="s">
        <v>220</v>
      </c>
      <c r="N9" s="404" t="s">
        <v>235</v>
      </c>
      <c r="O9" s="421" t="s">
        <v>236</v>
      </c>
      <c r="P9" s="423"/>
      <c r="Q9" s="692"/>
    </row>
    <row r="10" spans="1:17" ht="12" customHeight="1" x14ac:dyDescent="0.3">
      <c r="A10" s="515">
        <v>38591</v>
      </c>
      <c r="B10" s="409"/>
      <c r="C10" s="424">
        <v>10.5</v>
      </c>
      <c r="D10" s="425">
        <v>2550</v>
      </c>
      <c r="E10" s="426">
        <v>1700</v>
      </c>
      <c r="F10" s="424">
        <v>0.8</v>
      </c>
      <c r="G10" s="426">
        <v>600</v>
      </c>
      <c r="H10" s="427"/>
      <c r="I10" s="428"/>
      <c r="J10" s="429"/>
      <c r="K10" s="426"/>
      <c r="L10" s="426"/>
      <c r="M10" s="430"/>
      <c r="N10" s="426"/>
      <c r="O10" s="427"/>
      <c r="P10" s="428"/>
      <c r="Q10" s="427" t="s">
        <v>237</v>
      </c>
    </row>
    <row r="11" spans="1:17" ht="12" customHeight="1" x14ac:dyDescent="0.3">
      <c r="A11" s="515">
        <v>38599</v>
      </c>
      <c r="B11" s="409"/>
      <c r="C11" s="424">
        <v>9.6999999999999993</v>
      </c>
      <c r="D11" s="425">
        <v>2055</v>
      </c>
      <c r="E11" s="426">
        <v>1370</v>
      </c>
      <c r="F11" s="424">
        <v>0.8</v>
      </c>
      <c r="G11" s="426">
        <v>600</v>
      </c>
      <c r="H11" s="427"/>
      <c r="I11" s="428"/>
      <c r="J11" s="429"/>
      <c r="K11" s="426"/>
      <c r="L11" s="426"/>
      <c r="M11" s="430"/>
      <c r="N11" s="426"/>
      <c r="O11" s="427"/>
      <c r="P11" s="428"/>
      <c r="Q11" s="431" t="s">
        <v>237</v>
      </c>
    </row>
    <row r="12" spans="1:17" ht="12" customHeight="1" x14ac:dyDescent="0.3">
      <c r="A12" s="515">
        <v>38606</v>
      </c>
      <c r="B12" s="409"/>
      <c r="C12" s="424">
        <v>9.8000000000000007</v>
      </c>
      <c r="D12" s="425">
        <v>2160</v>
      </c>
      <c r="E12" s="426">
        <v>1440</v>
      </c>
      <c r="F12" s="424">
        <v>0.7</v>
      </c>
      <c r="G12" s="426">
        <v>650</v>
      </c>
      <c r="H12" s="427"/>
      <c r="I12" s="428"/>
      <c r="J12" s="429"/>
      <c r="K12" s="426"/>
      <c r="L12" s="426"/>
      <c r="M12" s="430"/>
      <c r="N12" s="426"/>
      <c r="O12" s="427"/>
      <c r="P12" s="428"/>
      <c r="Q12" s="431" t="s">
        <v>237</v>
      </c>
    </row>
    <row r="13" spans="1:17" ht="12" customHeight="1" x14ac:dyDescent="0.3">
      <c r="A13" s="515">
        <v>38613</v>
      </c>
      <c r="B13" s="409"/>
      <c r="C13" s="424">
        <v>9.6999999999999993</v>
      </c>
      <c r="D13" s="425">
        <v>2250</v>
      </c>
      <c r="E13" s="426">
        <v>1500</v>
      </c>
      <c r="F13" s="424">
        <v>0.8</v>
      </c>
      <c r="G13" s="426">
        <v>600</v>
      </c>
      <c r="H13" s="427"/>
      <c r="I13" s="428"/>
      <c r="J13" s="429"/>
      <c r="K13" s="426"/>
      <c r="L13" s="426"/>
      <c r="M13" s="430"/>
      <c r="N13" s="426"/>
      <c r="O13" s="427"/>
      <c r="P13" s="428"/>
      <c r="Q13" s="431" t="s">
        <v>237</v>
      </c>
    </row>
    <row r="14" spans="1:17" ht="12" customHeight="1" x14ac:dyDescent="0.3">
      <c r="A14" s="515">
        <v>38634</v>
      </c>
      <c r="B14" s="409"/>
      <c r="C14" s="424">
        <v>8</v>
      </c>
      <c r="D14" s="425">
        <v>585</v>
      </c>
      <c r="E14" s="426">
        <v>390</v>
      </c>
      <c r="F14" s="424">
        <v>0.3</v>
      </c>
      <c r="G14" s="427" t="s">
        <v>238</v>
      </c>
      <c r="H14" s="427"/>
      <c r="I14" s="428"/>
      <c r="J14" s="429"/>
      <c r="K14" s="426"/>
      <c r="L14" s="426"/>
      <c r="M14" s="430"/>
      <c r="N14" s="426"/>
      <c r="O14" s="427"/>
      <c r="P14" s="428"/>
      <c r="Q14" s="431" t="s">
        <v>237</v>
      </c>
    </row>
    <row r="15" spans="1:17" ht="12" customHeight="1" x14ac:dyDescent="0.3">
      <c r="A15" s="515">
        <v>38662</v>
      </c>
      <c r="B15" s="409"/>
      <c r="C15" s="424">
        <v>10</v>
      </c>
      <c r="D15" s="425">
        <v>1845</v>
      </c>
      <c r="E15" s="426">
        <v>1230</v>
      </c>
      <c r="F15" s="424">
        <v>0.8</v>
      </c>
      <c r="G15" s="426">
        <v>500</v>
      </c>
      <c r="H15" s="427"/>
      <c r="I15" s="428"/>
      <c r="J15" s="429"/>
      <c r="K15" s="426"/>
      <c r="L15" s="426"/>
      <c r="M15" s="430"/>
      <c r="N15" s="426"/>
      <c r="O15" s="427"/>
      <c r="P15" s="428"/>
      <c r="Q15" s="431" t="s">
        <v>237</v>
      </c>
    </row>
    <row r="16" spans="1:17" ht="12" customHeight="1" x14ac:dyDescent="0.3">
      <c r="A16" s="515">
        <v>38722</v>
      </c>
      <c r="B16" s="409"/>
      <c r="C16" s="424">
        <v>10</v>
      </c>
      <c r="D16" s="425">
        <v>2175</v>
      </c>
      <c r="E16" s="426">
        <v>1450</v>
      </c>
      <c r="F16" s="424">
        <v>0.6</v>
      </c>
      <c r="G16" s="426">
        <v>700</v>
      </c>
      <c r="H16" s="427" t="s">
        <v>238</v>
      </c>
      <c r="I16" s="428"/>
      <c r="J16" s="429"/>
      <c r="K16" s="426"/>
      <c r="L16" s="426"/>
      <c r="M16" s="430"/>
      <c r="N16" s="426"/>
      <c r="O16" s="427"/>
      <c r="P16" s="428"/>
      <c r="Q16" s="431" t="s">
        <v>237</v>
      </c>
    </row>
    <row r="17" spans="1:17" ht="12" customHeight="1" x14ac:dyDescent="0.3">
      <c r="A17" s="515">
        <v>38739</v>
      </c>
      <c r="B17" s="409"/>
      <c r="C17" s="424">
        <v>10.1</v>
      </c>
      <c r="D17" s="425">
        <v>3150</v>
      </c>
      <c r="E17" s="426">
        <v>2300</v>
      </c>
      <c r="F17" s="424">
        <v>0.5</v>
      </c>
      <c r="G17" s="426">
        <v>450</v>
      </c>
      <c r="H17" s="427"/>
      <c r="I17" s="428"/>
      <c r="J17" s="429"/>
      <c r="K17" s="426"/>
      <c r="L17" s="426"/>
      <c r="M17" s="430"/>
      <c r="N17" s="426"/>
      <c r="O17" s="427"/>
      <c r="P17" s="428"/>
      <c r="Q17" s="431" t="s">
        <v>237</v>
      </c>
    </row>
    <row r="18" spans="1:17" ht="12" customHeight="1" x14ac:dyDescent="0.3">
      <c r="A18" s="515">
        <v>38760</v>
      </c>
      <c r="B18" s="409"/>
      <c r="C18" s="424">
        <v>9.9</v>
      </c>
      <c r="D18" s="425">
        <v>1675</v>
      </c>
      <c r="E18" s="426">
        <v>1250</v>
      </c>
      <c r="F18" s="424">
        <v>0.3</v>
      </c>
      <c r="G18" s="426">
        <v>600</v>
      </c>
      <c r="H18" s="427" t="s">
        <v>238</v>
      </c>
      <c r="I18" s="428"/>
      <c r="J18" s="429"/>
      <c r="K18" s="426"/>
      <c r="L18" s="426"/>
      <c r="M18" s="430"/>
      <c r="N18" s="426"/>
      <c r="O18" s="427"/>
      <c r="P18" s="428"/>
      <c r="Q18" s="431" t="s">
        <v>237</v>
      </c>
    </row>
    <row r="19" spans="1:17" ht="12" customHeight="1" x14ac:dyDescent="0.3">
      <c r="A19" s="515">
        <v>38767</v>
      </c>
      <c r="B19" s="409"/>
      <c r="C19" s="424">
        <v>9.6999999999999993</v>
      </c>
      <c r="D19" s="425">
        <v>22250</v>
      </c>
      <c r="E19" s="426">
        <v>1500</v>
      </c>
      <c r="F19" s="424">
        <v>0.5</v>
      </c>
      <c r="G19" s="426">
        <v>250</v>
      </c>
      <c r="H19" s="427"/>
      <c r="I19" s="428"/>
      <c r="J19" s="429"/>
      <c r="K19" s="426"/>
      <c r="L19" s="426"/>
      <c r="M19" s="430"/>
      <c r="N19" s="426"/>
      <c r="O19" s="427"/>
      <c r="P19" s="428"/>
      <c r="Q19" s="431" t="s">
        <v>237</v>
      </c>
    </row>
    <row r="20" spans="1:17" ht="12" customHeight="1" x14ac:dyDescent="0.3">
      <c r="A20" s="515">
        <v>38788</v>
      </c>
      <c r="B20" s="409"/>
      <c r="C20" s="424">
        <v>10.1</v>
      </c>
      <c r="D20" s="425">
        <v>2475</v>
      </c>
      <c r="E20" s="426">
        <v>1850</v>
      </c>
      <c r="F20" s="424">
        <v>0.6</v>
      </c>
      <c r="G20" s="426">
        <v>1000</v>
      </c>
      <c r="H20" s="427" t="s">
        <v>238</v>
      </c>
      <c r="I20" s="428"/>
      <c r="J20" s="429"/>
      <c r="K20" s="426"/>
      <c r="L20" s="426"/>
      <c r="M20" s="430"/>
      <c r="N20" s="426"/>
      <c r="O20" s="427"/>
      <c r="P20" s="428"/>
      <c r="Q20" s="431" t="s">
        <v>237</v>
      </c>
    </row>
    <row r="21" spans="1:17" ht="12" customHeight="1" x14ac:dyDescent="0.3">
      <c r="A21" s="515">
        <v>38802</v>
      </c>
      <c r="B21" s="409"/>
      <c r="C21" s="424">
        <v>10.199999999999999</v>
      </c>
      <c r="D21" s="425">
        <v>3000</v>
      </c>
      <c r="E21" s="426">
        <v>2000</v>
      </c>
      <c r="F21" s="424">
        <v>0.3</v>
      </c>
      <c r="G21" s="426">
        <v>650</v>
      </c>
      <c r="H21" s="427"/>
      <c r="I21" s="428"/>
      <c r="J21" s="429"/>
      <c r="K21" s="426"/>
      <c r="L21" s="426"/>
      <c r="M21" s="430"/>
      <c r="N21" s="426"/>
      <c r="O21" s="427"/>
      <c r="P21" s="428"/>
      <c r="Q21" s="431" t="s">
        <v>237</v>
      </c>
    </row>
    <row r="22" spans="1:17" ht="12" customHeight="1" x14ac:dyDescent="0.3">
      <c r="A22" s="515">
        <v>38844</v>
      </c>
      <c r="B22" s="409"/>
      <c r="C22" s="424">
        <v>10.199999999999999</v>
      </c>
      <c r="D22" s="425">
        <v>2750</v>
      </c>
      <c r="E22" s="426">
        <v>1800</v>
      </c>
      <c r="F22" s="424">
        <v>0.5</v>
      </c>
      <c r="G22" s="426">
        <v>1000</v>
      </c>
      <c r="H22" s="427"/>
      <c r="I22" s="428"/>
      <c r="J22" s="429"/>
      <c r="K22" s="426"/>
      <c r="L22" s="426"/>
      <c r="M22" s="430"/>
      <c r="N22" s="426"/>
      <c r="O22" s="427"/>
      <c r="P22" s="428"/>
      <c r="Q22" s="431" t="s">
        <v>237</v>
      </c>
    </row>
    <row r="23" spans="1:17" ht="12" customHeight="1" x14ac:dyDescent="0.3">
      <c r="A23" s="515">
        <v>38858</v>
      </c>
      <c r="B23" s="409"/>
      <c r="C23" s="424">
        <v>10.199999999999999</v>
      </c>
      <c r="D23" s="425">
        <v>3750</v>
      </c>
      <c r="E23" s="426">
        <v>2500</v>
      </c>
      <c r="F23" s="424">
        <v>0.6</v>
      </c>
      <c r="G23" s="426">
        <v>1000</v>
      </c>
      <c r="H23" s="427" t="s">
        <v>238</v>
      </c>
      <c r="I23" s="428"/>
      <c r="J23" s="429"/>
      <c r="K23" s="426"/>
      <c r="L23" s="426"/>
      <c r="M23" s="430"/>
      <c r="N23" s="426"/>
      <c r="O23" s="427"/>
      <c r="P23" s="428"/>
      <c r="Q23" s="431" t="s">
        <v>237</v>
      </c>
    </row>
    <row r="24" spans="1:17" ht="12" customHeight="1" x14ac:dyDescent="0.3">
      <c r="A24" s="515">
        <v>38900</v>
      </c>
      <c r="B24" s="409"/>
      <c r="C24" s="424">
        <v>10.5</v>
      </c>
      <c r="D24" s="425">
        <v>3000</v>
      </c>
      <c r="E24" s="426">
        <v>2000</v>
      </c>
      <c r="F24" s="424">
        <v>0.5</v>
      </c>
      <c r="G24" s="426">
        <v>1000</v>
      </c>
      <c r="H24" s="427" t="s">
        <v>238</v>
      </c>
      <c r="I24" s="428"/>
      <c r="J24" s="429"/>
      <c r="K24" s="426"/>
      <c r="L24" s="426"/>
      <c r="M24" s="430"/>
      <c r="N24" s="426"/>
      <c r="O24" s="427"/>
      <c r="P24" s="428"/>
      <c r="Q24" s="431" t="s">
        <v>237</v>
      </c>
    </row>
    <row r="25" spans="1:17" ht="12" customHeight="1" x14ac:dyDescent="0.3">
      <c r="A25" s="515">
        <v>38926</v>
      </c>
      <c r="B25" s="409"/>
      <c r="C25" s="424">
        <v>10.4</v>
      </c>
      <c r="D25" s="425">
        <v>3000</v>
      </c>
      <c r="E25" s="426">
        <v>2000</v>
      </c>
      <c r="F25" s="424">
        <v>0.3</v>
      </c>
      <c r="G25" s="426">
        <v>700</v>
      </c>
      <c r="H25" s="427" t="s">
        <v>238</v>
      </c>
      <c r="I25" s="428"/>
      <c r="J25" s="429">
        <v>10.199999999999999</v>
      </c>
      <c r="K25" s="426">
        <v>6000</v>
      </c>
      <c r="L25" s="426">
        <v>4000</v>
      </c>
      <c r="M25" s="430">
        <v>0.3</v>
      </c>
      <c r="N25" s="426">
        <v>2500</v>
      </c>
      <c r="O25" s="427" t="s">
        <v>238</v>
      </c>
      <c r="P25" s="428"/>
      <c r="Q25" s="431" t="s">
        <v>237</v>
      </c>
    </row>
    <row r="26" spans="1:17" ht="12" customHeight="1" x14ac:dyDescent="0.3">
      <c r="A26" s="515">
        <v>38949</v>
      </c>
      <c r="B26" s="409"/>
      <c r="C26" s="424">
        <v>10.5</v>
      </c>
      <c r="D26" s="425">
        <v>3000</v>
      </c>
      <c r="E26" s="426">
        <v>2000</v>
      </c>
      <c r="F26" s="424">
        <v>0.5</v>
      </c>
      <c r="G26" s="426">
        <v>1000</v>
      </c>
      <c r="H26" s="427" t="s">
        <v>238</v>
      </c>
      <c r="I26" s="428"/>
      <c r="J26" s="429">
        <v>9.8000000000000007</v>
      </c>
      <c r="K26" s="426">
        <v>7500</v>
      </c>
      <c r="L26" s="426">
        <v>5000</v>
      </c>
      <c r="M26" s="430">
        <v>0.6</v>
      </c>
      <c r="N26" s="426">
        <v>2000</v>
      </c>
      <c r="O26" s="427" t="s">
        <v>238</v>
      </c>
      <c r="P26" s="428"/>
      <c r="Q26" s="431" t="s">
        <v>237</v>
      </c>
    </row>
    <row r="27" spans="1:17" ht="12" customHeight="1" x14ac:dyDescent="0.3">
      <c r="A27" s="515">
        <v>38963</v>
      </c>
      <c r="B27" s="409"/>
      <c r="C27" s="424">
        <v>10.5</v>
      </c>
      <c r="D27" s="425">
        <v>1950</v>
      </c>
      <c r="E27" s="426">
        <v>1300</v>
      </c>
      <c r="F27" s="424">
        <v>0.3</v>
      </c>
      <c r="G27" s="426">
        <v>600</v>
      </c>
      <c r="H27" s="427"/>
      <c r="I27" s="428"/>
      <c r="J27" s="429">
        <v>10.7</v>
      </c>
      <c r="K27" s="426">
        <v>4500</v>
      </c>
      <c r="L27" s="426">
        <v>3000</v>
      </c>
      <c r="M27" s="430">
        <v>0.5</v>
      </c>
      <c r="N27" s="426">
        <v>2000</v>
      </c>
      <c r="O27" s="427"/>
      <c r="P27" s="428"/>
      <c r="Q27" s="431" t="s">
        <v>237</v>
      </c>
    </row>
    <row r="28" spans="1:17" ht="12" customHeight="1" x14ac:dyDescent="0.3">
      <c r="A28" s="515">
        <v>38977</v>
      </c>
      <c r="B28" s="409"/>
      <c r="C28" s="424">
        <v>10.5</v>
      </c>
      <c r="D28" s="425">
        <v>2250</v>
      </c>
      <c r="E28" s="426">
        <v>1500</v>
      </c>
      <c r="F28" s="424">
        <v>0.5</v>
      </c>
      <c r="G28" s="426">
        <v>600</v>
      </c>
      <c r="H28" s="427"/>
      <c r="I28" s="428"/>
      <c r="J28" s="429">
        <v>9</v>
      </c>
      <c r="K28" s="426">
        <v>600</v>
      </c>
      <c r="L28" s="426">
        <v>400</v>
      </c>
      <c r="M28" s="430">
        <v>3</v>
      </c>
      <c r="N28" s="427" t="s">
        <v>238</v>
      </c>
      <c r="O28" s="427"/>
      <c r="P28" s="428"/>
      <c r="Q28" s="431" t="s">
        <v>237</v>
      </c>
    </row>
    <row r="29" spans="1:17" ht="12" customHeight="1" x14ac:dyDescent="0.3">
      <c r="A29" s="515">
        <v>38998</v>
      </c>
      <c r="B29" s="409"/>
      <c r="C29" s="424">
        <v>10</v>
      </c>
      <c r="D29" s="425">
        <v>1950</v>
      </c>
      <c r="E29" s="426">
        <v>1300</v>
      </c>
      <c r="F29" s="424">
        <v>0.5</v>
      </c>
      <c r="G29" s="426">
        <v>600</v>
      </c>
      <c r="H29" s="427" t="s">
        <v>238</v>
      </c>
      <c r="I29" s="428"/>
      <c r="J29" s="429">
        <v>10.5</v>
      </c>
      <c r="K29" s="426">
        <v>6000</v>
      </c>
      <c r="L29" s="426">
        <v>4000</v>
      </c>
      <c r="M29" s="430">
        <v>0.5</v>
      </c>
      <c r="N29" s="426">
        <v>1500</v>
      </c>
      <c r="O29" s="427" t="s">
        <v>238</v>
      </c>
      <c r="P29" s="428"/>
      <c r="Q29" s="431" t="s">
        <v>237</v>
      </c>
    </row>
    <row r="30" spans="1:17" ht="12" customHeight="1" x14ac:dyDescent="0.3">
      <c r="A30" s="515">
        <v>39019</v>
      </c>
      <c r="B30" s="409"/>
      <c r="C30" s="424">
        <v>10.5</v>
      </c>
      <c r="D30" s="425">
        <v>2700</v>
      </c>
      <c r="E30" s="426">
        <v>1800</v>
      </c>
      <c r="F30" s="424">
        <v>0.5</v>
      </c>
      <c r="G30" s="426">
        <v>600</v>
      </c>
      <c r="H30" s="427" t="s">
        <v>238</v>
      </c>
      <c r="I30" s="428"/>
      <c r="J30" s="429">
        <v>11</v>
      </c>
      <c r="K30" s="426">
        <v>6000</v>
      </c>
      <c r="L30" s="426">
        <v>4000</v>
      </c>
      <c r="M30" s="430">
        <v>0.5</v>
      </c>
      <c r="N30" s="426">
        <v>2000</v>
      </c>
      <c r="O30" s="427" t="s">
        <v>238</v>
      </c>
      <c r="P30" s="428"/>
      <c r="Q30" s="431" t="s">
        <v>237</v>
      </c>
    </row>
    <row r="31" spans="1:17" ht="12" customHeight="1" x14ac:dyDescent="0.3">
      <c r="A31" s="515">
        <v>39037</v>
      </c>
      <c r="B31" s="409"/>
      <c r="C31" s="424">
        <v>10.5</v>
      </c>
      <c r="D31" s="425">
        <v>2700</v>
      </c>
      <c r="E31" s="426">
        <v>1800</v>
      </c>
      <c r="F31" s="424">
        <v>0.7</v>
      </c>
      <c r="G31" s="426">
        <v>1000</v>
      </c>
      <c r="H31" s="427" t="s">
        <v>238</v>
      </c>
      <c r="I31" s="428"/>
      <c r="J31" s="429">
        <v>11</v>
      </c>
      <c r="K31" s="426">
        <v>6000</v>
      </c>
      <c r="L31" s="426">
        <v>4000</v>
      </c>
      <c r="M31" s="430">
        <v>0.7</v>
      </c>
      <c r="N31" s="426">
        <v>3000</v>
      </c>
      <c r="O31" s="427" t="s">
        <v>238</v>
      </c>
      <c r="P31" s="428"/>
      <c r="Q31" s="431" t="s">
        <v>237</v>
      </c>
    </row>
    <row r="32" spans="1:17" ht="12" customHeight="1" x14ac:dyDescent="0.3">
      <c r="A32" s="515">
        <v>39047</v>
      </c>
      <c r="B32" s="409"/>
      <c r="C32" s="424">
        <v>10.5</v>
      </c>
      <c r="D32" s="425">
        <v>2700</v>
      </c>
      <c r="E32" s="426">
        <v>1800</v>
      </c>
      <c r="F32" s="424">
        <v>0.7</v>
      </c>
      <c r="G32" s="426">
        <v>1000</v>
      </c>
      <c r="H32" s="427" t="s">
        <v>238</v>
      </c>
      <c r="I32" s="428"/>
      <c r="J32" s="429">
        <v>11</v>
      </c>
      <c r="K32" s="426">
        <v>6000</v>
      </c>
      <c r="L32" s="426">
        <v>4000</v>
      </c>
      <c r="M32" s="430">
        <v>0.7</v>
      </c>
      <c r="N32" s="426">
        <v>2500</v>
      </c>
      <c r="O32" s="427" t="s">
        <v>238</v>
      </c>
      <c r="P32" s="428"/>
      <c r="Q32" s="431" t="s">
        <v>237</v>
      </c>
    </row>
    <row r="33" spans="1:17" ht="12" customHeight="1" x14ac:dyDescent="0.3">
      <c r="A33" s="515">
        <v>39096</v>
      </c>
      <c r="B33" s="409"/>
      <c r="C33" s="424">
        <v>10.6</v>
      </c>
      <c r="D33" s="425">
        <v>2550</v>
      </c>
      <c r="E33" s="426">
        <v>1700</v>
      </c>
      <c r="F33" s="424">
        <v>0.7</v>
      </c>
      <c r="G33" s="426">
        <v>1000</v>
      </c>
      <c r="H33" s="427" t="s">
        <v>238</v>
      </c>
      <c r="I33" s="428"/>
      <c r="J33" s="429">
        <v>11</v>
      </c>
      <c r="K33" s="426">
        <v>5250</v>
      </c>
      <c r="L33" s="426">
        <v>3500</v>
      </c>
      <c r="M33" s="430">
        <v>0.7</v>
      </c>
      <c r="N33" s="426">
        <v>2500</v>
      </c>
      <c r="O33" s="427" t="s">
        <v>238</v>
      </c>
      <c r="P33" s="428"/>
      <c r="Q33" s="431" t="s">
        <v>237</v>
      </c>
    </row>
    <row r="34" spans="1:17" ht="12" customHeight="1" x14ac:dyDescent="0.3">
      <c r="A34" s="515">
        <v>39124</v>
      </c>
      <c r="B34" s="409"/>
      <c r="C34" s="424">
        <v>10.8</v>
      </c>
      <c r="D34" s="425">
        <v>3300</v>
      </c>
      <c r="E34" s="426">
        <v>4500</v>
      </c>
      <c r="F34" s="424">
        <v>0.6</v>
      </c>
      <c r="G34" s="426">
        <v>2000</v>
      </c>
      <c r="H34" s="427" t="s">
        <v>238</v>
      </c>
      <c r="I34" s="428"/>
      <c r="J34" s="429">
        <v>11</v>
      </c>
      <c r="K34" s="426">
        <v>6750</v>
      </c>
      <c r="L34" s="426">
        <v>4500</v>
      </c>
      <c r="M34" s="430">
        <v>0.6</v>
      </c>
      <c r="N34" s="426">
        <v>2000</v>
      </c>
      <c r="O34" s="427" t="s">
        <v>238</v>
      </c>
      <c r="P34" s="428"/>
      <c r="Q34" s="431" t="s">
        <v>237</v>
      </c>
    </row>
    <row r="35" spans="1:17" ht="12" customHeight="1" x14ac:dyDescent="0.3">
      <c r="A35" s="515">
        <v>39145</v>
      </c>
      <c r="B35" s="409"/>
      <c r="C35" s="424">
        <v>10.9</v>
      </c>
      <c r="D35" s="425">
        <v>2700</v>
      </c>
      <c r="E35" s="426">
        <v>1800</v>
      </c>
      <c r="F35" s="424">
        <v>0.7</v>
      </c>
      <c r="G35" s="426">
        <v>600</v>
      </c>
      <c r="H35" s="427" t="s">
        <v>238</v>
      </c>
      <c r="I35" s="428"/>
      <c r="J35" s="429">
        <v>11</v>
      </c>
      <c r="K35" s="426">
        <v>5250</v>
      </c>
      <c r="L35" s="426">
        <v>3500</v>
      </c>
      <c r="M35" s="430">
        <v>0.7</v>
      </c>
      <c r="N35" s="426">
        <v>1800</v>
      </c>
      <c r="O35" s="427" t="s">
        <v>238</v>
      </c>
      <c r="P35" s="428"/>
      <c r="Q35" s="431" t="s">
        <v>237</v>
      </c>
    </row>
    <row r="36" spans="1:17" ht="12" customHeight="1" x14ac:dyDescent="0.3">
      <c r="A36" s="515">
        <v>39166</v>
      </c>
      <c r="B36" s="409"/>
      <c r="C36" s="424">
        <v>10.8</v>
      </c>
      <c r="D36" s="425">
        <v>2400</v>
      </c>
      <c r="E36" s="426">
        <v>1600</v>
      </c>
      <c r="F36" s="424">
        <v>0.6</v>
      </c>
      <c r="G36" s="426">
        <v>600</v>
      </c>
      <c r="H36" s="427" t="s">
        <v>238</v>
      </c>
      <c r="I36" s="428"/>
      <c r="J36" s="429">
        <v>10.3</v>
      </c>
      <c r="K36" s="426">
        <v>4200</v>
      </c>
      <c r="L36" s="426">
        <v>2800</v>
      </c>
      <c r="M36" s="430">
        <v>0.4</v>
      </c>
      <c r="N36" s="426">
        <v>1500</v>
      </c>
      <c r="O36" s="427" t="s">
        <v>238</v>
      </c>
      <c r="P36" s="428"/>
      <c r="Q36" s="431" t="s">
        <v>237</v>
      </c>
    </row>
    <row r="37" spans="1:17" ht="12" customHeight="1" x14ac:dyDescent="0.3">
      <c r="A37" s="515">
        <v>39180</v>
      </c>
      <c r="B37" s="409"/>
      <c r="C37" s="424">
        <v>10.8</v>
      </c>
      <c r="D37" s="425">
        <v>2700</v>
      </c>
      <c r="E37" s="426">
        <v>1800</v>
      </c>
      <c r="F37" s="424">
        <v>0.7</v>
      </c>
      <c r="G37" s="426">
        <v>600</v>
      </c>
      <c r="H37" s="427" t="s">
        <v>238</v>
      </c>
      <c r="I37" s="428"/>
      <c r="J37" s="429">
        <v>10.9</v>
      </c>
      <c r="K37" s="426">
        <v>5250</v>
      </c>
      <c r="L37" s="426">
        <v>3500</v>
      </c>
      <c r="M37" s="430">
        <v>0.6</v>
      </c>
      <c r="N37" s="426">
        <v>1800</v>
      </c>
      <c r="O37" s="427" t="s">
        <v>238</v>
      </c>
      <c r="P37" s="428"/>
      <c r="Q37" s="431" t="s">
        <v>237</v>
      </c>
    </row>
    <row r="38" spans="1:17" ht="12" customHeight="1" x14ac:dyDescent="0.3">
      <c r="A38" s="515">
        <v>39201</v>
      </c>
      <c r="B38" s="409"/>
      <c r="C38" s="424">
        <v>10.7</v>
      </c>
      <c r="D38" s="425">
        <v>2250</v>
      </c>
      <c r="E38" s="426">
        <v>1700</v>
      </c>
      <c r="F38" s="424">
        <v>0.7</v>
      </c>
      <c r="G38" s="426"/>
      <c r="H38" s="427">
        <v>8.1999999999999993</v>
      </c>
      <c r="I38" s="428"/>
      <c r="J38" s="429">
        <v>370</v>
      </c>
      <c r="K38" s="426">
        <v>4500</v>
      </c>
      <c r="L38" s="426">
        <v>1.2</v>
      </c>
      <c r="M38" s="430">
        <v>26</v>
      </c>
      <c r="N38" s="426">
        <v>496</v>
      </c>
      <c r="O38" s="427"/>
      <c r="P38" s="428"/>
      <c r="Q38" s="431" t="s">
        <v>237</v>
      </c>
    </row>
    <row r="39" spans="1:17" ht="12" customHeight="1" x14ac:dyDescent="0.3">
      <c r="A39" s="515">
        <v>39235</v>
      </c>
      <c r="B39" s="409"/>
      <c r="C39" s="424">
        <v>10.3</v>
      </c>
      <c r="D39" s="425">
        <v>3000</v>
      </c>
      <c r="E39" s="426">
        <v>2000</v>
      </c>
      <c r="F39" s="424">
        <v>0.7</v>
      </c>
      <c r="G39" s="426">
        <v>1000</v>
      </c>
      <c r="H39" s="427" t="s">
        <v>239</v>
      </c>
      <c r="I39" s="428"/>
      <c r="J39" s="424">
        <v>11</v>
      </c>
      <c r="K39" s="425">
        <v>5250</v>
      </c>
      <c r="L39" s="426">
        <v>3500</v>
      </c>
      <c r="M39" s="424">
        <v>0.7</v>
      </c>
      <c r="N39" s="426">
        <v>1500</v>
      </c>
      <c r="O39" s="427" t="s">
        <v>239</v>
      </c>
      <c r="P39" s="428"/>
      <c r="Q39" s="431" t="s">
        <v>237</v>
      </c>
    </row>
    <row r="40" spans="1:17" ht="12" customHeight="1" x14ac:dyDescent="0.3">
      <c r="A40" s="515">
        <v>39250</v>
      </c>
      <c r="B40" s="409"/>
      <c r="C40" s="424">
        <v>10.5</v>
      </c>
      <c r="D40" s="425">
        <v>3000</v>
      </c>
      <c r="E40" s="426">
        <v>2000</v>
      </c>
      <c r="F40" s="424">
        <v>0.6</v>
      </c>
      <c r="G40" s="426">
        <v>800</v>
      </c>
      <c r="H40" s="427" t="s">
        <v>239</v>
      </c>
      <c r="I40" s="428"/>
      <c r="J40" s="429">
        <v>11</v>
      </c>
      <c r="K40" s="426">
        <v>4500</v>
      </c>
      <c r="L40" s="426">
        <v>3000</v>
      </c>
      <c r="M40" s="430">
        <v>0.6</v>
      </c>
      <c r="N40" s="426">
        <v>1500</v>
      </c>
      <c r="O40" s="427" t="s">
        <v>239</v>
      </c>
      <c r="P40" s="428"/>
      <c r="Q40" s="431" t="s">
        <v>237</v>
      </c>
    </row>
    <row r="41" spans="1:17" ht="12" customHeight="1" x14ac:dyDescent="0.3">
      <c r="A41" s="515">
        <v>39264</v>
      </c>
      <c r="B41" s="409"/>
      <c r="C41" s="424">
        <v>10.5</v>
      </c>
      <c r="D41" s="425">
        <v>3000</v>
      </c>
      <c r="E41" s="426">
        <v>2000</v>
      </c>
      <c r="F41" s="424">
        <v>0.6</v>
      </c>
      <c r="G41" s="426">
        <v>1000</v>
      </c>
      <c r="H41" s="427"/>
      <c r="I41" s="428"/>
      <c r="J41" s="429">
        <v>10.6</v>
      </c>
      <c r="K41" s="426">
        <v>2700</v>
      </c>
      <c r="L41" s="426">
        <v>1800</v>
      </c>
      <c r="M41" s="430">
        <v>0.6</v>
      </c>
      <c r="N41" s="426">
        <v>800</v>
      </c>
      <c r="O41" s="427"/>
      <c r="P41" s="428"/>
      <c r="Q41" s="431" t="s">
        <v>237</v>
      </c>
    </row>
    <row r="42" spans="1:17" ht="12" customHeight="1" x14ac:dyDescent="0.3">
      <c r="A42" s="515">
        <v>39292</v>
      </c>
      <c r="B42" s="409"/>
      <c r="C42" s="424">
        <v>10.7</v>
      </c>
      <c r="D42" s="425">
        <v>2700</v>
      </c>
      <c r="E42" s="426">
        <v>1800</v>
      </c>
      <c r="F42" s="424">
        <v>0.6</v>
      </c>
      <c r="G42" s="426">
        <v>600</v>
      </c>
      <c r="H42" s="427" t="s">
        <v>239</v>
      </c>
      <c r="I42" s="428"/>
      <c r="J42" s="429">
        <v>10.5</v>
      </c>
      <c r="K42" s="426">
        <v>2550</v>
      </c>
      <c r="L42" s="426">
        <v>1700</v>
      </c>
      <c r="M42" s="430">
        <v>0.6</v>
      </c>
      <c r="N42" s="426">
        <v>400</v>
      </c>
      <c r="O42" s="427" t="s">
        <v>239</v>
      </c>
      <c r="P42" s="428"/>
      <c r="Q42" s="431" t="s">
        <v>237</v>
      </c>
    </row>
    <row r="43" spans="1:17" ht="12" customHeight="1" x14ac:dyDescent="0.3">
      <c r="A43" s="515">
        <v>39299</v>
      </c>
      <c r="B43" s="409"/>
      <c r="C43" s="424">
        <v>10.5</v>
      </c>
      <c r="D43" s="425">
        <v>3000</v>
      </c>
      <c r="E43" s="426">
        <v>2000</v>
      </c>
      <c r="F43" s="424">
        <v>0.6</v>
      </c>
      <c r="G43" s="426">
        <v>1000</v>
      </c>
      <c r="H43" s="427"/>
      <c r="I43" s="428"/>
      <c r="J43" s="429">
        <v>10.6</v>
      </c>
      <c r="K43" s="426">
        <v>7500</v>
      </c>
      <c r="L43" s="426">
        <v>5000</v>
      </c>
      <c r="M43" s="430">
        <v>0.6</v>
      </c>
      <c r="N43" s="426">
        <v>3000</v>
      </c>
      <c r="O43" s="427"/>
      <c r="P43" s="428"/>
      <c r="Q43" s="431" t="s">
        <v>237</v>
      </c>
    </row>
    <row r="44" spans="1:17" ht="12" customHeight="1" x14ac:dyDescent="0.3">
      <c r="A44" s="515">
        <v>39327</v>
      </c>
      <c r="B44" s="409"/>
      <c r="C44" s="424">
        <v>10.199999999999999</v>
      </c>
      <c r="D44" s="425">
        <v>3750</v>
      </c>
      <c r="E44" s="426">
        <v>2500</v>
      </c>
      <c r="F44" s="424">
        <v>0.6</v>
      </c>
      <c r="G44" s="426">
        <v>2000</v>
      </c>
      <c r="H44" s="427" t="s">
        <v>238</v>
      </c>
      <c r="I44" s="428"/>
      <c r="J44" s="429">
        <v>10.7</v>
      </c>
      <c r="K44" s="426">
        <v>6000</v>
      </c>
      <c r="L44" s="426">
        <v>4000</v>
      </c>
      <c r="M44" s="430">
        <v>0.6</v>
      </c>
      <c r="N44" s="426">
        <v>3000</v>
      </c>
      <c r="O44" s="427" t="s">
        <v>238</v>
      </c>
      <c r="P44" s="428"/>
      <c r="Q44" s="431" t="s">
        <v>237</v>
      </c>
    </row>
    <row r="45" spans="1:17" ht="12" customHeight="1" x14ac:dyDescent="0.3">
      <c r="A45" s="515">
        <v>39334</v>
      </c>
      <c r="B45" s="409"/>
      <c r="C45" s="424">
        <v>10.199999999999999</v>
      </c>
      <c r="D45" s="425">
        <v>3750</v>
      </c>
      <c r="E45" s="426">
        <v>2500</v>
      </c>
      <c r="F45" s="424">
        <v>0.6</v>
      </c>
      <c r="G45" s="426">
        <v>2000</v>
      </c>
      <c r="H45" s="427" t="s">
        <v>238</v>
      </c>
      <c r="I45" s="428"/>
      <c r="J45" s="429">
        <v>10.7</v>
      </c>
      <c r="K45" s="426">
        <v>6000</v>
      </c>
      <c r="L45" s="426">
        <v>4000</v>
      </c>
      <c r="M45" s="430">
        <v>0.6</v>
      </c>
      <c r="N45" s="426">
        <v>3000</v>
      </c>
      <c r="O45" s="427" t="s">
        <v>238</v>
      </c>
      <c r="P45" s="428"/>
      <c r="Q45" s="431" t="s">
        <v>237</v>
      </c>
    </row>
    <row r="46" spans="1:17" ht="12" customHeight="1" x14ac:dyDescent="0.3">
      <c r="A46" s="515">
        <v>39369</v>
      </c>
      <c r="B46" s="409"/>
      <c r="C46" s="424">
        <v>10.3</v>
      </c>
      <c r="D46" s="425">
        <v>3750</v>
      </c>
      <c r="E46" s="426">
        <v>2500</v>
      </c>
      <c r="F46" s="424">
        <v>0.6</v>
      </c>
      <c r="G46" s="426">
        <v>2000</v>
      </c>
      <c r="H46" s="427" t="s">
        <v>238</v>
      </c>
      <c r="I46" s="428"/>
      <c r="J46" s="429">
        <v>10.8</v>
      </c>
      <c r="K46" s="426">
        <v>4500</v>
      </c>
      <c r="L46" s="426">
        <v>3000</v>
      </c>
      <c r="M46" s="430">
        <v>0.6</v>
      </c>
      <c r="N46" s="426">
        <v>2500</v>
      </c>
      <c r="O46" s="427" t="s">
        <v>238</v>
      </c>
      <c r="P46" s="428"/>
      <c r="Q46" s="431" t="s">
        <v>237</v>
      </c>
    </row>
    <row r="47" spans="1:17" ht="12" customHeight="1" x14ac:dyDescent="0.3">
      <c r="A47" s="515">
        <v>39390</v>
      </c>
      <c r="B47" s="409"/>
      <c r="C47" s="424">
        <v>10.5</v>
      </c>
      <c r="D47" s="425">
        <v>3000</v>
      </c>
      <c r="E47" s="426">
        <v>2000</v>
      </c>
      <c r="F47" s="424">
        <v>0.5</v>
      </c>
      <c r="G47" s="426">
        <v>1000</v>
      </c>
      <c r="H47" s="427" t="s">
        <v>238</v>
      </c>
      <c r="I47" s="428"/>
      <c r="J47" s="429">
        <v>10.7</v>
      </c>
      <c r="K47" s="426">
        <v>3750</v>
      </c>
      <c r="L47" s="426">
        <v>2500</v>
      </c>
      <c r="M47" s="430">
        <v>0.5</v>
      </c>
      <c r="N47" s="426">
        <v>2000</v>
      </c>
      <c r="O47" s="427" t="s">
        <v>238</v>
      </c>
      <c r="P47" s="428"/>
      <c r="Q47" s="431" t="s">
        <v>237</v>
      </c>
    </row>
    <row r="48" spans="1:17" ht="12" customHeight="1" x14ac:dyDescent="0.3">
      <c r="A48" s="515">
        <v>39411</v>
      </c>
      <c r="B48" s="409"/>
      <c r="C48" s="424">
        <v>11</v>
      </c>
      <c r="D48" s="425">
        <v>3000</v>
      </c>
      <c r="E48" s="426">
        <v>2000</v>
      </c>
      <c r="F48" s="424">
        <v>0.5</v>
      </c>
      <c r="G48" s="426">
        <v>1000</v>
      </c>
      <c r="H48" s="427"/>
      <c r="I48" s="428"/>
      <c r="J48" s="424">
        <v>11</v>
      </c>
      <c r="K48" s="425">
        <v>3750</v>
      </c>
      <c r="L48" s="426">
        <v>2500</v>
      </c>
      <c r="M48" s="424">
        <v>0.5</v>
      </c>
      <c r="N48" s="426">
        <v>2000</v>
      </c>
      <c r="O48" s="427"/>
      <c r="P48" s="428"/>
      <c r="Q48" s="431" t="s">
        <v>237</v>
      </c>
    </row>
    <row r="49" spans="1:17" ht="12" customHeight="1" x14ac:dyDescent="0.3">
      <c r="A49" s="515">
        <v>39425</v>
      </c>
      <c r="B49" s="409"/>
      <c r="C49" s="424">
        <v>10.5</v>
      </c>
      <c r="D49" s="425">
        <v>3000</v>
      </c>
      <c r="E49" s="426">
        <v>2000</v>
      </c>
      <c r="F49" s="424">
        <v>0.5</v>
      </c>
      <c r="G49" s="426">
        <v>1000</v>
      </c>
      <c r="H49" s="427"/>
      <c r="I49" s="428"/>
      <c r="J49" s="429">
        <v>10.5</v>
      </c>
      <c r="K49" s="426">
        <v>4500</v>
      </c>
      <c r="L49" s="426">
        <v>3000</v>
      </c>
      <c r="M49" s="430">
        <v>0.5</v>
      </c>
      <c r="N49" s="426">
        <v>2000</v>
      </c>
      <c r="O49" s="427"/>
      <c r="P49" s="428"/>
      <c r="Q49" s="431" t="s">
        <v>237</v>
      </c>
    </row>
    <row r="50" spans="1:17" ht="12" customHeight="1" x14ac:dyDescent="0.3">
      <c r="A50" s="515">
        <v>39460</v>
      </c>
      <c r="B50" s="409"/>
      <c r="C50" s="424">
        <v>10</v>
      </c>
      <c r="D50" s="425">
        <v>3750</v>
      </c>
      <c r="E50" s="426">
        <v>2500</v>
      </c>
      <c r="F50" s="424">
        <v>0.5</v>
      </c>
      <c r="G50" s="426">
        <v>2000</v>
      </c>
      <c r="H50" s="427"/>
      <c r="I50" s="428"/>
      <c r="J50" s="429">
        <v>9.8000000000000007</v>
      </c>
      <c r="K50" s="426">
        <v>3750</v>
      </c>
      <c r="L50" s="426">
        <v>2500</v>
      </c>
      <c r="M50" s="430">
        <v>0.5</v>
      </c>
      <c r="N50" s="426">
        <v>2000</v>
      </c>
      <c r="O50" s="427"/>
      <c r="P50" s="428"/>
      <c r="Q50" s="431" t="s">
        <v>237</v>
      </c>
    </row>
    <row r="51" spans="1:17" ht="12" customHeight="1" x14ac:dyDescent="0.3">
      <c r="A51" s="515">
        <v>39474</v>
      </c>
      <c r="B51" s="409"/>
      <c r="C51" s="424">
        <v>10.199999999999999</v>
      </c>
      <c r="D51" s="425">
        <v>3750</v>
      </c>
      <c r="E51" s="426">
        <v>2500</v>
      </c>
      <c r="F51" s="424">
        <v>0.5</v>
      </c>
      <c r="G51" s="426">
        <v>2000</v>
      </c>
      <c r="H51" s="427"/>
      <c r="I51" s="428"/>
      <c r="J51" s="424">
        <v>10.199999999999999</v>
      </c>
      <c r="K51" s="425">
        <v>3750</v>
      </c>
      <c r="L51" s="426">
        <v>2500</v>
      </c>
      <c r="M51" s="424">
        <v>0.5</v>
      </c>
      <c r="N51" s="426">
        <v>2000</v>
      </c>
      <c r="O51" s="427"/>
      <c r="P51" s="428"/>
      <c r="Q51" s="431" t="s">
        <v>237</v>
      </c>
    </row>
    <row r="52" spans="1:17" ht="12" customHeight="1" x14ac:dyDescent="0.3">
      <c r="A52" s="515">
        <v>39488</v>
      </c>
      <c r="B52" s="409"/>
      <c r="C52" s="424">
        <v>10</v>
      </c>
      <c r="D52" s="425">
        <v>3750</v>
      </c>
      <c r="E52" s="426">
        <v>2500</v>
      </c>
      <c r="F52" s="424">
        <v>0.5</v>
      </c>
      <c r="G52" s="426">
        <v>2000</v>
      </c>
      <c r="H52" s="427"/>
      <c r="I52" s="428"/>
      <c r="J52" s="429">
        <v>9.6999999999999993</v>
      </c>
      <c r="K52" s="426">
        <v>3225</v>
      </c>
      <c r="L52" s="426">
        <v>2150</v>
      </c>
      <c r="M52" s="430">
        <v>0.5</v>
      </c>
      <c r="N52" s="426">
        <v>1500</v>
      </c>
      <c r="O52" s="427"/>
      <c r="P52" s="428"/>
      <c r="Q52" s="431" t="s">
        <v>237</v>
      </c>
    </row>
    <row r="53" spans="1:17" ht="12" customHeight="1" x14ac:dyDescent="0.3">
      <c r="A53" s="515">
        <v>39537</v>
      </c>
      <c r="B53" s="409"/>
      <c r="C53" s="424">
        <v>10.8</v>
      </c>
      <c r="D53" s="425">
        <v>2250</v>
      </c>
      <c r="E53" s="426">
        <v>1500</v>
      </c>
      <c r="F53" s="424">
        <v>0.5</v>
      </c>
      <c r="G53" s="426">
        <v>1000</v>
      </c>
      <c r="H53" s="427"/>
      <c r="I53" s="428"/>
      <c r="J53" s="429">
        <v>11</v>
      </c>
      <c r="K53" s="426">
        <v>3750</v>
      </c>
      <c r="L53" s="426">
        <v>2500</v>
      </c>
      <c r="M53" s="430">
        <v>0.5</v>
      </c>
      <c r="N53" s="426">
        <v>1500</v>
      </c>
      <c r="O53" s="427"/>
      <c r="P53" s="428"/>
      <c r="Q53" s="431" t="s">
        <v>237</v>
      </c>
    </row>
    <row r="54" spans="1:17" ht="12" customHeight="1" x14ac:dyDescent="0.3">
      <c r="A54" s="515">
        <v>39544</v>
      </c>
      <c r="B54" s="409"/>
      <c r="C54" s="424">
        <v>10</v>
      </c>
      <c r="D54" s="425">
        <v>4500</v>
      </c>
      <c r="E54" s="426">
        <v>3000</v>
      </c>
      <c r="F54" s="424">
        <v>0.5</v>
      </c>
      <c r="G54" s="426">
        <v>1500</v>
      </c>
      <c r="H54" s="427"/>
      <c r="I54" s="428"/>
      <c r="J54" s="429">
        <v>9.6999999999999993</v>
      </c>
      <c r="K54" s="426">
        <v>3000</v>
      </c>
      <c r="L54" s="426">
        <v>2000</v>
      </c>
      <c r="M54" s="430">
        <v>0.5</v>
      </c>
      <c r="N54" s="426">
        <v>1000</v>
      </c>
      <c r="O54" s="427"/>
      <c r="P54" s="428"/>
      <c r="Q54" s="431" t="s">
        <v>237</v>
      </c>
    </row>
    <row r="55" spans="1:17" ht="12" customHeight="1" x14ac:dyDescent="0.3">
      <c r="A55" s="515">
        <v>39562</v>
      </c>
      <c r="B55" s="409"/>
      <c r="C55" s="424">
        <v>10.6</v>
      </c>
      <c r="D55" s="425">
        <v>2250</v>
      </c>
      <c r="E55" s="426">
        <v>1500</v>
      </c>
      <c r="F55" s="424">
        <v>0.7</v>
      </c>
      <c r="G55" s="426">
        <v>600</v>
      </c>
      <c r="H55" s="427"/>
      <c r="I55" s="428"/>
      <c r="J55" s="429">
        <v>11</v>
      </c>
      <c r="K55" s="426">
        <v>3600</v>
      </c>
      <c r="L55" s="426">
        <v>2400</v>
      </c>
      <c r="M55" s="430">
        <v>1</v>
      </c>
      <c r="N55" s="426">
        <v>1000</v>
      </c>
      <c r="O55" s="427"/>
      <c r="P55" s="428"/>
      <c r="Q55" s="431" t="s">
        <v>237</v>
      </c>
    </row>
    <row r="56" spans="1:17" ht="12" customHeight="1" x14ac:dyDescent="0.3">
      <c r="A56" s="515">
        <v>39564</v>
      </c>
      <c r="B56" s="409"/>
      <c r="C56" s="424">
        <v>10.6</v>
      </c>
      <c r="D56" s="425">
        <v>2250</v>
      </c>
      <c r="E56" s="426">
        <v>1500</v>
      </c>
      <c r="F56" s="424">
        <v>0.7</v>
      </c>
      <c r="G56" s="426">
        <v>600</v>
      </c>
      <c r="H56" s="427"/>
      <c r="I56" s="428"/>
      <c r="J56" s="429">
        <v>11</v>
      </c>
      <c r="K56" s="426">
        <v>3600</v>
      </c>
      <c r="L56" s="426">
        <v>2400</v>
      </c>
      <c r="M56" s="430">
        <v>1</v>
      </c>
      <c r="N56" s="426">
        <v>1000</v>
      </c>
      <c r="O56" s="427"/>
      <c r="P56" s="428"/>
      <c r="Q56" s="431" t="s">
        <v>237</v>
      </c>
    </row>
    <row r="57" spans="1:17" ht="12" customHeight="1" x14ac:dyDescent="0.3">
      <c r="A57" s="515">
        <v>39578</v>
      </c>
      <c r="B57" s="409"/>
      <c r="C57" s="424">
        <v>10.9</v>
      </c>
      <c r="D57" s="425">
        <v>2250</v>
      </c>
      <c r="E57" s="426">
        <v>1500</v>
      </c>
      <c r="F57" s="424">
        <v>0.6</v>
      </c>
      <c r="G57" s="426">
        <v>600</v>
      </c>
      <c r="H57" s="427"/>
      <c r="I57" s="428"/>
      <c r="J57" s="429">
        <v>11.3</v>
      </c>
      <c r="K57" s="426">
        <v>3600</v>
      </c>
      <c r="L57" s="426">
        <v>2400</v>
      </c>
      <c r="M57" s="430">
        <v>0.7</v>
      </c>
      <c r="N57" s="426">
        <v>1000</v>
      </c>
      <c r="O57" s="427"/>
      <c r="P57" s="428"/>
      <c r="Q57" s="431" t="s">
        <v>237</v>
      </c>
    </row>
    <row r="58" spans="1:17" ht="12" customHeight="1" x14ac:dyDescent="0.3">
      <c r="A58" s="515">
        <v>39589</v>
      </c>
      <c r="B58" s="409"/>
      <c r="C58" s="424">
        <v>11</v>
      </c>
      <c r="D58" s="425">
        <v>2600</v>
      </c>
      <c r="E58" s="426">
        <v>1400</v>
      </c>
      <c r="F58" s="424">
        <v>0.5</v>
      </c>
      <c r="G58" s="426">
        <v>600</v>
      </c>
      <c r="H58" s="427" t="s">
        <v>239</v>
      </c>
      <c r="I58" s="428"/>
      <c r="J58" s="429">
        <v>11</v>
      </c>
      <c r="K58" s="426">
        <v>3750</v>
      </c>
      <c r="L58" s="426">
        <v>2500</v>
      </c>
      <c r="M58" s="430">
        <v>0.5</v>
      </c>
      <c r="N58" s="426">
        <v>1000</v>
      </c>
      <c r="O58" s="427" t="s">
        <v>239</v>
      </c>
      <c r="P58" s="428"/>
      <c r="Q58" s="431" t="s">
        <v>237</v>
      </c>
    </row>
    <row r="59" spans="1:17" ht="12" customHeight="1" x14ac:dyDescent="0.3">
      <c r="A59" s="515">
        <v>39610</v>
      </c>
      <c r="B59" s="409"/>
      <c r="C59" s="424">
        <v>10</v>
      </c>
      <c r="D59" s="425">
        <v>3750</v>
      </c>
      <c r="E59" s="426">
        <v>2500</v>
      </c>
      <c r="F59" s="424">
        <v>0.5</v>
      </c>
      <c r="G59" s="426">
        <v>1000</v>
      </c>
      <c r="H59" s="427" t="s">
        <v>238</v>
      </c>
      <c r="I59" s="428"/>
      <c r="J59" s="429">
        <v>10</v>
      </c>
      <c r="K59" s="426">
        <v>7500</v>
      </c>
      <c r="L59" s="426">
        <v>5000</v>
      </c>
      <c r="M59" s="430">
        <v>0.5</v>
      </c>
      <c r="N59" s="426">
        <v>2000</v>
      </c>
      <c r="O59" s="427" t="s">
        <v>238</v>
      </c>
      <c r="P59" s="428"/>
      <c r="Q59" s="431" t="s">
        <v>237</v>
      </c>
    </row>
    <row r="60" spans="1:17" ht="12" customHeight="1" x14ac:dyDescent="0.3">
      <c r="A60" s="515">
        <v>39627</v>
      </c>
      <c r="B60" s="409"/>
      <c r="C60" s="424">
        <v>10.7</v>
      </c>
      <c r="D60" s="425">
        <v>3750</v>
      </c>
      <c r="E60" s="426">
        <v>2500</v>
      </c>
      <c r="F60" s="424">
        <v>0.7</v>
      </c>
      <c r="G60" s="426">
        <v>1000</v>
      </c>
      <c r="H60" s="427"/>
      <c r="I60" s="428"/>
      <c r="J60" s="429">
        <v>10.9</v>
      </c>
      <c r="K60" s="426">
        <v>6450</v>
      </c>
      <c r="L60" s="426">
        <v>4300</v>
      </c>
      <c r="M60" s="430">
        <v>0.7</v>
      </c>
      <c r="N60" s="426">
        <v>2000</v>
      </c>
      <c r="O60" s="427"/>
      <c r="P60" s="428"/>
      <c r="Q60" s="431" t="s">
        <v>237</v>
      </c>
    </row>
    <row r="61" spans="1:17" ht="12" customHeight="1" x14ac:dyDescent="0.3">
      <c r="A61" s="515">
        <v>39637</v>
      </c>
      <c r="B61" s="409"/>
      <c r="C61" s="424">
        <v>10.4</v>
      </c>
      <c r="D61" s="425">
        <v>4200</v>
      </c>
      <c r="E61" s="426">
        <v>2800</v>
      </c>
      <c r="F61" s="424">
        <v>0.3</v>
      </c>
      <c r="G61" s="426">
        <v>1200</v>
      </c>
      <c r="H61" s="427"/>
      <c r="I61" s="428"/>
      <c r="J61" s="429">
        <v>10.199999999999999</v>
      </c>
      <c r="K61" s="426">
        <v>3750</v>
      </c>
      <c r="L61" s="426">
        <v>2500</v>
      </c>
      <c r="M61" s="430">
        <v>0.3</v>
      </c>
      <c r="N61" s="426">
        <v>1200</v>
      </c>
      <c r="O61" s="427"/>
      <c r="P61" s="428"/>
      <c r="Q61" s="431" t="s">
        <v>237</v>
      </c>
    </row>
    <row r="62" spans="1:17" ht="12" customHeight="1" x14ac:dyDescent="0.3">
      <c r="A62" s="515">
        <v>39662</v>
      </c>
      <c r="B62" s="409"/>
      <c r="C62" s="424">
        <v>10.6</v>
      </c>
      <c r="D62" s="425">
        <v>3450</v>
      </c>
      <c r="E62" s="426">
        <v>2300</v>
      </c>
      <c r="F62" s="424">
        <v>0.7</v>
      </c>
      <c r="G62" s="426">
        <v>1000</v>
      </c>
      <c r="H62" s="427"/>
      <c r="I62" s="428"/>
      <c r="J62" s="429">
        <v>10.7</v>
      </c>
      <c r="K62" s="426">
        <v>5700</v>
      </c>
      <c r="L62" s="426">
        <v>3800</v>
      </c>
      <c r="M62" s="430">
        <v>0.7</v>
      </c>
      <c r="N62" s="426">
        <v>1600</v>
      </c>
      <c r="O62" s="427"/>
      <c r="P62" s="428"/>
      <c r="Q62" s="431" t="s">
        <v>237</v>
      </c>
    </row>
    <row r="63" spans="1:17" ht="12" customHeight="1" x14ac:dyDescent="0.3">
      <c r="A63" s="515">
        <v>39690</v>
      </c>
      <c r="B63" s="409"/>
      <c r="C63" s="424">
        <v>10.7</v>
      </c>
      <c r="D63" s="425">
        <v>3600</v>
      </c>
      <c r="E63" s="426">
        <v>2400</v>
      </c>
      <c r="F63" s="424">
        <v>0.5</v>
      </c>
      <c r="G63" s="426">
        <v>1000</v>
      </c>
      <c r="H63" s="427"/>
      <c r="I63" s="428"/>
      <c r="J63" s="429">
        <v>10.6</v>
      </c>
      <c r="K63" s="426">
        <v>5400</v>
      </c>
      <c r="L63" s="426">
        <v>3600</v>
      </c>
      <c r="M63" s="430">
        <v>0.7</v>
      </c>
      <c r="N63" s="426">
        <v>1500</v>
      </c>
      <c r="O63" s="427"/>
      <c r="P63" s="428"/>
      <c r="Q63" s="431" t="s">
        <v>237</v>
      </c>
    </row>
    <row r="64" spans="1:17" ht="12" customHeight="1" x14ac:dyDescent="0.3">
      <c r="A64" s="515">
        <v>39711</v>
      </c>
      <c r="B64" s="409"/>
      <c r="C64" s="424">
        <v>10.4</v>
      </c>
      <c r="D64" s="425"/>
      <c r="E64" s="426">
        <v>2300</v>
      </c>
      <c r="F64" s="424">
        <v>0.5</v>
      </c>
      <c r="G64" s="426">
        <v>1000</v>
      </c>
      <c r="H64" s="427"/>
      <c r="I64" s="428"/>
      <c r="J64" s="429">
        <v>10.8</v>
      </c>
      <c r="K64" s="426"/>
      <c r="L64" s="426">
        <v>3400</v>
      </c>
      <c r="M64" s="430">
        <v>0.5</v>
      </c>
      <c r="N64" s="426">
        <v>1300</v>
      </c>
      <c r="O64" s="427"/>
      <c r="P64" s="428"/>
      <c r="Q64" s="431" t="s">
        <v>237</v>
      </c>
    </row>
    <row r="65" spans="1:17" ht="12" customHeight="1" x14ac:dyDescent="0.3">
      <c r="A65" s="515">
        <v>39739</v>
      </c>
      <c r="B65" s="409"/>
      <c r="C65" s="424">
        <v>11</v>
      </c>
      <c r="D65" s="425">
        <v>3600</v>
      </c>
      <c r="E65" s="426">
        <v>2400</v>
      </c>
      <c r="F65" s="424">
        <v>0.5</v>
      </c>
      <c r="G65" s="426">
        <v>1000</v>
      </c>
      <c r="H65" s="427"/>
      <c r="I65" s="428"/>
      <c r="J65" s="429">
        <v>11</v>
      </c>
      <c r="K65" s="426">
        <v>4950</v>
      </c>
      <c r="L65" s="426">
        <v>3300</v>
      </c>
      <c r="M65" s="430">
        <v>0.7</v>
      </c>
      <c r="N65" s="426">
        <v>1300</v>
      </c>
      <c r="O65" s="427"/>
      <c r="P65" s="428"/>
      <c r="Q65" s="431" t="s">
        <v>237</v>
      </c>
    </row>
    <row r="66" spans="1:17" ht="12" customHeight="1" x14ac:dyDescent="0.3">
      <c r="A66" s="515">
        <v>39781</v>
      </c>
      <c r="B66" s="409"/>
      <c r="C66" s="424">
        <v>10.6</v>
      </c>
      <c r="D66" s="425">
        <v>3600</v>
      </c>
      <c r="E66" s="426">
        <v>2400</v>
      </c>
      <c r="F66" s="424">
        <v>0.5</v>
      </c>
      <c r="G66" s="426">
        <v>1000</v>
      </c>
      <c r="H66" s="427"/>
      <c r="I66" s="428"/>
      <c r="J66" s="429">
        <v>10.8</v>
      </c>
      <c r="K66" s="426">
        <v>4500</v>
      </c>
      <c r="L66" s="426">
        <v>300</v>
      </c>
      <c r="M66" s="430">
        <v>0.5</v>
      </c>
      <c r="N66" s="426">
        <v>1000</v>
      </c>
      <c r="O66" s="427"/>
      <c r="P66" s="428"/>
      <c r="Q66" s="431" t="s">
        <v>237</v>
      </c>
    </row>
    <row r="67" spans="1:17" ht="12" customHeight="1" x14ac:dyDescent="0.3">
      <c r="A67" s="515">
        <v>39816</v>
      </c>
      <c r="B67" s="409"/>
      <c r="C67" s="424">
        <v>10.7</v>
      </c>
      <c r="D67" s="425">
        <v>3750</v>
      </c>
      <c r="E67" s="426">
        <v>2500</v>
      </c>
      <c r="F67" s="424">
        <v>0.4</v>
      </c>
      <c r="G67" s="426">
        <v>950</v>
      </c>
      <c r="H67" s="427"/>
      <c r="I67" s="428"/>
      <c r="J67" s="429">
        <v>11</v>
      </c>
      <c r="K67" s="426">
        <v>4500</v>
      </c>
      <c r="L67" s="426">
        <v>3000</v>
      </c>
      <c r="M67" s="430">
        <v>0.5</v>
      </c>
      <c r="N67" s="426">
        <v>1200</v>
      </c>
      <c r="O67" s="427"/>
      <c r="P67" s="428"/>
      <c r="Q67" s="431" t="s">
        <v>237</v>
      </c>
    </row>
    <row r="68" spans="1:17" ht="12" customHeight="1" x14ac:dyDescent="0.3">
      <c r="A68" s="515">
        <v>39830</v>
      </c>
      <c r="B68" s="409"/>
      <c r="C68" s="424">
        <v>10.7</v>
      </c>
      <c r="D68" s="425">
        <v>3750</v>
      </c>
      <c r="E68" s="426">
        <v>2500</v>
      </c>
      <c r="F68" s="424">
        <v>0.4</v>
      </c>
      <c r="G68" s="426">
        <v>950</v>
      </c>
      <c r="H68" s="427"/>
      <c r="I68" s="428"/>
      <c r="J68" s="429">
        <v>11</v>
      </c>
      <c r="K68" s="426">
        <v>4500</v>
      </c>
      <c r="L68" s="426">
        <v>3000</v>
      </c>
      <c r="M68" s="430">
        <v>0.5</v>
      </c>
      <c r="N68" s="426">
        <v>1200</v>
      </c>
      <c r="O68" s="427"/>
      <c r="P68" s="428"/>
      <c r="Q68" s="431" t="s">
        <v>237</v>
      </c>
    </row>
    <row r="69" spans="1:17" ht="12" customHeight="1" x14ac:dyDescent="0.3">
      <c r="A69" s="515">
        <v>39839</v>
      </c>
      <c r="B69" s="409"/>
      <c r="C69" s="424">
        <v>10.4</v>
      </c>
      <c r="D69" s="425">
        <v>3750</v>
      </c>
      <c r="E69" s="426">
        <v>2500</v>
      </c>
      <c r="F69" s="424">
        <v>0.4</v>
      </c>
      <c r="G69" s="426">
        <v>950</v>
      </c>
      <c r="H69" s="427"/>
      <c r="I69" s="428"/>
      <c r="J69" s="429">
        <v>11</v>
      </c>
      <c r="K69" s="426">
        <v>4500</v>
      </c>
      <c r="L69" s="426">
        <v>3000</v>
      </c>
      <c r="M69" s="430">
        <v>0.5</v>
      </c>
      <c r="N69" s="426">
        <v>1200</v>
      </c>
      <c r="O69" s="427"/>
      <c r="P69" s="428"/>
      <c r="Q69" s="431" t="s">
        <v>237</v>
      </c>
    </row>
    <row r="70" spans="1:17" ht="12" customHeight="1" x14ac:dyDescent="0.3">
      <c r="A70" s="515">
        <v>39908</v>
      </c>
      <c r="B70" s="409"/>
      <c r="C70" s="424">
        <v>10.5</v>
      </c>
      <c r="D70" s="425">
        <v>4400</v>
      </c>
      <c r="E70" s="426">
        <v>2200</v>
      </c>
      <c r="F70" s="424">
        <v>0.4</v>
      </c>
      <c r="G70" s="426">
        <v>1000</v>
      </c>
      <c r="H70" s="427"/>
      <c r="I70" s="428"/>
      <c r="J70" s="429">
        <v>10.6</v>
      </c>
      <c r="K70" s="426">
        <v>6400</v>
      </c>
      <c r="L70" s="426">
        <v>3200</v>
      </c>
      <c r="M70" s="430">
        <v>0.4</v>
      </c>
      <c r="N70" s="426">
        <v>1200</v>
      </c>
      <c r="O70" s="427"/>
      <c r="P70" s="428"/>
      <c r="Q70" s="431" t="s">
        <v>237</v>
      </c>
    </row>
    <row r="71" spans="1:17" ht="12" customHeight="1" x14ac:dyDescent="0.3">
      <c r="A71" s="515">
        <v>39945</v>
      </c>
      <c r="B71" s="409"/>
      <c r="C71" s="424">
        <v>10.8</v>
      </c>
      <c r="D71" s="425">
        <v>4580</v>
      </c>
      <c r="E71" s="426">
        <v>2519</v>
      </c>
      <c r="F71" s="424">
        <v>0.2</v>
      </c>
      <c r="G71" s="426">
        <v>1100</v>
      </c>
      <c r="H71" s="427"/>
      <c r="I71" s="428"/>
      <c r="J71" s="429">
        <v>10.8</v>
      </c>
      <c r="K71" s="426">
        <v>4570</v>
      </c>
      <c r="L71" s="426">
        <v>2519</v>
      </c>
      <c r="M71" s="430">
        <v>0.2</v>
      </c>
      <c r="N71" s="426">
        <v>1100</v>
      </c>
      <c r="O71" s="427"/>
      <c r="P71" s="428"/>
      <c r="Q71" s="431" t="s">
        <v>237</v>
      </c>
    </row>
    <row r="72" spans="1:17" ht="12" customHeight="1" x14ac:dyDescent="0.3">
      <c r="A72" s="515">
        <v>39992</v>
      </c>
      <c r="B72" s="409"/>
      <c r="C72" s="424">
        <v>10.9</v>
      </c>
      <c r="D72" s="425">
        <v>4500</v>
      </c>
      <c r="E72" s="426">
        <v>2400</v>
      </c>
      <c r="F72" s="424">
        <v>0.3</v>
      </c>
      <c r="G72" s="426">
        <v>1200</v>
      </c>
      <c r="H72" s="427">
        <v>0.1</v>
      </c>
      <c r="I72" s="428"/>
      <c r="J72" s="429">
        <v>10.6</v>
      </c>
      <c r="K72" s="426">
        <v>3900</v>
      </c>
      <c r="L72" s="426">
        <v>2100</v>
      </c>
      <c r="M72" s="430">
        <v>0.3</v>
      </c>
      <c r="N72" s="426">
        <v>1000</v>
      </c>
      <c r="O72" s="427">
        <v>0.1</v>
      </c>
      <c r="P72" s="428"/>
      <c r="Q72" s="431" t="s">
        <v>237</v>
      </c>
    </row>
    <row r="73" spans="1:17" ht="12" customHeight="1" x14ac:dyDescent="0.3">
      <c r="A73" s="515">
        <v>40001</v>
      </c>
      <c r="B73" s="409"/>
      <c r="C73" s="424">
        <v>10.4</v>
      </c>
      <c r="D73" s="425">
        <v>4200</v>
      </c>
      <c r="E73" s="426">
        <v>2310</v>
      </c>
      <c r="F73" s="424">
        <v>0.3</v>
      </c>
      <c r="G73" s="426">
        <v>1000</v>
      </c>
      <c r="H73" s="427"/>
      <c r="I73" s="428"/>
      <c r="J73" s="429">
        <v>10.4</v>
      </c>
      <c r="K73" s="426">
        <v>4100</v>
      </c>
      <c r="L73" s="426">
        <v>2255</v>
      </c>
      <c r="M73" s="430">
        <v>0.3</v>
      </c>
      <c r="N73" s="426">
        <v>900</v>
      </c>
      <c r="O73" s="427"/>
      <c r="P73" s="428"/>
      <c r="Q73" s="431" t="s">
        <v>237</v>
      </c>
    </row>
    <row r="74" spans="1:17" ht="12" customHeight="1" x14ac:dyDescent="0.3">
      <c r="A74" s="515">
        <v>40017</v>
      </c>
      <c r="B74" s="409"/>
      <c r="C74" s="424">
        <v>9.9</v>
      </c>
      <c r="D74" s="425">
        <v>3150</v>
      </c>
      <c r="E74" s="426">
        <v>2100</v>
      </c>
      <c r="F74" s="424">
        <v>0.5</v>
      </c>
      <c r="G74" s="426">
        <v>1000</v>
      </c>
      <c r="H74" s="427"/>
      <c r="I74" s="428"/>
      <c r="J74" s="429">
        <v>9.8000000000000007</v>
      </c>
      <c r="K74" s="426">
        <v>3800</v>
      </c>
      <c r="L74" s="426">
        <v>1900</v>
      </c>
      <c r="M74" s="430">
        <v>0.4</v>
      </c>
      <c r="N74" s="426">
        <v>900</v>
      </c>
      <c r="O74" s="427"/>
      <c r="P74" s="428"/>
      <c r="Q74" s="431" t="s">
        <v>237</v>
      </c>
    </row>
    <row r="75" spans="1:17" ht="12" customHeight="1" x14ac:dyDescent="0.3">
      <c r="A75" s="515">
        <v>40034</v>
      </c>
      <c r="B75" s="409"/>
      <c r="C75" s="424">
        <v>11</v>
      </c>
      <c r="D75" s="425">
        <v>4400</v>
      </c>
      <c r="E75" s="426">
        <v>2600</v>
      </c>
      <c r="F75" s="424">
        <v>0.4</v>
      </c>
      <c r="G75" s="426">
        <v>1000</v>
      </c>
      <c r="H75" s="427"/>
      <c r="I75" s="428"/>
      <c r="J75" s="429">
        <v>10.6</v>
      </c>
      <c r="K75" s="426">
        <v>3300</v>
      </c>
      <c r="L75" s="426">
        <v>1800</v>
      </c>
      <c r="M75" s="430">
        <v>0.4</v>
      </c>
      <c r="N75" s="426">
        <v>800</v>
      </c>
      <c r="O75" s="427"/>
      <c r="P75" s="428"/>
      <c r="Q75" s="431" t="s">
        <v>237</v>
      </c>
    </row>
    <row r="76" spans="1:17" ht="12" customHeight="1" x14ac:dyDescent="0.3">
      <c r="A76" s="515">
        <v>40072</v>
      </c>
      <c r="B76" s="409"/>
      <c r="C76" s="424">
        <v>11</v>
      </c>
      <c r="D76" s="425">
        <v>3400</v>
      </c>
      <c r="E76" s="426">
        <v>1800</v>
      </c>
      <c r="F76" s="424">
        <v>0.3</v>
      </c>
      <c r="G76" s="426">
        <v>1000</v>
      </c>
      <c r="H76" s="427" t="s">
        <v>239</v>
      </c>
      <c r="I76" s="428"/>
      <c r="J76" s="429">
        <v>11</v>
      </c>
      <c r="K76" s="426">
        <v>3000</v>
      </c>
      <c r="L76" s="426">
        <v>1700</v>
      </c>
      <c r="M76" s="430">
        <v>0.3</v>
      </c>
      <c r="N76" s="426">
        <v>700</v>
      </c>
      <c r="O76" s="427" t="s">
        <v>239</v>
      </c>
      <c r="P76" s="428"/>
      <c r="Q76" s="431" t="s">
        <v>237</v>
      </c>
    </row>
    <row r="77" spans="1:17" ht="12" customHeight="1" x14ac:dyDescent="0.3">
      <c r="A77" s="515">
        <v>40117</v>
      </c>
      <c r="B77" s="409"/>
      <c r="C77" s="424">
        <v>10.6</v>
      </c>
      <c r="D77" s="425">
        <v>3700</v>
      </c>
      <c r="E77" s="426">
        <v>2035</v>
      </c>
      <c r="F77" s="424">
        <v>0.4</v>
      </c>
      <c r="G77" s="426">
        <v>1000</v>
      </c>
      <c r="H77" s="427" t="s">
        <v>238</v>
      </c>
      <c r="I77" s="428"/>
      <c r="J77" s="429">
        <v>10.4</v>
      </c>
      <c r="K77" s="426">
        <v>2800</v>
      </c>
      <c r="L77" s="426">
        <v>1540</v>
      </c>
      <c r="M77" s="430">
        <v>0.3</v>
      </c>
      <c r="N77" s="426">
        <v>600</v>
      </c>
      <c r="O77" s="427" t="s">
        <v>238</v>
      </c>
      <c r="P77" s="428"/>
      <c r="Q77" s="431" t="s">
        <v>237</v>
      </c>
    </row>
    <row r="78" spans="1:17" ht="12" customHeight="1" x14ac:dyDescent="0.3">
      <c r="A78" s="515">
        <v>40174</v>
      </c>
      <c r="B78" s="409"/>
      <c r="C78" s="424">
        <v>10.6</v>
      </c>
      <c r="D78" s="425">
        <v>3700</v>
      </c>
      <c r="E78" s="426">
        <v>2100</v>
      </c>
      <c r="F78" s="424">
        <v>0.4</v>
      </c>
      <c r="G78" s="426">
        <v>1000</v>
      </c>
      <c r="H78" s="427"/>
      <c r="I78" s="428"/>
      <c r="J78" s="429">
        <v>10.5</v>
      </c>
      <c r="K78" s="426">
        <v>2500</v>
      </c>
      <c r="L78" s="426">
        <v>1400</v>
      </c>
      <c r="M78" s="430">
        <v>0.4</v>
      </c>
      <c r="N78" s="426">
        <v>800</v>
      </c>
      <c r="O78" s="427"/>
      <c r="P78" s="428"/>
      <c r="Q78" s="431" t="s">
        <v>237</v>
      </c>
    </row>
    <row r="79" spans="1:17" ht="12" customHeight="1" x14ac:dyDescent="0.3">
      <c r="A79" s="515">
        <v>40182</v>
      </c>
      <c r="B79" s="409"/>
      <c r="C79" s="424">
        <v>10.1</v>
      </c>
      <c r="D79" s="425">
        <v>3300</v>
      </c>
      <c r="E79" s="426">
        <v>2200</v>
      </c>
      <c r="F79" s="424">
        <v>0.3</v>
      </c>
      <c r="G79" s="426">
        <v>1000</v>
      </c>
      <c r="H79" s="427"/>
      <c r="I79" s="428"/>
      <c r="J79" s="429">
        <v>9.4</v>
      </c>
      <c r="K79" s="426">
        <v>2400</v>
      </c>
      <c r="L79" s="426">
        <v>1600</v>
      </c>
      <c r="M79" s="430">
        <v>0.4</v>
      </c>
      <c r="N79" s="426">
        <v>650</v>
      </c>
      <c r="O79" s="427"/>
      <c r="P79" s="428"/>
      <c r="Q79" s="431" t="s">
        <v>237</v>
      </c>
    </row>
    <row r="80" spans="1:17" ht="12" customHeight="1" x14ac:dyDescent="0.3">
      <c r="A80" s="515">
        <v>40216</v>
      </c>
      <c r="B80" s="409"/>
      <c r="C80" s="424">
        <v>9.8000000000000007</v>
      </c>
      <c r="D80" s="425">
        <v>3600</v>
      </c>
      <c r="E80" s="426">
        <v>1600</v>
      </c>
      <c r="F80" s="424">
        <v>0.5</v>
      </c>
      <c r="G80" s="426">
        <v>1000</v>
      </c>
      <c r="H80" s="427" t="s">
        <v>238</v>
      </c>
      <c r="I80" s="428"/>
      <c r="J80" s="429">
        <v>10.4</v>
      </c>
      <c r="K80" s="426">
        <v>4000</v>
      </c>
      <c r="L80" s="426">
        <v>2200</v>
      </c>
      <c r="M80" s="430">
        <v>0.5</v>
      </c>
      <c r="N80" s="426">
        <v>1200</v>
      </c>
      <c r="O80" s="427" t="s">
        <v>238</v>
      </c>
      <c r="P80" s="428"/>
      <c r="Q80" s="431" t="s">
        <v>237</v>
      </c>
    </row>
    <row r="81" spans="1:17" ht="12" customHeight="1" x14ac:dyDescent="0.3">
      <c r="A81" s="515">
        <v>40244</v>
      </c>
      <c r="B81" s="409"/>
      <c r="C81" s="424">
        <v>10.8</v>
      </c>
      <c r="D81" s="425">
        <v>3600</v>
      </c>
      <c r="E81" s="426">
        <v>2000</v>
      </c>
      <c r="F81" s="424">
        <v>0.5</v>
      </c>
      <c r="G81" s="426">
        <v>800</v>
      </c>
      <c r="H81" s="427" t="s">
        <v>239</v>
      </c>
      <c r="I81" s="428"/>
      <c r="J81" s="429">
        <v>10.6</v>
      </c>
      <c r="K81" s="426">
        <v>3000</v>
      </c>
      <c r="L81" s="426">
        <v>1650</v>
      </c>
      <c r="M81" s="430">
        <v>0.5</v>
      </c>
      <c r="N81" s="426">
        <v>600</v>
      </c>
      <c r="O81" s="427" t="s">
        <v>239</v>
      </c>
      <c r="P81" s="428"/>
      <c r="Q81" s="431" t="s">
        <v>237</v>
      </c>
    </row>
    <row r="82" spans="1:17" ht="12" customHeight="1" x14ac:dyDescent="0.3">
      <c r="A82" s="515">
        <v>40329</v>
      </c>
      <c r="B82" s="409"/>
      <c r="C82" s="424">
        <v>10.5</v>
      </c>
      <c r="D82" s="425">
        <v>3600</v>
      </c>
      <c r="E82" s="426">
        <v>1980</v>
      </c>
      <c r="F82" s="424">
        <v>0.5</v>
      </c>
      <c r="G82" s="426">
        <v>1100</v>
      </c>
      <c r="H82" s="427"/>
      <c r="I82" s="428"/>
      <c r="J82" s="429">
        <v>10.6</v>
      </c>
      <c r="K82" s="426">
        <v>4000</v>
      </c>
      <c r="L82" s="426">
        <v>2200</v>
      </c>
      <c r="M82" s="430">
        <v>0.5</v>
      </c>
      <c r="N82" s="426">
        <v>1800</v>
      </c>
      <c r="O82" s="427"/>
      <c r="P82" s="428"/>
      <c r="Q82" s="431" t="s">
        <v>237</v>
      </c>
    </row>
    <row r="83" spans="1:17" ht="12" customHeight="1" x14ac:dyDescent="0.3">
      <c r="A83" s="515">
        <v>40343</v>
      </c>
      <c r="B83" s="409"/>
      <c r="C83" s="424">
        <v>9.9</v>
      </c>
      <c r="D83" s="425">
        <v>3000</v>
      </c>
      <c r="E83" s="426">
        <v>1600</v>
      </c>
      <c r="F83" s="424"/>
      <c r="G83" s="426">
        <v>1000</v>
      </c>
      <c r="H83" s="427" t="s">
        <v>239</v>
      </c>
      <c r="I83" s="428"/>
      <c r="J83" s="429">
        <v>10.7</v>
      </c>
      <c r="K83" s="426">
        <v>9000</v>
      </c>
      <c r="L83" s="426">
        <v>5400</v>
      </c>
      <c r="M83" s="430"/>
      <c r="N83" s="426">
        <v>2000</v>
      </c>
      <c r="O83" s="427" t="s">
        <v>239</v>
      </c>
      <c r="P83" s="428"/>
      <c r="Q83" s="431" t="s">
        <v>237</v>
      </c>
    </row>
    <row r="84" spans="1:17" ht="12" customHeight="1" x14ac:dyDescent="0.3">
      <c r="A84" s="515">
        <v>40349</v>
      </c>
      <c r="B84" s="409"/>
      <c r="C84" s="424">
        <v>10</v>
      </c>
      <c r="D84" s="425">
        <v>3500</v>
      </c>
      <c r="E84" s="426">
        <v>1925</v>
      </c>
      <c r="F84" s="424">
        <v>0.5</v>
      </c>
      <c r="G84" s="426">
        <v>1200</v>
      </c>
      <c r="H84" s="427"/>
      <c r="I84" s="428"/>
      <c r="J84" s="429">
        <v>10.5</v>
      </c>
      <c r="K84" s="426">
        <v>4000</v>
      </c>
      <c r="L84" s="426">
        <v>2200</v>
      </c>
      <c r="M84" s="430">
        <v>0.5</v>
      </c>
      <c r="N84" s="426">
        <v>2000</v>
      </c>
      <c r="O84" s="427"/>
      <c r="P84" s="428"/>
      <c r="Q84" s="431" t="s">
        <v>237</v>
      </c>
    </row>
    <row r="85" spans="1:17" ht="12" customHeight="1" x14ac:dyDescent="0.3">
      <c r="A85" s="515">
        <v>40412</v>
      </c>
      <c r="B85" s="409"/>
      <c r="C85" s="424">
        <v>10.199999999999999</v>
      </c>
      <c r="D85" s="425">
        <v>4000</v>
      </c>
      <c r="E85" s="426">
        <v>2200</v>
      </c>
      <c r="F85" s="424">
        <v>0.5</v>
      </c>
      <c r="G85" s="426">
        <v>800</v>
      </c>
      <c r="H85" s="427"/>
      <c r="I85" s="428"/>
      <c r="J85" s="429">
        <v>11</v>
      </c>
      <c r="K85" s="426">
        <v>8000</v>
      </c>
      <c r="L85" s="426">
        <v>4400</v>
      </c>
      <c r="M85" s="430">
        <v>0.4</v>
      </c>
      <c r="N85" s="426">
        <v>1600</v>
      </c>
      <c r="O85" s="427"/>
      <c r="P85" s="428"/>
      <c r="Q85" s="431" t="s">
        <v>237</v>
      </c>
    </row>
    <row r="86" spans="1:17" ht="12" customHeight="1" x14ac:dyDescent="0.3">
      <c r="A86" s="515">
        <v>40468</v>
      </c>
      <c r="B86" s="409"/>
      <c r="C86" s="424">
        <v>10.5</v>
      </c>
      <c r="D86" s="425">
        <v>3400</v>
      </c>
      <c r="E86" s="426">
        <v>1900</v>
      </c>
      <c r="F86" s="424">
        <v>0.2</v>
      </c>
      <c r="G86" s="426">
        <v>650</v>
      </c>
      <c r="H86" s="427"/>
      <c r="I86" s="428"/>
      <c r="J86" s="429">
        <v>9.3000000000000007</v>
      </c>
      <c r="K86" s="426">
        <v>5800</v>
      </c>
      <c r="L86" s="426">
        <v>3000</v>
      </c>
      <c r="M86" s="430">
        <v>0.2</v>
      </c>
      <c r="N86" s="426">
        <v>1200</v>
      </c>
      <c r="O86" s="427"/>
      <c r="P86" s="428"/>
      <c r="Q86" s="431" t="s">
        <v>237</v>
      </c>
    </row>
    <row r="87" spans="1:17" ht="12" customHeight="1" x14ac:dyDescent="0.3">
      <c r="A87" s="516">
        <v>40482</v>
      </c>
      <c r="B87" s="409"/>
      <c r="C87" s="432">
        <v>10.4</v>
      </c>
      <c r="D87" s="433">
        <v>3200</v>
      </c>
      <c r="E87" s="434">
        <v>1260</v>
      </c>
      <c r="F87" s="432">
        <v>0.5</v>
      </c>
      <c r="G87" s="434">
        <v>1000</v>
      </c>
      <c r="H87" s="431"/>
      <c r="I87" s="428"/>
      <c r="J87" s="435">
        <v>9.8000000000000007</v>
      </c>
      <c r="K87" s="434">
        <v>5800</v>
      </c>
      <c r="L87" s="434">
        <v>3000</v>
      </c>
      <c r="M87" s="436">
        <v>0.5</v>
      </c>
      <c r="N87" s="434">
        <v>1000</v>
      </c>
      <c r="O87" s="431"/>
      <c r="P87" s="428"/>
      <c r="Q87" s="431" t="s">
        <v>237</v>
      </c>
    </row>
    <row r="88" spans="1:17" ht="12" customHeight="1" x14ac:dyDescent="0.3">
      <c r="A88" s="516">
        <v>40551</v>
      </c>
      <c r="B88" s="409"/>
      <c r="C88" s="432">
        <v>10.4</v>
      </c>
      <c r="D88" s="433">
        <v>2500</v>
      </c>
      <c r="E88" s="434">
        <v>1500</v>
      </c>
      <c r="F88" s="432">
        <v>0.4</v>
      </c>
      <c r="G88" s="434">
        <v>800</v>
      </c>
      <c r="H88" s="431"/>
      <c r="I88" s="428"/>
      <c r="J88" s="435">
        <v>9.8000000000000007</v>
      </c>
      <c r="K88" s="434">
        <v>4000</v>
      </c>
      <c r="L88" s="434">
        <v>2200</v>
      </c>
      <c r="M88" s="436">
        <v>0.4</v>
      </c>
      <c r="N88" s="434">
        <v>1000</v>
      </c>
      <c r="O88" s="431"/>
      <c r="P88" s="428"/>
      <c r="Q88" s="431" t="s">
        <v>237</v>
      </c>
    </row>
    <row r="89" spans="1:17" ht="12" customHeight="1" x14ac:dyDescent="0.3">
      <c r="A89" s="516">
        <v>40722</v>
      </c>
      <c r="B89" s="409"/>
      <c r="C89" s="432">
        <v>10.4</v>
      </c>
      <c r="D89" s="433">
        <v>2600</v>
      </c>
      <c r="E89" s="434">
        <v>1400</v>
      </c>
      <c r="F89" s="432">
        <v>0.6</v>
      </c>
      <c r="G89" s="434">
        <v>600</v>
      </c>
      <c r="H89" s="431"/>
      <c r="I89" s="428"/>
      <c r="J89" s="435">
        <v>9.8000000000000007</v>
      </c>
      <c r="K89" s="434">
        <v>4000</v>
      </c>
      <c r="L89" s="434">
        <v>2200</v>
      </c>
      <c r="M89" s="436">
        <v>0.5</v>
      </c>
      <c r="N89" s="434">
        <v>1000</v>
      </c>
      <c r="O89" s="431"/>
      <c r="P89" s="428"/>
      <c r="Q89" s="431" t="s">
        <v>237</v>
      </c>
    </row>
    <row r="90" spans="1:17" ht="12" customHeight="1" x14ac:dyDescent="0.3">
      <c r="A90" s="516">
        <v>40762</v>
      </c>
      <c r="B90" s="409"/>
      <c r="C90" s="432">
        <v>9.1999999999999993</v>
      </c>
      <c r="D90" s="433">
        <v>2500</v>
      </c>
      <c r="E90" s="434">
        <v>1400</v>
      </c>
      <c r="F90" s="432">
        <v>0.6</v>
      </c>
      <c r="G90" s="434">
        <v>800</v>
      </c>
      <c r="H90" s="431"/>
      <c r="I90" s="428"/>
      <c r="J90" s="435">
        <v>10.199999999999999</v>
      </c>
      <c r="K90" s="434">
        <v>4400</v>
      </c>
      <c r="L90" s="434">
        <v>2440</v>
      </c>
      <c r="M90" s="436">
        <v>0.4</v>
      </c>
      <c r="N90" s="434">
        <v>1200</v>
      </c>
      <c r="O90" s="431"/>
      <c r="P90" s="428"/>
      <c r="Q90" s="431" t="s">
        <v>237</v>
      </c>
    </row>
    <row r="91" spans="1:17" ht="12" customHeight="1" x14ac:dyDescent="0.3">
      <c r="A91" s="516">
        <v>40824</v>
      </c>
      <c r="B91" s="409"/>
      <c r="C91" s="437">
        <v>10.5</v>
      </c>
      <c r="D91" s="438">
        <v>2000</v>
      </c>
      <c r="E91" s="439">
        <v>1100</v>
      </c>
      <c r="F91" s="437">
        <v>0.5</v>
      </c>
      <c r="G91" s="439">
        <v>800</v>
      </c>
      <c r="H91" s="431"/>
      <c r="I91" s="440"/>
      <c r="J91" s="441">
        <v>9.5</v>
      </c>
      <c r="K91" s="439">
        <v>3000</v>
      </c>
      <c r="L91" s="439">
        <v>1650</v>
      </c>
      <c r="M91" s="442">
        <v>1.7</v>
      </c>
      <c r="N91" s="439">
        <v>2000</v>
      </c>
      <c r="O91" s="431"/>
      <c r="P91" s="409"/>
      <c r="Q91" s="431" t="s">
        <v>237</v>
      </c>
    </row>
    <row r="92" spans="1:17" ht="12" customHeight="1" x14ac:dyDescent="0.3">
      <c r="A92" s="516">
        <v>40857</v>
      </c>
      <c r="B92" s="409"/>
      <c r="C92" s="432">
        <v>10.4</v>
      </c>
      <c r="D92" s="433">
        <v>1500</v>
      </c>
      <c r="E92" s="434">
        <v>800</v>
      </c>
      <c r="F92" s="432">
        <v>1.7</v>
      </c>
      <c r="G92" s="434">
        <v>600</v>
      </c>
      <c r="H92" s="431"/>
      <c r="I92" s="428"/>
      <c r="J92" s="435">
        <v>9.1</v>
      </c>
      <c r="K92" s="434">
        <v>3000</v>
      </c>
      <c r="L92" s="434">
        <v>1650</v>
      </c>
      <c r="M92" s="436">
        <v>0.3</v>
      </c>
      <c r="N92" s="434">
        <v>1200</v>
      </c>
      <c r="O92" s="431"/>
      <c r="P92" s="428"/>
      <c r="Q92" s="431" t="s">
        <v>237</v>
      </c>
    </row>
    <row r="93" spans="1:17" ht="12" customHeight="1" x14ac:dyDescent="0.3">
      <c r="A93" s="516">
        <v>40870</v>
      </c>
      <c r="B93" s="409"/>
      <c r="C93" s="432">
        <v>9.6</v>
      </c>
      <c r="D93" s="433">
        <v>2400</v>
      </c>
      <c r="E93" s="434">
        <v>1320</v>
      </c>
      <c r="F93" s="432">
        <v>0.6</v>
      </c>
      <c r="G93" s="434">
        <v>700</v>
      </c>
      <c r="H93" s="431" t="s">
        <v>239</v>
      </c>
      <c r="I93" s="428"/>
      <c r="J93" s="435">
        <v>9</v>
      </c>
      <c r="K93" s="434">
        <v>3000</v>
      </c>
      <c r="L93" s="434">
        <v>1650</v>
      </c>
      <c r="M93" s="436">
        <v>0.3</v>
      </c>
      <c r="N93" s="434">
        <v>1200</v>
      </c>
      <c r="O93" s="431" t="s">
        <v>239</v>
      </c>
      <c r="P93" s="428"/>
      <c r="Q93" s="431" t="s">
        <v>237</v>
      </c>
    </row>
    <row r="94" spans="1:17" ht="12" customHeight="1" x14ac:dyDescent="0.3">
      <c r="A94" s="516">
        <v>40874</v>
      </c>
      <c r="B94" s="409"/>
      <c r="C94" s="432">
        <v>10</v>
      </c>
      <c r="D94" s="433">
        <v>3200</v>
      </c>
      <c r="E94" s="434">
        <v>1760</v>
      </c>
      <c r="F94" s="432">
        <v>0.6</v>
      </c>
      <c r="G94" s="434">
        <v>1000</v>
      </c>
      <c r="H94" s="431" t="s">
        <v>239</v>
      </c>
      <c r="I94" s="428"/>
      <c r="J94" s="435">
        <v>9</v>
      </c>
      <c r="K94" s="434">
        <v>3000</v>
      </c>
      <c r="L94" s="434">
        <v>1650</v>
      </c>
      <c r="M94" s="436">
        <v>0.3</v>
      </c>
      <c r="N94" s="434">
        <v>1200</v>
      </c>
      <c r="O94" s="431" t="s">
        <v>239</v>
      </c>
      <c r="P94" s="428"/>
      <c r="Q94" s="431" t="s">
        <v>237</v>
      </c>
    </row>
    <row r="95" spans="1:17" ht="12" customHeight="1" x14ac:dyDescent="0.3">
      <c r="A95" s="516">
        <v>40878</v>
      </c>
      <c r="B95" s="409"/>
      <c r="C95" s="432">
        <v>10</v>
      </c>
      <c r="D95" s="433">
        <v>3500</v>
      </c>
      <c r="E95" s="434">
        <v>2000</v>
      </c>
      <c r="F95" s="432">
        <v>0.6</v>
      </c>
      <c r="G95" s="434">
        <v>1000</v>
      </c>
      <c r="H95" s="431" t="s">
        <v>239</v>
      </c>
      <c r="I95" s="428"/>
      <c r="J95" s="435">
        <v>9.8000000000000007</v>
      </c>
      <c r="K95" s="434">
        <v>3000</v>
      </c>
      <c r="L95" s="434">
        <v>1650</v>
      </c>
      <c r="M95" s="436">
        <v>0.3</v>
      </c>
      <c r="N95" s="434">
        <v>1200</v>
      </c>
      <c r="O95" s="431" t="s">
        <v>239</v>
      </c>
      <c r="P95" s="428"/>
      <c r="Q95" s="431" t="s">
        <v>237</v>
      </c>
    </row>
    <row r="96" spans="1:17" ht="12" customHeight="1" x14ac:dyDescent="0.3">
      <c r="A96" s="516">
        <v>40895</v>
      </c>
      <c r="B96" s="409"/>
      <c r="C96" s="432">
        <v>10</v>
      </c>
      <c r="D96" s="433">
        <v>3200</v>
      </c>
      <c r="E96" s="434">
        <v>1760</v>
      </c>
      <c r="F96" s="432">
        <v>0.6</v>
      </c>
      <c r="G96" s="434">
        <v>800</v>
      </c>
      <c r="H96" s="431" t="s">
        <v>239</v>
      </c>
      <c r="I96" s="428"/>
      <c r="J96" s="435">
        <v>10</v>
      </c>
      <c r="K96" s="434">
        <v>4100</v>
      </c>
      <c r="L96" s="434">
        <v>2255</v>
      </c>
      <c r="M96" s="436">
        <v>0.4</v>
      </c>
      <c r="N96" s="434">
        <v>1000</v>
      </c>
      <c r="O96" s="431"/>
      <c r="P96" s="428"/>
      <c r="Q96" s="431" t="s">
        <v>237</v>
      </c>
    </row>
    <row r="97" spans="1:17" ht="12" customHeight="1" x14ac:dyDescent="0.3">
      <c r="A97" s="516">
        <v>40910</v>
      </c>
      <c r="B97" s="409"/>
      <c r="C97" s="432">
        <v>10</v>
      </c>
      <c r="D97" s="433">
        <v>3200</v>
      </c>
      <c r="E97" s="434">
        <v>1760</v>
      </c>
      <c r="F97" s="432">
        <v>0.6</v>
      </c>
      <c r="G97" s="434">
        <v>800</v>
      </c>
      <c r="H97" s="431" t="s">
        <v>239</v>
      </c>
      <c r="I97" s="428"/>
      <c r="J97" s="435">
        <v>9.9</v>
      </c>
      <c r="K97" s="434">
        <v>4100</v>
      </c>
      <c r="L97" s="434">
        <v>2255</v>
      </c>
      <c r="M97" s="436">
        <v>0.4</v>
      </c>
      <c r="N97" s="434">
        <v>1000</v>
      </c>
      <c r="O97" s="431" t="s">
        <v>239</v>
      </c>
      <c r="P97" s="428"/>
      <c r="Q97" s="431" t="s">
        <v>237</v>
      </c>
    </row>
    <row r="98" spans="1:17" ht="12" customHeight="1" x14ac:dyDescent="0.3">
      <c r="A98" s="516">
        <v>40931</v>
      </c>
      <c r="B98" s="409"/>
      <c r="C98" s="432">
        <v>10</v>
      </c>
      <c r="D98" s="433">
        <v>3000</v>
      </c>
      <c r="E98" s="434">
        <v>1650</v>
      </c>
      <c r="F98" s="432">
        <v>0.6</v>
      </c>
      <c r="G98" s="434">
        <v>800</v>
      </c>
      <c r="H98" s="431" t="s">
        <v>239</v>
      </c>
      <c r="I98" s="428"/>
      <c r="J98" s="435">
        <v>9.5</v>
      </c>
      <c r="K98" s="434">
        <v>4000</v>
      </c>
      <c r="L98" s="434">
        <v>2200</v>
      </c>
      <c r="M98" s="436">
        <v>0.4</v>
      </c>
      <c r="N98" s="434">
        <v>1000</v>
      </c>
      <c r="O98" s="431" t="s">
        <v>239</v>
      </c>
      <c r="P98" s="428"/>
      <c r="Q98" s="431" t="s">
        <v>237</v>
      </c>
    </row>
    <row r="99" spans="1:17" ht="12" customHeight="1" x14ac:dyDescent="0.3">
      <c r="A99" s="516">
        <v>40948</v>
      </c>
      <c r="B99" s="409"/>
      <c r="C99" s="432">
        <v>10.199999999999999</v>
      </c>
      <c r="D99" s="433">
        <v>3000</v>
      </c>
      <c r="E99" s="434">
        <v>1650</v>
      </c>
      <c r="F99" s="432">
        <v>0.6</v>
      </c>
      <c r="G99" s="434">
        <v>800</v>
      </c>
      <c r="H99" s="431">
        <v>0.1</v>
      </c>
      <c r="I99" s="428"/>
      <c r="J99" s="435">
        <v>10</v>
      </c>
      <c r="K99" s="434">
        <v>4000</v>
      </c>
      <c r="L99" s="434">
        <v>2200</v>
      </c>
      <c r="M99" s="436">
        <v>0.4</v>
      </c>
      <c r="N99" s="434">
        <v>800</v>
      </c>
      <c r="O99" s="431">
        <v>0.15</v>
      </c>
      <c r="P99" s="428"/>
      <c r="Q99" s="431" t="s">
        <v>237</v>
      </c>
    </row>
    <row r="100" spans="1:17" ht="12" customHeight="1" x14ac:dyDescent="0.3">
      <c r="A100" s="516">
        <v>40981</v>
      </c>
      <c r="B100" s="409"/>
      <c r="C100" s="432">
        <v>10.3</v>
      </c>
      <c r="D100" s="433">
        <v>3000</v>
      </c>
      <c r="E100" s="434">
        <v>1650</v>
      </c>
      <c r="F100" s="432">
        <v>0.7</v>
      </c>
      <c r="G100" s="434">
        <v>800</v>
      </c>
      <c r="H100" s="431">
        <v>0.1</v>
      </c>
      <c r="I100" s="428"/>
      <c r="J100" s="435">
        <v>10</v>
      </c>
      <c r="K100" s="434">
        <v>4000</v>
      </c>
      <c r="L100" s="434">
        <v>2200</v>
      </c>
      <c r="M100" s="436">
        <v>0.8</v>
      </c>
      <c r="N100" s="434">
        <v>800</v>
      </c>
      <c r="O100" s="431">
        <v>0.2</v>
      </c>
      <c r="P100" s="428"/>
      <c r="Q100" s="431" t="s">
        <v>237</v>
      </c>
    </row>
    <row r="101" spans="1:17" ht="12" customHeight="1" x14ac:dyDescent="0.3">
      <c r="A101" s="516">
        <v>40994</v>
      </c>
      <c r="B101" s="409"/>
      <c r="C101" s="432">
        <v>10.5</v>
      </c>
      <c r="D101" s="433">
        <v>2800</v>
      </c>
      <c r="E101" s="434">
        <v>1500</v>
      </c>
      <c r="F101" s="432">
        <v>0.5</v>
      </c>
      <c r="G101" s="434">
        <v>800</v>
      </c>
      <c r="H101" s="431" t="s">
        <v>239</v>
      </c>
      <c r="I101" s="428"/>
      <c r="J101" s="432">
        <v>10.7</v>
      </c>
      <c r="K101" s="433">
        <v>4100</v>
      </c>
      <c r="L101" s="434">
        <v>2300</v>
      </c>
      <c r="M101" s="443">
        <v>1.2</v>
      </c>
      <c r="N101" s="434">
        <v>1000</v>
      </c>
      <c r="O101" s="431" t="s">
        <v>239</v>
      </c>
      <c r="P101" s="428"/>
      <c r="Q101" s="431" t="s">
        <v>237</v>
      </c>
    </row>
    <row r="102" spans="1:17" ht="12" customHeight="1" x14ac:dyDescent="0.3">
      <c r="A102" s="516">
        <v>41010</v>
      </c>
      <c r="B102" s="409"/>
      <c r="C102" s="432">
        <v>10</v>
      </c>
      <c r="D102" s="433">
        <v>3200</v>
      </c>
      <c r="E102" s="434">
        <v>1800</v>
      </c>
      <c r="F102" s="432">
        <v>0.9</v>
      </c>
      <c r="G102" s="434">
        <v>800</v>
      </c>
      <c r="H102" s="431" t="s">
        <v>239</v>
      </c>
      <c r="I102" s="428"/>
      <c r="J102" s="435">
        <v>10</v>
      </c>
      <c r="K102" s="434">
        <v>4800</v>
      </c>
      <c r="L102" s="434">
        <v>2500</v>
      </c>
      <c r="M102" s="444">
        <v>1.9</v>
      </c>
      <c r="N102" s="434">
        <v>1000</v>
      </c>
      <c r="O102" s="431" t="s">
        <v>239</v>
      </c>
      <c r="P102" s="428"/>
      <c r="Q102" s="431" t="s">
        <v>237</v>
      </c>
    </row>
    <row r="103" spans="1:17" ht="12" customHeight="1" x14ac:dyDescent="0.3">
      <c r="A103" s="516">
        <v>41025</v>
      </c>
      <c r="B103" s="409"/>
      <c r="C103" s="432">
        <v>10.1</v>
      </c>
      <c r="D103" s="433">
        <v>3000</v>
      </c>
      <c r="E103" s="434">
        <v>1650</v>
      </c>
      <c r="F103" s="432">
        <v>0.6</v>
      </c>
      <c r="G103" s="434">
        <v>800</v>
      </c>
      <c r="H103" s="431">
        <v>0.1</v>
      </c>
      <c r="I103" s="428"/>
      <c r="J103" s="435">
        <v>10</v>
      </c>
      <c r="K103" s="434">
        <v>5000</v>
      </c>
      <c r="L103" s="434">
        <v>2750</v>
      </c>
      <c r="M103" s="444">
        <v>1.9</v>
      </c>
      <c r="N103" s="434">
        <v>1000</v>
      </c>
      <c r="O103" s="431">
        <v>0.1</v>
      </c>
      <c r="P103" s="428"/>
      <c r="Q103" s="431" t="s">
        <v>237</v>
      </c>
    </row>
    <row r="104" spans="1:17" ht="12" customHeight="1" x14ac:dyDescent="0.3">
      <c r="A104" s="516">
        <v>41037</v>
      </c>
      <c r="B104" s="409"/>
      <c r="C104" s="432">
        <v>10.4</v>
      </c>
      <c r="D104" s="433">
        <v>3000</v>
      </c>
      <c r="E104" s="434">
        <v>1600</v>
      </c>
      <c r="F104" s="432">
        <v>0.5</v>
      </c>
      <c r="G104" s="434">
        <v>750</v>
      </c>
      <c r="H104" s="431"/>
      <c r="I104" s="428"/>
      <c r="J104" s="435">
        <v>11</v>
      </c>
      <c r="K104" s="434">
        <v>4000</v>
      </c>
      <c r="L104" s="434">
        <v>2200</v>
      </c>
      <c r="M104" s="445">
        <v>1.6</v>
      </c>
      <c r="N104" s="434">
        <v>1000</v>
      </c>
      <c r="O104" s="431"/>
      <c r="P104" s="428"/>
      <c r="Q104" s="431" t="s">
        <v>237</v>
      </c>
    </row>
    <row r="105" spans="1:17" ht="12" customHeight="1" x14ac:dyDescent="0.3">
      <c r="A105" s="516">
        <v>41051</v>
      </c>
      <c r="B105" s="409"/>
      <c r="C105" s="432">
        <v>10.4</v>
      </c>
      <c r="D105" s="433">
        <v>3000</v>
      </c>
      <c r="E105" s="434">
        <v>1650</v>
      </c>
      <c r="F105" s="432">
        <v>0.5</v>
      </c>
      <c r="G105" s="434">
        <v>800</v>
      </c>
      <c r="H105" s="431"/>
      <c r="I105" s="428"/>
      <c r="J105" s="435">
        <v>10</v>
      </c>
      <c r="K105" s="434">
        <v>5000</v>
      </c>
      <c r="L105" s="434">
        <v>2750</v>
      </c>
      <c r="M105" s="446">
        <v>1.8</v>
      </c>
      <c r="N105" s="434">
        <v>1000</v>
      </c>
      <c r="O105" s="431"/>
      <c r="P105" s="428"/>
      <c r="Q105" s="431" t="s">
        <v>237</v>
      </c>
    </row>
    <row r="106" spans="1:17" ht="12" customHeight="1" x14ac:dyDescent="0.3">
      <c r="A106" s="516">
        <v>41084</v>
      </c>
      <c r="B106" s="409"/>
      <c r="C106" s="432">
        <v>10</v>
      </c>
      <c r="D106" s="433">
        <v>3000</v>
      </c>
      <c r="E106" s="434">
        <v>1650</v>
      </c>
      <c r="F106" s="432">
        <v>0.6</v>
      </c>
      <c r="G106" s="434">
        <v>800</v>
      </c>
      <c r="H106" s="431"/>
      <c r="I106" s="428"/>
      <c r="J106" s="435">
        <v>10.3</v>
      </c>
      <c r="K106" s="434">
        <v>4000</v>
      </c>
      <c r="L106" s="434">
        <v>2200</v>
      </c>
      <c r="M106" s="444">
        <v>1.9</v>
      </c>
      <c r="N106" s="434">
        <v>1000</v>
      </c>
      <c r="O106" s="431"/>
      <c r="P106" s="428"/>
      <c r="Q106" s="431" t="s">
        <v>237</v>
      </c>
    </row>
    <row r="107" spans="1:17" ht="12" customHeight="1" x14ac:dyDescent="0.3">
      <c r="A107" s="516">
        <v>41095</v>
      </c>
      <c r="B107" s="409"/>
      <c r="C107" s="432">
        <v>10.199999999999999</v>
      </c>
      <c r="D107" s="433">
        <v>3000</v>
      </c>
      <c r="E107" s="434">
        <v>1650</v>
      </c>
      <c r="F107" s="432">
        <v>0.6</v>
      </c>
      <c r="G107" s="434">
        <v>800</v>
      </c>
      <c r="H107" s="431" t="s">
        <v>239</v>
      </c>
      <c r="I107" s="428"/>
      <c r="J107" s="435">
        <v>10</v>
      </c>
      <c r="K107" s="434">
        <v>4000</v>
      </c>
      <c r="L107" s="434">
        <v>2200</v>
      </c>
      <c r="M107" s="444">
        <v>1.9</v>
      </c>
      <c r="N107" s="434">
        <v>1000</v>
      </c>
      <c r="O107" s="431" t="s">
        <v>239</v>
      </c>
      <c r="P107" s="428"/>
      <c r="Q107" s="431" t="s">
        <v>237</v>
      </c>
    </row>
    <row r="108" spans="1:17" ht="12" customHeight="1" x14ac:dyDescent="0.3">
      <c r="A108" s="516">
        <v>41127</v>
      </c>
      <c r="B108" s="409"/>
      <c r="C108" s="432">
        <v>10.199999999999999</v>
      </c>
      <c r="D108" s="433">
        <v>3000</v>
      </c>
      <c r="E108" s="434">
        <v>1650</v>
      </c>
      <c r="F108" s="432">
        <v>0.6</v>
      </c>
      <c r="G108" s="434">
        <v>800</v>
      </c>
      <c r="H108" s="431"/>
      <c r="I108" s="428"/>
      <c r="J108" s="435">
        <v>10.3</v>
      </c>
      <c r="K108" s="434">
        <v>3800</v>
      </c>
      <c r="L108" s="434">
        <v>2000</v>
      </c>
      <c r="M108" s="446">
        <v>1.8</v>
      </c>
      <c r="N108" s="434">
        <v>900</v>
      </c>
      <c r="O108" s="431"/>
      <c r="P108" s="428"/>
      <c r="Q108" s="431" t="s">
        <v>237</v>
      </c>
    </row>
    <row r="109" spans="1:17" ht="12" customHeight="1" x14ac:dyDescent="0.3">
      <c r="A109" s="516">
        <v>41150</v>
      </c>
      <c r="B109" s="409"/>
      <c r="C109" s="432">
        <v>10.199999999999999</v>
      </c>
      <c r="D109" s="433">
        <v>3000</v>
      </c>
      <c r="E109" s="434">
        <v>1650</v>
      </c>
      <c r="F109" s="432">
        <v>0.6</v>
      </c>
      <c r="G109" s="434">
        <v>800</v>
      </c>
      <c r="H109" s="431"/>
      <c r="I109" s="428"/>
      <c r="J109" s="435">
        <v>10.3</v>
      </c>
      <c r="K109" s="434">
        <v>4000</v>
      </c>
      <c r="L109" s="434">
        <v>2200</v>
      </c>
      <c r="M109" s="446">
        <v>1.8</v>
      </c>
      <c r="N109" s="434">
        <v>900</v>
      </c>
      <c r="O109" s="431"/>
      <c r="P109" s="428"/>
      <c r="Q109" s="431" t="s">
        <v>237</v>
      </c>
    </row>
    <row r="110" spans="1:17" ht="12" customHeight="1" x14ac:dyDescent="0.3">
      <c r="A110" s="516">
        <v>41172</v>
      </c>
      <c r="B110" s="409"/>
      <c r="C110" s="432">
        <v>10.3</v>
      </c>
      <c r="D110" s="433">
        <v>2700</v>
      </c>
      <c r="E110" s="434">
        <v>1400</v>
      </c>
      <c r="F110" s="432">
        <v>0.6</v>
      </c>
      <c r="G110" s="434">
        <v>800</v>
      </c>
      <c r="H110" s="431">
        <v>0.1</v>
      </c>
      <c r="I110" s="428"/>
      <c r="J110" s="435">
        <v>10.199999999999999</v>
      </c>
      <c r="K110" s="434">
        <v>4000</v>
      </c>
      <c r="L110" s="434">
        <v>2200</v>
      </c>
      <c r="M110" s="446">
        <v>1.8</v>
      </c>
      <c r="N110" s="434">
        <v>1000</v>
      </c>
      <c r="O110" s="431">
        <v>0.1</v>
      </c>
      <c r="P110" s="428"/>
      <c r="Q110" s="431" t="s">
        <v>237</v>
      </c>
    </row>
    <row r="111" spans="1:17" ht="12" customHeight="1" x14ac:dyDescent="0.3">
      <c r="A111" s="516">
        <v>41197</v>
      </c>
      <c r="B111" s="409"/>
      <c r="C111" s="432">
        <v>10.4</v>
      </c>
      <c r="D111" s="433">
        <v>2600</v>
      </c>
      <c r="E111" s="434">
        <v>1430</v>
      </c>
      <c r="F111" s="432">
        <v>0.6</v>
      </c>
      <c r="G111" s="434">
        <v>800</v>
      </c>
      <c r="H111" s="431" t="s">
        <v>239</v>
      </c>
      <c r="I111" s="428"/>
      <c r="J111" s="435">
        <v>10.3</v>
      </c>
      <c r="K111" s="434">
        <v>4000</v>
      </c>
      <c r="L111" s="434">
        <v>2200</v>
      </c>
      <c r="M111" s="444">
        <v>1.9</v>
      </c>
      <c r="N111" s="434">
        <v>1000</v>
      </c>
      <c r="O111" s="431">
        <v>0.1</v>
      </c>
      <c r="P111" s="428"/>
      <c r="Q111" s="431" t="s">
        <v>237</v>
      </c>
    </row>
    <row r="112" spans="1:17" ht="12" customHeight="1" x14ac:dyDescent="0.3">
      <c r="A112" s="516">
        <v>41203</v>
      </c>
      <c r="B112" s="409"/>
      <c r="C112" s="432">
        <v>10.4</v>
      </c>
      <c r="D112" s="433">
        <v>2800</v>
      </c>
      <c r="E112" s="434">
        <v>1500</v>
      </c>
      <c r="F112" s="432">
        <v>0.5</v>
      </c>
      <c r="G112" s="434">
        <v>800</v>
      </c>
      <c r="H112" s="431"/>
      <c r="I112" s="428"/>
      <c r="J112" s="435">
        <v>10.199999999999999</v>
      </c>
      <c r="K112" s="434">
        <v>3500</v>
      </c>
      <c r="L112" s="434">
        <v>2000</v>
      </c>
      <c r="M112" s="436">
        <v>1.7</v>
      </c>
      <c r="N112" s="434">
        <v>1000</v>
      </c>
      <c r="O112" s="431"/>
      <c r="P112" s="428"/>
      <c r="Q112" s="431" t="s">
        <v>237</v>
      </c>
    </row>
    <row r="113" spans="1:17" ht="12" customHeight="1" x14ac:dyDescent="0.3">
      <c r="A113" s="516">
        <v>41225</v>
      </c>
      <c r="B113" s="409"/>
      <c r="C113" s="432">
        <v>10.6</v>
      </c>
      <c r="D113" s="433"/>
      <c r="E113" s="434">
        <v>1800</v>
      </c>
      <c r="F113" s="432">
        <v>0.6</v>
      </c>
      <c r="G113" s="434">
        <v>600</v>
      </c>
      <c r="H113" s="431"/>
      <c r="I113" s="428"/>
      <c r="J113" s="435">
        <v>10.7</v>
      </c>
      <c r="K113" s="434"/>
      <c r="L113" s="434">
        <v>2200</v>
      </c>
      <c r="M113" s="436">
        <v>1.8</v>
      </c>
      <c r="N113" s="434">
        <v>800</v>
      </c>
      <c r="O113" s="431"/>
      <c r="P113" s="428"/>
      <c r="Q113" s="431" t="s">
        <v>237</v>
      </c>
    </row>
    <row r="114" spans="1:17" ht="12" customHeight="1" x14ac:dyDescent="0.3">
      <c r="A114" s="516">
        <v>41227</v>
      </c>
      <c r="B114" s="409"/>
      <c r="C114" s="432"/>
      <c r="D114" s="433"/>
      <c r="E114" s="434"/>
      <c r="F114" s="432"/>
      <c r="G114" s="434">
        <v>900</v>
      </c>
      <c r="H114" s="431" t="s">
        <v>239</v>
      </c>
      <c r="I114" s="428"/>
      <c r="J114" s="435"/>
      <c r="K114" s="434"/>
      <c r="L114" s="434"/>
      <c r="M114" s="436"/>
      <c r="N114" s="434">
        <v>1000</v>
      </c>
      <c r="O114" s="431" t="s">
        <v>239</v>
      </c>
      <c r="P114" s="428"/>
      <c r="Q114" s="431" t="s">
        <v>237</v>
      </c>
    </row>
    <row r="115" spans="1:17" ht="12" customHeight="1" x14ac:dyDescent="0.3">
      <c r="A115" s="516">
        <v>41237</v>
      </c>
      <c r="B115" s="409"/>
      <c r="C115" s="432">
        <v>10.4</v>
      </c>
      <c r="D115" s="433">
        <v>2700</v>
      </c>
      <c r="E115" s="434">
        <v>1450</v>
      </c>
      <c r="F115" s="432">
        <v>0.5</v>
      </c>
      <c r="G115" s="434">
        <v>900</v>
      </c>
      <c r="H115" s="431" t="s">
        <v>239</v>
      </c>
      <c r="I115" s="428"/>
      <c r="J115" s="435">
        <v>10.5</v>
      </c>
      <c r="K115" s="434">
        <v>3000</v>
      </c>
      <c r="L115" s="434">
        <v>1650</v>
      </c>
      <c r="M115" s="436">
        <v>1.5</v>
      </c>
      <c r="N115" s="434">
        <v>800</v>
      </c>
      <c r="O115" s="431" t="s">
        <v>239</v>
      </c>
      <c r="P115" s="428"/>
      <c r="Q115" s="431" t="s">
        <v>237</v>
      </c>
    </row>
    <row r="116" spans="1:17" ht="12" customHeight="1" x14ac:dyDescent="0.3">
      <c r="A116" s="516">
        <v>41252</v>
      </c>
      <c r="B116" s="409"/>
      <c r="C116" s="432">
        <v>10.5</v>
      </c>
      <c r="D116" s="433">
        <v>2600</v>
      </c>
      <c r="E116" s="434">
        <v>1430</v>
      </c>
      <c r="F116" s="432">
        <v>0.5</v>
      </c>
      <c r="G116" s="434">
        <v>800</v>
      </c>
      <c r="H116" s="431">
        <v>0.1</v>
      </c>
      <c r="I116" s="428"/>
      <c r="J116" s="435">
        <v>10.4</v>
      </c>
      <c r="K116" s="434">
        <v>3000</v>
      </c>
      <c r="L116" s="434">
        <v>1680</v>
      </c>
      <c r="M116" s="436">
        <v>1.7</v>
      </c>
      <c r="N116" s="434">
        <v>800</v>
      </c>
      <c r="O116" s="431">
        <v>0.1</v>
      </c>
      <c r="P116" s="428"/>
      <c r="Q116" s="431" t="s">
        <v>237</v>
      </c>
    </row>
    <row r="117" spans="1:17" ht="12" customHeight="1" x14ac:dyDescent="0.3">
      <c r="A117" s="516">
        <v>41264</v>
      </c>
      <c r="B117" s="409"/>
      <c r="C117" s="432">
        <v>10.1</v>
      </c>
      <c r="D117" s="433">
        <v>3400</v>
      </c>
      <c r="E117" s="434">
        <v>1800</v>
      </c>
      <c r="F117" s="432">
        <v>0.6</v>
      </c>
      <c r="G117" s="434">
        <v>750</v>
      </c>
      <c r="H117" s="431" t="s">
        <v>239</v>
      </c>
      <c r="I117" s="428"/>
      <c r="J117" s="435">
        <v>10.4</v>
      </c>
      <c r="K117" s="434">
        <v>4000</v>
      </c>
      <c r="L117" s="434">
        <v>2200</v>
      </c>
      <c r="M117" s="436">
        <v>1.7</v>
      </c>
      <c r="N117" s="434">
        <v>900</v>
      </c>
      <c r="O117" s="431" t="s">
        <v>239</v>
      </c>
      <c r="P117" s="428"/>
      <c r="Q117" s="431" t="s">
        <v>237</v>
      </c>
    </row>
    <row r="118" spans="1:17" ht="12" customHeight="1" x14ac:dyDescent="0.3">
      <c r="A118" s="516">
        <v>41273</v>
      </c>
      <c r="B118" s="409"/>
      <c r="C118" s="432">
        <v>10.4</v>
      </c>
      <c r="D118" s="433">
        <v>2800</v>
      </c>
      <c r="E118" s="434">
        <v>1540</v>
      </c>
      <c r="F118" s="447">
        <v>0.6</v>
      </c>
      <c r="G118" s="434">
        <v>800</v>
      </c>
      <c r="H118" s="431" t="s">
        <v>239</v>
      </c>
      <c r="I118" s="428"/>
      <c r="J118" s="435">
        <v>10.4</v>
      </c>
      <c r="K118" s="434">
        <v>3000</v>
      </c>
      <c r="L118" s="434">
        <v>1680</v>
      </c>
      <c r="M118" s="436">
        <v>1.5</v>
      </c>
      <c r="N118" s="434">
        <v>900</v>
      </c>
      <c r="O118" s="431" t="s">
        <v>239</v>
      </c>
      <c r="P118" s="428"/>
      <c r="Q118" s="431" t="s">
        <v>237</v>
      </c>
    </row>
    <row r="119" spans="1:17" ht="12" customHeight="1" x14ac:dyDescent="0.3">
      <c r="A119" s="516">
        <v>41286</v>
      </c>
      <c r="B119" s="409"/>
      <c r="C119" s="432">
        <v>10.1</v>
      </c>
      <c r="D119" s="433">
        <v>3100</v>
      </c>
      <c r="E119" s="434">
        <v>1700</v>
      </c>
      <c r="F119" s="432">
        <v>0.6</v>
      </c>
      <c r="G119" s="434">
        <v>750</v>
      </c>
      <c r="H119" s="431" t="s">
        <v>239</v>
      </c>
      <c r="I119" s="428"/>
      <c r="J119" s="435">
        <v>10.199999999999999</v>
      </c>
      <c r="K119" s="434">
        <v>3600</v>
      </c>
      <c r="L119" s="434">
        <v>1980</v>
      </c>
      <c r="M119" s="436">
        <v>1.7</v>
      </c>
      <c r="N119" s="434">
        <v>800</v>
      </c>
      <c r="O119" s="431" t="s">
        <v>239</v>
      </c>
      <c r="P119" s="428"/>
      <c r="Q119" s="431" t="s">
        <v>237</v>
      </c>
    </row>
    <row r="120" spans="1:17" ht="12" customHeight="1" x14ac:dyDescent="0.3">
      <c r="A120" s="516">
        <v>41294</v>
      </c>
      <c r="B120" s="409"/>
      <c r="C120" s="432">
        <v>10</v>
      </c>
      <c r="D120" s="433">
        <v>2800</v>
      </c>
      <c r="E120" s="434">
        <v>1540</v>
      </c>
      <c r="F120" s="432">
        <v>0.5</v>
      </c>
      <c r="G120" s="434">
        <v>800</v>
      </c>
      <c r="H120" s="431" t="s">
        <v>239</v>
      </c>
      <c r="I120" s="428"/>
      <c r="J120" s="435">
        <v>10.3</v>
      </c>
      <c r="K120" s="434">
        <v>3000</v>
      </c>
      <c r="L120" s="434">
        <v>1680</v>
      </c>
      <c r="M120" s="436">
        <v>1.6</v>
      </c>
      <c r="N120" s="434">
        <v>1000</v>
      </c>
      <c r="O120" s="431" t="s">
        <v>239</v>
      </c>
      <c r="P120" s="428"/>
      <c r="Q120" s="431" t="s">
        <v>237</v>
      </c>
    </row>
    <row r="121" spans="1:17" ht="12" customHeight="1" x14ac:dyDescent="0.3">
      <c r="A121" s="516">
        <v>41342</v>
      </c>
      <c r="B121" s="409"/>
      <c r="C121" s="432">
        <v>10.199999999999999</v>
      </c>
      <c r="D121" s="433">
        <v>2900</v>
      </c>
      <c r="E121" s="434">
        <v>1550</v>
      </c>
      <c r="F121" s="432">
        <v>0.5</v>
      </c>
      <c r="G121" s="434">
        <v>800</v>
      </c>
      <c r="H121" s="431" t="s">
        <v>239</v>
      </c>
      <c r="I121" s="428"/>
      <c r="J121" s="435">
        <v>10.4</v>
      </c>
      <c r="K121" s="434">
        <v>3200</v>
      </c>
      <c r="L121" s="434">
        <v>1750</v>
      </c>
      <c r="M121" s="436">
        <v>1.5</v>
      </c>
      <c r="N121" s="434">
        <v>700</v>
      </c>
      <c r="O121" s="431"/>
      <c r="P121" s="428"/>
      <c r="Q121" s="431" t="s">
        <v>237</v>
      </c>
    </row>
    <row r="122" spans="1:17" ht="12" customHeight="1" x14ac:dyDescent="0.3">
      <c r="A122" s="516">
        <v>41354</v>
      </c>
      <c r="B122" s="409"/>
      <c r="C122" s="432">
        <v>10.3</v>
      </c>
      <c r="D122" s="433">
        <v>3200</v>
      </c>
      <c r="E122" s="434">
        <v>1800</v>
      </c>
      <c r="F122" s="432">
        <v>0.5</v>
      </c>
      <c r="G122" s="434">
        <v>650</v>
      </c>
      <c r="H122" s="431" t="s">
        <v>239</v>
      </c>
      <c r="I122" s="428"/>
      <c r="J122" s="435">
        <v>10.4</v>
      </c>
      <c r="K122" s="434">
        <v>3100</v>
      </c>
      <c r="L122" s="434">
        <v>1700</v>
      </c>
      <c r="M122" s="436">
        <v>1.3</v>
      </c>
      <c r="N122" s="434">
        <v>700</v>
      </c>
      <c r="O122" s="431" t="s">
        <v>239</v>
      </c>
      <c r="P122" s="428"/>
      <c r="Q122" s="431" t="s">
        <v>237</v>
      </c>
    </row>
    <row r="123" spans="1:17" ht="12" customHeight="1" x14ac:dyDescent="0.3">
      <c r="A123" s="516">
        <v>41384</v>
      </c>
      <c r="B123" s="409"/>
      <c r="C123" s="432">
        <v>10.3</v>
      </c>
      <c r="D123" s="433">
        <v>3000</v>
      </c>
      <c r="E123" s="434">
        <v>1630</v>
      </c>
      <c r="F123" s="432">
        <v>0.5</v>
      </c>
      <c r="G123" s="434">
        <v>700</v>
      </c>
      <c r="H123" s="431" t="s">
        <v>239</v>
      </c>
      <c r="I123" s="428"/>
      <c r="J123" s="435">
        <v>10.199999999999999</v>
      </c>
      <c r="K123" s="434">
        <v>3100</v>
      </c>
      <c r="L123" s="434">
        <v>1700</v>
      </c>
      <c r="M123" s="436">
        <v>1.5</v>
      </c>
      <c r="N123" s="434">
        <v>600</v>
      </c>
      <c r="O123" s="431" t="s">
        <v>239</v>
      </c>
      <c r="P123" s="428"/>
      <c r="Q123" s="431" t="s">
        <v>237</v>
      </c>
    </row>
    <row r="124" spans="1:17" ht="12" customHeight="1" x14ac:dyDescent="0.3">
      <c r="A124" s="516">
        <v>41393</v>
      </c>
      <c r="B124" s="409"/>
      <c r="C124" s="432">
        <v>10.6</v>
      </c>
      <c r="D124" s="433">
        <v>3300</v>
      </c>
      <c r="E124" s="434">
        <v>1800</v>
      </c>
      <c r="F124" s="432">
        <v>0.5</v>
      </c>
      <c r="G124" s="434">
        <v>600</v>
      </c>
      <c r="H124" s="431" t="s">
        <v>239</v>
      </c>
      <c r="I124" s="428"/>
      <c r="J124" s="435">
        <v>10.5</v>
      </c>
      <c r="K124" s="434">
        <v>3400</v>
      </c>
      <c r="L124" s="434">
        <v>1870</v>
      </c>
      <c r="M124" s="436">
        <v>1.7</v>
      </c>
      <c r="N124" s="434">
        <v>700</v>
      </c>
      <c r="O124" s="431" t="s">
        <v>239</v>
      </c>
      <c r="P124" s="428"/>
      <c r="Q124" s="431" t="s">
        <v>237</v>
      </c>
    </row>
    <row r="125" spans="1:17" ht="12" customHeight="1" x14ac:dyDescent="0.3">
      <c r="A125" s="516">
        <v>41402</v>
      </c>
      <c r="B125" s="409"/>
      <c r="C125" s="432">
        <v>10.4</v>
      </c>
      <c r="D125" s="433">
        <v>3000</v>
      </c>
      <c r="E125" s="434">
        <v>1650</v>
      </c>
      <c r="F125" s="432">
        <v>0.5</v>
      </c>
      <c r="G125" s="434">
        <v>600</v>
      </c>
      <c r="H125" s="431" t="s">
        <v>239</v>
      </c>
      <c r="I125" s="428"/>
      <c r="J125" s="435">
        <v>10.6</v>
      </c>
      <c r="K125" s="434">
        <v>3000</v>
      </c>
      <c r="L125" s="434">
        <v>1650</v>
      </c>
      <c r="M125" s="436">
        <v>1.4</v>
      </c>
      <c r="N125" s="434">
        <v>700</v>
      </c>
      <c r="O125" s="431" t="s">
        <v>239</v>
      </c>
      <c r="P125" s="428"/>
      <c r="Q125" s="431" t="s">
        <v>237</v>
      </c>
    </row>
    <row r="126" spans="1:17" ht="12" customHeight="1" x14ac:dyDescent="0.3">
      <c r="A126" s="516">
        <v>41416</v>
      </c>
      <c r="B126" s="409"/>
      <c r="C126" s="432">
        <v>10.8</v>
      </c>
      <c r="D126" s="433">
        <v>3700</v>
      </c>
      <c r="E126" s="434">
        <v>2200</v>
      </c>
      <c r="F126" s="432">
        <v>0.6</v>
      </c>
      <c r="G126" s="434">
        <v>1000</v>
      </c>
      <c r="H126" s="431" t="s">
        <v>239</v>
      </c>
      <c r="I126" s="428"/>
      <c r="J126" s="435">
        <v>10.4</v>
      </c>
      <c r="K126" s="434">
        <v>2800</v>
      </c>
      <c r="L126" s="434">
        <v>1500</v>
      </c>
      <c r="M126" s="436">
        <v>1.4</v>
      </c>
      <c r="N126" s="434">
        <v>700</v>
      </c>
      <c r="O126" s="431" t="s">
        <v>239</v>
      </c>
      <c r="P126" s="428"/>
      <c r="Q126" s="431" t="s">
        <v>237</v>
      </c>
    </row>
    <row r="127" spans="1:17" ht="12" customHeight="1" x14ac:dyDescent="0.3">
      <c r="A127" s="516">
        <v>41425</v>
      </c>
      <c r="B127" s="409"/>
      <c r="C127" s="432">
        <v>10.8</v>
      </c>
      <c r="D127" s="433">
        <v>3800</v>
      </c>
      <c r="E127" s="434">
        <v>2000</v>
      </c>
      <c r="F127" s="432">
        <v>0.5</v>
      </c>
      <c r="G127" s="434">
        <v>1000</v>
      </c>
      <c r="H127" s="431" t="s">
        <v>239</v>
      </c>
      <c r="I127" s="428"/>
      <c r="J127" s="435">
        <v>10.199999999999999</v>
      </c>
      <c r="K127" s="434">
        <v>2800</v>
      </c>
      <c r="L127" s="434">
        <v>1500</v>
      </c>
      <c r="M127" s="436">
        <v>1.5</v>
      </c>
      <c r="N127" s="434">
        <v>700</v>
      </c>
      <c r="O127" s="431" t="s">
        <v>239</v>
      </c>
      <c r="P127" s="428"/>
      <c r="Q127" s="431" t="s">
        <v>237</v>
      </c>
    </row>
    <row r="128" spans="1:17" ht="12" customHeight="1" x14ac:dyDescent="0.3">
      <c r="A128" s="516">
        <v>41437</v>
      </c>
      <c r="B128" s="409"/>
      <c r="C128" s="432">
        <v>10.4</v>
      </c>
      <c r="D128" s="433">
        <v>4000</v>
      </c>
      <c r="E128" s="434">
        <v>2200</v>
      </c>
      <c r="F128" s="432">
        <v>0.6</v>
      </c>
      <c r="G128" s="434">
        <v>800</v>
      </c>
      <c r="H128" s="431" t="s">
        <v>239</v>
      </c>
      <c r="I128" s="428"/>
      <c r="J128" s="435">
        <v>10.3</v>
      </c>
      <c r="K128" s="434">
        <v>3300</v>
      </c>
      <c r="L128" s="434">
        <v>1700</v>
      </c>
      <c r="M128" s="436">
        <v>1.6</v>
      </c>
      <c r="N128" s="434">
        <v>800</v>
      </c>
      <c r="O128" s="431" t="s">
        <v>239</v>
      </c>
      <c r="P128" s="428"/>
      <c r="Q128" s="431" t="s">
        <v>237</v>
      </c>
    </row>
    <row r="129" spans="1:17" ht="12" customHeight="1" x14ac:dyDescent="0.3">
      <c r="A129" s="516">
        <v>41453</v>
      </c>
      <c r="B129" s="409"/>
      <c r="C129" s="432">
        <v>10.5</v>
      </c>
      <c r="D129" s="433">
        <v>3400</v>
      </c>
      <c r="E129" s="434">
        <v>1800</v>
      </c>
      <c r="F129" s="432">
        <v>0.6</v>
      </c>
      <c r="G129" s="434">
        <v>800</v>
      </c>
      <c r="H129" s="431"/>
      <c r="I129" s="428"/>
      <c r="J129" s="435">
        <v>10.3</v>
      </c>
      <c r="K129" s="434">
        <v>2800</v>
      </c>
      <c r="L129" s="434">
        <v>1500</v>
      </c>
      <c r="M129" s="436">
        <v>1.5</v>
      </c>
      <c r="N129" s="434">
        <v>700</v>
      </c>
      <c r="O129" s="431"/>
      <c r="P129" s="428"/>
      <c r="Q129" s="431" t="s">
        <v>237</v>
      </c>
    </row>
    <row r="130" spans="1:17" ht="12" customHeight="1" x14ac:dyDescent="0.3">
      <c r="A130" s="516">
        <v>41476</v>
      </c>
      <c r="B130" s="409"/>
      <c r="C130" s="432">
        <v>10.4</v>
      </c>
      <c r="D130" s="433">
        <v>3200</v>
      </c>
      <c r="E130" s="434">
        <v>1700</v>
      </c>
      <c r="F130" s="432">
        <v>0.6</v>
      </c>
      <c r="G130" s="434">
        <v>800</v>
      </c>
      <c r="H130" s="431" t="s">
        <v>239</v>
      </c>
      <c r="I130" s="428"/>
      <c r="J130" s="435">
        <v>10.5</v>
      </c>
      <c r="K130" s="434">
        <v>3500</v>
      </c>
      <c r="L130" s="434">
        <v>1800</v>
      </c>
      <c r="M130" s="436">
        <v>1.5</v>
      </c>
      <c r="N130" s="434">
        <v>800</v>
      </c>
      <c r="O130" s="431" t="s">
        <v>239</v>
      </c>
      <c r="P130" s="428"/>
      <c r="Q130" s="431" t="s">
        <v>237</v>
      </c>
    </row>
    <row r="131" spans="1:17" ht="12" customHeight="1" x14ac:dyDescent="0.3">
      <c r="A131" s="516">
        <v>41485</v>
      </c>
      <c r="B131" s="409"/>
      <c r="C131" s="432">
        <v>10.5</v>
      </c>
      <c r="D131" s="433">
        <v>4000</v>
      </c>
      <c r="E131" s="434">
        <v>2200</v>
      </c>
      <c r="F131" s="432">
        <v>0.5</v>
      </c>
      <c r="G131" s="434">
        <v>800</v>
      </c>
      <c r="H131" s="431"/>
      <c r="I131" s="428"/>
      <c r="J131" s="435">
        <v>10.4</v>
      </c>
      <c r="K131" s="434">
        <v>3500</v>
      </c>
      <c r="L131" s="434">
        <v>1800</v>
      </c>
      <c r="M131" s="436">
        <v>1.5</v>
      </c>
      <c r="N131" s="434">
        <v>800</v>
      </c>
      <c r="O131" s="431"/>
      <c r="P131" s="428"/>
      <c r="Q131" s="431" t="s">
        <v>237</v>
      </c>
    </row>
    <row r="132" spans="1:17" ht="12" customHeight="1" x14ac:dyDescent="0.3">
      <c r="A132" s="516">
        <v>41493</v>
      </c>
      <c r="B132" s="409"/>
      <c r="C132" s="432">
        <v>10</v>
      </c>
      <c r="D132" s="433">
        <v>4700</v>
      </c>
      <c r="E132" s="434">
        <v>2500</v>
      </c>
      <c r="F132" s="432">
        <v>0.5</v>
      </c>
      <c r="G132" s="434">
        <v>1000</v>
      </c>
      <c r="H132" s="431" t="s">
        <v>239</v>
      </c>
      <c r="I132" s="428"/>
      <c r="J132" s="435">
        <v>10.3</v>
      </c>
      <c r="K132" s="434">
        <v>4000</v>
      </c>
      <c r="L132" s="434">
        <v>2200</v>
      </c>
      <c r="M132" s="436"/>
      <c r="N132" s="434">
        <v>700</v>
      </c>
      <c r="O132" s="431" t="s">
        <v>239</v>
      </c>
      <c r="P132" s="428"/>
      <c r="Q132" s="431" t="s">
        <v>237</v>
      </c>
    </row>
    <row r="133" spans="1:17" ht="12" customHeight="1" x14ac:dyDescent="0.3">
      <c r="A133" s="516">
        <v>41522</v>
      </c>
      <c r="B133" s="409"/>
      <c r="C133" s="432">
        <v>10.7</v>
      </c>
      <c r="D133" s="433">
        <v>3500</v>
      </c>
      <c r="E133" s="434">
        <v>1800</v>
      </c>
      <c r="F133" s="432">
        <v>0.6</v>
      </c>
      <c r="G133" s="434">
        <v>800</v>
      </c>
      <c r="H133" s="431">
        <v>0.1</v>
      </c>
      <c r="I133" s="428"/>
      <c r="J133" s="435">
        <v>10.6</v>
      </c>
      <c r="K133" s="434">
        <v>3000</v>
      </c>
      <c r="L133" s="434">
        <v>1650</v>
      </c>
      <c r="M133" s="436">
        <v>1.4</v>
      </c>
      <c r="N133" s="434">
        <v>700</v>
      </c>
      <c r="O133" s="431">
        <v>0.1</v>
      </c>
      <c r="P133" s="428"/>
      <c r="Q133" s="431" t="s">
        <v>237</v>
      </c>
    </row>
    <row r="134" spans="1:17" ht="12" customHeight="1" x14ac:dyDescent="0.3">
      <c r="A134" s="516">
        <v>41550</v>
      </c>
      <c r="B134" s="409"/>
      <c r="C134" s="432">
        <v>10.199999999999999</v>
      </c>
      <c r="D134" s="433">
        <v>4000</v>
      </c>
      <c r="E134" s="434">
        <v>2200</v>
      </c>
      <c r="F134" s="432">
        <v>0.6</v>
      </c>
      <c r="G134" s="434">
        <v>900</v>
      </c>
      <c r="H134" s="431" t="s">
        <v>239</v>
      </c>
      <c r="I134" s="428"/>
      <c r="J134" s="435">
        <v>10.3</v>
      </c>
      <c r="K134" s="434">
        <v>4100</v>
      </c>
      <c r="L134" s="434">
        <v>2250</v>
      </c>
      <c r="M134" s="436">
        <v>1.6</v>
      </c>
      <c r="N134" s="434">
        <v>1000</v>
      </c>
      <c r="O134" s="431" t="s">
        <v>239</v>
      </c>
      <c r="P134" s="428"/>
      <c r="Q134" s="431" t="s">
        <v>237</v>
      </c>
    </row>
    <row r="135" spans="1:17" ht="12" customHeight="1" x14ac:dyDescent="0.3">
      <c r="A135" s="516" t="s">
        <v>240</v>
      </c>
      <c r="B135" s="409"/>
      <c r="C135" s="432">
        <v>10.4</v>
      </c>
      <c r="D135" s="433">
        <v>4000</v>
      </c>
      <c r="E135" s="434">
        <v>2200</v>
      </c>
      <c r="F135" s="432">
        <v>0.5</v>
      </c>
      <c r="G135" s="434">
        <v>900</v>
      </c>
      <c r="H135" s="431" t="s">
        <v>239</v>
      </c>
      <c r="I135" s="428"/>
      <c r="J135" s="435">
        <v>10.3</v>
      </c>
      <c r="K135" s="434">
        <v>3800</v>
      </c>
      <c r="L135" s="434">
        <v>2000</v>
      </c>
      <c r="M135" s="436">
        <v>1.5</v>
      </c>
      <c r="N135" s="434">
        <v>800</v>
      </c>
      <c r="O135" s="431" t="s">
        <v>239</v>
      </c>
      <c r="P135" s="428"/>
      <c r="Q135" s="431" t="s">
        <v>237</v>
      </c>
    </row>
    <row r="136" spans="1:17" ht="12" customHeight="1" x14ac:dyDescent="0.3">
      <c r="A136" s="516">
        <v>41585</v>
      </c>
      <c r="B136" s="409"/>
      <c r="C136" s="432">
        <v>10.5</v>
      </c>
      <c r="D136" s="433">
        <v>4000</v>
      </c>
      <c r="E136" s="434">
        <v>2200</v>
      </c>
      <c r="F136" s="432">
        <v>0.5</v>
      </c>
      <c r="G136" s="434">
        <v>900</v>
      </c>
      <c r="H136" s="431" t="s">
        <v>241</v>
      </c>
      <c r="I136" s="428"/>
      <c r="J136" s="435">
        <v>10.3</v>
      </c>
      <c r="K136" s="434">
        <v>3800</v>
      </c>
      <c r="L136" s="434">
        <v>2000</v>
      </c>
      <c r="M136" s="436">
        <v>1.4</v>
      </c>
      <c r="N136" s="434">
        <v>800</v>
      </c>
      <c r="O136" s="431" t="s">
        <v>241</v>
      </c>
      <c r="P136" s="428"/>
      <c r="Q136" s="431" t="s">
        <v>237</v>
      </c>
    </row>
    <row r="137" spans="1:17" ht="12" customHeight="1" x14ac:dyDescent="0.3">
      <c r="A137" s="516">
        <v>41606</v>
      </c>
      <c r="B137" s="409"/>
      <c r="C137" s="432">
        <v>10.5</v>
      </c>
      <c r="D137" s="433"/>
      <c r="E137" s="434">
        <v>2100</v>
      </c>
      <c r="F137" s="432">
        <v>0.5</v>
      </c>
      <c r="G137" s="434">
        <v>750</v>
      </c>
      <c r="H137" s="431" t="s">
        <v>239</v>
      </c>
      <c r="I137" s="428"/>
      <c r="J137" s="435">
        <v>10.6</v>
      </c>
      <c r="K137" s="434"/>
      <c r="L137" s="434">
        <v>2300</v>
      </c>
      <c r="M137" s="436">
        <v>1.3</v>
      </c>
      <c r="N137" s="434">
        <v>800</v>
      </c>
      <c r="O137" s="431" t="s">
        <v>239</v>
      </c>
      <c r="P137" s="428"/>
      <c r="Q137" s="431" t="s">
        <v>237</v>
      </c>
    </row>
    <row r="138" spans="1:17" ht="12" customHeight="1" x14ac:dyDescent="0.3">
      <c r="A138" s="516">
        <v>41617</v>
      </c>
      <c r="B138" s="409"/>
      <c r="C138" s="432">
        <v>10.5</v>
      </c>
      <c r="D138" s="433">
        <v>3800</v>
      </c>
      <c r="E138" s="434">
        <v>2100</v>
      </c>
      <c r="F138" s="432">
        <v>0.5</v>
      </c>
      <c r="G138" s="434">
        <v>800</v>
      </c>
      <c r="H138" s="431"/>
      <c r="I138" s="428"/>
      <c r="J138" s="435">
        <v>10.5</v>
      </c>
      <c r="K138" s="434">
        <v>3400</v>
      </c>
      <c r="L138" s="434">
        <v>1870</v>
      </c>
      <c r="M138" s="436">
        <v>1.5</v>
      </c>
      <c r="N138" s="434">
        <v>800</v>
      </c>
      <c r="O138" s="431"/>
      <c r="P138" s="428"/>
      <c r="Q138" s="431" t="s">
        <v>237</v>
      </c>
    </row>
    <row r="139" spans="1:17" ht="12" customHeight="1" x14ac:dyDescent="0.3">
      <c r="A139" s="516">
        <v>41631</v>
      </c>
      <c r="B139" s="409"/>
      <c r="C139" s="432">
        <v>10.6</v>
      </c>
      <c r="D139" s="433">
        <v>4100</v>
      </c>
      <c r="E139" s="434">
        <v>2300</v>
      </c>
      <c r="F139" s="432">
        <v>0.5</v>
      </c>
      <c r="G139" s="434">
        <v>800</v>
      </c>
      <c r="H139" s="431"/>
      <c r="I139" s="428"/>
      <c r="J139" s="435">
        <v>10.5</v>
      </c>
      <c r="K139" s="434">
        <v>3300</v>
      </c>
      <c r="L139" s="434">
        <v>1400</v>
      </c>
      <c r="M139" s="436">
        <v>1.5</v>
      </c>
      <c r="N139" s="434">
        <v>800</v>
      </c>
      <c r="O139" s="431"/>
      <c r="P139" s="428"/>
      <c r="Q139" s="431" t="s">
        <v>237</v>
      </c>
    </row>
    <row r="140" spans="1:17" ht="12" customHeight="1" x14ac:dyDescent="0.3">
      <c r="A140" s="516">
        <v>41657</v>
      </c>
      <c r="B140" s="409"/>
      <c r="C140" s="432">
        <v>10.199999999999999</v>
      </c>
      <c r="D140" s="433"/>
      <c r="E140" s="434"/>
      <c r="F140" s="432">
        <v>0.6</v>
      </c>
      <c r="G140" s="434">
        <v>1100</v>
      </c>
      <c r="H140" s="431" t="s">
        <v>239</v>
      </c>
      <c r="I140" s="428"/>
      <c r="J140" s="435">
        <v>10.3</v>
      </c>
      <c r="K140" s="434"/>
      <c r="L140" s="434"/>
      <c r="M140" s="436">
        <v>1.7</v>
      </c>
      <c r="N140" s="434">
        <v>800</v>
      </c>
      <c r="O140" s="431" t="s">
        <v>239</v>
      </c>
      <c r="P140" s="428"/>
      <c r="Q140" s="431" t="s">
        <v>237</v>
      </c>
    </row>
    <row r="141" spans="1:17" ht="12" customHeight="1" x14ac:dyDescent="0.3">
      <c r="A141" s="516">
        <v>41683</v>
      </c>
      <c r="B141" s="409"/>
      <c r="C141" s="432">
        <v>10.5</v>
      </c>
      <c r="D141" s="433">
        <v>5000</v>
      </c>
      <c r="E141" s="434">
        <v>2500</v>
      </c>
      <c r="F141" s="432">
        <v>0.6</v>
      </c>
      <c r="G141" s="434">
        <v>1000</v>
      </c>
      <c r="H141" s="431" t="s">
        <v>239</v>
      </c>
      <c r="I141" s="428"/>
      <c r="J141" s="435">
        <v>10.4</v>
      </c>
      <c r="K141" s="434">
        <v>4300</v>
      </c>
      <c r="L141" s="434">
        <v>2100</v>
      </c>
      <c r="M141" s="436">
        <v>1.5</v>
      </c>
      <c r="N141" s="434">
        <v>800</v>
      </c>
      <c r="O141" s="431" t="s">
        <v>239</v>
      </c>
      <c r="P141" s="428"/>
      <c r="Q141" s="431" t="s">
        <v>237</v>
      </c>
    </row>
    <row r="142" spans="1:17" ht="12" customHeight="1" x14ac:dyDescent="0.3">
      <c r="A142" s="516">
        <v>41729</v>
      </c>
      <c r="B142" s="409"/>
      <c r="C142" s="432">
        <v>10.5</v>
      </c>
      <c r="D142" s="433">
        <v>3800</v>
      </c>
      <c r="E142" s="434">
        <v>2200</v>
      </c>
      <c r="F142" s="432">
        <v>0.6</v>
      </c>
      <c r="G142" s="434">
        <v>900</v>
      </c>
      <c r="H142" s="431">
        <v>0.1</v>
      </c>
      <c r="I142" s="428"/>
      <c r="J142" s="435">
        <v>10.4</v>
      </c>
      <c r="K142" s="434">
        <v>3100</v>
      </c>
      <c r="L142" s="434">
        <v>1800</v>
      </c>
      <c r="M142" s="436">
        <v>1.6</v>
      </c>
      <c r="N142" s="434">
        <v>500</v>
      </c>
      <c r="O142" s="431">
        <v>0.1</v>
      </c>
      <c r="P142" s="428"/>
      <c r="Q142" s="431" t="s">
        <v>237</v>
      </c>
    </row>
    <row r="143" spans="1:17" ht="12" customHeight="1" x14ac:dyDescent="0.3">
      <c r="A143" s="516">
        <v>41743</v>
      </c>
      <c r="B143" s="409"/>
      <c r="C143" s="432">
        <v>10.7</v>
      </c>
      <c r="D143" s="433">
        <v>5000</v>
      </c>
      <c r="E143" s="434">
        <v>2700</v>
      </c>
      <c r="F143" s="432">
        <v>0.6</v>
      </c>
      <c r="G143" s="434">
        <v>900</v>
      </c>
      <c r="H143" s="431">
        <v>0.1</v>
      </c>
      <c r="I143" s="428"/>
      <c r="J143" s="435">
        <v>10.6</v>
      </c>
      <c r="K143" s="434">
        <v>4000</v>
      </c>
      <c r="L143" s="434">
        <v>2200</v>
      </c>
      <c r="M143" s="436">
        <v>1.5</v>
      </c>
      <c r="N143" s="434">
        <v>600</v>
      </c>
      <c r="O143" s="431">
        <v>0.1</v>
      </c>
      <c r="P143" s="428"/>
      <c r="Q143" s="431" t="s">
        <v>237</v>
      </c>
    </row>
    <row r="144" spans="1:17" ht="12" customHeight="1" x14ac:dyDescent="0.3">
      <c r="A144" s="516">
        <v>41757</v>
      </c>
      <c r="B144" s="409"/>
      <c r="C144" s="432">
        <v>10.5</v>
      </c>
      <c r="D144" s="433">
        <v>4500</v>
      </c>
      <c r="E144" s="434">
        <v>2200</v>
      </c>
      <c r="F144" s="432">
        <v>0.6</v>
      </c>
      <c r="G144" s="434">
        <v>1000</v>
      </c>
      <c r="H144" s="431">
        <v>0.1</v>
      </c>
      <c r="I144" s="428"/>
      <c r="J144" s="435">
        <v>10.8</v>
      </c>
      <c r="K144" s="434">
        <v>6200</v>
      </c>
      <c r="L144" s="434">
        <v>3500</v>
      </c>
      <c r="M144" s="436">
        <v>1.6</v>
      </c>
      <c r="N144" s="434">
        <v>1100</v>
      </c>
      <c r="O144" s="431">
        <v>0.1</v>
      </c>
      <c r="P144" s="428"/>
      <c r="Q144" s="431" t="s">
        <v>237</v>
      </c>
    </row>
    <row r="145" spans="1:17" ht="12" customHeight="1" x14ac:dyDescent="0.3">
      <c r="A145" s="516">
        <v>41767</v>
      </c>
      <c r="B145" s="409"/>
      <c r="C145" s="432">
        <v>10.4</v>
      </c>
      <c r="D145" s="433">
        <v>4000</v>
      </c>
      <c r="E145" s="434">
        <v>2200</v>
      </c>
      <c r="F145" s="432">
        <v>0.6</v>
      </c>
      <c r="G145" s="434">
        <v>800</v>
      </c>
      <c r="H145" s="431">
        <v>0.1</v>
      </c>
      <c r="I145" s="428"/>
      <c r="J145" s="435">
        <v>10.5</v>
      </c>
      <c r="K145" s="434">
        <v>6000</v>
      </c>
      <c r="L145" s="434">
        <v>3300</v>
      </c>
      <c r="M145" s="436">
        <v>1.5</v>
      </c>
      <c r="N145" s="434">
        <v>1000</v>
      </c>
      <c r="O145" s="431">
        <v>0.1</v>
      </c>
      <c r="P145" s="428"/>
      <c r="Q145" s="431" t="s">
        <v>237</v>
      </c>
    </row>
    <row r="146" spans="1:17" ht="12" customHeight="1" x14ac:dyDescent="0.3">
      <c r="A146" s="516">
        <v>41801</v>
      </c>
      <c r="B146" s="409"/>
      <c r="C146" s="432">
        <v>10.4</v>
      </c>
      <c r="D146" s="433">
        <v>4000</v>
      </c>
      <c r="E146" s="434">
        <v>2200</v>
      </c>
      <c r="F146" s="432">
        <v>0.5</v>
      </c>
      <c r="G146" s="434">
        <v>800</v>
      </c>
      <c r="H146" s="431">
        <v>0.1</v>
      </c>
      <c r="I146" s="428"/>
      <c r="J146" s="435">
        <v>10.5</v>
      </c>
      <c r="K146" s="434">
        <v>6000</v>
      </c>
      <c r="L146" s="434">
        <v>3300</v>
      </c>
      <c r="M146" s="436">
        <v>1.2</v>
      </c>
      <c r="N146" s="434">
        <v>1000</v>
      </c>
      <c r="O146" s="431">
        <v>0.1</v>
      </c>
      <c r="P146" s="428"/>
      <c r="Q146" s="431" t="s">
        <v>237</v>
      </c>
    </row>
    <row r="147" spans="1:17" ht="12" customHeight="1" x14ac:dyDescent="0.3">
      <c r="A147" s="516">
        <v>41827</v>
      </c>
      <c r="B147" s="409"/>
      <c r="C147" s="432">
        <v>10.5</v>
      </c>
      <c r="D147" s="433">
        <v>4100</v>
      </c>
      <c r="E147" s="434">
        <v>2400</v>
      </c>
      <c r="F147" s="432">
        <v>0.5</v>
      </c>
      <c r="G147" s="434">
        <v>800</v>
      </c>
      <c r="H147" s="431"/>
      <c r="I147" s="428"/>
      <c r="J147" s="435">
        <v>10.8</v>
      </c>
      <c r="K147" s="434">
        <v>5400</v>
      </c>
      <c r="L147" s="434">
        <v>3400</v>
      </c>
      <c r="M147" s="436">
        <v>1.2</v>
      </c>
      <c r="N147" s="434">
        <v>1000</v>
      </c>
      <c r="O147" s="431"/>
      <c r="P147" s="428"/>
      <c r="Q147" s="431" t="s">
        <v>237</v>
      </c>
    </row>
    <row r="148" spans="1:17" ht="12" customHeight="1" x14ac:dyDescent="0.3">
      <c r="A148" s="516">
        <v>41861</v>
      </c>
      <c r="B148" s="409"/>
      <c r="C148" s="432">
        <v>10.6</v>
      </c>
      <c r="D148" s="433"/>
      <c r="E148" s="434"/>
      <c r="F148" s="432">
        <v>0.6</v>
      </c>
      <c r="G148" s="434">
        <v>800</v>
      </c>
      <c r="H148" s="431">
        <v>0.1</v>
      </c>
      <c r="I148" s="428"/>
      <c r="J148" s="435">
        <v>10.8</v>
      </c>
      <c r="K148" s="434">
        <v>6600</v>
      </c>
      <c r="L148" s="434">
        <v>3300</v>
      </c>
      <c r="M148" s="436">
        <v>1.2</v>
      </c>
      <c r="N148" s="434">
        <v>1100</v>
      </c>
      <c r="O148" s="431">
        <v>0.1</v>
      </c>
      <c r="P148" s="428"/>
      <c r="Q148" s="431" t="s">
        <v>237</v>
      </c>
    </row>
    <row r="149" spans="1:17" ht="12" customHeight="1" x14ac:dyDescent="0.3">
      <c r="A149" s="516">
        <v>41898</v>
      </c>
      <c r="B149" s="409"/>
      <c r="C149" s="432">
        <v>10.5</v>
      </c>
      <c r="D149" s="433">
        <v>4800</v>
      </c>
      <c r="E149" s="434">
        <v>2400</v>
      </c>
      <c r="F149" s="432">
        <v>0.6</v>
      </c>
      <c r="G149" s="434">
        <v>1000</v>
      </c>
      <c r="H149" s="431"/>
      <c r="I149" s="428"/>
      <c r="J149" s="435">
        <v>10.7</v>
      </c>
      <c r="K149" s="434">
        <v>6000</v>
      </c>
      <c r="L149" s="434">
        <v>3100</v>
      </c>
      <c r="M149" s="436">
        <v>1.4</v>
      </c>
      <c r="N149" s="434">
        <v>1100</v>
      </c>
      <c r="O149" s="431"/>
      <c r="P149" s="428"/>
      <c r="Q149" s="431" t="s">
        <v>237</v>
      </c>
    </row>
    <row r="150" spans="1:17" ht="12" customHeight="1" x14ac:dyDescent="0.3">
      <c r="A150" s="516">
        <v>41946</v>
      </c>
      <c r="B150" s="409"/>
      <c r="C150" s="448">
        <v>10.8</v>
      </c>
      <c r="D150" s="449">
        <v>5300</v>
      </c>
      <c r="E150" s="450">
        <v>2900</v>
      </c>
      <c r="F150" s="448">
        <v>0.1</v>
      </c>
      <c r="G150" s="450">
        <v>1300</v>
      </c>
      <c r="H150" s="451"/>
      <c r="I150" s="452"/>
      <c r="J150" s="453">
        <v>11</v>
      </c>
      <c r="K150" s="450">
        <v>7000</v>
      </c>
      <c r="L150" s="450">
        <v>3850</v>
      </c>
      <c r="M150" s="454">
        <v>0.1</v>
      </c>
      <c r="N150" s="450">
        <v>1400</v>
      </c>
      <c r="O150" s="451"/>
      <c r="P150" s="428"/>
      <c r="Q150" s="431" t="s">
        <v>237</v>
      </c>
    </row>
    <row r="151" spans="1:17" ht="12" customHeight="1" x14ac:dyDescent="0.3">
      <c r="A151" s="516">
        <v>41968</v>
      </c>
      <c r="B151" s="409"/>
      <c r="C151" s="432">
        <v>10.9</v>
      </c>
      <c r="D151" s="433">
        <v>6850</v>
      </c>
      <c r="E151" s="434">
        <v>3767</v>
      </c>
      <c r="F151" s="432">
        <v>0.4</v>
      </c>
      <c r="G151" s="434">
        <v>1200</v>
      </c>
      <c r="H151" s="431" t="s">
        <v>239</v>
      </c>
      <c r="I151" s="428"/>
      <c r="J151" s="435">
        <v>10.7</v>
      </c>
      <c r="K151" s="434">
        <v>5800</v>
      </c>
      <c r="L151" s="434">
        <v>3190</v>
      </c>
      <c r="M151" s="436">
        <v>1.5</v>
      </c>
      <c r="N151" s="434">
        <v>1000</v>
      </c>
      <c r="O151" s="431" t="s">
        <v>239</v>
      </c>
      <c r="P151" s="428"/>
      <c r="Q151" s="431" t="s">
        <v>237</v>
      </c>
    </row>
    <row r="152" spans="1:17" ht="12" customHeight="1" x14ac:dyDescent="0.3">
      <c r="A152" s="516">
        <v>42017</v>
      </c>
      <c r="B152" s="409"/>
      <c r="C152" s="432">
        <v>10.9</v>
      </c>
      <c r="D152" s="433">
        <v>3200</v>
      </c>
      <c r="E152" s="434">
        <v>1760</v>
      </c>
      <c r="F152" s="432">
        <v>0.5</v>
      </c>
      <c r="G152" s="434">
        <v>1200</v>
      </c>
      <c r="H152" s="431"/>
      <c r="I152" s="428"/>
      <c r="J152" s="435">
        <v>11</v>
      </c>
      <c r="K152" s="434">
        <v>4000</v>
      </c>
      <c r="L152" s="434">
        <v>2200</v>
      </c>
      <c r="M152" s="436">
        <v>0.5</v>
      </c>
      <c r="N152" s="434">
        <v>800</v>
      </c>
      <c r="O152" s="431"/>
      <c r="P152" s="428"/>
      <c r="Q152" s="431" t="s">
        <v>237</v>
      </c>
    </row>
    <row r="153" spans="1:17" ht="12" customHeight="1" x14ac:dyDescent="0.3">
      <c r="A153" s="516">
        <v>42046</v>
      </c>
      <c r="B153" s="409"/>
      <c r="C153" s="432">
        <v>11</v>
      </c>
      <c r="D153" s="433">
        <v>3800</v>
      </c>
      <c r="E153" s="434">
        <v>2090</v>
      </c>
      <c r="F153" s="432">
        <v>0.7</v>
      </c>
      <c r="G153" s="434">
        <v>1000</v>
      </c>
      <c r="H153" s="431" t="s">
        <v>239</v>
      </c>
      <c r="I153" s="428"/>
      <c r="J153" s="435">
        <v>10.9</v>
      </c>
      <c r="K153" s="434">
        <v>3000</v>
      </c>
      <c r="L153" s="434">
        <v>1650</v>
      </c>
      <c r="M153" s="436">
        <v>1.2</v>
      </c>
      <c r="N153" s="434">
        <v>1000</v>
      </c>
      <c r="O153" s="431" t="s">
        <v>239</v>
      </c>
      <c r="P153" s="428"/>
      <c r="Q153" s="431" t="s">
        <v>237</v>
      </c>
    </row>
    <row r="154" spans="1:17" ht="12" customHeight="1" x14ac:dyDescent="0.3">
      <c r="A154" s="516">
        <v>42057</v>
      </c>
      <c r="B154" s="409"/>
      <c r="C154" s="432">
        <v>10.5</v>
      </c>
      <c r="D154" s="433">
        <v>3400</v>
      </c>
      <c r="E154" s="434">
        <v>1870</v>
      </c>
      <c r="F154" s="432">
        <v>0.5</v>
      </c>
      <c r="G154" s="434">
        <v>1000</v>
      </c>
      <c r="H154" s="431">
        <v>0</v>
      </c>
      <c r="I154" s="428"/>
      <c r="J154" s="435">
        <v>11</v>
      </c>
      <c r="K154" s="434">
        <v>3900</v>
      </c>
      <c r="L154" s="434">
        <v>2145</v>
      </c>
      <c r="M154" s="436">
        <v>0.8</v>
      </c>
      <c r="N154" s="434">
        <v>1200</v>
      </c>
      <c r="O154" s="431">
        <v>0</v>
      </c>
      <c r="P154" s="428"/>
      <c r="Q154" s="431" t="s">
        <v>237</v>
      </c>
    </row>
    <row r="155" spans="1:17" ht="12" customHeight="1" x14ac:dyDescent="0.3">
      <c r="A155" s="516">
        <v>42129</v>
      </c>
      <c r="B155" s="409"/>
      <c r="C155" s="432">
        <v>10.5</v>
      </c>
      <c r="D155" s="433">
        <v>4200</v>
      </c>
      <c r="E155" s="434">
        <v>2310</v>
      </c>
      <c r="F155" s="432">
        <v>1</v>
      </c>
      <c r="G155" s="434">
        <v>1200</v>
      </c>
      <c r="H155" s="431"/>
      <c r="I155" s="428"/>
      <c r="J155" s="435">
        <v>10.9</v>
      </c>
      <c r="K155" s="434">
        <v>4600</v>
      </c>
      <c r="L155" s="434">
        <v>2335</v>
      </c>
      <c r="M155" s="436">
        <v>0.5</v>
      </c>
      <c r="N155" s="434">
        <v>1000</v>
      </c>
      <c r="O155" s="431"/>
      <c r="P155" s="428"/>
      <c r="Q155" s="431" t="s">
        <v>237</v>
      </c>
    </row>
    <row r="156" spans="1:17" ht="12" customHeight="1" x14ac:dyDescent="0.3">
      <c r="A156" s="516">
        <v>42164</v>
      </c>
      <c r="B156" s="409"/>
      <c r="C156" s="432">
        <v>10.7</v>
      </c>
      <c r="D156" s="433">
        <v>4400</v>
      </c>
      <c r="E156" s="434">
        <v>2420</v>
      </c>
      <c r="F156" s="432">
        <v>1.1000000000000001</v>
      </c>
      <c r="G156" s="434">
        <v>1000</v>
      </c>
      <c r="H156" s="431" t="s">
        <v>239</v>
      </c>
      <c r="I156" s="428"/>
      <c r="J156" s="435">
        <v>10.9</v>
      </c>
      <c r="K156" s="434">
        <v>5200</v>
      </c>
      <c r="L156" s="434">
        <v>2860</v>
      </c>
      <c r="M156" s="436">
        <v>0.5</v>
      </c>
      <c r="N156" s="434">
        <v>1200</v>
      </c>
      <c r="O156" s="431" t="s">
        <v>239</v>
      </c>
      <c r="P156" s="428"/>
      <c r="Q156" s="431" t="s">
        <v>237</v>
      </c>
    </row>
    <row r="157" spans="1:17" ht="12" customHeight="1" x14ac:dyDescent="0.3">
      <c r="A157" s="516">
        <v>42187</v>
      </c>
      <c r="B157" s="409"/>
      <c r="C157" s="432">
        <v>10.5</v>
      </c>
      <c r="D157" s="433">
        <v>3700</v>
      </c>
      <c r="E157" s="434">
        <v>2050</v>
      </c>
      <c r="F157" s="432">
        <v>0.6</v>
      </c>
      <c r="G157" s="434">
        <v>1200</v>
      </c>
      <c r="H157" s="431" t="s">
        <v>239</v>
      </c>
      <c r="I157" s="428"/>
      <c r="J157" s="435">
        <v>10.7</v>
      </c>
      <c r="K157" s="434">
        <v>4300</v>
      </c>
      <c r="L157" s="434">
        <v>2315</v>
      </c>
      <c r="M157" s="436">
        <v>0.5</v>
      </c>
      <c r="N157" s="434">
        <v>1100</v>
      </c>
      <c r="O157" s="431" t="s">
        <v>239</v>
      </c>
      <c r="P157" s="428"/>
      <c r="Q157" s="431" t="s">
        <v>237</v>
      </c>
    </row>
    <row r="158" spans="1:17" ht="12" customHeight="1" x14ac:dyDescent="0.3">
      <c r="A158" s="517">
        <v>42214</v>
      </c>
      <c r="B158" s="409"/>
      <c r="C158" s="455">
        <v>10.4</v>
      </c>
      <c r="D158" s="456">
        <v>4600</v>
      </c>
      <c r="E158" s="457">
        <v>2530</v>
      </c>
      <c r="F158" s="455">
        <v>0.7</v>
      </c>
      <c r="G158" s="457">
        <v>1000</v>
      </c>
      <c r="H158" s="431" t="s">
        <v>239</v>
      </c>
      <c r="I158" s="428"/>
      <c r="J158" s="458">
        <v>10.5</v>
      </c>
      <c r="K158" s="457">
        <v>5000</v>
      </c>
      <c r="L158" s="457">
        <v>2750</v>
      </c>
      <c r="M158" s="459">
        <v>0.5</v>
      </c>
      <c r="N158" s="457">
        <v>1200</v>
      </c>
      <c r="O158" s="431" t="s">
        <v>239</v>
      </c>
      <c r="P158" s="428"/>
      <c r="Q158" s="460" t="s">
        <v>237</v>
      </c>
    </row>
    <row r="159" spans="1:17" ht="12" customHeight="1" x14ac:dyDescent="0.3">
      <c r="A159" s="517">
        <v>42248</v>
      </c>
      <c r="B159" s="409"/>
      <c r="C159" s="455">
        <v>10.4</v>
      </c>
      <c r="D159" s="456">
        <v>4200</v>
      </c>
      <c r="E159" s="457">
        <v>2310</v>
      </c>
      <c r="F159" s="455">
        <v>0.7</v>
      </c>
      <c r="G159" s="457">
        <v>1200</v>
      </c>
      <c r="H159" s="460"/>
      <c r="I159" s="428"/>
      <c r="J159" s="458">
        <v>10.5</v>
      </c>
      <c r="K159" s="457">
        <v>4800</v>
      </c>
      <c r="L159" s="457">
        <v>2640</v>
      </c>
      <c r="M159" s="459">
        <v>0.4</v>
      </c>
      <c r="N159" s="457">
        <v>800</v>
      </c>
      <c r="O159" s="460"/>
      <c r="P159" s="428"/>
      <c r="Q159" s="460" t="s">
        <v>237</v>
      </c>
    </row>
    <row r="160" spans="1:17" ht="12" customHeight="1" x14ac:dyDescent="0.3">
      <c r="A160" s="517">
        <v>42326</v>
      </c>
      <c r="B160" s="409"/>
      <c r="C160" s="455">
        <v>10.6</v>
      </c>
      <c r="D160" s="456">
        <v>4100</v>
      </c>
      <c r="E160" s="457">
        <v>2255</v>
      </c>
      <c r="F160" s="455">
        <v>0.8</v>
      </c>
      <c r="G160" s="457">
        <v>1200</v>
      </c>
      <c r="H160" s="460"/>
      <c r="I160" s="428"/>
      <c r="J160" s="458">
        <v>10.5</v>
      </c>
      <c r="K160" s="457">
        <v>4000</v>
      </c>
      <c r="L160" s="457">
        <v>2200</v>
      </c>
      <c r="M160" s="459">
        <v>0.5</v>
      </c>
      <c r="N160" s="457">
        <v>1100</v>
      </c>
      <c r="O160" s="460"/>
      <c r="P160" s="428"/>
      <c r="Q160" s="460" t="s">
        <v>237</v>
      </c>
    </row>
    <row r="161" spans="1:17" ht="12" customHeight="1" x14ac:dyDescent="0.3">
      <c r="A161" s="517">
        <v>42347</v>
      </c>
      <c r="B161" s="409"/>
      <c r="C161" s="455">
        <v>10.6</v>
      </c>
      <c r="D161" s="456">
        <v>4500</v>
      </c>
      <c r="E161" s="457">
        <v>2450</v>
      </c>
      <c r="F161" s="455">
        <v>0.8</v>
      </c>
      <c r="G161" s="457">
        <v>1100</v>
      </c>
      <c r="H161" s="460"/>
      <c r="I161" s="428"/>
      <c r="J161" s="458">
        <v>10.5</v>
      </c>
      <c r="K161" s="457">
        <v>4300</v>
      </c>
      <c r="L161" s="457">
        <v>2350</v>
      </c>
      <c r="M161" s="459">
        <v>0.5</v>
      </c>
      <c r="N161" s="457">
        <v>1000</v>
      </c>
      <c r="O161" s="460"/>
      <c r="P161" s="428"/>
      <c r="Q161" s="460" t="s">
        <v>237</v>
      </c>
    </row>
    <row r="162" spans="1:17" ht="12" customHeight="1" x14ac:dyDescent="0.3">
      <c r="A162" s="517">
        <v>42383</v>
      </c>
      <c r="B162" s="409"/>
      <c r="C162" s="455">
        <v>10.9</v>
      </c>
      <c r="D162" s="456">
        <v>4500</v>
      </c>
      <c r="E162" s="457">
        <v>2480</v>
      </c>
      <c r="F162" s="455">
        <v>0.9</v>
      </c>
      <c r="G162" s="457">
        <v>1000</v>
      </c>
      <c r="H162" s="460"/>
      <c r="I162" s="428"/>
      <c r="J162" s="458">
        <v>10.5</v>
      </c>
      <c r="K162" s="457">
        <v>4200</v>
      </c>
      <c r="L162" s="457">
        <v>2310</v>
      </c>
      <c r="M162" s="459">
        <v>0.5</v>
      </c>
      <c r="N162" s="457">
        <v>900</v>
      </c>
      <c r="O162" s="460"/>
      <c r="P162" s="428"/>
      <c r="Q162" s="460" t="s">
        <v>237</v>
      </c>
    </row>
    <row r="163" spans="1:17" ht="12" customHeight="1" x14ac:dyDescent="0.3">
      <c r="A163" s="517">
        <v>42396</v>
      </c>
      <c r="B163" s="409"/>
      <c r="C163" s="455">
        <v>10.8</v>
      </c>
      <c r="D163" s="456">
        <v>4400</v>
      </c>
      <c r="E163" s="457">
        <v>2480</v>
      </c>
      <c r="F163" s="455">
        <v>0.8</v>
      </c>
      <c r="G163" s="457">
        <v>900</v>
      </c>
      <c r="H163" s="431" t="s">
        <v>239</v>
      </c>
      <c r="I163" s="428"/>
      <c r="J163" s="458">
        <v>10.4</v>
      </c>
      <c r="K163" s="457">
        <v>4200</v>
      </c>
      <c r="L163" s="457">
        <v>2300</v>
      </c>
      <c r="M163" s="459">
        <v>0.5</v>
      </c>
      <c r="N163" s="457">
        <v>800</v>
      </c>
      <c r="O163" s="431" t="s">
        <v>239</v>
      </c>
      <c r="P163" s="428"/>
      <c r="Q163" s="460" t="s">
        <v>237</v>
      </c>
    </row>
    <row r="164" spans="1:17" ht="12" customHeight="1" x14ac:dyDescent="0.3">
      <c r="A164" s="517">
        <v>42406</v>
      </c>
      <c r="B164" s="409"/>
      <c r="C164" s="455">
        <v>10.5</v>
      </c>
      <c r="D164" s="456">
        <v>3800</v>
      </c>
      <c r="E164" s="457">
        <v>2200</v>
      </c>
      <c r="F164" s="455">
        <v>0.8</v>
      </c>
      <c r="G164" s="457">
        <v>900</v>
      </c>
      <c r="H164" s="460"/>
      <c r="I164" s="428"/>
      <c r="J164" s="458">
        <v>10.3</v>
      </c>
      <c r="K164" s="457">
        <v>3800</v>
      </c>
      <c r="L164" s="457">
        <v>2080</v>
      </c>
      <c r="M164" s="459">
        <v>0.4</v>
      </c>
      <c r="N164" s="457">
        <v>800</v>
      </c>
      <c r="O164" s="460"/>
      <c r="P164" s="428"/>
      <c r="Q164" s="460" t="s">
        <v>237</v>
      </c>
    </row>
    <row r="165" spans="1:17" ht="12" customHeight="1" x14ac:dyDescent="0.3">
      <c r="A165" s="517">
        <v>42421</v>
      </c>
      <c r="B165" s="409"/>
      <c r="C165" s="455">
        <v>10.8</v>
      </c>
      <c r="D165" s="456">
        <v>4300</v>
      </c>
      <c r="E165" s="457">
        <v>2365</v>
      </c>
      <c r="F165" s="455">
        <v>0.5</v>
      </c>
      <c r="G165" s="457">
        <v>800</v>
      </c>
      <c r="H165" s="431" t="s">
        <v>239</v>
      </c>
      <c r="I165" s="428"/>
      <c r="J165" s="458">
        <v>10.3</v>
      </c>
      <c r="K165" s="457">
        <v>4000</v>
      </c>
      <c r="L165" s="457">
        <v>2200</v>
      </c>
      <c r="M165" s="459">
        <v>0.5</v>
      </c>
      <c r="N165" s="457">
        <v>900</v>
      </c>
      <c r="O165" s="431" t="s">
        <v>239</v>
      </c>
      <c r="P165" s="428"/>
      <c r="Q165" s="460" t="s">
        <v>237</v>
      </c>
    </row>
    <row r="166" spans="1:17" ht="12" customHeight="1" x14ac:dyDescent="0.3">
      <c r="A166" s="517">
        <v>42439</v>
      </c>
      <c r="B166" s="409"/>
      <c r="C166" s="455">
        <v>10.6</v>
      </c>
      <c r="D166" s="456">
        <v>3800</v>
      </c>
      <c r="E166" s="457">
        <v>2090</v>
      </c>
      <c r="F166" s="455">
        <v>0.5</v>
      </c>
      <c r="G166" s="457">
        <v>750</v>
      </c>
      <c r="H166" s="431" t="s">
        <v>239</v>
      </c>
      <c r="I166" s="428"/>
      <c r="J166" s="458">
        <v>10.199999999999999</v>
      </c>
      <c r="K166" s="457">
        <v>3700</v>
      </c>
      <c r="L166" s="457">
        <v>2030</v>
      </c>
      <c r="M166" s="459">
        <v>0.5</v>
      </c>
      <c r="N166" s="457">
        <v>700</v>
      </c>
      <c r="O166" s="431" t="s">
        <v>239</v>
      </c>
      <c r="P166" s="428"/>
      <c r="Q166" s="460" t="s">
        <v>237</v>
      </c>
    </row>
    <row r="167" spans="1:17" ht="12" customHeight="1" x14ac:dyDescent="0.3">
      <c r="A167" s="517">
        <v>42466</v>
      </c>
      <c r="B167" s="409"/>
      <c r="C167" s="455">
        <v>10.4</v>
      </c>
      <c r="D167" s="456">
        <v>2500</v>
      </c>
      <c r="E167" s="457">
        <v>1370</v>
      </c>
      <c r="F167" s="455">
        <v>0.5</v>
      </c>
      <c r="G167" s="457">
        <v>600</v>
      </c>
      <c r="H167" s="460"/>
      <c r="I167" s="428"/>
      <c r="J167" s="458">
        <v>10.1</v>
      </c>
      <c r="K167" s="457">
        <v>2300</v>
      </c>
      <c r="L167" s="457">
        <v>1250</v>
      </c>
      <c r="M167" s="459">
        <v>0.5</v>
      </c>
      <c r="N167" s="457">
        <v>550</v>
      </c>
      <c r="O167" s="460"/>
      <c r="P167" s="428"/>
      <c r="Q167" s="460" t="s">
        <v>237</v>
      </c>
    </row>
    <row r="168" spans="1:17" ht="12" customHeight="1" x14ac:dyDescent="0.3">
      <c r="A168" s="517">
        <v>42477</v>
      </c>
      <c r="B168" s="409"/>
      <c r="C168" s="455">
        <v>10.4</v>
      </c>
      <c r="D168" s="456">
        <v>2300</v>
      </c>
      <c r="E168" s="457">
        <v>1540</v>
      </c>
      <c r="F168" s="455">
        <v>0.5</v>
      </c>
      <c r="G168" s="457">
        <v>600</v>
      </c>
      <c r="H168" s="460"/>
      <c r="I168" s="428"/>
      <c r="J168" s="458">
        <v>10</v>
      </c>
      <c r="K168" s="457">
        <v>6500</v>
      </c>
      <c r="L168" s="457">
        <v>3600</v>
      </c>
      <c r="M168" s="459">
        <v>0.5</v>
      </c>
      <c r="N168" s="457">
        <v>1000</v>
      </c>
      <c r="O168" s="460"/>
      <c r="P168" s="428"/>
      <c r="Q168" s="460" t="s">
        <v>237</v>
      </c>
    </row>
    <row r="169" spans="1:17" ht="12" customHeight="1" x14ac:dyDescent="0.3">
      <c r="A169" s="517">
        <v>42497</v>
      </c>
      <c r="B169" s="409"/>
      <c r="C169" s="455">
        <v>10.5</v>
      </c>
      <c r="D169" s="456">
        <v>3200</v>
      </c>
      <c r="E169" s="457">
        <v>1750</v>
      </c>
      <c r="F169" s="455">
        <v>0.5</v>
      </c>
      <c r="G169" s="457">
        <v>620</v>
      </c>
      <c r="H169" s="431" t="s">
        <v>239</v>
      </c>
      <c r="I169" s="428"/>
      <c r="J169" s="458">
        <v>10</v>
      </c>
      <c r="K169" s="457">
        <v>6000</v>
      </c>
      <c r="L169" s="457">
        <v>3300</v>
      </c>
      <c r="M169" s="459">
        <v>0.5</v>
      </c>
      <c r="N169" s="457">
        <v>950</v>
      </c>
      <c r="O169" s="431" t="s">
        <v>239</v>
      </c>
      <c r="P169" s="428"/>
      <c r="Q169" s="460" t="s">
        <v>237</v>
      </c>
    </row>
    <row r="170" spans="1:17" ht="12" customHeight="1" x14ac:dyDescent="0.3">
      <c r="A170" s="517" t="s">
        <v>242</v>
      </c>
      <c r="B170" s="409"/>
      <c r="C170" s="455">
        <v>10.6</v>
      </c>
      <c r="D170" s="456">
        <v>3400</v>
      </c>
      <c r="E170" s="457">
        <v>1870</v>
      </c>
      <c r="F170" s="455">
        <v>0.5</v>
      </c>
      <c r="G170" s="457">
        <v>650</v>
      </c>
      <c r="H170" s="431" t="s">
        <v>239</v>
      </c>
      <c r="I170" s="428"/>
      <c r="J170" s="458">
        <v>10</v>
      </c>
      <c r="K170" s="457">
        <v>3800</v>
      </c>
      <c r="L170" s="457">
        <v>2100</v>
      </c>
      <c r="M170" s="459">
        <v>0.5</v>
      </c>
      <c r="N170" s="457">
        <v>750</v>
      </c>
      <c r="O170" s="431" t="s">
        <v>239</v>
      </c>
      <c r="P170" s="428"/>
      <c r="Q170" s="460" t="s">
        <v>237</v>
      </c>
    </row>
    <row r="171" spans="1:17" ht="12" customHeight="1" x14ac:dyDescent="0.3">
      <c r="A171" s="517">
        <v>42542</v>
      </c>
      <c r="B171" s="409"/>
      <c r="C171" s="455">
        <v>10.4</v>
      </c>
      <c r="D171" s="456">
        <v>3600</v>
      </c>
      <c r="E171" s="457">
        <v>1480</v>
      </c>
      <c r="F171" s="455">
        <v>0.3</v>
      </c>
      <c r="G171" s="457">
        <v>800</v>
      </c>
      <c r="H171" s="460"/>
      <c r="I171" s="428"/>
      <c r="J171" s="458">
        <v>9.1999999999999993</v>
      </c>
      <c r="K171" s="457">
        <v>3900</v>
      </c>
      <c r="L171" s="457">
        <v>2150</v>
      </c>
      <c r="M171" s="459">
        <v>0.4</v>
      </c>
      <c r="N171" s="457">
        <v>600</v>
      </c>
      <c r="O171" s="460"/>
      <c r="P171" s="428"/>
      <c r="Q171" s="460" t="s">
        <v>237</v>
      </c>
    </row>
    <row r="172" spans="1:17" ht="12" customHeight="1" x14ac:dyDescent="0.3">
      <c r="A172" s="517">
        <v>42585</v>
      </c>
      <c r="B172" s="409"/>
      <c r="C172" s="455">
        <v>11</v>
      </c>
      <c r="D172" s="456">
        <v>3500</v>
      </c>
      <c r="E172" s="457">
        <v>1925</v>
      </c>
      <c r="F172" s="455">
        <v>0.5</v>
      </c>
      <c r="G172" s="457">
        <v>800</v>
      </c>
      <c r="H172" s="460"/>
      <c r="I172" s="428"/>
      <c r="J172" s="458">
        <v>10.5</v>
      </c>
      <c r="K172" s="457">
        <v>2600</v>
      </c>
      <c r="L172" s="457">
        <v>1430</v>
      </c>
      <c r="M172" s="459">
        <v>0.5</v>
      </c>
      <c r="N172" s="457">
        <v>600</v>
      </c>
      <c r="O172" s="460"/>
      <c r="P172" s="428"/>
      <c r="Q172" s="460" t="s">
        <v>237</v>
      </c>
    </row>
    <row r="173" spans="1:17" ht="12" customHeight="1" x14ac:dyDescent="0.3">
      <c r="A173" s="517">
        <v>42621</v>
      </c>
      <c r="B173" s="409"/>
      <c r="C173" s="455">
        <v>10.8</v>
      </c>
      <c r="D173" s="456">
        <v>3500</v>
      </c>
      <c r="E173" s="457">
        <v>1925</v>
      </c>
      <c r="F173" s="455">
        <v>0.5</v>
      </c>
      <c r="G173" s="457">
        <v>800</v>
      </c>
      <c r="H173" s="460"/>
      <c r="I173" s="428"/>
      <c r="J173" s="458">
        <v>9.8000000000000007</v>
      </c>
      <c r="K173" s="457">
        <v>3300</v>
      </c>
      <c r="L173" s="457">
        <v>1815</v>
      </c>
      <c r="M173" s="459">
        <v>0.5</v>
      </c>
      <c r="N173" s="457">
        <v>650</v>
      </c>
      <c r="O173" s="460"/>
      <c r="P173" s="428"/>
      <c r="Q173" s="460" t="s">
        <v>237</v>
      </c>
    </row>
    <row r="174" spans="1:17" ht="12" customHeight="1" x14ac:dyDescent="0.3">
      <c r="A174" s="517">
        <v>42646</v>
      </c>
      <c r="B174" s="409"/>
      <c r="C174" s="455">
        <v>10.3</v>
      </c>
      <c r="D174" s="456">
        <v>3300</v>
      </c>
      <c r="E174" s="457">
        <v>1800</v>
      </c>
      <c r="F174" s="455">
        <v>0.4</v>
      </c>
      <c r="G174" s="457">
        <v>650</v>
      </c>
      <c r="H174" s="431" t="s">
        <v>239</v>
      </c>
      <c r="I174" s="428"/>
      <c r="J174" s="458">
        <v>10.199999999999999</v>
      </c>
      <c r="K174" s="457">
        <v>7800</v>
      </c>
      <c r="L174" s="457">
        <v>4300</v>
      </c>
      <c r="M174" s="459">
        <v>0.3</v>
      </c>
      <c r="N174" s="457">
        <v>1400</v>
      </c>
      <c r="O174" s="460" t="s">
        <v>239</v>
      </c>
      <c r="P174" s="428"/>
      <c r="Q174" s="460" t="s">
        <v>237</v>
      </c>
    </row>
    <row r="175" spans="1:17" ht="12" customHeight="1" x14ac:dyDescent="0.3">
      <c r="A175" s="517">
        <v>42672</v>
      </c>
      <c r="B175" s="409"/>
      <c r="C175" s="455">
        <v>10.5</v>
      </c>
      <c r="D175" s="456">
        <v>4300</v>
      </c>
      <c r="E175" s="457">
        <v>2370</v>
      </c>
      <c r="F175" s="455">
        <v>0.3</v>
      </c>
      <c r="G175" s="457">
        <v>1000</v>
      </c>
      <c r="H175" s="460"/>
      <c r="I175" s="428"/>
      <c r="J175" s="458">
        <v>9.6</v>
      </c>
      <c r="K175" s="457">
        <v>6000</v>
      </c>
      <c r="L175" s="457">
        <v>3300</v>
      </c>
      <c r="M175" s="459">
        <v>0.3</v>
      </c>
      <c r="N175" s="457">
        <v>1300</v>
      </c>
      <c r="O175" s="460"/>
      <c r="P175" s="428"/>
      <c r="Q175" s="460" t="s">
        <v>237</v>
      </c>
    </row>
    <row r="176" spans="1:17" ht="12" customHeight="1" x14ac:dyDescent="0.3">
      <c r="A176" s="517">
        <v>42690</v>
      </c>
      <c r="B176" s="409"/>
      <c r="C176" s="455">
        <v>10.5</v>
      </c>
      <c r="D176" s="456">
        <v>4200</v>
      </c>
      <c r="E176" s="457">
        <v>2200</v>
      </c>
      <c r="F176" s="455">
        <v>0.3</v>
      </c>
      <c r="G176" s="457">
        <v>1000</v>
      </c>
      <c r="H176" s="460"/>
      <c r="I176" s="428"/>
      <c r="J176" s="458">
        <v>9.6999999999999993</v>
      </c>
      <c r="K176" s="457">
        <v>6200</v>
      </c>
      <c r="L176" s="457">
        <v>3400</v>
      </c>
      <c r="M176" s="459">
        <v>0.3</v>
      </c>
      <c r="N176" s="457">
        <v>1200</v>
      </c>
      <c r="O176" s="460"/>
      <c r="P176" s="428"/>
      <c r="Q176" s="460" t="s">
        <v>237</v>
      </c>
    </row>
    <row r="177" spans="1:17" ht="12" customHeight="1" x14ac:dyDescent="0.3">
      <c r="A177" s="517">
        <v>42718</v>
      </c>
      <c r="B177" s="409"/>
      <c r="C177" s="455">
        <v>10.7</v>
      </c>
      <c r="D177" s="456">
        <v>6400</v>
      </c>
      <c r="E177" s="457">
        <v>3500</v>
      </c>
      <c r="F177" s="455">
        <v>0.4</v>
      </c>
      <c r="G177" s="457">
        <v>1200</v>
      </c>
      <c r="H177" s="460"/>
      <c r="I177" s="428"/>
      <c r="J177" s="458">
        <v>10</v>
      </c>
      <c r="K177" s="457">
        <v>4400</v>
      </c>
      <c r="L177" s="457">
        <v>2400</v>
      </c>
      <c r="M177" s="459">
        <v>0.4</v>
      </c>
      <c r="N177" s="457">
        <v>1200</v>
      </c>
      <c r="O177" s="460"/>
      <c r="P177" s="428"/>
      <c r="Q177" s="460" t="s">
        <v>237</v>
      </c>
    </row>
    <row r="178" spans="1:17" ht="12" customHeight="1" x14ac:dyDescent="0.3">
      <c r="A178" s="517">
        <v>42758</v>
      </c>
      <c r="B178" s="409"/>
      <c r="C178" s="455">
        <v>10.4</v>
      </c>
      <c r="D178" s="456">
        <v>4200</v>
      </c>
      <c r="E178" s="457">
        <v>2310</v>
      </c>
      <c r="F178" s="455">
        <v>0.4</v>
      </c>
      <c r="G178" s="457">
        <v>850</v>
      </c>
      <c r="H178" s="460"/>
      <c r="I178" s="428"/>
      <c r="J178" s="458">
        <v>9.4</v>
      </c>
      <c r="K178" s="457">
        <v>6100</v>
      </c>
      <c r="L178" s="457">
        <v>3355</v>
      </c>
      <c r="M178" s="459">
        <v>0.5</v>
      </c>
      <c r="N178" s="457">
        <v>1000</v>
      </c>
      <c r="O178" s="460"/>
      <c r="P178" s="428"/>
      <c r="Q178" s="460" t="s">
        <v>237</v>
      </c>
    </row>
    <row r="179" spans="1:17" ht="12" customHeight="1" x14ac:dyDescent="0.3">
      <c r="A179" s="517">
        <v>42806</v>
      </c>
      <c r="B179" s="409"/>
      <c r="C179" s="455">
        <v>10.8</v>
      </c>
      <c r="D179" s="456">
        <v>4400</v>
      </c>
      <c r="E179" s="457">
        <v>2400</v>
      </c>
      <c r="F179" s="455">
        <v>0.5</v>
      </c>
      <c r="G179" s="457">
        <v>1000</v>
      </c>
      <c r="H179" s="460">
        <v>0.09</v>
      </c>
      <c r="I179" s="428"/>
      <c r="J179" s="458">
        <v>10</v>
      </c>
      <c r="K179" s="457">
        <v>6000</v>
      </c>
      <c r="L179" s="457">
        <v>3300</v>
      </c>
      <c r="M179" s="459">
        <v>0.3</v>
      </c>
      <c r="N179" s="457">
        <v>1200</v>
      </c>
      <c r="O179" s="460">
        <v>0.09</v>
      </c>
      <c r="P179" s="428"/>
      <c r="Q179" s="460" t="s">
        <v>237</v>
      </c>
    </row>
    <row r="180" spans="1:17" ht="12" customHeight="1" x14ac:dyDescent="0.3">
      <c r="A180" s="517">
        <v>42827</v>
      </c>
      <c r="B180" s="409"/>
      <c r="C180" s="455">
        <v>10</v>
      </c>
      <c r="D180" s="456">
        <v>4200</v>
      </c>
      <c r="E180" s="457">
        <v>2300</v>
      </c>
      <c r="F180" s="455">
        <v>0.3</v>
      </c>
      <c r="G180" s="457">
        <v>900</v>
      </c>
      <c r="H180" s="460">
        <v>0.1</v>
      </c>
      <c r="I180" s="428"/>
      <c r="J180" s="458">
        <v>10.6</v>
      </c>
      <c r="K180" s="457">
        <v>5800</v>
      </c>
      <c r="L180" s="457">
        <v>3200</v>
      </c>
      <c r="M180" s="459">
        <v>0.5</v>
      </c>
      <c r="N180" s="457">
        <v>1200</v>
      </c>
      <c r="O180" s="460">
        <v>0.1</v>
      </c>
      <c r="P180" s="428"/>
      <c r="Q180" s="460" t="s">
        <v>237</v>
      </c>
    </row>
    <row r="181" spans="1:17" ht="12" customHeight="1" x14ac:dyDescent="0.3">
      <c r="A181" s="517">
        <v>42876</v>
      </c>
      <c r="B181" s="409"/>
      <c r="C181" s="455">
        <v>10.6</v>
      </c>
      <c r="D181" s="456">
        <v>4200</v>
      </c>
      <c r="E181" s="457">
        <v>2300</v>
      </c>
      <c r="F181" s="455">
        <v>0.5</v>
      </c>
      <c r="G181" s="457">
        <v>1200</v>
      </c>
      <c r="H181" s="460">
        <v>0.2</v>
      </c>
      <c r="I181" s="428"/>
      <c r="J181" s="458">
        <v>10</v>
      </c>
      <c r="K181" s="457">
        <v>5200</v>
      </c>
      <c r="L181" s="457">
        <v>2350</v>
      </c>
      <c r="M181" s="459">
        <v>0.5</v>
      </c>
      <c r="N181" s="457">
        <v>1200</v>
      </c>
      <c r="O181" s="460">
        <v>0.2</v>
      </c>
      <c r="P181" s="428"/>
      <c r="Q181" s="460" t="s">
        <v>237</v>
      </c>
    </row>
    <row r="182" spans="1:17" ht="12" customHeight="1" x14ac:dyDescent="0.3">
      <c r="A182" s="517">
        <v>42928</v>
      </c>
      <c r="B182" s="409"/>
      <c r="C182" s="455">
        <v>10.1</v>
      </c>
      <c r="D182" s="456">
        <v>3600</v>
      </c>
      <c r="E182" s="457">
        <v>1980</v>
      </c>
      <c r="F182" s="455">
        <v>0.3</v>
      </c>
      <c r="G182" s="457">
        <v>900</v>
      </c>
      <c r="H182" s="460"/>
      <c r="I182" s="428"/>
      <c r="J182" s="458">
        <v>9.8000000000000007</v>
      </c>
      <c r="K182" s="457">
        <v>3650</v>
      </c>
      <c r="L182" s="457">
        <v>2007</v>
      </c>
      <c r="M182" s="459">
        <v>0.4</v>
      </c>
      <c r="N182" s="457">
        <v>900</v>
      </c>
      <c r="O182" s="460"/>
      <c r="P182" s="428"/>
      <c r="Q182" s="460" t="s">
        <v>237</v>
      </c>
    </row>
    <row r="183" spans="1:17" ht="12" customHeight="1" x14ac:dyDescent="0.3">
      <c r="A183" s="517">
        <v>42960</v>
      </c>
      <c r="B183" s="409"/>
      <c r="C183" s="455">
        <v>10.1</v>
      </c>
      <c r="D183" s="456">
        <v>4200</v>
      </c>
      <c r="E183" s="457">
        <v>2300</v>
      </c>
      <c r="F183" s="455">
        <v>0.3</v>
      </c>
      <c r="G183" s="457">
        <v>1000</v>
      </c>
      <c r="H183" s="460">
        <v>0.2</v>
      </c>
      <c r="I183" s="428"/>
      <c r="J183" s="458">
        <v>9.9</v>
      </c>
      <c r="K183" s="457">
        <v>3800</v>
      </c>
      <c r="L183" s="457">
        <v>2100</v>
      </c>
      <c r="M183" s="459">
        <v>0.5</v>
      </c>
      <c r="N183" s="457">
        <v>900</v>
      </c>
      <c r="O183" s="460">
        <v>0.2</v>
      </c>
      <c r="P183" s="428"/>
      <c r="Q183" s="460" t="s">
        <v>237</v>
      </c>
    </row>
    <row r="184" spans="1:17" ht="12" customHeight="1" x14ac:dyDescent="0.3">
      <c r="A184" s="517">
        <v>42998</v>
      </c>
      <c r="B184" s="409"/>
      <c r="C184" s="455">
        <v>10</v>
      </c>
      <c r="D184" s="456">
        <v>4000</v>
      </c>
      <c r="E184" s="457">
        <v>2200</v>
      </c>
      <c r="F184" s="455">
        <v>0.3</v>
      </c>
      <c r="G184" s="457">
        <v>900</v>
      </c>
      <c r="H184" s="460">
        <v>0.2</v>
      </c>
      <c r="I184" s="428"/>
      <c r="J184" s="458">
        <v>9.8000000000000007</v>
      </c>
      <c r="K184" s="457">
        <v>3600</v>
      </c>
      <c r="L184" s="457">
        <v>2000</v>
      </c>
      <c r="M184" s="459">
        <v>0.5</v>
      </c>
      <c r="N184" s="457">
        <v>800</v>
      </c>
      <c r="O184" s="460">
        <v>0.2</v>
      </c>
      <c r="P184" s="428"/>
      <c r="Q184" s="460" t="s">
        <v>237</v>
      </c>
    </row>
    <row r="185" spans="1:17" ht="12" customHeight="1" x14ac:dyDescent="0.3">
      <c r="A185" s="517">
        <v>43037</v>
      </c>
      <c r="B185" s="409"/>
      <c r="C185" s="455">
        <v>10.199999999999999</v>
      </c>
      <c r="D185" s="456">
        <v>4200</v>
      </c>
      <c r="E185" s="457">
        <v>2300</v>
      </c>
      <c r="F185" s="455">
        <v>0.4</v>
      </c>
      <c r="G185" s="457">
        <v>900</v>
      </c>
      <c r="H185" s="460">
        <v>0.2</v>
      </c>
      <c r="I185" s="428"/>
      <c r="J185" s="458">
        <v>9.8000000000000007</v>
      </c>
      <c r="K185" s="457">
        <v>3600</v>
      </c>
      <c r="L185" s="457">
        <v>2000</v>
      </c>
      <c r="M185" s="459">
        <v>0.5</v>
      </c>
      <c r="N185" s="457">
        <v>800</v>
      </c>
      <c r="O185" s="460">
        <v>0.2</v>
      </c>
      <c r="P185" s="428"/>
      <c r="Q185" s="460" t="s">
        <v>237</v>
      </c>
    </row>
    <row r="186" spans="1:17" ht="12" customHeight="1" x14ac:dyDescent="0.3">
      <c r="A186" s="517">
        <v>43079</v>
      </c>
      <c r="B186" s="409"/>
      <c r="C186" s="455">
        <v>10.199999999999999</v>
      </c>
      <c r="D186" s="456">
        <v>4800</v>
      </c>
      <c r="E186" s="457">
        <v>2650</v>
      </c>
      <c r="F186" s="455">
        <v>0.5</v>
      </c>
      <c r="G186" s="457">
        <v>900</v>
      </c>
      <c r="H186" s="460">
        <v>0.2</v>
      </c>
      <c r="I186" s="428"/>
      <c r="J186" s="458">
        <v>9.8000000000000007</v>
      </c>
      <c r="K186" s="457">
        <v>3600</v>
      </c>
      <c r="L186" s="457">
        <v>2000</v>
      </c>
      <c r="M186" s="459">
        <v>0.4</v>
      </c>
      <c r="N186" s="457">
        <v>700</v>
      </c>
      <c r="O186" s="460">
        <v>0.2</v>
      </c>
      <c r="P186" s="428"/>
      <c r="Q186" s="460" t="s">
        <v>237</v>
      </c>
    </row>
    <row r="187" spans="1:17" ht="12" customHeight="1" x14ac:dyDescent="0.3">
      <c r="A187" s="517">
        <v>43104</v>
      </c>
      <c r="B187" s="409"/>
      <c r="C187" s="455">
        <v>10.199999999999999</v>
      </c>
      <c r="D187" s="456">
        <v>4500</v>
      </c>
      <c r="E187" s="457">
        <v>2500</v>
      </c>
      <c r="F187" s="455">
        <v>0.2</v>
      </c>
      <c r="G187" s="457">
        <v>900</v>
      </c>
      <c r="H187" s="460">
        <v>0.2</v>
      </c>
      <c r="I187" s="428"/>
      <c r="J187" s="458">
        <v>9.6</v>
      </c>
      <c r="K187" s="457">
        <v>3300</v>
      </c>
      <c r="L187" s="457">
        <v>1800</v>
      </c>
      <c r="M187" s="459">
        <v>0.3</v>
      </c>
      <c r="N187" s="457">
        <v>500</v>
      </c>
      <c r="O187" s="460">
        <v>0.2</v>
      </c>
      <c r="P187" s="428"/>
      <c r="Q187" s="460" t="s">
        <v>237</v>
      </c>
    </row>
    <row r="188" spans="1:17" ht="12" customHeight="1" x14ac:dyDescent="0.3">
      <c r="A188" s="517">
        <v>43139</v>
      </c>
      <c r="B188" s="409"/>
      <c r="C188" s="455">
        <v>10.1</v>
      </c>
      <c r="D188" s="456">
        <v>4300</v>
      </c>
      <c r="E188" s="457">
        <v>2350</v>
      </c>
      <c r="F188" s="455">
        <v>0.3</v>
      </c>
      <c r="G188" s="457">
        <v>900</v>
      </c>
      <c r="H188" s="460">
        <v>0.1</v>
      </c>
      <c r="I188" s="428"/>
      <c r="J188" s="458">
        <v>10.4</v>
      </c>
      <c r="K188" s="457">
        <v>4800</v>
      </c>
      <c r="L188" s="457">
        <v>2650</v>
      </c>
      <c r="M188" s="459">
        <v>0.5</v>
      </c>
      <c r="N188" s="457">
        <v>1100</v>
      </c>
      <c r="O188" s="460">
        <v>0.1</v>
      </c>
      <c r="P188" s="428"/>
      <c r="Q188" s="460" t="s">
        <v>237</v>
      </c>
    </row>
    <row r="189" spans="1:17" ht="12" customHeight="1" x14ac:dyDescent="0.3">
      <c r="A189" s="517">
        <v>43163</v>
      </c>
      <c r="B189" s="409"/>
      <c r="C189" s="455">
        <v>10.1</v>
      </c>
      <c r="D189" s="456">
        <v>4300</v>
      </c>
      <c r="E189" s="457">
        <v>2350</v>
      </c>
      <c r="F189" s="455">
        <v>0.3</v>
      </c>
      <c r="G189" s="457">
        <v>900</v>
      </c>
      <c r="H189" s="460"/>
      <c r="I189" s="428"/>
      <c r="J189" s="458">
        <v>10.4</v>
      </c>
      <c r="K189" s="457">
        <v>4900</v>
      </c>
      <c r="L189" s="457">
        <v>2700</v>
      </c>
      <c r="M189" s="459">
        <v>0.5</v>
      </c>
      <c r="N189" s="457">
        <v>1100</v>
      </c>
      <c r="O189" s="460"/>
      <c r="P189" s="428"/>
      <c r="Q189" s="460" t="s">
        <v>237</v>
      </c>
    </row>
    <row r="190" spans="1:17" ht="12" customHeight="1" x14ac:dyDescent="0.3">
      <c r="A190" s="517">
        <v>43187</v>
      </c>
      <c r="B190" s="409"/>
      <c r="C190" s="455">
        <v>10.1</v>
      </c>
      <c r="D190" s="456">
        <v>4100</v>
      </c>
      <c r="E190" s="457">
        <v>2250</v>
      </c>
      <c r="F190" s="455">
        <v>0.4</v>
      </c>
      <c r="G190" s="457">
        <v>900</v>
      </c>
      <c r="H190" s="460">
        <v>0.1</v>
      </c>
      <c r="I190" s="428"/>
      <c r="J190" s="458">
        <v>10.4</v>
      </c>
      <c r="K190" s="457">
        <v>4800</v>
      </c>
      <c r="L190" s="457">
        <v>2650</v>
      </c>
      <c r="M190" s="459">
        <v>0.5</v>
      </c>
      <c r="N190" s="457">
        <v>1100</v>
      </c>
      <c r="O190" s="460">
        <v>0.1</v>
      </c>
      <c r="P190" s="428"/>
      <c r="Q190" s="460" t="s">
        <v>237</v>
      </c>
    </row>
    <row r="191" spans="1:17" ht="12" customHeight="1" x14ac:dyDescent="0.3">
      <c r="A191" s="517">
        <v>43213</v>
      </c>
      <c r="B191" s="409"/>
      <c r="C191" s="455">
        <v>10.1</v>
      </c>
      <c r="D191" s="456">
        <v>4000</v>
      </c>
      <c r="E191" s="457">
        <v>2200</v>
      </c>
      <c r="F191" s="455">
        <v>0.4</v>
      </c>
      <c r="G191" s="457">
        <v>900</v>
      </c>
      <c r="H191" s="460">
        <v>0.1</v>
      </c>
      <c r="I191" s="428"/>
      <c r="J191" s="458">
        <v>10.4</v>
      </c>
      <c r="K191" s="457">
        <v>5000</v>
      </c>
      <c r="L191" s="457">
        <v>2750</v>
      </c>
      <c r="M191" s="459">
        <v>0.5</v>
      </c>
      <c r="N191" s="457">
        <v>1100</v>
      </c>
      <c r="O191" s="460">
        <v>0.15</v>
      </c>
      <c r="P191" s="428"/>
      <c r="Q191" s="460" t="s">
        <v>237</v>
      </c>
    </row>
    <row r="192" spans="1:17" ht="12" customHeight="1" x14ac:dyDescent="0.3">
      <c r="A192" s="517">
        <v>43276</v>
      </c>
      <c r="B192" s="409"/>
      <c r="C192" s="455">
        <v>10.5</v>
      </c>
      <c r="D192" s="456">
        <v>5400</v>
      </c>
      <c r="E192" s="457">
        <v>2970</v>
      </c>
      <c r="F192" s="455">
        <v>0.4</v>
      </c>
      <c r="G192" s="457">
        <v>1200</v>
      </c>
      <c r="H192" s="460">
        <v>0.1</v>
      </c>
      <c r="I192" s="428"/>
      <c r="J192" s="458">
        <v>10.4</v>
      </c>
      <c r="K192" s="457">
        <v>4300</v>
      </c>
      <c r="L192" s="457">
        <v>2370</v>
      </c>
      <c r="M192" s="459">
        <v>0.5</v>
      </c>
      <c r="N192" s="457">
        <v>1200</v>
      </c>
      <c r="O192" s="460">
        <v>0.1</v>
      </c>
      <c r="P192" s="428"/>
      <c r="Q192" s="460" t="s">
        <v>237</v>
      </c>
    </row>
    <row r="193" spans="1:17" ht="12" customHeight="1" x14ac:dyDescent="0.3">
      <c r="A193" s="517">
        <v>43319</v>
      </c>
      <c r="B193" s="409"/>
      <c r="C193" s="455">
        <v>10.5</v>
      </c>
      <c r="D193" s="456">
        <v>5100</v>
      </c>
      <c r="E193" s="457">
        <v>2800</v>
      </c>
      <c r="F193" s="455">
        <v>0.3</v>
      </c>
      <c r="G193" s="457">
        <v>1200</v>
      </c>
      <c r="H193" s="460">
        <v>0.1</v>
      </c>
      <c r="I193" s="428"/>
      <c r="J193" s="458">
        <v>10.3</v>
      </c>
      <c r="K193" s="457">
        <v>4200</v>
      </c>
      <c r="L193" s="457">
        <v>2300</v>
      </c>
      <c r="M193" s="459">
        <v>0.5</v>
      </c>
      <c r="N193" s="457">
        <v>1200</v>
      </c>
      <c r="O193" s="460">
        <v>0.1</v>
      </c>
      <c r="P193" s="428"/>
      <c r="Q193" s="460" t="s">
        <v>237</v>
      </c>
    </row>
    <row r="194" spans="1:17" ht="12" customHeight="1" x14ac:dyDescent="0.3">
      <c r="A194" s="517">
        <v>43358</v>
      </c>
      <c r="B194" s="409"/>
      <c r="C194" s="455">
        <v>10.6</v>
      </c>
      <c r="D194" s="456">
        <v>4200</v>
      </c>
      <c r="E194" s="457">
        <v>2300</v>
      </c>
      <c r="F194" s="455">
        <v>0.4</v>
      </c>
      <c r="G194" s="457">
        <v>1100</v>
      </c>
      <c r="H194" s="460">
        <v>0.1</v>
      </c>
      <c r="I194" s="428"/>
      <c r="J194" s="458">
        <v>10.4</v>
      </c>
      <c r="K194" s="457">
        <v>5200</v>
      </c>
      <c r="L194" s="457">
        <v>2850</v>
      </c>
      <c r="M194" s="459">
        <v>0.5</v>
      </c>
      <c r="N194" s="457">
        <v>1200</v>
      </c>
      <c r="O194" s="460">
        <v>0.15</v>
      </c>
      <c r="P194" s="428"/>
      <c r="Q194" s="460" t="s">
        <v>237</v>
      </c>
    </row>
    <row r="195" spans="1:17" ht="12" customHeight="1" x14ac:dyDescent="0.3">
      <c r="A195" s="517">
        <v>43396</v>
      </c>
      <c r="B195" s="409"/>
      <c r="C195" s="455">
        <v>10.199999999999999</v>
      </c>
      <c r="D195" s="456">
        <v>3800</v>
      </c>
      <c r="E195" s="457">
        <v>2100</v>
      </c>
      <c r="F195" s="455">
        <v>0.4</v>
      </c>
      <c r="G195" s="457">
        <v>1000</v>
      </c>
      <c r="H195" s="460">
        <v>0.1</v>
      </c>
      <c r="I195" s="428"/>
      <c r="J195" s="458">
        <v>10.3</v>
      </c>
      <c r="K195" s="457">
        <v>4400</v>
      </c>
      <c r="L195" s="457">
        <v>2400</v>
      </c>
      <c r="M195" s="459">
        <v>1.7</v>
      </c>
      <c r="N195" s="457">
        <v>700</v>
      </c>
      <c r="O195" s="460">
        <v>0.1</v>
      </c>
      <c r="P195" s="428"/>
      <c r="Q195" s="460" t="s">
        <v>237</v>
      </c>
    </row>
    <row r="196" spans="1:17" ht="12" customHeight="1" x14ac:dyDescent="0.3">
      <c r="A196" s="517">
        <v>43470</v>
      </c>
      <c r="B196" s="409"/>
      <c r="C196" s="455">
        <v>10.199999999999999</v>
      </c>
      <c r="D196" s="456">
        <v>3900</v>
      </c>
      <c r="E196" s="457">
        <v>2100</v>
      </c>
      <c r="F196" s="455">
        <v>0.2</v>
      </c>
      <c r="G196" s="457">
        <v>1000</v>
      </c>
      <c r="H196" s="460"/>
      <c r="I196" s="428"/>
      <c r="J196" s="458">
        <v>10.9</v>
      </c>
      <c r="K196" s="457">
        <v>8500</v>
      </c>
      <c r="L196" s="457">
        <v>4075</v>
      </c>
      <c r="M196" s="459">
        <v>1.2</v>
      </c>
      <c r="N196" s="457">
        <v>1200</v>
      </c>
      <c r="O196" s="460"/>
      <c r="P196" s="428"/>
      <c r="Q196" s="460" t="s">
        <v>237</v>
      </c>
    </row>
    <row r="197" spans="1:17" ht="12" customHeight="1" x14ac:dyDescent="0.3">
      <c r="A197" s="517">
        <v>43493</v>
      </c>
      <c r="B197" s="409"/>
      <c r="C197" s="455">
        <v>10.199999999999999</v>
      </c>
      <c r="D197" s="456">
        <v>3600</v>
      </c>
      <c r="E197" s="457">
        <v>2000</v>
      </c>
      <c r="F197" s="455">
        <v>0.3</v>
      </c>
      <c r="G197" s="457">
        <v>1000</v>
      </c>
      <c r="H197" s="460">
        <v>0.1</v>
      </c>
      <c r="I197" s="428"/>
      <c r="J197" s="458">
        <v>10.1</v>
      </c>
      <c r="K197" s="457">
        <v>8100</v>
      </c>
      <c r="L197" s="457">
        <v>4450</v>
      </c>
      <c r="M197" s="459">
        <v>1.3</v>
      </c>
      <c r="N197" s="457">
        <v>1200</v>
      </c>
      <c r="O197" s="460">
        <v>0.1</v>
      </c>
      <c r="P197" s="428"/>
      <c r="Q197" s="460" t="s">
        <v>237</v>
      </c>
    </row>
    <row r="198" spans="1:17" ht="12" customHeight="1" x14ac:dyDescent="0.3">
      <c r="A198" s="517">
        <v>43510</v>
      </c>
      <c r="B198" s="409"/>
      <c r="C198" s="455">
        <v>10.1</v>
      </c>
      <c r="D198" s="456">
        <v>3600</v>
      </c>
      <c r="E198" s="457">
        <v>2000</v>
      </c>
      <c r="F198" s="455">
        <v>0.3</v>
      </c>
      <c r="G198" s="457">
        <v>1000</v>
      </c>
      <c r="H198" s="460">
        <v>0.1</v>
      </c>
      <c r="I198" s="428"/>
      <c r="J198" s="458">
        <v>10.199999999999999</v>
      </c>
      <c r="K198" s="457">
        <v>8100</v>
      </c>
      <c r="L198" s="457">
        <v>4450</v>
      </c>
      <c r="M198" s="459">
        <v>1.4</v>
      </c>
      <c r="N198" s="457">
        <v>1200</v>
      </c>
      <c r="O198" s="460">
        <v>0.1</v>
      </c>
      <c r="P198" s="428"/>
      <c r="Q198" s="460" t="s">
        <v>237</v>
      </c>
    </row>
    <row r="199" spans="1:17" ht="12" customHeight="1" x14ac:dyDescent="0.3">
      <c r="A199" s="517">
        <v>43544</v>
      </c>
      <c r="B199" s="409"/>
      <c r="C199" s="455">
        <v>10.199999999999999</v>
      </c>
      <c r="D199" s="456">
        <v>3600</v>
      </c>
      <c r="E199" s="457">
        <v>2000</v>
      </c>
      <c r="F199" s="455">
        <v>0.4</v>
      </c>
      <c r="G199" s="457">
        <v>1000</v>
      </c>
      <c r="H199" s="460"/>
      <c r="I199" s="428"/>
      <c r="J199" s="458">
        <v>10.3</v>
      </c>
      <c r="K199" s="457">
        <v>8200</v>
      </c>
      <c r="L199" s="457">
        <v>4500</v>
      </c>
      <c r="M199" s="459">
        <v>1.4</v>
      </c>
      <c r="N199" s="457">
        <v>1200</v>
      </c>
      <c r="O199" s="460"/>
      <c r="P199" s="428"/>
      <c r="Q199" s="460" t="s">
        <v>237</v>
      </c>
    </row>
    <row r="200" spans="1:17" ht="12" customHeight="1" x14ac:dyDescent="0.3">
      <c r="A200" s="517">
        <v>43569</v>
      </c>
      <c r="B200" s="409"/>
      <c r="C200" s="455">
        <v>10.199999999999999</v>
      </c>
      <c r="D200" s="456">
        <v>3600</v>
      </c>
      <c r="E200" s="457">
        <v>2000</v>
      </c>
      <c r="F200" s="455">
        <v>0.4</v>
      </c>
      <c r="G200" s="457">
        <v>1000</v>
      </c>
      <c r="H200" s="460">
        <v>0.1</v>
      </c>
      <c r="I200" s="428"/>
      <c r="J200" s="458">
        <v>10.3</v>
      </c>
      <c r="K200" s="457">
        <v>8200</v>
      </c>
      <c r="L200" s="457">
        <v>4500</v>
      </c>
      <c r="M200" s="459">
        <v>1.3</v>
      </c>
      <c r="N200" s="457">
        <v>1200</v>
      </c>
      <c r="O200" s="460">
        <v>0.1</v>
      </c>
      <c r="P200" s="428"/>
      <c r="Q200" s="460" t="s">
        <v>237</v>
      </c>
    </row>
    <row r="201" spans="1:17" ht="12" customHeight="1" x14ac:dyDescent="0.3">
      <c r="A201" s="517">
        <v>43605</v>
      </c>
      <c r="B201" s="409"/>
      <c r="C201" s="455">
        <v>10.6</v>
      </c>
      <c r="D201" s="456">
        <v>3800</v>
      </c>
      <c r="E201" s="457">
        <v>2100</v>
      </c>
      <c r="F201" s="455">
        <v>0.4</v>
      </c>
      <c r="G201" s="457">
        <v>1000</v>
      </c>
      <c r="H201" s="460">
        <v>0.1</v>
      </c>
      <c r="I201" s="428"/>
      <c r="J201" s="458">
        <v>10</v>
      </c>
      <c r="K201" s="457">
        <v>8400</v>
      </c>
      <c r="L201" s="457">
        <v>4600</v>
      </c>
      <c r="M201" s="459">
        <v>1.2</v>
      </c>
      <c r="N201" s="457">
        <v>1200</v>
      </c>
      <c r="O201" s="460">
        <v>0.1</v>
      </c>
      <c r="P201" s="428"/>
      <c r="Q201" s="460" t="s">
        <v>237</v>
      </c>
    </row>
    <row r="202" spans="1:17" ht="12" customHeight="1" x14ac:dyDescent="0.3">
      <c r="A202" s="517">
        <v>43632</v>
      </c>
      <c r="B202" s="409"/>
      <c r="C202" s="455">
        <v>10.1</v>
      </c>
      <c r="D202" s="456">
        <v>3800</v>
      </c>
      <c r="E202" s="457">
        <v>2090</v>
      </c>
      <c r="F202" s="455">
        <v>0.4</v>
      </c>
      <c r="G202" s="457">
        <v>1000</v>
      </c>
      <c r="H202" s="460">
        <v>0.1</v>
      </c>
      <c r="I202" s="428"/>
      <c r="J202" s="458">
        <v>10.6</v>
      </c>
      <c r="K202" s="457">
        <v>8500</v>
      </c>
      <c r="L202" s="457">
        <v>4675</v>
      </c>
      <c r="M202" s="459">
        <v>1.2</v>
      </c>
      <c r="N202" s="457">
        <v>1200</v>
      </c>
      <c r="O202" s="460">
        <v>0.1</v>
      </c>
      <c r="P202" s="428"/>
      <c r="Q202" s="460" t="s">
        <v>237</v>
      </c>
    </row>
    <row r="203" spans="1:17" ht="12" customHeight="1" x14ac:dyDescent="0.3">
      <c r="A203" s="517">
        <v>43683</v>
      </c>
      <c r="B203" s="409"/>
      <c r="C203" s="455">
        <v>10.199999999999999</v>
      </c>
      <c r="D203" s="456">
        <v>3600</v>
      </c>
      <c r="E203" s="457">
        <v>2000</v>
      </c>
      <c r="F203" s="455">
        <v>0.3</v>
      </c>
      <c r="G203" s="457">
        <v>1000</v>
      </c>
      <c r="H203" s="460">
        <v>0.1</v>
      </c>
      <c r="I203" s="428"/>
      <c r="J203" s="458">
        <v>10.6</v>
      </c>
      <c r="K203" s="457">
        <v>8500</v>
      </c>
      <c r="L203" s="457">
        <v>4600</v>
      </c>
      <c r="M203" s="459">
        <v>0.9</v>
      </c>
      <c r="N203" s="457">
        <v>1000</v>
      </c>
      <c r="O203" s="460">
        <v>0.1</v>
      </c>
      <c r="P203" s="428"/>
      <c r="Q203" s="460" t="s">
        <v>237</v>
      </c>
    </row>
    <row r="204" spans="1:17" ht="12" customHeight="1" x14ac:dyDescent="0.3">
      <c r="A204" s="517">
        <v>43710</v>
      </c>
      <c r="B204" s="409"/>
      <c r="C204" s="455">
        <v>10.199999999999999</v>
      </c>
      <c r="D204" s="456">
        <v>3600</v>
      </c>
      <c r="E204" s="457">
        <v>2000</v>
      </c>
      <c r="F204" s="455">
        <v>0.3</v>
      </c>
      <c r="G204" s="457">
        <v>1000</v>
      </c>
      <c r="H204" s="460">
        <v>0.1</v>
      </c>
      <c r="I204" s="428"/>
      <c r="J204" s="458">
        <v>10.6</v>
      </c>
      <c r="K204" s="457">
        <v>8300</v>
      </c>
      <c r="L204" s="457">
        <v>4565</v>
      </c>
      <c r="M204" s="459">
        <v>1.1000000000000001</v>
      </c>
      <c r="N204" s="457">
        <v>1200</v>
      </c>
      <c r="O204" s="460">
        <v>0.1</v>
      </c>
      <c r="P204" s="428"/>
      <c r="Q204" s="460" t="s">
        <v>237</v>
      </c>
    </row>
    <row r="205" spans="1:17" ht="12" customHeight="1" x14ac:dyDescent="0.3">
      <c r="A205" s="517">
        <v>43723</v>
      </c>
      <c r="B205" s="409"/>
      <c r="C205" s="455">
        <v>10.3</v>
      </c>
      <c r="D205" s="456">
        <v>3720</v>
      </c>
      <c r="E205" s="457">
        <v>2050</v>
      </c>
      <c r="F205" s="455">
        <v>0.3</v>
      </c>
      <c r="G205" s="457">
        <v>1000</v>
      </c>
      <c r="H205" s="460">
        <v>0.1</v>
      </c>
      <c r="I205" s="428"/>
      <c r="J205" s="458">
        <v>10.7</v>
      </c>
      <c r="K205" s="457">
        <v>8500</v>
      </c>
      <c r="L205" s="457">
        <v>4675</v>
      </c>
      <c r="M205" s="459">
        <v>1.1000000000000001</v>
      </c>
      <c r="N205" s="457">
        <v>1200</v>
      </c>
      <c r="O205" s="460">
        <v>0.1</v>
      </c>
      <c r="P205" s="428"/>
      <c r="Q205" s="460" t="s">
        <v>237</v>
      </c>
    </row>
    <row r="206" spans="1:17" ht="12" customHeight="1" x14ac:dyDescent="0.3">
      <c r="A206" s="517">
        <v>43755</v>
      </c>
      <c r="B206" s="409"/>
      <c r="C206" s="455">
        <v>10.199999999999999</v>
      </c>
      <c r="D206" s="456">
        <v>3500</v>
      </c>
      <c r="E206" s="457">
        <v>1925</v>
      </c>
      <c r="F206" s="455">
        <v>0.4</v>
      </c>
      <c r="G206" s="457">
        <v>850</v>
      </c>
      <c r="H206" s="460">
        <v>0.1</v>
      </c>
      <c r="I206" s="428"/>
      <c r="J206" s="458">
        <v>10.7</v>
      </c>
      <c r="K206" s="457">
        <v>4450</v>
      </c>
      <c r="L206" s="457">
        <v>4450</v>
      </c>
      <c r="M206" s="459">
        <v>1.1000000000000001</v>
      </c>
      <c r="N206" s="457">
        <v>1200</v>
      </c>
      <c r="O206" s="460">
        <v>0.1</v>
      </c>
      <c r="P206" s="428"/>
      <c r="Q206" s="460" t="s">
        <v>237</v>
      </c>
    </row>
    <row r="207" spans="1:17" ht="12" customHeight="1" x14ac:dyDescent="0.3">
      <c r="A207" s="517">
        <v>43793</v>
      </c>
      <c r="B207" s="409"/>
      <c r="C207" s="455">
        <v>10.4</v>
      </c>
      <c r="D207" s="456">
        <v>3500</v>
      </c>
      <c r="E207" s="457">
        <v>1900</v>
      </c>
      <c r="F207" s="455">
        <v>0.5</v>
      </c>
      <c r="G207" s="457">
        <v>900</v>
      </c>
      <c r="H207" s="460">
        <v>0.1</v>
      </c>
      <c r="I207" s="428"/>
      <c r="J207" s="458">
        <v>10.7</v>
      </c>
      <c r="K207" s="457">
        <v>8400</v>
      </c>
      <c r="L207" s="457">
        <v>4600</v>
      </c>
      <c r="M207" s="459">
        <v>1.1000000000000001</v>
      </c>
      <c r="N207" s="457">
        <v>1200</v>
      </c>
      <c r="O207" s="460">
        <v>0.1</v>
      </c>
      <c r="P207" s="428"/>
      <c r="Q207" s="460" t="s">
        <v>237</v>
      </c>
    </row>
    <row r="208" spans="1:17" ht="12" customHeight="1" x14ac:dyDescent="0.3">
      <c r="A208" s="517">
        <v>43846</v>
      </c>
      <c r="B208" s="409"/>
      <c r="C208" s="455">
        <v>10.4</v>
      </c>
      <c r="D208" s="456">
        <v>3500</v>
      </c>
      <c r="E208" s="457">
        <v>1925</v>
      </c>
      <c r="F208" s="455">
        <v>0.5</v>
      </c>
      <c r="G208" s="457">
        <v>900</v>
      </c>
      <c r="H208" s="460"/>
      <c r="I208" s="428"/>
      <c r="J208" s="458">
        <v>10.3</v>
      </c>
      <c r="K208" s="457">
        <v>7800</v>
      </c>
      <c r="L208" s="457">
        <v>4290</v>
      </c>
      <c r="M208" s="459">
        <v>1.1000000000000001</v>
      </c>
      <c r="N208" s="457">
        <v>1200</v>
      </c>
      <c r="O208" s="460"/>
      <c r="P208" s="428"/>
      <c r="Q208" s="460" t="s">
        <v>237</v>
      </c>
    </row>
    <row r="209" spans="1:17" ht="12" customHeight="1" x14ac:dyDescent="0.3">
      <c r="A209" s="517">
        <v>43888</v>
      </c>
      <c r="B209" s="409"/>
      <c r="C209" s="455">
        <v>10.4</v>
      </c>
      <c r="D209" s="456">
        <v>3450</v>
      </c>
      <c r="E209" s="457">
        <v>1898</v>
      </c>
      <c r="F209" s="455">
        <v>0.5</v>
      </c>
      <c r="G209" s="457">
        <v>900</v>
      </c>
      <c r="H209" s="460"/>
      <c r="I209" s="428"/>
      <c r="J209" s="458">
        <v>10</v>
      </c>
      <c r="K209" s="457">
        <v>7700</v>
      </c>
      <c r="L209" s="457">
        <v>4235</v>
      </c>
      <c r="M209" s="459">
        <v>1</v>
      </c>
      <c r="N209" s="457">
        <v>1200</v>
      </c>
      <c r="O209" s="460"/>
      <c r="P209" s="428"/>
      <c r="Q209" s="460" t="s">
        <v>237</v>
      </c>
    </row>
    <row r="210" spans="1:17" ht="12" customHeight="1" x14ac:dyDescent="0.3">
      <c r="A210" s="517">
        <v>43894</v>
      </c>
      <c r="B210" s="409"/>
      <c r="C210" s="455">
        <v>10.4</v>
      </c>
      <c r="D210" s="456">
        <v>3500</v>
      </c>
      <c r="E210" s="457">
        <v>1825</v>
      </c>
      <c r="F210" s="455">
        <v>0.5</v>
      </c>
      <c r="G210" s="457">
        <v>900</v>
      </c>
      <c r="H210" s="460"/>
      <c r="I210" s="428"/>
      <c r="J210" s="458">
        <v>10</v>
      </c>
      <c r="K210" s="457">
        <v>7700</v>
      </c>
      <c r="L210" s="457">
        <v>4235</v>
      </c>
      <c r="M210" s="459">
        <v>1</v>
      </c>
      <c r="N210" s="457">
        <v>1200</v>
      </c>
      <c r="O210" s="460"/>
      <c r="P210" s="428"/>
      <c r="Q210" s="460" t="s">
        <v>237</v>
      </c>
    </row>
    <row r="211" spans="1:17" ht="12" customHeight="1" x14ac:dyDescent="0.3">
      <c r="A211" s="517">
        <v>44053</v>
      </c>
      <c r="B211" s="409"/>
      <c r="C211" s="455">
        <v>10.3</v>
      </c>
      <c r="D211" s="456">
        <v>4200</v>
      </c>
      <c r="E211" s="457">
        <v>2310</v>
      </c>
      <c r="F211" s="455">
        <v>0.5</v>
      </c>
      <c r="G211" s="457">
        <v>900</v>
      </c>
      <c r="H211" s="460"/>
      <c r="I211" s="428"/>
      <c r="J211" s="458">
        <v>9.8000000000000007</v>
      </c>
      <c r="K211" s="457">
        <v>7900</v>
      </c>
      <c r="L211" s="457">
        <v>4345</v>
      </c>
      <c r="M211" s="459">
        <v>1</v>
      </c>
      <c r="N211" s="457">
        <v>1200</v>
      </c>
      <c r="O211" s="460"/>
      <c r="P211" s="428"/>
      <c r="Q211" s="460" t="s">
        <v>237</v>
      </c>
    </row>
    <row r="212" spans="1:17" ht="12" customHeight="1" x14ac:dyDescent="0.3">
      <c r="A212" s="517">
        <v>44096</v>
      </c>
      <c r="B212" s="409"/>
      <c r="C212" s="455">
        <v>10.4</v>
      </c>
      <c r="D212" s="456">
        <v>3500</v>
      </c>
      <c r="E212" s="457">
        <v>1925</v>
      </c>
      <c r="F212" s="455">
        <v>0.5</v>
      </c>
      <c r="G212" s="457">
        <v>900</v>
      </c>
      <c r="H212" s="460">
        <v>0.1</v>
      </c>
      <c r="I212" s="428"/>
      <c r="J212" s="458">
        <v>10</v>
      </c>
      <c r="K212" s="457">
        <v>7700</v>
      </c>
      <c r="L212" s="457">
        <v>4235</v>
      </c>
      <c r="M212" s="459"/>
      <c r="N212" s="457">
        <v>1200</v>
      </c>
      <c r="O212" s="460">
        <v>0.1</v>
      </c>
      <c r="P212" s="428"/>
      <c r="Q212" s="460" t="s">
        <v>237</v>
      </c>
    </row>
    <row r="213" spans="1:17" ht="12" customHeight="1" x14ac:dyDescent="0.3">
      <c r="A213" s="517">
        <v>44118</v>
      </c>
      <c r="B213" s="409"/>
      <c r="C213" s="455">
        <v>10.4</v>
      </c>
      <c r="D213" s="456">
        <v>3500</v>
      </c>
      <c r="E213" s="457">
        <v>1925</v>
      </c>
      <c r="F213" s="455">
        <v>0.5</v>
      </c>
      <c r="G213" s="457">
        <v>900</v>
      </c>
      <c r="H213" s="460"/>
      <c r="I213" s="428"/>
      <c r="J213" s="458">
        <v>10</v>
      </c>
      <c r="K213" s="457">
        <v>7700</v>
      </c>
      <c r="L213" s="457">
        <v>4235</v>
      </c>
      <c r="M213" s="459">
        <v>1</v>
      </c>
      <c r="N213" s="457">
        <v>1200</v>
      </c>
      <c r="O213" s="460"/>
      <c r="P213" s="428"/>
      <c r="Q213" s="460" t="s">
        <v>237</v>
      </c>
    </row>
    <row r="214" spans="1:17" ht="12" customHeight="1" x14ac:dyDescent="0.3">
      <c r="A214" s="517">
        <v>44149</v>
      </c>
      <c r="B214" s="409"/>
      <c r="C214" s="455">
        <v>10.4</v>
      </c>
      <c r="D214" s="456">
        <v>3500</v>
      </c>
      <c r="E214" s="457">
        <v>1925</v>
      </c>
      <c r="F214" s="455">
        <v>0.5</v>
      </c>
      <c r="G214" s="457">
        <v>900</v>
      </c>
      <c r="H214" s="460"/>
      <c r="I214" s="428"/>
      <c r="J214" s="458">
        <v>10</v>
      </c>
      <c r="K214" s="457">
        <v>7700</v>
      </c>
      <c r="L214" s="457">
        <v>4235</v>
      </c>
      <c r="M214" s="459">
        <v>1</v>
      </c>
      <c r="N214" s="457">
        <v>1200</v>
      </c>
      <c r="O214" s="460"/>
      <c r="P214" s="428"/>
      <c r="Q214" s="460" t="s">
        <v>237</v>
      </c>
    </row>
    <row r="215" spans="1:17" ht="12" customHeight="1" x14ac:dyDescent="0.3">
      <c r="A215" s="517">
        <v>44178</v>
      </c>
      <c r="B215" s="409"/>
      <c r="C215" s="455">
        <v>10.4</v>
      </c>
      <c r="D215" s="456">
        <v>3400</v>
      </c>
      <c r="E215" s="457">
        <v>1870</v>
      </c>
      <c r="F215" s="455">
        <v>0.5</v>
      </c>
      <c r="G215" s="457">
        <v>900</v>
      </c>
      <c r="H215" s="460">
        <v>0.1</v>
      </c>
      <c r="I215" s="428"/>
      <c r="J215" s="458">
        <v>10</v>
      </c>
      <c r="K215" s="457">
        <v>7600</v>
      </c>
      <c r="L215" s="457">
        <v>4180</v>
      </c>
      <c r="M215" s="459">
        <v>1</v>
      </c>
      <c r="N215" s="457">
        <v>1200</v>
      </c>
      <c r="O215" s="460">
        <v>0.1</v>
      </c>
      <c r="P215" s="428"/>
      <c r="Q215" s="460" t="s">
        <v>237</v>
      </c>
    </row>
    <row r="216" spans="1:17" ht="12" customHeight="1" x14ac:dyDescent="0.3">
      <c r="A216" s="517">
        <v>44209</v>
      </c>
      <c r="B216" s="409"/>
      <c r="C216" s="455">
        <v>10.4</v>
      </c>
      <c r="D216" s="456">
        <v>3400</v>
      </c>
      <c r="E216" s="457">
        <v>1870</v>
      </c>
      <c r="F216" s="455">
        <v>0.5</v>
      </c>
      <c r="G216" s="457">
        <v>900</v>
      </c>
      <c r="H216" s="460"/>
      <c r="I216" s="428"/>
      <c r="J216" s="458">
        <v>10</v>
      </c>
      <c r="K216" s="457">
        <v>7600</v>
      </c>
      <c r="L216" s="457">
        <v>4180</v>
      </c>
      <c r="M216" s="459">
        <v>1</v>
      </c>
      <c r="N216" s="457">
        <v>1200</v>
      </c>
      <c r="O216" s="460"/>
      <c r="P216" s="428"/>
      <c r="Q216" s="460" t="s">
        <v>237</v>
      </c>
    </row>
    <row r="217" spans="1:17" ht="12" customHeight="1" x14ac:dyDescent="0.3">
      <c r="A217" s="517">
        <v>44219</v>
      </c>
      <c r="B217" s="409"/>
      <c r="C217" s="455">
        <v>10.4</v>
      </c>
      <c r="D217" s="456">
        <v>3400</v>
      </c>
      <c r="E217" s="457">
        <v>1870</v>
      </c>
      <c r="F217" s="455">
        <v>0.5</v>
      </c>
      <c r="G217" s="457">
        <v>900</v>
      </c>
      <c r="H217" s="460"/>
      <c r="I217" s="428"/>
      <c r="J217" s="458">
        <v>10</v>
      </c>
      <c r="K217" s="457">
        <v>7600</v>
      </c>
      <c r="L217" s="457">
        <v>4180</v>
      </c>
      <c r="M217" s="459">
        <v>1</v>
      </c>
      <c r="N217" s="457">
        <v>1200</v>
      </c>
      <c r="O217" s="460"/>
      <c r="P217" s="428"/>
      <c r="Q217" s="460" t="s">
        <v>237</v>
      </c>
    </row>
    <row r="218" spans="1:17" ht="12" customHeight="1" x14ac:dyDescent="0.3">
      <c r="A218" s="517">
        <v>44230</v>
      </c>
      <c r="B218" s="409"/>
      <c r="C218" s="455">
        <v>10.4</v>
      </c>
      <c r="D218" s="456">
        <v>3400</v>
      </c>
      <c r="E218" s="457">
        <v>1870</v>
      </c>
      <c r="F218" s="455">
        <v>0.5</v>
      </c>
      <c r="G218" s="457">
        <v>900</v>
      </c>
      <c r="H218" s="460">
        <v>0.1</v>
      </c>
      <c r="I218" s="428"/>
      <c r="J218" s="458">
        <v>10</v>
      </c>
      <c r="K218" s="457">
        <v>7600</v>
      </c>
      <c r="L218" s="457">
        <v>4180</v>
      </c>
      <c r="M218" s="459">
        <v>1</v>
      </c>
      <c r="N218" s="457">
        <v>1200</v>
      </c>
      <c r="O218" s="460">
        <v>0.1</v>
      </c>
      <c r="P218" s="428"/>
      <c r="Q218" s="460" t="s">
        <v>237</v>
      </c>
    </row>
    <row r="219" spans="1:17" ht="12" customHeight="1" x14ac:dyDescent="0.3">
      <c r="A219" s="517">
        <v>44258</v>
      </c>
      <c r="B219" s="409"/>
      <c r="C219" s="455">
        <v>10.4</v>
      </c>
      <c r="D219" s="456">
        <v>3400</v>
      </c>
      <c r="E219" s="457">
        <v>1870</v>
      </c>
      <c r="F219" s="455">
        <v>0.5</v>
      </c>
      <c r="G219" s="457">
        <v>900</v>
      </c>
      <c r="H219" s="460"/>
      <c r="I219" s="428"/>
      <c r="J219" s="458">
        <v>10</v>
      </c>
      <c r="K219" s="457">
        <v>7600</v>
      </c>
      <c r="L219" s="457">
        <v>4180</v>
      </c>
      <c r="M219" s="459">
        <v>1</v>
      </c>
      <c r="N219" s="457">
        <v>1200</v>
      </c>
      <c r="O219" s="460"/>
      <c r="P219" s="428"/>
      <c r="Q219" s="460" t="s">
        <v>237</v>
      </c>
    </row>
    <row r="220" spans="1:17" ht="12" customHeight="1" x14ac:dyDescent="0.3">
      <c r="A220" s="517">
        <v>44273</v>
      </c>
      <c r="B220" s="409"/>
      <c r="C220" s="455">
        <v>10.4</v>
      </c>
      <c r="D220" s="456">
        <v>3700</v>
      </c>
      <c r="E220" s="457">
        <v>1870</v>
      </c>
      <c r="F220" s="455">
        <v>0.5</v>
      </c>
      <c r="G220" s="457">
        <v>900</v>
      </c>
      <c r="H220" s="460">
        <v>0.1</v>
      </c>
      <c r="I220" s="428"/>
      <c r="J220" s="458">
        <v>10</v>
      </c>
      <c r="K220" s="457">
        <v>7600</v>
      </c>
      <c r="L220" s="457">
        <v>4180</v>
      </c>
      <c r="M220" s="459">
        <v>1</v>
      </c>
      <c r="N220" s="457">
        <v>1200</v>
      </c>
      <c r="O220" s="460">
        <v>0.1</v>
      </c>
      <c r="P220" s="428"/>
      <c r="Q220" s="460" t="s">
        <v>237</v>
      </c>
    </row>
    <row r="221" spans="1:17" ht="12" customHeight="1" x14ac:dyDescent="0.3">
      <c r="A221" s="517">
        <v>44340</v>
      </c>
      <c r="B221" s="409"/>
      <c r="C221" s="455">
        <v>10.3</v>
      </c>
      <c r="D221" s="456">
        <v>3400</v>
      </c>
      <c r="E221" s="457">
        <v>1870</v>
      </c>
      <c r="F221" s="455">
        <v>0.5</v>
      </c>
      <c r="G221" s="457">
        <v>900</v>
      </c>
      <c r="H221" s="460">
        <v>0.1</v>
      </c>
      <c r="I221" s="428"/>
      <c r="J221" s="458">
        <v>9.8000000000000007</v>
      </c>
      <c r="K221" s="457">
        <v>7600</v>
      </c>
      <c r="L221" s="457">
        <v>4180</v>
      </c>
      <c r="M221" s="459">
        <v>1</v>
      </c>
      <c r="N221" s="457">
        <v>1200</v>
      </c>
      <c r="O221" s="460">
        <v>0.1</v>
      </c>
      <c r="P221" s="428"/>
      <c r="Q221" s="460" t="s">
        <v>237</v>
      </c>
    </row>
    <row r="222" spans="1:17" ht="12" customHeight="1" x14ac:dyDescent="0.3">
      <c r="A222" s="517" t="s">
        <v>243</v>
      </c>
      <c r="B222" s="409"/>
      <c r="C222" s="455">
        <v>10.3</v>
      </c>
      <c r="D222" s="456">
        <v>3400</v>
      </c>
      <c r="E222" s="457">
        <v>1870</v>
      </c>
      <c r="F222" s="455">
        <v>0.5</v>
      </c>
      <c r="G222" s="457">
        <v>900</v>
      </c>
      <c r="H222" s="460">
        <v>0.1</v>
      </c>
      <c r="I222" s="428"/>
      <c r="J222" s="458">
        <v>9.8000000000000007</v>
      </c>
      <c r="K222" s="457">
        <v>7600</v>
      </c>
      <c r="L222" s="457">
        <v>4180</v>
      </c>
      <c r="M222" s="459">
        <v>1</v>
      </c>
      <c r="N222" s="457">
        <v>1200</v>
      </c>
      <c r="O222" s="460">
        <v>0.1</v>
      </c>
      <c r="P222" s="428"/>
      <c r="Q222" s="460" t="s">
        <v>237</v>
      </c>
    </row>
    <row r="223" spans="1:17" ht="12" customHeight="1" x14ac:dyDescent="0.3">
      <c r="A223" s="517" t="s">
        <v>244</v>
      </c>
      <c r="B223" s="409"/>
      <c r="C223" s="455">
        <v>10.3</v>
      </c>
      <c r="D223" s="456">
        <v>3400</v>
      </c>
      <c r="E223" s="457">
        <v>1870</v>
      </c>
      <c r="F223" s="455">
        <v>0.5</v>
      </c>
      <c r="G223" s="457">
        <v>900</v>
      </c>
      <c r="H223" s="460">
        <v>0.1</v>
      </c>
      <c r="I223" s="428"/>
      <c r="J223" s="458">
        <v>9.8000000000000007</v>
      </c>
      <c r="K223" s="457">
        <v>7600</v>
      </c>
      <c r="L223" s="457">
        <v>4180</v>
      </c>
      <c r="M223" s="459">
        <v>1</v>
      </c>
      <c r="N223" s="457">
        <v>1200</v>
      </c>
      <c r="O223" s="460">
        <v>0.1</v>
      </c>
      <c r="P223" s="428"/>
      <c r="Q223" s="460" t="s">
        <v>237</v>
      </c>
    </row>
    <row r="224" spans="1:17" ht="12" customHeight="1" x14ac:dyDescent="0.3">
      <c r="A224" s="517" t="s">
        <v>245</v>
      </c>
      <c r="B224" s="409"/>
      <c r="C224" s="455">
        <v>10.4</v>
      </c>
      <c r="D224" s="456">
        <v>3400</v>
      </c>
      <c r="E224" s="457">
        <v>1870</v>
      </c>
      <c r="F224" s="455">
        <v>0.5</v>
      </c>
      <c r="G224" s="457">
        <v>900</v>
      </c>
      <c r="H224" s="460">
        <v>0.1</v>
      </c>
      <c r="I224" s="428"/>
      <c r="J224" s="458">
        <v>10</v>
      </c>
      <c r="K224" s="457">
        <v>7600</v>
      </c>
      <c r="L224" s="457">
        <v>4180</v>
      </c>
      <c r="M224" s="459">
        <v>1</v>
      </c>
      <c r="N224" s="457">
        <v>1200</v>
      </c>
      <c r="O224" s="460">
        <v>0.1</v>
      </c>
      <c r="P224" s="428"/>
      <c r="Q224" s="460" t="s">
        <v>237</v>
      </c>
    </row>
    <row r="225" spans="1:17" ht="12" customHeight="1" x14ac:dyDescent="0.3">
      <c r="A225" s="517" t="s">
        <v>246</v>
      </c>
      <c r="B225" s="409"/>
      <c r="C225" s="455">
        <v>10.4</v>
      </c>
      <c r="D225" s="456">
        <v>3400</v>
      </c>
      <c r="E225" s="457">
        <v>1870</v>
      </c>
      <c r="F225" s="455">
        <v>0.5</v>
      </c>
      <c r="G225" s="457">
        <v>900</v>
      </c>
      <c r="H225" s="460">
        <v>0.1</v>
      </c>
      <c r="I225" s="428"/>
      <c r="J225" s="458">
        <v>10</v>
      </c>
      <c r="K225" s="457">
        <v>7600</v>
      </c>
      <c r="L225" s="457">
        <v>4180</v>
      </c>
      <c r="M225" s="459">
        <v>1</v>
      </c>
      <c r="N225" s="457">
        <v>1200</v>
      </c>
      <c r="O225" s="460">
        <v>0.1</v>
      </c>
      <c r="P225" s="428"/>
      <c r="Q225" s="460" t="s">
        <v>237</v>
      </c>
    </row>
    <row r="226" spans="1:17" ht="12" customHeight="1" x14ac:dyDescent="0.3">
      <c r="A226" s="517" t="s">
        <v>247</v>
      </c>
      <c r="B226" s="409"/>
      <c r="C226" s="455">
        <v>10.4</v>
      </c>
      <c r="D226" s="456">
        <v>3400</v>
      </c>
      <c r="E226" s="457">
        <v>1870</v>
      </c>
      <c r="F226" s="455">
        <v>0.5</v>
      </c>
      <c r="G226" s="457">
        <v>900</v>
      </c>
      <c r="H226" s="460">
        <v>0.1</v>
      </c>
      <c r="I226" s="428"/>
      <c r="J226" s="458">
        <v>10</v>
      </c>
      <c r="K226" s="457">
        <v>7600</v>
      </c>
      <c r="L226" s="457">
        <v>4180</v>
      </c>
      <c r="M226" s="459">
        <v>1</v>
      </c>
      <c r="N226" s="457">
        <v>1200</v>
      </c>
      <c r="O226" s="460">
        <v>0.1</v>
      </c>
      <c r="P226" s="428"/>
      <c r="Q226" s="460" t="s">
        <v>237</v>
      </c>
    </row>
    <row r="227" spans="1:17" ht="12" customHeight="1" x14ac:dyDescent="0.3">
      <c r="A227" s="517">
        <v>44835</v>
      </c>
      <c r="B227" s="409"/>
      <c r="C227" s="455">
        <v>10.4</v>
      </c>
      <c r="D227" s="456">
        <v>3400</v>
      </c>
      <c r="E227" s="457">
        <v>1870</v>
      </c>
      <c r="F227" s="455">
        <v>0.5</v>
      </c>
      <c r="G227" s="457">
        <v>900</v>
      </c>
      <c r="H227" s="460">
        <v>0.1</v>
      </c>
      <c r="I227" s="428"/>
      <c r="J227" s="458">
        <v>10</v>
      </c>
      <c r="K227" s="457">
        <v>7500</v>
      </c>
      <c r="L227" s="457">
        <v>4125</v>
      </c>
      <c r="M227" s="459">
        <v>1</v>
      </c>
      <c r="N227" s="457">
        <v>1200</v>
      </c>
      <c r="O227" s="460">
        <v>0.1</v>
      </c>
      <c r="P227" s="428"/>
      <c r="Q227" s="460" t="s">
        <v>237</v>
      </c>
    </row>
    <row r="228" spans="1:17" ht="12" customHeight="1" x14ac:dyDescent="0.3">
      <c r="A228" s="517" t="s">
        <v>248</v>
      </c>
      <c r="B228" s="409"/>
      <c r="C228" s="455">
        <v>10.3</v>
      </c>
      <c r="D228" s="456">
        <v>3600</v>
      </c>
      <c r="E228" s="457">
        <v>1980</v>
      </c>
      <c r="F228" s="455">
        <v>0.5</v>
      </c>
      <c r="G228" s="457">
        <v>900</v>
      </c>
      <c r="H228" s="460">
        <v>0.1</v>
      </c>
      <c r="I228" s="428"/>
      <c r="J228" s="458">
        <v>9.8000000000000007</v>
      </c>
      <c r="K228" s="457">
        <v>7700</v>
      </c>
      <c r="L228" s="457">
        <v>4235</v>
      </c>
      <c r="M228" s="459">
        <v>1</v>
      </c>
      <c r="N228" s="457">
        <v>1200</v>
      </c>
      <c r="O228" s="460">
        <v>0.1</v>
      </c>
      <c r="P228" s="428"/>
      <c r="Q228" s="460" t="s">
        <v>237</v>
      </c>
    </row>
    <row r="229" spans="1:17" ht="12" customHeight="1" x14ac:dyDescent="0.3">
      <c r="A229" s="517" t="s">
        <v>249</v>
      </c>
      <c r="B229" s="409"/>
      <c r="C229" s="455">
        <v>10.3</v>
      </c>
      <c r="D229" s="456">
        <v>3600</v>
      </c>
      <c r="E229" s="457">
        <v>1980</v>
      </c>
      <c r="F229" s="455">
        <v>0.5</v>
      </c>
      <c r="G229" s="457">
        <v>900</v>
      </c>
      <c r="H229" s="460">
        <v>0.1</v>
      </c>
      <c r="I229" s="428"/>
      <c r="J229" s="458">
        <v>9.8000000000000007</v>
      </c>
      <c r="K229" s="457">
        <v>7700</v>
      </c>
      <c r="L229" s="457">
        <v>4235</v>
      </c>
      <c r="M229" s="459">
        <v>1</v>
      </c>
      <c r="N229" s="457">
        <v>1200</v>
      </c>
      <c r="O229" s="460">
        <v>0.1</v>
      </c>
      <c r="P229" s="428"/>
      <c r="Q229" s="460" t="s">
        <v>237</v>
      </c>
    </row>
    <row r="230" spans="1:17" ht="12" customHeight="1" x14ac:dyDescent="0.3">
      <c r="A230" s="517" t="s">
        <v>250</v>
      </c>
      <c r="B230" s="409"/>
      <c r="C230" s="455">
        <v>10.3</v>
      </c>
      <c r="D230" s="456">
        <v>3600</v>
      </c>
      <c r="E230" s="457">
        <v>1980</v>
      </c>
      <c r="F230" s="455">
        <v>0.5</v>
      </c>
      <c r="G230" s="457">
        <v>900</v>
      </c>
      <c r="H230" s="460">
        <v>0.1</v>
      </c>
      <c r="I230" s="428"/>
      <c r="J230" s="458">
        <v>9.8000000000000007</v>
      </c>
      <c r="K230" s="457">
        <v>7700</v>
      </c>
      <c r="L230" s="457">
        <v>4235</v>
      </c>
      <c r="M230" s="459">
        <v>1</v>
      </c>
      <c r="N230" s="457">
        <v>1200</v>
      </c>
      <c r="O230" s="460">
        <v>0.1</v>
      </c>
      <c r="P230" s="428"/>
      <c r="Q230" s="460" t="s">
        <v>237</v>
      </c>
    </row>
    <row r="231" spans="1:17" ht="12" customHeight="1" x14ac:dyDescent="0.3">
      <c r="A231" s="517" t="s">
        <v>251</v>
      </c>
      <c r="B231" s="409"/>
      <c r="C231" s="455">
        <v>10.3</v>
      </c>
      <c r="D231" s="456">
        <v>3800</v>
      </c>
      <c r="E231" s="457">
        <v>2090</v>
      </c>
      <c r="F231" s="455">
        <v>0.5</v>
      </c>
      <c r="G231" s="457">
        <v>800</v>
      </c>
      <c r="H231" s="460">
        <v>0.1</v>
      </c>
      <c r="I231" s="428"/>
      <c r="J231" s="458">
        <v>9.1999999999999993</v>
      </c>
      <c r="K231" s="457">
        <v>7300</v>
      </c>
      <c r="L231" s="457">
        <v>4015</v>
      </c>
      <c r="M231" s="459">
        <v>1</v>
      </c>
      <c r="N231" s="457"/>
      <c r="O231" s="460">
        <v>0.1</v>
      </c>
      <c r="P231" s="428"/>
      <c r="Q231" s="460" t="s">
        <v>237</v>
      </c>
    </row>
    <row r="232" spans="1:17" ht="12" customHeight="1" x14ac:dyDescent="0.3">
      <c r="A232" s="517" t="s">
        <v>252</v>
      </c>
      <c r="B232" s="409"/>
      <c r="C232" s="455">
        <v>10.3</v>
      </c>
      <c r="D232" s="456">
        <v>3800</v>
      </c>
      <c r="E232" s="457">
        <v>2100</v>
      </c>
      <c r="F232" s="455">
        <v>0.5</v>
      </c>
      <c r="G232" s="457">
        <v>900</v>
      </c>
      <c r="H232" s="460">
        <v>0.1</v>
      </c>
      <c r="I232" s="428"/>
      <c r="J232" s="458">
        <v>9.1999999999999993</v>
      </c>
      <c r="K232" s="457">
        <v>7300</v>
      </c>
      <c r="L232" s="457">
        <v>4050</v>
      </c>
      <c r="M232" s="459">
        <v>1</v>
      </c>
      <c r="N232" s="457">
        <v>1200</v>
      </c>
      <c r="O232" s="460">
        <v>0.1</v>
      </c>
      <c r="P232" s="428"/>
      <c r="Q232" s="460" t="s">
        <v>237</v>
      </c>
    </row>
    <row r="233" spans="1:17" ht="12" customHeight="1" x14ac:dyDescent="0.3">
      <c r="A233" s="517" t="s">
        <v>253</v>
      </c>
      <c r="B233" s="409">
        <v>0</v>
      </c>
      <c r="C233" s="455">
        <v>10.4</v>
      </c>
      <c r="D233" s="456">
        <v>4170</v>
      </c>
      <c r="E233" s="457">
        <v>2293</v>
      </c>
      <c r="F233" s="455">
        <v>0.5</v>
      </c>
      <c r="G233" s="457">
        <v>900</v>
      </c>
      <c r="H233" s="460">
        <v>0.1</v>
      </c>
      <c r="I233" s="428"/>
      <c r="J233" s="458"/>
      <c r="K233" s="457"/>
      <c r="L233" s="457"/>
      <c r="M233" s="459"/>
      <c r="N233" s="457"/>
      <c r="O233" s="460"/>
      <c r="P233" s="428"/>
      <c r="Q233" s="460" t="s">
        <v>237</v>
      </c>
    </row>
    <row r="234" spans="1:17" ht="12" customHeight="1" x14ac:dyDescent="0.3">
      <c r="A234" s="517">
        <v>45272</v>
      </c>
      <c r="B234" s="409"/>
      <c r="C234" s="455">
        <v>10.4</v>
      </c>
      <c r="D234" s="456">
        <v>3900</v>
      </c>
      <c r="E234" s="457">
        <v>2145</v>
      </c>
      <c r="F234" s="455">
        <v>0.5</v>
      </c>
      <c r="G234" s="457">
        <v>900</v>
      </c>
      <c r="H234" s="460">
        <v>0.1</v>
      </c>
      <c r="I234" s="428"/>
      <c r="J234" s="458">
        <v>9.1999999999999993</v>
      </c>
      <c r="K234" s="457">
        <v>7300</v>
      </c>
      <c r="L234" s="457">
        <v>4000</v>
      </c>
      <c r="M234" s="459">
        <v>1</v>
      </c>
      <c r="N234" s="457">
        <v>1100</v>
      </c>
      <c r="O234" s="460">
        <v>0.1</v>
      </c>
      <c r="P234" s="428"/>
      <c r="Q234" s="460" t="s">
        <v>237</v>
      </c>
    </row>
    <row r="235" spans="1:17" ht="12" customHeight="1" x14ac:dyDescent="0.3">
      <c r="A235" s="518">
        <v>45447</v>
      </c>
      <c r="B235" s="474"/>
      <c r="C235" s="475">
        <v>10.4</v>
      </c>
      <c r="D235" s="476">
        <v>3860</v>
      </c>
      <c r="E235" s="477">
        <v>2123</v>
      </c>
      <c r="F235" s="475">
        <v>0.5</v>
      </c>
      <c r="G235" s="477">
        <v>900</v>
      </c>
      <c r="H235" s="478"/>
      <c r="I235" s="479"/>
      <c r="J235" s="480">
        <v>10.5</v>
      </c>
      <c r="K235" s="477">
        <v>5830</v>
      </c>
      <c r="L235" s="477">
        <v>3206</v>
      </c>
      <c r="M235" s="481">
        <v>0.5</v>
      </c>
      <c r="N235" s="477">
        <v>1200</v>
      </c>
      <c r="O235" s="478"/>
      <c r="P235" s="479"/>
      <c r="Q235" s="478" t="s">
        <v>237</v>
      </c>
    </row>
    <row r="236" spans="1:17" ht="12" customHeight="1" x14ac:dyDescent="0.3">
      <c r="A236" s="518">
        <v>45454</v>
      </c>
      <c r="B236" s="474"/>
      <c r="C236" s="475">
        <v>10.1</v>
      </c>
      <c r="D236" s="476">
        <v>2460</v>
      </c>
      <c r="E236" s="477">
        <v>1353</v>
      </c>
      <c r="F236" s="475">
        <v>0.5</v>
      </c>
      <c r="G236" s="477">
        <v>900</v>
      </c>
      <c r="H236" s="478">
        <v>0.1</v>
      </c>
      <c r="I236" s="479"/>
      <c r="J236" s="480">
        <v>10.5</v>
      </c>
      <c r="K236" s="477">
        <v>6310</v>
      </c>
      <c r="L236" s="477">
        <v>3470</v>
      </c>
      <c r="M236" s="481">
        <v>0.5</v>
      </c>
      <c r="N236" s="477">
        <v>1200</v>
      </c>
      <c r="O236" s="478">
        <v>0.1</v>
      </c>
      <c r="P236" s="428"/>
      <c r="Q236" s="478" t="s">
        <v>237</v>
      </c>
    </row>
    <row r="237" spans="1:17" ht="12" customHeight="1" x14ac:dyDescent="0.3">
      <c r="A237" s="517">
        <v>45394</v>
      </c>
      <c r="B237" s="409"/>
      <c r="C237" s="475">
        <v>10.1</v>
      </c>
      <c r="D237" s="476">
        <v>4590</v>
      </c>
      <c r="E237" s="477">
        <v>2524</v>
      </c>
      <c r="F237" s="475">
        <v>0.5</v>
      </c>
      <c r="G237" s="477">
        <v>1100</v>
      </c>
      <c r="H237" s="478">
        <v>0.1</v>
      </c>
      <c r="I237" s="479"/>
      <c r="J237" s="480">
        <v>10.5</v>
      </c>
      <c r="K237" s="477">
        <v>5780</v>
      </c>
      <c r="L237" s="477">
        <v>3179</v>
      </c>
      <c r="M237" s="481">
        <v>0.5</v>
      </c>
      <c r="N237" s="477">
        <v>1200</v>
      </c>
      <c r="O237" s="478">
        <v>0.1</v>
      </c>
      <c r="P237" s="428"/>
      <c r="Q237" s="478" t="s">
        <v>237</v>
      </c>
    </row>
    <row r="238" spans="1:17" ht="12" customHeight="1" thickBot="1" x14ac:dyDescent="0.35">
      <c r="A238" s="519">
        <v>45643</v>
      </c>
      <c r="B238" s="409"/>
      <c r="C238" s="461">
        <v>10.5</v>
      </c>
      <c r="D238" s="462">
        <v>4590</v>
      </c>
      <c r="E238" s="463">
        <v>2524</v>
      </c>
      <c r="F238" s="461">
        <v>0.5</v>
      </c>
      <c r="G238" s="463">
        <v>1100</v>
      </c>
      <c r="H238" s="464">
        <v>0.1</v>
      </c>
      <c r="I238" s="428"/>
      <c r="J238" s="465">
        <v>10.5</v>
      </c>
      <c r="K238" s="463">
        <v>5780</v>
      </c>
      <c r="L238" s="463">
        <v>3179</v>
      </c>
      <c r="M238" s="466">
        <v>0.5</v>
      </c>
      <c r="N238" s="463">
        <v>1200</v>
      </c>
      <c r="O238" s="464">
        <v>0.1</v>
      </c>
      <c r="P238" s="428"/>
      <c r="Q238" s="478" t="s">
        <v>237</v>
      </c>
    </row>
    <row r="239" spans="1:17" ht="15" thickBot="1" x14ac:dyDescent="0.35">
      <c r="A239" s="519"/>
      <c r="B239" s="409"/>
      <c r="C239" s="461"/>
      <c r="D239" s="462"/>
      <c r="E239" s="463"/>
      <c r="F239" s="461"/>
      <c r="G239" s="463"/>
      <c r="H239" s="464"/>
      <c r="I239" s="428"/>
      <c r="J239" s="465"/>
      <c r="K239" s="463"/>
      <c r="L239" s="463"/>
      <c r="M239" s="466"/>
      <c r="N239" s="463"/>
      <c r="O239" s="464"/>
      <c r="P239" s="428"/>
      <c r="Q239" s="478"/>
    </row>
    <row r="240" spans="1:17" ht="15" thickBot="1" x14ac:dyDescent="0.35">
      <c r="A240" s="519"/>
      <c r="B240" s="409"/>
      <c r="C240" s="461"/>
      <c r="D240" s="462"/>
      <c r="E240" s="463"/>
      <c r="F240" s="461"/>
      <c r="G240" s="463"/>
      <c r="H240" s="464"/>
      <c r="I240" s="428"/>
      <c r="J240" s="465"/>
      <c r="K240" s="463"/>
      <c r="L240" s="463"/>
      <c r="M240" s="466"/>
      <c r="N240" s="463"/>
      <c r="O240" s="464"/>
      <c r="P240" s="428"/>
      <c r="Q240" s="478"/>
    </row>
    <row r="241" spans="1:9" x14ac:dyDescent="0.3">
      <c r="A241" s="513"/>
      <c r="B241" s="361"/>
      <c r="C241" s="362"/>
      <c r="D241" s="362"/>
      <c r="E241" s="362"/>
      <c r="F241" s="362"/>
      <c r="G241" s="362"/>
      <c r="H241" s="386"/>
      <c r="I241" s="362"/>
    </row>
    <row r="242" spans="1:9" x14ac:dyDescent="0.3">
      <c r="A242" s="513"/>
      <c r="B242" s="361"/>
      <c r="C242" s="362"/>
      <c r="D242" s="362"/>
      <c r="E242" s="362"/>
      <c r="F242" s="362"/>
      <c r="G242" s="362"/>
      <c r="H242" s="386"/>
      <c r="I242" s="362"/>
    </row>
    <row r="243" spans="1:9" x14ac:dyDescent="0.3">
      <c r="A243" s="513"/>
      <c r="B243" s="361"/>
      <c r="C243" s="362"/>
      <c r="D243" s="362"/>
      <c r="E243" s="362"/>
      <c r="F243" s="362"/>
      <c r="G243" s="362"/>
      <c r="H243" s="386"/>
      <c r="I243" s="362"/>
    </row>
    <row r="244" spans="1:9" x14ac:dyDescent="0.3">
      <c r="A244" s="513"/>
      <c r="B244" s="361"/>
      <c r="C244" s="362"/>
      <c r="D244" s="362"/>
      <c r="E244" s="362"/>
      <c r="F244" s="362"/>
      <c r="G244" s="362"/>
      <c r="H244" s="386"/>
      <c r="I244" s="362"/>
    </row>
    <row r="245" spans="1:9" x14ac:dyDescent="0.3">
      <c r="A245" s="513"/>
      <c r="B245" s="361"/>
      <c r="C245" s="362"/>
      <c r="D245" s="362"/>
      <c r="E245" s="362"/>
      <c r="F245" s="362"/>
      <c r="G245" s="362"/>
      <c r="H245" s="386"/>
      <c r="I245" s="362"/>
    </row>
    <row r="246" spans="1:9" x14ac:dyDescent="0.3">
      <c r="A246" s="513"/>
      <c r="B246" s="361"/>
      <c r="C246" s="362"/>
      <c r="D246" s="362"/>
      <c r="E246" s="362"/>
      <c r="F246" s="362"/>
      <c r="G246" s="362"/>
      <c r="H246" s="386"/>
      <c r="I246" s="362"/>
    </row>
    <row r="247" spans="1:9" x14ac:dyDescent="0.3">
      <c r="A247" s="513"/>
      <c r="B247" s="361"/>
      <c r="C247" s="362"/>
      <c r="D247" s="362"/>
      <c r="E247" s="362"/>
      <c r="F247" s="362"/>
      <c r="G247" s="362"/>
      <c r="H247" s="386"/>
      <c r="I247" s="362"/>
    </row>
    <row r="248" spans="1:9" x14ac:dyDescent="0.3">
      <c r="A248" s="513"/>
      <c r="B248" s="361"/>
      <c r="C248" s="362"/>
      <c r="D248" s="362"/>
      <c r="E248" s="362"/>
      <c r="F248" s="362"/>
      <c r="G248" s="362"/>
      <c r="H248" s="386"/>
      <c r="I248" s="362"/>
    </row>
    <row r="249" spans="1:9" x14ac:dyDescent="0.3">
      <c r="A249" s="513"/>
      <c r="B249" s="361"/>
      <c r="C249" s="362"/>
      <c r="D249" s="362"/>
      <c r="E249" s="362"/>
      <c r="F249" s="362"/>
      <c r="G249" s="362"/>
      <c r="H249" s="386"/>
      <c r="I249" s="362"/>
    </row>
    <row r="250" spans="1:9" x14ac:dyDescent="0.3">
      <c r="A250" s="513"/>
      <c r="B250" s="361"/>
      <c r="C250" s="362"/>
      <c r="D250" s="362"/>
      <c r="E250" s="362"/>
      <c r="F250" s="362"/>
      <c r="G250" s="362"/>
      <c r="H250" s="386"/>
      <c r="I250" s="362"/>
    </row>
    <row r="251" spans="1:9" x14ac:dyDescent="0.3">
      <c r="A251" s="513"/>
      <c r="B251" s="361"/>
      <c r="C251" s="362"/>
      <c r="D251" s="362"/>
      <c r="E251" s="362"/>
      <c r="F251" s="362"/>
      <c r="G251" s="362"/>
      <c r="H251" s="386"/>
      <c r="I251" s="362"/>
    </row>
    <row r="252" spans="1:9" x14ac:dyDescent="0.3">
      <c r="A252" s="513"/>
      <c r="B252" s="361"/>
      <c r="C252" s="362"/>
      <c r="D252" s="362"/>
      <c r="E252" s="362"/>
      <c r="F252" s="362"/>
      <c r="G252" s="362"/>
      <c r="H252" s="386"/>
      <c r="I252" s="362"/>
    </row>
    <row r="253" spans="1:9" x14ac:dyDescent="0.3">
      <c r="A253" s="513"/>
      <c r="B253" s="361"/>
      <c r="C253" s="362"/>
      <c r="D253" s="362"/>
      <c r="E253" s="362"/>
      <c r="F253" s="362"/>
      <c r="G253" s="362"/>
      <c r="H253" s="386"/>
      <c r="I253" s="362"/>
    </row>
    <row r="254" spans="1:9" x14ac:dyDescent="0.3">
      <c r="A254" s="513"/>
      <c r="B254" s="361"/>
      <c r="C254" s="362"/>
      <c r="D254" s="362"/>
      <c r="E254" s="362"/>
      <c r="F254" s="362"/>
      <c r="G254" s="362"/>
      <c r="H254" s="386"/>
      <c r="I254" s="362"/>
    </row>
    <row r="255" spans="1:9" x14ac:dyDescent="0.3">
      <c r="A255" s="513"/>
      <c r="B255" s="361"/>
      <c r="C255" s="362"/>
      <c r="D255" s="362"/>
      <c r="E255" s="362"/>
      <c r="F255" s="362"/>
      <c r="G255" s="362"/>
      <c r="H255" s="386"/>
      <c r="I255" s="362"/>
    </row>
    <row r="256" spans="1:9" x14ac:dyDescent="0.3">
      <c r="A256" s="513"/>
      <c r="B256" s="361"/>
      <c r="C256" s="362"/>
      <c r="D256" s="362"/>
      <c r="E256" s="362"/>
      <c r="F256" s="362"/>
      <c r="G256" s="362"/>
      <c r="H256" s="386"/>
      <c r="I256" s="362"/>
    </row>
    <row r="257" spans="1:9" x14ac:dyDescent="0.3">
      <c r="A257" s="513"/>
      <c r="B257" s="361"/>
      <c r="C257" s="362"/>
      <c r="D257" s="362"/>
      <c r="E257" s="362"/>
      <c r="F257" s="362"/>
      <c r="G257" s="362"/>
      <c r="H257" s="386"/>
      <c r="I257" s="362"/>
    </row>
    <row r="258" spans="1:9" x14ac:dyDescent="0.3">
      <c r="A258" s="513"/>
      <c r="B258" s="361"/>
      <c r="C258" s="362"/>
      <c r="D258" s="362"/>
      <c r="E258" s="362"/>
      <c r="F258" s="362"/>
      <c r="G258" s="362"/>
      <c r="H258" s="386"/>
      <c r="I258" s="362"/>
    </row>
    <row r="259" spans="1:9" x14ac:dyDescent="0.3">
      <c r="A259" s="513"/>
      <c r="B259" s="361"/>
      <c r="C259" s="362"/>
      <c r="D259" s="362"/>
      <c r="E259" s="362"/>
      <c r="F259" s="362"/>
      <c r="G259" s="362"/>
      <c r="H259" s="386"/>
      <c r="I259" s="362"/>
    </row>
    <row r="260" spans="1:9" x14ac:dyDescent="0.3">
      <c r="A260" s="513"/>
      <c r="B260" s="361"/>
      <c r="C260" s="362"/>
      <c r="D260" s="362"/>
      <c r="E260" s="362"/>
      <c r="F260" s="362"/>
      <c r="G260" s="362"/>
      <c r="H260" s="386"/>
      <c r="I260" s="362"/>
    </row>
    <row r="261" spans="1:9" x14ac:dyDescent="0.3">
      <c r="A261" s="513"/>
      <c r="B261" s="361"/>
      <c r="C261" s="362"/>
      <c r="D261" s="362"/>
      <c r="E261" s="362"/>
      <c r="F261" s="362"/>
      <c r="G261" s="362"/>
      <c r="H261" s="386"/>
      <c r="I261" s="362"/>
    </row>
    <row r="262" spans="1:9" x14ac:dyDescent="0.3">
      <c r="A262" s="513"/>
      <c r="B262" s="361"/>
      <c r="C262" s="362"/>
      <c r="D262" s="362"/>
      <c r="E262" s="362"/>
      <c r="F262" s="362"/>
      <c r="G262" s="362"/>
      <c r="H262" s="386"/>
      <c r="I262" s="362"/>
    </row>
    <row r="263" spans="1:9" x14ac:dyDescent="0.3">
      <c r="A263" s="513"/>
      <c r="B263" s="361"/>
      <c r="C263" s="362"/>
      <c r="D263" s="362"/>
      <c r="E263" s="362"/>
      <c r="F263" s="362"/>
      <c r="G263" s="362"/>
      <c r="H263" s="386"/>
      <c r="I263" s="362"/>
    </row>
    <row r="264" spans="1:9" x14ac:dyDescent="0.3">
      <c r="A264" s="513"/>
      <c r="B264" s="361"/>
      <c r="C264" s="362"/>
      <c r="D264" s="362"/>
      <c r="E264" s="362"/>
      <c r="F264" s="362"/>
      <c r="G264" s="362"/>
      <c r="H264" s="386"/>
      <c r="I264" s="362"/>
    </row>
    <row r="265" spans="1:9" x14ac:dyDescent="0.3">
      <c r="A265" s="513"/>
      <c r="B265" s="361"/>
      <c r="C265" s="362"/>
      <c r="D265" s="362"/>
      <c r="E265" s="362"/>
      <c r="F265" s="362"/>
      <c r="G265" s="362"/>
      <c r="H265" s="386"/>
      <c r="I265" s="362"/>
    </row>
    <row r="266" spans="1:9" x14ac:dyDescent="0.3">
      <c r="A266" s="513"/>
      <c r="B266" s="361"/>
      <c r="C266" s="362"/>
      <c r="D266" s="362"/>
      <c r="E266" s="362"/>
      <c r="F266" s="362"/>
      <c r="G266" s="362"/>
      <c r="H266" s="386"/>
      <c r="I266" s="362"/>
    </row>
    <row r="267" spans="1:9" x14ac:dyDescent="0.3">
      <c r="A267" s="513"/>
      <c r="B267" s="361"/>
      <c r="C267" s="362"/>
      <c r="D267" s="362"/>
      <c r="E267" s="362"/>
      <c r="F267" s="362"/>
      <c r="G267" s="362"/>
      <c r="H267" s="386"/>
      <c r="I267" s="362"/>
    </row>
    <row r="268" spans="1:9" x14ac:dyDescent="0.3">
      <c r="A268" s="513"/>
      <c r="B268" s="361"/>
      <c r="C268" s="362"/>
      <c r="D268" s="362"/>
      <c r="E268" s="362"/>
      <c r="F268" s="362"/>
      <c r="G268" s="362"/>
      <c r="H268" s="386"/>
      <c r="I268" s="362"/>
    </row>
    <row r="269" spans="1:9" x14ac:dyDescent="0.3">
      <c r="A269" s="513"/>
      <c r="B269" s="361"/>
      <c r="C269" s="362"/>
      <c r="D269" s="362"/>
      <c r="E269" s="362"/>
      <c r="F269" s="362"/>
      <c r="G269" s="362"/>
      <c r="H269" s="386"/>
      <c r="I269" s="362"/>
    </row>
    <row r="270" spans="1:9" x14ac:dyDescent="0.3">
      <c r="A270" s="513"/>
      <c r="B270" s="361"/>
      <c r="C270" s="362"/>
      <c r="D270" s="362"/>
      <c r="E270" s="362"/>
      <c r="F270" s="362"/>
      <c r="G270" s="362"/>
      <c r="H270" s="386"/>
      <c r="I270" s="362"/>
    </row>
    <row r="271" spans="1:9" x14ac:dyDescent="0.3">
      <c r="A271" s="513"/>
      <c r="B271" s="361"/>
      <c r="C271" s="362"/>
      <c r="D271" s="362"/>
      <c r="E271" s="362"/>
      <c r="F271" s="362"/>
      <c r="G271" s="362"/>
      <c r="H271" s="386"/>
      <c r="I271" s="362"/>
    </row>
    <row r="272" spans="1:9" x14ac:dyDescent="0.3">
      <c r="A272" s="513"/>
      <c r="B272" s="361"/>
      <c r="C272" s="362"/>
      <c r="D272" s="362"/>
      <c r="E272" s="362"/>
      <c r="F272" s="362"/>
      <c r="G272" s="362"/>
      <c r="H272" s="386"/>
      <c r="I272" s="362"/>
    </row>
    <row r="273" spans="1:9" x14ac:dyDescent="0.3">
      <c r="A273" s="513"/>
      <c r="B273" s="361"/>
      <c r="C273" s="362"/>
      <c r="D273" s="362"/>
      <c r="E273" s="362"/>
      <c r="F273" s="362"/>
      <c r="G273" s="362"/>
      <c r="H273" s="386"/>
      <c r="I273" s="362"/>
    </row>
    <row r="274" spans="1:9" x14ac:dyDescent="0.3">
      <c r="A274" s="513"/>
      <c r="B274" s="361"/>
      <c r="C274" s="362"/>
      <c r="D274" s="362"/>
      <c r="E274" s="362"/>
      <c r="F274" s="362"/>
      <c r="G274" s="362"/>
      <c r="H274" s="386"/>
      <c r="I274" s="362"/>
    </row>
    <row r="275" spans="1:9" x14ac:dyDescent="0.3">
      <c r="A275" s="513"/>
      <c r="B275" s="361"/>
      <c r="C275" s="362"/>
      <c r="D275" s="362"/>
      <c r="E275" s="362"/>
      <c r="F275" s="362"/>
      <c r="G275" s="362"/>
      <c r="H275" s="386"/>
      <c r="I275" s="362"/>
    </row>
    <row r="276" spans="1:9" x14ac:dyDescent="0.3">
      <c r="A276" s="513"/>
      <c r="B276" s="361"/>
      <c r="C276" s="362"/>
      <c r="D276" s="362"/>
      <c r="E276" s="362"/>
      <c r="F276" s="362"/>
      <c r="G276" s="362"/>
      <c r="H276" s="386"/>
      <c r="I276" s="362"/>
    </row>
    <row r="277" spans="1:9" x14ac:dyDescent="0.3">
      <c r="A277" s="513"/>
      <c r="B277" s="361"/>
      <c r="C277" s="362"/>
      <c r="D277" s="362"/>
      <c r="E277" s="362"/>
      <c r="F277" s="362"/>
      <c r="G277" s="362"/>
      <c r="H277" s="386"/>
      <c r="I277" s="362"/>
    </row>
    <row r="278" spans="1:9" x14ac:dyDescent="0.3">
      <c r="A278" s="513"/>
      <c r="B278" s="361"/>
      <c r="C278" s="362"/>
      <c r="D278" s="362"/>
      <c r="E278" s="362"/>
      <c r="F278" s="362"/>
      <c r="G278" s="362"/>
      <c r="H278" s="386"/>
      <c r="I278" s="362"/>
    </row>
    <row r="279" spans="1:9" x14ac:dyDescent="0.3">
      <c r="A279" s="513"/>
      <c r="B279" s="361"/>
      <c r="C279" s="362"/>
      <c r="D279" s="362"/>
      <c r="E279" s="362"/>
      <c r="F279" s="362"/>
      <c r="G279" s="362"/>
      <c r="H279" s="386"/>
      <c r="I279" s="362"/>
    </row>
    <row r="280" spans="1:9" x14ac:dyDescent="0.3">
      <c r="A280" s="513"/>
      <c r="B280" s="361"/>
      <c r="C280" s="362"/>
      <c r="D280" s="362"/>
      <c r="E280" s="362"/>
      <c r="F280" s="362"/>
      <c r="G280" s="362"/>
      <c r="H280" s="386"/>
      <c r="I280" s="362"/>
    </row>
    <row r="281" spans="1:9" x14ac:dyDescent="0.3">
      <c r="A281" s="513"/>
      <c r="B281" s="361"/>
      <c r="C281" s="362"/>
      <c r="D281" s="362"/>
      <c r="E281" s="362"/>
      <c r="F281" s="362"/>
      <c r="G281" s="362"/>
      <c r="H281" s="386"/>
      <c r="I281" s="362"/>
    </row>
    <row r="282" spans="1:9" x14ac:dyDescent="0.3">
      <c r="A282" s="513"/>
      <c r="B282" s="361"/>
      <c r="C282" s="362"/>
      <c r="D282" s="362"/>
      <c r="E282" s="362"/>
      <c r="F282" s="362"/>
      <c r="G282" s="362"/>
      <c r="H282" s="386"/>
      <c r="I282" s="362"/>
    </row>
    <row r="283" spans="1:9" x14ac:dyDescent="0.3">
      <c r="A283" s="513"/>
      <c r="B283" s="361"/>
      <c r="C283" s="362"/>
      <c r="D283" s="362"/>
      <c r="E283" s="362"/>
      <c r="F283" s="362"/>
      <c r="G283" s="362"/>
      <c r="H283" s="386"/>
      <c r="I283" s="362"/>
    </row>
    <row r="284" spans="1:9" x14ac:dyDescent="0.3">
      <c r="A284" s="513"/>
      <c r="B284" s="361"/>
      <c r="C284" s="362"/>
      <c r="D284" s="362"/>
      <c r="E284" s="362"/>
      <c r="F284" s="362"/>
      <c r="G284" s="362"/>
      <c r="H284" s="386"/>
      <c r="I284" s="362"/>
    </row>
    <row r="285" spans="1:9" x14ac:dyDescent="0.3">
      <c r="A285" s="513"/>
      <c r="B285" s="361"/>
      <c r="C285" s="362"/>
      <c r="D285" s="362"/>
      <c r="E285" s="362"/>
      <c r="F285" s="362"/>
      <c r="G285" s="362"/>
      <c r="H285" s="386"/>
      <c r="I285" s="362"/>
    </row>
    <row r="286" spans="1:9" x14ac:dyDescent="0.3">
      <c r="A286" s="513"/>
      <c r="B286" s="361"/>
      <c r="C286" s="362"/>
      <c r="D286" s="362"/>
      <c r="E286" s="362"/>
      <c r="F286" s="362"/>
      <c r="G286" s="362"/>
      <c r="H286" s="386"/>
      <c r="I286" s="362"/>
    </row>
    <row r="287" spans="1:9" x14ac:dyDescent="0.3">
      <c r="A287" s="513"/>
      <c r="B287" s="361"/>
      <c r="C287" s="362"/>
      <c r="D287" s="362"/>
      <c r="E287" s="362"/>
      <c r="F287" s="362"/>
      <c r="G287" s="362"/>
      <c r="H287" s="386"/>
      <c r="I287" s="362"/>
    </row>
    <row r="288" spans="1:9" x14ac:dyDescent="0.3">
      <c r="A288" s="513"/>
      <c r="B288" s="361"/>
      <c r="C288" s="362"/>
      <c r="D288" s="362"/>
      <c r="E288" s="362"/>
      <c r="F288" s="362"/>
      <c r="G288" s="362"/>
      <c r="H288" s="386"/>
      <c r="I288" s="362"/>
    </row>
    <row r="289" spans="1:9" x14ac:dyDescent="0.3">
      <c r="A289" s="513"/>
      <c r="B289" s="361"/>
      <c r="C289" s="362"/>
      <c r="D289" s="362"/>
      <c r="E289" s="362"/>
      <c r="F289" s="362"/>
      <c r="G289" s="362"/>
      <c r="H289" s="386"/>
      <c r="I289" s="362"/>
    </row>
    <row r="290" spans="1:9" x14ac:dyDescent="0.3">
      <c r="A290" s="513"/>
      <c r="B290" s="361"/>
      <c r="C290" s="362"/>
      <c r="D290" s="362"/>
      <c r="E290" s="362"/>
      <c r="F290" s="362"/>
      <c r="G290" s="362"/>
      <c r="H290" s="386"/>
      <c r="I290" s="362"/>
    </row>
    <row r="291" spans="1:9" x14ac:dyDescent="0.3">
      <c r="A291" s="513"/>
      <c r="B291" s="361"/>
      <c r="C291" s="362"/>
      <c r="D291" s="362"/>
      <c r="E291" s="362"/>
      <c r="F291" s="362"/>
      <c r="G291" s="362"/>
      <c r="H291" s="386"/>
      <c r="I291" s="362"/>
    </row>
    <row r="292" spans="1:9" x14ac:dyDescent="0.3">
      <c r="A292" s="513"/>
      <c r="B292" s="361"/>
      <c r="C292" s="362"/>
      <c r="D292" s="362"/>
      <c r="E292" s="362"/>
      <c r="F292" s="362"/>
      <c r="G292" s="362"/>
      <c r="H292" s="386"/>
      <c r="I292" s="362"/>
    </row>
    <row r="293" spans="1:9" x14ac:dyDescent="0.3">
      <c r="A293" s="513"/>
      <c r="B293" s="361"/>
      <c r="C293" s="362"/>
      <c r="D293" s="362"/>
      <c r="E293" s="362"/>
      <c r="F293" s="362"/>
      <c r="G293" s="362"/>
      <c r="H293" s="386"/>
      <c r="I293" s="362"/>
    </row>
    <row r="294" spans="1:9" x14ac:dyDescent="0.3">
      <c r="A294" s="513"/>
      <c r="B294" s="361"/>
      <c r="C294" s="362"/>
      <c r="D294" s="362"/>
      <c r="E294" s="362"/>
      <c r="F294" s="362"/>
      <c r="G294" s="362"/>
      <c r="H294" s="386"/>
      <c r="I294" s="362"/>
    </row>
    <row r="295" spans="1:9" x14ac:dyDescent="0.3">
      <c r="A295" s="513"/>
      <c r="B295" s="361"/>
      <c r="C295" s="362"/>
      <c r="D295" s="362"/>
      <c r="E295" s="362"/>
      <c r="F295" s="362"/>
      <c r="G295" s="362"/>
      <c r="H295" s="386"/>
      <c r="I295" s="362"/>
    </row>
    <row r="296" spans="1:9" x14ac:dyDescent="0.3">
      <c r="A296" s="513"/>
      <c r="B296" s="361"/>
      <c r="C296" s="362"/>
      <c r="D296" s="362"/>
      <c r="E296" s="362"/>
      <c r="F296" s="362"/>
      <c r="G296" s="362"/>
      <c r="H296" s="386"/>
      <c r="I296" s="362"/>
    </row>
    <row r="297" spans="1:9" x14ac:dyDescent="0.3">
      <c r="A297" s="513"/>
      <c r="B297" s="361"/>
      <c r="C297" s="362"/>
      <c r="D297" s="362"/>
      <c r="E297" s="362"/>
      <c r="F297" s="362"/>
      <c r="G297" s="362"/>
      <c r="H297" s="386"/>
      <c r="I297" s="362"/>
    </row>
    <row r="298" spans="1:9" x14ac:dyDescent="0.3">
      <c r="A298" s="513"/>
      <c r="B298" s="361"/>
      <c r="C298" s="362"/>
      <c r="D298" s="362"/>
      <c r="E298" s="362"/>
      <c r="F298" s="362"/>
      <c r="G298" s="362"/>
      <c r="H298" s="386"/>
      <c r="I298" s="362"/>
    </row>
    <row r="299" spans="1:9" x14ac:dyDescent="0.3">
      <c r="A299" s="513"/>
      <c r="B299" s="361"/>
      <c r="C299" s="362"/>
      <c r="D299" s="362"/>
      <c r="E299" s="362"/>
      <c r="F299" s="362"/>
      <c r="G299" s="362"/>
      <c r="H299" s="386"/>
      <c r="I299" s="362"/>
    </row>
    <row r="300" spans="1:9" x14ac:dyDescent="0.3">
      <c r="A300" s="513"/>
      <c r="B300" s="361"/>
      <c r="C300" s="362"/>
      <c r="D300" s="362"/>
      <c r="E300" s="362"/>
      <c r="F300" s="362"/>
      <c r="G300" s="362"/>
      <c r="H300" s="386"/>
      <c r="I300" s="362"/>
    </row>
    <row r="301" spans="1:9" x14ac:dyDescent="0.3">
      <c r="A301" s="513"/>
      <c r="B301" s="361"/>
      <c r="C301" s="362"/>
      <c r="D301" s="362"/>
      <c r="E301" s="362"/>
      <c r="F301" s="362"/>
      <c r="G301" s="362"/>
      <c r="H301" s="386"/>
      <c r="I301" s="362"/>
    </row>
    <row r="302" spans="1:9" x14ac:dyDescent="0.3">
      <c r="A302" s="513"/>
      <c r="B302" s="361"/>
      <c r="C302" s="362"/>
      <c r="D302" s="362"/>
      <c r="E302" s="362"/>
      <c r="F302" s="362"/>
      <c r="G302" s="362"/>
      <c r="H302" s="386"/>
      <c r="I302" s="362"/>
    </row>
    <row r="303" spans="1:9" x14ac:dyDescent="0.3">
      <c r="A303" s="513"/>
      <c r="B303" s="361"/>
      <c r="C303" s="362"/>
      <c r="D303" s="362"/>
      <c r="E303" s="362"/>
      <c r="F303" s="362"/>
      <c r="G303" s="362"/>
      <c r="H303" s="386"/>
      <c r="I303" s="362"/>
    </row>
    <row r="304" spans="1:9" x14ac:dyDescent="0.3">
      <c r="A304" s="513"/>
      <c r="B304" s="361"/>
      <c r="C304" s="362"/>
      <c r="D304" s="362"/>
      <c r="E304" s="362"/>
      <c r="F304" s="362"/>
      <c r="G304" s="362"/>
      <c r="H304" s="386"/>
      <c r="I304" s="362"/>
    </row>
    <row r="305" spans="1:9" x14ac:dyDescent="0.3">
      <c r="A305" s="513"/>
      <c r="B305" s="361"/>
      <c r="C305" s="362"/>
      <c r="D305" s="362"/>
      <c r="E305" s="362"/>
      <c r="F305" s="362"/>
      <c r="G305" s="362"/>
      <c r="H305" s="386"/>
      <c r="I305" s="362"/>
    </row>
    <row r="306" spans="1:9" x14ac:dyDescent="0.3">
      <c r="A306" s="513"/>
      <c r="B306" s="361"/>
      <c r="C306" s="362"/>
      <c r="D306" s="362"/>
      <c r="E306" s="362"/>
      <c r="F306" s="362"/>
      <c r="G306" s="362"/>
      <c r="H306" s="386"/>
      <c r="I306" s="362"/>
    </row>
    <row r="307" spans="1:9" x14ac:dyDescent="0.3">
      <c r="A307" s="513"/>
      <c r="B307" s="361"/>
      <c r="C307" s="362"/>
      <c r="D307" s="362"/>
      <c r="E307" s="362"/>
      <c r="F307" s="362"/>
      <c r="G307" s="362"/>
      <c r="H307" s="386"/>
      <c r="I307" s="362"/>
    </row>
    <row r="308" spans="1:9" x14ac:dyDescent="0.3">
      <c r="A308" s="513"/>
      <c r="B308" s="361"/>
      <c r="C308" s="362"/>
      <c r="D308" s="362"/>
      <c r="E308" s="362"/>
      <c r="F308" s="362"/>
      <c r="G308" s="362"/>
      <c r="H308" s="386"/>
      <c r="I308" s="362"/>
    </row>
    <row r="309" spans="1:9" x14ac:dyDescent="0.3">
      <c r="A309" s="513"/>
      <c r="B309" s="361"/>
      <c r="C309" s="362"/>
      <c r="D309" s="362"/>
      <c r="E309" s="362"/>
      <c r="F309" s="362"/>
      <c r="G309" s="362"/>
      <c r="H309" s="386"/>
      <c r="I309" s="362"/>
    </row>
    <row r="310" spans="1:9" x14ac:dyDescent="0.3">
      <c r="A310" s="513"/>
      <c r="B310" s="361"/>
      <c r="C310" s="362"/>
      <c r="D310" s="362"/>
      <c r="E310" s="362"/>
      <c r="F310" s="362"/>
      <c r="G310" s="362"/>
      <c r="H310" s="386"/>
      <c r="I310" s="362"/>
    </row>
    <row r="311" spans="1:9" x14ac:dyDescent="0.3">
      <c r="A311" s="513"/>
      <c r="B311" s="361"/>
      <c r="C311" s="362"/>
      <c r="D311" s="362"/>
      <c r="E311" s="362"/>
      <c r="F311" s="362"/>
      <c r="G311" s="362"/>
      <c r="H311" s="386"/>
      <c r="I311" s="362"/>
    </row>
    <row r="312" spans="1:9" x14ac:dyDescent="0.3">
      <c r="A312" s="513"/>
      <c r="B312" s="361"/>
      <c r="C312" s="362"/>
      <c r="D312" s="362"/>
      <c r="E312" s="362"/>
      <c r="F312" s="362"/>
      <c r="G312" s="362"/>
      <c r="H312" s="386"/>
      <c r="I312" s="362"/>
    </row>
    <row r="313" spans="1:9" x14ac:dyDescent="0.3">
      <c r="A313" s="513"/>
      <c r="B313" s="361"/>
      <c r="C313" s="362"/>
      <c r="D313" s="362"/>
      <c r="E313" s="362"/>
      <c r="F313" s="362"/>
      <c r="G313" s="362"/>
      <c r="H313" s="386"/>
      <c r="I313" s="362"/>
    </row>
    <row r="314" spans="1:9" x14ac:dyDescent="0.3">
      <c r="A314" s="513"/>
      <c r="B314" s="361"/>
      <c r="C314" s="362"/>
      <c r="D314" s="362"/>
      <c r="E314" s="362"/>
      <c r="F314" s="362"/>
      <c r="G314" s="362"/>
      <c r="H314" s="386"/>
      <c r="I314" s="362"/>
    </row>
    <row r="315" spans="1:9" x14ac:dyDescent="0.3">
      <c r="A315" s="513"/>
      <c r="B315" s="361"/>
      <c r="C315" s="362"/>
      <c r="D315" s="362"/>
      <c r="E315" s="362"/>
      <c r="F315" s="362"/>
      <c r="G315" s="362"/>
      <c r="H315" s="386"/>
      <c r="I315" s="362"/>
    </row>
    <row r="316" spans="1:9" x14ac:dyDescent="0.3">
      <c r="A316" s="513"/>
      <c r="B316" s="361"/>
      <c r="C316" s="362"/>
      <c r="D316" s="362"/>
      <c r="E316" s="362"/>
      <c r="F316" s="362"/>
      <c r="G316" s="362"/>
      <c r="H316" s="386"/>
      <c r="I316" s="362"/>
    </row>
    <row r="317" spans="1:9" x14ac:dyDescent="0.3">
      <c r="A317" s="513"/>
      <c r="B317" s="361"/>
      <c r="C317" s="362"/>
      <c r="D317" s="362"/>
      <c r="E317" s="362"/>
      <c r="F317" s="362"/>
      <c r="G317" s="362"/>
      <c r="H317" s="386"/>
      <c r="I317" s="362"/>
    </row>
    <row r="318" spans="1:9" x14ac:dyDescent="0.3">
      <c r="A318" s="513"/>
      <c r="B318" s="361"/>
      <c r="C318" s="362"/>
      <c r="D318" s="362"/>
      <c r="E318" s="362"/>
      <c r="F318" s="362"/>
      <c r="G318" s="362"/>
      <c r="H318" s="386"/>
      <c r="I318" s="362"/>
    </row>
    <row r="319" spans="1:9" x14ac:dyDescent="0.3">
      <c r="A319" s="513"/>
      <c r="B319" s="361"/>
      <c r="C319" s="362"/>
      <c r="D319" s="362"/>
      <c r="E319" s="362"/>
      <c r="F319" s="362"/>
      <c r="G319" s="362"/>
      <c r="H319" s="386"/>
      <c r="I319" s="362"/>
    </row>
    <row r="320" spans="1:9" x14ac:dyDescent="0.3">
      <c r="A320" s="513"/>
      <c r="B320" s="361"/>
      <c r="C320" s="362"/>
      <c r="D320" s="362"/>
      <c r="E320" s="362"/>
      <c r="F320" s="362"/>
      <c r="G320" s="362"/>
      <c r="H320" s="386"/>
      <c r="I320" s="362"/>
    </row>
    <row r="321" spans="1:9" x14ac:dyDescent="0.3">
      <c r="A321" s="513"/>
      <c r="B321" s="361"/>
      <c r="C321" s="362"/>
      <c r="D321" s="362"/>
      <c r="E321" s="362"/>
      <c r="F321" s="362"/>
      <c r="G321" s="362"/>
      <c r="H321" s="386"/>
      <c r="I321" s="362"/>
    </row>
  </sheetData>
  <mergeCells count="4">
    <mergeCell ref="A8:A9"/>
    <mergeCell ref="C8:H8"/>
    <mergeCell ref="J8:O8"/>
    <mergeCell ref="Q8:Q9"/>
  </mergeCells>
  <pageMargins left="0.4" right="0.36" top="0.45" bottom="0.55000000000000004" header="0.3" footer="0.3"/>
  <pageSetup scale="6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1"/>
  <dimension ref="A1:EL151"/>
  <sheetViews>
    <sheetView workbookViewId="0">
      <selection activeCell="E12" sqref="E12"/>
    </sheetView>
  </sheetViews>
  <sheetFormatPr defaultColWidth="9.109375" defaultRowHeight="13.2" x14ac:dyDescent="0.25"/>
  <cols>
    <col min="1" max="1" width="11.88671875" customWidth="1"/>
    <col min="4" max="4" width="6" customWidth="1"/>
    <col min="5" max="5" width="6.109375" customWidth="1"/>
    <col min="6" max="6" width="7.44140625" customWidth="1"/>
    <col min="7" max="7" width="11.33203125" customWidth="1"/>
    <col min="8" max="8" width="9.33203125" bestFit="1" customWidth="1"/>
    <col min="9" max="9" width="1.33203125" customWidth="1"/>
    <col min="10" max="10" width="9" customWidth="1"/>
    <col min="11" max="11" width="10" style="56" customWidth="1"/>
    <col min="12" max="12" width="9.33203125" style="56" bestFit="1" customWidth="1"/>
    <col min="13" max="13" width="1.33203125" customWidth="1"/>
    <col min="15" max="15" width="10.88671875" style="56" bestFit="1" customWidth="1"/>
    <col min="16" max="16" width="8.33203125" style="56" customWidth="1"/>
    <col min="17" max="17" width="1.33203125" customWidth="1"/>
    <col min="19" max="19" width="6.44140625" customWidth="1"/>
    <col min="20" max="20" width="10.6640625" customWidth="1"/>
    <col min="21" max="21" width="8.88671875" customWidth="1"/>
    <col min="22" max="22" width="1.33203125" customWidth="1"/>
    <col min="23" max="23" width="10.44140625" bestFit="1" customWidth="1"/>
    <col min="24" max="24" width="12.5546875" customWidth="1"/>
    <col min="25" max="25" width="10.6640625" customWidth="1"/>
    <col min="26" max="26" width="1.44140625" customWidth="1"/>
    <col min="27" max="27" width="11.109375" bestFit="1" customWidth="1"/>
    <col min="28" max="29" width="10" customWidth="1"/>
    <col min="30" max="30" width="1.33203125" customWidth="1"/>
    <col min="31" max="31" width="12.33203125" bestFit="1" customWidth="1"/>
    <col min="32" max="32" width="10.88671875" customWidth="1"/>
    <col min="33" max="33" width="11.33203125" customWidth="1"/>
    <col min="34" max="34" width="1.109375" customWidth="1"/>
    <col min="35" max="35" width="8.88671875" customWidth="1"/>
    <col min="36" max="36" width="8.109375" customWidth="1"/>
    <col min="37" max="37" width="8.33203125" customWidth="1"/>
    <col min="38" max="38" width="1.109375" customWidth="1"/>
    <col min="39" max="39" width="8.88671875" customWidth="1"/>
    <col min="40" max="40" width="8.109375" customWidth="1"/>
    <col min="41" max="41" width="8.6640625" customWidth="1"/>
    <col min="42" max="42" width="1.109375" customWidth="1"/>
    <col min="43" max="43" width="9.109375" customWidth="1"/>
    <col min="44" max="44" width="13.33203125" bestFit="1" customWidth="1"/>
    <col min="45" max="45" width="1.33203125" customWidth="1"/>
    <col min="46" max="46" width="9.109375" customWidth="1"/>
    <col min="47" max="47" width="7.5546875" customWidth="1"/>
    <col min="48" max="48" width="7.109375" customWidth="1"/>
    <col min="49" max="49" width="1.33203125" customWidth="1"/>
    <col min="50" max="50" width="4.44140625" customWidth="1"/>
    <col min="51" max="51" width="12.88671875" bestFit="1" customWidth="1"/>
    <col min="52" max="52" width="10.88671875" customWidth="1"/>
    <col min="53" max="53" width="12.88671875" bestFit="1" customWidth="1"/>
    <col min="54" max="54" width="1.5546875" customWidth="1"/>
    <col min="55" max="55" width="7" bestFit="1" customWidth="1"/>
    <col min="56" max="57" width="6.6640625" customWidth="1"/>
    <col min="58" max="58" width="7.5546875" customWidth="1"/>
    <col min="59" max="59" width="7" bestFit="1" customWidth="1"/>
    <col min="60" max="61" width="6.6640625" customWidth="1"/>
    <col min="62" max="62" width="7" bestFit="1" customWidth="1"/>
    <col min="63" max="63" width="2.5546875" customWidth="1"/>
    <col min="64" max="64" width="10" style="150" customWidth="1"/>
    <col min="65" max="65" width="5.88671875" customWidth="1"/>
    <col min="66" max="66" width="9.109375" style="158"/>
    <col min="67" max="67" width="2" customWidth="1"/>
    <col min="69" max="70" width="12.5546875" customWidth="1"/>
    <col min="71" max="71" width="2" customWidth="1"/>
    <col min="73" max="74" width="12.5546875" customWidth="1"/>
    <col min="75" max="75" width="2" customWidth="1"/>
    <col min="77" max="77" width="12.5546875" customWidth="1"/>
    <col min="78" max="78" width="12" customWidth="1"/>
    <col min="79" max="79" width="2" customWidth="1"/>
    <col min="81" max="82" width="11.88671875" customWidth="1"/>
    <col min="83" max="83" width="2" customWidth="1"/>
    <col min="85" max="86" width="11.88671875" customWidth="1"/>
    <col min="88" max="89" width="11.88671875" customWidth="1"/>
    <col min="90" max="90" width="4.109375" customWidth="1"/>
    <col min="91" max="92" width="10.33203125" customWidth="1"/>
    <col min="93" max="93" width="3.5546875" customWidth="1"/>
    <col min="95" max="95" width="13.5546875" customWidth="1"/>
    <col min="96" max="96" width="8.88671875" customWidth="1"/>
    <col min="97" max="97" width="15.5546875" customWidth="1"/>
    <col min="99" max="99" width="3.6640625" customWidth="1"/>
    <col min="101" max="102" width="9.109375" customWidth="1"/>
    <col min="103" max="103" width="3.6640625" customWidth="1"/>
    <col min="105" max="106" width="9.109375" customWidth="1"/>
    <col min="107" max="107" width="3.6640625" customWidth="1"/>
    <col min="111" max="111" width="3.6640625" customWidth="1"/>
    <col min="115" max="115" width="3.6640625" customWidth="1"/>
    <col min="119" max="119" width="3.6640625" customWidth="1"/>
    <col min="123" max="123" width="3.6640625" customWidth="1"/>
    <col min="127" max="127" width="3.6640625" customWidth="1"/>
    <col min="129" max="129" width="3.6640625" customWidth="1"/>
    <col min="132" max="132" width="3.6640625" customWidth="1"/>
    <col min="135" max="135" width="3.44140625" customWidth="1"/>
    <col min="139" max="139" width="3.44140625" customWidth="1"/>
  </cols>
  <sheetData>
    <row r="1" spans="1:142" ht="16.95" customHeight="1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80</v>
      </c>
      <c r="CG1">
        <v>81</v>
      </c>
      <c r="CH1">
        <v>82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</row>
    <row r="2" spans="1:142" ht="14.25" customHeight="1" thickTop="1" thickBot="1" x14ac:dyDescent="0.3">
      <c r="A2" s="36"/>
      <c r="B2" s="597" t="s">
        <v>1</v>
      </c>
      <c r="C2" s="597"/>
      <c r="D2" s="597"/>
      <c r="E2" s="597"/>
      <c r="F2" s="597"/>
      <c r="G2" s="597"/>
      <c r="H2" s="597"/>
      <c r="I2" s="40"/>
      <c r="J2" s="597" t="s">
        <v>20</v>
      </c>
      <c r="K2" s="597"/>
      <c r="L2" s="597"/>
      <c r="M2" s="42"/>
      <c r="N2" s="597" t="s">
        <v>171</v>
      </c>
      <c r="O2" s="597"/>
      <c r="P2" s="597"/>
      <c r="Q2" s="41"/>
      <c r="R2" s="597" t="s">
        <v>2</v>
      </c>
      <c r="S2" s="597"/>
      <c r="T2" s="597"/>
      <c r="U2" s="597"/>
      <c r="V2" s="34"/>
      <c r="W2" s="604" t="s">
        <v>3</v>
      </c>
      <c r="X2" s="605"/>
      <c r="Y2" s="606"/>
      <c r="Z2" s="34"/>
      <c r="AA2" s="604" t="s">
        <v>14</v>
      </c>
      <c r="AB2" s="605"/>
      <c r="AC2" s="606"/>
      <c r="AD2" s="34"/>
      <c r="AE2" s="597" t="s">
        <v>38</v>
      </c>
      <c r="AF2" s="597"/>
      <c r="AG2" s="597"/>
      <c r="AH2" s="34"/>
      <c r="AI2" s="604" t="s">
        <v>41</v>
      </c>
      <c r="AJ2" s="605"/>
      <c r="AK2" s="606"/>
      <c r="AL2" s="34"/>
      <c r="AM2" s="604" t="s">
        <v>36</v>
      </c>
      <c r="AN2" s="605"/>
      <c r="AO2" s="606"/>
      <c r="AP2" s="34"/>
      <c r="AQ2" s="597" t="s">
        <v>40</v>
      </c>
      <c r="AR2" s="597"/>
      <c r="AS2" s="35"/>
      <c r="AT2" s="597" t="s">
        <v>61</v>
      </c>
      <c r="AU2" s="597"/>
      <c r="AV2" s="597"/>
      <c r="AW2" s="35"/>
      <c r="AX2" s="120"/>
      <c r="AY2" s="601" t="s">
        <v>19</v>
      </c>
      <c r="AZ2" s="602"/>
      <c r="BA2" s="603"/>
      <c r="BC2" s="593" t="s">
        <v>35</v>
      </c>
      <c r="BD2" s="594"/>
      <c r="BE2" s="594"/>
      <c r="BF2" s="594"/>
      <c r="BG2" s="594"/>
      <c r="BH2" s="594"/>
      <c r="BI2" s="594"/>
      <c r="BJ2" s="595"/>
      <c r="BL2" s="583" t="s">
        <v>60</v>
      </c>
      <c r="BN2" s="589" t="s">
        <v>113</v>
      </c>
      <c r="BP2" s="579" t="s">
        <v>102</v>
      </c>
      <c r="BQ2" s="579"/>
      <c r="BR2" s="579"/>
      <c r="BT2" s="579" t="s">
        <v>105</v>
      </c>
      <c r="BU2" s="579"/>
      <c r="BV2" s="579"/>
      <c r="BX2" s="579" t="s">
        <v>106</v>
      </c>
      <c r="BY2" s="579"/>
      <c r="BZ2" s="579"/>
      <c r="CB2" s="579" t="s">
        <v>108</v>
      </c>
      <c r="CC2" s="579"/>
      <c r="CD2" s="579"/>
      <c r="CF2" s="579" t="s">
        <v>170</v>
      </c>
      <c r="CG2" s="579"/>
      <c r="CH2" s="579"/>
      <c r="CI2" s="579" t="s">
        <v>162</v>
      </c>
      <c r="CJ2" s="579"/>
      <c r="CK2" s="579"/>
      <c r="CM2" s="246" t="s">
        <v>111</v>
      </c>
      <c r="CN2" s="244"/>
      <c r="CP2" s="586" t="s">
        <v>114</v>
      </c>
      <c r="CQ2" s="587"/>
      <c r="CR2" s="587"/>
      <c r="CS2" s="587"/>
      <c r="CT2" s="587"/>
      <c r="CV2" s="579" t="s">
        <v>118</v>
      </c>
      <c r="CW2" s="579"/>
      <c r="CX2" s="579"/>
      <c r="CZ2" s="579" t="s">
        <v>119</v>
      </c>
      <c r="DA2" s="579"/>
      <c r="DB2" s="579"/>
      <c r="DD2" s="579" t="s">
        <v>122</v>
      </c>
      <c r="DE2" s="579"/>
      <c r="DF2" s="579"/>
      <c r="DH2" s="579" t="s">
        <v>125</v>
      </c>
      <c r="DI2" s="579"/>
      <c r="DJ2" s="579"/>
      <c r="DL2" s="579" t="s">
        <v>126</v>
      </c>
      <c r="DM2" s="579"/>
      <c r="DN2" s="579"/>
      <c r="DP2" s="579" t="s">
        <v>127</v>
      </c>
      <c r="DQ2" s="579"/>
      <c r="DR2" s="579"/>
      <c r="DT2" s="580" t="s">
        <v>128</v>
      </c>
      <c r="DU2" s="581"/>
      <c r="DV2" s="582"/>
      <c r="DW2" s="280"/>
      <c r="DX2" s="583" t="s">
        <v>140</v>
      </c>
      <c r="DZ2" s="579" t="s">
        <v>129</v>
      </c>
      <c r="EA2" s="579"/>
      <c r="EC2" s="579" t="s">
        <v>141</v>
      </c>
      <c r="ED2" s="579"/>
      <c r="EF2" s="579" t="s">
        <v>144</v>
      </c>
      <c r="EG2" s="579"/>
      <c r="EH2" s="579"/>
      <c r="EJ2" s="579" t="s">
        <v>157</v>
      </c>
      <c r="EK2" s="579"/>
      <c r="EL2" s="579"/>
    </row>
    <row r="3" spans="1:142" ht="9.75" customHeight="1" thickTop="1" thickBot="1" x14ac:dyDescent="0.3">
      <c r="A3" s="36"/>
      <c r="B3" s="300"/>
      <c r="C3" s="300"/>
      <c r="D3" s="300"/>
      <c r="E3" s="300"/>
      <c r="F3" s="300"/>
      <c r="G3" s="300"/>
      <c r="H3" s="300"/>
      <c r="I3" s="301"/>
      <c r="J3" s="300"/>
      <c r="K3" s="300"/>
      <c r="L3" s="300"/>
      <c r="M3" s="302"/>
      <c r="N3" s="300"/>
      <c r="O3" s="300"/>
      <c r="P3" s="300"/>
      <c r="Q3" s="188"/>
      <c r="R3" s="300"/>
      <c r="S3" s="300"/>
      <c r="T3" s="300"/>
      <c r="U3" s="300"/>
      <c r="V3" s="34"/>
      <c r="W3" s="501"/>
      <c r="X3" s="303"/>
      <c r="Y3" s="304"/>
      <c r="Z3" s="34"/>
      <c r="AA3" s="501"/>
      <c r="AB3" s="303"/>
      <c r="AC3" s="304"/>
      <c r="AD3" s="34"/>
      <c r="AE3" s="300"/>
      <c r="AF3" s="300"/>
      <c r="AG3" s="500"/>
      <c r="AH3" s="34"/>
      <c r="AI3" s="501"/>
      <c r="AJ3" s="502"/>
      <c r="AK3" s="503"/>
      <c r="AL3" s="34"/>
      <c r="AM3" s="501"/>
      <c r="AN3" s="502"/>
      <c r="AO3" s="503"/>
      <c r="AP3" s="34"/>
      <c r="AQ3" s="300"/>
      <c r="AR3" s="300"/>
      <c r="AS3" s="35"/>
      <c r="AT3" s="300"/>
      <c r="AU3" s="300"/>
      <c r="AV3" s="300"/>
      <c r="AW3" s="35"/>
      <c r="AX3" s="120"/>
      <c r="AY3" s="305"/>
      <c r="AZ3" s="306"/>
      <c r="BA3" s="307"/>
      <c r="BC3" s="308"/>
      <c r="BD3" s="309"/>
      <c r="BE3" s="309"/>
      <c r="BF3" s="309"/>
      <c r="BG3" s="309"/>
      <c r="BH3" s="309"/>
      <c r="BI3" s="309"/>
      <c r="BJ3" s="310"/>
      <c r="BL3" s="584"/>
      <c r="BN3" s="589"/>
      <c r="BP3" s="499"/>
      <c r="BQ3" s="499"/>
      <c r="BR3" s="508"/>
      <c r="BT3" s="499"/>
      <c r="BU3" s="499"/>
      <c r="BV3" s="508"/>
      <c r="BX3" s="499"/>
      <c r="BY3" s="499"/>
      <c r="BZ3" s="499"/>
      <c r="CB3" s="499"/>
      <c r="CC3" s="499"/>
      <c r="CD3" s="499"/>
      <c r="CF3" s="499"/>
      <c r="CG3" s="499"/>
      <c r="CH3" s="499"/>
      <c r="CI3" s="499"/>
      <c r="CJ3" s="499"/>
      <c r="CK3" s="499"/>
      <c r="CM3" s="246"/>
      <c r="CN3" s="244"/>
      <c r="CP3" s="504"/>
      <c r="CQ3" s="505"/>
      <c r="CR3" s="505"/>
      <c r="CS3" s="505"/>
      <c r="CT3" s="505"/>
      <c r="CV3" s="499"/>
      <c r="CW3" s="499"/>
      <c r="CX3" s="499"/>
      <c r="CZ3" s="499"/>
      <c r="DA3" s="499"/>
      <c r="DB3" s="499"/>
      <c r="DD3" s="499"/>
      <c r="DE3" s="499"/>
      <c r="DF3" s="499"/>
      <c r="DH3" s="499"/>
      <c r="DI3" s="499"/>
      <c r="DJ3" s="499"/>
      <c r="DL3" s="499"/>
      <c r="DM3" s="499"/>
      <c r="DN3" s="499"/>
      <c r="DP3" s="499"/>
      <c r="DQ3" s="499"/>
      <c r="DR3" s="499"/>
      <c r="DT3" s="506"/>
      <c r="DU3" s="507"/>
      <c r="DV3" s="508"/>
      <c r="DW3" s="280"/>
      <c r="DX3" s="584"/>
      <c r="DZ3" s="499"/>
      <c r="EA3" s="499"/>
      <c r="EC3" s="499"/>
      <c r="ED3" s="499"/>
      <c r="EF3" s="499"/>
      <c r="EG3" s="499"/>
      <c r="EH3" s="499"/>
      <c r="EJ3" s="499"/>
      <c r="EK3" s="499"/>
      <c r="EL3" s="499"/>
    </row>
    <row r="4" spans="1:142" s="243" customFormat="1" ht="24.75" customHeight="1" thickTop="1" x14ac:dyDescent="0.25">
      <c r="A4" s="102" t="s">
        <v>8</v>
      </c>
      <c r="B4" s="493" t="s">
        <v>9</v>
      </c>
      <c r="C4" s="493" t="s">
        <v>11</v>
      </c>
      <c r="D4" s="493" t="s">
        <v>42</v>
      </c>
      <c r="E4" s="493" t="s">
        <v>21</v>
      </c>
      <c r="F4" s="493" t="s">
        <v>12</v>
      </c>
      <c r="G4" s="112" t="s">
        <v>34</v>
      </c>
      <c r="H4" s="103" t="s">
        <v>18</v>
      </c>
      <c r="I4" s="104"/>
      <c r="J4" s="493" t="s">
        <v>9</v>
      </c>
      <c r="K4" s="112" t="s">
        <v>34</v>
      </c>
      <c r="L4" s="103" t="s">
        <v>18</v>
      </c>
      <c r="M4" s="105"/>
      <c r="N4" s="493" t="s">
        <v>9</v>
      </c>
      <c r="O4" s="113" t="s">
        <v>34</v>
      </c>
      <c r="P4" s="103" t="s">
        <v>18</v>
      </c>
      <c r="Q4" s="106"/>
      <c r="R4" s="493" t="s">
        <v>9</v>
      </c>
      <c r="S4" s="493" t="s">
        <v>10</v>
      </c>
      <c r="T4" s="112" t="s">
        <v>34</v>
      </c>
      <c r="U4" s="103" t="s">
        <v>18</v>
      </c>
      <c r="V4" s="107"/>
      <c r="W4" s="108" t="s">
        <v>9</v>
      </c>
      <c r="X4" s="112" t="s">
        <v>34</v>
      </c>
      <c r="Y4" s="112" t="s">
        <v>37</v>
      </c>
      <c r="Z4" s="109"/>
      <c r="AA4" s="108" t="s">
        <v>9</v>
      </c>
      <c r="AB4" s="112" t="s">
        <v>34</v>
      </c>
      <c r="AC4" s="112" t="s">
        <v>37</v>
      </c>
      <c r="AD4" s="109"/>
      <c r="AE4" s="493" t="s">
        <v>39</v>
      </c>
      <c r="AF4" s="493" t="s">
        <v>18</v>
      </c>
      <c r="AG4" s="108" t="s">
        <v>17</v>
      </c>
      <c r="AH4" s="109"/>
      <c r="AI4" s="108" t="s">
        <v>39</v>
      </c>
      <c r="AJ4" s="119" t="s">
        <v>18</v>
      </c>
      <c r="AK4" s="119" t="s">
        <v>17</v>
      </c>
      <c r="AL4" s="109"/>
      <c r="AM4" s="108" t="s">
        <v>39</v>
      </c>
      <c r="AN4" s="119" t="s">
        <v>18</v>
      </c>
      <c r="AO4" s="119" t="s">
        <v>17</v>
      </c>
      <c r="AP4" s="109"/>
      <c r="AQ4" s="493" t="s">
        <v>43</v>
      </c>
      <c r="AR4" s="493" t="s">
        <v>44</v>
      </c>
      <c r="AS4" s="110"/>
      <c r="AT4" s="493" t="s">
        <v>63</v>
      </c>
      <c r="AU4" s="493" t="s">
        <v>64</v>
      </c>
      <c r="AV4" s="493" t="s">
        <v>62</v>
      </c>
      <c r="AW4" s="110"/>
      <c r="AX4" s="121"/>
      <c r="AY4" s="598" t="s">
        <v>163</v>
      </c>
      <c r="AZ4" s="599"/>
      <c r="BA4" s="600"/>
      <c r="BC4" s="590" t="s">
        <v>261</v>
      </c>
      <c r="BD4" s="591"/>
      <c r="BE4" s="591"/>
      <c r="BF4" s="592"/>
      <c r="BG4" s="590" t="s">
        <v>262</v>
      </c>
      <c r="BH4" s="591"/>
      <c r="BI4" s="591"/>
      <c r="BJ4" s="592"/>
      <c r="BL4" s="584"/>
      <c r="BN4" s="589"/>
      <c r="BP4" s="219" t="s">
        <v>103</v>
      </c>
      <c r="BQ4" s="248" t="s">
        <v>112</v>
      </c>
      <c r="BR4" s="291" t="s">
        <v>107</v>
      </c>
      <c r="BS4" s="271"/>
      <c r="BT4" s="219" t="s">
        <v>103</v>
      </c>
      <c r="BU4" s="219" t="s">
        <v>104</v>
      </c>
      <c r="BV4" s="291" t="s">
        <v>107</v>
      </c>
      <c r="BW4" s="271"/>
      <c r="BX4" s="219" t="s">
        <v>103</v>
      </c>
      <c r="BY4" s="219" t="s">
        <v>104</v>
      </c>
      <c r="BZ4" s="219" t="s">
        <v>107</v>
      </c>
      <c r="CB4" s="219" t="s">
        <v>103</v>
      </c>
      <c r="CC4" s="219" t="s">
        <v>104</v>
      </c>
      <c r="CD4" s="219" t="s">
        <v>107</v>
      </c>
      <c r="CF4" s="219" t="s">
        <v>103</v>
      </c>
      <c r="CG4" s="219" t="s">
        <v>104</v>
      </c>
      <c r="CH4" s="219" t="s">
        <v>107</v>
      </c>
      <c r="CI4" s="219" t="s">
        <v>103</v>
      </c>
      <c r="CJ4" s="219" t="s">
        <v>104</v>
      </c>
      <c r="CK4" s="219" t="s">
        <v>107</v>
      </c>
      <c r="CM4" s="245" t="s">
        <v>39</v>
      </c>
      <c r="CN4" s="245" t="s">
        <v>18</v>
      </c>
      <c r="CP4" s="219" t="s">
        <v>103</v>
      </c>
      <c r="CQ4" s="248" t="s">
        <v>116</v>
      </c>
      <c r="CR4" s="248" t="s">
        <v>117</v>
      </c>
      <c r="CS4" s="248" t="s">
        <v>115</v>
      </c>
      <c r="CT4" s="248" t="s">
        <v>117</v>
      </c>
      <c r="CV4" s="219" t="s">
        <v>103</v>
      </c>
      <c r="CW4" s="219" t="s">
        <v>123</v>
      </c>
      <c r="CX4" s="219" t="s">
        <v>124</v>
      </c>
      <c r="CZ4" s="219" t="s">
        <v>103</v>
      </c>
      <c r="DA4" s="219" t="s">
        <v>123</v>
      </c>
      <c r="DB4" s="219" t="s">
        <v>124</v>
      </c>
      <c r="DD4" s="219" t="s">
        <v>103</v>
      </c>
      <c r="DE4" s="219" t="s">
        <v>123</v>
      </c>
      <c r="DF4" s="219" t="s">
        <v>124</v>
      </c>
      <c r="DH4" s="219" t="s">
        <v>103</v>
      </c>
      <c r="DI4" s="219" t="s">
        <v>123</v>
      </c>
      <c r="DJ4" s="219" t="s">
        <v>124</v>
      </c>
      <c r="DL4" s="219" t="s">
        <v>103</v>
      </c>
      <c r="DM4" s="219" t="s">
        <v>123</v>
      </c>
      <c r="DN4" s="219" t="s">
        <v>124</v>
      </c>
      <c r="DP4" s="219" t="s">
        <v>103</v>
      </c>
      <c r="DQ4" s="219" t="s">
        <v>123</v>
      </c>
      <c r="DR4" s="219" t="s">
        <v>124</v>
      </c>
      <c r="DT4" s="219" t="s">
        <v>103</v>
      </c>
      <c r="DU4" s="219" t="s">
        <v>123</v>
      </c>
      <c r="DV4" s="219" t="s">
        <v>124</v>
      </c>
      <c r="DW4" s="271"/>
      <c r="DX4" s="585"/>
      <c r="DZ4" s="219" t="s">
        <v>123</v>
      </c>
      <c r="EA4" s="219" t="s">
        <v>124</v>
      </c>
      <c r="EC4" s="248" t="s">
        <v>142</v>
      </c>
      <c r="ED4" s="248" t="s">
        <v>143</v>
      </c>
      <c r="EF4" s="219" t="s">
        <v>103</v>
      </c>
      <c r="EG4" s="219" t="s">
        <v>123</v>
      </c>
      <c r="EH4" s="219" t="s">
        <v>124</v>
      </c>
      <c r="EJ4" s="219" t="s">
        <v>103</v>
      </c>
      <c r="EK4" s="219" t="s">
        <v>123</v>
      </c>
      <c r="EL4" s="219" t="s">
        <v>124</v>
      </c>
    </row>
    <row r="5" spans="1:142" x14ac:dyDescent="0.25">
      <c r="A5" s="37"/>
      <c r="B5" s="33">
        <v>277890</v>
      </c>
      <c r="C5" s="524"/>
      <c r="D5" s="524"/>
      <c r="E5" s="524"/>
      <c r="F5" s="251">
        <v>840</v>
      </c>
      <c r="G5" s="524"/>
      <c r="H5" s="528"/>
      <c r="I5" s="187"/>
      <c r="J5" s="33">
        <v>206864</v>
      </c>
      <c r="K5" s="527"/>
      <c r="L5" s="527"/>
      <c r="M5" s="188"/>
      <c r="N5" s="33">
        <v>730976</v>
      </c>
      <c r="O5" s="527"/>
      <c r="P5" s="527"/>
      <c r="Q5" s="34"/>
      <c r="R5" s="33">
        <v>42700</v>
      </c>
      <c r="S5" s="524"/>
      <c r="T5" s="524"/>
      <c r="U5" s="528"/>
      <c r="V5" s="34"/>
      <c r="W5" s="186">
        <v>45656.55</v>
      </c>
      <c r="X5" s="524"/>
      <c r="Y5" s="524"/>
      <c r="Z5" s="34"/>
      <c r="AA5" s="266">
        <v>520030</v>
      </c>
      <c r="AB5" s="524"/>
      <c r="AC5" s="524"/>
      <c r="AD5" s="34"/>
      <c r="AE5" s="524"/>
      <c r="AF5" s="524"/>
      <c r="AG5" s="524"/>
      <c r="AH5" s="34"/>
      <c r="AI5" s="524"/>
      <c r="AJ5" s="524"/>
      <c r="AK5" s="524"/>
      <c r="AL5" s="34"/>
      <c r="AM5" s="524"/>
      <c r="AN5" s="524"/>
      <c r="AO5" s="524"/>
      <c r="AP5" s="34"/>
      <c r="AQ5" s="525"/>
      <c r="AR5" s="525"/>
      <c r="AS5" s="34"/>
      <c r="AT5" s="196">
        <v>7138.69</v>
      </c>
      <c r="AU5" s="525"/>
      <c r="AV5" s="525"/>
      <c r="AW5" s="34"/>
      <c r="AX5" s="191"/>
      <c r="AY5" s="532"/>
      <c r="AZ5" s="526"/>
      <c r="BA5" s="533"/>
      <c r="BC5" s="531"/>
      <c r="BD5" s="529"/>
      <c r="BE5" s="540"/>
      <c r="BF5" s="542"/>
      <c r="BG5" s="541"/>
      <c r="BH5" s="530"/>
      <c r="BI5" s="540"/>
      <c r="BJ5" s="542"/>
      <c r="BL5" s="539"/>
      <c r="BN5" s="538"/>
      <c r="BP5" s="33">
        <v>66271</v>
      </c>
      <c r="BQ5" s="544"/>
      <c r="BR5" s="543"/>
      <c r="BT5" s="33">
        <v>81071</v>
      </c>
      <c r="BU5" s="544"/>
      <c r="BV5" s="543"/>
      <c r="BX5" s="33">
        <v>3964</v>
      </c>
      <c r="BY5" s="544"/>
      <c r="BZ5" s="543"/>
      <c r="CB5" s="33">
        <v>233360</v>
      </c>
      <c r="CC5" s="544"/>
      <c r="CD5" s="543"/>
      <c r="CF5" s="33">
        <v>6070</v>
      </c>
      <c r="CG5" s="544"/>
      <c r="CH5" s="543"/>
      <c r="CI5" s="33">
        <v>19776</v>
      </c>
      <c r="CJ5" s="544"/>
      <c r="CK5" s="543"/>
      <c r="CM5" s="544"/>
      <c r="CN5" s="543"/>
      <c r="CP5" s="33">
        <v>100965</v>
      </c>
      <c r="CQ5" s="544"/>
      <c r="CR5" s="543"/>
      <c r="CS5" s="543"/>
      <c r="CT5" s="543"/>
      <c r="CV5" s="33">
        <v>5213</v>
      </c>
      <c r="CW5" s="544"/>
      <c r="CX5" s="543"/>
      <c r="CZ5" s="33">
        <v>878</v>
      </c>
      <c r="DA5" s="544"/>
      <c r="DB5" s="543"/>
      <c r="DD5" s="33">
        <v>1420698</v>
      </c>
      <c r="DE5" s="544"/>
      <c r="DF5" s="543"/>
      <c r="DH5" s="33">
        <v>3314265</v>
      </c>
      <c r="DI5" s="544"/>
      <c r="DJ5" s="543"/>
      <c r="DL5" s="33">
        <v>2903383</v>
      </c>
      <c r="DM5" s="544"/>
      <c r="DN5" s="543"/>
      <c r="DP5" s="33">
        <v>2284888</v>
      </c>
      <c r="DQ5" s="544"/>
      <c r="DR5" s="543"/>
      <c r="DT5" s="33">
        <v>3046535</v>
      </c>
      <c r="DU5" s="544"/>
      <c r="DV5" s="543"/>
      <c r="DX5" s="544"/>
      <c r="DZ5" s="544"/>
      <c r="EA5" s="543"/>
      <c r="EC5" s="544"/>
      <c r="ED5" s="543"/>
      <c r="EF5" s="33">
        <v>59556</v>
      </c>
      <c r="EG5" s="544"/>
      <c r="EH5" s="543"/>
      <c r="EJ5" s="33">
        <v>23762</v>
      </c>
      <c r="EK5" s="544"/>
      <c r="EL5" s="543"/>
    </row>
    <row r="6" spans="1:142" x14ac:dyDescent="0.25">
      <c r="A6" s="298">
        <v>45383</v>
      </c>
      <c r="B6" s="33">
        <v>278305</v>
      </c>
      <c r="C6" s="33">
        <f t="shared" ref="C6:C35" si="0">B6-B5</f>
        <v>415</v>
      </c>
      <c r="D6" s="33"/>
      <c r="E6" s="33">
        <v>0</v>
      </c>
      <c r="F6" s="251">
        <v>750</v>
      </c>
      <c r="G6" s="33">
        <f t="shared" ref="G6:G35" si="1">C6+D6-E6+F5-F6</f>
        <v>505</v>
      </c>
      <c r="H6" s="190">
        <f>'[1]Reading.4.23'!G6</f>
        <v>624</v>
      </c>
      <c r="I6" s="187"/>
      <c r="J6" s="33">
        <v>206888</v>
      </c>
      <c r="K6" s="189">
        <f t="shared" ref="K6:K35" si="2">(J6-J5)*4.668</f>
        <v>112.03200000000001</v>
      </c>
      <c r="L6" s="258">
        <f>'[1]Reading.4.23'!K6</f>
        <v>149.376</v>
      </c>
      <c r="M6" s="188"/>
      <c r="N6" s="33">
        <v>731061</v>
      </c>
      <c r="O6" s="189">
        <f t="shared" ref="O6:O35" si="3">(N6-N5)*4.61</f>
        <v>391.85</v>
      </c>
      <c r="P6" s="258">
        <f>'[1]Reading.4.23'!O6</f>
        <v>419.51000000000005</v>
      </c>
      <c r="Q6" s="34"/>
      <c r="R6" s="33">
        <v>42700</v>
      </c>
      <c r="S6" s="33"/>
      <c r="T6" s="33">
        <f t="shared" ref="T6:T35" si="4">(R5+S5)-R6</f>
        <v>0</v>
      </c>
      <c r="U6" s="258">
        <f>'[1]Reading.4.23'!T6</f>
        <v>0</v>
      </c>
      <c r="V6" s="34"/>
      <c r="W6" s="186">
        <v>45663.48</v>
      </c>
      <c r="X6" s="189">
        <f t="shared" ref="X6:X35" si="5">(W6-W5)*4000</f>
        <v>27720.000000001164</v>
      </c>
      <c r="Y6" s="258">
        <f>'[1]Reading.4.23'!X6</f>
        <v>25200.000000011642</v>
      </c>
      <c r="Z6" s="34"/>
      <c r="AA6" s="266">
        <v>520030</v>
      </c>
      <c r="AB6" s="189">
        <f t="shared" ref="AB6:AB35" si="6">AA6-AA5</f>
        <v>0</v>
      </c>
      <c r="AC6" s="258">
        <f>'[1]Reading.4.23'!AB6</f>
        <v>560</v>
      </c>
      <c r="AD6" s="34"/>
      <c r="AE6" s="260">
        <f t="shared" ref="AE6:AE35" si="7">+X6+AB6</f>
        <v>27720.000000001164</v>
      </c>
      <c r="AF6" s="261">
        <f>'[1]Reading.4.23'!AE6</f>
        <v>25760.000000011642</v>
      </c>
      <c r="AG6" s="259">
        <f>989409/30</f>
        <v>32980.300000000003</v>
      </c>
      <c r="AH6" s="34"/>
      <c r="AI6" s="287">
        <v>0.52090000000000003</v>
      </c>
      <c r="AJ6" s="193">
        <f>'[1]Reading.4.23'!AI6</f>
        <v>0.435</v>
      </c>
      <c r="AK6" s="192">
        <v>0.63800000000000001</v>
      </c>
      <c r="AL6" s="34"/>
      <c r="AM6" s="218">
        <v>274</v>
      </c>
      <c r="AN6" s="326">
        <f>'[1]Reading.4.23'!AM6</f>
        <v>228</v>
      </c>
      <c r="AO6" s="194">
        <f>10065/30</f>
        <v>335.5</v>
      </c>
      <c r="AP6" s="34"/>
      <c r="AQ6" s="265">
        <f>365*4</f>
        <v>1460</v>
      </c>
      <c r="AR6" s="261">
        <f>'[1]Reading.4.23'!AQ6</f>
        <v>1380</v>
      </c>
      <c r="AS6" s="34"/>
      <c r="AT6" s="196">
        <v>7139.41</v>
      </c>
      <c r="AU6" s="197">
        <f t="shared" ref="AU6:AU35" si="8">(AT6-AT5)*4000</f>
        <v>2880.0000000010186</v>
      </c>
      <c r="AV6" s="195">
        <f t="shared" ref="AV6:AV35" si="9">+X6/SQRT(((POWER((X6),2)+(POWER((AU6),2)))))</f>
        <v>0.99464610508130269</v>
      </c>
      <c r="AW6" s="34"/>
      <c r="AX6" s="191"/>
      <c r="AY6" s="262">
        <f>'[1]Reading.4.23'!X6</f>
        <v>25200.000000011642</v>
      </c>
      <c r="AZ6" s="534">
        <f>'[1]Reading.4.23'!AB6</f>
        <v>560</v>
      </c>
      <c r="BA6" s="263">
        <f t="shared" ref="BA6:BA35" si="10">AY6+AZ6</f>
        <v>25760.000000011642</v>
      </c>
      <c r="BC6" s="154">
        <v>19</v>
      </c>
      <c r="BD6" s="267">
        <v>16.100000000000001</v>
      </c>
      <c r="BE6" s="221">
        <v>12</v>
      </c>
      <c r="BF6" s="223">
        <v>56</v>
      </c>
      <c r="BG6" s="222">
        <v>79</v>
      </c>
      <c r="BH6" s="267">
        <f>'[1]Reading.4.23'!BD6</f>
        <v>20.3</v>
      </c>
      <c r="BI6" s="267">
        <f>'[1]Reading.4.23'!BE6</f>
        <v>17</v>
      </c>
      <c r="BJ6" s="267">
        <f>'[1]Reading.4.23'!BF6</f>
        <v>52</v>
      </c>
      <c r="BL6" s="151">
        <v>526</v>
      </c>
      <c r="BN6" s="189" t="str">
        <f>'[1]Reading.4.23'!E4</f>
        <v>Sold</v>
      </c>
      <c r="BP6" s="33">
        <v>66301</v>
      </c>
      <c r="BQ6" s="33">
        <f t="shared" ref="BQ6:BQ35" si="11">BP6-BP5</f>
        <v>30</v>
      </c>
      <c r="BR6" s="247">
        <f>'[1]Reading.4.23'!BQ6</f>
        <v>26</v>
      </c>
      <c r="BT6" s="33">
        <v>81101</v>
      </c>
      <c r="BU6" s="33">
        <f t="shared" ref="BU6:BU35" si="12">BT6-BT5</f>
        <v>30</v>
      </c>
      <c r="BV6" s="247">
        <f>'[1]Reading.4.23'!BU6</f>
        <v>29</v>
      </c>
      <c r="BX6" s="33">
        <v>3975</v>
      </c>
      <c r="BY6" s="33">
        <f t="shared" ref="BY6:BY28" si="13">BX6-BX5</f>
        <v>11</v>
      </c>
      <c r="BZ6" s="247">
        <f>'[1]Reading.4.23'!BY6</f>
        <v>0</v>
      </c>
      <c r="CB6" s="33">
        <v>233390</v>
      </c>
      <c r="CC6" s="33">
        <f t="shared" ref="CC6:CC35" si="14">CB6-CB5</f>
        <v>30</v>
      </c>
      <c r="CD6" s="247">
        <f>'[1]Reading.4.23'!CC6</f>
        <v>80</v>
      </c>
      <c r="CF6" s="33">
        <v>6080</v>
      </c>
      <c r="CG6" s="33">
        <f t="shared" ref="CG6:CG35" si="15">CF6-CF5</f>
        <v>10</v>
      </c>
      <c r="CH6" s="247">
        <f>'[1]Reading.4.23'!CG6</f>
        <v>0</v>
      </c>
      <c r="CI6" s="33">
        <v>19773</v>
      </c>
      <c r="CJ6" s="33">
        <f t="shared" ref="CJ6:CJ28" si="16">CI6-CI5</f>
        <v>-3</v>
      </c>
      <c r="CK6" s="247">
        <f>'[1]Reading.4.23'!CG6</f>
        <v>0</v>
      </c>
      <c r="CM6" s="33">
        <f t="shared" ref="CM6:CN21" si="17">BQ6+BU6+BY6+CC6+CJ6</f>
        <v>98</v>
      </c>
      <c r="CN6" s="33">
        <f t="shared" si="17"/>
        <v>135</v>
      </c>
      <c r="CP6" s="33">
        <v>101308</v>
      </c>
      <c r="CQ6" s="33">
        <f t="shared" ref="CQ6:CQ35" si="18">CP6-CP5</f>
        <v>343</v>
      </c>
      <c r="CR6" s="134">
        <f t="shared" ref="CR6:CR35" si="19">CQ6/G6</f>
        <v>0.67920792079207926</v>
      </c>
      <c r="CS6" s="247">
        <f>'[1]Reading.4.23'!CN6</f>
        <v>211</v>
      </c>
      <c r="CT6" s="282" t="str">
        <f>'[1]Reading.4.23'!CO4</f>
        <v>%</v>
      </c>
      <c r="CV6" s="33">
        <v>5215</v>
      </c>
      <c r="CW6" s="33">
        <f t="shared" ref="CW6:CW35" si="20">CV6-CV5</f>
        <v>2</v>
      </c>
      <c r="CX6" s="247">
        <f>'[1]Reading.4.23'!CT6</f>
        <v>1</v>
      </c>
      <c r="CZ6" s="33">
        <v>881</v>
      </c>
      <c r="DA6" s="33">
        <f t="shared" ref="DA6:DA35" si="21">CZ6-CZ5</f>
        <v>3</v>
      </c>
      <c r="DB6" s="247">
        <f>'[1]Reading.4.23'!CX6</f>
        <v>4</v>
      </c>
      <c r="DD6" s="33">
        <v>1421455</v>
      </c>
      <c r="DE6" s="33">
        <f t="shared" ref="DE6:DE35" si="22">DD6-DD5</f>
        <v>757</v>
      </c>
      <c r="DF6" s="247">
        <f>'[1]Reading.4.23'!DB6</f>
        <v>602</v>
      </c>
      <c r="DH6" s="33">
        <v>3316131</v>
      </c>
      <c r="DI6" s="33">
        <f t="shared" ref="DI6:DI35" si="23">DH6-DH5</f>
        <v>1866</v>
      </c>
      <c r="DJ6" s="247">
        <f>'[1]Reading.4.23'!DF6</f>
        <v>1568</v>
      </c>
      <c r="DL6" s="33">
        <v>2906591</v>
      </c>
      <c r="DM6" s="33">
        <f t="shared" ref="DM6:DM35" si="24">DL6-DL5</f>
        <v>3208</v>
      </c>
      <c r="DN6" s="247">
        <f>'[1]Reading.4.23'!DJ6</f>
        <v>1925</v>
      </c>
      <c r="DP6" s="33">
        <v>2284919</v>
      </c>
      <c r="DQ6" s="33">
        <f t="shared" ref="DQ6:DQ35" si="25">DP6-DP5</f>
        <v>31</v>
      </c>
      <c r="DR6" s="247">
        <f>'[1]Reading.4.23'!DN6</f>
        <v>32</v>
      </c>
      <c r="DT6" s="33">
        <v>3046566</v>
      </c>
      <c r="DU6" s="33">
        <f t="shared" ref="DU6:DU35" si="26">DT6-DT5</f>
        <v>31</v>
      </c>
      <c r="DV6" s="247">
        <f>'[1]Reading.4.23'!DR6</f>
        <v>32</v>
      </c>
      <c r="DX6" s="33">
        <v>720</v>
      </c>
      <c r="DZ6" s="33">
        <f t="shared" ref="DZ6:DZ35" si="27">DM6+DQ6+DU6+DX6</f>
        <v>3990</v>
      </c>
      <c r="EA6" s="247">
        <f>'[1]Reading.4.23'!DW6</f>
        <v>2709</v>
      </c>
      <c r="EC6" s="196">
        <f t="shared" ref="EC6:EC35" si="28">C6*5.2</f>
        <v>2158</v>
      </c>
      <c r="ED6" s="281">
        <f>'[1]Reading.4.23'!C6*5.2</f>
        <v>2828.8</v>
      </c>
      <c r="EF6" s="33">
        <v>59596</v>
      </c>
      <c r="EG6" s="292">
        <f t="shared" ref="EG6:EG35" si="29">EF6-EF5</f>
        <v>40</v>
      </c>
      <c r="EH6" s="247"/>
      <c r="EJ6" s="33">
        <v>23795</v>
      </c>
      <c r="EK6" s="292">
        <f t="shared" ref="EK6:EK35" si="30">EJ6-EJ5</f>
        <v>33</v>
      </c>
      <c r="EL6" s="247"/>
    </row>
    <row r="7" spans="1:142" x14ac:dyDescent="0.25">
      <c r="A7" s="298">
        <v>45384</v>
      </c>
      <c r="B7" s="33">
        <v>278810</v>
      </c>
      <c r="C7" s="33">
        <f t="shared" si="0"/>
        <v>505</v>
      </c>
      <c r="D7" s="33"/>
      <c r="E7" s="33">
        <v>0</v>
      </c>
      <c r="F7" s="251">
        <v>795</v>
      </c>
      <c r="G7" s="33">
        <f t="shared" si="1"/>
        <v>460</v>
      </c>
      <c r="H7" s="190">
        <f>'[1]Reading.4.23'!G7</f>
        <v>539</v>
      </c>
      <c r="I7" s="187"/>
      <c r="J7" s="33">
        <v>206914</v>
      </c>
      <c r="K7" s="189">
        <f t="shared" si="2"/>
        <v>121.36800000000001</v>
      </c>
      <c r="L7" s="258">
        <f>'[1]Reading.4.23'!K7</f>
        <v>135.37200000000001</v>
      </c>
      <c r="M7" s="188"/>
      <c r="N7" s="33">
        <v>731150</v>
      </c>
      <c r="O7" s="189">
        <f t="shared" si="3"/>
        <v>410.29</v>
      </c>
      <c r="P7" s="258">
        <f>'[1]Reading.4.23'!O7</f>
        <v>410.29</v>
      </c>
      <c r="Q7" s="34"/>
      <c r="R7" s="33">
        <v>42700</v>
      </c>
      <c r="S7" s="33"/>
      <c r="T7" s="33">
        <f t="shared" si="4"/>
        <v>0</v>
      </c>
      <c r="U7" s="258">
        <f>'[1]Reading.4.23'!T7</f>
        <v>0</v>
      </c>
      <c r="V7" s="34"/>
      <c r="W7" s="186">
        <v>45670.63</v>
      </c>
      <c r="X7" s="189">
        <f t="shared" si="5"/>
        <v>28599.999999976717</v>
      </c>
      <c r="Y7" s="258">
        <f>'[1]Reading.4.23'!X7</f>
        <v>25639.999999984866</v>
      </c>
      <c r="Z7" s="34"/>
      <c r="AA7" s="266">
        <v>520030</v>
      </c>
      <c r="AB7" s="189">
        <f t="shared" si="6"/>
        <v>0</v>
      </c>
      <c r="AC7" s="258">
        <f>'[1]Reading.4.23'!AB7</f>
        <v>0</v>
      </c>
      <c r="AD7" s="34"/>
      <c r="AE7" s="260">
        <f t="shared" si="7"/>
        <v>28599.999999976717</v>
      </c>
      <c r="AF7" s="261">
        <f>'[1]Reading.4.23'!AE7</f>
        <v>25639.999999984866</v>
      </c>
      <c r="AG7" s="259">
        <f t="shared" ref="AG7:AG35" si="31">989409/30</f>
        <v>32980.300000000003</v>
      </c>
      <c r="AH7" s="34"/>
      <c r="AI7" s="287">
        <v>0.4924</v>
      </c>
      <c r="AJ7" s="193">
        <f>'[1]Reading.4.23'!AI7</f>
        <v>0.40110000000000001</v>
      </c>
      <c r="AK7" s="192">
        <v>0.63800000000000001</v>
      </c>
      <c r="AL7" s="34"/>
      <c r="AM7" s="218">
        <v>259</v>
      </c>
      <c r="AN7" s="326">
        <f>'[1]Reading.4.23'!AM7</f>
        <v>211</v>
      </c>
      <c r="AO7" s="194">
        <f t="shared" ref="AO7:AO35" si="32">10065/30</f>
        <v>335.5</v>
      </c>
      <c r="AP7" s="34"/>
      <c r="AQ7" s="265">
        <f>365*4</f>
        <v>1460</v>
      </c>
      <c r="AR7" s="261">
        <f>'[1]Reading.4.23'!AQ7</f>
        <v>1412</v>
      </c>
      <c r="AS7" s="34"/>
      <c r="AT7" s="196">
        <v>7140.23</v>
      </c>
      <c r="AU7" s="197">
        <f t="shared" si="8"/>
        <v>3279.9999999988358</v>
      </c>
      <c r="AV7" s="195">
        <f t="shared" si="9"/>
        <v>0.99348780912065537</v>
      </c>
      <c r="AW7" s="34"/>
      <c r="AX7" s="191"/>
      <c r="AY7" s="262">
        <f>'[1]Reading.4.23'!X7</f>
        <v>25639.999999984866</v>
      </c>
      <c r="AZ7" s="534">
        <f>'[1]Reading.4.23'!AB7</f>
        <v>0</v>
      </c>
      <c r="BA7" s="263">
        <f t="shared" si="10"/>
        <v>25639.999999984866</v>
      </c>
      <c r="BC7" s="154">
        <v>19</v>
      </c>
      <c r="BD7" s="267">
        <v>16.100000000000001</v>
      </c>
      <c r="BE7" s="221">
        <v>12</v>
      </c>
      <c r="BF7" s="223">
        <v>56</v>
      </c>
      <c r="BG7" s="222">
        <v>79</v>
      </c>
      <c r="BH7" s="267">
        <f>'[1]Reading.4.23'!BD7</f>
        <v>22.6</v>
      </c>
      <c r="BI7" s="267">
        <f>'[1]Reading.4.23'!BE7</f>
        <v>19</v>
      </c>
      <c r="BJ7" s="267">
        <f>'[1]Reading.4.23'!BF7</f>
        <v>52</v>
      </c>
      <c r="BL7" s="151">
        <v>526</v>
      </c>
      <c r="BN7" s="189">
        <f>'[1]Reading.4.23'!E5</f>
        <v>0</v>
      </c>
      <c r="BP7" s="33">
        <v>66319</v>
      </c>
      <c r="BQ7" s="33">
        <f t="shared" si="11"/>
        <v>18</v>
      </c>
      <c r="BR7" s="247">
        <f>'[1]Reading.4.23'!BQ7</f>
        <v>27</v>
      </c>
      <c r="BT7" s="33">
        <v>81135</v>
      </c>
      <c r="BU7" s="33">
        <f t="shared" si="12"/>
        <v>34</v>
      </c>
      <c r="BV7" s="247">
        <f>'[1]Reading.4.23'!BU7</f>
        <v>31</v>
      </c>
      <c r="BX7" s="33">
        <v>3975</v>
      </c>
      <c r="BY7" s="33">
        <f t="shared" si="13"/>
        <v>0</v>
      </c>
      <c r="BZ7" s="247">
        <f>'[1]Reading.4.23'!BY7</f>
        <v>0</v>
      </c>
      <c r="CB7" s="33">
        <v>233410</v>
      </c>
      <c r="CC7" s="33">
        <f t="shared" si="14"/>
        <v>20</v>
      </c>
      <c r="CD7" s="247">
        <f>'[1]Reading.4.23'!CC7</f>
        <v>90</v>
      </c>
      <c r="CF7" s="33">
        <v>6080</v>
      </c>
      <c r="CG7" s="33">
        <f t="shared" si="15"/>
        <v>0</v>
      </c>
      <c r="CH7" s="247">
        <f>'[1]Reading.4.23'!CG7</f>
        <v>0</v>
      </c>
      <c r="CI7" s="33">
        <v>19773</v>
      </c>
      <c r="CJ7" s="33">
        <f t="shared" si="16"/>
        <v>0</v>
      </c>
      <c r="CK7" s="247">
        <f>'[1]Reading.4.23'!CG7</f>
        <v>0</v>
      </c>
      <c r="CM7" s="33">
        <f t="shared" si="17"/>
        <v>72</v>
      </c>
      <c r="CN7" s="33">
        <f t="shared" si="17"/>
        <v>148</v>
      </c>
      <c r="CP7" s="33">
        <v>101658</v>
      </c>
      <c r="CQ7" s="33">
        <f t="shared" si="18"/>
        <v>350</v>
      </c>
      <c r="CR7" s="134">
        <f t="shared" si="19"/>
        <v>0.76086956521739135</v>
      </c>
      <c r="CS7" s="247">
        <f>'[1]Reading.4.23'!CN7</f>
        <v>232</v>
      </c>
      <c r="CT7" s="282">
        <f>'[1]Reading.4.23'!CO5</f>
        <v>0</v>
      </c>
      <c r="CV7" s="33">
        <v>5217</v>
      </c>
      <c r="CW7" s="33">
        <f t="shared" si="20"/>
        <v>2</v>
      </c>
      <c r="CX7" s="247">
        <f>'[1]Reading.4.23'!CT7</f>
        <v>2</v>
      </c>
      <c r="CZ7" s="33">
        <v>883</v>
      </c>
      <c r="DA7" s="33">
        <f t="shared" si="21"/>
        <v>2</v>
      </c>
      <c r="DB7" s="247">
        <f>'[1]Reading.4.23'!CX7</f>
        <v>5</v>
      </c>
      <c r="DD7" s="33">
        <v>1422161</v>
      </c>
      <c r="DE7" s="33">
        <f t="shared" si="22"/>
        <v>706</v>
      </c>
      <c r="DF7" s="247">
        <f>'[1]Reading.4.23'!DB7</f>
        <v>593</v>
      </c>
      <c r="DH7" s="33">
        <v>3317275</v>
      </c>
      <c r="DI7" s="33">
        <f t="shared" si="23"/>
        <v>1144</v>
      </c>
      <c r="DJ7" s="247">
        <f>'[1]Reading.4.23'!DF7</f>
        <v>1953</v>
      </c>
      <c r="DL7" s="33">
        <v>2910143</v>
      </c>
      <c r="DM7" s="33">
        <f t="shared" si="24"/>
        <v>3552</v>
      </c>
      <c r="DN7" s="247">
        <f>'[1]Reading.4.23'!DJ7</f>
        <v>2345</v>
      </c>
      <c r="DP7" s="33">
        <v>2284953</v>
      </c>
      <c r="DQ7" s="33">
        <f t="shared" si="25"/>
        <v>34</v>
      </c>
      <c r="DR7" s="247">
        <f>'[1]Reading.4.23'!DN7</f>
        <v>34</v>
      </c>
      <c r="DT7" s="33">
        <v>3046597</v>
      </c>
      <c r="DU7" s="33">
        <f t="shared" si="26"/>
        <v>31</v>
      </c>
      <c r="DV7" s="247">
        <f>'[1]Reading.4.23'!DR7</f>
        <v>33</v>
      </c>
      <c r="DX7" s="33">
        <v>720</v>
      </c>
      <c r="DZ7" s="33">
        <f t="shared" si="27"/>
        <v>4337</v>
      </c>
      <c r="EA7" s="247">
        <f>'[1]Reading.4.23'!DW7</f>
        <v>3132</v>
      </c>
      <c r="EC7" s="196">
        <f t="shared" si="28"/>
        <v>2626</v>
      </c>
      <c r="ED7" s="281">
        <f>'[1]Reading.4.23'!C7*5.2</f>
        <v>3218.8</v>
      </c>
      <c r="EF7" s="33">
        <v>59645</v>
      </c>
      <c r="EG7" s="292">
        <f t="shared" si="29"/>
        <v>49</v>
      </c>
      <c r="EH7" s="247"/>
      <c r="EJ7" s="33">
        <v>23812</v>
      </c>
      <c r="EK7" s="292">
        <f t="shared" si="30"/>
        <v>17</v>
      </c>
      <c r="EL7" s="247"/>
    </row>
    <row r="8" spans="1:142" x14ac:dyDescent="0.25">
      <c r="A8" s="298">
        <v>45385</v>
      </c>
      <c r="B8" s="33">
        <v>279392</v>
      </c>
      <c r="C8" s="33">
        <f t="shared" si="0"/>
        <v>582</v>
      </c>
      <c r="D8" s="33"/>
      <c r="E8" s="33">
        <v>0</v>
      </c>
      <c r="F8" s="251">
        <v>825</v>
      </c>
      <c r="G8" s="33">
        <f t="shared" si="1"/>
        <v>552</v>
      </c>
      <c r="H8" s="190">
        <f>'[1]Reading.4.23'!G8</f>
        <v>526</v>
      </c>
      <c r="I8" s="187"/>
      <c r="J8" s="33">
        <v>206946</v>
      </c>
      <c r="K8" s="189">
        <f t="shared" si="2"/>
        <v>149.376</v>
      </c>
      <c r="L8" s="258">
        <f>'[1]Reading.4.23'!K8</f>
        <v>144.708</v>
      </c>
      <c r="M8" s="188"/>
      <c r="N8" s="33">
        <v>731234</v>
      </c>
      <c r="O8" s="189">
        <f t="shared" si="3"/>
        <v>387.24</v>
      </c>
      <c r="P8" s="258">
        <f>'[1]Reading.4.23'!O8</f>
        <v>401.07000000000005</v>
      </c>
      <c r="Q8" s="34"/>
      <c r="R8" s="33">
        <v>42700</v>
      </c>
      <c r="S8" s="33"/>
      <c r="T8" s="33">
        <f t="shared" si="4"/>
        <v>0</v>
      </c>
      <c r="U8" s="258">
        <f>'[1]Reading.4.23'!T8</f>
        <v>0</v>
      </c>
      <c r="V8" s="34"/>
      <c r="W8" s="186">
        <v>45677.919999999998</v>
      </c>
      <c r="X8" s="189">
        <f t="shared" si="5"/>
        <v>29160.000000003492</v>
      </c>
      <c r="Y8" s="258">
        <f>'[1]Reading.4.23'!X8</f>
        <v>25760.000000009313</v>
      </c>
      <c r="Z8" s="34"/>
      <c r="AA8" s="266">
        <v>520030</v>
      </c>
      <c r="AB8" s="189">
        <f t="shared" si="6"/>
        <v>0</v>
      </c>
      <c r="AC8" s="258">
        <f>'[1]Reading.4.23'!AB8</f>
        <v>0</v>
      </c>
      <c r="AD8" s="34"/>
      <c r="AE8" s="260">
        <f t="shared" si="7"/>
        <v>29160.000000003492</v>
      </c>
      <c r="AF8" s="261">
        <f>'[1]Reading.4.23'!AE8</f>
        <v>25760.000000009313</v>
      </c>
      <c r="AG8" s="259">
        <f t="shared" si="31"/>
        <v>32980.300000000003</v>
      </c>
      <c r="AH8" s="34"/>
      <c r="AI8" s="287">
        <v>0.49430000000000002</v>
      </c>
      <c r="AJ8" s="193">
        <f>'[1]Reading.4.23'!AI8</f>
        <v>0.44490000000000002</v>
      </c>
      <c r="AK8" s="192">
        <v>0.63800000000000001</v>
      </c>
      <c r="AL8" s="34"/>
      <c r="AM8" s="218">
        <v>260</v>
      </c>
      <c r="AN8" s="326">
        <f>'[1]Reading.4.23'!AM8</f>
        <v>234</v>
      </c>
      <c r="AO8" s="194">
        <f t="shared" si="32"/>
        <v>335.5</v>
      </c>
      <c r="AP8" s="34"/>
      <c r="AQ8" s="265">
        <f>387*4</f>
        <v>1548</v>
      </c>
      <c r="AR8" s="261">
        <f>'[1]Reading.4.23'!AQ8</f>
        <v>1488</v>
      </c>
      <c r="AS8" s="34"/>
      <c r="AT8" s="196">
        <v>7141.03</v>
      </c>
      <c r="AU8" s="197">
        <f t="shared" si="8"/>
        <v>3200.0000000007276</v>
      </c>
      <c r="AV8" s="195">
        <f t="shared" si="9"/>
        <v>0.99403248059307325</v>
      </c>
      <c r="AW8" s="34"/>
      <c r="AX8" s="191"/>
      <c r="AY8" s="262">
        <f>'[1]Reading.4.23'!X8</f>
        <v>25760.000000009313</v>
      </c>
      <c r="AZ8" s="534">
        <f>'[1]Reading.4.23'!AB8</f>
        <v>0</v>
      </c>
      <c r="BA8" s="263">
        <f t="shared" si="10"/>
        <v>25760.000000009313</v>
      </c>
      <c r="BC8" s="154">
        <v>19</v>
      </c>
      <c r="BD8" s="267">
        <v>16.100000000000001</v>
      </c>
      <c r="BE8" s="221">
        <v>12</v>
      </c>
      <c r="BF8" s="223">
        <v>56</v>
      </c>
      <c r="BG8" s="222">
        <v>79</v>
      </c>
      <c r="BH8" s="267">
        <f>'[1]Reading.4.23'!BD8</f>
        <v>25.2</v>
      </c>
      <c r="BI8" s="267">
        <f>'[1]Reading.4.23'!BE8</f>
        <v>20</v>
      </c>
      <c r="BJ8" s="267">
        <f>'[1]Reading.4.23'!BF8</f>
        <v>64</v>
      </c>
      <c r="BL8" s="151">
        <v>526</v>
      </c>
      <c r="BN8" s="189">
        <f>'[1]Reading.4.23'!E6</f>
        <v>0</v>
      </c>
      <c r="BP8" s="33">
        <v>66337</v>
      </c>
      <c r="BQ8" s="33">
        <f t="shared" si="11"/>
        <v>18</v>
      </c>
      <c r="BR8" s="247">
        <f>'[1]Reading.4.23'!BQ8</f>
        <v>26</v>
      </c>
      <c r="BT8" s="33">
        <v>81171</v>
      </c>
      <c r="BU8" s="33">
        <f t="shared" si="12"/>
        <v>36</v>
      </c>
      <c r="BV8" s="247">
        <f>'[1]Reading.4.23'!BU8</f>
        <v>26</v>
      </c>
      <c r="BX8" s="33">
        <v>3975</v>
      </c>
      <c r="BY8" s="33">
        <f t="shared" si="13"/>
        <v>0</v>
      </c>
      <c r="BZ8" s="247">
        <f>'[1]Reading.4.23'!BY8</f>
        <v>0</v>
      </c>
      <c r="CB8" s="33">
        <v>233440</v>
      </c>
      <c r="CC8" s="33">
        <f t="shared" si="14"/>
        <v>30</v>
      </c>
      <c r="CD8" s="247">
        <f>'[1]Reading.4.23'!CC8</f>
        <v>70</v>
      </c>
      <c r="CF8" s="33">
        <v>6090</v>
      </c>
      <c r="CG8" s="33">
        <f t="shared" si="15"/>
        <v>10</v>
      </c>
      <c r="CH8" s="247">
        <f>'[1]Reading.4.23'!CG8</f>
        <v>0</v>
      </c>
      <c r="CI8" s="33">
        <v>19773</v>
      </c>
      <c r="CJ8" s="33">
        <f t="shared" si="16"/>
        <v>0</v>
      </c>
      <c r="CK8" s="247">
        <f>'[1]Reading.4.23'!CG8</f>
        <v>0</v>
      </c>
      <c r="CM8" s="33">
        <f t="shared" si="17"/>
        <v>84</v>
      </c>
      <c r="CN8" s="33">
        <f t="shared" si="17"/>
        <v>122</v>
      </c>
      <c r="CP8" s="33">
        <v>102023</v>
      </c>
      <c r="CQ8" s="33">
        <f t="shared" si="18"/>
        <v>365</v>
      </c>
      <c r="CR8" s="134">
        <f t="shared" si="19"/>
        <v>0.66123188405797106</v>
      </c>
      <c r="CS8" s="247">
        <f>'[1]Reading.4.23'!CN8</f>
        <v>241</v>
      </c>
      <c r="CT8" s="282">
        <f>'[1]Reading.4.23'!CO6</f>
        <v>0.33814102564102566</v>
      </c>
      <c r="CV8" s="33">
        <v>5219</v>
      </c>
      <c r="CW8" s="33">
        <f t="shared" si="20"/>
        <v>2</v>
      </c>
      <c r="CX8" s="247">
        <f>'[1]Reading.4.23'!CT8</f>
        <v>1</v>
      </c>
      <c r="CZ8" s="33">
        <v>886</v>
      </c>
      <c r="DA8" s="33">
        <f t="shared" si="21"/>
        <v>3</v>
      </c>
      <c r="DB8" s="247">
        <f>'[1]Reading.4.23'!CX8</f>
        <v>4</v>
      </c>
      <c r="DD8" s="33">
        <v>1422856</v>
      </c>
      <c r="DE8" s="33">
        <f t="shared" si="22"/>
        <v>695</v>
      </c>
      <c r="DF8" s="247">
        <f>'[1]Reading.4.23'!DB8</f>
        <v>704</v>
      </c>
      <c r="DH8" s="33">
        <v>3318426</v>
      </c>
      <c r="DI8" s="33">
        <f t="shared" si="23"/>
        <v>1151</v>
      </c>
      <c r="DJ8" s="247">
        <f>'[1]Reading.4.23'!DF8</f>
        <v>1739</v>
      </c>
      <c r="DL8" s="33">
        <v>2913925</v>
      </c>
      <c r="DM8" s="33">
        <f t="shared" si="24"/>
        <v>3782</v>
      </c>
      <c r="DN8" s="247">
        <f>'[1]Reading.4.23'!DJ8</f>
        <v>2679</v>
      </c>
      <c r="DP8" s="33">
        <v>2284984</v>
      </c>
      <c r="DQ8" s="33">
        <f t="shared" si="25"/>
        <v>31</v>
      </c>
      <c r="DR8" s="247">
        <f>'[1]Reading.4.23'!DN8</f>
        <v>32</v>
      </c>
      <c r="DT8" s="33">
        <v>3046629</v>
      </c>
      <c r="DU8" s="33">
        <f t="shared" si="26"/>
        <v>32</v>
      </c>
      <c r="DV8" s="247">
        <f>'[1]Reading.4.23'!DR8</f>
        <v>32</v>
      </c>
      <c r="DX8" s="33">
        <v>720</v>
      </c>
      <c r="DZ8" s="33">
        <f t="shared" si="27"/>
        <v>4565</v>
      </c>
      <c r="EA8" s="247">
        <f>'[1]Reading.4.23'!DW8</f>
        <v>3463</v>
      </c>
      <c r="EC8" s="196">
        <f t="shared" si="28"/>
        <v>3026.4</v>
      </c>
      <c r="ED8" s="281">
        <f>'[1]Reading.4.23'!C8*5.2</f>
        <v>2527.2000000000003</v>
      </c>
      <c r="EF8" s="33">
        <v>59690</v>
      </c>
      <c r="EG8" s="292">
        <f t="shared" si="29"/>
        <v>45</v>
      </c>
      <c r="EH8" s="247"/>
      <c r="EJ8" s="33">
        <v>23837</v>
      </c>
      <c r="EK8" s="292">
        <f t="shared" si="30"/>
        <v>25</v>
      </c>
      <c r="EL8" s="247"/>
    </row>
    <row r="9" spans="1:142" x14ac:dyDescent="0.25">
      <c r="A9" s="298">
        <v>45386</v>
      </c>
      <c r="B9" s="33">
        <v>279846</v>
      </c>
      <c r="C9" s="33">
        <f t="shared" si="0"/>
        <v>454</v>
      </c>
      <c r="D9" s="33"/>
      <c r="E9" s="33">
        <v>0</v>
      </c>
      <c r="F9" s="251">
        <v>760</v>
      </c>
      <c r="G9" s="33">
        <f t="shared" si="1"/>
        <v>519</v>
      </c>
      <c r="H9" s="190">
        <f>'[1]Reading.4.23'!G9</f>
        <v>532</v>
      </c>
      <c r="I9" s="187"/>
      <c r="J9" s="33">
        <v>206980</v>
      </c>
      <c r="K9" s="189">
        <f t="shared" si="2"/>
        <v>158.71200000000002</v>
      </c>
      <c r="L9" s="258">
        <f>'[1]Reading.4.23'!K9</f>
        <v>149.376</v>
      </c>
      <c r="M9" s="188"/>
      <c r="N9" s="33">
        <v>731314</v>
      </c>
      <c r="O9" s="189">
        <f t="shared" si="3"/>
        <v>368.8</v>
      </c>
      <c r="P9" s="258">
        <f>'[1]Reading.4.23'!O9</f>
        <v>391.85</v>
      </c>
      <c r="Q9" s="34"/>
      <c r="R9" s="33">
        <v>42700</v>
      </c>
      <c r="S9" s="33"/>
      <c r="T9" s="33">
        <f t="shared" si="4"/>
        <v>0</v>
      </c>
      <c r="U9" s="258">
        <f>'[1]Reading.4.23'!T9</f>
        <v>0</v>
      </c>
      <c r="V9" s="34"/>
      <c r="W9" s="186">
        <v>45684.97</v>
      </c>
      <c r="X9" s="189">
        <f t="shared" si="5"/>
        <v>28200.000000011642</v>
      </c>
      <c r="Y9" s="258">
        <f>'[1]Reading.4.23'!X9</f>
        <v>25479.999999981374</v>
      </c>
      <c r="Z9" s="34"/>
      <c r="AA9" s="266">
        <v>520030</v>
      </c>
      <c r="AB9" s="189">
        <f t="shared" si="6"/>
        <v>0</v>
      </c>
      <c r="AC9" s="258">
        <f>'[1]Reading.4.23'!AB9</f>
        <v>0</v>
      </c>
      <c r="AD9" s="34"/>
      <c r="AE9" s="260">
        <f t="shared" si="7"/>
        <v>28200.000000011642</v>
      </c>
      <c r="AF9" s="261">
        <f>'[1]Reading.4.23'!AE9</f>
        <v>25479.999999981374</v>
      </c>
      <c r="AG9" s="259">
        <f t="shared" si="31"/>
        <v>32980.300000000003</v>
      </c>
      <c r="AH9" s="34"/>
      <c r="AI9" s="287">
        <v>0.54</v>
      </c>
      <c r="AJ9" s="193">
        <f>'[1]Reading.4.23'!AI9</f>
        <v>0.47339999999999999</v>
      </c>
      <c r="AK9" s="192">
        <v>0.63800000000000001</v>
      </c>
      <c r="AL9" s="34"/>
      <c r="AM9" s="218">
        <v>286</v>
      </c>
      <c r="AN9" s="326">
        <f>'[1]Reading.4.23'!AM9</f>
        <v>249</v>
      </c>
      <c r="AO9" s="194">
        <f t="shared" si="32"/>
        <v>335.5</v>
      </c>
      <c r="AP9" s="34"/>
      <c r="AQ9" s="265">
        <f>387*4</f>
        <v>1548</v>
      </c>
      <c r="AR9" s="261">
        <f>'[1]Reading.4.23'!AQ9</f>
        <v>1488</v>
      </c>
      <c r="AS9" s="34"/>
      <c r="AT9" s="196">
        <v>7141.77</v>
      </c>
      <c r="AU9" s="197">
        <f t="shared" si="8"/>
        <v>2960.0000000027649</v>
      </c>
      <c r="AV9" s="195">
        <f t="shared" si="9"/>
        <v>0.99453632877272347</v>
      </c>
      <c r="AW9" s="34"/>
      <c r="AX9" s="191"/>
      <c r="AY9" s="262">
        <f>'[1]Reading.4.23'!X9</f>
        <v>25479.999999981374</v>
      </c>
      <c r="AZ9" s="534">
        <f>'[1]Reading.4.23'!AB9</f>
        <v>0</v>
      </c>
      <c r="BA9" s="263">
        <f t="shared" si="10"/>
        <v>25479.999999981374</v>
      </c>
      <c r="BC9" s="154">
        <v>19</v>
      </c>
      <c r="BD9" s="267">
        <v>16.100000000000001</v>
      </c>
      <c r="BE9" s="221">
        <v>12</v>
      </c>
      <c r="BF9" s="223">
        <v>56</v>
      </c>
      <c r="BG9" s="222">
        <v>79</v>
      </c>
      <c r="BH9" s="267">
        <f>'[1]Reading.4.23'!BD9</f>
        <v>26.1</v>
      </c>
      <c r="BI9" s="267">
        <f>'[1]Reading.4.23'!BE9</f>
        <v>20</v>
      </c>
      <c r="BJ9" s="267">
        <f>'[1]Reading.4.23'!BF9</f>
        <v>64</v>
      </c>
      <c r="BL9" s="151">
        <v>526</v>
      </c>
      <c r="BN9" s="189">
        <f>'[1]Reading.4.23'!E7</f>
        <v>0</v>
      </c>
      <c r="BP9" s="33">
        <v>66385</v>
      </c>
      <c r="BQ9" s="33">
        <f t="shared" si="11"/>
        <v>48</v>
      </c>
      <c r="BR9" s="247">
        <f>'[1]Reading.4.23'!BQ9</f>
        <v>27</v>
      </c>
      <c r="BT9" s="33">
        <v>81206</v>
      </c>
      <c r="BU9" s="33">
        <f t="shared" si="12"/>
        <v>35</v>
      </c>
      <c r="BV9" s="247">
        <f>'[1]Reading.4.23'!BU9</f>
        <v>26</v>
      </c>
      <c r="BX9" s="33">
        <v>3975</v>
      </c>
      <c r="BY9" s="33">
        <f t="shared" si="13"/>
        <v>0</v>
      </c>
      <c r="BZ9" s="247">
        <f>'[1]Reading.4.23'!BY9</f>
        <v>0</v>
      </c>
      <c r="CB9" s="33">
        <v>233480</v>
      </c>
      <c r="CC9" s="33">
        <f t="shared" si="14"/>
        <v>40</v>
      </c>
      <c r="CD9" s="247">
        <f>'[1]Reading.4.23'!CC9</f>
        <v>70</v>
      </c>
      <c r="CF9" s="33">
        <v>6100</v>
      </c>
      <c r="CG9" s="33">
        <f t="shared" si="15"/>
        <v>10</v>
      </c>
      <c r="CH9" s="247">
        <f>'[1]Reading.4.23'!CG9</f>
        <v>0</v>
      </c>
      <c r="CI9" s="33">
        <v>19773</v>
      </c>
      <c r="CJ9" s="33">
        <f t="shared" si="16"/>
        <v>0</v>
      </c>
      <c r="CK9" s="247">
        <f>'[1]Reading.4.23'!CG9</f>
        <v>0</v>
      </c>
      <c r="CM9" s="33">
        <f t="shared" si="17"/>
        <v>123</v>
      </c>
      <c r="CN9" s="33">
        <f t="shared" si="17"/>
        <v>123</v>
      </c>
      <c r="CP9" s="33">
        <v>102368</v>
      </c>
      <c r="CQ9" s="33">
        <f t="shared" si="18"/>
        <v>345</v>
      </c>
      <c r="CR9" s="134">
        <f t="shared" si="19"/>
        <v>0.66473988439306353</v>
      </c>
      <c r="CS9" s="247">
        <f>'[1]Reading.4.23'!CN9</f>
        <v>193</v>
      </c>
      <c r="CT9" s="282">
        <f>'[1]Reading.4.23'!CO7</f>
        <v>0.43042671614100186</v>
      </c>
      <c r="CV9" s="33">
        <v>5221</v>
      </c>
      <c r="CW9" s="33">
        <f t="shared" si="20"/>
        <v>2</v>
      </c>
      <c r="CX9" s="247">
        <f>'[1]Reading.4.23'!CT9</f>
        <v>1</v>
      </c>
      <c r="CZ9" s="33">
        <v>887</v>
      </c>
      <c r="DA9" s="33">
        <f t="shared" si="21"/>
        <v>1</v>
      </c>
      <c r="DB9" s="247">
        <f>'[1]Reading.4.23'!CX9</f>
        <v>6</v>
      </c>
      <c r="DD9" s="33">
        <v>1423540</v>
      </c>
      <c r="DE9" s="33">
        <f t="shared" si="22"/>
        <v>684</v>
      </c>
      <c r="DF9" s="247">
        <f>'[1]Reading.4.23'!DB9</f>
        <v>679</v>
      </c>
      <c r="DH9" s="33">
        <v>3320261</v>
      </c>
      <c r="DI9" s="33">
        <f t="shared" si="23"/>
        <v>1835</v>
      </c>
      <c r="DJ9" s="247">
        <f>'[1]Reading.4.23'!DF9</f>
        <v>1663</v>
      </c>
      <c r="DL9" s="33">
        <v>2917005</v>
      </c>
      <c r="DM9" s="33">
        <f t="shared" si="24"/>
        <v>3080</v>
      </c>
      <c r="DN9" s="247">
        <f>'[1]Reading.4.23'!DJ9</f>
        <v>3028</v>
      </c>
      <c r="DP9" s="33">
        <v>2285013</v>
      </c>
      <c r="DQ9" s="33">
        <f t="shared" si="25"/>
        <v>29</v>
      </c>
      <c r="DR9" s="247">
        <f>'[1]Reading.4.23'!DN9</f>
        <v>35</v>
      </c>
      <c r="DT9" s="33">
        <v>3046657</v>
      </c>
      <c r="DU9" s="33">
        <f t="shared" si="26"/>
        <v>28</v>
      </c>
      <c r="DV9" s="247">
        <f>'[1]Reading.4.23'!DR9</f>
        <v>34</v>
      </c>
      <c r="DX9" s="33">
        <v>720</v>
      </c>
      <c r="DZ9" s="33">
        <f t="shared" si="27"/>
        <v>3857</v>
      </c>
      <c r="EA9" s="247">
        <f>'[1]Reading.4.23'!DW9</f>
        <v>3817</v>
      </c>
      <c r="EC9" s="196">
        <f t="shared" si="28"/>
        <v>2360.8000000000002</v>
      </c>
      <c r="ED9" s="281">
        <f>'[1]Reading.4.23'!C9*5.2</f>
        <v>2974.4</v>
      </c>
      <c r="EF9" s="33">
        <v>59749</v>
      </c>
      <c r="EG9" s="292">
        <f t="shared" si="29"/>
        <v>59</v>
      </c>
      <c r="EH9" s="247"/>
      <c r="EJ9" s="33">
        <v>23863</v>
      </c>
      <c r="EK9" s="292">
        <f t="shared" si="30"/>
        <v>26</v>
      </c>
      <c r="EL9" s="247"/>
    </row>
    <row r="10" spans="1:142" x14ac:dyDescent="0.25">
      <c r="A10" s="298">
        <v>45387</v>
      </c>
      <c r="B10" s="33">
        <v>280445</v>
      </c>
      <c r="C10" s="33">
        <f t="shared" si="0"/>
        <v>599</v>
      </c>
      <c r="D10" s="33"/>
      <c r="E10" s="33">
        <v>0</v>
      </c>
      <c r="F10" s="251">
        <v>810</v>
      </c>
      <c r="G10" s="33">
        <f t="shared" si="1"/>
        <v>549</v>
      </c>
      <c r="H10" s="190">
        <f>'[1]Reading.4.23'!G10</f>
        <v>490</v>
      </c>
      <c r="I10" s="187"/>
      <c r="J10" s="33">
        <v>207014</v>
      </c>
      <c r="K10" s="189">
        <f t="shared" si="2"/>
        <v>158.71200000000002</v>
      </c>
      <c r="L10" s="258">
        <f>'[1]Reading.4.23'!K10</f>
        <v>163.38</v>
      </c>
      <c r="M10" s="188"/>
      <c r="N10" s="33">
        <v>731404</v>
      </c>
      <c r="O10" s="189">
        <f t="shared" si="3"/>
        <v>414.90000000000003</v>
      </c>
      <c r="P10" s="258">
        <f>'[1]Reading.4.23'!O10</f>
        <v>414.90000000000003</v>
      </c>
      <c r="Q10" s="34"/>
      <c r="R10" s="33">
        <v>42700</v>
      </c>
      <c r="S10" s="33"/>
      <c r="T10" s="33">
        <f t="shared" si="4"/>
        <v>0</v>
      </c>
      <c r="U10" s="258">
        <f>'[1]Reading.4.23'!T10</f>
        <v>0</v>
      </c>
      <c r="V10" s="34"/>
      <c r="W10" s="186">
        <v>45692.49</v>
      </c>
      <c r="X10" s="189">
        <f t="shared" si="5"/>
        <v>30079.999999987194</v>
      </c>
      <c r="Y10" s="258">
        <f>'[1]Reading.4.23'!X10</f>
        <v>27600.000000005821</v>
      </c>
      <c r="Z10" s="34"/>
      <c r="AA10" s="266">
        <v>520030</v>
      </c>
      <c r="AB10" s="189">
        <f t="shared" si="6"/>
        <v>0</v>
      </c>
      <c r="AC10" s="258">
        <f>'[1]Reading.4.23'!AB10</f>
        <v>0</v>
      </c>
      <c r="AD10" s="34"/>
      <c r="AE10" s="260">
        <f t="shared" si="7"/>
        <v>30079.999999987194</v>
      </c>
      <c r="AF10" s="261">
        <f>'[1]Reading.4.23'!AE10</f>
        <v>27600.000000005821</v>
      </c>
      <c r="AG10" s="259">
        <f t="shared" si="31"/>
        <v>32980.300000000003</v>
      </c>
      <c r="AH10" s="34"/>
      <c r="AI10" s="287">
        <v>0.48099999999999998</v>
      </c>
      <c r="AJ10" s="193">
        <f>'[1]Reading.4.23'!AI10</f>
        <v>0.47339999999999999</v>
      </c>
      <c r="AK10" s="192">
        <v>0.63800000000000001</v>
      </c>
      <c r="AL10" s="34"/>
      <c r="AM10" s="218">
        <v>253</v>
      </c>
      <c r="AN10" s="326">
        <f>'[1]Reading.4.23'!AM10</f>
        <v>249</v>
      </c>
      <c r="AO10" s="194">
        <f t="shared" si="32"/>
        <v>335.5</v>
      </c>
      <c r="AP10" s="34"/>
      <c r="AQ10" s="265">
        <f>401*4</f>
        <v>1604</v>
      </c>
      <c r="AR10" s="261">
        <f>'[1]Reading.4.23'!AQ10</f>
        <v>1488</v>
      </c>
      <c r="AS10" s="34"/>
      <c r="AT10" s="196">
        <v>7142.52</v>
      </c>
      <c r="AU10" s="197">
        <f t="shared" si="8"/>
        <v>3000</v>
      </c>
      <c r="AV10" s="195">
        <f t="shared" si="9"/>
        <v>0.99506335813715796</v>
      </c>
      <c r="AW10" s="34"/>
      <c r="AX10" s="191"/>
      <c r="AY10" s="262">
        <f>'[1]Reading.4.23'!X10</f>
        <v>27600.000000005821</v>
      </c>
      <c r="AZ10" s="534">
        <f>'[1]Reading.4.23'!AB10</f>
        <v>0</v>
      </c>
      <c r="BA10" s="263">
        <f t="shared" si="10"/>
        <v>27600.000000005821</v>
      </c>
      <c r="BC10" s="154">
        <v>19</v>
      </c>
      <c r="BD10" s="267">
        <v>16.100000000000001</v>
      </c>
      <c r="BE10" s="221">
        <v>12</v>
      </c>
      <c r="BF10" s="223">
        <v>56</v>
      </c>
      <c r="BG10" s="222">
        <v>79</v>
      </c>
      <c r="BH10" s="267">
        <f>'[1]Reading.4.23'!BD10</f>
        <v>24.6</v>
      </c>
      <c r="BI10" s="267">
        <f>'[1]Reading.4.23'!BE10</f>
        <v>18</v>
      </c>
      <c r="BJ10" s="267">
        <f>'[1]Reading.4.23'!BF10</f>
        <v>53</v>
      </c>
      <c r="BL10" s="151">
        <v>526</v>
      </c>
      <c r="BN10" s="189">
        <f>'[1]Reading.4.23'!E8</f>
        <v>0</v>
      </c>
      <c r="BP10" s="33">
        <v>66415</v>
      </c>
      <c r="BQ10" s="33">
        <f t="shared" si="11"/>
        <v>30</v>
      </c>
      <c r="BR10" s="247">
        <f>'[1]Reading.4.23'!BQ10</f>
        <v>29</v>
      </c>
      <c r="BT10" s="33">
        <v>81246</v>
      </c>
      <c r="BU10" s="33">
        <f t="shared" si="12"/>
        <v>40</v>
      </c>
      <c r="BV10" s="247">
        <f>'[1]Reading.4.23'!BU10</f>
        <v>25</v>
      </c>
      <c r="BX10" s="33">
        <v>3975</v>
      </c>
      <c r="BY10" s="33">
        <f t="shared" si="13"/>
        <v>0</v>
      </c>
      <c r="BZ10" s="247">
        <f>'[1]Reading.4.23'!BY10</f>
        <v>0</v>
      </c>
      <c r="CB10" s="33">
        <v>233520</v>
      </c>
      <c r="CC10" s="33">
        <f t="shared" si="14"/>
        <v>40</v>
      </c>
      <c r="CD10" s="247">
        <f>'[1]Reading.4.23'!CC10</f>
        <v>90</v>
      </c>
      <c r="CF10" s="33">
        <v>6110</v>
      </c>
      <c r="CG10" s="33">
        <f t="shared" si="15"/>
        <v>10</v>
      </c>
      <c r="CH10" s="247">
        <f>'[1]Reading.4.23'!CG10</f>
        <v>0</v>
      </c>
      <c r="CI10" s="33">
        <v>19773</v>
      </c>
      <c r="CJ10" s="33">
        <f t="shared" si="16"/>
        <v>0</v>
      </c>
      <c r="CK10" s="247">
        <f>'[1]Reading.4.23'!CG10</f>
        <v>0</v>
      </c>
      <c r="CM10" s="33">
        <f t="shared" si="17"/>
        <v>110</v>
      </c>
      <c r="CN10" s="33">
        <f t="shared" si="17"/>
        <v>144</v>
      </c>
      <c r="CP10" s="33">
        <v>102728</v>
      </c>
      <c r="CQ10" s="33">
        <f t="shared" si="18"/>
        <v>360</v>
      </c>
      <c r="CR10" s="134">
        <f t="shared" si="19"/>
        <v>0.65573770491803274</v>
      </c>
      <c r="CS10" s="247">
        <f>'[1]Reading.4.23'!CN10</f>
        <v>220</v>
      </c>
      <c r="CT10" s="282">
        <f>'[1]Reading.4.23'!CO8</f>
        <v>0.45817490494296575</v>
      </c>
      <c r="CV10" s="33">
        <v>5222</v>
      </c>
      <c r="CW10" s="33">
        <f t="shared" si="20"/>
        <v>1</v>
      </c>
      <c r="CX10" s="247">
        <f>'[1]Reading.4.23'!CT10</f>
        <v>2</v>
      </c>
      <c r="CZ10" s="33">
        <v>890</v>
      </c>
      <c r="DA10" s="33">
        <f t="shared" si="21"/>
        <v>3</v>
      </c>
      <c r="DB10" s="247">
        <f>'[1]Reading.4.23'!CX10</f>
        <v>4</v>
      </c>
      <c r="DD10" s="33">
        <v>1424336</v>
      </c>
      <c r="DE10" s="33">
        <f t="shared" si="22"/>
        <v>796</v>
      </c>
      <c r="DF10" s="247">
        <f>'[1]Reading.4.23'!DB10</f>
        <v>700</v>
      </c>
      <c r="DH10" s="33">
        <v>3321769</v>
      </c>
      <c r="DI10" s="33">
        <f t="shared" si="23"/>
        <v>1508</v>
      </c>
      <c r="DJ10" s="247">
        <f>'[1]Reading.4.23'!DF10</f>
        <v>1828</v>
      </c>
      <c r="DL10" s="33">
        <v>2918370</v>
      </c>
      <c r="DM10" s="33">
        <f t="shared" si="24"/>
        <v>1365</v>
      </c>
      <c r="DN10" s="247">
        <f>'[1]Reading.4.23'!DJ10</f>
        <v>2842</v>
      </c>
      <c r="DP10" s="33">
        <v>2285046</v>
      </c>
      <c r="DQ10" s="33">
        <f t="shared" si="25"/>
        <v>33</v>
      </c>
      <c r="DR10" s="247">
        <f>'[1]Reading.4.23'!DN10</f>
        <v>32</v>
      </c>
      <c r="DT10" s="33">
        <v>3048717</v>
      </c>
      <c r="DU10" s="33">
        <f t="shared" si="26"/>
        <v>2060</v>
      </c>
      <c r="DV10" s="247">
        <f>'[1]Reading.4.23'!DR10</f>
        <v>32</v>
      </c>
      <c r="DX10" s="33">
        <v>720</v>
      </c>
      <c r="DZ10" s="33">
        <f t="shared" si="27"/>
        <v>4178</v>
      </c>
      <c r="EA10" s="247">
        <f>'[1]Reading.4.23'!DW10</f>
        <v>3626</v>
      </c>
      <c r="EC10" s="196">
        <f t="shared" si="28"/>
        <v>3114.8</v>
      </c>
      <c r="ED10" s="281">
        <f>'[1]Reading.4.23'!C10*5.2</f>
        <v>2496</v>
      </c>
      <c r="EF10" s="33">
        <v>59792</v>
      </c>
      <c r="EG10" s="292">
        <f t="shared" si="29"/>
        <v>43</v>
      </c>
      <c r="EH10" s="247"/>
      <c r="EJ10" s="33">
        <v>23887</v>
      </c>
      <c r="EK10" s="292">
        <f t="shared" si="30"/>
        <v>24</v>
      </c>
      <c r="EL10" s="247"/>
    </row>
    <row r="11" spans="1:142" x14ac:dyDescent="0.25">
      <c r="A11" s="298">
        <v>45388</v>
      </c>
      <c r="B11" s="33">
        <v>280990</v>
      </c>
      <c r="C11" s="33">
        <f t="shared" si="0"/>
        <v>545</v>
      </c>
      <c r="D11" s="33"/>
      <c r="E11" s="33">
        <v>0</v>
      </c>
      <c r="F11" s="251">
        <v>830</v>
      </c>
      <c r="G11" s="33">
        <f t="shared" si="1"/>
        <v>525</v>
      </c>
      <c r="H11" s="190">
        <f>'[1]Reading.4.23'!G11</f>
        <v>582</v>
      </c>
      <c r="I11" s="187"/>
      <c r="J11" s="33">
        <v>207046</v>
      </c>
      <c r="K11" s="189">
        <f t="shared" si="2"/>
        <v>149.376</v>
      </c>
      <c r="L11" s="258">
        <f>'[1]Reading.4.23'!K11</f>
        <v>149.376</v>
      </c>
      <c r="M11" s="188"/>
      <c r="N11" s="33">
        <v>731497</v>
      </c>
      <c r="O11" s="189">
        <f t="shared" si="3"/>
        <v>428.73</v>
      </c>
      <c r="P11" s="258">
        <f>'[1]Reading.4.23'!O11</f>
        <v>378.02000000000004</v>
      </c>
      <c r="Q11" s="34"/>
      <c r="R11" s="33">
        <v>42700</v>
      </c>
      <c r="S11" s="33"/>
      <c r="T11" s="33">
        <f t="shared" si="4"/>
        <v>0</v>
      </c>
      <c r="U11" s="258">
        <f>'[1]Reading.4.23'!T11</f>
        <v>0</v>
      </c>
      <c r="V11" s="34"/>
      <c r="W11" s="186">
        <v>45700.03</v>
      </c>
      <c r="X11" s="189">
        <f t="shared" si="5"/>
        <v>30160.000000003492</v>
      </c>
      <c r="Y11" s="258">
        <f>'[1]Reading.4.23'!X11</f>
        <v>27640.00000001397</v>
      </c>
      <c r="Z11" s="34"/>
      <c r="AA11" s="266">
        <v>520030</v>
      </c>
      <c r="AB11" s="189">
        <f t="shared" si="6"/>
        <v>0</v>
      </c>
      <c r="AC11" s="258">
        <f>'[1]Reading.4.23'!AB11</f>
        <v>0</v>
      </c>
      <c r="AD11" s="34"/>
      <c r="AE11" s="260">
        <f t="shared" si="7"/>
        <v>30160.000000003492</v>
      </c>
      <c r="AF11" s="261">
        <f>'[1]Reading.4.23'!AE11</f>
        <v>27640.00000001397</v>
      </c>
      <c r="AG11" s="259">
        <f t="shared" si="31"/>
        <v>32980.300000000003</v>
      </c>
      <c r="AH11" s="34"/>
      <c r="AI11" s="287">
        <v>0.51900000000000002</v>
      </c>
      <c r="AJ11" s="193">
        <f>'[1]Reading.4.23'!AI11</f>
        <v>0.51329999999999998</v>
      </c>
      <c r="AK11" s="192">
        <v>0.63800000000000001</v>
      </c>
      <c r="AL11" s="34"/>
      <c r="AM11" s="218">
        <v>273</v>
      </c>
      <c r="AN11" s="326">
        <f>'[1]Reading.4.23'!AM11</f>
        <v>270</v>
      </c>
      <c r="AO11" s="194">
        <f t="shared" si="32"/>
        <v>335.5</v>
      </c>
      <c r="AP11" s="34"/>
      <c r="AQ11" s="265">
        <f>413*4</f>
        <v>1652</v>
      </c>
      <c r="AR11" s="261">
        <f>'[1]Reading.4.23'!AQ11</f>
        <v>1604</v>
      </c>
      <c r="AS11" s="34"/>
      <c r="AT11" s="196">
        <v>7143.28</v>
      </c>
      <c r="AU11" s="197">
        <f t="shared" si="8"/>
        <v>3039.9999999972351</v>
      </c>
      <c r="AV11" s="195">
        <f t="shared" si="9"/>
        <v>0.99495849091328092</v>
      </c>
      <c r="AW11" s="34"/>
      <c r="AX11" s="191"/>
      <c r="AY11" s="262">
        <f>'[1]Reading.4.23'!X11</f>
        <v>27640.00000001397</v>
      </c>
      <c r="AZ11" s="534">
        <f>'[1]Reading.4.23'!AB11</f>
        <v>0</v>
      </c>
      <c r="BA11" s="263">
        <f t="shared" si="10"/>
        <v>27640.00000001397</v>
      </c>
      <c r="BC11" s="154">
        <v>19</v>
      </c>
      <c r="BD11" s="267">
        <v>16.100000000000001</v>
      </c>
      <c r="BE11" s="221">
        <v>12</v>
      </c>
      <c r="BF11" s="223">
        <v>56</v>
      </c>
      <c r="BG11" s="222">
        <v>79</v>
      </c>
      <c r="BH11" s="267">
        <f>'[1]Reading.4.23'!BD11</f>
        <v>24.6</v>
      </c>
      <c r="BI11" s="267">
        <f>'[1]Reading.4.23'!BE11</f>
        <v>20</v>
      </c>
      <c r="BJ11" s="267">
        <f>'[1]Reading.4.23'!BF11</f>
        <v>53</v>
      </c>
      <c r="BL11" s="151">
        <v>526</v>
      </c>
      <c r="BN11" s="189">
        <f>'[1]Reading.4.23'!E9</f>
        <v>0</v>
      </c>
      <c r="BP11" s="33">
        <v>66446</v>
      </c>
      <c r="BQ11" s="33">
        <f t="shared" si="11"/>
        <v>31</v>
      </c>
      <c r="BR11" s="247">
        <f>'[1]Reading.4.23'!BQ11</f>
        <v>32</v>
      </c>
      <c r="BT11" s="33">
        <v>81277</v>
      </c>
      <c r="BU11" s="33">
        <f t="shared" si="12"/>
        <v>31</v>
      </c>
      <c r="BV11" s="247">
        <f>'[1]Reading.4.23'!BU11</f>
        <v>30</v>
      </c>
      <c r="BX11" s="33">
        <v>3975</v>
      </c>
      <c r="BY11" s="33">
        <f t="shared" si="13"/>
        <v>0</v>
      </c>
      <c r="BZ11" s="247">
        <f>'[1]Reading.4.23'!BY11</f>
        <v>0</v>
      </c>
      <c r="CB11" s="33">
        <v>233530</v>
      </c>
      <c r="CC11" s="33">
        <f t="shared" si="14"/>
        <v>10</v>
      </c>
      <c r="CD11" s="247">
        <f>'[1]Reading.4.23'!CC11</f>
        <v>80</v>
      </c>
      <c r="CF11" s="33">
        <v>6120</v>
      </c>
      <c r="CG11" s="33">
        <f t="shared" si="15"/>
        <v>10</v>
      </c>
      <c r="CH11" s="247">
        <f>'[1]Reading.4.23'!CG11</f>
        <v>0</v>
      </c>
      <c r="CI11" s="33">
        <v>19773</v>
      </c>
      <c r="CJ11" s="33">
        <f t="shared" si="16"/>
        <v>0</v>
      </c>
      <c r="CK11" s="247">
        <f>'[1]Reading.4.23'!CG11</f>
        <v>0</v>
      </c>
      <c r="CM11" s="33">
        <f t="shared" si="17"/>
        <v>72</v>
      </c>
      <c r="CN11" s="33">
        <f t="shared" si="17"/>
        <v>142</v>
      </c>
      <c r="CP11" s="33">
        <v>103140</v>
      </c>
      <c r="CQ11" s="33">
        <f t="shared" si="18"/>
        <v>412</v>
      </c>
      <c r="CR11" s="134">
        <f t="shared" si="19"/>
        <v>0.78476190476190477</v>
      </c>
      <c r="CS11" s="247">
        <f>'[1]Reading.4.23'!CN11</f>
        <v>200</v>
      </c>
      <c r="CT11" s="282">
        <f>'[1]Reading.4.23'!CO9</f>
        <v>0.36278195488721804</v>
      </c>
      <c r="CV11" s="33">
        <v>5223</v>
      </c>
      <c r="CW11" s="33">
        <f t="shared" si="20"/>
        <v>1</v>
      </c>
      <c r="CX11" s="247">
        <f>'[1]Reading.4.23'!CT11</f>
        <v>1</v>
      </c>
      <c r="CZ11" s="33">
        <v>892</v>
      </c>
      <c r="DA11" s="33">
        <f t="shared" si="21"/>
        <v>2</v>
      </c>
      <c r="DB11" s="247">
        <f>'[1]Reading.4.23'!CX11</f>
        <v>3</v>
      </c>
      <c r="DD11" s="33">
        <v>1425184</v>
      </c>
      <c r="DE11" s="33">
        <f t="shared" si="22"/>
        <v>848</v>
      </c>
      <c r="DF11" s="247">
        <f>'[1]Reading.4.23'!DB11</f>
        <v>681</v>
      </c>
      <c r="DH11" s="33">
        <v>3323683</v>
      </c>
      <c r="DI11" s="33">
        <f t="shared" si="23"/>
        <v>1914</v>
      </c>
      <c r="DJ11" s="247">
        <f>'[1]Reading.4.23'!DF11</f>
        <v>1878</v>
      </c>
      <c r="DL11" s="33">
        <v>2918404</v>
      </c>
      <c r="DM11" s="33">
        <f t="shared" si="24"/>
        <v>34</v>
      </c>
      <c r="DN11" s="247">
        <f>'[1]Reading.4.23'!DJ11</f>
        <v>2614</v>
      </c>
      <c r="DP11" s="33">
        <v>2285080</v>
      </c>
      <c r="DQ11" s="33">
        <f t="shared" si="25"/>
        <v>34</v>
      </c>
      <c r="DR11" s="247">
        <f>'[1]Reading.4.23'!DN11</f>
        <v>31</v>
      </c>
      <c r="DT11" s="33">
        <v>3052211</v>
      </c>
      <c r="DU11" s="33">
        <f t="shared" si="26"/>
        <v>3494</v>
      </c>
      <c r="DV11" s="247">
        <f>'[1]Reading.4.23'!DR11</f>
        <v>30</v>
      </c>
      <c r="DX11" s="33">
        <v>720</v>
      </c>
      <c r="DZ11" s="33">
        <f t="shared" si="27"/>
        <v>4282</v>
      </c>
      <c r="EA11" s="247">
        <f>'[1]Reading.4.23'!DW11</f>
        <v>3395</v>
      </c>
      <c r="EC11" s="196">
        <f t="shared" si="28"/>
        <v>2834</v>
      </c>
      <c r="ED11" s="281">
        <f>'[1]Reading.4.23'!C11*5.2</f>
        <v>2948.4</v>
      </c>
      <c r="EF11" s="33">
        <v>59845</v>
      </c>
      <c r="EG11" s="292">
        <f t="shared" si="29"/>
        <v>53</v>
      </c>
      <c r="EH11" s="247"/>
      <c r="EJ11" s="33">
        <v>23911</v>
      </c>
      <c r="EK11" s="292">
        <f t="shared" si="30"/>
        <v>24</v>
      </c>
      <c r="EL11" s="247"/>
    </row>
    <row r="12" spans="1:142" x14ac:dyDescent="0.25">
      <c r="A12" s="298">
        <v>45389</v>
      </c>
      <c r="B12" s="33">
        <v>281423</v>
      </c>
      <c r="C12" s="33">
        <f t="shared" si="0"/>
        <v>433</v>
      </c>
      <c r="D12" s="33"/>
      <c r="E12" s="33">
        <v>0</v>
      </c>
      <c r="F12" s="251">
        <v>755</v>
      </c>
      <c r="G12" s="33">
        <f t="shared" si="1"/>
        <v>508</v>
      </c>
      <c r="H12" s="190">
        <f>'[1]Reading.4.23'!G12</f>
        <v>480</v>
      </c>
      <c r="I12" s="187"/>
      <c r="J12" s="33">
        <v>207080</v>
      </c>
      <c r="K12" s="189">
        <f t="shared" si="2"/>
        <v>158.71200000000002</v>
      </c>
      <c r="L12" s="258">
        <f>'[1]Reading.4.23'!K12</f>
        <v>177.38400000000001</v>
      </c>
      <c r="M12" s="188"/>
      <c r="N12" s="33">
        <v>731587</v>
      </c>
      <c r="O12" s="189">
        <f t="shared" si="3"/>
        <v>414.90000000000003</v>
      </c>
      <c r="P12" s="258">
        <f>'[1]Reading.4.23'!O12</f>
        <v>405.68</v>
      </c>
      <c r="Q12" s="34"/>
      <c r="R12" s="33">
        <v>42700</v>
      </c>
      <c r="S12" s="33"/>
      <c r="T12" s="33">
        <f t="shared" si="4"/>
        <v>0</v>
      </c>
      <c r="U12" s="258">
        <f>'[1]Reading.4.23'!T12</f>
        <v>0</v>
      </c>
      <c r="V12" s="34"/>
      <c r="W12" s="186">
        <v>45707.199999999997</v>
      </c>
      <c r="X12" s="189">
        <f t="shared" si="5"/>
        <v>28679.999999993015</v>
      </c>
      <c r="Y12" s="258">
        <f>'[1]Reading.4.23'!X12</f>
        <v>30039.999999979045</v>
      </c>
      <c r="Z12" s="34"/>
      <c r="AA12" s="266">
        <v>520050</v>
      </c>
      <c r="AB12" s="189">
        <f t="shared" si="6"/>
        <v>20</v>
      </c>
      <c r="AC12" s="258">
        <f>'[1]Reading.4.23'!AB12</f>
        <v>0</v>
      </c>
      <c r="AD12" s="34"/>
      <c r="AE12" s="260">
        <f t="shared" si="7"/>
        <v>28699.999999993015</v>
      </c>
      <c r="AF12" s="261">
        <f>'[1]Reading.4.23'!AE12</f>
        <v>30039.999999979045</v>
      </c>
      <c r="AG12" s="259">
        <f t="shared" si="31"/>
        <v>32980.300000000003</v>
      </c>
      <c r="AH12" s="34"/>
      <c r="AI12" s="287">
        <v>0.4753</v>
      </c>
      <c r="AJ12" s="193">
        <f>'[1]Reading.4.23'!AI12</f>
        <v>0.50190000000000001</v>
      </c>
      <c r="AK12" s="192">
        <v>0.63800000000000001</v>
      </c>
      <c r="AL12" s="34"/>
      <c r="AM12" s="218">
        <v>250</v>
      </c>
      <c r="AN12" s="326">
        <f>'[1]Reading.4.23'!AM12</f>
        <v>264</v>
      </c>
      <c r="AO12" s="194">
        <f t="shared" si="32"/>
        <v>335.5</v>
      </c>
      <c r="AP12" s="34"/>
      <c r="AQ12" s="265">
        <f>413*4</f>
        <v>1652</v>
      </c>
      <c r="AR12" s="261">
        <f>'[1]Reading.4.23'!AQ12</f>
        <v>1604</v>
      </c>
      <c r="AS12" s="34"/>
      <c r="AT12" s="196">
        <v>7143.88</v>
      </c>
      <c r="AU12" s="197">
        <f t="shared" si="8"/>
        <v>2400.0000000014552</v>
      </c>
      <c r="AV12" s="195">
        <f t="shared" si="9"/>
        <v>0.99651694314549</v>
      </c>
      <c r="AW12" s="34"/>
      <c r="AX12" s="191"/>
      <c r="AY12" s="262">
        <f>'[1]Reading.4.23'!X12</f>
        <v>30039.999999979045</v>
      </c>
      <c r="AZ12" s="534">
        <f>'[1]Reading.4.23'!AB12</f>
        <v>0</v>
      </c>
      <c r="BA12" s="263">
        <f t="shared" si="10"/>
        <v>30039.999999979045</v>
      </c>
      <c r="BC12" s="154">
        <v>19</v>
      </c>
      <c r="BD12" s="267">
        <v>16.100000000000001</v>
      </c>
      <c r="BE12" s="221">
        <v>12</v>
      </c>
      <c r="BF12" s="223">
        <v>56</v>
      </c>
      <c r="BG12" s="222">
        <v>79</v>
      </c>
      <c r="BH12" s="267">
        <f>'[1]Reading.4.23'!BD12</f>
        <v>27.9</v>
      </c>
      <c r="BI12" s="267">
        <f>'[1]Reading.4.23'!BE12</f>
        <v>22</v>
      </c>
      <c r="BJ12" s="267">
        <f>'[1]Reading.4.23'!BF12</f>
        <v>53</v>
      </c>
      <c r="BL12" s="151">
        <v>526</v>
      </c>
      <c r="BN12" s="189">
        <f>'[1]Reading.4.23'!E10</f>
        <v>0</v>
      </c>
      <c r="BP12" s="33">
        <v>66479</v>
      </c>
      <c r="BQ12" s="33">
        <f t="shared" si="11"/>
        <v>33</v>
      </c>
      <c r="BR12" s="247">
        <f>'[1]Reading.4.23'!BQ12</f>
        <v>28</v>
      </c>
      <c r="BT12" s="33">
        <v>81311</v>
      </c>
      <c r="BU12" s="33">
        <f t="shared" si="12"/>
        <v>34</v>
      </c>
      <c r="BV12" s="247">
        <f>'[1]Reading.4.23'!BU12</f>
        <v>33</v>
      </c>
      <c r="BX12" s="33">
        <v>3975</v>
      </c>
      <c r="BY12" s="33">
        <f t="shared" si="13"/>
        <v>0</v>
      </c>
      <c r="BZ12" s="247">
        <f>'[1]Reading.4.23'!BY12</f>
        <v>0</v>
      </c>
      <c r="CB12" s="33">
        <v>233590</v>
      </c>
      <c r="CC12" s="33">
        <f t="shared" si="14"/>
        <v>60</v>
      </c>
      <c r="CD12" s="247">
        <f>'[1]Reading.4.23'!CC12</f>
        <v>50</v>
      </c>
      <c r="CF12" s="33">
        <v>6130</v>
      </c>
      <c r="CG12" s="33">
        <f t="shared" si="15"/>
        <v>10</v>
      </c>
      <c r="CH12" s="247">
        <f>'[1]Reading.4.23'!CG12</f>
        <v>0</v>
      </c>
      <c r="CI12" s="33">
        <v>19773</v>
      </c>
      <c r="CJ12" s="33">
        <f t="shared" si="16"/>
        <v>0</v>
      </c>
      <c r="CK12" s="247">
        <f>'[1]Reading.4.23'!CG12</f>
        <v>0</v>
      </c>
      <c r="CM12" s="33">
        <f t="shared" si="17"/>
        <v>127</v>
      </c>
      <c r="CN12" s="33">
        <f t="shared" si="17"/>
        <v>111</v>
      </c>
      <c r="CP12" s="33">
        <v>103530</v>
      </c>
      <c r="CQ12" s="33">
        <f t="shared" si="18"/>
        <v>390</v>
      </c>
      <c r="CR12" s="134">
        <f t="shared" si="19"/>
        <v>0.76771653543307083</v>
      </c>
      <c r="CS12" s="247">
        <f>'[1]Reading.4.23'!CN12</f>
        <v>240</v>
      </c>
      <c r="CT12" s="282">
        <f>'[1]Reading.4.23'!CO10</f>
        <v>0.44897959183673469</v>
      </c>
      <c r="CV12" s="33">
        <v>5225</v>
      </c>
      <c r="CW12" s="33">
        <f t="shared" si="20"/>
        <v>2</v>
      </c>
      <c r="CX12" s="247">
        <f>'[1]Reading.4.23'!CT12</f>
        <v>1</v>
      </c>
      <c r="CZ12" s="33">
        <v>895</v>
      </c>
      <c r="DA12" s="33">
        <f t="shared" si="21"/>
        <v>3</v>
      </c>
      <c r="DB12" s="247">
        <f>'[1]Reading.4.23'!CX12</f>
        <v>4</v>
      </c>
      <c r="DD12" s="33">
        <v>1425999</v>
      </c>
      <c r="DE12" s="33">
        <f t="shared" si="22"/>
        <v>815</v>
      </c>
      <c r="DF12" s="247">
        <f>'[1]Reading.4.23'!DB12</f>
        <v>748</v>
      </c>
      <c r="DH12" s="33">
        <v>3325200</v>
      </c>
      <c r="DI12" s="33">
        <f t="shared" si="23"/>
        <v>1517</v>
      </c>
      <c r="DJ12" s="247">
        <f>'[1]Reading.4.23'!DF12</f>
        <v>1903</v>
      </c>
      <c r="DL12" s="33">
        <v>2918435</v>
      </c>
      <c r="DM12" s="33">
        <f t="shared" si="24"/>
        <v>31</v>
      </c>
      <c r="DN12" s="247">
        <f>'[1]Reading.4.23'!DJ12</f>
        <v>3053</v>
      </c>
      <c r="DP12" s="33">
        <v>2285112</v>
      </c>
      <c r="DQ12" s="33">
        <f t="shared" si="25"/>
        <v>32</v>
      </c>
      <c r="DR12" s="247">
        <f>'[1]Reading.4.23'!DN12</f>
        <v>32</v>
      </c>
      <c r="DT12" s="33">
        <v>3055092</v>
      </c>
      <c r="DU12" s="33">
        <f t="shared" si="26"/>
        <v>2881</v>
      </c>
      <c r="DV12" s="247">
        <f>'[1]Reading.4.23'!DR12</f>
        <v>31</v>
      </c>
      <c r="DX12" s="33">
        <v>720</v>
      </c>
      <c r="DZ12" s="33">
        <f t="shared" si="27"/>
        <v>3664</v>
      </c>
      <c r="EA12" s="247">
        <f>'[1]Reading.4.23'!DW12</f>
        <v>3836</v>
      </c>
      <c r="EC12" s="196">
        <f t="shared" si="28"/>
        <v>2251.6</v>
      </c>
      <c r="ED12" s="281">
        <f>'[1]Reading.4.23'!C12*5.2</f>
        <v>2626</v>
      </c>
      <c r="EF12" s="33">
        <v>59910</v>
      </c>
      <c r="EG12" s="292">
        <f t="shared" si="29"/>
        <v>65</v>
      </c>
      <c r="EH12" s="247"/>
      <c r="EJ12" s="33">
        <v>23934</v>
      </c>
      <c r="EK12" s="292">
        <f t="shared" si="30"/>
        <v>23</v>
      </c>
      <c r="EL12" s="247"/>
    </row>
    <row r="13" spans="1:142" x14ac:dyDescent="0.25">
      <c r="A13" s="298">
        <v>45390</v>
      </c>
      <c r="B13" s="33">
        <v>281960</v>
      </c>
      <c r="C13" s="33">
        <f t="shared" si="0"/>
        <v>537</v>
      </c>
      <c r="D13" s="33"/>
      <c r="E13" s="33">
        <v>0</v>
      </c>
      <c r="F13" s="251">
        <v>765</v>
      </c>
      <c r="G13" s="33">
        <f t="shared" si="1"/>
        <v>527</v>
      </c>
      <c r="H13" s="190">
        <f>'[1]Reading.4.23'!G13</f>
        <v>448</v>
      </c>
      <c r="I13" s="187"/>
      <c r="J13" s="33">
        <v>207111</v>
      </c>
      <c r="K13" s="189">
        <f t="shared" si="2"/>
        <v>144.708</v>
      </c>
      <c r="L13" s="258">
        <f>'[1]Reading.4.23'!K13</f>
        <v>144.708</v>
      </c>
      <c r="M13" s="188"/>
      <c r="N13" s="33">
        <v>731674</v>
      </c>
      <c r="O13" s="189">
        <f t="shared" si="3"/>
        <v>401.07000000000005</v>
      </c>
      <c r="P13" s="258">
        <f>'[1]Reading.4.23'!O13</f>
        <v>424.12</v>
      </c>
      <c r="Q13" s="34"/>
      <c r="R13" s="33">
        <v>42700</v>
      </c>
      <c r="S13" s="33"/>
      <c r="T13" s="33">
        <f t="shared" si="4"/>
        <v>0</v>
      </c>
      <c r="U13" s="258">
        <f>'[1]Reading.4.23'!T13</f>
        <v>0</v>
      </c>
      <c r="V13" s="34"/>
      <c r="W13" s="186">
        <v>45713.84</v>
      </c>
      <c r="X13" s="189">
        <f t="shared" si="5"/>
        <v>26559.999999997672</v>
      </c>
      <c r="Y13" s="258">
        <f>'[1]Reading.4.23'!X13</f>
        <v>30120.000000024447</v>
      </c>
      <c r="Z13" s="34"/>
      <c r="AA13" s="266">
        <v>520050</v>
      </c>
      <c r="AB13" s="189">
        <f t="shared" si="6"/>
        <v>0</v>
      </c>
      <c r="AC13" s="258">
        <f>'[1]Reading.4.23'!AB13</f>
        <v>0</v>
      </c>
      <c r="AD13" s="34"/>
      <c r="AE13" s="260">
        <f t="shared" si="7"/>
        <v>26559.999999997672</v>
      </c>
      <c r="AF13" s="261">
        <f>'[1]Reading.4.23'!AE13</f>
        <v>30120.000000024447</v>
      </c>
      <c r="AG13" s="259">
        <f t="shared" si="31"/>
        <v>32980.300000000003</v>
      </c>
      <c r="AH13" s="34"/>
      <c r="AI13" s="287">
        <v>0.48480000000000001</v>
      </c>
      <c r="AJ13" s="193">
        <f>'[1]Reading.4.23'!AI13</f>
        <v>0.52470000000000006</v>
      </c>
      <c r="AK13" s="192">
        <v>0.63800000000000001</v>
      </c>
      <c r="AL13" s="34"/>
      <c r="AM13" s="218">
        <v>255</v>
      </c>
      <c r="AN13" s="326">
        <f>'[1]Reading.4.23'!AM13</f>
        <v>276</v>
      </c>
      <c r="AO13" s="194">
        <f t="shared" si="32"/>
        <v>335.5</v>
      </c>
      <c r="AP13" s="34"/>
      <c r="AQ13" s="265">
        <f>413*4</f>
        <v>1652</v>
      </c>
      <c r="AR13" s="261">
        <f>'[1]Reading.4.23'!AQ13</f>
        <v>1604</v>
      </c>
      <c r="AS13" s="34"/>
      <c r="AT13" s="196">
        <v>7144.51</v>
      </c>
      <c r="AU13" s="197">
        <f t="shared" si="8"/>
        <v>2520.0000000004366</v>
      </c>
      <c r="AV13" s="195">
        <f t="shared" si="9"/>
        <v>0.9955291016643204</v>
      </c>
      <c r="AW13" s="34"/>
      <c r="AX13" s="191"/>
      <c r="AY13" s="262">
        <f>'[1]Reading.4.23'!X13</f>
        <v>30120.000000024447</v>
      </c>
      <c r="AZ13" s="534">
        <f>'[1]Reading.4.23'!AB13</f>
        <v>0</v>
      </c>
      <c r="BA13" s="263">
        <f t="shared" si="10"/>
        <v>30120.000000024447</v>
      </c>
      <c r="BC13" s="154">
        <v>19</v>
      </c>
      <c r="BD13" s="267">
        <v>16.100000000000001</v>
      </c>
      <c r="BE13" s="221">
        <v>12</v>
      </c>
      <c r="BF13" s="223">
        <v>56</v>
      </c>
      <c r="BG13" s="222">
        <v>79</v>
      </c>
      <c r="BH13" s="267">
        <f>'[1]Reading.4.23'!BD13</f>
        <v>29.9</v>
      </c>
      <c r="BI13" s="267">
        <f>'[1]Reading.4.23'!BE13</f>
        <v>24</v>
      </c>
      <c r="BJ13" s="267">
        <f>'[1]Reading.4.23'!BF13</f>
        <v>53</v>
      </c>
      <c r="BL13" s="151">
        <v>526</v>
      </c>
      <c r="BN13" s="189">
        <f>'[1]Reading.4.23'!E11</f>
        <v>0</v>
      </c>
      <c r="BP13" s="33">
        <v>66511</v>
      </c>
      <c r="BQ13" s="33">
        <f t="shared" si="11"/>
        <v>32</v>
      </c>
      <c r="BR13" s="247">
        <f>'[1]Reading.4.23'!BQ13</f>
        <v>16</v>
      </c>
      <c r="BT13" s="33">
        <v>81345</v>
      </c>
      <c r="BU13" s="33">
        <f t="shared" si="12"/>
        <v>34</v>
      </c>
      <c r="BV13" s="247">
        <f>'[1]Reading.4.23'!BU13</f>
        <v>33</v>
      </c>
      <c r="BX13" s="33">
        <v>3991</v>
      </c>
      <c r="BY13" s="33">
        <f t="shared" si="13"/>
        <v>16</v>
      </c>
      <c r="BZ13" s="247">
        <f>'[1]Reading.4.23'!BY13</f>
        <v>0</v>
      </c>
      <c r="CB13" s="33">
        <v>233630</v>
      </c>
      <c r="CC13" s="33">
        <f t="shared" si="14"/>
        <v>40</v>
      </c>
      <c r="CD13" s="247">
        <f>'[1]Reading.4.23'!CC13</f>
        <v>30</v>
      </c>
      <c r="CF13" s="33">
        <v>6130</v>
      </c>
      <c r="CG13" s="33">
        <f t="shared" si="15"/>
        <v>0</v>
      </c>
      <c r="CH13" s="247">
        <f>'[1]Reading.4.23'!CG13</f>
        <v>0</v>
      </c>
      <c r="CI13" s="33">
        <v>19773</v>
      </c>
      <c r="CJ13" s="33">
        <f t="shared" si="16"/>
        <v>0</v>
      </c>
      <c r="CK13" s="247">
        <f>'[1]Reading.4.23'!CG13</f>
        <v>0</v>
      </c>
      <c r="CM13" s="33">
        <f t="shared" si="17"/>
        <v>122</v>
      </c>
      <c r="CN13" s="33">
        <f t="shared" si="17"/>
        <v>79</v>
      </c>
      <c r="CP13" s="33">
        <v>103902</v>
      </c>
      <c r="CQ13" s="33">
        <f t="shared" si="18"/>
        <v>372</v>
      </c>
      <c r="CR13" s="134">
        <f t="shared" si="19"/>
        <v>0.70588235294117652</v>
      </c>
      <c r="CS13" s="247">
        <f>'[1]Reading.4.23'!CN13</f>
        <v>254</v>
      </c>
      <c r="CT13" s="282">
        <f>'[1]Reading.4.23'!CO11</f>
        <v>0.3436426116838488</v>
      </c>
      <c r="CV13" s="33">
        <v>5227</v>
      </c>
      <c r="CW13" s="33">
        <f t="shared" si="20"/>
        <v>2</v>
      </c>
      <c r="CX13" s="247">
        <f>'[1]Reading.4.23'!CT13</f>
        <v>1</v>
      </c>
      <c r="CZ13" s="33">
        <v>898</v>
      </c>
      <c r="DA13" s="33">
        <f t="shared" si="21"/>
        <v>3</v>
      </c>
      <c r="DB13" s="247">
        <f>'[1]Reading.4.23'!CX13</f>
        <v>3</v>
      </c>
      <c r="DD13" s="33">
        <v>1426464</v>
      </c>
      <c r="DE13" s="33">
        <f t="shared" si="22"/>
        <v>465</v>
      </c>
      <c r="DF13" s="247">
        <f>'[1]Reading.4.23'!DB13</f>
        <v>894</v>
      </c>
      <c r="DH13" s="33">
        <v>3326804</v>
      </c>
      <c r="DI13" s="33">
        <f t="shared" si="23"/>
        <v>1604</v>
      </c>
      <c r="DJ13" s="247">
        <f>'[1]Reading.4.23'!DF13</f>
        <v>1048</v>
      </c>
      <c r="DL13" s="33">
        <v>2918466</v>
      </c>
      <c r="DM13" s="33">
        <f t="shared" si="24"/>
        <v>31</v>
      </c>
      <c r="DN13" s="247">
        <f>'[1]Reading.4.23'!DJ13</f>
        <v>3693</v>
      </c>
      <c r="DP13" s="33">
        <v>2285144</v>
      </c>
      <c r="DQ13" s="33">
        <f t="shared" si="25"/>
        <v>32</v>
      </c>
      <c r="DR13" s="247">
        <f>'[1]Reading.4.23'!DN13</f>
        <v>0</v>
      </c>
      <c r="DT13" s="33">
        <v>3058080</v>
      </c>
      <c r="DU13" s="33">
        <f t="shared" si="26"/>
        <v>2988</v>
      </c>
      <c r="DV13" s="247">
        <f>'[1]Reading.4.23'!DR13</f>
        <v>32</v>
      </c>
      <c r="DX13" s="33">
        <v>720</v>
      </c>
      <c r="DZ13" s="33">
        <f t="shared" si="27"/>
        <v>3771</v>
      </c>
      <c r="EA13" s="247">
        <f>'[1]Reading.4.23'!DW13</f>
        <v>4445</v>
      </c>
      <c r="EC13" s="196">
        <f t="shared" si="28"/>
        <v>2792.4</v>
      </c>
      <c r="ED13" s="281">
        <f>'[1]Reading.4.23'!C13*5.2</f>
        <v>2407.6</v>
      </c>
      <c r="EF13" s="33">
        <v>59966</v>
      </c>
      <c r="EG13" s="292">
        <f t="shared" si="29"/>
        <v>56</v>
      </c>
      <c r="EH13" s="247"/>
      <c r="EJ13" s="33">
        <v>23960</v>
      </c>
      <c r="EK13" s="292">
        <f t="shared" si="30"/>
        <v>26</v>
      </c>
      <c r="EL13" s="247"/>
    </row>
    <row r="14" spans="1:142" x14ac:dyDescent="0.25">
      <c r="A14" s="298">
        <v>45391</v>
      </c>
      <c r="B14" s="33">
        <v>282590</v>
      </c>
      <c r="C14" s="33">
        <f t="shared" si="0"/>
        <v>630</v>
      </c>
      <c r="D14" s="33"/>
      <c r="E14" s="33">
        <v>0</v>
      </c>
      <c r="F14" s="251">
        <v>855</v>
      </c>
      <c r="G14" s="33">
        <f t="shared" si="1"/>
        <v>540</v>
      </c>
      <c r="H14" s="190">
        <f>'[1]Reading.4.23'!G14</f>
        <v>537</v>
      </c>
      <c r="I14" s="187"/>
      <c r="J14" s="33">
        <v>207144</v>
      </c>
      <c r="K14" s="189">
        <f t="shared" si="2"/>
        <v>154.04400000000001</v>
      </c>
      <c r="L14" s="258">
        <f>'[1]Reading.4.23'!K14</f>
        <v>130.70400000000001</v>
      </c>
      <c r="M14" s="188"/>
      <c r="N14" s="33">
        <v>731765</v>
      </c>
      <c r="O14" s="189">
        <f t="shared" si="3"/>
        <v>419.51000000000005</v>
      </c>
      <c r="P14" s="258">
        <f>'[1]Reading.4.23'!O14</f>
        <v>391.85</v>
      </c>
      <c r="Q14" s="34"/>
      <c r="R14" s="33">
        <v>42700</v>
      </c>
      <c r="S14" s="33"/>
      <c r="T14" s="33">
        <f t="shared" si="4"/>
        <v>0</v>
      </c>
      <c r="U14" s="258">
        <f>'[1]Reading.4.23'!T14</f>
        <v>0</v>
      </c>
      <c r="V14" s="34"/>
      <c r="W14" s="186">
        <v>45721.33</v>
      </c>
      <c r="X14" s="189">
        <f t="shared" si="5"/>
        <v>29960.000000020955</v>
      </c>
      <c r="Y14" s="258">
        <f>'[1]Reading.4.23'!X14</f>
        <v>30199.999999982538</v>
      </c>
      <c r="Z14" s="34"/>
      <c r="AA14" s="266">
        <v>520050</v>
      </c>
      <c r="AB14" s="189">
        <f t="shared" si="6"/>
        <v>0</v>
      </c>
      <c r="AC14" s="258">
        <f>'[1]Reading.4.23'!AB14</f>
        <v>0</v>
      </c>
      <c r="AD14" s="34"/>
      <c r="AE14" s="260">
        <f t="shared" si="7"/>
        <v>29960.000000020955</v>
      </c>
      <c r="AF14" s="261">
        <f>'[1]Reading.4.23'!AE14</f>
        <v>30199.999999982538</v>
      </c>
      <c r="AG14" s="259">
        <f t="shared" si="31"/>
        <v>32980.300000000003</v>
      </c>
      <c r="AH14" s="34"/>
      <c r="AI14" s="287">
        <v>0.55130000000000001</v>
      </c>
      <c r="AJ14" s="193">
        <f>'[1]Reading.4.23'!AI14</f>
        <v>0.49809999999999999</v>
      </c>
      <c r="AK14" s="192">
        <v>0.63800000000000001</v>
      </c>
      <c r="AL14" s="34"/>
      <c r="AM14" s="218">
        <v>290</v>
      </c>
      <c r="AN14" s="326">
        <f>'[1]Reading.4.23'!AM14</f>
        <v>262</v>
      </c>
      <c r="AO14" s="194">
        <f t="shared" si="32"/>
        <v>335.5</v>
      </c>
      <c r="AP14" s="34"/>
      <c r="AQ14" s="265">
        <f>413*4</f>
        <v>1652</v>
      </c>
      <c r="AR14" s="261">
        <f>'[1]Reading.4.23'!AQ14</f>
        <v>1664</v>
      </c>
      <c r="AS14" s="34"/>
      <c r="AT14" s="196">
        <v>7145.3</v>
      </c>
      <c r="AU14" s="197">
        <f t="shared" si="8"/>
        <v>3159.9999999998545</v>
      </c>
      <c r="AV14" s="195">
        <f t="shared" si="9"/>
        <v>0.99448360530398028</v>
      </c>
      <c r="AW14" s="34"/>
      <c r="AX14" s="191"/>
      <c r="AY14" s="262">
        <f>'[1]Reading.4.23'!X14</f>
        <v>30199.999999982538</v>
      </c>
      <c r="AZ14" s="534">
        <f>'[1]Reading.4.23'!AB14</f>
        <v>0</v>
      </c>
      <c r="BA14" s="263">
        <f t="shared" si="10"/>
        <v>30199.999999982538</v>
      </c>
      <c r="BC14" s="154">
        <v>19</v>
      </c>
      <c r="BD14" s="267">
        <v>16.100000000000001</v>
      </c>
      <c r="BE14" s="221">
        <v>12</v>
      </c>
      <c r="BF14" s="223">
        <v>56</v>
      </c>
      <c r="BG14" s="222">
        <v>79</v>
      </c>
      <c r="BH14" s="267">
        <f>'[1]Reading.4.23'!BD14</f>
        <v>29.4</v>
      </c>
      <c r="BI14" s="267">
        <f>'[1]Reading.4.23'!BE14</f>
        <v>23</v>
      </c>
      <c r="BJ14" s="267">
        <f>'[1]Reading.4.23'!BF14</f>
        <v>53</v>
      </c>
      <c r="BL14" s="151">
        <v>526</v>
      </c>
      <c r="BN14" s="189">
        <f>'[1]Reading.4.23'!E12</f>
        <v>0</v>
      </c>
      <c r="BP14" s="33">
        <v>66541</v>
      </c>
      <c r="BQ14" s="33">
        <f t="shared" si="11"/>
        <v>30</v>
      </c>
      <c r="BR14" s="247">
        <f>'[1]Reading.4.23'!BQ14</f>
        <v>24</v>
      </c>
      <c r="BT14" s="33">
        <v>81376</v>
      </c>
      <c r="BU14" s="33">
        <f t="shared" si="12"/>
        <v>31</v>
      </c>
      <c r="BV14" s="247">
        <f>'[1]Reading.4.23'!BU14</f>
        <v>28</v>
      </c>
      <c r="BX14" s="33">
        <v>3991</v>
      </c>
      <c r="BY14" s="33">
        <f t="shared" si="13"/>
        <v>0</v>
      </c>
      <c r="BZ14" s="247">
        <f>'[1]Reading.4.23'!BY14</f>
        <v>0</v>
      </c>
      <c r="CB14" s="33">
        <v>233680</v>
      </c>
      <c r="CC14" s="33">
        <f t="shared" si="14"/>
        <v>50</v>
      </c>
      <c r="CD14" s="247">
        <f>'[1]Reading.4.23'!CC14</f>
        <v>40</v>
      </c>
      <c r="CF14" s="33">
        <v>6140</v>
      </c>
      <c r="CG14" s="33">
        <f t="shared" si="15"/>
        <v>10</v>
      </c>
      <c r="CH14" s="247">
        <f>'[1]Reading.4.23'!CG14</f>
        <v>0</v>
      </c>
      <c r="CI14" s="33">
        <v>19773</v>
      </c>
      <c r="CJ14" s="33">
        <f t="shared" si="16"/>
        <v>0</v>
      </c>
      <c r="CK14" s="247">
        <f>'[1]Reading.4.23'!CG14</f>
        <v>0</v>
      </c>
      <c r="CM14" s="33">
        <f t="shared" si="17"/>
        <v>111</v>
      </c>
      <c r="CN14" s="33">
        <f t="shared" si="17"/>
        <v>92</v>
      </c>
      <c r="CP14" s="33">
        <v>104287</v>
      </c>
      <c r="CQ14" s="33">
        <f t="shared" si="18"/>
        <v>385</v>
      </c>
      <c r="CR14" s="134">
        <f t="shared" si="19"/>
        <v>0.71296296296296291</v>
      </c>
      <c r="CS14" s="247">
        <f>'[1]Reading.4.23'!CN14</f>
        <v>230</v>
      </c>
      <c r="CT14" s="282">
        <f>'[1]Reading.4.23'!CO12</f>
        <v>0.5</v>
      </c>
      <c r="CV14" s="33">
        <v>5229</v>
      </c>
      <c r="CW14" s="33">
        <f t="shared" si="20"/>
        <v>2</v>
      </c>
      <c r="CX14" s="247">
        <f>'[1]Reading.4.23'!CT14</f>
        <v>1</v>
      </c>
      <c r="CZ14" s="33">
        <v>899</v>
      </c>
      <c r="DA14" s="33">
        <f t="shared" si="21"/>
        <v>1</v>
      </c>
      <c r="DB14" s="247">
        <f>'[1]Reading.4.23'!CX14</f>
        <v>3</v>
      </c>
      <c r="DD14" s="33">
        <v>1427004</v>
      </c>
      <c r="DE14" s="33">
        <f t="shared" si="22"/>
        <v>540</v>
      </c>
      <c r="DF14" s="247">
        <f>'[1]Reading.4.23'!DB14</f>
        <v>798</v>
      </c>
      <c r="DH14" s="33">
        <v>3328745</v>
      </c>
      <c r="DI14" s="33">
        <f t="shared" si="23"/>
        <v>1941</v>
      </c>
      <c r="DJ14" s="247">
        <f>'[1]Reading.4.23'!DF14</f>
        <v>1450</v>
      </c>
      <c r="DL14" s="33">
        <v>2918498</v>
      </c>
      <c r="DM14" s="33">
        <f t="shared" si="24"/>
        <v>32</v>
      </c>
      <c r="DN14" s="247">
        <f>'[1]Reading.4.23'!DJ14</f>
        <v>3741</v>
      </c>
      <c r="DP14" s="33">
        <v>2285176</v>
      </c>
      <c r="DQ14" s="33">
        <f t="shared" si="25"/>
        <v>32</v>
      </c>
      <c r="DR14" s="247">
        <f>'[1]Reading.4.23'!DN14</f>
        <v>23</v>
      </c>
      <c r="DT14" s="33">
        <v>3061371</v>
      </c>
      <c r="DU14" s="33">
        <f t="shared" si="26"/>
        <v>3291</v>
      </c>
      <c r="DV14" s="247">
        <f>'[1]Reading.4.23'!DR14</f>
        <v>31</v>
      </c>
      <c r="DX14" s="33">
        <v>720</v>
      </c>
      <c r="DZ14" s="33">
        <f t="shared" si="27"/>
        <v>4075</v>
      </c>
      <c r="EA14" s="247">
        <f>'[1]Reading.4.23'!DW14</f>
        <v>4515</v>
      </c>
      <c r="EC14" s="196">
        <f t="shared" si="28"/>
        <v>3276</v>
      </c>
      <c r="ED14" s="281">
        <f>'[1]Reading.4.23'!C14*5.2</f>
        <v>2610.4</v>
      </c>
      <c r="EF14" s="33">
        <v>59989</v>
      </c>
      <c r="EG14" s="292">
        <f t="shared" si="29"/>
        <v>23</v>
      </c>
      <c r="EH14" s="247"/>
      <c r="EJ14" s="33">
        <v>23981</v>
      </c>
      <c r="EK14" s="292">
        <f t="shared" si="30"/>
        <v>21</v>
      </c>
      <c r="EL14" s="247"/>
    </row>
    <row r="15" spans="1:142" x14ac:dyDescent="0.25">
      <c r="A15" s="298">
        <v>45392</v>
      </c>
      <c r="B15" s="33">
        <v>283159</v>
      </c>
      <c r="C15" s="33">
        <f t="shared" si="0"/>
        <v>569</v>
      </c>
      <c r="D15" s="33"/>
      <c r="E15" s="33">
        <v>0</v>
      </c>
      <c r="F15" s="251">
        <v>825</v>
      </c>
      <c r="G15" s="33">
        <f t="shared" si="1"/>
        <v>599</v>
      </c>
      <c r="H15" s="190">
        <f>'[1]Reading.4.23'!G15</f>
        <v>470</v>
      </c>
      <c r="I15" s="187"/>
      <c r="J15" s="33">
        <v>207197</v>
      </c>
      <c r="K15" s="189">
        <f t="shared" si="2"/>
        <v>247.404</v>
      </c>
      <c r="L15" s="258">
        <f>'[1]Reading.4.23'!K15</f>
        <v>149.376</v>
      </c>
      <c r="M15" s="188"/>
      <c r="N15" s="33">
        <v>731873</v>
      </c>
      <c r="O15" s="189">
        <f t="shared" si="3"/>
        <v>497.88000000000005</v>
      </c>
      <c r="P15" s="258">
        <f>'[1]Reading.4.23'!O15</f>
        <v>414.90000000000003</v>
      </c>
      <c r="Q15" s="34"/>
      <c r="R15" s="33">
        <v>42700</v>
      </c>
      <c r="S15" s="33"/>
      <c r="T15" s="33">
        <f t="shared" si="4"/>
        <v>0</v>
      </c>
      <c r="U15" s="258">
        <f>'[1]Reading.4.23'!T15</f>
        <v>0</v>
      </c>
      <c r="V15" s="34"/>
      <c r="W15" s="186">
        <v>45729.599999999999</v>
      </c>
      <c r="X15" s="189">
        <f t="shared" si="5"/>
        <v>33079.999999987194</v>
      </c>
      <c r="Y15" s="258">
        <f>'[1]Reading.4.23'!X15</f>
        <v>31640.00000001397</v>
      </c>
      <c r="Z15" s="34"/>
      <c r="AA15" s="266">
        <v>520050</v>
      </c>
      <c r="AB15" s="189">
        <f t="shared" si="6"/>
        <v>0</v>
      </c>
      <c r="AC15" s="258">
        <f>'[1]Reading.4.23'!AB15</f>
        <v>0</v>
      </c>
      <c r="AD15" s="34"/>
      <c r="AE15" s="260">
        <f t="shared" si="7"/>
        <v>33079.999999987194</v>
      </c>
      <c r="AF15" s="261">
        <f>'[1]Reading.4.23'!AE15</f>
        <v>31640.00000001397</v>
      </c>
      <c r="AG15" s="259">
        <f t="shared" si="31"/>
        <v>32980.300000000003</v>
      </c>
      <c r="AH15" s="34"/>
      <c r="AI15" s="287">
        <v>0.69199999999999995</v>
      </c>
      <c r="AJ15" s="193">
        <f>'[1]Reading.4.23'!AI15</f>
        <v>0.4753</v>
      </c>
      <c r="AK15" s="192">
        <v>0.63800000000000001</v>
      </c>
      <c r="AL15" s="34"/>
      <c r="AM15" s="218">
        <v>364</v>
      </c>
      <c r="AN15" s="326">
        <f>'[1]Reading.4.23'!AM15</f>
        <v>250</v>
      </c>
      <c r="AO15" s="194">
        <f t="shared" si="32"/>
        <v>335.5</v>
      </c>
      <c r="AP15" s="34"/>
      <c r="AQ15" s="265">
        <f>421*4</f>
        <v>1684</v>
      </c>
      <c r="AR15" s="261">
        <f>'[1]Reading.4.23'!AQ15</f>
        <v>1680</v>
      </c>
      <c r="AS15" s="34"/>
      <c r="AT15" s="196">
        <v>7146.14</v>
      </c>
      <c r="AU15" s="197">
        <f t="shared" si="8"/>
        <v>3360.0000000005821</v>
      </c>
      <c r="AV15" s="195">
        <f t="shared" si="9"/>
        <v>0.99488114382748449</v>
      </c>
      <c r="AW15" s="34"/>
      <c r="AX15" s="191"/>
      <c r="AY15" s="262">
        <f>'[1]Reading.4.23'!X15</f>
        <v>31640.00000001397</v>
      </c>
      <c r="AZ15" s="534">
        <f>'[1]Reading.4.23'!AB15</f>
        <v>0</v>
      </c>
      <c r="BA15" s="263">
        <f t="shared" si="10"/>
        <v>31640.00000001397</v>
      </c>
      <c r="BC15" s="154">
        <v>19</v>
      </c>
      <c r="BD15" s="267">
        <v>16.100000000000001</v>
      </c>
      <c r="BE15" s="221">
        <v>12</v>
      </c>
      <c r="BF15" s="223">
        <v>56</v>
      </c>
      <c r="BG15" s="222">
        <v>79</v>
      </c>
      <c r="BH15" s="267">
        <f>'[1]Reading.4.23'!BD15</f>
        <v>27.2</v>
      </c>
      <c r="BI15" s="267">
        <f>'[1]Reading.4.23'!BE15</f>
        <v>25</v>
      </c>
      <c r="BJ15" s="267">
        <f>'[1]Reading.4.23'!BF15</f>
        <v>53</v>
      </c>
      <c r="BL15" s="151">
        <v>526</v>
      </c>
      <c r="BN15" s="189">
        <f>'[1]Reading.4.23'!E13</f>
        <v>0</v>
      </c>
      <c r="BP15" s="33">
        <v>66574</v>
      </c>
      <c r="BQ15" s="33">
        <f t="shared" si="11"/>
        <v>33</v>
      </c>
      <c r="BR15" s="247">
        <f>'[1]Reading.4.23'!BQ15</f>
        <v>26</v>
      </c>
      <c r="BT15" s="33">
        <v>81421</v>
      </c>
      <c r="BU15" s="33">
        <f t="shared" si="12"/>
        <v>45</v>
      </c>
      <c r="BV15" s="247">
        <f>'[1]Reading.4.23'!BU15</f>
        <v>35</v>
      </c>
      <c r="BX15" s="33">
        <v>3991</v>
      </c>
      <c r="BY15" s="33">
        <f t="shared" si="13"/>
        <v>0</v>
      </c>
      <c r="BZ15" s="247">
        <f>'[1]Reading.4.23'!BY15</f>
        <v>0</v>
      </c>
      <c r="CB15" s="33">
        <v>233730</v>
      </c>
      <c r="CC15" s="33">
        <f t="shared" si="14"/>
        <v>50</v>
      </c>
      <c r="CD15" s="247">
        <f>'[1]Reading.4.23'!CC15</f>
        <v>0</v>
      </c>
      <c r="CF15" s="33">
        <v>6150</v>
      </c>
      <c r="CG15" s="33">
        <f t="shared" si="15"/>
        <v>10</v>
      </c>
      <c r="CH15" s="247">
        <f>'[1]Reading.4.23'!CG15</f>
        <v>0</v>
      </c>
      <c r="CI15" s="33">
        <v>19773</v>
      </c>
      <c r="CJ15" s="33">
        <f t="shared" si="16"/>
        <v>0</v>
      </c>
      <c r="CK15" s="247">
        <f>'[1]Reading.4.23'!CG15</f>
        <v>0</v>
      </c>
      <c r="CM15" s="33">
        <f t="shared" si="17"/>
        <v>128</v>
      </c>
      <c r="CN15" s="33">
        <f t="shared" si="17"/>
        <v>61</v>
      </c>
      <c r="CP15" s="33">
        <v>104647</v>
      </c>
      <c r="CQ15" s="33">
        <f t="shared" si="18"/>
        <v>360</v>
      </c>
      <c r="CR15" s="134">
        <f t="shared" si="19"/>
        <v>0.60100166944908184</v>
      </c>
      <c r="CS15" s="247">
        <f>'[1]Reading.4.23'!CN15</f>
        <v>243</v>
      </c>
      <c r="CT15" s="282">
        <f>'[1]Reading.4.23'!CO13</f>
        <v>0.5669642857142857</v>
      </c>
      <c r="CV15" s="33">
        <v>5231</v>
      </c>
      <c r="CW15" s="33">
        <f t="shared" si="20"/>
        <v>2</v>
      </c>
      <c r="CX15" s="247">
        <f>'[1]Reading.4.23'!CT15</f>
        <v>1</v>
      </c>
      <c r="CZ15" s="33">
        <v>901</v>
      </c>
      <c r="DA15" s="33">
        <f t="shared" si="21"/>
        <v>2</v>
      </c>
      <c r="DB15" s="247">
        <f>'[1]Reading.4.23'!CX15</f>
        <v>5</v>
      </c>
      <c r="DD15" s="33">
        <v>1427923</v>
      </c>
      <c r="DE15" s="33">
        <f t="shared" si="22"/>
        <v>919</v>
      </c>
      <c r="DF15" s="247">
        <f>'[1]Reading.4.23'!DB15</f>
        <v>858</v>
      </c>
      <c r="DH15" s="33">
        <v>3330506</v>
      </c>
      <c r="DI15" s="33">
        <f t="shared" si="23"/>
        <v>1761</v>
      </c>
      <c r="DJ15" s="247">
        <f>'[1]Reading.4.23'!DF15</f>
        <v>1722</v>
      </c>
      <c r="DL15" s="33">
        <v>2918528</v>
      </c>
      <c r="DM15" s="33">
        <f t="shared" si="24"/>
        <v>30</v>
      </c>
      <c r="DN15" s="247">
        <f>'[1]Reading.4.23'!DJ15</f>
        <v>3686</v>
      </c>
      <c r="DP15" s="33">
        <v>2285206</v>
      </c>
      <c r="DQ15" s="33">
        <f t="shared" si="25"/>
        <v>30</v>
      </c>
      <c r="DR15" s="247">
        <f>'[1]Reading.4.23'!DN15</f>
        <v>42</v>
      </c>
      <c r="DT15" s="33">
        <v>3064447</v>
      </c>
      <c r="DU15" s="33">
        <f t="shared" si="26"/>
        <v>3076</v>
      </c>
      <c r="DV15" s="247">
        <f>'[1]Reading.4.23'!DR15</f>
        <v>30</v>
      </c>
      <c r="DX15" s="33">
        <v>720</v>
      </c>
      <c r="DZ15" s="33">
        <f t="shared" si="27"/>
        <v>3856</v>
      </c>
      <c r="EA15" s="247">
        <f>'[1]Reading.4.23'!DW15</f>
        <v>4478</v>
      </c>
      <c r="EC15" s="196">
        <f t="shared" si="28"/>
        <v>2958.8</v>
      </c>
      <c r="ED15" s="281">
        <f>'[1]Reading.4.23'!C15*5.2</f>
        <v>2470</v>
      </c>
      <c r="EF15" s="33">
        <v>60042</v>
      </c>
      <c r="EG15" s="292">
        <f t="shared" si="29"/>
        <v>53</v>
      </c>
      <c r="EH15" s="247"/>
      <c r="EJ15" s="33">
        <v>24005</v>
      </c>
      <c r="EK15" s="292">
        <f t="shared" si="30"/>
        <v>24</v>
      </c>
      <c r="EL15" s="247"/>
    </row>
    <row r="16" spans="1:142" x14ac:dyDescent="0.25">
      <c r="A16" s="298">
        <v>45393</v>
      </c>
      <c r="B16" s="33">
        <v>283715</v>
      </c>
      <c r="C16" s="33">
        <f t="shared" si="0"/>
        <v>556</v>
      </c>
      <c r="D16" s="33"/>
      <c r="E16" s="33">
        <v>0</v>
      </c>
      <c r="F16" s="251">
        <v>785</v>
      </c>
      <c r="G16" s="33">
        <f t="shared" si="1"/>
        <v>596</v>
      </c>
      <c r="H16" s="190">
        <f>'[1]Reading.4.23'!G16</f>
        <v>472</v>
      </c>
      <c r="I16" s="187"/>
      <c r="J16" s="33">
        <v>207239</v>
      </c>
      <c r="K16" s="189">
        <f t="shared" si="2"/>
        <v>196.05600000000001</v>
      </c>
      <c r="L16" s="258">
        <f>'[1]Reading.4.23'!K16</f>
        <v>149.376</v>
      </c>
      <c r="M16" s="188"/>
      <c r="N16" s="33">
        <v>731987</v>
      </c>
      <c r="O16" s="189">
        <f t="shared" si="3"/>
        <v>525.54000000000008</v>
      </c>
      <c r="P16" s="258">
        <f>'[1]Reading.4.23'!O16</f>
        <v>401.07000000000005</v>
      </c>
      <c r="Q16" s="34"/>
      <c r="R16" s="33">
        <v>42700</v>
      </c>
      <c r="S16" s="33"/>
      <c r="T16" s="33">
        <f t="shared" si="4"/>
        <v>0</v>
      </c>
      <c r="U16" s="258">
        <f>'[1]Reading.4.23'!T16</f>
        <v>0</v>
      </c>
      <c r="V16" s="34"/>
      <c r="W16" s="186">
        <v>45738.16</v>
      </c>
      <c r="X16" s="189">
        <f t="shared" si="5"/>
        <v>34240.000000019791</v>
      </c>
      <c r="Y16" s="258">
        <f>'[1]Reading.4.23'!X16</f>
        <v>30160.000000003492</v>
      </c>
      <c r="Z16" s="34"/>
      <c r="AA16" s="266">
        <v>520050</v>
      </c>
      <c r="AB16" s="189">
        <f t="shared" si="6"/>
        <v>0</v>
      </c>
      <c r="AC16" s="258">
        <f>'[1]Reading.4.23'!AB16</f>
        <v>0</v>
      </c>
      <c r="AD16" s="34"/>
      <c r="AE16" s="260">
        <f t="shared" si="7"/>
        <v>34240.000000019791</v>
      </c>
      <c r="AF16" s="261">
        <f>'[1]Reading.4.23'!AE16</f>
        <v>30160.000000003492</v>
      </c>
      <c r="AG16" s="259">
        <f t="shared" si="31"/>
        <v>32980.300000000003</v>
      </c>
      <c r="AH16" s="34"/>
      <c r="AI16" s="287">
        <v>0.83840000000000003</v>
      </c>
      <c r="AJ16" s="193">
        <f>'[1]Reading.4.23'!AI16</f>
        <v>0.4829</v>
      </c>
      <c r="AK16" s="192">
        <v>0.63800000000000001</v>
      </c>
      <c r="AL16" s="34"/>
      <c r="AM16" s="218">
        <v>441</v>
      </c>
      <c r="AN16" s="326">
        <f>'[1]Reading.4.23'!AM16</f>
        <v>254</v>
      </c>
      <c r="AO16" s="194">
        <f t="shared" si="32"/>
        <v>335.5</v>
      </c>
      <c r="AP16" s="34"/>
      <c r="AQ16" s="265">
        <f>432*4</f>
        <v>1728</v>
      </c>
      <c r="AR16" s="261">
        <f>'[1]Reading.4.23'!AQ16</f>
        <v>1680</v>
      </c>
      <c r="AS16" s="34"/>
      <c r="AT16" s="196">
        <v>7147.05</v>
      </c>
      <c r="AU16" s="197">
        <f t="shared" si="8"/>
        <v>3639.9999999994179</v>
      </c>
      <c r="AV16" s="195">
        <f t="shared" si="9"/>
        <v>0.99439671046530709</v>
      </c>
      <c r="AW16" s="34"/>
      <c r="AX16" s="191"/>
      <c r="AY16" s="262">
        <f>'[1]Reading.4.23'!X16</f>
        <v>30160.000000003492</v>
      </c>
      <c r="AZ16" s="534">
        <f>'[1]Reading.4.23'!AB16</f>
        <v>0</v>
      </c>
      <c r="BA16" s="263">
        <f t="shared" si="10"/>
        <v>30160.000000003492</v>
      </c>
      <c r="BC16" s="154">
        <v>19</v>
      </c>
      <c r="BD16" s="267">
        <v>16.100000000000001</v>
      </c>
      <c r="BE16" s="221">
        <v>12</v>
      </c>
      <c r="BF16" s="223">
        <v>56</v>
      </c>
      <c r="BG16" s="222">
        <v>79</v>
      </c>
      <c r="BH16" s="267">
        <f>'[1]Reading.4.23'!BD16</f>
        <v>24.4</v>
      </c>
      <c r="BI16" s="267">
        <f>'[1]Reading.4.23'!BE16</f>
        <v>22</v>
      </c>
      <c r="BJ16" s="267">
        <f>'[1]Reading.4.23'!BF16</f>
        <v>73</v>
      </c>
      <c r="BL16" s="151">
        <v>526</v>
      </c>
      <c r="BN16" s="189">
        <f>'[1]Reading.4.23'!E14</f>
        <v>0</v>
      </c>
      <c r="BP16" s="33">
        <v>66603</v>
      </c>
      <c r="BQ16" s="33">
        <f t="shared" si="11"/>
        <v>29</v>
      </c>
      <c r="BR16" s="247">
        <f>'[1]Reading.4.23'!BQ16</f>
        <v>39</v>
      </c>
      <c r="BT16" s="33">
        <v>81461</v>
      </c>
      <c r="BU16" s="33">
        <f t="shared" si="12"/>
        <v>40</v>
      </c>
      <c r="BV16" s="247">
        <f>'[1]Reading.4.23'!BU16</f>
        <v>27</v>
      </c>
      <c r="BX16" s="33">
        <v>3991</v>
      </c>
      <c r="BY16" s="33">
        <f t="shared" si="13"/>
        <v>0</v>
      </c>
      <c r="BZ16" s="247">
        <f>'[1]Reading.4.23'!BY16</f>
        <v>0</v>
      </c>
      <c r="CB16" s="33">
        <v>233780</v>
      </c>
      <c r="CC16" s="33">
        <f t="shared" si="14"/>
        <v>50</v>
      </c>
      <c r="CD16" s="247">
        <f>'[1]Reading.4.23'!CC16</f>
        <v>20</v>
      </c>
      <c r="CF16" s="33">
        <v>6160</v>
      </c>
      <c r="CG16" s="33">
        <f t="shared" si="15"/>
        <v>10</v>
      </c>
      <c r="CH16" s="247">
        <f>'[1]Reading.4.23'!CG16</f>
        <v>0</v>
      </c>
      <c r="CI16" s="33">
        <v>19773</v>
      </c>
      <c r="CJ16" s="33">
        <f t="shared" si="16"/>
        <v>0</v>
      </c>
      <c r="CK16" s="247">
        <f>'[1]Reading.4.23'!CG16</f>
        <v>0</v>
      </c>
      <c r="CM16" s="33">
        <f t="shared" si="17"/>
        <v>119</v>
      </c>
      <c r="CN16" s="33">
        <f t="shared" si="17"/>
        <v>86</v>
      </c>
      <c r="CP16" s="33">
        <v>105101</v>
      </c>
      <c r="CQ16" s="33">
        <f t="shared" si="18"/>
        <v>454</v>
      </c>
      <c r="CR16" s="134">
        <f t="shared" si="19"/>
        <v>0.76174496644295298</v>
      </c>
      <c r="CS16" s="247">
        <f>'[1]Reading.4.23'!CN16</f>
        <v>230</v>
      </c>
      <c r="CT16" s="282">
        <f>'[1]Reading.4.23'!CO14</f>
        <v>0.42830540037243947</v>
      </c>
      <c r="CV16" s="33">
        <v>5232</v>
      </c>
      <c r="CW16" s="33">
        <f t="shared" si="20"/>
        <v>1</v>
      </c>
      <c r="CX16" s="247">
        <f>'[1]Reading.4.23'!CT16</f>
        <v>2</v>
      </c>
      <c r="CZ16" s="33">
        <v>905</v>
      </c>
      <c r="DA16" s="33">
        <f t="shared" si="21"/>
        <v>4</v>
      </c>
      <c r="DB16" s="247">
        <f>'[1]Reading.4.23'!CX16</f>
        <v>3</v>
      </c>
      <c r="DD16" s="33">
        <v>1428690</v>
      </c>
      <c r="DE16" s="33">
        <f t="shared" si="22"/>
        <v>767</v>
      </c>
      <c r="DF16" s="247">
        <f>'[1]Reading.4.23'!DB16</f>
        <v>751</v>
      </c>
      <c r="DH16" s="33">
        <v>3332323</v>
      </c>
      <c r="DI16" s="33">
        <f t="shared" si="23"/>
        <v>1817</v>
      </c>
      <c r="DJ16" s="247">
        <f>'[1]Reading.4.23'!DF16</f>
        <v>2413</v>
      </c>
      <c r="DL16" s="33">
        <v>2918560</v>
      </c>
      <c r="DM16" s="33">
        <f t="shared" si="24"/>
        <v>32</v>
      </c>
      <c r="DN16" s="247">
        <f>'[1]Reading.4.23'!DJ16</f>
        <v>3657</v>
      </c>
      <c r="DP16" s="33">
        <v>2285238</v>
      </c>
      <c r="DQ16" s="33">
        <f t="shared" si="25"/>
        <v>32</v>
      </c>
      <c r="DR16" s="247">
        <f>'[1]Reading.4.23'!DN16</f>
        <v>32</v>
      </c>
      <c r="DT16" s="33">
        <v>3068122</v>
      </c>
      <c r="DU16" s="33">
        <f t="shared" si="26"/>
        <v>3675</v>
      </c>
      <c r="DV16" s="247">
        <f>'[1]Reading.4.23'!DR16</f>
        <v>34</v>
      </c>
      <c r="DX16" s="33">
        <v>720</v>
      </c>
      <c r="DZ16" s="33">
        <f t="shared" si="27"/>
        <v>4459</v>
      </c>
      <c r="EA16" s="247">
        <f>'[1]Reading.4.23'!DW16</f>
        <v>4443</v>
      </c>
      <c r="EC16" s="196">
        <f t="shared" si="28"/>
        <v>2891.2000000000003</v>
      </c>
      <c r="ED16" s="281">
        <f>'[1]Reading.4.23'!C16*5.2</f>
        <v>2480.4</v>
      </c>
      <c r="EF16" s="33">
        <v>60094</v>
      </c>
      <c r="EG16" s="292">
        <f t="shared" si="29"/>
        <v>52</v>
      </c>
      <c r="EH16" s="247"/>
      <c r="EJ16" s="33">
        <v>24028</v>
      </c>
      <c r="EK16" s="292">
        <f t="shared" si="30"/>
        <v>23</v>
      </c>
      <c r="EL16" s="247"/>
    </row>
    <row r="17" spans="1:142" x14ac:dyDescent="0.25">
      <c r="A17" s="298">
        <v>45394</v>
      </c>
      <c r="B17" s="33">
        <v>284378</v>
      </c>
      <c r="C17" s="33">
        <f t="shared" si="0"/>
        <v>663</v>
      </c>
      <c r="D17" s="33"/>
      <c r="E17" s="33">
        <v>0</v>
      </c>
      <c r="F17" s="251">
        <v>765</v>
      </c>
      <c r="G17" s="33">
        <f t="shared" si="1"/>
        <v>683</v>
      </c>
      <c r="H17" s="190">
        <f>'[1]Reading.4.23'!G17</f>
        <v>513</v>
      </c>
      <c r="I17" s="187"/>
      <c r="J17" s="33">
        <v>207282</v>
      </c>
      <c r="K17" s="189">
        <f t="shared" si="2"/>
        <v>200.72400000000002</v>
      </c>
      <c r="L17" s="258">
        <f>'[1]Reading.4.23'!K17</f>
        <v>168.048</v>
      </c>
      <c r="M17" s="188"/>
      <c r="N17" s="33">
        <v>732103</v>
      </c>
      <c r="O17" s="189">
        <f t="shared" si="3"/>
        <v>534.76</v>
      </c>
      <c r="P17" s="258">
        <f>'[1]Reading.4.23'!O17</f>
        <v>461.00000000000006</v>
      </c>
      <c r="Q17" s="34"/>
      <c r="R17" s="33">
        <v>42700</v>
      </c>
      <c r="S17" s="33"/>
      <c r="T17" s="33">
        <f t="shared" si="4"/>
        <v>0</v>
      </c>
      <c r="U17" s="258">
        <f>'[1]Reading.4.23'!T17</f>
        <v>0</v>
      </c>
      <c r="V17" s="34"/>
      <c r="W17" s="186">
        <v>45747.05</v>
      </c>
      <c r="X17" s="189">
        <f t="shared" si="5"/>
        <v>35559.999999997672</v>
      </c>
      <c r="Y17" s="258">
        <f>'[1]Reading.4.23'!X17</f>
        <v>28919.999999983702</v>
      </c>
      <c r="Z17" s="34"/>
      <c r="AA17" s="266">
        <v>520050</v>
      </c>
      <c r="AB17" s="189">
        <f t="shared" si="6"/>
        <v>0</v>
      </c>
      <c r="AC17" s="258">
        <f>'[1]Reading.4.23'!AB17</f>
        <v>240</v>
      </c>
      <c r="AD17" s="34"/>
      <c r="AE17" s="260">
        <f t="shared" si="7"/>
        <v>35559.999999997672</v>
      </c>
      <c r="AF17" s="261">
        <f>'[1]Reading.4.23'!AE17</f>
        <v>29159.999999983702</v>
      </c>
      <c r="AG17" s="259">
        <f t="shared" si="31"/>
        <v>32980.300000000003</v>
      </c>
      <c r="AH17" s="34"/>
      <c r="AI17" s="287">
        <v>0.85740000000000005</v>
      </c>
      <c r="AJ17" s="193">
        <f>'[1]Reading.4.23'!AI17</f>
        <v>0.4753</v>
      </c>
      <c r="AK17" s="192">
        <v>0.63800000000000001</v>
      </c>
      <c r="AL17" s="34"/>
      <c r="AM17" s="218">
        <v>451</v>
      </c>
      <c r="AN17" s="326">
        <f>'[1]Reading.4.23'!AM17</f>
        <v>250</v>
      </c>
      <c r="AO17" s="194">
        <f t="shared" si="32"/>
        <v>335.5</v>
      </c>
      <c r="AP17" s="34"/>
      <c r="AQ17" s="265">
        <f>448*4</f>
        <v>1792</v>
      </c>
      <c r="AR17" s="261">
        <f>'[1]Reading.4.23'!AQ17</f>
        <v>1680</v>
      </c>
      <c r="AS17" s="34"/>
      <c r="AT17" s="196">
        <v>7147.99</v>
      </c>
      <c r="AU17" s="197">
        <f t="shared" si="8"/>
        <v>3759.9999999983993</v>
      </c>
      <c r="AV17" s="195">
        <f t="shared" si="9"/>
        <v>0.99445630826802722</v>
      </c>
      <c r="AW17" s="34"/>
      <c r="AX17" s="191"/>
      <c r="AY17" s="262">
        <f>'[1]Reading.4.23'!X17</f>
        <v>28919.999999983702</v>
      </c>
      <c r="AZ17" s="534">
        <f>'[1]Reading.4.23'!AB17</f>
        <v>240</v>
      </c>
      <c r="BA17" s="263">
        <f t="shared" si="10"/>
        <v>29159.999999983702</v>
      </c>
      <c r="BC17" s="154">
        <v>19</v>
      </c>
      <c r="BD17" s="267">
        <v>16.100000000000001</v>
      </c>
      <c r="BE17" s="221">
        <v>12</v>
      </c>
      <c r="BF17" s="223">
        <v>56</v>
      </c>
      <c r="BG17" s="222">
        <v>79</v>
      </c>
      <c r="BH17" s="267">
        <f>'[1]Reading.4.23'!BD17</f>
        <v>22.1</v>
      </c>
      <c r="BI17" s="267">
        <f>'[1]Reading.4.23'!BE17</f>
        <v>20</v>
      </c>
      <c r="BJ17" s="267">
        <f>'[1]Reading.4.23'!BF17</f>
        <v>64</v>
      </c>
      <c r="BL17" s="151">
        <v>526</v>
      </c>
      <c r="BN17" s="189">
        <f>'[1]Reading.4.23'!E15</f>
        <v>0</v>
      </c>
      <c r="BP17" s="33">
        <v>66647</v>
      </c>
      <c r="BQ17" s="33">
        <f t="shared" si="11"/>
        <v>44</v>
      </c>
      <c r="BR17" s="247">
        <f>'[1]Reading.4.23'!BQ17</f>
        <v>24</v>
      </c>
      <c r="BT17" s="33">
        <v>81506</v>
      </c>
      <c r="BU17" s="33">
        <f t="shared" si="12"/>
        <v>45</v>
      </c>
      <c r="BV17" s="247">
        <f>'[1]Reading.4.23'!BU17</f>
        <v>39</v>
      </c>
      <c r="BX17" s="33">
        <v>3991</v>
      </c>
      <c r="BY17" s="33">
        <f t="shared" si="13"/>
        <v>0</v>
      </c>
      <c r="BZ17" s="247">
        <f>'[1]Reading.4.23'!BY17</f>
        <v>5</v>
      </c>
      <c r="CB17" s="33">
        <v>233820</v>
      </c>
      <c r="CC17" s="33">
        <f t="shared" si="14"/>
        <v>40</v>
      </c>
      <c r="CD17" s="247">
        <f>'[1]Reading.4.23'!CC17</f>
        <v>95</v>
      </c>
      <c r="CF17" s="33">
        <v>6170</v>
      </c>
      <c r="CG17" s="33">
        <f t="shared" si="15"/>
        <v>10</v>
      </c>
      <c r="CH17" s="247">
        <f>'[1]Reading.4.23'!CG17</f>
        <v>0</v>
      </c>
      <c r="CI17" s="33">
        <v>19773</v>
      </c>
      <c r="CJ17" s="33">
        <f t="shared" si="16"/>
        <v>0</v>
      </c>
      <c r="CK17" s="247">
        <f>'[1]Reading.4.23'!CG17</f>
        <v>0</v>
      </c>
      <c r="CM17" s="33">
        <f t="shared" si="17"/>
        <v>129</v>
      </c>
      <c r="CN17" s="33">
        <f t="shared" si="17"/>
        <v>163</v>
      </c>
      <c r="CP17" s="33">
        <v>105570</v>
      </c>
      <c r="CQ17" s="33">
        <f t="shared" si="18"/>
        <v>469</v>
      </c>
      <c r="CR17" s="134">
        <f t="shared" si="19"/>
        <v>0.6866764275256223</v>
      </c>
      <c r="CS17" s="247">
        <f>'[1]Reading.4.23'!CN17</f>
        <v>190</v>
      </c>
      <c r="CT17" s="282">
        <f>'[1]Reading.4.23'!CO15</f>
        <v>0.51702127659574471</v>
      </c>
      <c r="CV17" s="33">
        <v>5235</v>
      </c>
      <c r="CW17" s="33">
        <f t="shared" si="20"/>
        <v>3</v>
      </c>
      <c r="CX17" s="247">
        <f>'[1]Reading.4.23'!CT17</f>
        <v>1</v>
      </c>
      <c r="CZ17" s="33">
        <v>909</v>
      </c>
      <c r="DA17" s="33">
        <f t="shared" si="21"/>
        <v>4</v>
      </c>
      <c r="DB17" s="247">
        <f>'[1]Reading.4.23'!CX17</f>
        <v>3</v>
      </c>
      <c r="DD17" s="33">
        <v>1429486</v>
      </c>
      <c r="DE17" s="33">
        <f t="shared" si="22"/>
        <v>796</v>
      </c>
      <c r="DF17" s="247">
        <f>'[1]Reading.4.23'!DB17</f>
        <v>693</v>
      </c>
      <c r="DH17" s="33">
        <v>3334290</v>
      </c>
      <c r="DI17" s="33">
        <f t="shared" si="23"/>
        <v>1967</v>
      </c>
      <c r="DJ17" s="247">
        <f>'[1]Reading.4.23'!DF17</f>
        <v>1650</v>
      </c>
      <c r="DL17" s="33">
        <v>2918591</v>
      </c>
      <c r="DM17" s="33">
        <f t="shared" si="24"/>
        <v>31</v>
      </c>
      <c r="DN17" s="247">
        <f>'[1]Reading.4.23'!DJ17</f>
        <v>2379</v>
      </c>
      <c r="DP17" s="33">
        <v>2285270</v>
      </c>
      <c r="DQ17" s="33">
        <f t="shared" si="25"/>
        <v>32</v>
      </c>
      <c r="DR17" s="247">
        <f>'[1]Reading.4.23'!DN17</f>
        <v>197</v>
      </c>
      <c r="DT17" s="33">
        <v>3071920</v>
      </c>
      <c r="DU17" s="33">
        <f t="shared" si="26"/>
        <v>3798</v>
      </c>
      <c r="DV17" s="247">
        <f>'[1]Reading.4.23'!DR17</f>
        <v>94</v>
      </c>
      <c r="DX17" s="33">
        <v>720</v>
      </c>
      <c r="DZ17" s="33">
        <f t="shared" si="27"/>
        <v>4581</v>
      </c>
      <c r="EA17" s="247">
        <f>'[1]Reading.4.23'!DW17</f>
        <v>3390</v>
      </c>
      <c r="EC17" s="196">
        <f t="shared" si="28"/>
        <v>3447.6</v>
      </c>
      <c r="ED17" s="281">
        <f>'[1]Reading.4.23'!C17*5.2</f>
        <v>2927.6</v>
      </c>
      <c r="EF17" s="33">
        <v>60161</v>
      </c>
      <c r="EG17" s="292">
        <f t="shared" si="29"/>
        <v>67</v>
      </c>
      <c r="EH17" s="247"/>
      <c r="EJ17" s="33">
        <v>24057</v>
      </c>
      <c r="EK17" s="292">
        <f t="shared" si="30"/>
        <v>29</v>
      </c>
      <c r="EL17" s="247"/>
    </row>
    <row r="18" spans="1:142" x14ac:dyDescent="0.25">
      <c r="A18" s="298">
        <v>45395</v>
      </c>
      <c r="B18" s="33">
        <v>285100</v>
      </c>
      <c r="C18" s="33">
        <f t="shared" si="0"/>
        <v>722</v>
      </c>
      <c r="D18" s="33"/>
      <c r="E18" s="33">
        <v>0</v>
      </c>
      <c r="F18" s="251">
        <v>820</v>
      </c>
      <c r="G18" s="33">
        <f t="shared" si="1"/>
        <v>667</v>
      </c>
      <c r="H18" s="190">
        <f>'[1]Reading.4.23'!G18</f>
        <v>484</v>
      </c>
      <c r="I18" s="187"/>
      <c r="J18" s="33">
        <v>207330</v>
      </c>
      <c r="K18" s="189">
        <f t="shared" si="2"/>
        <v>224.06400000000002</v>
      </c>
      <c r="L18" s="258">
        <f>'[1]Reading.4.23'!K18</f>
        <v>154.04400000000001</v>
      </c>
      <c r="M18" s="188"/>
      <c r="N18" s="33">
        <v>732220</v>
      </c>
      <c r="O18" s="189">
        <f t="shared" si="3"/>
        <v>539.37</v>
      </c>
      <c r="P18" s="258">
        <f>'[1]Reading.4.23'!O18</f>
        <v>401.07000000000005</v>
      </c>
      <c r="Q18" s="34"/>
      <c r="R18" s="33">
        <v>42700</v>
      </c>
      <c r="S18" s="33"/>
      <c r="T18" s="33">
        <f t="shared" si="4"/>
        <v>0</v>
      </c>
      <c r="U18" s="258">
        <f>'[1]Reading.4.23'!T18</f>
        <v>0</v>
      </c>
      <c r="V18" s="34"/>
      <c r="W18" s="186">
        <v>45756.04</v>
      </c>
      <c r="X18" s="189">
        <f t="shared" si="5"/>
        <v>35959.999999991851</v>
      </c>
      <c r="Y18" s="258">
        <f>'[1]Reading.4.23'!X18</f>
        <v>28600.000000005821</v>
      </c>
      <c r="Z18" s="34"/>
      <c r="AA18" s="266">
        <v>520050</v>
      </c>
      <c r="AB18" s="189">
        <f t="shared" si="6"/>
        <v>0</v>
      </c>
      <c r="AC18" s="258">
        <f>'[1]Reading.4.23'!AB18</f>
        <v>0</v>
      </c>
      <c r="AD18" s="34"/>
      <c r="AE18" s="260">
        <f t="shared" si="7"/>
        <v>35959.999999991851</v>
      </c>
      <c r="AF18" s="261">
        <f>'[1]Reading.4.23'!AE18</f>
        <v>28600.000000005821</v>
      </c>
      <c r="AG18" s="259">
        <f t="shared" si="31"/>
        <v>32980.300000000003</v>
      </c>
      <c r="AH18" s="34"/>
      <c r="AI18" s="287">
        <v>0.8327</v>
      </c>
      <c r="AJ18" s="193">
        <f>'[1]Reading.4.23'!AI18</f>
        <v>0.48859999999999998</v>
      </c>
      <c r="AK18" s="192">
        <v>0.63800000000000001</v>
      </c>
      <c r="AL18" s="34"/>
      <c r="AM18" s="218">
        <v>438</v>
      </c>
      <c r="AN18" s="326">
        <f>'[1]Reading.4.23'!AM18</f>
        <v>257</v>
      </c>
      <c r="AO18" s="194">
        <f t="shared" si="32"/>
        <v>335.5</v>
      </c>
      <c r="AP18" s="34"/>
      <c r="AQ18" s="265">
        <f>459*4</f>
        <v>1836</v>
      </c>
      <c r="AR18" s="261">
        <f>'[1]Reading.4.23'!AQ18</f>
        <v>1680</v>
      </c>
      <c r="AS18" s="34"/>
      <c r="AT18" s="196">
        <v>7149.02</v>
      </c>
      <c r="AU18" s="197">
        <f t="shared" si="8"/>
        <v>4120.0000000026193</v>
      </c>
      <c r="AV18" s="195">
        <f t="shared" si="9"/>
        <v>0.993500574856369</v>
      </c>
      <c r="AW18" s="34"/>
      <c r="AX18" s="191"/>
      <c r="AY18" s="262">
        <f>'[1]Reading.4.23'!X18</f>
        <v>28600.000000005821</v>
      </c>
      <c r="AZ18" s="534">
        <f>'[1]Reading.4.23'!AB18</f>
        <v>0</v>
      </c>
      <c r="BA18" s="263">
        <f t="shared" si="10"/>
        <v>28600.000000005821</v>
      </c>
      <c r="BC18" s="154">
        <v>19</v>
      </c>
      <c r="BD18" s="267">
        <v>16.100000000000001</v>
      </c>
      <c r="BE18" s="221">
        <v>12</v>
      </c>
      <c r="BF18" s="223">
        <v>56</v>
      </c>
      <c r="BG18" s="222">
        <v>79</v>
      </c>
      <c r="BH18" s="267">
        <f>'[1]Reading.4.23'!BD18</f>
        <v>22.2</v>
      </c>
      <c r="BI18" s="267">
        <f>'[1]Reading.4.23'!BE18</f>
        <v>18</v>
      </c>
      <c r="BJ18" s="267">
        <f>'[1]Reading.4.23'!BF18</f>
        <v>60</v>
      </c>
      <c r="BL18" s="151">
        <v>526</v>
      </c>
      <c r="BN18" s="189">
        <f>'[1]Reading.4.23'!E16</f>
        <v>0</v>
      </c>
      <c r="BP18" s="33">
        <v>66680</v>
      </c>
      <c r="BQ18" s="33">
        <f t="shared" si="11"/>
        <v>33</v>
      </c>
      <c r="BR18" s="247">
        <f>'[1]Reading.4.23'!BQ18</f>
        <v>29</v>
      </c>
      <c r="BT18" s="33">
        <v>81548</v>
      </c>
      <c r="BU18" s="33">
        <f t="shared" si="12"/>
        <v>42</v>
      </c>
      <c r="BV18" s="247">
        <f>'[1]Reading.4.23'!BU18</f>
        <v>35</v>
      </c>
      <c r="BX18" s="33">
        <v>3991</v>
      </c>
      <c r="BY18" s="33">
        <f t="shared" si="13"/>
        <v>0</v>
      </c>
      <c r="BZ18" s="247">
        <f>'[1]Reading.4.23'!BY18</f>
        <v>0</v>
      </c>
      <c r="CB18" s="33">
        <v>233860</v>
      </c>
      <c r="CC18" s="33">
        <f t="shared" si="14"/>
        <v>40</v>
      </c>
      <c r="CD18" s="247">
        <f>'[1]Reading.4.23'!CC18</f>
        <v>23</v>
      </c>
      <c r="CF18" s="33">
        <v>6180</v>
      </c>
      <c r="CG18" s="33">
        <f t="shared" si="15"/>
        <v>10</v>
      </c>
      <c r="CH18" s="247">
        <f>'[1]Reading.4.23'!CG18</f>
        <v>0</v>
      </c>
      <c r="CI18" s="33">
        <v>19773</v>
      </c>
      <c r="CJ18" s="33">
        <f t="shared" si="16"/>
        <v>0</v>
      </c>
      <c r="CK18" s="247">
        <f>'[1]Reading.4.23'!CG18</f>
        <v>0</v>
      </c>
      <c r="CM18" s="33">
        <f t="shared" si="17"/>
        <v>115</v>
      </c>
      <c r="CN18" s="33">
        <f t="shared" si="17"/>
        <v>87</v>
      </c>
      <c r="CP18" s="33">
        <v>106096</v>
      </c>
      <c r="CQ18" s="33">
        <f t="shared" si="18"/>
        <v>526</v>
      </c>
      <c r="CR18" s="134">
        <f t="shared" si="19"/>
        <v>0.78860569715142426</v>
      </c>
      <c r="CS18" s="247">
        <f>'[1]Reading.4.23'!CN18</f>
        <v>192</v>
      </c>
      <c r="CT18" s="282">
        <f>'[1]Reading.4.23'!CO16</f>
        <v>0.48728813559322032</v>
      </c>
      <c r="CV18" s="33">
        <v>5237</v>
      </c>
      <c r="CW18" s="33">
        <f t="shared" si="20"/>
        <v>2</v>
      </c>
      <c r="CX18" s="247">
        <f>'[1]Reading.4.23'!CT18</f>
        <v>1</v>
      </c>
      <c r="CZ18" s="33">
        <v>912</v>
      </c>
      <c r="DA18" s="33">
        <f t="shared" si="21"/>
        <v>3</v>
      </c>
      <c r="DB18" s="247">
        <f>'[1]Reading.4.23'!CX18</f>
        <v>4</v>
      </c>
      <c r="DD18" s="33">
        <v>1430296</v>
      </c>
      <c r="DE18" s="33">
        <f t="shared" si="22"/>
        <v>810</v>
      </c>
      <c r="DF18" s="247">
        <f>'[1]Reading.4.23'!DB18</f>
        <v>703</v>
      </c>
      <c r="DH18" s="33">
        <v>3336210</v>
      </c>
      <c r="DI18" s="33">
        <f t="shared" si="23"/>
        <v>1920</v>
      </c>
      <c r="DJ18" s="247">
        <f>'[1]Reading.4.23'!DF18</f>
        <v>1498</v>
      </c>
      <c r="DL18" s="33">
        <v>2918622</v>
      </c>
      <c r="DM18" s="33">
        <f t="shared" si="24"/>
        <v>31</v>
      </c>
      <c r="DN18" s="247">
        <f>'[1]Reading.4.23'!DJ18</f>
        <v>2979</v>
      </c>
      <c r="DP18" s="33">
        <v>2285302</v>
      </c>
      <c r="DQ18" s="33">
        <f t="shared" si="25"/>
        <v>32</v>
      </c>
      <c r="DR18" s="247">
        <f>'[1]Reading.4.23'!DN18</f>
        <v>31</v>
      </c>
      <c r="DT18" s="33">
        <v>3075979</v>
      </c>
      <c r="DU18" s="33">
        <f t="shared" si="26"/>
        <v>4059</v>
      </c>
      <c r="DV18" s="247">
        <f>'[1]Reading.4.23'!DR18</f>
        <v>35</v>
      </c>
      <c r="DX18" s="33">
        <v>720</v>
      </c>
      <c r="DZ18" s="33">
        <f t="shared" si="27"/>
        <v>4842</v>
      </c>
      <c r="EA18" s="247">
        <f>'[1]Reading.4.23'!DW18</f>
        <v>3765</v>
      </c>
      <c r="EC18" s="196">
        <f t="shared" si="28"/>
        <v>3754.4</v>
      </c>
      <c r="ED18" s="281">
        <f>'[1]Reading.4.23'!C18*5.2</f>
        <v>2386.8000000000002</v>
      </c>
      <c r="EF18" s="33">
        <v>60220</v>
      </c>
      <c r="EG18" s="292">
        <f t="shared" si="29"/>
        <v>59</v>
      </c>
      <c r="EH18" s="247"/>
      <c r="EJ18" s="33">
        <v>24081</v>
      </c>
      <c r="EK18" s="292">
        <f t="shared" si="30"/>
        <v>24</v>
      </c>
      <c r="EL18" s="247"/>
    </row>
    <row r="19" spans="1:142" x14ac:dyDescent="0.25">
      <c r="A19" s="298">
        <v>45396</v>
      </c>
      <c r="B19" s="33">
        <v>285686</v>
      </c>
      <c r="C19" s="33">
        <f t="shared" si="0"/>
        <v>586</v>
      </c>
      <c r="D19" s="33"/>
      <c r="E19" s="33">
        <v>0</v>
      </c>
      <c r="F19" s="251">
        <v>775</v>
      </c>
      <c r="G19" s="33">
        <f t="shared" si="1"/>
        <v>631</v>
      </c>
      <c r="H19" s="190">
        <f>'[1]Reading.4.23'!G19</f>
        <v>507</v>
      </c>
      <c r="I19" s="187"/>
      <c r="J19" s="33">
        <v>207369</v>
      </c>
      <c r="K19" s="189">
        <f t="shared" si="2"/>
        <v>182.05199999999999</v>
      </c>
      <c r="L19" s="258">
        <f>'[1]Reading.4.23'!K19</f>
        <v>163.38</v>
      </c>
      <c r="M19" s="188"/>
      <c r="N19" s="33">
        <v>732340</v>
      </c>
      <c r="O19" s="189">
        <f t="shared" si="3"/>
        <v>553.20000000000005</v>
      </c>
      <c r="P19" s="258">
        <f>'[1]Reading.4.23'!O19</f>
        <v>424.12</v>
      </c>
      <c r="Q19" s="34"/>
      <c r="R19" s="33">
        <v>42700</v>
      </c>
      <c r="S19" s="33"/>
      <c r="T19" s="33">
        <f t="shared" si="4"/>
        <v>0</v>
      </c>
      <c r="U19" s="258">
        <f>'[1]Reading.4.23'!T19</f>
        <v>0</v>
      </c>
      <c r="V19" s="34"/>
      <c r="W19" s="186">
        <v>45764.85</v>
      </c>
      <c r="X19" s="189">
        <f t="shared" si="5"/>
        <v>35239.999999990687</v>
      </c>
      <c r="Y19" s="258">
        <f>'[1]Reading.4.23'!X19</f>
        <v>29320.000000006985</v>
      </c>
      <c r="Z19" s="34"/>
      <c r="AA19" s="266">
        <v>520050</v>
      </c>
      <c r="AB19" s="189">
        <f t="shared" si="6"/>
        <v>0</v>
      </c>
      <c r="AC19" s="258">
        <f>'[1]Reading.4.23'!AB19</f>
        <v>0</v>
      </c>
      <c r="AD19" s="34"/>
      <c r="AE19" s="260">
        <f t="shared" si="7"/>
        <v>35239.999999990687</v>
      </c>
      <c r="AF19" s="261">
        <f>'[1]Reading.4.23'!AE19</f>
        <v>29320.000000006985</v>
      </c>
      <c r="AG19" s="259">
        <f t="shared" si="31"/>
        <v>32980.300000000003</v>
      </c>
      <c r="AH19" s="34"/>
      <c r="AI19" s="287">
        <v>0.74519999999999997</v>
      </c>
      <c r="AJ19" s="193">
        <f>'[1]Reading.4.23'!AI19</f>
        <v>0.46010000000000001</v>
      </c>
      <c r="AK19" s="192">
        <v>0.63800000000000001</v>
      </c>
      <c r="AL19" s="34"/>
      <c r="AM19" s="218">
        <v>392</v>
      </c>
      <c r="AN19" s="326">
        <f>'[1]Reading.4.23'!AM19</f>
        <v>242</v>
      </c>
      <c r="AO19" s="194">
        <f t="shared" si="32"/>
        <v>335.5</v>
      </c>
      <c r="AP19" s="34"/>
      <c r="AQ19" s="265">
        <f t="shared" ref="AQ19:AQ29" si="33">467*4</f>
        <v>1868</v>
      </c>
      <c r="AR19" s="261">
        <f>'[1]Reading.4.23'!AQ19</f>
        <v>1680</v>
      </c>
      <c r="AS19" s="34"/>
      <c r="AT19" s="196">
        <v>7149.93</v>
      </c>
      <c r="AU19" s="197">
        <f t="shared" si="8"/>
        <v>3639.9999999994179</v>
      </c>
      <c r="AV19" s="195">
        <f t="shared" si="9"/>
        <v>0.99470772165671917</v>
      </c>
      <c r="AW19" s="34"/>
      <c r="AX19" s="191"/>
      <c r="AY19" s="262">
        <f>'[1]Reading.4.23'!X19</f>
        <v>29320.000000006985</v>
      </c>
      <c r="AZ19" s="534">
        <f>'[1]Reading.4.23'!AB19</f>
        <v>0</v>
      </c>
      <c r="BA19" s="263">
        <f t="shared" si="10"/>
        <v>29320.000000006985</v>
      </c>
      <c r="BC19" s="154">
        <v>19</v>
      </c>
      <c r="BD19" s="267">
        <v>16.100000000000001</v>
      </c>
      <c r="BE19" s="221">
        <v>12</v>
      </c>
      <c r="BF19" s="223">
        <v>56</v>
      </c>
      <c r="BG19" s="222">
        <v>79</v>
      </c>
      <c r="BH19" s="267">
        <f>'[1]Reading.4.23'!BD19</f>
        <v>23.5</v>
      </c>
      <c r="BI19" s="267">
        <f>'[1]Reading.4.23'!BE19</f>
        <v>18</v>
      </c>
      <c r="BJ19" s="267">
        <f>'[1]Reading.4.23'!BF19</f>
        <v>60</v>
      </c>
      <c r="BL19" s="151">
        <v>526</v>
      </c>
      <c r="BN19" s="189">
        <f>'[1]Reading.4.23'!E17</f>
        <v>0</v>
      </c>
      <c r="BP19" s="33">
        <v>66718</v>
      </c>
      <c r="BQ19" s="33">
        <f t="shared" si="11"/>
        <v>38</v>
      </c>
      <c r="BR19" s="247">
        <f>'[1]Reading.4.23'!BQ19</f>
        <v>24</v>
      </c>
      <c r="BT19" s="33">
        <v>81592</v>
      </c>
      <c r="BU19" s="33">
        <f t="shared" si="12"/>
        <v>44</v>
      </c>
      <c r="BV19" s="247">
        <f>'[1]Reading.4.23'!BU19</f>
        <v>27</v>
      </c>
      <c r="BX19" s="33">
        <v>3991</v>
      </c>
      <c r="BY19" s="33">
        <f t="shared" si="13"/>
        <v>0</v>
      </c>
      <c r="BZ19" s="247">
        <f>'[1]Reading.4.23'!BY19</f>
        <v>0</v>
      </c>
      <c r="CB19" s="33">
        <v>233900</v>
      </c>
      <c r="CC19" s="33">
        <f t="shared" si="14"/>
        <v>40</v>
      </c>
      <c r="CD19" s="247">
        <f>'[1]Reading.4.23'!CC19</f>
        <v>57</v>
      </c>
      <c r="CF19" s="33">
        <v>6190</v>
      </c>
      <c r="CG19" s="33">
        <f t="shared" si="15"/>
        <v>10</v>
      </c>
      <c r="CH19" s="247">
        <f>'[1]Reading.4.23'!CG19</f>
        <v>0</v>
      </c>
      <c r="CI19" s="33">
        <v>19773</v>
      </c>
      <c r="CJ19" s="33">
        <f t="shared" si="16"/>
        <v>0</v>
      </c>
      <c r="CK19" s="247">
        <f>'[1]Reading.4.23'!CG19</f>
        <v>0</v>
      </c>
      <c r="CM19" s="33">
        <f t="shared" si="17"/>
        <v>122</v>
      </c>
      <c r="CN19" s="33">
        <f t="shared" si="17"/>
        <v>108</v>
      </c>
      <c r="CP19" s="33">
        <v>106586</v>
      </c>
      <c r="CQ19" s="33">
        <f t="shared" si="18"/>
        <v>490</v>
      </c>
      <c r="CR19" s="134">
        <f t="shared" si="19"/>
        <v>0.77654516640253568</v>
      </c>
      <c r="CS19" s="247">
        <f>'[1]Reading.4.23'!CN19</f>
        <v>191</v>
      </c>
      <c r="CT19" s="282">
        <f>'[1]Reading.4.23'!CO17</f>
        <v>0.37037037037037035</v>
      </c>
      <c r="CV19" s="33">
        <v>5240</v>
      </c>
      <c r="CW19" s="33">
        <f t="shared" si="20"/>
        <v>3</v>
      </c>
      <c r="CX19" s="247">
        <f>'[1]Reading.4.23'!CT19</f>
        <v>1</v>
      </c>
      <c r="CZ19" s="33">
        <v>915</v>
      </c>
      <c r="DA19" s="33">
        <f t="shared" si="21"/>
        <v>3</v>
      </c>
      <c r="DB19" s="247">
        <f>'[1]Reading.4.23'!CX19</f>
        <v>3</v>
      </c>
      <c r="DD19" s="33">
        <v>1431096</v>
      </c>
      <c r="DE19" s="33">
        <f t="shared" si="22"/>
        <v>800</v>
      </c>
      <c r="DF19" s="247">
        <f>'[1]Reading.4.23'!DB19</f>
        <v>736</v>
      </c>
      <c r="DH19" s="33">
        <v>3338087</v>
      </c>
      <c r="DI19" s="33">
        <f t="shared" si="23"/>
        <v>1877</v>
      </c>
      <c r="DJ19" s="247">
        <f>'[1]Reading.4.23'!DF19</f>
        <v>1785</v>
      </c>
      <c r="DL19" s="33">
        <v>2918654</v>
      </c>
      <c r="DM19" s="33">
        <f t="shared" si="24"/>
        <v>32</v>
      </c>
      <c r="DN19" s="247">
        <f>'[1]Reading.4.23'!DJ19</f>
        <v>2717</v>
      </c>
      <c r="DP19" s="33">
        <v>2285334</v>
      </c>
      <c r="DQ19" s="33">
        <f t="shared" si="25"/>
        <v>32</v>
      </c>
      <c r="DR19" s="247">
        <f>'[1]Reading.4.23'!DN19</f>
        <v>36</v>
      </c>
      <c r="DT19" s="33">
        <v>3079922</v>
      </c>
      <c r="DU19" s="33">
        <f t="shared" si="26"/>
        <v>3943</v>
      </c>
      <c r="DV19" s="247">
        <f>'[1]Reading.4.23'!DR19</f>
        <v>34</v>
      </c>
      <c r="DX19" s="33">
        <v>720</v>
      </c>
      <c r="DZ19" s="33">
        <f t="shared" si="27"/>
        <v>4727</v>
      </c>
      <c r="EA19" s="247">
        <f>'[1]Reading.4.23'!DW19</f>
        <v>3507</v>
      </c>
      <c r="EC19" s="196">
        <f t="shared" si="28"/>
        <v>3047.2000000000003</v>
      </c>
      <c r="ED19" s="281">
        <f>'[1]Reading.4.23'!C19*5.2</f>
        <v>2766.4</v>
      </c>
      <c r="EF19" s="33">
        <v>60268</v>
      </c>
      <c r="EG19" s="292">
        <f t="shared" si="29"/>
        <v>48</v>
      </c>
      <c r="EH19" s="247"/>
      <c r="EJ19" s="33">
        <v>24104</v>
      </c>
      <c r="EK19" s="292">
        <f t="shared" si="30"/>
        <v>23</v>
      </c>
      <c r="EL19" s="247"/>
    </row>
    <row r="20" spans="1:142" x14ac:dyDescent="0.25">
      <c r="A20" s="298">
        <v>45397</v>
      </c>
      <c r="B20" s="33">
        <v>286347</v>
      </c>
      <c r="C20" s="33">
        <f t="shared" si="0"/>
        <v>661</v>
      </c>
      <c r="D20" s="33"/>
      <c r="E20" s="33">
        <v>0</v>
      </c>
      <c r="F20" s="251">
        <v>810</v>
      </c>
      <c r="G20" s="33">
        <f t="shared" si="1"/>
        <v>626</v>
      </c>
      <c r="H20" s="190">
        <f>'[1]Reading.4.23'!G20</f>
        <v>574</v>
      </c>
      <c r="I20" s="187"/>
      <c r="J20" s="33">
        <v>207403</v>
      </c>
      <c r="K20" s="189">
        <f t="shared" si="2"/>
        <v>158.71200000000002</v>
      </c>
      <c r="L20" s="258">
        <f>'[1]Reading.4.23'!K20</f>
        <v>158.71200000000002</v>
      </c>
      <c r="M20" s="188"/>
      <c r="N20" s="33">
        <v>732458</v>
      </c>
      <c r="O20" s="189">
        <f t="shared" si="3"/>
        <v>543.98</v>
      </c>
      <c r="P20" s="258">
        <f>'[1]Reading.4.23'!O20</f>
        <v>428.73</v>
      </c>
      <c r="Q20" s="34"/>
      <c r="R20" s="33">
        <v>42700</v>
      </c>
      <c r="S20" s="33"/>
      <c r="T20" s="33">
        <f t="shared" si="4"/>
        <v>0</v>
      </c>
      <c r="U20" s="258">
        <f>'[1]Reading.4.23'!T20</f>
        <v>0</v>
      </c>
      <c r="V20" s="34"/>
      <c r="W20" s="186">
        <v>45773.41</v>
      </c>
      <c r="X20" s="189">
        <f t="shared" si="5"/>
        <v>34240.000000019791</v>
      </c>
      <c r="Y20" s="258">
        <f>'[1]Reading.4.23'!X20</f>
        <v>32519.999999989523</v>
      </c>
      <c r="Z20" s="34"/>
      <c r="AA20" s="266">
        <v>520050</v>
      </c>
      <c r="AB20" s="189">
        <f t="shared" si="6"/>
        <v>0</v>
      </c>
      <c r="AC20" s="258">
        <f>'[1]Reading.4.23'!AB20</f>
        <v>0</v>
      </c>
      <c r="AD20" s="34"/>
      <c r="AE20" s="260">
        <f t="shared" si="7"/>
        <v>34240.000000019791</v>
      </c>
      <c r="AF20" s="261">
        <f>'[1]Reading.4.23'!AE20</f>
        <v>32519.999999989523</v>
      </c>
      <c r="AG20" s="259">
        <f t="shared" si="31"/>
        <v>32980.300000000003</v>
      </c>
      <c r="AH20" s="34"/>
      <c r="AI20" s="287">
        <v>0.68059999999999998</v>
      </c>
      <c r="AJ20" s="193">
        <f>'[1]Reading.4.23'!AI20</f>
        <v>0.50760000000000005</v>
      </c>
      <c r="AK20" s="192">
        <v>0.63800000000000001</v>
      </c>
      <c r="AL20" s="34"/>
      <c r="AM20" s="218">
        <v>358</v>
      </c>
      <c r="AN20" s="326">
        <f>'[1]Reading.4.23'!AM20</f>
        <v>267</v>
      </c>
      <c r="AO20" s="194">
        <f t="shared" si="32"/>
        <v>335.5</v>
      </c>
      <c r="AP20" s="34"/>
      <c r="AQ20" s="265">
        <f t="shared" si="33"/>
        <v>1868</v>
      </c>
      <c r="AR20" s="261">
        <f>'[1]Reading.4.23'!AQ20</f>
        <v>1680</v>
      </c>
      <c r="AS20" s="34"/>
      <c r="AT20" s="196">
        <v>7150.7</v>
      </c>
      <c r="AU20" s="197">
        <f t="shared" si="8"/>
        <v>3079.9999999981083</v>
      </c>
      <c r="AV20" s="195">
        <f t="shared" si="9"/>
        <v>0.99597859281242929</v>
      </c>
      <c r="AW20" s="34"/>
      <c r="AX20" s="191"/>
      <c r="AY20" s="262">
        <f>'[1]Reading.4.23'!X20</f>
        <v>32519.999999989523</v>
      </c>
      <c r="AZ20" s="534">
        <f>'[1]Reading.4.23'!AB20</f>
        <v>0</v>
      </c>
      <c r="BA20" s="263">
        <f t="shared" si="10"/>
        <v>32519.999999989523</v>
      </c>
      <c r="BC20" s="154">
        <v>19</v>
      </c>
      <c r="BD20" s="267">
        <v>16.100000000000001</v>
      </c>
      <c r="BE20" s="221">
        <v>12</v>
      </c>
      <c r="BF20" s="223">
        <v>56</v>
      </c>
      <c r="BG20" s="222">
        <v>79</v>
      </c>
      <c r="BH20" s="267">
        <f>'[1]Reading.4.23'!BD20</f>
        <v>26.2</v>
      </c>
      <c r="BI20" s="267">
        <f>'[1]Reading.4.23'!BE20</f>
        <v>22</v>
      </c>
      <c r="BJ20" s="267">
        <f>'[1]Reading.4.23'!BF20</f>
        <v>64</v>
      </c>
      <c r="BL20" s="151">
        <v>526</v>
      </c>
      <c r="BN20" s="189">
        <f>'[1]Reading.4.23'!E18</f>
        <v>0</v>
      </c>
      <c r="BP20" s="33">
        <v>66749</v>
      </c>
      <c r="BQ20" s="33">
        <f t="shared" si="11"/>
        <v>31</v>
      </c>
      <c r="BR20" s="247">
        <f>'[1]Reading.4.23'!BQ20</f>
        <v>32</v>
      </c>
      <c r="BT20" s="33">
        <v>81638</v>
      </c>
      <c r="BU20" s="33">
        <f t="shared" si="12"/>
        <v>46</v>
      </c>
      <c r="BV20" s="247">
        <f>'[1]Reading.4.23'!BU20</f>
        <v>33</v>
      </c>
      <c r="BX20" s="33">
        <v>3991</v>
      </c>
      <c r="BY20" s="33">
        <f t="shared" si="13"/>
        <v>0</v>
      </c>
      <c r="BZ20" s="247">
        <f>'[1]Reading.4.23'!BY20</f>
        <v>0</v>
      </c>
      <c r="CB20" s="33">
        <v>233920</v>
      </c>
      <c r="CC20" s="33">
        <f t="shared" si="14"/>
        <v>20</v>
      </c>
      <c r="CD20" s="247">
        <f>'[1]Reading.4.23'!CC20</f>
        <v>50</v>
      </c>
      <c r="CF20" s="33">
        <v>6200</v>
      </c>
      <c r="CG20" s="33">
        <f t="shared" si="15"/>
        <v>10</v>
      </c>
      <c r="CH20" s="247">
        <f>'[1]Reading.4.23'!CG20</f>
        <v>0</v>
      </c>
      <c r="CI20" s="33">
        <v>19773</v>
      </c>
      <c r="CJ20" s="33">
        <f t="shared" si="16"/>
        <v>0</v>
      </c>
      <c r="CK20" s="247">
        <f>'[1]Reading.4.23'!CG20</f>
        <v>0</v>
      </c>
      <c r="CM20" s="33">
        <f t="shared" si="17"/>
        <v>97</v>
      </c>
      <c r="CN20" s="33">
        <f t="shared" si="17"/>
        <v>115</v>
      </c>
      <c r="CP20" s="33">
        <v>107020</v>
      </c>
      <c r="CQ20" s="33">
        <f t="shared" si="18"/>
        <v>434</v>
      </c>
      <c r="CR20" s="134">
        <f t="shared" si="19"/>
        <v>0.69329073482428116</v>
      </c>
      <c r="CS20" s="247">
        <f>'[1]Reading.4.23'!CN20</f>
        <v>262</v>
      </c>
      <c r="CT20" s="282">
        <f>'[1]Reading.4.23'!CO18</f>
        <v>0.39669421487603307</v>
      </c>
      <c r="CV20" s="33">
        <v>5242</v>
      </c>
      <c r="CW20" s="33">
        <f t="shared" si="20"/>
        <v>2</v>
      </c>
      <c r="CX20" s="247">
        <f>'[1]Reading.4.23'!CT20</f>
        <v>1</v>
      </c>
      <c r="CZ20" s="33">
        <v>919</v>
      </c>
      <c r="DA20" s="33">
        <f t="shared" si="21"/>
        <v>4</v>
      </c>
      <c r="DB20" s="247">
        <f>'[1]Reading.4.23'!CX20</f>
        <v>5</v>
      </c>
      <c r="DD20" s="33">
        <v>1432010</v>
      </c>
      <c r="DE20" s="33">
        <f t="shared" si="22"/>
        <v>914</v>
      </c>
      <c r="DF20" s="247">
        <f>'[1]Reading.4.23'!DB20</f>
        <v>829</v>
      </c>
      <c r="DH20" s="33">
        <v>3339781</v>
      </c>
      <c r="DI20" s="33">
        <f t="shared" si="23"/>
        <v>1694</v>
      </c>
      <c r="DJ20" s="247">
        <f>'[1]Reading.4.23'!DF20</f>
        <v>1934</v>
      </c>
      <c r="DL20" s="33">
        <v>2918686</v>
      </c>
      <c r="DM20" s="33">
        <f t="shared" si="24"/>
        <v>32</v>
      </c>
      <c r="DN20" s="247">
        <f>'[1]Reading.4.23'!DJ20</f>
        <v>3356</v>
      </c>
      <c r="DP20" s="33">
        <v>2285367</v>
      </c>
      <c r="DQ20" s="33">
        <f t="shared" si="25"/>
        <v>33</v>
      </c>
      <c r="DR20" s="247">
        <f>'[1]Reading.4.23'!DN20</f>
        <v>34</v>
      </c>
      <c r="DT20" s="33">
        <v>3083810</v>
      </c>
      <c r="DU20" s="33">
        <f t="shared" si="26"/>
        <v>3888</v>
      </c>
      <c r="DV20" s="247">
        <f>'[1]Reading.4.23'!DR20</f>
        <v>34</v>
      </c>
      <c r="DX20" s="33">
        <v>720</v>
      </c>
      <c r="DZ20" s="33">
        <f t="shared" si="27"/>
        <v>4673</v>
      </c>
      <c r="EA20" s="247">
        <f>'[1]Reading.4.23'!DW20</f>
        <v>4144</v>
      </c>
      <c r="EC20" s="196">
        <f t="shared" si="28"/>
        <v>3437.2000000000003</v>
      </c>
      <c r="ED20" s="281">
        <f>'[1]Reading.4.23'!C20*5.2</f>
        <v>2178.8000000000002</v>
      </c>
      <c r="EF20" s="33">
        <v>60314</v>
      </c>
      <c r="EG20" s="292">
        <f t="shared" si="29"/>
        <v>46</v>
      </c>
      <c r="EH20" s="247"/>
      <c r="EJ20" s="33">
        <v>24124</v>
      </c>
      <c r="EK20" s="292">
        <f t="shared" si="30"/>
        <v>20</v>
      </c>
      <c r="EL20" s="247"/>
    </row>
    <row r="21" spans="1:142" x14ac:dyDescent="0.25">
      <c r="A21" s="298">
        <v>45398</v>
      </c>
      <c r="B21" s="33">
        <v>286856</v>
      </c>
      <c r="C21" s="33">
        <f t="shared" si="0"/>
        <v>509</v>
      </c>
      <c r="D21" s="33"/>
      <c r="E21" s="33">
        <v>0</v>
      </c>
      <c r="F21" s="251">
        <v>765</v>
      </c>
      <c r="G21" s="33">
        <f t="shared" si="1"/>
        <v>554</v>
      </c>
      <c r="H21" s="190">
        <f>'[1]Reading.4.23'!G21</f>
        <v>474</v>
      </c>
      <c r="I21" s="187"/>
      <c r="J21" s="33">
        <v>207441</v>
      </c>
      <c r="K21" s="189">
        <f t="shared" si="2"/>
        <v>177.38400000000001</v>
      </c>
      <c r="L21" s="258">
        <f>'[1]Reading.4.23'!K21</f>
        <v>168.048</v>
      </c>
      <c r="M21" s="188"/>
      <c r="N21" s="33">
        <v>732568</v>
      </c>
      <c r="O21" s="189">
        <f t="shared" si="3"/>
        <v>507.1</v>
      </c>
      <c r="P21" s="258">
        <f>'[1]Reading.4.23'!O21</f>
        <v>419.51000000000005</v>
      </c>
      <c r="Q21" s="34"/>
      <c r="R21" s="33">
        <v>42700</v>
      </c>
      <c r="S21" s="33"/>
      <c r="T21" s="33">
        <f t="shared" si="4"/>
        <v>0</v>
      </c>
      <c r="U21" s="258">
        <f>'[1]Reading.4.23'!T21</f>
        <v>0</v>
      </c>
      <c r="V21" s="34"/>
      <c r="W21" s="186">
        <v>45781.62</v>
      </c>
      <c r="X21" s="189">
        <f t="shared" si="5"/>
        <v>32839.999999996508</v>
      </c>
      <c r="Y21" s="258">
        <f>'[1]Reading.4.23'!X21</f>
        <v>26720.000000001164</v>
      </c>
      <c r="Z21" s="34"/>
      <c r="AA21" s="266">
        <v>520050</v>
      </c>
      <c r="AB21" s="189">
        <f t="shared" si="6"/>
        <v>0</v>
      </c>
      <c r="AC21" s="258">
        <f>'[1]Reading.4.23'!AB21</f>
        <v>0</v>
      </c>
      <c r="AD21" s="34"/>
      <c r="AE21" s="260">
        <f t="shared" si="7"/>
        <v>32839.999999996508</v>
      </c>
      <c r="AF21" s="261">
        <f>'[1]Reading.4.23'!AE21</f>
        <v>26720.000000001164</v>
      </c>
      <c r="AG21" s="259">
        <f t="shared" si="31"/>
        <v>32980.300000000003</v>
      </c>
      <c r="AH21" s="34"/>
      <c r="AI21" s="287">
        <v>0.64639999999999997</v>
      </c>
      <c r="AJ21" s="193">
        <f>'[1]Reading.4.23'!AI21</f>
        <v>0.50570000000000004</v>
      </c>
      <c r="AK21" s="192">
        <v>0.63800000000000001</v>
      </c>
      <c r="AL21" s="34"/>
      <c r="AM21" s="218">
        <v>340</v>
      </c>
      <c r="AN21" s="326">
        <f>'[1]Reading.4.23'!AM21</f>
        <v>266</v>
      </c>
      <c r="AO21" s="194">
        <f t="shared" si="32"/>
        <v>335.5</v>
      </c>
      <c r="AP21" s="34"/>
      <c r="AQ21" s="265">
        <f t="shared" si="33"/>
        <v>1868</v>
      </c>
      <c r="AR21" s="261">
        <f>'[1]Reading.4.23'!AQ21</f>
        <v>1680</v>
      </c>
      <c r="AS21" s="34"/>
      <c r="AT21" s="196">
        <v>7151.5</v>
      </c>
      <c r="AU21" s="197">
        <f t="shared" si="8"/>
        <v>3200.0000000007276</v>
      </c>
      <c r="AV21" s="195">
        <f t="shared" si="9"/>
        <v>0.99528605694262962</v>
      </c>
      <c r="AW21" s="34"/>
      <c r="AX21" s="191"/>
      <c r="AY21" s="262">
        <f>'[1]Reading.4.23'!X21</f>
        <v>26720.000000001164</v>
      </c>
      <c r="AZ21" s="534">
        <f>'[1]Reading.4.23'!AB21</f>
        <v>0</v>
      </c>
      <c r="BA21" s="263">
        <f t="shared" si="10"/>
        <v>26720.000000001164</v>
      </c>
      <c r="BC21" s="154">
        <v>19</v>
      </c>
      <c r="BD21" s="267">
        <v>16.100000000000001</v>
      </c>
      <c r="BE21" s="221">
        <v>12</v>
      </c>
      <c r="BF21" s="223">
        <v>56</v>
      </c>
      <c r="BG21" s="222">
        <v>79</v>
      </c>
      <c r="BH21" s="267">
        <f>'[1]Reading.4.23'!BD21</f>
        <v>26.5</v>
      </c>
      <c r="BI21" s="267">
        <f>'[1]Reading.4.23'!BE21</f>
        <v>23</v>
      </c>
      <c r="BJ21" s="267">
        <f>'[1]Reading.4.23'!BF21</f>
        <v>57</v>
      </c>
      <c r="BL21" s="151">
        <v>526</v>
      </c>
      <c r="BN21" s="189">
        <f>'[1]Reading.4.23'!E19</f>
        <v>0</v>
      </c>
      <c r="BP21" s="33">
        <v>66780</v>
      </c>
      <c r="BQ21" s="33">
        <f t="shared" si="11"/>
        <v>31</v>
      </c>
      <c r="BR21" s="247">
        <f>'[1]Reading.4.23'!BQ21</f>
        <v>32</v>
      </c>
      <c r="BT21" s="33">
        <v>81678</v>
      </c>
      <c r="BU21" s="33">
        <f t="shared" si="12"/>
        <v>40</v>
      </c>
      <c r="BV21" s="247">
        <f>'[1]Reading.4.23'!BU21</f>
        <v>30</v>
      </c>
      <c r="BX21" s="33">
        <v>3991</v>
      </c>
      <c r="BY21" s="33">
        <f t="shared" si="13"/>
        <v>0</v>
      </c>
      <c r="BZ21" s="247">
        <f>'[1]Reading.4.23'!BY21</f>
        <v>0</v>
      </c>
      <c r="CB21" s="33">
        <v>233940</v>
      </c>
      <c r="CC21" s="33">
        <f t="shared" si="14"/>
        <v>20</v>
      </c>
      <c r="CD21" s="247">
        <f>'[1]Reading.4.23'!CC21</f>
        <v>40</v>
      </c>
      <c r="CF21" s="33">
        <v>6210</v>
      </c>
      <c r="CG21" s="33">
        <f t="shared" si="15"/>
        <v>10</v>
      </c>
      <c r="CH21" s="247">
        <f>'[1]Reading.4.23'!CG21</f>
        <v>0</v>
      </c>
      <c r="CI21" s="33">
        <v>19773</v>
      </c>
      <c r="CJ21" s="33">
        <f t="shared" si="16"/>
        <v>0</v>
      </c>
      <c r="CK21" s="247">
        <f>'[1]Reading.4.23'!CG21</f>
        <v>0</v>
      </c>
      <c r="CM21" s="33">
        <f t="shared" si="17"/>
        <v>91</v>
      </c>
      <c r="CN21" s="33">
        <f t="shared" si="17"/>
        <v>102</v>
      </c>
      <c r="CP21" s="33">
        <v>107438</v>
      </c>
      <c r="CQ21" s="33">
        <f t="shared" si="18"/>
        <v>418</v>
      </c>
      <c r="CR21" s="134">
        <f t="shared" si="19"/>
        <v>0.75451263537906132</v>
      </c>
      <c r="CS21" s="247">
        <f>'[1]Reading.4.23'!CN21</f>
        <v>213</v>
      </c>
      <c r="CT21" s="282">
        <f>'[1]Reading.4.23'!CO19</f>
        <v>0.37672583826429978</v>
      </c>
      <c r="CV21" s="33">
        <v>5244</v>
      </c>
      <c r="CW21" s="33">
        <f t="shared" si="20"/>
        <v>2</v>
      </c>
      <c r="CX21" s="247">
        <f>'[1]Reading.4.23'!CT21</f>
        <v>1</v>
      </c>
      <c r="CZ21" s="33">
        <v>923</v>
      </c>
      <c r="DA21" s="33">
        <f t="shared" si="21"/>
        <v>4</v>
      </c>
      <c r="DB21" s="247">
        <f>'[1]Reading.4.23'!CX21</f>
        <v>4</v>
      </c>
      <c r="DD21" s="33">
        <v>1432806</v>
      </c>
      <c r="DE21" s="33">
        <f t="shared" si="22"/>
        <v>796</v>
      </c>
      <c r="DF21" s="247">
        <f>'[1]Reading.4.23'!DB21</f>
        <v>802</v>
      </c>
      <c r="DH21" s="33">
        <v>3341475</v>
      </c>
      <c r="DI21" s="33">
        <f t="shared" si="23"/>
        <v>1694</v>
      </c>
      <c r="DJ21" s="247">
        <f>'[1]Reading.4.23'!DF21</f>
        <v>1974</v>
      </c>
      <c r="DL21" s="33">
        <v>2918718</v>
      </c>
      <c r="DM21" s="33">
        <f t="shared" si="24"/>
        <v>32</v>
      </c>
      <c r="DN21" s="247">
        <f>'[1]Reading.4.23'!DJ21</f>
        <v>3422</v>
      </c>
      <c r="DP21" s="33">
        <v>2285400</v>
      </c>
      <c r="DQ21" s="33">
        <f t="shared" si="25"/>
        <v>33</v>
      </c>
      <c r="DR21" s="247">
        <f>'[1]Reading.4.23'!DN21</f>
        <v>33</v>
      </c>
      <c r="DT21" s="33">
        <v>3088045</v>
      </c>
      <c r="DU21" s="33">
        <f t="shared" si="26"/>
        <v>4235</v>
      </c>
      <c r="DV21" s="247">
        <f>'[1]Reading.4.23'!DR21</f>
        <v>32</v>
      </c>
      <c r="DX21" s="33">
        <v>720</v>
      </c>
      <c r="DZ21" s="33">
        <f t="shared" si="27"/>
        <v>5020</v>
      </c>
      <c r="EA21" s="247">
        <f>'[1]Reading.4.23'!DW21</f>
        <v>4207</v>
      </c>
      <c r="EC21" s="196">
        <f t="shared" si="28"/>
        <v>2646.8</v>
      </c>
      <c r="ED21" s="281">
        <f>'[1]Reading.4.23'!C21*5.2</f>
        <v>2958.8</v>
      </c>
      <c r="EF21" s="33">
        <v>60360</v>
      </c>
      <c r="EG21" s="292">
        <f t="shared" si="29"/>
        <v>46</v>
      </c>
      <c r="EH21" s="247"/>
      <c r="EJ21" s="33">
        <v>24144</v>
      </c>
      <c r="EK21" s="292">
        <f t="shared" si="30"/>
        <v>20</v>
      </c>
      <c r="EL21" s="247"/>
    </row>
    <row r="22" spans="1:142" x14ac:dyDescent="0.25">
      <c r="A22" s="298">
        <v>45399</v>
      </c>
      <c r="B22" s="33">
        <v>287486</v>
      </c>
      <c r="C22" s="33">
        <f t="shared" si="0"/>
        <v>630</v>
      </c>
      <c r="D22" s="33"/>
      <c r="E22" s="33">
        <v>0</v>
      </c>
      <c r="F22" s="251">
        <v>830</v>
      </c>
      <c r="G22" s="33">
        <f t="shared" si="1"/>
        <v>565</v>
      </c>
      <c r="H22" s="190">
        <f>'[1]Reading.4.23'!G22</f>
        <v>523</v>
      </c>
      <c r="I22" s="187"/>
      <c r="J22" s="33">
        <v>207483</v>
      </c>
      <c r="K22" s="189">
        <f t="shared" si="2"/>
        <v>196.05600000000001</v>
      </c>
      <c r="L22" s="258">
        <f>'[1]Reading.4.23'!K22</f>
        <v>182.05199999999999</v>
      </c>
      <c r="M22" s="188"/>
      <c r="N22" s="33">
        <v>732678</v>
      </c>
      <c r="O22" s="189">
        <f t="shared" si="3"/>
        <v>507.1</v>
      </c>
      <c r="P22" s="258">
        <f>'[1]Reading.4.23'!O22</f>
        <v>456.39000000000004</v>
      </c>
      <c r="Q22" s="34"/>
      <c r="R22" s="33">
        <v>42700</v>
      </c>
      <c r="S22" s="33"/>
      <c r="T22" s="33">
        <f t="shared" si="4"/>
        <v>0</v>
      </c>
      <c r="U22" s="258">
        <f>'[1]Reading.4.23'!T22</f>
        <v>0</v>
      </c>
      <c r="V22" s="34"/>
      <c r="W22" s="186">
        <v>45790.14</v>
      </c>
      <c r="X22" s="189">
        <f t="shared" si="5"/>
        <v>34079.999999987194</v>
      </c>
      <c r="Y22" s="258">
        <f>'[1]Reading.4.23'!X22</f>
        <v>32920.000000012806</v>
      </c>
      <c r="Z22" s="34"/>
      <c r="AA22" s="266">
        <v>520050</v>
      </c>
      <c r="AB22" s="189">
        <f t="shared" si="6"/>
        <v>0</v>
      </c>
      <c r="AC22" s="258">
        <f>'[1]Reading.4.23'!AB22</f>
        <v>0</v>
      </c>
      <c r="AD22" s="34"/>
      <c r="AE22" s="260">
        <f t="shared" si="7"/>
        <v>34079.999999987194</v>
      </c>
      <c r="AF22" s="261">
        <f>'[1]Reading.4.23'!AE22</f>
        <v>32920.000000012806</v>
      </c>
      <c r="AG22" s="259">
        <f t="shared" si="31"/>
        <v>32980.300000000003</v>
      </c>
      <c r="AH22" s="34"/>
      <c r="AI22" s="287">
        <v>0.64259999999999995</v>
      </c>
      <c r="AJ22" s="193">
        <f>'[1]Reading.4.23'!AI22</f>
        <v>0.50570000000000004</v>
      </c>
      <c r="AK22" s="192">
        <v>0.63800000000000001</v>
      </c>
      <c r="AL22" s="34"/>
      <c r="AM22" s="218">
        <v>338</v>
      </c>
      <c r="AN22" s="326">
        <f>'[1]Reading.4.23'!AM22</f>
        <v>266</v>
      </c>
      <c r="AO22" s="194">
        <f t="shared" si="32"/>
        <v>335.5</v>
      </c>
      <c r="AP22" s="34"/>
      <c r="AQ22" s="265">
        <f t="shared" si="33"/>
        <v>1868</v>
      </c>
      <c r="AR22" s="261">
        <f>'[1]Reading.4.23'!AQ22</f>
        <v>1680</v>
      </c>
      <c r="AS22" s="34"/>
      <c r="AT22" s="196">
        <v>7152.46</v>
      </c>
      <c r="AU22" s="197">
        <f t="shared" si="8"/>
        <v>3840.0000000001455</v>
      </c>
      <c r="AV22" s="195">
        <f t="shared" si="9"/>
        <v>0.99371186533251887</v>
      </c>
      <c r="AW22" s="34"/>
      <c r="AX22" s="191"/>
      <c r="AY22" s="262">
        <f>'[1]Reading.4.23'!X22</f>
        <v>32920.000000012806</v>
      </c>
      <c r="AZ22" s="534">
        <f>'[1]Reading.4.23'!AB22</f>
        <v>0</v>
      </c>
      <c r="BA22" s="263">
        <f t="shared" si="10"/>
        <v>32920.000000012806</v>
      </c>
      <c r="BC22" s="154">
        <v>19</v>
      </c>
      <c r="BD22" s="267">
        <v>16.100000000000001</v>
      </c>
      <c r="BE22" s="221">
        <v>12</v>
      </c>
      <c r="BF22" s="223">
        <v>56</v>
      </c>
      <c r="BG22" s="222">
        <v>79</v>
      </c>
      <c r="BH22" s="267">
        <f>'[1]Reading.4.23'!BD22</f>
        <v>27.2</v>
      </c>
      <c r="BI22" s="267">
        <f>'[1]Reading.4.23'!BE22</f>
        <v>22</v>
      </c>
      <c r="BJ22" s="267">
        <f>'[1]Reading.4.23'!BF22</f>
        <v>73</v>
      </c>
      <c r="BL22" s="151">
        <v>526</v>
      </c>
      <c r="BN22" s="189">
        <f>'[1]Reading.4.23'!E20</f>
        <v>0</v>
      </c>
      <c r="BP22" s="33">
        <v>66809</v>
      </c>
      <c r="BQ22" s="33">
        <f t="shared" si="11"/>
        <v>29</v>
      </c>
      <c r="BR22" s="247">
        <f>'[1]Reading.4.23'!BQ22</f>
        <v>29</v>
      </c>
      <c r="BT22" s="33">
        <v>81720</v>
      </c>
      <c r="BU22" s="33">
        <f t="shared" si="12"/>
        <v>42</v>
      </c>
      <c r="BV22" s="247">
        <f>'[1]Reading.4.23'!BU22</f>
        <v>35</v>
      </c>
      <c r="BX22" s="33">
        <v>3991</v>
      </c>
      <c r="BY22" s="33">
        <f t="shared" si="13"/>
        <v>0</v>
      </c>
      <c r="BZ22" s="247">
        <f>'[1]Reading.4.23'!BY22</f>
        <v>0</v>
      </c>
      <c r="CB22" s="33">
        <v>233960</v>
      </c>
      <c r="CC22" s="33">
        <f t="shared" si="14"/>
        <v>20</v>
      </c>
      <c r="CD22" s="247">
        <f>'[1]Reading.4.23'!CC22</f>
        <v>63</v>
      </c>
      <c r="CF22" s="33">
        <v>6220</v>
      </c>
      <c r="CG22" s="33">
        <f t="shared" si="15"/>
        <v>10</v>
      </c>
      <c r="CH22" s="247">
        <f>'[1]Reading.4.23'!CG22</f>
        <v>0</v>
      </c>
      <c r="CI22" s="33">
        <v>19773</v>
      </c>
      <c r="CJ22" s="33">
        <f t="shared" si="16"/>
        <v>0</v>
      </c>
      <c r="CK22" s="247">
        <f>'[1]Reading.4.23'!CG22</f>
        <v>0</v>
      </c>
      <c r="CM22" s="33">
        <f t="shared" ref="CM22:CN27" si="34">BQ22+BU22+BY22+CC22+CJ22</f>
        <v>91</v>
      </c>
      <c r="CN22" s="33">
        <f t="shared" si="34"/>
        <v>127</v>
      </c>
      <c r="CP22" s="33">
        <v>107858</v>
      </c>
      <c r="CQ22" s="33">
        <f t="shared" si="18"/>
        <v>420</v>
      </c>
      <c r="CR22" s="134">
        <f t="shared" si="19"/>
        <v>0.74336283185840712</v>
      </c>
      <c r="CS22" s="247">
        <f>'[1]Reading.4.23'!CN22</f>
        <v>128</v>
      </c>
      <c r="CT22" s="282">
        <f>'[1]Reading.4.23'!CO20</f>
        <v>0.45644599303135891</v>
      </c>
      <c r="CV22" s="33">
        <v>5246</v>
      </c>
      <c r="CW22" s="33">
        <f t="shared" si="20"/>
        <v>2</v>
      </c>
      <c r="CX22" s="247">
        <f>'[1]Reading.4.23'!CT22</f>
        <v>2</v>
      </c>
      <c r="CZ22" s="33">
        <v>925</v>
      </c>
      <c r="DA22" s="33">
        <f t="shared" si="21"/>
        <v>2</v>
      </c>
      <c r="DB22" s="247">
        <f>'[1]Reading.4.23'!CX22</f>
        <v>3</v>
      </c>
      <c r="DD22" s="33">
        <v>1433713</v>
      </c>
      <c r="DE22" s="33">
        <f t="shared" si="22"/>
        <v>907</v>
      </c>
      <c r="DF22" s="247">
        <f>'[1]Reading.4.23'!DB22</f>
        <v>843</v>
      </c>
      <c r="DH22" s="33">
        <v>3343044</v>
      </c>
      <c r="DI22" s="33">
        <f t="shared" si="23"/>
        <v>1569</v>
      </c>
      <c r="DJ22" s="247">
        <f>'[1]Reading.4.23'!DF22</f>
        <v>1772</v>
      </c>
      <c r="DL22" s="33">
        <v>2918748</v>
      </c>
      <c r="DM22" s="33">
        <f t="shared" si="24"/>
        <v>30</v>
      </c>
      <c r="DN22" s="247">
        <f>'[1]Reading.4.23'!DJ22</f>
        <v>3642</v>
      </c>
      <c r="DP22" s="33">
        <v>2285431</v>
      </c>
      <c r="DQ22" s="33">
        <f t="shared" si="25"/>
        <v>31</v>
      </c>
      <c r="DR22" s="247">
        <f>'[1]Reading.4.23'!DN22</f>
        <v>159</v>
      </c>
      <c r="DT22" s="33">
        <v>3091939</v>
      </c>
      <c r="DU22" s="33">
        <f t="shared" si="26"/>
        <v>3894</v>
      </c>
      <c r="DV22" s="247">
        <f>'[1]Reading.4.23'!DR22</f>
        <v>30</v>
      </c>
      <c r="DX22" s="33">
        <v>720</v>
      </c>
      <c r="DZ22" s="33">
        <f t="shared" si="27"/>
        <v>4675</v>
      </c>
      <c r="EA22" s="247">
        <f>'[1]Reading.4.23'!DW22</f>
        <v>4551</v>
      </c>
      <c r="EC22" s="196">
        <f t="shared" si="28"/>
        <v>3276</v>
      </c>
      <c r="ED22" s="281">
        <f>'[1]Reading.4.23'!C22*5.2</f>
        <v>2953.6</v>
      </c>
      <c r="EF22" s="33">
        <v>60433</v>
      </c>
      <c r="EG22" s="292">
        <f t="shared" si="29"/>
        <v>73</v>
      </c>
      <c r="EH22" s="247"/>
      <c r="EJ22" s="33">
        <v>24165</v>
      </c>
      <c r="EK22" s="292">
        <f t="shared" si="30"/>
        <v>21</v>
      </c>
      <c r="EL22" s="247"/>
    </row>
    <row r="23" spans="1:142" x14ac:dyDescent="0.25">
      <c r="A23" s="298">
        <v>45400</v>
      </c>
      <c r="B23" s="33">
        <v>288027</v>
      </c>
      <c r="C23" s="33">
        <f t="shared" si="0"/>
        <v>541</v>
      </c>
      <c r="D23" s="33"/>
      <c r="E23" s="33">
        <v>0</v>
      </c>
      <c r="F23" s="251">
        <v>775</v>
      </c>
      <c r="G23" s="33">
        <f t="shared" si="1"/>
        <v>596</v>
      </c>
      <c r="H23" s="190">
        <f>'[1]Reading.4.23'!G23</f>
        <v>521</v>
      </c>
      <c r="I23" s="187"/>
      <c r="J23" s="33">
        <v>207520</v>
      </c>
      <c r="K23" s="189">
        <f t="shared" si="2"/>
        <v>172.71600000000001</v>
      </c>
      <c r="L23" s="258">
        <f>'[1]Reading.4.23'!K23</f>
        <v>186.72</v>
      </c>
      <c r="M23" s="188"/>
      <c r="N23" s="33">
        <v>732780</v>
      </c>
      <c r="O23" s="189">
        <f t="shared" si="3"/>
        <v>470.22</v>
      </c>
      <c r="P23" s="258">
        <f>'[1]Reading.4.23'!O23</f>
        <v>433.34000000000003</v>
      </c>
      <c r="Q23" s="34"/>
      <c r="R23" s="33">
        <v>42700</v>
      </c>
      <c r="S23" s="33"/>
      <c r="T23" s="33">
        <f t="shared" si="4"/>
        <v>0</v>
      </c>
      <c r="U23" s="258">
        <f>'[1]Reading.4.23'!T23</f>
        <v>0</v>
      </c>
      <c r="V23" s="34"/>
      <c r="W23" s="186">
        <v>45798.63</v>
      </c>
      <c r="X23" s="189">
        <f t="shared" si="5"/>
        <v>33959.999999991851</v>
      </c>
      <c r="Y23" s="258">
        <f>'[1]Reading.4.23'!X23</f>
        <v>32879.999999975553</v>
      </c>
      <c r="Z23" s="34"/>
      <c r="AA23" s="266">
        <v>520050</v>
      </c>
      <c r="AB23" s="189">
        <f t="shared" si="6"/>
        <v>0</v>
      </c>
      <c r="AC23" s="258">
        <f>'[1]Reading.4.23'!AB23</f>
        <v>0</v>
      </c>
      <c r="AD23" s="34"/>
      <c r="AE23" s="260">
        <f t="shared" si="7"/>
        <v>33959.999999991851</v>
      </c>
      <c r="AF23" s="261">
        <f>'[1]Reading.4.23'!AE23</f>
        <v>32879.999999975553</v>
      </c>
      <c r="AG23" s="259">
        <f t="shared" si="31"/>
        <v>32980.300000000003</v>
      </c>
      <c r="AH23" s="34"/>
      <c r="AI23" s="287">
        <v>0.64259999999999995</v>
      </c>
      <c r="AJ23" s="193">
        <f>'[1]Reading.4.23'!AI23</f>
        <v>0.53039999999999998</v>
      </c>
      <c r="AK23" s="192">
        <v>0.63800000000000001</v>
      </c>
      <c r="AL23" s="34"/>
      <c r="AM23" s="218">
        <v>338</v>
      </c>
      <c r="AN23" s="326">
        <f>'[1]Reading.4.23'!AM23</f>
        <v>279</v>
      </c>
      <c r="AO23" s="194">
        <f t="shared" si="32"/>
        <v>335.5</v>
      </c>
      <c r="AP23" s="34"/>
      <c r="AQ23" s="265">
        <f t="shared" si="33"/>
        <v>1868</v>
      </c>
      <c r="AR23" s="261">
        <f>'[1]Reading.4.23'!AQ23</f>
        <v>1788</v>
      </c>
      <c r="AS23" s="34"/>
      <c r="AT23" s="196">
        <v>7153.39</v>
      </c>
      <c r="AU23" s="197">
        <f t="shared" si="8"/>
        <v>3720.0000000011642</v>
      </c>
      <c r="AV23" s="195">
        <f t="shared" si="9"/>
        <v>0.99405388260893934</v>
      </c>
      <c r="AW23" s="34"/>
      <c r="AX23" s="191"/>
      <c r="AY23" s="262">
        <f>'[1]Reading.4.23'!X23</f>
        <v>32879.999999975553</v>
      </c>
      <c r="AZ23" s="534">
        <f>'[1]Reading.4.23'!AB23</f>
        <v>0</v>
      </c>
      <c r="BA23" s="263">
        <f t="shared" si="10"/>
        <v>32879.999999975553</v>
      </c>
      <c r="BC23" s="154">
        <v>19</v>
      </c>
      <c r="BD23" s="267">
        <v>16.100000000000001</v>
      </c>
      <c r="BE23" s="221">
        <v>12</v>
      </c>
      <c r="BF23" s="223">
        <v>56</v>
      </c>
      <c r="BG23" s="222">
        <v>79</v>
      </c>
      <c r="BH23" s="267">
        <f>'[1]Reading.4.23'!BD23</f>
        <v>29.5</v>
      </c>
      <c r="BI23" s="267">
        <f>'[1]Reading.4.23'!BE23</f>
        <v>20</v>
      </c>
      <c r="BJ23" s="267">
        <f>'[1]Reading.4.23'!BF23</f>
        <v>94</v>
      </c>
      <c r="BL23" s="151">
        <v>526</v>
      </c>
      <c r="BN23" s="189">
        <f>'[1]Reading.4.23'!E21</f>
        <v>0</v>
      </c>
      <c r="BP23" s="33">
        <v>66843</v>
      </c>
      <c r="BQ23" s="33">
        <f t="shared" si="11"/>
        <v>34</v>
      </c>
      <c r="BR23" s="247">
        <f>'[1]Reading.4.23'!BQ23</f>
        <v>34</v>
      </c>
      <c r="BT23" s="33">
        <v>81758</v>
      </c>
      <c r="BU23" s="33">
        <f t="shared" si="12"/>
        <v>38</v>
      </c>
      <c r="BV23" s="247">
        <f>'[1]Reading.4.23'!BU23</f>
        <v>32</v>
      </c>
      <c r="BX23" s="33">
        <v>4005</v>
      </c>
      <c r="BY23" s="33">
        <f t="shared" si="13"/>
        <v>14</v>
      </c>
      <c r="BZ23" s="247">
        <f>'[1]Reading.4.23'!BY23</f>
        <v>0</v>
      </c>
      <c r="CB23" s="33">
        <v>233980</v>
      </c>
      <c r="CC23" s="33">
        <f t="shared" si="14"/>
        <v>20</v>
      </c>
      <c r="CD23" s="247">
        <f>'[1]Reading.4.23'!CC23</f>
        <v>32</v>
      </c>
      <c r="CF23" s="33">
        <v>6225</v>
      </c>
      <c r="CG23" s="33">
        <f t="shared" si="15"/>
        <v>5</v>
      </c>
      <c r="CH23" s="247">
        <f>'[1]Reading.4.23'!CG23</f>
        <v>0</v>
      </c>
      <c r="CI23" s="33">
        <v>19773</v>
      </c>
      <c r="CJ23" s="33">
        <f t="shared" si="16"/>
        <v>0</v>
      </c>
      <c r="CK23" s="247">
        <f>'[1]Reading.4.23'!CG23</f>
        <v>0</v>
      </c>
      <c r="CM23" s="33">
        <f t="shared" si="34"/>
        <v>106</v>
      </c>
      <c r="CN23" s="33">
        <f t="shared" si="34"/>
        <v>98</v>
      </c>
      <c r="CP23" s="33">
        <v>108278</v>
      </c>
      <c r="CQ23" s="33">
        <f t="shared" si="18"/>
        <v>420</v>
      </c>
      <c r="CR23" s="134">
        <f t="shared" si="19"/>
        <v>0.70469798657718119</v>
      </c>
      <c r="CS23" s="247">
        <f>'[1]Reading.4.23'!CN23</f>
        <v>257</v>
      </c>
      <c r="CT23" s="282">
        <f>'[1]Reading.4.23'!CO21</f>
        <v>0.44936708860759494</v>
      </c>
      <c r="CV23" s="33">
        <v>5248</v>
      </c>
      <c r="CW23" s="33">
        <f t="shared" si="20"/>
        <v>2</v>
      </c>
      <c r="CX23" s="247">
        <f>'[1]Reading.4.23'!CT23</f>
        <v>1</v>
      </c>
      <c r="CZ23" s="33">
        <v>929</v>
      </c>
      <c r="DA23" s="33">
        <f t="shared" si="21"/>
        <v>4</v>
      </c>
      <c r="DB23" s="247">
        <f>'[1]Reading.4.23'!CX23</f>
        <v>5</v>
      </c>
      <c r="DD23" s="33">
        <v>1434478</v>
      </c>
      <c r="DE23" s="33">
        <f t="shared" si="22"/>
        <v>765</v>
      </c>
      <c r="DF23" s="247">
        <f>'[1]Reading.4.23'!DB23</f>
        <v>858</v>
      </c>
      <c r="DH23" s="33">
        <v>3344871</v>
      </c>
      <c r="DI23" s="33">
        <f t="shared" si="23"/>
        <v>1827</v>
      </c>
      <c r="DJ23" s="247">
        <f>'[1]Reading.4.23'!DF23</f>
        <v>1957</v>
      </c>
      <c r="DL23" s="33">
        <v>2918782</v>
      </c>
      <c r="DM23" s="33">
        <f t="shared" si="24"/>
        <v>34</v>
      </c>
      <c r="DN23" s="247">
        <f>'[1]Reading.4.23'!DJ23</f>
        <v>3642</v>
      </c>
      <c r="DP23" s="33">
        <v>2285465</v>
      </c>
      <c r="DQ23" s="33">
        <f t="shared" si="25"/>
        <v>34</v>
      </c>
      <c r="DR23" s="247">
        <f>'[1]Reading.4.23'!DN23</f>
        <v>59</v>
      </c>
      <c r="DT23" s="33">
        <v>3096574</v>
      </c>
      <c r="DU23" s="33">
        <f t="shared" si="26"/>
        <v>4635</v>
      </c>
      <c r="DV23" s="247">
        <f>'[1]Reading.4.23'!DR23</f>
        <v>30</v>
      </c>
      <c r="DX23" s="33">
        <v>720</v>
      </c>
      <c r="DZ23" s="33">
        <f t="shared" si="27"/>
        <v>5423</v>
      </c>
      <c r="EA23" s="247">
        <f>'[1]Reading.4.23'!DW23</f>
        <v>4451</v>
      </c>
      <c r="EC23" s="196">
        <f t="shared" si="28"/>
        <v>2813.2000000000003</v>
      </c>
      <c r="ED23" s="281">
        <f>'[1]Reading.4.23'!C23*5.2</f>
        <v>2709.2000000000003</v>
      </c>
      <c r="EF23" s="33">
        <v>60494</v>
      </c>
      <c r="EG23" s="292">
        <f t="shared" si="29"/>
        <v>61</v>
      </c>
      <c r="EH23" s="247"/>
      <c r="EJ23" s="33">
        <v>24186</v>
      </c>
      <c r="EK23" s="292">
        <f t="shared" si="30"/>
        <v>21</v>
      </c>
      <c r="EL23" s="247"/>
    </row>
    <row r="24" spans="1:142" x14ac:dyDescent="0.25">
      <c r="A24" s="298">
        <v>45401</v>
      </c>
      <c r="B24" s="33">
        <v>288688</v>
      </c>
      <c r="C24" s="33">
        <f t="shared" si="0"/>
        <v>661</v>
      </c>
      <c r="D24" s="33"/>
      <c r="E24" s="33">
        <v>0</v>
      </c>
      <c r="F24" s="251">
        <v>775</v>
      </c>
      <c r="G24" s="33">
        <f t="shared" si="1"/>
        <v>661</v>
      </c>
      <c r="H24" s="190">
        <f>'[1]Reading.4.23'!G24</f>
        <v>493</v>
      </c>
      <c r="I24" s="187"/>
      <c r="J24" s="33">
        <v>207556</v>
      </c>
      <c r="K24" s="189">
        <f t="shared" si="2"/>
        <v>168.048</v>
      </c>
      <c r="L24" s="258">
        <f>'[1]Reading.4.23'!K24</f>
        <v>210.06</v>
      </c>
      <c r="M24" s="188"/>
      <c r="N24" s="33">
        <v>732888</v>
      </c>
      <c r="O24" s="189">
        <f t="shared" si="3"/>
        <v>497.88000000000005</v>
      </c>
      <c r="P24" s="258">
        <f>'[1]Reading.4.23'!O24</f>
        <v>396.46000000000004</v>
      </c>
      <c r="Q24" s="34"/>
      <c r="R24" s="33">
        <v>42700</v>
      </c>
      <c r="S24" s="33"/>
      <c r="T24" s="33">
        <f t="shared" si="4"/>
        <v>0</v>
      </c>
      <c r="U24" s="258">
        <f>'[1]Reading.4.23'!T24</f>
        <v>0</v>
      </c>
      <c r="V24" s="34"/>
      <c r="W24" s="186">
        <v>45807.54</v>
      </c>
      <c r="X24" s="189">
        <f t="shared" si="5"/>
        <v>35640.00000001397</v>
      </c>
      <c r="Y24" s="258">
        <f>'[1]Reading.4.23'!X24</f>
        <v>34400.000000023283</v>
      </c>
      <c r="Z24" s="34"/>
      <c r="AA24" s="266">
        <v>520050</v>
      </c>
      <c r="AB24" s="189">
        <f t="shared" si="6"/>
        <v>0</v>
      </c>
      <c r="AC24" s="258">
        <f>'[1]Reading.4.23'!AB24</f>
        <v>0</v>
      </c>
      <c r="AD24" s="34"/>
      <c r="AE24" s="260">
        <f t="shared" si="7"/>
        <v>35640.00000001397</v>
      </c>
      <c r="AF24" s="261">
        <f>'[1]Reading.4.23'!AE24</f>
        <v>34400.000000023283</v>
      </c>
      <c r="AG24" s="259">
        <f t="shared" si="31"/>
        <v>32980.300000000003</v>
      </c>
      <c r="AH24" s="34"/>
      <c r="AI24" s="287">
        <v>0.63880000000000003</v>
      </c>
      <c r="AJ24" s="193">
        <f>'[1]Reading.4.23'!AI24</f>
        <v>0.56079999999999997</v>
      </c>
      <c r="AK24" s="192">
        <v>1.6379999999999999</v>
      </c>
      <c r="AL24" s="34"/>
      <c r="AM24" s="218">
        <v>336</v>
      </c>
      <c r="AN24" s="326">
        <f>'[1]Reading.4.23'!AM24</f>
        <v>295</v>
      </c>
      <c r="AO24" s="194">
        <f t="shared" si="32"/>
        <v>335.5</v>
      </c>
      <c r="AP24" s="34"/>
      <c r="AQ24" s="265">
        <f t="shared" si="33"/>
        <v>1868</v>
      </c>
      <c r="AR24" s="261">
        <f>'[1]Reading.4.23'!AQ24</f>
        <v>1860</v>
      </c>
      <c r="AS24" s="34"/>
      <c r="AT24" s="196">
        <v>7154.49</v>
      </c>
      <c r="AU24" s="197">
        <f t="shared" si="8"/>
        <v>4399.9999999978172</v>
      </c>
      <c r="AV24" s="195">
        <f t="shared" si="9"/>
        <v>0.99246523322144964</v>
      </c>
      <c r="AW24" s="34"/>
      <c r="AX24" s="191"/>
      <c r="AY24" s="262">
        <f>'[1]Reading.4.23'!X24</f>
        <v>34400.000000023283</v>
      </c>
      <c r="AZ24" s="534">
        <f>'[1]Reading.4.23'!AB24</f>
        <v>0</v>
      </c>
      <c r="BA24" s="263">
        <f t="shared" si="10"/>
        <v>34400.000000023283</v>
      </c>
      <c r="BC24" s="154">
        <v>23</v>
      </c>
      <c r="BD24" s="267">
        <v>19</v>
      </c>
      <c r="BE24" s="221">
        <v>16</v>
      </c>
      <c r="BF24" s="223">
        <v>49</v>
      </c>
      <c r="BG24" s="222">
        <v>80</v>
      </c>
      <c r="BH24" s="267">
        <f>'[1]Reading.4.23'!BD24</f>
        <v>30.8</v>
      </c>
      <c r="BI24" s="267">
        <f>'[1]Reading.4.23'!BE24</f>
        <v>25</v>
      </c>
      <c r="BJ24" s="267">
        <f>'[1]Reading.4.23'!BF24</f>
        <v>42</v>
      </c>
      <c r="BL24" s="151">
        <v>526</v>
      </c>
      <c r="BN24" s="189">
        <f>'[1]Reading.4.23'!E22</f>
        <v>0</v>
      </c>
      <c r="BP24" s="33">
        <v>66879</v>
      </c>
      <c r="BQ24" s="33">
        <f t="shared" si="11"/>
        <v>36</v>
      </c>
      <c r="BR24" s="247">
        <f>'[1]Reading.4.23'!BQ24</f>
        <v>31</v>
      </c>
      <c r="BT24" s="33">
        <v>81799</v>
      </c>
      <c r="BU24" s="33">
        <f t="shared" si="12"/>
        <v>41</v>
      </c>
      <c r="BV24" s="247">
        <f>'[1]Reading.4.23'!BU24</f>
        <v>27</v>
      </c>
      <c r="BX24" s="33">
        <v>4005</v>
      </c>
      <c r="BY24" s="33">
        <f t="shared" si="13"/>
        <v>0</v>
      </c>
      <c r="BZ24" s="247">
        <f>'[1]Reading.4.23'!BY24</f>
        <v>0</v>
      </c>
      <c r="CB24" s="33">
        <v>234010</v>
      </c>
      <c r="CC24" s="33">
        <f t="shared" si="14"/>
        <v>30</v>
      </c>
      <c r="CD24" s="247">
        <f>'[1]Reading.4.23'!CC24</f>
        <v>36</v>
      </c>
      <c r="CF24" s="33">
        <v>6230</v>
      </c>
      <c r="CG24" s="33">
        <f t="shared" si="15"/>
        <v>5</v>
      </c>
      <c r="CH24" s="247">
        <f>'[1]Reading.4.23'!CG24</f>
        <v>0</v>
      </c>
      <c r="CI24" s="33">
        <v>19773</v>
      </c>
      <c r="CJ24" s="33">
        <f t="shared" si="16"/>
        <v>0</v>
      </c>
      <c r="CK24" s="247">
        <f>'[1]Reading.4.23'!CG24</f>
        <v>0</v>
      </c>
      <c r="CM24" s="33">
        <f t="shared" si="34"/>
        <v>107</v>
      </c>
      <c r="CN24" s="33">
        <f t="shared" si="34"/>
        <v>94</v>
      </c>
      <c r="CP24" s="33">
        <v>108781</v>
      </c>
      <c r="CQ24" s="33">
        <f t="shared" si="18"/>
        <v>503</v>
      </c>
      <c r="CR24" s="134">
        <f t="shared" si="19"/>
        <v>0.76096822995461422</v>
      </c>
      <c r="CS24" s="247">
        <f>'[1]Reading.4.23'!CN24</f>
        <v>200</v>
      </c>
      <c r="CT24" s="282">
        <f>'[1]Reading.4.23'!CO22</f>
        <v>0.24474187380497131</v>
      </c>
      <c r="CV24" s="33">
        <v>5250</v>
      </c>
      <c r="CW24" s="33">
        <f t="shared" si="20"/>
        <v>2</v>
      </c>
      <c r="CX24" s="247">
        <f>'[1]Reading.4.23'!CT24</f>
        <v>1</v>
      </c>
      <c r="CZ24" s="33">
        <v>932</v>
      </c>
      <c r="DA24" s="33">
        <f t="shared" si="21"/>
        <v>3</v>
      </c>
      <c r="DB24" s="247">
        <f>'[1]Reading.4.23'!CX24</f>
        <v>3</v>
      </c>
      <c r="DD24" s="33">
        <v>1435268</v>
      </c>
      <c r="DE24" s="33">
        <f t="shared" si="22"/>
        <v>790</v>
      </c>
      <c r="DF24" s="247">
        <f>'[1]Reading.4.23'!DB24</f>
        <v>848</v>
      </c>
      <c r="DH24" s="33">
        <v>3346977</v>
      </c>
      <c r="DI24" s="33">
        <f t="shared" si="23"/>
        <v>2106</v>
      </c>
      <c r="DJ24" s="247">
        <f>'[1]Reading.4.23'!DF24</f>
        <v>1854</v>
      </c>
      <c r="DL24" s="33">
        <v>2918815</v>
      </c>
      <c r="DM24" s="33">
        <f t="shared" si="24"/>
        <v>33</v>
      </c>
      <c r="DN24" s="247">
        <f>'[1]Reading.4.23'!DJ24</f>
        <v>4481</v>
      </c>
      <c r="DP24" s="33">
        <v>2285498</v>
      </c>
      <c r="DQ24" s="33">
        <f t="shared" si="25"/>
        <v>33</v>
      </c>
      <c r="DR24" s="247">
        <f>'[1]Reading.4.23'!DN24</f>
        <v>55</v>
      </c>
      <c r="DT24" s="33">
        <v>3101124</v>
      </c>
      <c r="DU24" s="33">
        <f t="shared" si="26"/>
        <v>4550</v>
      </c>
      <c r="DV24" s="247">
        <f>'[1]Reading.4.23'!DR24</f>
        <v>32</v>
      </c>
      <c r="DX24" s="33">
        <v>720</v>
      </c>
      <c r="DZ24" s="33">
        <f t="shared" si="27"/>
        <v>5336</v>
      </c>
      <c r="EA24" s="247">
        <f>'[1]Reading.4.23'!DW24</f>
        <v>5288</v>
      </c>
      <c r="EC24" s="196">
        <f t="shared" si="28"/>
        <v>3437.2000000000003</v>
      </c>
      <c r="ED24" s="281">
        <f>'[1]Reading.4.23'!C24*5.2</f>
        <v>2641.6</v>
      </c>
      <c r="EF24" s="33">
        <v>60551</v>
      </c>
      <c r="EG24" s="292">
        <f t="shared" si="29"/>
        <v>57</v>
      </c>
      <c r="EH24" s="247"/>
      <c r="EJ24" s="33">
        <v>24211</v>
      </c>
      <c r="EK24" s="292">
        <f t="shared" si="30"/>
        <v>25</v>
      </c>
      <c r="EL24" s="247"/>
    </row>
    <row r="25" spans="1:142" x14ac:dyDescent="0.25">
      <c r="A25" s="298">
        <v>45402</v>
      </c>
      <c r="B25" s="33">
        <v>289194</v>
      </c>
      <c r="C25" s="33">
        <f t="shared" si="0"/>
        <v>506</v>
      </c>
      <c r="D25" s="33"/>
      <c r="E25" s="33">
        <v>0</v>
      </c>
      <c r="F25" s="251">
        <v>775</v>
      </c>
      <c r="G25" s="33">
        <f t="shared" si="1"/>
        <v>506</v>
      </c>
      <c r="H25" s="190">
        <f>'[1]Reading.4.23'!G25</f>
        <v>613</v>
      </c>
      <c r="I25" s="187"/>
      <c r="J25" s="33">
        <v>207595</v>
      </c>
      <c r="K25" s="189">
        <f t="shared" si="2"/>
        <v>182.05199999999999</v>
      </c>
      <c r="L25" s="258">
        <f>'[1]Reading.4.23'!K25</f>
        <v>214.72800000000001</v>
      </c>
      <c r="M25" s="188"/>
      <c r="N25" s="33">
        <v>732987</v>
      </c>
      <c r="O25" s="189">
        <f t="shared" si="3"/>
        <v>456.39000000000004</v>
      </c>
      <c r="P25" s="258">
        <f>'[1]Reading.4.23'!O25</f>
        <v>410.29</v>
      </c>
      <c r="Q25" s="34"/>
      <c r="R25" s="33">
        <v>42700</v>
      </c>
      <c r="S25" s="33"/>
      <c r="T25" s="33">
        <f t="shared" si="4"/>
        <v>0</v>
      </c>
      <c r="U25" s="258">
        <f>'[1]Reading.4.23'!T25</f>
        <v>0</v>
      </c>
      <c r="V25" s="34"/>
      <c r="W25" s="186">
        <v>45816.2</v>
      </c>
      <c r="X25" s="189">
        <f t="shared" si="5"/>
        <v>34639.999999984866</v>
      </c>
      <c r="Y25" s="258">
        <f>'[1]Reading.4.23'!X25</f>
        <v>36679.999999993015</v>
      </c>
      <c r="Z25" s="34"/>
      <c r="AA25" s="266">
        <v>520050</v>
      </c>
      <c r="AB25" s="189">
        <f t="shared" si="6"/>
        <v>0</v>
      </c>
      <c r="AC25" s="258">
        <f>'[1]Reading.4.23'!AB25</f>
        <v>0</v>
      </c>
      <c r="AD25" s="34"/>
      <c r="AE25" s="260">
        <f t="shared" si="7"/>
        <v>34639.999999984866</v>
      </c>
      <c r="AF25" s="261">
        <f>'[1]Reading.4.23'!AE25</f>
        <v>36679.999999993015</v>
      </c>
      <c r="AG25" s="259">
        <f t="shared" si="31"/>
        <v>32980.300000000003</v>
      </c>
      <c r="AH25" s="34"/>
      <c r="AI25" s="287">
        <v>0.66349999999999998</v>
      </c>
      <c r="AJ25" s="193">
        <f>'[1]Reading.4.23'!AI25</f>
        <v>0.62360000000000004</v>
      </c>
      <c r="AK25" s="192">
        <v>2.6379999999999999</v>
      </c>
      <c r="AL25" s="34"/>
      <c r="AM25" s="218">
        <v>349</v>
      </c>
      <c r="AN25" s="326">
        <f>'[1]Reading.4.23'!AM25</f>
        <v>328</v>
      </c>
      <c r="AO25" s="194">
        <f t="shared" si="32"/>
        <v>335.5</v>
      </c>
      <c r="AP25" s="34"/>
      <c r="AQ25" s="265">
        <f t="shared" si="33"/>
        <v>1868</v>
      </c>
      <c r="AR25" s="261">
        <f>'[1]Reading.4.23'!AQ25</f>
        <v>1928</v>
      </c>
      <c r="AS25" s="34"/>
      <c r="AT25" s="196">
        <v>7155.47</v>
      </c>
      <c r="AU25" s="197">
        <f t="shared" si="8"/>
        <v>3920.0000000018917</v>
      </c>
      <c r="AV25" s="195">
        <f t="shared" si="9"/>
        <v>0.99365780708962426</v>
      </c>
      <c r="AW25" s="34"/>
      <c r="AX25" s="191"/>
      <c r="AY25" s="262">
        <f>'[1]Reading.4.23'!X25</f>
        <v>36679.999999993015</v>
      </c>
      <c r="AZ25" s="534">
        <f>'[1]Reading.4.23'!AB25</f>
        <v>0</v>
      </c>
      <c r="BA25" s="263">
        <f t="shared" si="10"/>
        <v>36679.999999993015</v>
      </c>
      <c r="BC25" s="154">
        <v>24</v>
      </c>
      <c r="BD25" s="267">
        <v>20</v>
      </c>
      <c r="BE25" s="221">
        <v>17</v>
      </c>
      <c r="BF25" s="223">
        <v>84</v>
      </c>
      <c r="BG25" s="222">
        <v>81</v>
      </c>
      <c r="BH25" s="267">
        <f>'[1]Reading.4.23'!BD25</f>
        <v>28.1</v>
      </c>
      <c r="BI25" s="267">
        <f>'[1]Reading.4.23'!BE25</f>
        <v>24</v>
      </c>
      <c r="BJ25" s="267">
        <f>'[1]Reading.4.23'!BF25</f>
        <v>65</v>
      </c>
      <c r="BL25" s="151">
        <v>526</v>
      </c>
      <c r="BN25" s="189">
        <f>'[1]Reading.4.23'!E23</f>
        <v>0</v>
      </c>
      <c r="BP25" s="33">
        <v>66914</v>
      </c>
      <c r="BQ25" s="33">
        <f t="shared" si="11"/>
        <v>35</v>
      </c>
      <c r="BR25" s="247">
        <f>'[1]Reading.4.23'!BQ25</f>
        <v>38</v>
      </c>
      <c r="BT25" s="33">
        <v>81834</v>
      </c>
      <c r="BU25" s="33">
        <f t="shared" si="12"/>
        <v>35</v>
      </c>
      <c r="BV25" s="247">
        <f>'[1]Reading.4.23'!BU25</f>
        <v>33</v>
      </c>
      <c r="BX25" s="33">
        <v>4005</v>
      </c>
      <c r="BY25" s="33">
        <f t="shared" si="13"/>
        <v>0</v>
      </c>
      <c r="BZ25" s="247">
        <f>'[1]Reading.4.23'!BY25</f>
        <v>0</v>
      </c>
      <c r="CB25" s="33">
        <v>234050</v>
      </c>
      <c r="CC25" s="33">
        <f t="shared" si="14"/>
        <v>40</v>
      </c>
      <c r="CD25" s="247">
        <f>'[1]Reading.4.23'!CC25</f>
        <v>35</v>
      </c>
      <c r="CF25" s="33">
        <v>6235</v>
      </c>
      <c r="CG25" s="33">
        <f t="shared" si="15"/>
        <v>5</v>
      </c>
      <c r="CH25" s="247">
        <f>'[1]Reading.4.23'!CG25</f>
        <v>0</v>
      </c>
      <c r="CI25" s="33">
        <v>19773</v>
      </c>
      <c r="CJ25" s="33">
        <f t="shared" si="16"/>
        <v>0</v>
      </c>
      <c r="CK25" s="247">
        <f>'[1]Reading.4.23'!CG25</f>
        <v>0</v>
      </c>
      <c r="CM25" s="33">
        <f t="shared" si="34"/>
        <v>110</v>
      </c>
      <c r="CN25" s="33">
        <f t="shared" si="34"/>
        <v>106</v>
      </c>
      <c r="CP25" s="33">
        <v>109231</v>
      </c>
      <c r="CQ25" s="33">
        <f t="shared" si="18"/>
        <v>450</v>
      </c>
      <c r="CR25" s="134">
        <f t="shared" si="19"/>
        <v>0.88932806324110669</v>
      </c>
      <c r="CS25" s="247">
        <f>'[1]Reading.4.23'!CN25</f>
        <v>219</v>
      </c>
      <c r="CT25" s="282">
        <f>'[1]Reading.4.23'!CO23</f>
        <v>0.49328214971209211</v>
      </c>
      <c r="CV25" s="33">
        <v>5253</v>
      </c>
      <c r="CW25" s="33">
        <f t="shared" si="20"/>
        <v>3</v>
      </c>
      <c r="CX25" s="247">
        <f>'[1]Reading.4.23'!CT25</f>
        <v>2</v>
      </c>
      <c r="CZ25" s="33">
        <v>935</v>
      </c>
      <c r="DA25" s="33">
        <f t="shared" si="21"/>
        <v>3</v>
      </c>
      <c r="DB25" s="247">
        <f>'[1]Reading.4.23'!CX25</f>
        <v>4</v>
      </c>
      <c r="DD25" s="33">
        <v>1436138</v>
      </c>
      <c r="DE25" s="33">
        <f t="shared" si="22"/>
        <v>870</v>
      </c>
      <c r="DF25" s="247">
        <f>'[1]Reading.4.23'!DB25</f>
        <v>827</v>
      </c>
      <c r="DH25" s="33">
        <v>3349115</v>
      </c>
      <c r="DI25" s="33">
        <f t="shared" si="23"/>
        <v>2138</v>
      </c>
      <c r="DJ25" s="247">
        <f>'[1]Reading.4.23'!DF25</f>
        <v>2115</v>
      </c>
      <c r="DL25" s="33">
        <v>2918847</v>
      </c>
      <c r="DM25" s="33">
        <f t="shared" si="24"/>
        <v>32</v>
      </c>
      <c r="DN25" s="247">
        <f>'[1]Reading.4.23'!DJ25</f>
        <v>2971</v>
      </c>
      <c r="DP25" s="33">
        <v>2285531</v>
      </c>
      <c r="DQ25" s="33">
        <f t="shared" si="25"/>
        <v>33</v>
      </c>
      <c r="DR25" s="247">
        <f>'[1]Reading.4.23'!DN25</f>
        <v>1514</v>
      </c>
      <c r="DT25" s="33">
        <v>3105493</v>
      </c>
      <c r="DU25" s="33">
        <f t="shared" si="26"/>
        <v>4369</v>
      </c>
      <c r="DV25" s="247">
        <f>'[1]Reading.4.23'!DR25</f>
        <v>34</v>
      </c>
      <c r="DX25" s="33">
        <v>720</v>
      </c>
      <c r="DZ25" s="33">
        <f t="shared" si="27"/>
        <v>5154</v>
      </c>
      <c r="EA25" s="247">
        <f>'[1]Reading.4.23'!DW25</f>
        <v>5239</v>
      </c>
      <c r="EC25" s="196">
        <f t="shared" si="28"/>
        <v>2631.2000000000003</v>
      </c>
      <c r="ED25" s="281">
        <f>'[1]Reading.4.23'!C25*5.2</f>
        <v>2875.6</v>
      </c>
      <c r="EF25" s="33">
        <v>60611</v>
      </c>
      <c r="EG25" s="292">
        <f t="shared" si="29"/>
        <v>60</v>
      </c>
      <c r="EH25" s="247"/>
      <c r="EJ25" s="33">
        <v>24236</v>
      </c>
      <c r="EK25" s="292">
        <f t="shared" si="30"/>
        <v>25</v>
      </c>
      <c r="EL25" s="247"/>
    </row>
    <row r="26" spans="1:142" x14ac:dyDescent="0.25">
      <c r="A26" s="298">
        <v>45403</v>
      </c>
      <c r="B26" s="33">
        <v>289707</v>
      </c>
      <c r="C26" s="33">
        <f t="shared" si="0"/>
        <v>513</v>
      </c>
      <c r="D26" s="33"/>
      <c r="E26" s="33">
        <v>0</v>
      </c>
      <c r="F26" s="251">
        <v>775</v>
      </c>
      <c r="G26" s="33">
        <f t="shared" si="1"/>
        <v>513</v>
      </c>
      <c r="H26" s="190">
        <f>'[1]Reading.4.23'!G26</f>
        <v>629</v>
      </c>
      <c r="I26" s="187"/>
      <c r="J26" s="33">
        <v>207636</v>
      </c>
      <c r="K26" s="189">
        <f t="shared" si="2"/>
        <v>191.38800000000001</v>
      </c>
      <c r="L26" s="258">
        <f>'[1]Reading.4.23'!K26</f>
        <v>210.06</v>
      </c>
      <c r="M26" s="188"/>
      <c r="N26" s="33">
        <v>733089</v>
      </c>
      <c r="O26" s="189">
        <f t="shared" si="3"/>
        <v>470.22</v>
      </c>
      <c r="P26" s="258">
        <f>'[1]Reading.4.23'!O26</f>
        <v>543.98</v>
      </c>
      <c r="Q26" s="34"/>
      <c r="R26" s="33">
        <v>42700</v>
      </c>
      <c r="S26" s="33"/>
      <c r="T26" s="33">
        <f t="shared" si="4"/>
        <v>0</v>
      </c>
      <c r="U26" s="258">
        <f>'[1]Reading.4.23'!T26</f>
        <v>0</v>
      </c>
      <c r="V26" s="34"/>
      <c r="W26" s="186">
        <v>45824.51</v>
      </c>
      <c r="X26" s="189">
        <f t="shared" si="5"/>
        <v>33240.000000019791</v>
      </c>
      <c r="Y26" s="258">
        <f>'[1]Reading.4.23'!X26</f>
        <v>35359.99999998603</v>
      </c>
      <c r="Z26" s="34"/>
      <c r="AA26" s="266">
        <v>520050</v>
      </c>
      <c r="AB26" s="189">
        <f t="shared" si="6"/>
        <v>0</v>
      </c>
      <c r="AC26" s="258">
        <f>'[1]Reading.4.23'!AB26</f>
        <v>0</v>
      </c>
      <c r="AD26" s="34"/>
      <c r="AE26" s="260">
        <f t="shared" si="7"/>
        <v>33240.000000019791</v>
      </c>
      <c r="AF26" s="261">
        <f>'[1]Reading.4.23'!AE26</f>
        <v>35359.99999998603</v>
      </c>
      <c r="AG26" s="259">
        <f t="shared" si="31"/>
        <v>32980.300000000003</v>
      </c>
      <c r="AH26" s="34"/>
      <c r="AI26" s="287">
        <v>0.70909999999999995</v>
      </c>
      <c r="AJ26" s="193">
        <f>'[1]Reading.4.23'!AI26</f>
        <v>0.71479999999999999</v>
      </c>
      <c r="AK26" s="192">
        <v>3.6379999999999999</v>
      </c>
      <c r="AL26" s="34"/>
      <c r="AM26" s="218">
        <v>373</v>
      </c>
      <c r="AN26" s="326">
        <f>'[1]Reading.4.23'!AM26</f>
        <v>376</v>
      </c>
      <c r="AO26" s="194">
        <f t="shared" si="32"/>
        <v>335.5</v>
      </c>
      <c r="AP26" s="34"/>
      <c r="AQ26" s="265">
        <f t="shared" si="33"/>
        <v>1868</v>
      </c>
      <c r="AR26" s="261">
        <f>'[1]Reading.4.23'!AQ26</f>
        <v>1928</v>
      </c>
      <c r="AS26" s="34"/>
      <c r="AT26" s="196">
        <v>7156.34</v>
      </c>
      <c r="AU26" s="197">
        <f t="shared" si="8"/>
        <v>3479.9999999995634</v>
      </c>
      <c r="AV26" s="195">
        <f t="shared" si="9"/>
        <v>0.99456431652692323</v>
      </c>
      <c r="AW26" s="34"/>
      <c r="AX26" s="191"/>
      <c r="AY26" s="262">
        <f>'[1]Reading.4.23'!X26</f>
        <v>35359.99999998603</v>
      </c>
      <c r="AZ26" s="534">
        <f>'[1]Reading.4.23'!AB26</f>
        <v>0</v>
      </c>
      <c r="BA26" s="263">
        <f t="shared" si="10"/>
        <v>35359.99999998603</v>
      </c>
      <c r="BC26" s="154">
        <v>23</v>
      </c>
      <c r="BD26" s="267">
        <v>21</v>
      </c>
      <c r="BE26" s="221">
        <v>18</v>
      </c>
      <c r="BF26" s="223">
        <v>64</v>
      </c>
      <c r="BG26" s="222">
        <v>82</v>
      </c>
      <c r="BH26" s="267">
        <f>'[1]Reading.4.23'!BD26</f>
        <v>24.6</v>
      </c>
      <c r="BI26" s="267">
        <f>'[1]Reading.4.23'!BE26</f>
        <v>20</v>
      </c>
      <c r="BJ26" s="267">
        <f>'[1]Reading.4.23'!BF26</f>
        <v>65</v>
      </c>
      <c r="BL26" s="151">
        <v>526</v>
      </c>
      <c r="BN26" s="189">
        <f>'[1]Reading.4.23'!E24</f>
        <v>0</v>
      </c>
      <c r="BP26" s="33">
        <v>66947</v>
      </c>
      <c r="BQ26" s="33">
        <f t="shared" si="11"/>
        <v>33</v>
      </c>
      <c r="BR26" s="247">
        <f>'[1]Reading.4.23'!BQ26</f>
        <v>30</v>
      </c>
      <c r="BT26" s="33">
        <v>81872</v>
      </c>
      <c r="BU26" s="33">
        <f t="shared" si="12"/>
        <v>38</v>
      </c>
      <c r="BV26" s="247">
        <f>'[1]Reading.4.23'!BU26</f>
        <v>42</v>
      </c>
      <c r="BX26" s="33">
        <v>4005</v>
      </c>
      <c r="BY26" s="33">
        <f t="shared" si="13"/>
        <v>0</v>
      </c>
      <c r="BZ26" s="247">
        <f>'[1]Reading.4.23'!BY26</f>
        <v>0</v>
      </c>
      <c r="CB26" s="33">
        <v>234070</v>
      </c>
      <c r="CC26" s="33">
        <f t="shared" si="14"/>
        <v>20</v>
      </c>
      <c r="CD26" s="247">
        <f>'[1]Reading.4.23'!CC26</f>
        <v>58</v>
      </c>
      <c r="CF26" s="33">
        <v>6240</v>
      </c>
      <c r="CG26" s="33">
        <f t="shared" si="15"/>
        <v>5</v>
      </c>
      <c r="CH26" s="247">
        <f>'[1]Reading.4.23'!CG26</f>
        <v>0</v>
      </c>
      <c r="CI26" s="33">
        <v>19770</v>
      </c>
      <c r="CJ26" s="33">
        <f t="shared" si="16"/>
        <v>-3</v>
      </c>
      <c r="CK26" s="247">
        <f>'[1]Reading.4.23'!CG26</f>
        <v>0</v>
      </c>
      <c r="CM26" s="33">
        <f t="shared" si="34"/>
        <v>88</v>
      </c>
      <c r="CN26" s="33">
        <f t="shared" si="34"/>
        <v>130</v>
      </c>
      <c r="CP26" s="33">
        <v>109550</v>
      </c>
      <c r="CQ26" s="33">
        <f t="shared" si="18"/>
        <v>319</v>
      </c>
      <c r="CR26" s="134">
        <f t="shared" si="19"/>
        <v>0.62183235867446396</v>
      </c>
      <c r="CS26" s="247">
        <f>'[1]Reading.4.23'!CN26</f>
        <v>282</v>
      </c>
      <c r="CT26" s="282">
        <f>'[1]Reading.4.23'!CO24</f>
        <v>0.40567951318458417</v>
      </c>
      <c r="CV26" s="33">
        <v>5255</v>
      </c>
      <c r="CW26" s="33">
        <f t="shared" si="20"/>
        <v>2</v>
      </c>
      <c r="CX26" s="247">
        <f>'[1]Reading.4.23'!CT26</f>
        <v>1</v>
      </c>
      <c r="CZ26" s="33">
        <v>939</v>
      </c>
      <c r="DA26" s="33">
        <f t="shared" si="21"/>
        <v>4</v>
      </c>
      <c r="DB26" s="247">
        <f>'[1]Reading.4.23'!CX26</f>
        <v>4</v>
      </c>
      <c r="DD26" s="33">
        <v>1436983</v>
      </c>
      <c r="DE26" s="33">
        <f t="shared" si="22"/>
        <v>845</v>
      </c>
      <c r="DF26" s="247">
        <f>'[1]Reading.4.23'!DB26</f>
        <v>1001</v>
      </c>
      <c r="DH26" s="33">
        <v>3350934</v>
      </c>
      <c r="DI26" s="33">
        <f t="shared" si="23"/>
        <v>1819</v>
      </c>
      <c r="DJ26" s="247">
        <f>'[1]Reading.4.23'!DF26</f>
        <v>1831</v>
      </c>
      <c r="DL26" s="33">
        <v>2918880</v>
      </c>
      <c r="DM26" s="33">
        <f t="shared" si="24"/>
        <v>33</v>
      </c>
      <c r="DN26" s="247">
        <f>'[1]Reading.4.23'!DJ26</f>
        <v>1865</v>
      </c>
      <c r="DP26" s="33">
        <v>2285565</v>
      </c>
      <c r="DQ26" s="33">
        <f t="shared" si="25"/>
        <v>34</v>
      </c>
      <c r="DR26" s="247">
        <f>'[1]Reading.4.23'!DN26</f>
        <v>1589</v>
      </c>
      <c r="DT26" s="33">
        <v>3110115</v>
      </c>
      <c r="DU26" s="33">
        <f t="shared" si="26"/>
        <v>4622</v>
      </c>
      <c r="DV26" s="247">
        <f>'[1]Reading.4.23'!DR26</f>
        <v>29</v>
      </c>
      <c r="DX26" s="33">
        <v>720</v>
      </c>
      <c r="DZ26" s="33">
        <f t="shared" si="27"/>
        <v>5409</v>
      </c>
      <c r="EA26" s="247">
        <f>'[1]Reading.4.23'!DW26</f>
        <v>4203</v>
      </c>
      <c r="EC26" s="196">
        <f t="shared" si="28"/>
        <v>2667.6</v>
      </c>
      <c r="ED26" s="281">
        <f>'[1]Reading.4.23'!C26*5.2</f>
        <v>3556.8</v>
      </c>
      <c r="EF26" s="33">
        <v>60676</v>
      </c>
      <c r="EG26" s="292">
        <f t="shared" si="29"/>
        <v>65</v>
      </c>
      <c r="EH26" s="247"/>
      <c r="EJ26" s="33">
        <v>24261</v>
      </c>
      <c r="EK26" s="292">
        <f t="shared" si="30"/>
        <v>25</v>
      </c>
      <c r="EL26" s="247"/>
    </row>
    <row r="27" spans="1:142" x14ac:dyDescent="0.25">
      <c r="A27" s="298">
        <v>45404</v>
      </c>
      <c r="B27" s="33">
        <v>290338</v>
      </c>
      <c r="C27" s="33">
        <f t="shared" si="0"/>
        <v>631</v>
      </c>
      <c r="D27" s="33"/>
      <c r="E27" s="33">
        <v>0</v>
      </c>
      <c r="F27" s="251">
        <v>865</v>
      </c>
      <c r="G27" s="33">
        <f t="shared" si="1"/>
        <v>541</v>
      </c>
      <c r="H27" s="190">
        <f>'[1]Reading.4.23'!G27</f>
        <v>609</v>
      </c>
      <c r="I27" s="187"/>
      <c r="J27" s="33">
        <v>207675</v>
      </c>
      <c r="K27" s="189">
        <f t="shared" si="2"/>
        <v>182.05199999999999</v>
      </c>
      <c r="L27" s="258">
        <f>'[1]Reading.4.23'!K27</f>
        <v>242.73600000000002</v>
      </c>
      <c r="M27" s="188"/>
      <c r="N27" s="33">
        <v>733196</v>
      </c>
      <c r="O27" s="189">
        <f t="shared" si="3"/>
        <v>493.27000000000004</v>
      </c>
      <c r="P27" s="258">
        <f>'[1]Reading.4.23'!O27</f>
        <v>571.64</v>
      </c>
      <c r="Q27" s="34"/>
      <c r="R27" s="33">
        <v>42700</v>
      </c>
      <c r="S27" s="33"/>
      <c r="T27" s="33">
        <f t="shared" si="4"/>
        <v>0</v>
      </c>
      <c r="U27" s="258">
        <f>'[1]Reading.4.23'!T27</f>
        <v>0</v>
      </c>
      <c r="V27" s="34"/>
      <c r="W27" s="186">
        <v>45833.68</v>
      </c>
      <c r="X27" s="189">
        <f t="shared" si="5"/>
        <v>36679.999999993015</v>
      </c>
      <c r="Y27" s="258">
        <f>'[1]Reading.4.23'!X27</f>
        <v>38760.000000009313</v>
      </c>
      <c r="Z27" s="34"/>
      <c r="AA27" s="266">
        <v>520050</v>
      </c>
      <c r="AB27" s="189">
        <f t="shared" si="6"/>
        <v>0</v>
      </c>
      <c r="AC27" s="258">
        <f>'[1]Reading.4.23'!AB27</f>
        <v>0</v>
      </c>
      <c r="AD27" s="34"/>
      <c r="AE27" s="260">
        <f t="shared" si="7"/>
        <v>36679.999999993015</v>
      </c>
      <c r="AF27" s="261">
        <f>'[1]Reading.4.23'!AE27</f>
        <v>38760.000000009313</v>
      </c>
      <c r="AG27" s="259">
        <f t="shared" si="31"/>
        <v>32980.300000000003</v>
      </c>
      <c r="AH27" s="34"/>
      <c r="AI27" s="287">
        <v>0.73</v>
      </c>
      <c r="AJ27" s="193">
        <f>'[1]Reading.4.23'!AI27</f>
        <v>0.80989999999999995</v>
      </c>
      <c r="AK27" s="192">
        <v>3.6379999999999999</v>
      </c>
      <c r="AL27" s="34"/>
      <c r="AM27" s="218">
        <v>384</v>
      </c>
      <c r="AN27" s="326">
        <f>'[1]Reading.4.23'!AM27</f>
        <v>426</v>
      </c>
      <c r="AO27" s="194">
        <f t="shared" si="32"/>
        <v>335.5</v>
      </c>
      <c r="AP27" s="34"/>
      <c r="AQ27" s="265">
        <f t="shared" si="33"/>
        <v>1868</v>
      </c>
      <c r="AR27" s="261">
        <f>'[1]Reading.4.23'!AQ27</f>
        <v>1968</v>
      </c>
      <c r="AS27" s="34"/>
      <c r="AT27" s="196">
        <v>7157.46</v>
      </c>
      <c r="AU27" s="197">
        <f t="shared" si="8"/>
        <v>4479.9999999995634</v>
      </c>
      <c r="AV27" s="195">
        <f t="shared" si="9"/>
        <v>0.99262365311005618</v>
      </c>
      <c r="AW27" s="34"/>
      <c r="AX27" s="191"/>
      <c r="AY27" s="262">
        <f>'[1]Reading.4.23'!X27</f>
        <v>38760.000000009313</v>
      </c>
      <c r="AZ27" s="534">
        <f>'[1]Reading.4.23'!AB27</f>
        <v>0</v>
      </c>
      <c r="BA27" s="263">
        <f t="shared" si="10"/>
        <v>38760.000000009313</v>
      </c>
      <c r="BC27" s="154">
        <v>23</v>
      </c>
      <c r="BD27" s="267">
        <v>21</v>
      </c>
      <c r="BE27" s="221">
        <v>18</v>
      </c>
      <c r="BF27" s="223">
        <v>64</v>
      </c>
      <c r="BG27" s="222">
        <v>82</v>
      </c>
      <c r="BH27" s="267">
        <f>'[1]Reading.4.23'!BD27</f>
        <v>25.3</v>
      </c>
      <c r="BI27" s="267">
        <f>'[1]Reading.4.23'!BE27</f>
        <v>21</v>
      </c>
      <c r="BJ27" s="267">
        <f>'[1]Reading.4.23'!BF27</f>
        <v>64</v>
      </c>
      <c r="BL27" s="151">
        <v>526</v>
      </c>
      <c r="BN27" s="189">
        <f>'[1]Reading.4.23'!E25</f>
        <v>0</v>
      </c>
      <c r="BP27" s="33">
        <v>66982</v>
      </c>
      <c r="BQ27" s="33">
        <f t="shared" si="11"/>
        <v>35</v>
      </c>
      <c r="BR27" s="247">
        <f>'[1]Reading.4.23'!BQ27</f>
        <v>35</v>
      </c>
      <c r="BT27" s="33">
        <v>81913</v>
      </c>
      <c r="BU27" s="33">
        <f t="shared" si="12"/>
        <v>41</v>
      </c>
      <c r="BV27" s="247">
        <f>'[1]Reading.4.23'!BU27</f>
        <v>43</v>
      </c>
      <c r="BX27" s="33">
        <v>4005</v>
      </c>
      <c r="BY27" s="33">
        <f t="shared" si="13"/>
        <v>0</v>
      </c>
      <c r="BZ27" s="247">
        <f>'[1]Reading.4.23'!BY27</f>
        <v>0</v>
      </c>
      <c r="CB27" s="33">
        <v>234100</v>
      </c>
      <c r="CC27" s="33">
        <f t="shared" si="14"/>
        <v>30</v>
      </c>
      <c r="CD27" s="247">
        <f>'[1]Reading.4.23'!CC27</f>
        <v>60</v>
      </c>
      <c r="CF27" s="33">
        <v>6250</v>
      </c>
      <c r="CG27" s="33">
        <f t="shared" si="15"/>
        <v>10</v>
      </c>
      <c r="CH27" s="247">
        <f>'[1]Reading.4.23'!CG27</f>
        <v>0</v>
      </c>
      <c r="CI27" s="33">
        <v>19770</v>
      </c>
      <c r="CJ27" s="33">
        <f t="shared" si="16"/>
        <v>0</v>
      </c>
      <c r="CK27" s="247">
        <f>'[1]Reading.4.23'!CG27</f>
        <v>0</v>
      </c>
      <c r="CM27" s="33">
        <f t="shared" si="34"/>
        <v>106</v>
      </c>
      <c r="CN27" s="33">
        <f t="shared" si="34"/>
        <v>138</v>
      </c>
      <c r="CP27" s="33">
        <v>109920</v>
      </c>
      <c r="CQ27" s="33">
        <f t="shared" si="18"/>
        <v>370</v>
      </c>
      <c r="CR27" s="134">
        <f t="shared" si="19"/>
        <v>0.68391866913123844</v>
      </c>
      <c r="CS27" s="247">
        <f>'[1]Reading.4.23'!CN27</f>
        <v>281</v>
      </c>
      <c r="CT27" s="282">
        <f>'[1]Reading.4.23'!CO25</f>
        <v>0.35725938009787928</v>
      </c>
      <c r="CV27" s="33">
        <v>5257</v>
      </c>
      <c r="CW27" s="33">
        <f t="shared" si="20"/>
        <v>2</v>
      </c>
      <c r="CX27" s="247">
        <f>'[1]Reading.4.23'!CT27</f>
        <v>1</v>
      </c>
      <c r="CZ27" s="33">
        <v>942</v>
      </c>
      <c r="DA27" s="33">
        <f t="shared" si="21"/>
        <v>3</v>
      </c>
      <c r="DB27" s="247">
        <f>'[1]Reading.4.23'!CX27</f>
        <v>4</v>
      </c>
      <c r="DD27" s="33">
        <v>1437848</v>
      </c>
      <c r="DE27" s="33">
        <f t="shared" si="22"/>
        <v>865</v>
      </c>
      <c r="DF27" s="247">
        <f>'[1]Reading.4.23'!DB27</f>
        <v>1095</v>
      </c>
      <c r="DH27" s="33">
        <v>3353210</v>
      </c>
      <c r="DI27" s="33">
        <f t="shared" si="23"/>
        <v>2276</v>
      </c>
      <c r="DJ27" s="247">
        <f>'[1]Reading.4.23'!DF27</f>
        <v>2114</v>
      </c>
      <c r="DL27" s="33">
        <v>2918912</v>
      </c>
      <c r="DM27" s="33">
        <f t="shared" si="24"/>
        <v>32</v>
      </c>
      <c r="DN27" s="247">
        <f>'[1]Reading.4.23'!DJ27</f>
        <v>2151</v>
      </c>
      <c r="DP27" s="33">
        <v>2285598</v>
      </c>
      <c r="DQ27" s="33">
        <f t="shared" si="25"/>
        <v>33</v>
      </c>
      <c r="DR27" s="247">
        <f>'[1]Reading.4.23'!DN27</f>
        <v>793</v>
      </c>
      <c r="DT27" s="33">
        <v>3114681</v>
      </c>
      <c r="DU27" s="33">
        <f t="shared" si="26"/>
        <v>4566</v>
      </c>
      <c r="DV27" s="247">
        <f>'[1]Reading.4.23'!DR27</f>
        <v>32</v>
      </c>
      <c r="DX27" s="33">
        <v>720</v>
      </c>
      <c r="DZ27" s="33">
        <f t="shared" si="27"/>
        <v>5351</v>
      </c>
      <c r="EA27" s="247">
        <f>'[1]Reading.4.23'!DW27</f>
        <v>3696</v>
      </c>
      <c r="EC27" s="196">
        <f t="shared" si="28"/>
        <v>3281.2000000000003</v>
      </c>
      <c r="ED27" s="281">
        <f>'[1]Reading.4.23'!C27*5.2</f>
        <v>2646.8</v>
      </c>
      <c r="EF27" s="33">
        <v>60737</v>
      </c>
      <c r="EG27" s="292">
        <f t="shared" si="29"/>
        <v>61</v>
      </c>
      <c r="EH27" s="247"/>
      <c r="EJ27" s="33">
        <v>24286</v>
      </c>
      <c r="EK27" s="292">
        <f t="shared" si="30"/>
        <v>25</v>
      </c>
      <c r="EL27" s="247"/>
    </row>
    <row r="28" spans="1:142" x14ac:dyDescent="0.25">
      <c r="A28" s="298">
        <v>45405</v>
      </c>
      <c r="B28" s="33">
        <v>290862</v>
      </c>
      <c r="C28" s="33">
        <f t="shared" si="0"/>
        <v>524</v>
      </c>
      <c r="D28" s="33"/>
      <c r="E28" s="33">
        <v>0</v>
      </c>
      <c r="F28" s="251">
        <v>840</v>
      </c>
      <c r="G28" s="33">
        <f t="shared" si="1"/>
        <v>549</v>
      </c>
      <c r="H28" s="190">
        <f>'[1]Reading.4.23'!G28</f>
        <v>635</v>
      </c>
      <c r="I28" s="187"/>
      <c r="J28" s="33">
        <v>207709</v>
      </c>
      <c r="K28" s="189">
        <f t="shared" si="2"/>
        <v>158.71200000000002</v>
      </c>
      <c r="L28" s="258">
        <f>'[1]Reading.4.23'!K28</f>
        <v>270.74400000000003</v>
      </c>
      <c r="M28" s="188"/>
      <c r="N28" s="33">
        <v>733282</v>
      </c>
      <c r="O28" s="189">
        <f t="shared" si="3"/>
        <v>396.46000000000004</v>
      </c>
      <c r="P28" s="258">
        <f>'[1]Reading.4.23'!O28</f>
        <v>557.81000000000006</v>
      </c>
      <c r="Q28" s="34"/>
      <c r="R28" s="33">
        <v>42700</v>
      </c>
      <c r="S28" s="33"/>
      <c r="T28" s="33">
        <f t="shared" si="4"/>
        <v>0</v>
      </c>
      <c r="U28" s="258">
        <f>'[1]Reading.4.23'!T28</f>
        <v>0</v>
      </c>
      <c r="V28" s="34"/>
      <c r="W28" s="186">
        <v>45842.400000000001</v>
      </c>
      <c r="X28" s="189">
        <f t="shared" si="5"/>
        <v>34880.000000004657</v>
      </c>
      <c r="Y28" s="258">
        <f>'[1]Reading.4.23'!X28</f>
        <v>36440.000000002328</v>
      </c>
      <c r="Z28" s="34"/>
      <c r="AA28" s="266">
        <v>520050</v>
      </c>
      <c r="AB28" s="189">
        <f t="shared" si="6"/>
        <v>0</v>
      </c>
      <c r="AC28" s="258">
        <f>'[1]Reading.4.23'!AB28</f>
        <v>0</v>
      </c>
      <c r="AD28" s="34"/>
      <c r="AE28" s="260">
        <f t="shared" si="7"/>
        <v>34880.000000004657</v>
      </c>
      <c r="AF28" s="261">
        <f>'[1]Reading.4.23'!AE28</f>
        <v>36440.000000002328</v>
      </c>
      <c r="AG28" s="259">
        <f t="shared" si="31"/>
        <v>32980.300000000003</v>
      </c>
      <c r="AH28" s="34"/>
      <c r="AI28" s="287">
        <v>0.65200000000000002</v>
      </c>
      <c r="AJ28" s="193">
        <f>'[1]Reading.4.23'!AI28</f>
        <v>0.8498</v>
      </c>
      <c r="AK28" s="192">
        <v>3.6379999999999999</v>
      </c>
      <c r="AL28" s="34"/>
      <c r="AM28" s="218">
        <v>342</v>
      </c>
      <c r="AN28" s="326">
        <f>'[1]Reading.4.23'!AM28</f>
        <v>447</v>
      </c>
      <c r="AO28" s="194">
        <f t="shared" si="32"/>
        <v>335.5</v>
      </c>
      <c r="AP28" s="34"/>
      <c r="AQ28" s="265">
        <f t="shared" si="33"/>
        <v>1868</v>
      </c>
      <c r="AR28" s="261">
        <f>'[1]Reading.4.23'!AQ28</f>
        <v>2008</v>
      </c>
      <c r="AS28" s="34"/>
      <c r="AT28" s="196">
        <v>7158.4</v>
      </c>
      <c r="AU28" s="197">
        <f t="shared" si="8"/>
        <v>3759.9999999983993</v>
      </c>
      <c r="AV28" s="195">
        <f t="shared" si="9"/>
        <v>0.99423993039032654</v>
      </c>
      <c r="AW28" s="34"/>
      <c r="AX28" s="191"/>
      <c r="AY28" s="262">
        <f>'[1]Reading.4.23'!X28</f>
        <v>36440.000000002328</v>
      </c>
      <c r="AZ28" s="534">
        <f>'[1]Reading.4.23'!AB28</f>
        <v>0</v>
      </c>
      <c r="BA28" s="263">
        <f t="shared" si="10"/>
        <v>36440.000000002328</v>
      </c>
      <c r="BC28" s="154">
        <v>23</v>
      </c>
      <c r="BD28" s="267">
        <v>21</v>
      </c>
      <c r="BE28" s="221">
        <v>18</v>
      </c>
      <c r="BF28" s="223">
        <v>64</v>
      </c>
      <c r="BG28" s="222">
        <v>82</v>
      </c>
      <c r="BH28" s="267">
        <f>'[1]Reading.4.23'!BD28</f>
        <v>25.3</v>
      </c>
      <c r="BI28" s="267">
        <f>'[1]Reading.4.23'!BE28</f>
        <v>21</v>
      </c>
      <c r="BJ28" s="267">
        <f>'[1]Reading.4.23'!BF28</f>
        <v>64</v>
      </c>
      <c r="BL28" s="151">
        <v>526</v>
      </c>
      <c r="BN28" s="189">
        <f>'[1]Reading.4.23'!E26</f>
        <v>0</v>
      </c>
      <c r="BP28" s="33">
        <v>67017</v>
      </c>
      <c r="BQ28" s="33">
        <f t="shared" si="11"/>
        <v>35</v>
      </c>
      <c r="BR28" s="247">
        <f>'[1]Reading.4.23'!BQ28</f>
        <v>38</v>
      </c>
      <c r="BT28" s="33">
        <v>81941</v>
      </c>
      <c r="BU28" s="33">
        <f t="shared" si="12"/>
        <v>28</v>
      </c>
      <c r="BV28" s="247">
        <f>'[1]Reading.4.23'!BU28</f>
        <v>40</v>
      </c>
      <c r="BX28" s="33">
        <v>4005</v>
      </c>
      <c r="BY28" s="33">
        <f t="shared" si="13"/>
        <v>0</v>
      </c>
      <c r="BZ28" s="247">
        <f>'[1]Reading.4.23'!BY28</f>
        <v>0</v>
      </c>
      <c r="CB28" s="33">
        <v>234130</v>
      </c>
      <c r="CC28" s="33">
        <f t="shared" si="14"/>
        <v>30</v>
      </c>
      <c r="CD28" s="247">
        <f>'[1]Reading.4.23'!CC28</f>
        <v>44</v>
      </c>
      <c r="CF28" s="33">
        <v>6260</v>
      </c>
      <c r="CG28" s="33">
        <f t="shared" si="15"/>
        <v>10</v>
      </c>
      <c r="CH28" s="247">
        <f>'[1]Reading.4.23'!CG28</f>
        <v>0</v>
      </c>
      <c r="CI28" s="33">
        <v>19770</v>
      </c>
      <c r="CJ28" s="33">
        <f t="shared" si="16"/>
        <v>0</v>
      </c>
      <c r="CK28" s="247">
        <f>'[1]Reading.4.23'!CG28</f>
        <v>0</v>
      </c>
      <c r="CM28" s="33">
        <f t="shared" ref="CM28:CN35" si="35">BQ28+BU28+BY29+CC28+CJ29</f>
        <v>93</v>
      </c>
      <c r="CN28" s="33">
        <f t="shared" si="35"/>
        <v>122</v>
      </c>
      <c r="CP28" s="33">
        <v>110270</v>
      </c>
      <c r="CQ28" s="33">
        <f t="shared" si="18"/>
        <v>350</v>
      </c>
      <c r="CR28" s="134">
        <f t="shared" si="19"/>
        <v>0.63752276867030966</v>
      </c>
      <c r="CS28" s="247">
        <f>'[1]Reading.4.23'!CN28</f>
        <v>246</v>
      </c>
      <c r="CT28" s="282">
        <f>'[1]Reading.4.23'!CO26</f>
        <v>0.44833068362480127</v>
      </c>
      <c r="CV28" s="33">
        <v>5260</v>
      </c>
      <c r="CW28" s="33">
        <f t="shared" si="20"/>
        <v>3</v>
      </c>
      <c r="CX28" s="247">
        <f>'[1]Reading.4.23'!CT28</f>
        <v>2</v>
      </c>
      <c r="CZ28" s="33">
        <v>946</v>
      </c>
      <c r="DA28" s="33">
        <f t="shared" si="21"/>
        <v>4</v>
      </c>
      <c r="DB28" s="247">
        <f>'[1]Reading.4.23'!CX28</f>
        <v>6</v>
      </c>
      <c r="DD28" s="33">
        <v>1438603</v>
      </c>
      <c r="DE28" s="33">
        <f t="shared" si="22"/>
        <v>755</v>
      </c>
      <c r="DF28" s="247">
        <f>'[1]Reading.4.23'!DB28</f>
        <v>1044</v>
      </c>
      <c r="DH28" s="33">
        <v>3355165</v>
      </c>
      <c r="DI28" s="33">
        <f t="shared" si="23"/>
        <v>1955</v>
      </c>
      <c r="DJ28" s="247">
        <f>'[1]Reading.4.23'!DF28</f>
        <v>2246</v>
      </c>
      <c r="DL28" s="33">
        <v>2918942</v>
      </c>
      <c r="DM28" s="33">
        <f t="shared" si="24"/>
        <v>30</v>
      </c>
      <c r="DN28" s="247">
        <f>'[1]Reading.4.23'!DJ28</f>
        <v>2151</v>
      </c>
      <c r="DP28" s="33">
        <v>2286259</v>
      </c>
      <c r="DQ28" s="33">
        <f t="shared" si="25"/>
        <v>661</v>
      </c>
      <c r="DR28" s="247">
        <f>'[1]Reading.4.23'!DN28</f>
        <v>500</v>
      </c>
      <c r="DT28" s="33">
        <v>3118457</v>
      </c>
      <c r="DU28" s="33">
        <f t="shared" si="26"/>
        <v>3776</v>
      </c>
      <c r="DV28" s="247">
        <f>'[1]Reading.4.23'!DR28</f>
        <v>32</v>
      </c>
      <c r="DX28" s="33">
        <v>720</v>
      </c>
      <c r="DZ28" s="33">
        <f t="shared" si="27"/>
        <v>5187</v>
      </c>
      <c r="EA28" s="247">
        <f>'[1]Reading.4.23'!DW28</f>
        <v>3403</v>
      </c>
      <c r="EC28" s="196">
        <f t="shared" si="28"/>
        <v>2724.8</v>
      </c>
      <c r="ED28" s="281">
        <f>'[1]Reading.4.23'!C28*5.2</f>
        <v>3536</v>
      </c>
      <c r="EF28" s="33">
        <v>60785</v>
      </c>
      <c r="EG28" s="292">
        <f t="shared" si="29"/>
        <v>48</v>
      </c>
      <c r="EH28" s="247"/>
      <c r="EJ28" s="33">
        <v>24311</v>
      </c>
      <c r="EK28" s="292">
        <f t="shared" si="30"/>
        <v>25</v>
      </c>
      <c r="EL28" s="247"/>
    </row>
    <row r="29" spans="1:142" x14ac:dyDescent="0.25">
      <c r="A29" s="298">
        <v>45406</v>
      </c>
      <c r="B29" s="33">
        <v>291297</v>
      </c>
      <c r="C29" s="33">
        <f t="shared" si="0"/>
        <v>435</v>
      </c>
      <c r="D29" s="33"/>
      <c r="E29" s="33">
        <v>0</v>
      </c>
      <c r="F29" s="251">
        <v>840</v>
      </c>
      <c r="G29" s="33">
        <f t="shared" si="1"/>
        <v>435</v>
      </c>
      <c r="H29" s="190">
        <f>'[1]Reading.4.23'!G29</f>
        <v>618</v>
      </c>
      <c r="I29" s="187"/>
      <c r="J29" s="33">
        <v>207752</v>
      </c>
      <c r="K29" s="189">
        <f t="shared" si="2"/>
        <v>200.72400000000002</v>
      </c>
      <c r="L29" s="258">
        <f>'[1]Reading.4.23'!K29</f>
        <v>219.39600000000002</v>
      </c>
      <c r="M29" s="188"/>
      <c r="N29" s="33">
        <v>733379</v>
      </c>
      <c r="O29" s="189">
        <f t="shared" si="3"/>
        <v>447.17</v>
      </c>
      <c r="P29" s="258">
        <f>'[1]Reading.4.23'!O29</f>
        <v>594.69000000000005</v>
      </c>
      <c r="Q29" s="34"/>
      <c r="R29" s="33">
        <v>42700</v>
      </c>
      <c r="S29" s="33"/>
      <c r="T29" s="33">
        <f t="shared" si="4"/>
        <v>0</v>
      </c>
      <c r="U29" s="258">
        <f>'[1]Reading.4.23'!T29</f>
        <v>0</v>
      </c>
      <c r="V29" s="34"/>
      <c r="W29" s="186">
        <v>45851.31</v>
      </c>
      <c r="X29" s="189">
        <f t="shared" si="5"/>
        <v>35639.999999984866</v>
      </c>
      <c r="Y29" s="258">
        <f>'[1]Reading.4.23'!X29</f>
        <v>42119.999999995343</v>
      </c>
      <c r="Z29" s="34"/>
      <c r="AA29" s="266">
        <v>520050</v>
      </c>
      <c r="AB29" s="189">
        <f t="shared" si="6"/>
        <v>0</v>
      </c>
      <c r="AC29" s="258">
        <f>'[1]Reading.4.23'!AB29</f>
        <v>0</v>
      </c>
      <c r="AD29" s="34"/>
      <c r="AE29" s="260">
        <f t="shared" si="7"/>
        <v>35639.999999984866</v>
      </c>
      <c r="AF29" s="261">
        <f>'[1]Reading.4.23'!AE29</f>
        <v>42119.999999995343</v>
      </c>
      <c r="AG29" s="259">
        <f t="shared" si="31"/>
        <v>32980.300000000003</v>
      </c>
      <c r="AH29" s="34"/>
      <c r="AI29" s="287">
        <v>0.64829999999999999</v>
      </c>
      <c r="AJ29" s="193">
        <f>'[1]Reading.4.23'!AI29</f>
        <v>0.83079999999999998</v>
      </c>
      <c r="AK29" s="192">
        <v>4.6379999999999999</v>
      </c>
      <c r="AL29" s="34"/>
      <c r="AM29" s="218">
        <v>341</v>
      </c>
      <c r="AN29" s="326">
        <f>'[1]Reading.4.23'!AM29</f>
        <v>437</v>
      </c>
      <c r="AO29" s="194">
        <f t="shared" si="32"/>
        <v>335.5</v>
      </c>
      <c r="AP29" s="34"/>
      <c r="AQ29" s="265">
        <f t="shared" si="33"/>
        <v>1868</v>
      </c>
      <c r="AR29" s="261">
        <f>'[1]Reading.4.23'!AQ29</f>
        <v>2044</v>
      </c>
      <c r="AS29" s="34"/>
      <c r="AT29" s="196">
        <v>7159.42</v>
      </c>
      <c r="AU29" s="197">
        <f t="shared" si="8"/>
        <v>4080.0000000017462</v>
      </c>
      <c r="AV29" s="195">
        <f t="shared" si="9"/>
        <v>0.99351109048324138</v>
      </c>
      <c r="AW29" s="34"/>
      <c r="AX29" s="191"/>
      <c r="AY29" s="262">
        <f>'[1]Reading.4.23'!X29</f>
        <v>42119.999999995343</v>
      </c>
      <c r="AZ29" s="534">
        <f>'[1]Reading.4.23'!AB29</f>
        <v>0</v>
      </c>
      <c r="BA29" s="263">
        <f t="shared" si="10"/>
        <v>42119.999999995343</v>
      </c>
      <c r="BC29" s="154">
        <v>24</v>
      </c>
      <c r="BD29" s="267">
        <v>21</v>
      </c>
      <c r="BE29" s="221">
        <v>18</v>
      </c>
      <c r="BF29" s="223">
        <v>56</v>
      </c>
      <c r="BG29" s="222">
        <v>83</v>
      </c>
      <c r="BH29" s="267">
        <f>'[1]Reading.4.23'!BD29</f>
        <v>27.6</v>
      </c>
      <c r="BI29" s="267">
        <f>'[1]Reading.4.23'!BE29</f>
        <v>24</v>
      </c>
      <c r="BJ29" s="267">
        <f>'[1]Reading.4.23'!BF29</f>
        <v>53</v>
      </c>
      <c r="BL29" s="151">
        <v>526</v>
      </c>
      <c r="BN29" s="189">
        <f>'[1]Reading.4.23'!E27</f>
        <v>0</v>
      </c>
      <c r="BP29" s="33">
        <v>67054</v>
      </c>
      <c r="BQ29" s="33">
        <f t="shared" si="11"/>
        <v>37</v>
      </c>
      <c r="BR29" s="247">
        <f>'[1]Reading.4.23'!BQ29</f>
        <v>34</v>
      </c>
      <c r="BT29" s="33">
        <v>81981</v>
      </c>
      <c r="BU29" s="33">
        <f t="shared" si="12"/>
        <v>40</v>
      </c>
      <c r="BV29" s="247">
        <f>'[1]Reading.4.23'!BU29</f>
        <v>51</v>
      </c>
      <c r="BX29" s="33">
        <v>4005</v>
      </c>
      <c r="BY29" s="33">
        <f t="shared" ref="BY29:BY34" si="36">BX28-BX27</f>
        <v>0</v>
      </c>
      <c r="BZ29" s="247">
        <f>'[1]Reading.4.23'!BY28</f>
        <v>0</v>
      </c>
      <c r="CB29" s="33">
        <v>234160</v>
      </c>
      <c r="CC29" s="33">
        <f t="shared" si="14"/>
        <v>30</v>
      </c>
      <c r="CD29" s="247">
        <f>'[1]Reading.4.23'!CC29</f>
        <v>32</v>
      </c>
      <c r="CF29" s="33">
        <v>6265</v>
      </c>
      <c r="CG29" s="33">
        <f t="shared" si="15"/>
        <v>5</v>
      </c>
      <c r="CH29" s="247">
        <f>'[1]Reading.4.23'!CG29</f>
        <v>0</v>
      </c>
      <c r="CI29" s="33">
        <v>19770</v>
      </c>
      <c r="CJ29" s="33">
        <f t="shared" ref="CJ29:CJ35" si="37">CI28-CI27</f>
        <v>0</v>
      </c>
      <c r="CK29" s="247">
        <f>'[1]Reading.4.23'!CG28</f>
        <v>0</v>
      </c>
      <c r="CM29" s="33">
        <f t="shared" si="35"/>
        <v>107</v>
      </c>
      <c r="CN29" s="33">
        <f t="shared" si="35"/>
        <v>117</v>
      </c>
      <c r="CP29" s="33">
        <v>110670</v>
      </c>
      <c r="CQ29" s="33">
        <f t="shared" si="18"/>
        <v>400</v>
      </c>
      <c r="CR29" s="134">
        <f t="shared" si="19"/>
        <v>0.91954022988505746</v>
      </c>
      <c r="CS29" s="247">
        <f>'[1]Reading.4.23'!CN29</f>
        <v>251</v>
      </c>
      <c r="CT29" s="282">
        <f>'[1]Reading.4.23'!CO27</f>
        <v>0.46141215106732347</v>
      </c>
      <c r="CV29" s="33">
        <v>5262</v>
      </c>
      <c r="CW29" s="33">
        <f t="shared" si="20"/>
        <v>2</v>
      </c>
      <c r="CX29" s="247">
        <f>'[1]Reading.4.23'!CT29</f>
        <v>1</v>
      </c>
      <c r="CZ29" s="33">
        <v>947</v>
      </c>
      <c r="DA29" s="33">
        <f t="shared" si="21"/>
        <v>1</v>
      </c>
      <c r="DB29" s="247">
        <f>'[1]Reading.4.23'!CX29</f>
        <v>6</v>
      </c>
      <c r="DD29" s="33">
        <v>1439413</v>
      </c>
      <c r="DE29" s="33">
        <f t="shared" si="22"/>
        <v>810</v>
      </c>
      <c r="DF29" s="247">
        <f>'[1]Reading.4.23'!DB29</f>
        <v>1133</v>
      </c>
      <c r="DH29" s="33">
        <v>3357066</v>
      </c>
      <c r="DI29" s="33">
        <f t="shared" si="23"/>
        <v>1901</v>
      </c>
      <c r="DJ29" s="247">
        <f>'[1]Reading.4.23'!DF29</f>
        <v>2028</v>
      </c>
      <c r="DL29" s="33">
        <v>2918975</v>
      </c>
      <c r="DM29" s="33">
        <f t="shared" si="24"/>
        <v>33</v>
      </c>
      <c r="DN29" s="247">
        <f>'[1]Reading.4.23'!DJ29</f>
        <v>2892</v>
      </c>
      <c r="DP29" s="33">
        <v>2288359</v>
      </c>
      <c r="DQ29" s="33">
        <f t="shared" si="25"/>
        <v>2100</v>
      </c>
      <c r="DR29" s="247">
        <f>'[1]Reading.4.23'!DN29</f>
        <v>4255</v>
      </c>
      <c r="DT29" s="33">
        <v>3121374</v>
      </c>
      <c r="DU29" s="33">
        <f t="shared" si="26"/>
        <v>2917</v>
      </c>
      <c r="DV29" s="247">
        <f>'[1]Reading.4.23'!DR29</f>
        <v>31</v>
      </c>
      <c r="DX29" s="33">
        <v>720</v>
      </c>
      <c r="DZ29" s="33">
        <f t="shared" si="27"/>
        <v>5770</v>
      </c>
      <c r="EA29" s="247">
        <f>'[1]Reading.4.23'!DW29</f>
        <v>7898</v>
      </c>
      <c r="EC29" s="196">
        <f t="shared" si="28"/>
        <v>2262</v>
      </c>
      <c r="ED29" s="281">
        <f>'[1]Reading.4.23'!C29*5.2</f>
        <v>3525.6</v>
      </c>
      <c r="EF29" s="33">
        <v>60843</v>
      </c>
      <c r="EG29" s="292">
        <f t="shared" si="29"/>
        <v>58</v>
      </c>
      <c r="EH29" s="247"/>
      <c r="EJ29" s="33">
        <v>24334</v>
      </c>
      <c r="EK29" s="292">
        <f t="shared" si="30"/>
        <v>23</v>
      </c>
      <c r="EL29" s="247"/>
    </row>
    <row r="30" spans="1:142" x14ac:dyDescent="0.25">
      <c r="A30" s="298">
        <v>45407</v>
      </c>
      <c r="B30" s="33">
        <v>291927</v>
      </c>
      <c r="C30" s="33">
        <f t="shared" si="0"/>
        <v>630</v>
      </c>
      <c r="D30" s="33"/>
      <c r="E30" s="33">
        <v>0</v>
      </c>
      <c r="F30" s="251">
        <v>615</v>
      </c>
      <c r="G30" s="33">
        <f t="shared" si="1"/>
        <v>855</v>
      </c>
      <c r="H30" s="190">
        <f>'[1]Reading.4.23'!G30</f>
        <v>694</v>
      </c>
      <c r="I30" s="187"/>
      <c r="J30" s="33">
        <v>207784</v>
      </c>
      <c r="K30" s="189">
        <f t="shared" si="2"/>
        <v>149.376</v>
      </c>
      <c r="L30" s="258">
        <f>'[1]Reading.4.23'!K30</f>
        <v>219.39600000000002</v>
      </c>
      <c r="M30" s="188"/>
      <c r="N30" s="33">
        <v>733489</v>
      </c>
      <c r="O30" s="189">
        <f t="shared" si="3"/>
        <v>507.1</v>
      </c>
      <c r="P30" s="258">
        <f>'[1]Reading.4.23'!O30</f>
        <v>571.64</v>
      </c>
      <c r="Q30" s="34"/>
      <c r="R30" s="33">
        <v>42700</v>
      </c>
      <c r="S30" s="33"/>
      <c r="T30" s="33">
        <f t="shared" si="4"/>
        <v>0</v>
      </c>
      <c r="U30" s="258">
        <f>'[1]Reading.4.23'!T30</f>
        <v>0</v>
      </c>
      <c r="V30" s="34"/>
      <c r="W30" s="186">
        <v>45860.28</v>
      </c>
      <c r="X30" s="189">
        <f t="shared" si="5"/>
        <v>35880.000000004657</v>
      </c>
      <c r="Y30" s="258">
        <f>'[1]Reading.4.23'!X30</f>
        <v>37839.999999996508</v>
      </c>
      <c r="Z30" s="34"/>
      <c r="AA30" s="266">
        <v>520050</v>
      </c>
      <c r="AB30" s="189">
        <f t="shared" si="6"/>
        <v>0</v>
      </c>
      <c r="AC30" s="258">
        <f>'[1]Reading.4.23'!AB30</f>
        <v>0</v>
      </c>
      <c r="AD30" s="34"/>
      <c r="AE30" s="260">
        <f t="shared" si="7"/>
        <v>35880.000000004657</v>
      </c>
      <c r="AF30" s="261">
        <f>'[1]Reading.4.23'!AE30</f>
        <v>37839.999999996508</v>
      </c>
      <c r="AG30" s="259">
        <f t="shared" si="31"/>
        <v>32980.300000000003</v>
      </c>
      <c r="AH30" s="34"/>
      <c r="AI30" s="287">
        <v>0.73</v>
      </c>
      <c r="AJ30" s="193">
        <f>'[1]Reading.4.23'!AI30</f>
        <v>0.80800000000000005</v>
      </c>
      <c r="AK30" s="192">
        <v>4.6379999999999999</v>
      </c>
      <c r="AL30" s="34"/>
      <c r="AM30" s="218">
        <v>384</v>
      </c>
      <c r="AN30" s="326">
        <f>'[1]Reading.4.23'!AM30</f>
        <v>425</v>
      </c>
      <c r="AO30" s="194">
        <f t="shared" si="32"/>
        <v>335.5</v>
      </c>
      <c r="AP30" s="34"/>
      <c r="AQ30" s="265">
        <f>500*4</f>
        <v>2000</v>
      </c>
      <c r="AR30" s="261">
        <f>'[1]Reading.4.23'!AQ30</f>
        <v>2044</v>
      </c>
      <c r="AS30" s="34"/>
      <c r="AT30" s="196">
        <v>7160.42</v>
      </c>
      <c r="AU30" s="197">
        <f t="shared" si="8"/>
        <v>4000</v>
      </c>
      <c r="AV30" s="195">
        <f t="shared" si="9"/>
        <v>0.99384313247348666</v>
      </c>
      <c r="AW30" s="34"/>
      <c r="AX30" s="191"/>
      <c r="AY30" s="262">
        <f>'[1]Reading.4.23'!X30</f>
        <v>37839.999999996508</v>
      </c>
      <c r="AZ30" s="534">
        <f>'[1]Reading.4.23'!AB30</f>
        <v>0</v>
      </c>
      <c r="BA30" s="263">
        <f t="shared" si="10"/>
        <v>37839.999999996508</v>
      </c>
      <c r="BC30" s="154">
        <v>24</v>
      </c>
      <c r="BD30" s="267">
        <v>21</v>
      </c>
      <c r="BE30" s="221">
        <v>18</v>
      </c>
      <c r="BF30" s="223">
        <v>56</v>
      </c>
      <c r="BG30" s="222">
        <v>83</v>
      </c>
      <c r="BH30" s="267">
        <f>'[1]Reading.4.23'!BD30</f>
        <v>26.6</v>
      </c>
      <c r="BI30" s="267">
        <f>'[1]Reading.4.23'!BE30</f>
        <v>22</v>
      </c>
      <c r="BJ30" s="267">
        <f>'[1]Reading.4.23'!BF30</f>
        <v>53</v>
      </c>
      <c r="BL30" s="151">
        <v>526</v>
      </c>
      <c r="BN30" s="189">
        <f>'[1]Reading.4.23'!E28</f>
        <v>0</v>
      </c>
      <c r="BP30" s="33">
        <v>67085</v>
      </c>
      <c r="BQ30" s="33">
        <f t="shared" si="11"/>
        <v>31</v>
      </c>
      <c r="BR30" s="247">
        <f>'[1]Reading.4.23'!BQ30</f>
        <v>38</v>
      </c>
      <c r="BT30" s="33">
        <v>82028</v>
      </c>
      <c r="BU30" s="33">
        <f t="shared" si="12"/>
        <v>47</v>
      </c>
      <c r="BV30" s="247">
        <f>'[1]Reading.4.23'!BU30</f>
        <v>52</v>
      </c>
      <c r="BX30" s="33">
        <v>4005</v>
      </c>
      <c r="BY30" s="33">
        <f t="shared" si="36"/>
        <v>0</v>
      </c>
      <c r="BZ30" s="247">
        <f>'[1]Reading.4.23'!BY29</f>
        <v>0</v>
      </c>
      <c r="CB30" s="33">
        <v>234370</v>
      </c>
      <c r="CC30" s="33">
        <f t="shared" si="14"/>
        <v>210</v>
      </c>
      <c r="CD30" s="247">
        <f>'[1]Reading.4.23'!CC30</f>
        <v>75</v>
      </c>
      <c r="CF30" s="33">
        <v>6270</v>
      </c>
      <c r="CG30" s="33">
        <f t="shared" si="15"/>
        <v>5</v>
      </c>
      <c r="CH30" s="247">
        <f>'[1]Reading.4.23'!CG30</f>
        <v>0</v>
      </c>
      <c r="CI30" s="33">
        <v>19770</v>
      </c>
      <c r="CJ30" s="33">
        <f t="shared" si="37"/>
        <v>0</v>
      </c>
      <c r="CK30" s="247">
        <f>'[1]Reading.4.23'!CG29</f>
        <v>0</v>
      </c>
      <c r="CM30" s="33">
        <f t="shared" si="35"/>
        <v>288</v>
      </c>
      <c r="CN30" s="33">
        <f t="shared" si="35"/>
        <v>165</v>
      </c>
      <c r="CP30" s="33">
        <v>111090</v>
      </c>
      <c r="CQ30" s="33">
        <f t="shared" si="18"/>
        <v>420</v>
      </c>
      <c r="CR30" s="134">
        <f t="shared" si="19"/>
        <v>0.49122807017543857</v>
      </c>
      <c r="CS30" s="247">
        <f>'[1]Reading.4.23'!CN30</f>
        <v>269</v>
      </c>
      <c r="CT30" s="282">
        <f>'[1]Reading.4.23'!CO28</f>
        <v>0.38740157480314963</v>
      </c>
      <c r="CV30" s="33">
        <v>5264</v>
      </c>
      <c r="CW30" s="33">
        <f t="shared" si="20"/>
        <v>2</v>
      </c>
      <c r="CX30" s="247">
        <f>'[1]Reading.4.23'!CT30</f>
        <v>2</v>
      </c>
      <c r="CZ30" s="33">
        <v>949</v>
      </c>
      <c r="DA30" s="33">
        <f t="shared" si="21"/>
        <v>2</v>
      </c>
      <c r="DB30" s="247">
        <f>'[1]Reading.4.23'!CX30</f>
        <v>5</v>
      </c>
      <c r="DD30" s="33">
        <v>1440364</v>
      </c>
      <c r="DE30" s="33">
        <f t="shared" si="22"/>
        <v>951</v>
      </c>
      <c r="DF30" s="247">
        <f>'[1]Reading.4.23'!DB30</f>
        <v>1116</v>
      </c>
      <c r="DH30" s="33">
        <v>3359083</v>
      </c>
      <c r="DI30" s="33">
        <f t="shared" si="23"/>
        <v>2017</v>
      </c>
      <c r="DJ30" s="247">
        <f>'[1]Reading.4.23'!DF30</f>
        <v>2251</v>
      </c>
      <c r="DL30" s="33">
        <v>2919008</v>
      </c>
      <c r="DM30" s="33">
        <f t="shared" si="24"/>
        <v>33</v>
      </c>
      <c r="DN30" s="247">
        <f>'[1]Reading.4.23'!DJ30</f>
        <v>2320</v>
      </c>
      <c r="DP30" s="33">
        <v>2290476</v>
      </c>
      <c r="DQ30" s="33">
        <f t="shared" si="25"/>
        <v>2117</v>
      </c>
      <c r="DR30" s="247">
        <f>'[1]Reading.4.23'!DN30</f>
        <v>1836</v>
      </c>
      <c r="DT30" s="33">
        <v>3124326</v>
      </c>
      <c r="DU30" s="33">
        <f t="shared" si="26"/>
        <v>2952</v>
      </c>
      <c r="DV30" s="247">
        <f>'[1]Reading.4.23'!DR30</f>
        <v>32</v>
      </c>
      <c r="DX30" s="33">
        <v>720</v>
      </c>
      <c r="DZ30" s="33">
        <f t="shared" si="27"/>
        <v>5822</v>
      </c>
      <c r="EA30" s="247">
        <f>'[1]Reading.4.23'!DW30</f>
        <v>4908</v>
      </c>
      <c r="EC30" s="196">
        <f t="shared" si="28"/>
        <v>3276</v>
      </c>
      <c r="ED30" s="281">
        <f>'[1]Reading.4.23'!C30*5.2</f>
        <v>2724.8</v>
      </c>
      <c r="EF30" s="33">
        <v>60898</v>
      </c>
      <c r="EG30" s="292">
        <f t="shared" si="29"/>
        <v>55</v>
      </c>
      <c r="EH30" s="247"/>
      <c r="EJ30" s="33">
        <v>24355</v>
      </c>
      <c r="EK30" s="292">
        <f t="shared" si="30"/>
        <v>21</v>
      </c>
      <c r="EL30" s="247"/>
    </row>
    <row r="31" spans="1:142" x14ac:dyDescent="0.25">
      <c r="A31" s="298">
        <v>45408</v>
      </c>
      <c r="B31" s="33">
        <v>292610</v>
      </c>
      <c r="C31" s="33">
        <f t="shared" si="0"/>
        <v>683</v>
      </c>
      <c r="D31" s="33"/>
      <c r="E31" s="33">
        <v>0</v>
      </c>
      <c r="F31" s="251">
        <v>685</v>
      </c>
      <c r="G31" s="33">
        <f t="shared" si="1"/>
        <v>613</v>
      </c>
      <c r="H31" s="190">
        <f>'[1]Reading.4.23'!G31</f>
        <v>601</v>
      </c>
      <c r="I31" s="187"/>
      <c r="J31" s="33">
        <v>207824</v>
      </c>
      <c r="K31" s="189">
        <f t="shared" si="2"/>
        <v>186.72</v>
      </c>
      <c r="L31" s="258">
        <f>'[1]Reading.4.23'!K31</f>
        <v>233.4</v>
      </c>
      <c r="M31" s="188"/>
      <c r="N31" s="33">
        <v>733570</v>
      </c>
      <c r="O31" s="189">
        <f t="shared" si="3"/>
        <v>373.41</v>
      </c>
      <c r="P31" s="258">
        <f>'[1]Reading.4.23'!O31</f>
        <v>567.03000000000009</v>
      </c>
      <c r="Q31" s="34"/>
      <c r="R31" s="33">
        <v>42700</v>
      </c>
      <c r="S31" s="33"/>
      <c r="T31" s="33">
        <f t="shared" si="4"/>
        <v>0</v>
      </c>
      <c r="U31" s="258">
        <f>'[1]Reading.4.23'!T31</f>
        <v>0</v>
      </c>
      <c r="V31" s="34"/>
      <c r="W31" s="186">
        <v>45870.25</v>
      </c>
      <c r="X31" s="189">
        <f t="shared" si="5"/>
        <v>39880.000000004657</v>
      </c>
      <c r="Y31" s="258">
        <f>'[1]Reading.4.23'!X31</f>
        <v>39320.000000006985</v>
      </c>
      <c r="Z31" s="34"/>
      <c r="AA31" s="266">
        <v>520050</v>
      </c>
      <c r="AB31" s="189">
        <f t="shared" si="6"/>
        <v>0</v>
      </c>
      <c r="AC31" s="258">
        <f>'[1]Reading.4.23'!AB31</f>
        <v>0</v>
      </c>
      <c r="AD31" s="34"/>
      <c r="AE31" s="260">
        <f t="shared" si="7"/>
        <v>39880.000000004657</v>
      </c>
      <c r="AF31" s="261">
        <f>'[1]Reading.4.23'!AE31</f>
        <v>39320.000000006985</v>
      </c>
      <c r="AG31" s="259">
        <f t="shared" si="31"/>
        <v>32980.300000000003</v>
      </c>
      <c r="AH31" s="34"/>
      <c r="AI31" s="287">
        <v>0.71289999999999998</v>
      </c>
      <c r="AJ31" s="193">
        <f>'[1]Reading.4.23'!AI31</f>
        <v>0.73380000000000001</v>
      </c>
      <c r="AK31" s="192">
        <v>4.6379999999999999</v>
      </c>
      <c r="AL31" s="34"/>
      <c r="AM31" s="218">
        <v>375</v>
      </c>
      <c r="AN31" s="326">
        <f>'[1]Reading.4.23'!AM31</f>
        <v>386</v>
      </c>
      <c r="AO31" s="194">
        <f t="shared" si="32"/>
        <v>335.5</v>
      </c>
      <c r="AP31" s="34"/>
      <c r="AQ31" s="265">
        <f>517*4</f>
        <v>2068</v>
      </c>
      <c r="AR31" s="261">
        <f>'[1]Reading.4.23'!AQ31</f>
        <v>2044</v>
      </c>
      <c r="AS31" s="34"/>
      <c r="AT31" s="196">
        <v>7161.68</v>
      </c>
      <c r="AU31" s="197">
        <f t="shared" si="8"/>
        <v>5040.0000000008731</v>
      </c>
      <c r="AV31" s="195">
        <f t="shared" si="9"/>
        <v>0.99210856167522943</v>
      </c>
      <c r="AW31" s="34"/>
      <c r="AX31" s="191"/>
      <c r="AY31" s="262">
        <f>'[1]Reading.4.23'!X31</f>
        <v>39320.000000006985</v>
      </c>
      <c r="AZ31" s="534">
        <f>'[1]Reading.4.23'!AB31</f>
        <v>0</v>
      </c>
      <c r="BA31" s="263">
        <f t="shared" si="10"/>
        <v>39320.000000006985</v>
      </c>
      <c r="BC31" s="154">
        <v>24</v>
      </c>
      <c r="BD31" s="267">
        <v>21</v>
      </c>
      <c r="BE31" s="221">
        <v>18</v>
      </c>
      <c r="BF31" s="223">
        <v>56</v>
      </c>
      <c r="BG31" s="222">
        <v>83</v>
      </c>
      <c r="BH31" s="267">
        <f>'[1]Reading.4.23'!BD31</f>
        <v>27.5</v>
      </c>
      <c r="BI31" s="267">
        <f>'[1]Reading.4.23'!BE31</f>
        <v>23</v>
      </c>
      <c r="BJ31" s="267">
        <f>'[1]Reading.4.23'!BF31</f>
        <v>41</v>
      </c>
      <c r="BL31" s="151">
        <v>526</v>
      </c>
      <c r="BN31" s="189">
        <f>'[1]Reading.4.23'!E29</f>
        <v>0</v>
      </c>
      <c r="BP31" s="33">
        <v>67116</v>
      </c>
      <c r="BQ31" s="33">
        <f t="shared" si="11"/>
        <v>31</v>
      </c>
      <c r="BR31" s="247">
        <f>'[1]Reading.4.23'!BQ31</f>
        <v>41</v>
      </c>
      <c r="BT31" s="33">
        <v>82057</v>
      </c>
      <c r="BU31" s="33">
        <f t="shared" si="12"/>
        <v>29</v>
      </c>
      <c r="BV31" s="247">
        <f>'[1]Reading.4.23'!BU31</f>
        <v>43</v>
      </c>
      <c r="BX31" s="33">
        <v>4005</v>
      </c>
      <c r="BY31" s="33">
        <f t="shared" si="36"/>
        <v>0</v>
      </c>
      <c r="BZ31" s="247">
        <f>'[1]Reading.4.23'!BY30</f>
        <v>0</v>
      </c>
      <c r="CB31" s="33">
        <v>234450</v>
      </c>
      <c r="CC31" s="33">
        <f t="shared" si="14"/>
        <v>80</v>
      </c>
      <c r="CD31" s="247">
        <f>'[1]Reading.4.23'!CC31</f>
        <v>65</v>
      </c>
      <c r="CF31" s="33">
        <v>6280</v>
      </c>
      <c r="CG31" s="33">
        <f t="shared" si="15"/>
        <v>10</v>
      </c>
      <c r="CH31" s="247">
        <f>'[1]Reading.4.23'!CG31</f>
        <v>0</v>
      </c>
      <c r="CI31" s="33">
        <v>19770</v>
      </c>
      <c r="CJ31" s="33">
        <f t="shared" si="37"/>
        <v>0</v>
      </c>
      <c r="CK31" s="247">
        <f>'[1]Reading.4.23'!CG30</f>
        <v>0</v>
      </c>
      <c r="CM31" s="33">
        <f t="shared" si="35"/>
        <v>140</v>
      </c>
      <c r="CN31" s="33">
        <f t="shared" si="35"/>
        <v>149</v>
      </c>
      <c r="CP31" s="33">
        <v>111540</v>
      </c>
      <c r="CQ31" s="33">
        <f t="shared" si="18"/>
        <v>450</v>
      </c>
      <c r="CR31" s="134">
        <f t="shared" si="19"/>
        <v>0.73409461663947795</v>
      </c>
      <c r="CS31" s="247">
        <f>'[1]Reading.4.23'!CN31</f>
        <v>232</v>
      </c>
      <c r="CT31" s="282">
        <f>'[1]Reading.4.23'!CO29</f>
        <v>0.40614886731391586</v>
      </c>
      <c r="CV31" s="33">
        <v>5267</v>
      </c>
      <c r="CW31" s="33">
        <f t="shared" si="20"/>
        <v>3</v>
      </c>
      <c r="CX31" s="247">
        <f>'[1]Reading.4.23'!CT31</f>
        <v>2</v>
      </c>
      <c r="CZ31" s="33">
        <v>952</v>
      </c>
      <c r="DA31" s="33">
        <f t="shared" si="21"/>
        <v>3</v>
      </c>
      <c r="DB31" s="247">
        <f>'[1]Reading.4.23'!CX31</f>
        <v>4</v>
      </c>
      <c r="DD31" s="33">
        <v>1441245</v>
      </c>
      <c r="DE31" s="33">
        <f t="shared" si="22"/>
        <v>881</v>
      </c>
      <c r="DF31" s="247">
        <f>'[1]Reading.4.23'!DB31</f>
        <v>1074</v>
      </c>
      <c r="DH31" s="33">
        <v>3360926</v>
      </c>
      <c r="DI31" s="33">
        <f t="shared" si="23"/>
        <v>1843</v>
      </c>
      <c r="DJ31" s="247">
        <f>'[1]Reading.4.23'!DF31</f>
        <v>2207</v>
      </c>
      <c r="DL31" s="33">
        <v>2919037</v>
      </c>
      <c r="DM31" s="33">
        <f t="shared" si="24"/>
        <v>29</v>
      </c>
      <c r="DN31" s="247">
        <f>'[1]Reading.4.23'!DJ31</f>
        <v>2203</v>
      </c>
      <c r="DP31" s="33">
        <v>2292287</v>
      </c>
      <c r="DQ31" s="33">
        <f t="shared" si="25"/>
        <v>1811</v>
      </c>
      <c r="DR31" s="247">
        <f>'[1]Reading.4.23'!DN31</f>
        <v>1757</v>
      </c>
      <c r="DT31" s="33">
        <v>3126974</v>
      </c>
      <c r="DU31" s="33">
        <f t="shared" si="26"/>
        <v>2648</v>
      </c>
      <c r="DV31" s="247">
        <f>'[1]Reading.4.23'!DR31</f>
        <v>29</v>
      </c>
      <c r="DX31" s="33">
        <v>720</v>
      </c>
      <c r="DZ31" s="33">
        <f t="shared" si="27"/>
        <v>5208</v>
      </c>
      <c r="EA31" s="247">
        <f>'[1]Reading.4.23'!DW31</f>
        <v>4709</v>
      </c>
      <c r="EC31" s="196">
        <f t="shared" si="28"/>
        <v>3551.6</v>
      </c>
      <c r="ED31" s="281">
        <f>'[1]Reading.4.23'!C31*5.2</f>
        <v>3515.2000000000003</v>
      </c>
      <c r="EF31" s="33">
        <v>60947</v>
      </c>
      <c r="EG31" s="292">
        <f t="shared" si="29"/>
        <v>49</v>
      </c>
      <c r="EH31" s="247"/>
      <c r="EJ31" s="33">
        <v>24380</v>
      </c>
      <c r="EK31" s="292">
        <f t="shared" si="30"/>
        <v>25</v>
      </c>
      <c r="EL31" s="247"/>
    </row>
    <row r="32" spans="1:142" x14ac:dyDescent="0.25">
      <c r="A32" s="298">
        <v>45409</v>
      </c>
      <c r="B32" s="33">
        <v>293321</v>
      </c>
      <c r="C32" s="33">
        <f t="shared" si="0"/>
        <v>711</v>
      </c>
      <c r="D32" s="33"/>
      <c r="E32" s="33">
        <v>0</v>
      </c>
      <c r="F32" s="251">
        <v>685</v>
      </c>
      <c r="G32" s="33">
        <f t="shared" si="1"/>
        <v>711</v>
      </c>
      <c r="H32" s="190">
        <f>'[1]Reading.4.23'!G32</f>
        <v>591</v>
      </c>
      <c r="I32" s="187"/>
      <c r="J32" s="33">
        <v>207863</v>
      </c>
      <c r="K32" s="189">
        <f t="shared" si="2"/>
        <v>182.05199999999999</v>
      </c>
      <c r="L32" s="258">
        <f>'[1]Reading.4.23'!K32</f>
        <v>186.72</v>
      </c>
      <c r="M32" s="188"/>
      <c r="N32" s="33">
        <v>733680</v>
      </c>
      <c r="O32" s="189">
        <f t="shared" si="3"/>
        <v>507.1</v>
      </c>
      <c r="P32" s="258">
        <f>'[1]Reading.4.23'!O32</f>
        <v>525.54000000000008</v>
      </c>
      <c r="Q32" s="34"/>
      <c r="R32" s="33">
        <v>42700</v>
      </c>
      <c r="S32" s="33"/>
      <c r="T32" s="33">
        <f t="shared" si="4"/>
        <v>0</v>
      </c>
      <c r="U32" s="258">
        <f>'[1]Reading.4.23'!T32</f>
        <v>0</v>
      </c>
      <c r="V32" s="34"/>
      <c r="W32" s="186">
        <v>45879.96</v>
      </c>
      <c r="X32" s="189">
        <f t="shared" si="5"/>
        <v>38839.999999996508</v>
      </c>
      <c r="Y32" s="258">
        <f>'[1]Reading.4.23'!X32</f>
        <v>36239.999999990687</v>
      </c>
      <c r="Z32" s="34"/>
      <c r="AA32" s="266">
        <v>520050</v>
      </c>
      <c r="AB32" s="189">
        <f t="shared" si="6"/>
        <v>0</v>
      </c>
      <c r="AC32" s="258">
        <f>'[1]Reading.4.23'!AB32</f>
        <v>0</v>
      </c>
      <c r="AD32" s="34"/>
      <c r="AE32" s="260">
        <f t="shared" si="7"/>
        <v>38839.999999996508</v>
      </c>
      <c r="AF32" s="261">
        <f>'[1]Reading.4.23'!AE32</f>
        <v>36239.999999990687</v>
      </c>
      <c r="AG32" s="259">
        <f t="shared" si="31"/>
        <v>32980.300000000003</v>
      </c>
      <c r="AH32" s="34"/>
      <c r="AI32" s="287">
        <v>0.74139999999999995</v>
      </c>
      <c r="AJ32" s="193">
        <f>'[1]Reading.4.23'!AI32</f>
        <v>0.70720000000000005</v>
      </c>
      <c r="AK32" s="192">
        <v>5.6379999999999999</v>
      </c>
      <c r="AL32" s="34"/>
      <c r="AM32" s="218">
        <v>390</v>
      </c>
      <c r="AN32" s="326">
        <f>'[1]Reading.4.23'!AM32</f>
        <v>372</v>
      </c>
      <c r="AO32" s="194">
        <f t="shared" si="32"/>
        <v>335.5</v>
      </c>
      <c r="AP32" s="34"/>
      <c r="AQ32" s="265">
        <f>517*4</f>
        <v>2068</v>
      </c>
      <c r="AR32" s="261">
        <f>'[1]Reading.4.23'!AQ32</f>
        <v>2044</v>
      </c>
      <c r="AS32" s="34"/>
      <c r="AT32" s="196">
        <v>7162.87</v>
      </c>
      <c r="AU32" s="197">
        <f t="shared" si="8"/>
        <v>4759.9999999983993</v>
      </c>
      <c r="AV32" s="195">
        <f t="shared" si="9"/>
        <v>0.99257379964799641</v>
      </c>
      <c r="AW32" s="34"/>
      <c r="AX32" s="191"/>
      <c r="AY32" s="262">
        <f>'[1]Reading.4.23'!X32</f>
        <v>36239.999999990687</v>
      </c>
      <c r="AZ32" s="534">
        <f>'[1]Reading.4.23'!AB32</f>
        <v>0</v>
      </c>
      <c r="BA32" s="263">
        <f t="shared" si="10"/>
        <v>36239.999999990687</v>
      </c>
      <c r="BC32" s="154">
        <v>25</v>
      </c>
      <c r="BD32" s="267">
        <v>20</v>
      </c>
      <c r="BE32" s="221">
        <v>16</v>
      </c>
      <c r="BF32" s="223">
        <v>52</v>
      </c>
      <c r="BG32" s="222">
        <v>84</v>
      </c>
      <c r="BH32" s="267">
        <f>'[1]Reading.4.23'!BD32</f>
        <v>28.1</v>
      </c>
      <c r="BI32" s="267">
        <f>'[1]Reading.4.23'!BE32</f>
        <v>23</v>
      </c>
      <c r="BJ32" s="267">
        <f>'[1]Reading.4.23'!BF32</f>
        <v>47</v>
      </c>
      <c r="BL32" s="151">
        <v>526</v>
      </c>
      <c r="BN32" s="189">
        <f>'[1]Reading.4.23'!E30</f>
        <v>0</v>
      </c>
      <c r="BP32" s="33">
        <v>67152</v>
      </c>
      <c r="BQ32" s="33">
        <f t="shared" si="11"/>
        <v>36</v>
      </c>
      <c r="BR32" s="247">
        <f>'[1]Reading.4.23'!BQ32</f>
        <v>35</v>
      </c>
      <c r="BT32" s="33">
        <v>82099</v>
      </c>
      <c r="BU32" s="33">
        <f t="shared" si="12"/>
        <v>42</v>
      </c>
      <c r="BV32" s="247">
        <f>'[1]Reading.4.23'!BU32</f>
        <v>41</v>
      </c>
      <c r="BX32" s="33">
        <v>4005</v>
      </c>
      <c r="BY32" s="33">
        <f t="shared" si="36"/>
        <v>0</v>
      </c>
      <c r="BZ32" s="247">
        <f>'[1]Reading.4.23'!BY31</f>
        <v>0</v>
      </c>
      <c r="CB32" s="33">
        <v>234490</v>
      </c>
      <c r="CC32" s="33">
        <f t="shared" si="14"/>
        <v>40</v>
      </c>
      <c r="CD32" s="247">
        <f>'[1]Reading.4.23'!CC32</f>
        <v>61</v>
      </c>
      <c r="CF32" s="33">
        <v>6285</v>
      </c>
      <c r="CG32" s="33">
        <f t="shared" si="15"/>
        <v>5</v>
      </c>
      <c r="CH32" s="247">
        <f>'[1]Reading.4.23'!CG32</f>
        <v>0</v>
      </c>
      <c r="CI32" s="33">
        <v>19770</v>
      </c>
      <c r="CJ32" s="33">
        <f t="shared" si="37"/>
        <v>0</v>
      </c>
      <c r="CK32" s="247">
        <f>'[1]Reading.4.23'!CG31</f>
        <v>0</v>
      </c>
      <c r="CM32" s="33">
        <f t="shared" si="35"/>
        <v>118</v>
      </c>
      <c r="CN32" s="33">
        <f t="shared" si="35"/>
        <v>137</v>
      </c>
      <c r="CP32" s="33">
        <v>112040</v>
      </c>
      <c r="CQ32" s="33">
        <f t="shared" si="18"/>
        <v>500</v>
      </c>
      <c r="CR32" s="134">
        <f t="shared" si="19"/>
        <v>0.70323488045007032</v>
      </c>
      <c r="CS32" s="247">
        <f>'[1]Reading.4.23'!CN32</f>
        <v>250</v>
      </c>
      <c r="CT32" s="282">
        <f>'[1]Reading.4.23'!CO30</f>
        <v>0.38760806916426516</v>
      </c>
      <c r="CV32" s="33">
        <v>5269</v>
      </c>
      <c r="CW32" s="33">
        <f t="shared" si="20"/>
        <v>2</v>
      </c>
      <c r="CX32" s="247">
        <f>'[1]Reading.4.23'!CT32</f>
        <v>3</v>
      </c>
      <c r="CZ32" s="33">
        <v>956</v>
      </c>
      <c r="DA32" s="33">
        <f t="shared" si="21"/>
        <v>4</v>
      </c>
      <c r="DB32" s="247">
        <f>'[1]Reading.4.23'!CX32</f>
        <v>5</v>
      </c>
      <c r="DD32" s="33">
        <v>1442215</v>
      </c>
      <c r="DE32" s="33">
        <f t="shared" si="22"/>
        <v>970</v>
      </c>
      <c r="DF32" s="247">
        <f>'[1]Reading.4.23'!DB32</f>
        <v>1037</v>
      </c>
      <c r="DH32" s="33">
        <v>3362859</v>
      </c>
      <c r="DI32" s="33">
        <f t="shared" si="23"/>
        <v>1933</v>
      </c>
      <c r="DJ32" s="247">
        <f>'[1]Reading.4.23'!DF32</f>
        <v>1732</v>
      </c>
      <c r="DL32" s="33">
        <v>2919070</v>
      </c>
      <c r="DM32" s="33">
        <f t="shared" si="24"/>
        <v>33</v>
      </c>
      <c r="DN32" s="247">
        <f>'[1]Reading.4.23'!DJ32</f>
        <v>2516</v>
      </c>
      <c r="DP32" s="33">
        <v>2293711</v>
      </c>
      <c r="DQ32" s="33">
        <f t="shared" si="25"/>
        <v>1424</v>
      </c>
      <c r="DR32" s="247">
        <f>'[1]Reading.4.23'!DN32</f>
        <v>1942</v>
      </c>
      <c r="DT32" s="33">
        <v>3130278</v>
      </c>
      <c r="DU32" s="33">
        <f t="shared" si="26"/>
        <v>3304</v>
      </c>
      <c r="DV32" s="247">
        <f>'[1]Reading.4.23'!DR32</f>
        <v>33</v>
      </c>
      <c r="DX32" s="33">
        <v>720</v>
      </c>
      <c r="DZ32" s="33">
        <f t="shared" si="27"/>
        <v>5481</v>
      </c>
      <c r="EA32" s="247">
        <f>'[1]Reading.4.23'!DW32</f>
        <v>5211</v>
      </c>
      <c r="EC32" s="196">
        <f t="shared" si="28"/>
        <v>3697.2000000000003</v>
      </c>
      <c r="ED32" s="281">
        <f>'[1]Reading.4.23'!C32*5.2</f>
        <v>3073.2000000000003</v>
      </c>
      <c r="EF32" s="33">
        <v>61005</v>
      </c>
      <c r="EG32" s="292">
        <f t="shared" si="29"/>
        <v>58</v>
      </c>
      <c r="EH32" s="247"/>
      <c r="EJ32" s="33">
        <v>24403</v>
      </c>
      <c r="EK32" s="292">
        <f t="shared" si="30"/>
        <v>23</v>
      </c>
      <c r="EL32" s="247"/>
    </row>
    <row r="33" spans="1:142" x14ac:dyDescent="0.25">
      <c r="A33" s="298">
        <v>45410</v>
      </c>
      <c r="B33" s="33">
        <v>293820</v>
      </c>
      <c r="C33" s="33">
        <f t="shared" si="0"/>
        <v>499</v>
      </c>
      <c r="D33" s="33"/>
      <c r="E33" s="33">
        <v>0</v>
      </c>
      <c r="F33" s="251">
        <v>805</v>
      </c>
      <c r="G33" s="33">
        <f t="shared" si="1"/>
        <v>379</v>
      </c>
      <c r="H33" s="190">
        <f>'[1]Reading.4.23'!G33</f>
        <v>550</v>
      </c>
      <c r="I33" s="187"/>
      <c r="J33" s="33">
        <v>207899</v>
      </c>
      <c r="K33" s="189">
        <f t="shared" si="2"/>
        <v>168.048</v>
      </c>
      <c r="L33" s="258">
        <f>'[1]Reading.4.23'!K33</f>
        <v>177.38400000000001</v>
      </c>
      <c r="M33" s="188"/>
      <c r="N33" s="33">
        <v>733783</v>
      </c>
      <c r="O33" s="189">
        <f t="shared" si="3"/>
        <v>474.83000000000004</v>
      </c>
      <c r="P33" s="258">
        <f>'[1]Reading.4.23'!O33</f>
        <v>511.71000000000004</v>
      </c>
      <c r="Q33" s="34"/>
      <c r="R33" s="33">
        <v>42700</v>
      </c>
      <c r="S33" s="33"/>
      <c r="T33" s="33">
        <f t="shared" si="4"/>
        <v>0</v>
      </c>
      <c r="U33" s="258">
        <f>'[1]Reading.4.23'!T33</f>
        <v>0</v>
      </c>
      <c r="V33" s="34"/>
      <c r="W33" s="186">
        <v>45888.61</v>
      </c>
      <c r="X33" s="189">
        <f t="shared" si="5"/>
        <v>34600.000000005821</v>
      </c>
      <c r="Y33" s="258">
        <f>'[1]Reading.4.23'!X33</f>
        <v>38559.999999997672</v>
      </c>
      <c r="Z33" s="34"/>
      <c r="AA33" s="266">
        <v>520050</v>
      </c>
      <c r="AB33" s="189">
        <f t="shared" si="6"/>
        <v>0</v>
      </c>
      <c r="AC33" s="258">
        <f>'[1]Reading.4.23'!AB33</f>
        <v>0</v>
      </c>
      <c r="AD33" s="34"/>
      <c r="AE33" s="260">
        <f t="shared" si="7"/>
        <v>34600.000000005821</v>
      </c>
      <c r="AF33" s="261">
        <f>'[1]Reading.4.23'!AE33</f>
        <v>38559.999999997672</v>
      </c>
      <c r="AG33" s="259">
        <f t="shared" si="31"/>
        <v>32980.300000000003</v>
      </c>
      <c r="AH33" s="34"/>
      <c r="AI33" s="287">
        <v>0.59889999999999999</v>
      </c>
      <c r="AJ33" s="193">
        <f>'[1]Reading.4.23'!AI33</f>
        <v>0.63119999999999998</v>
      </c>
      <c r="AK33" s="192">
        <v>5.6379999999999999</v>
      </c>
      <c r="AL33" s="34"/>
      <c r="AM33" s="218">
        <v>315</v>
      </c>
      <c r="AN33" s="326">
        <f>'[1]Reading.4.23'!AM33</f>
        <v>332</v>
      </c>
      <c r="AO33" s="194">
        <f t="shared" si="32"/>
        <v>335.5</v>
      </c>
      <c r="AP33" s="34"/>
      <c r="AQ33" s="265">
        <f>517*4</f>
        <v>2068</v>
      </c>
      <c r="AR33" s="261">
        <f>'[1]Reading.4.23'!AQ33</f>
        <v>2044</v>
      </c>
      <c r="AS33" s="34"/>
      <c r="AT33" s="196">
        <v>7163.86</v>
      </c>
      <c r="AU33" s="197">
        <f t="shared" si="8"/>
        <v>3959.9999999991269</v>
      </c>
      <c r="AV33" s="195">
        <f t="shared" si="9"/>
        <v>0.99351414903919455</v>
      </c>
      <c r="AW33" s="34"/>
      <c r="AX33" s="191"/>
      <c r="AY33" s="262">
        <f>'[1]Reading.4.23'!X33</f>
        <v>38559.999999997672</v>
      </c>
      <c r="AZ33" s="534">
        <f>'[1]Reading.4.23'!AB33</f>
        <v>0</v>
      </c>
      <c r="BA33" s="263">
        <f t="shared" si="10"/>
        <v>38559.999999997672</v>
      </c>
      <c r="BC33" s="154">
        <v>25</v>
      </c>
      <c r="BD33" s="267">
        <v>20</v>
      </c>
      <c r="BE33" s="221">
        <v>16</v>
      </c>
      <c r="BF33" s="223">
        <v>52</v>
      </c>
      <c r="BG33" s="222">
        <v>84</v>
      </c>
      <c r="BH33" s="267">
        <f>'[1]Reading.4.23'!BD33</f>
        <v>28.1</v>
      </c>
      <c r="BI33" s="267">
        <f>'[1]Reading.4.23'!BE33</f>
        <v>23</v>
      </c>
      <c r="BJ33" s="267">
        <f>'[1]Reading.4.23'!BF33</f>
        <v>69</v>
      </c>
      <c r="BL33" s="151">
        <v>526</v>
      </c>
      <c r="BN33" s="189">
        <f>'[1]Reading.4.23'!E31</f>
        <v>0</v>
      </c>
      <c r="BP33" s="33">
        <v>67188</v>
      </c>
      <c r="BQ33" s="33">
        <f t="shared" si="11"/>
        <v>36</v>
      </c>
      <c r="BR33" s="247">
        <f>'[1]Reading.4.23'!BQ33</f>
        <v>44</v>
      </c>
      <c r="BT33" s="33">
        <v>82140</v>
      </c>
      <c r="BU33" s="33">
        <f t="shared" si="12"/>
        <v>41</v>
      </c>
      <c r="BV33" s="247">
        <f>'[1]Reading.4.23'!BU33</f>
        <v>44</v>
      </c>
      <c r="BX33" s="33">
        <v>4005</v>
      </c>
      <c r="BY33" s="33">
        <f t="shared" si="36"/>
        <v>0</v>
      </c>
      <c r="BZ33" s="247">
        <f>'[1]Reading.4.23'!BY32</f>
        <v>0</v>
      </c>
      <c r="CB33" s="33">
        <v>234520</v>
      </c>
      <c r="CC33" s="33">
        <f t="shared" si="14"/>
        <v>30</v>
      </c>
      <c r="CD33" s="247">
        <f>'[1]Reading.4.23'!CC33</f>
        <v>46</v>
      </c>
      <c r="CF33" s="33">
        <v>6295</v>
      </c>
      <c r="CG33" s="33">
        <f t="shared" si="15"/>
        <v>10</v>
      </c>
      <c r="CH33" s="247">
        <f>'[1]Reading.4.23'!CG33</f>
        <v>0</v>
      </c>
      <c r="CI33" s="33">
        <v>19770</v>
      </c>
      <c r="CJ33" s="33">
        <f t="shared" si="37"/>
        <v>0</v>
      </c>
      <c r="CK33" s="247">
        <f>'[1]Reading.4.23'!CG32</f>
        <v>0</v>
      </c>
      <c r="CM33" s="33">
        <f t="shared" si="35"/>
        <v>107</v>
      </c>
      <c r="CN33" s="33">
        <f t="shared" si="35"/>
        <v>134</v>
      </c>
      <c r="CP33" s="33">
        <v>112640</v>
      </c>
      <c r="CQ33" s="33">
        <f t="shared" si="18"/>
        <v>600</v>
      </c>
      <c r="CR33" s="134">
        <f t="shared" si="19"/>
        <v>1.5831134564643798</v>
      </c>
      <c r="CS33" s="247">
        <f>'[1]Reading.4.23'!CN33</f>
        <v>226</v>
      </c>
      <c r="CT33" s="282">
        <f>'[1]Reading.4.23'!CO31</f>
        <v>0.3860232945091514</v>
      </c>
      <c r="CV33" s="33">
        <v>5271</v>
      </c>
      <c r="CW33" s="33">
        <f t="shared" si="20"/>
        <v>2</v>
      </c>
      <c r="CX33" s="247">
        <f>'[1]Reading.4.23'!CT33</f>
        <v>4</v>
      </c>
      <c r="CZ33" s="33">
        <v>960</v>
      </c>
      <c r="DA33" s="33">
        <f t="shared" si="21"/>
        <v>4</v>
      </c>
      <c r="DB33" s="247">
        <f>'[1]Reading.4.23'!CX33</f>
        <v>6</v>
      </c>
      <c r="DD33" s="33">
        <v>1443193</v>
      </c>
      <c r="DE33" s="33">
        <f t="shared" si="22"/>
        <v>978</v>
      </c>
      <c r="DF33" s="247">
        <f>'[1]Reading.4.23'!DB33</f>
        <v>1034</v>
      </c>
      <c r="DH33" s="33">
        <v>3365123</v>
      </c>
      <c r="DI33" s="33">
        <f t="shared" si="23"/>
        <v>2264</v>
      </c>
      <c r="DJ33" s="247">
        <f>'[1]Reading.4.23'!DF33</f>
        <v>2288</v>
      </c>
      <c r="DL33" s="33">
        <v>2919101</v>
      </c>
      <c r="DM33" s="33">
        <f t="shared" si="24"/>
        <v>31</v>
      </c>
      <c r="DN33" s="247">
        <f>'[1]Reading.4.23'!DJ33</f>
        <v>2422</v>
      </c>
      <c r="DP33" s="33">
        <v>2295461</v>
      </c>
      <c r="DQ33" s="33">
        <f t="shared" si="25"/>
        <v>1750</v>
      </c>
      <c r="DR33" s="247">
        <f>'[1]Reading.4.23'!DN33</f>
        <v>2451</v>
      </c>
      <c r="DT33" s="33">
        <v>3132677</v>
      </c>
      <c r="DU33" s="33">
        <f t="shared" si="26"/>
        <v>2399</v>
      </c>
      <c r="DV33" s="247">
        <f>'[1]Reading.4.23'!DR33</f>
        <v>31</v>
      </c>
      <c r="DX33" s="33">
        <v>720</v>
      </c>
      <c r="DZ33" s="33">
        <f t="shared" si="27"/>
        <v>4900</v>
      </c>
      <c r="EA33" s="247">
        <f>'[1]Reading.4.23'!DW33</f>
        <v>5624</v>
      </c>
      <c r="EC33" s="196">
        <f t="shared" si="28"/>
        <v>2594.8000000000002</v>
      </c>
      <c r="ED33" s="281">
        <f>'[1]Reading.4.23'!C33*5.2</f>
        <v>3250</v>
      </c>
      <c r="EF33" s="33">
        <v>61065</v>
      </c>
      <c r="EG33" s="292">
        <f t="shared" si="29"/>
        <v>60</v>
      </c>
      <c r="EH33" s="247"/>
      <c r="EJ33" s="33">
        <v>24429</v>
      </c>
      <c r="EK33" s="292">
        <f t="shared" si="30"/>
        <v>26</v>
      </c>
      <c r="EL33" s="247"/>
    </row>
    <row r="34" spans="1:142" x14ac:dyDescent="0.25">
      <c r="A34" s="298">
        <v>45411</v>
      </c>
      <c r="B34" s="33">
        <v>294460</v>
      </c>
      <c r="C34" s="33">
        <f t="shared" si="0"/>
        <v>640</v>
      </c>
      <c r="D34" s="33"/>
      <c r="E34" s="33">
        <v>0</v>
      </c>
      <c r="F34" s="251">
        <v>820</v>
      </c>
      <c r="G34" s="33">
        <f t="shared" si="1"/>
        <v>625</v>
      </c>
      <c r="H34" s="190">
        <f>'[1]Reading.4.23'!G34</f>
        <v>512</v>
      </c>
      <c r="I34" s="187"/>
      <c r="J34" s="33">
        <v>207926</v>
      </c>
      <c r="K34" s="189">
        <f t="shared" si="2"/>
        <v>126.036</v>
      </c>
      <c r="L34" s="258">
        <f>'[1]Reading.4.23'!K34</f>
        <v>182.05199999999999</v>
      </c>
      <c r="M34" s="188"/>
      <c r="N34" s="33">
        <v>733891</v>
      </c>
      <c r="O34" s="189">
        <f t="shared" si="3"/>
        <v>497.88000000000005</v>
      </c>
      <c r="P34" s="258">
        <f>'[1]Reading.4.23'!O34</f>
        <v>534.76</v>
      </c>
      <c r="Q34" s="34"/>
      <c r="R34" s="33">
        <v>42700</v>
      </c>
      <c r="S34" s="33"/>
      <c r="T34" s="33">
        <f t="shared" si="4"/>
        <v>0</v>
      </c>
      <c r="U34" s="258">
        <f>'[1]Reading.4.23'!T34</f>
        <v>0</v>
      </c>
      <c r="V34" s="34"/>
      <c r="W34" s="186">
        <v>45897.72</v>
      </c>
      <c r="X34" s="189">
        <f t="shared" si="5"/>
        <v>36440.000000002328</v>
      </c>
      <c r="Y34" s="258">
        <f>'[1]Reading.4.23'!X34</f>
        <v>32440.000000002328</v>
      </c>
      <c r="Z34" s="34"/>
      <c r="AA34" s="266">
        <v>520050</v>
      </c>
      <c r="AB34" s="189">
        <f t="shared" si="6"/>
        <v>0</v>
      </c>
      <c r="AC34" s="258">
        <f>'[1]Reading.4.23'!AB34</f>
        <v>0</v>
      </c>
      <c r="AD34" s="34"/>
      <c r="AE34" s="260">
        <f t="shared" si="7"/>
        <v>36440.000000002328</v>
      </c>
      <c r="AF34" s="261">
        <f>'[1]Reading.4.23'!AE34</f>
        <v>32440.000000002328</v>
      </c>
      <c r="AG34" s="259">
        <f t="shared" si="31"/>
        <v>32980.300000000003</v>
      </c>
      <c r="AH34" s="34"/>
      <c r="AI34" s="287">
        <v>0.58169999999999999</v>
      </c>
      <c r="AJ34" s="193">
        <f>'[1]Reading.4.23'!AI34</f>
        <v>0.57410000000000005</v>
      </c>
      <c r="AK34" s="192">
        <v>5.6379999999999999</v>
      </c>
      <c r="AL34" s="34"/>
      <c r="AM34" s="218">
        <v>306</v>
      </c>
      <c r="AN34" s="326">
        <f>'[1]Reading.4.23'!AM34</f>
        <v>302</v>
      </c>
      <c r="AO34" s="194">
        <f t="shared" si="32"/>
        <v>335.5</v>
      </c>
      <c r="AP34" s="34"/>
      <c r="AQ34" s="265">
        <f>517*4</f>
        <v>2068</v>
      </c>
      <c r="AR34" s="261">
        <f>'[1]Reading.4.23'!AQ34</f>
        <v>2044</v>
      </c>
      <c r="AS34" s="34"/>
      <c r="AT34" s="196">
        <v>7165.01</v>
      </c>
      <c r="AU34" s="197">
        <f t="shared" si="8"/>
        <v>4600.0000000021828</v>
      </c>
      <c r="AV34" s="195">
        <f t="shared" si="9"/>
        <v>0.99212635161713358</v>
      </c>
      <c r="AW34" s="34"/>
      <c r="AX34" s="191"/>
      <c r="AY34" s="262">
        <f>'[1]Reading.4.23'!X34</f>
        <v>32440.000000002328</v>
      </c>
      <c r="AZ34" s="534">
        <f>'[1]Reading.4.23'!AB34</f>
        <v>0</v>
      </c>
      <c r="BA34" s="263">
        <f t="shared" si="10"/>
        <v>32440.000000002328</v>
      </c>
      <c r="BC34" s="154">
        <v>25</v>
      </c>
      <c r="BD34" s="267">
        <v>20</v>
      </c>
      <c r="BE34" s="221">
        <v>16</v>
      </c>
      <c r="BF34" s="223">
        <v>52</v>
      </c>
      <c r="BG34" s="222">
        <v>84</v>
      </c>
      <c r="BH34" s="267">
        <f>'[1]Reading.4.23'!BD34</f>
        <v>23.5</v>
      </c>
      <c r="BI34" s="267">
        <f>'[1]Reading.4.23'!BE34</f>
        <v>20</v>
      </c>
      <c r="BJ34" s="267">
        <f>'[1]Reading.4.23'!BF34</f>
        <v>60</v>
      </c>
      <c r="BL34" s="151">
        <v>526</v>
      </c>
      <c r="BN34" s="189">
        <f>'[1]Reading.4.23'!E32</f>
        <v>0</v>
      </c>
      <c r="BP34" s="33">
        <v>67215</v>
      </c>
      <c r="BQ34" s="33">
        <f t="shared" si="11"/>
        <v>27</v>
      </c>
      <c r="BR34" s="247">
        <f>'[1]Reading.4.23'!BQ34</f>
        <v>37</v>
      </c>
      <c r="BT34" s="33">
        <v>82179</v>
      </c>
      <c r="BU34" s="33">
        <f t="shared" si="12"/>
        <v>39</v>
      </c>
      <c r="BV34" s="247">
        <f>'[1]Reading.4.23'!BU34</f>
        <v>41</v>
      </c>
      <c r="BX34" s="33">
        <v>4005</v>
      </c>
      <c r="BY34" s="33">
        <f t="shared" si="36"/>
        <v>0</v>
      </c>
      <c r="BZ34" s="247">
        <f>'[1]Reading.4.23'!BY33</f>
        <v>0</v>
      </c>
      <c r="CB34" s="33">
        <v>234590</v>
      </c>
      <c r="CC34" s="33">
        <f t="shared" si="14"/>
        <v>70</v>
      </c>
      <c r="CD34" s="247">
        <f>'[1]Reading.4.23'!CC34</f>
        <v>38</v>
      </c>
      <c r="CF34" s="33">
        <v>6305</v>
      </c>
      <c r="CG34" s="33">
        <f t="shared" si="15"/>
        <v>10</v>
      </c>
      <c r="CH34" s="247">
        <f>'[1]Reading.4.23'!CG34</f>
        <v>0</v>
      </c>
      <c r="CI34" s="33">
        <v>19770</v>
      </c>
      <c r="CJ34" s="33">
        <f t="shared" si="37"/>
        <v>0</v>
      </c>
      <c r="CK34" s="247">
        <f>'[1]Reading.4.23'!CG33</f>
        <v>0</v>
      </c>
      <c r="CM34" s="33">
        <f t="shared" si="35"/>
        <v>176</v>
      </c>
      <c r="CN34" s="33">
        <f t="shared" si="35"/>
        <v>116</v>
      </c>
      <c r="CP34" s="33">
        <v>113182</v>
      </c>
      <c r="CQ34" s="33">
        <f t="shared" si="18"/>
        <v>542</v>
      </c>
      <c r="CR34" s="134">
        <f t="shared" si="19"/>
        <v>0.86719999999999997</v>
      </c>
      <c r="CS34" s="247">
        <f>'[1]Reading.4.23'!CN34</f>
        <v>213</v>
      </c>
      <c r="CT34" s="282">
        <f>'[1]Reading.4.23'!CO32</f>
        <v>0.4230118443316413</v>
      </c>
      <c r="CV34" s="33">
        <v>5273</v>
      </c>
      <c r="CW34" s="33">
        <f t="shared" si="20"/>
        <v>2</v>
      </c>
      <c r="CX34" s="247">
        <f>'[1]Reading.4.23'!CT34</f>
        <v>2</v>
      </c>
      <c r="CZ34" s="33">
        <v>963</v>
      </c>
      <c r="DA34" s="33">
        <f t="shared" si="21"/>
        <v>3</v>
      </c>
      <c r="DB34" s="247">
        <f>'[1]Reading.4.23'!CX34</f>
        <v>5</v>
      </c>
      <c r="DD34" s="33">
        <v>1444191</v>
      </c>
      <c r="DE34" s="33">
        <f t="shared" si="22"/>
        <v>998</v>
      </c>
      <c r="DF34" s="247">
        <f>'[1]Reading.4.23'!DB34</f>
        <v>977</v>
      </c>
      <c r="DH34" s="33">
        <v>3366689</v>
      </c>
      <c r="DI34" s="33">
        <f t="shared" si="23"/>
        <v>1566</v>
      </c>
      <c r="DJ34" s="247">
        <f>'[1]Reading.4.23'!DF34</f>
        <v>1906</v>
      </c>
      <c r="DL34" s="33">
        <v>2919134</v>
      </c>
      <c r="DM34" s="33">
        <f t="shared" si="24"/>
        <v>33</v>
      </c>
      <c r="DN34" s="247">
        <f>'[1]Reading.4.23'!DJ34</f>
        <v>1606</v>
      </c>
      <c r="DP34" s="33">
        <v>2297480</v>
      </c>
      <c r="DQ34" s="33">
        <f t="shared" si="25"/>
        <v>2019</v>
      </c>
      <c r="DR34" s="247">
        <f>'[1]Reading.4.23'!DN34</f>
        <v>1522</v>
      </c>
      <c r="DT34" s="33">
        <v>3135167</v>
      </c>
      <c r="DU34" s="33">
        <f t="shared" si="26"/>
        <v>2490</v>
      </c>
      <c r="DV34" s="247">
        <f>'[1]Reading.4.23'!DR34</f>
        <v>32</v>
      </c>
      <c r="DX34" s="33">
        <v>720</v>
      </c>
      <c r="DZ34" s="33">
        <f t="shared" si="27"/>
        <v>5262</v>
      </c>
      <c r="EA34" s="247">
        <f>'[1]Reading.4.23'!DW34</f>
        <v>3880</v>
      </c>
      <c r="EC34" s="196">
        <f t="shared" si="28"/>
        <v>3328</v>
      </c>
      <c r="ED34" s="281">
        <f>'[1]Reading.4.23'!C34*5.2</f>
        <v>2324.4</v>
      </c>
      <c r="EF34" s="33">
        <v>61118</v>
      </c>
      <c r="EG34" s="292">
        <f t="shared" si="29"/>
        <v>53</v>
      </c>
      <c r="EH34" s="247"/>
      <c r="EJ34" s="33">
        <v>24451</v>
      </c>
      <c r="EK34" s="292">
        <f t="shared" si="30"/>
        <v>22</v>
      </c>
      <c r="EL34" s="247"/>
    </row>
    <row r="35" spans="1:142" x14ac:dyDescent="0.25">
      <c r="A35" s="298">
        <v>45412</v>
      </c>
      <c r="B35" s="33">
        <v>294932</v>
      </c>
      <c r="C35" s="33">
        <f t="shared" si="0"/>
        <v>472</v>
      </c>
      <c r="D35" s="33"/>
      <c r="E35" s="33">
        <v>0</v>
      </c>
      <c r="F35" s="251">
        <v>780</v>
      </c>
      <c r="G35" s="33">
        <f t="shared" si="1"/>
        <v>512</v>
      </c>
      <c r="H35" s="190">
        <f>'[1]Reading.4.23'!G35</f>
        <v>417</v>
      </c>
      <c r="I35" s="187"/>
      <c r="J35" s="33">
        <v>207959</v>
      </c>
      <c r="K35" s="189">
        <f t="shared" si="2"/>
        <v>154.04400000000001</v>
      </c>
      <c r="L35" s="258">
        <f>'[1]Reading.4.23'!K35</f>
        <v>168.048</v>
      </c>
      <c r="M35" s="188"/>
      <c r="N35" s="33">
        <v>733991</v>
      </c>
      <c r="O35" s="189">
        <f t="shared" si="3"/>
        <v>461.00000000000006</v>
      </c>
      <c r="P35" s="258">
        <f>'[1]Reading.4.23'!O35</f>
        <v>516.32000000000005</v>
      </c>
      <c r="Q35" s="34"/>
      <c r="R35" s="33">
        <v>42700</v>
      </c>
      <c r="S35" s="33"/>
      <c r="T35" s="33">
        <f t="shared" si="4"/>
        <v>0</v>
      </c>
      <c r="U35" s="258">
        <f>'[1]Reading.4.23'!T35</f>
        <v>0</v>
      </c>
      <c r="V35" s="34"/>
      <c r="W35" s="186">
        <v>45905.86</v>
      </c>
      <c r="X35" s="189">
        <f t="shared" si="5"/>
        <v>32559.999999997672</v>
      </c>
      <c r="Y35" s="258">
        <f>'[1]Reading.4.23'!X35</f>
        <v>32040.000000008149</v>
      </c>
      <c r="Z35" s="34"/>
      <c r="AA35" s="266">
        <v>520050</v>
      </c>
      <c r="AB35" s="189">
        <f t="shared" si="6"/>
        <v>0</v>
      </c>
      <c r="AC35" s="258">
        <f>'[1]Reading.4.23'!AB35</f>
        <v>0</v>
      </c>
      <c r="AD35" s="34"/>
      <c r="AE35" s="260">
        <f t="shared" si="7"/>
        <v>32559.999999997672</v>
      </c>
      <c r="AF35" s="261">
        <f>'[1]Reading.4.23'!AE35</f>
        <v>32040.000000008149</v>
      </c>
      <c r="AG35" s="259">
        <f t="shared" si="31"/>
        <v>32980.300000000003</v>
      </c>
      <c r="AH35" s="34"/>
      <c r="AI35" s="287">
        <v>0.55510000000000004</v>
      </c>
      <c r="AJ35" s="193">
        <f>'[1]Reading.4.23'!AI35</f>
        <v>0.54559999999999997</v>
      </c>
      <c r="AK35" s="192">
        <v>5.6379999999999999</v>
      </c>
      <c r="AL35" s="34"/>
      <c r="AM35" s="218">
        <v>291</v>
      </c>
      <c r="AN35" s="326">
        <f>'[1]Reading.4.23'!AM35</f>
        <v>287</v>
      </c>
      <c r="AO35" s="194">
        <f t="shared" si="32"/>
        <v>335.5</v>
      </c>
      <c r="AP35" s="34"/>
      <c r="AQ35" s="265">
        <f>436*4</f>
        <v>1744</v>
      </c>
      <c r="AR35" s="261">
        <f>'[1]Reading.4.23'!AQ35</f>
        <v>1588</v>
      </c>
      <c r="AS35" s="34"/>
      <c r="AT35" s="196">
        <v>7165.9</v>
      </c>
      <c r="AU35" s="197">
        <f t="shared" si="8"/>
        <v>3559.9999999976717</v>
      </c>
      <c r="AV35" s="195">
        <f t="shared" si="9"/>
        <v>0.99407581579828186</v>
      </c>
      <c r="AW35" s="34"/>
      <c r="AX35" s="191"/>
      <c r="AY35" s="262">
        <f>'[1]Reading.4.23'!X35</f>
        <v>32040.000000008149</v>
      </c>
      <c r="AZ35" s="534">
        <f>'[1]Reading.4.23'!AB35</f>
        <v>0</v>
      </c>
      <c r="BA35" s="263">
        <f t="shared" si="10"/>
        <v>32040.000000008149</v>
      </c>
      <c r="BC35" s="154">
        <v>25</v>
      </c>
      <c r="BD35" s="267">
        <v>20</v>
      </c>
      <c r="BE35" s="221">
        <v>16</v>
      </c>
      <c r="BF35" s="223">
        <v>52</v>
      </c>
      <c r="BG35" s="222">
        <v>84</v>
      </c>
      <c r="BH35" s="267">
        <f>'[1]Reading.4.23'!BD35</f>
        <v>23.5</v>
      </c>
      <c r="BI35" s="267">
        <f>'[1]Reading.4.23'!BE35</f>
        <v>20</v>
      </c>
      <c r="BJ35" s="267">
        <f>'[1]Reading.4.23'!BF35</f>
        <v>60</v>
      </c>
      <c r="BL35" s="151">
        <v>526</v>
      </c>
      <c r="BN35" s="189">
        <f>'[1]Reading.4.23'!E33</f>
        <v>0</v>
      </c>
      <c r="BP35" s="33">
        <v>67249</v>
      </c>
      <c r="BQ35" s="33">
        <f t="shared" si="11"/>
        <v>34</v>
      </c>
      <c r="BR35" s="247">
        <f>'[1]Reading.4.23'!BQ35</f>
        <v>39</v>
      </c>
      <c r="BT35" s="33">
        <v>82221</v>
      </c>
      <c r="BU35" s="33">
        <f t="shared" si="12"/>
        <v>42</v>
      </c>
      <c r="BV35" s="247">
        <f>'[1]Reading.4.23'!BU35</f>
        <v>50</v>
      </c>
      <c r="BX35" s="33">
        <v>4045</v>
      </c>
      <c r="BY35" s="33">
        <f>BX35-BX34</f>
        <v>40</v>
      </c>
      <c r="BZ35" s="247">
        <f>'[1]Reading.4.23'!BY34</f>
        <v>0</v>
      </c>
      <c r="CB35" s="33">
        <v>234620</v>
      </c>
      <c r="CC35" s="33">
        <f t="shared" si="14"/>
        <v>30</v>
      </c>
      <c r="CD35" s="247">
        <f>'[1]Reading.4.23'!CC35</f>
        <v>34</v>
      </c>
      <c r="CF35" s="33">
        <v>6310</v>
      </c>
      <c r="CG35" s="33">
        <f t="shared" si="15"/>
        <v>5</v>
      </c>
      <c r="CH35" s="247">
        <f>'[1]Reading.4.23'!CG35</f>
        <v>0</v>
      </c>
      <c r="CI35" s="33">
        <v>19770</v>
      </c>
      <c r="CJ35" s="33">
        <f t="shared" si="37"/>
        <v>0</v>
      </c>
      <c r="CK35" s="247">
        <f>'[1]Reading.4.23'!CG34</f>
        <v>0</v>
      </c>
      <c r="CM35" s="33">
        <f t="shared" si="35"/>
        <v>106</v>
      </c>
      <c r="CN35" s="33">
        <f t="shared" si="35"/>
        <v>123</v>
      </c>
      <c r="CP35" s="33">
        <v>113578</v>
      </c>
      <c r="CQ35" s="33">
        <f t="shared" si="18"/>
        <v>396</v>
      </c>
      <c r="CR35" s="134">
        <f t="shared" si="19"/>
        <v>0.7734375</v>
      </c>
      <c r="CS35" s="247">
        <f>'[1]Reading.4.23'!CN35</f>
        <v>221</v>
      </c>
      <c r="CT35" s="282">
        <f>'[1]Reading.4.23'!CO33</f>
        <v>0.41090909090909089</v>
      </c>
      <c r="CV35" s="33">
        <v>5276</v>
      </c>
      <c r="CW35" s="33">
        <f t="shared" si="20"/>
        <v>3</v>
      </c>
      <c r="CX35" s="247">
        <f>'[1]Reading.4.23'!CT35</f>
        <v>4</v>
      </c>
      <c r="CZ35" s="33">
        <v>966</v>
      </c>
      <c r="DA35" s="33">
        <f t="shared" si="21"/>
        <v>3</v>
      </c>
      <c r="DB35" s="247">
        <f>'[1]Reading.4.23'!CX35</f>
        <v>5</v>
      </c>
      <c r="DD35" s="33">
        <v>1445259</v>
      </c>
      <c r="DE35" s="33">
        <f t="shared" si="22"/>
        <v>1068</v>
      </c>
      <c r="DF35" s="247">
        <f>'[1]Reading.4.23'!DB35</f>
        <v>957</v>
      </c>
      <c r="DH35" s="33">
        <v>3368645</v>
      </c>
      <c r="DI35" s="33">
        <f t="shared" si="23"/>
        <v>1956</v>
      </c>
      <c r="DJ35" s="247">
        <f>'[1]Reading.4.23'!DF35</f>
        <v>2061</v>
      </c>
      <c r="DL35" s="33">
        <v>2919166</v>
      </c>
      <c r="DM35" s="33">
        <f t="shared" si="24"/>
        <v>32</v>
      </c>
      <c r="DN35" s="247">
        <f>'[1]Reading.4.23'!DJ35</f>
        <v>32</v>
      </c>
      <c r="DP35" s="33">
        <v>2299326</v>
      </c>
      <c r="DQ35" s="33">
        <f t="shared" si="25"/>
        <v>1846</v>
      </c>
      <c r="DR35" s="247">
        <f>'[1]Reading.4.23'!DN35</f>
        <v>3395</v>
      </c>
      <c r="DT35" s="33">
        <v>3137289</v>
      </c>
      <c r="DU35" s="33">
        <f t="shared" si="26"/>
        <v>2122</v>
      </c>
      <c r="DV35" s="247">
        <f>'[1]Reading.4.23'!DR35</f>
        <v>33</v>
      </c>
      <c r="DX35" s="33">
        <v>720</v>
      </c>
      <c r="DZ35" s="33">
        <f t="shared" si="27"/>
        <v>4720</v>
      </c>
      <c r="EA35" s="247">
        <f>'[1]Reading.4.23'!DW35</f>
        <v>4180</v>
      </c>
      <c r="EC35" s="196">
        <f t="shared" si="28"/>
        <v>2454.4</v>
      </c>
      <c r="ED35" s="281">
        <f>'[1]Reading.4.23'!C35*5.2</f>
        <v>2402.4</v>
      </c>
      <c r="EF35" s="33">
        <v>61166</v>
      </c>
      <c r="EG35" s="292">
        <f t="shared" si="29"/>
        <v>48</v>
      </c>
      <c r="EH35" s="247"/>
      <c r="EJ35" s="33">
        <v>24472</v>
      </c>
      <c r="EK35" s="292">
        <f t="shared" si="30"/>
        <v>21</v>
      </c>
      <c r="EL35" s="247"/>
    </row>
    <row r="36" spans="1:142" x14ac:dyDescent="0.25">
      <c r="A36" s="298"/>
      <c r="B36" s="33"/>
      <c r="C36" s="33"/>
      <c r="D36" s="33"/>
      <c r="E36" s="33"/>
      <c r="F36" s="251"/>
      <c r="G36" s="33"/>
      <c r="H36" s="190"/>
      <c r="I36" s="187"/>
      <c r="J36" s="33"/>
      <c r="K36" s="189"/>
      <c r="L36" s="258"/>
      <c r="M36" s="188"/>
      <c r="N36" s="33"/>
      <c r="O36" s="189"/>
      <c r="P36" s="258"/>
      <c r="Q36" s="34"/>
      <c r="R36" s="33"/>
      <c r="S36" s="33"/>
      <c r="T36" s="33"/>
      <c r="U36" s="258"/>
      <c r="V36" s="34"/>
      <c r="W36" s="186"/>
      <c r="X36" s="189"/>
      <c r="Y36" s="258"/>
      <c r="Z36" s="34"/>
      <c r="AA36" s="266"/>
      <c r="AB36" s="189"/>
      <c r="AC36" s="258"/>
      <c r="AD36" s="34"/>
      <c r="AE36" s="260"/>
      <c r="AF36" s="261"/>
      <c r="AG36" s="259"/>
      <c r="AH36" s="34"/>
      <c r="AI36" s="287"/>
      <c r="AJ36" s="193"/>
      <c r="AK36" s="192"/>
      <c r="AL36" s="34"/>
      <c r="AM36" s="218"/>
      <c r="AN36" s="326"/>
      <c r="AO36" s="194"/>
      <c r="AP36" s="34"/>
      <c r="AQ36" s="265"/>
      <c r="AR36" s="261"/>
      <c r="AS36" s="34"/>
      <c r="AT36" s="196"/>
      <c r="AU36" s="197"/>
      <c r="AV36" s="195"/>
      <c r="AW36" s="34"/>
      <c r="AX36" s="191"/>
      <c r="AY36" s="262"/>
      <c r="AZ36" s="534"/>
      <c r="BA36" s="263"/>
      <c r="BC36" s="154"/>
      <c r="BD36" s="267"/>
      <c r="BE36" s="221"/>
      <c r="BF36" s="223"/>
      <c r="BG36" s="222"/>
      <c r="BH36" s="267"/>
      <c r="BI36" s="267"/>
      <c r="BJ36" s="267"/>
      <c r="BL36" s="151"/>
      <c r="BN36" s="189"/>
      <c r="BP36" s="33"/>
      <c r="BQ36" s="33"/>
      <c r="BR36" s="247"/>
      <c r="BT36" s="33"/>
      <c r="BU36" s="33"/>
      <c r="BV36" s="247"/>
      <c r="BX36" s="33"/>
      <c r="BY36" s="33"/>
      <c r="BZ36" s="247"/>
      <c r="CB36" s="33"/>
      <c r="CC36" s="33"/>
      <c r="CD36" s="247"/>
      <c r="CF36" s="33"/>
      <c r="CG36" s="33"/>
      <c r="CH36" s="247"/>
      <c r="CI36" s="33"/>
      <c r="CJ36" s="33"/>
      <c r="CK36" s="247"/>
      <c r="CM36" s="33"/>
      <c r="CN36" s="33"/>
      <c r="CP36" s="33"/>
      <c r="CQ36" s="33"/>
      <c r="CR36" s="134"/>
      <c r="CS36" s="247"/>
      <c r="CT36" s="282"/>
      <c r="CV36" s="33"/>
      <c r="CW36" s="33"/>
      <c r="CX36" s="247"/>
      <c r="CZ36" s="33"/>
      <c r="DA36" s="33"/>
      <c r="DB36" s="247"/>
      <c r="DD36" s="33"/>
      <c r="DE36" s="33"/>
      <c r="DF36" s="247"/>
      <c r="DH36" s="33"/>
      <c r="DI36" s="33"/>
      <c r="DJ36" s="247"/>
      <c r="DL36" s="33"/>
      <c r="DM36" s="33"/>
      <c r="DN36" s="247"/>
      <c r="DP36" s="33"/>
      <c r="DQ36" s="33"/>
      <c r="DR36" s="247"/>
      <c r="DT36" s="33"/>
      <c r="DU36" s="33"/>
      <c r="DV36" s="247"/>
      <c r="DX36" s="33"/>
      <c r="DZ36" s="33"/>
      <c r="EA36" s="247"/>
      <c r="EC36" s="196"/>
      <c r="ED36" s="281"/>
      <c r="EF36" s="33"/>
      <c r="EG36" s="292"/>
      <c r="EH36" s="247"/>
      <c r="EJ36" s="33"/>
      <c r="EK36" s="292"/>
      <c r="EL36" s="247"/>
    </row>
    <row r="37" spans="1:142" ht="13.8" thickBot="1" x14ac:dyDescent="0.3">
      <c r="C37" s="126">
        <f>AVERAGE(C6:C36)</f>
        <v>568.06666666666672</v>
      </c>
      <c r="E37" s="38">
        <f>SUM(E6:E36)</f>
        <v>0</v>
      </c>
      <c r="G37" s="55">
        <f>SUM(G6:G36)</f>
        <v>17102</v>
      </c>
      <c r="H37" s="111">
        <f>SUM(H6:H36)</f>
        <v>16258</v>
      </c>
      <c r="I37" s="125"/>
      <c r="J37" s="38"/>
      <c r="K37" s="55">
        <f>SUM(K6:K36)</f>
        <v>5111.46</v>
      </c>
      <c r="L37" s="111">
        <f>SUM(L6:L36)</f>
        <v>5358.8639999999996</v>
      </c>
      <c r="M37" s="125"/>
      <c r="N37" s="38"/>
      <c r="O37" s="55">
        <f>SUM(O6:O36)</f>
        <v>13899.15</v>
      </c>
      <c r="P37" s="111">
        <f>SUM(P6:P36)</f>
        <v>13779.290000000003</v>
      </c>
      <c r="Q37" s="125"/>
      <c r="R37" s="38"/>
      <c r="S37" s="133">
        <f>SUM(S6:S36)</f>
        <v>0</v>
      </c>
      <c r="T37" s="55">
        <f>SUM(T6:T36)</f>
        <v>0</v>
      </c>
      <c r="U37" s="111">
        <f>SUM(U6:U36)</f>
        <v>0</v>
      </c>
      <c r="V37" s="125"/>
      <c r="W37" s="39"/>
      <c r="X37" s="55">
        <f>SUM(X6:X36)</f>
        <v>997239.99999999069</v>
      </c>
      <c r="Y37" s="111">
        <f>SUM(Y6:Y36)</f>
        <v>961559.99999999767</v>
      </c>
      <c r="Z37" s="125"/>
      <c r="AA37" s="38"/>
      <c r="AB37" s="55">
        <f>SUM(AB6:AB36)</f>
        <v>20</v>
      </c>
      <c r="AC37" s="111">
        <f>SUM(AC6:AC36)</f>
        <v>800</v>
      </c>
      <c r="AD37" s="125"/>
      <c r="AE37" s="124">
        <f>SUM(AE6:AE36)</f>
        <v>997259.99999999069</v>
      </c>
      <c r="AF37" s="111">
        <f>SUM(AF6:AF36)</f>
        <v>962359.99999999767</v>
      </c>
      <c r="AG37" s="123">
        <f>SUM(AG6:AG36)</f>
        <v>989409.00000000058</v>
      </c>
      <c r="AH37" s="125"/>
      <c r="AI37" s="537">
        <f>AVERAGE(AI6:AI36)</f>
        <v>0.63662000000000007</v>
      </c>
      <c r="AJ37" s="159">
        <f>AVERAGE(AJ6:AJ36)</f>
        <v>0.56956666666666678</v>
      </c>
      <c r="AK37" s="160">
        <f>AVERAGE(AK6:AK36)</f>
        <v>2.1046666666666662</v>
      </c>
      <c r="AL37" s="125"/>
      <c r="AM37" s="124">
        <f>SUM(AM6:AM36)</f>
        <v>10046</v>
      </c>
      <c r="AN37" s="111">
        <f>SUM(AN6:AN36)</f>
        <v>8987</v>
      </c>
      <c r="AO37" s="123">
        <f>SUM(AO6:AO36)</f>
        <v>10065</v>
      </c>
      <c r="AP37" s="125"/>
      <c r="AQ37" s="124">
        <f>MAX(AQ6:AQ36)</f>
        <v>2068</v>
      </c>
      <c r="AR37" s="111">
        <f>MAX(AR6:AR36)</f>
        <v>2044</v>
      </c>
      <c r="AS37" s="156"/>
      <c r="AT37" s="157"/>
      <c r="AU37" s="157"/>
      <c r="AV37" s="157">
        <f>AVERAGE(AV6:AV36)</f>
        <v>0.99411769735251176</v>
      </c>
      <c r="AW37" s="156"/>
      <c r="AX37" s="122"/>
      <c r="AY37" s="127">
        <f>SUM(AY6:AY36)</f>
        <v>961559.99999999767</v>
      </c>
      <c r="AZ37" s="128">
        <f>SUM(AZ6:AZ36)</f>
        <v>800</v>
      </c>
      <c r="BA37" s="129">
        <f>SUM(BA6:BA36)</f>
        <v>962359.99999999767</v>
      </c>
      <c r="BC37" s="239">
        <f t="shared" ref="BC37:BG37" si="38">AVERAGE(BC6:BC36)</f>
        <v>21</v>
      </c>
      <c r="BD37" s="118">
        <f t="shared" si="38"/>
        <v>17.826666666666664</v>
      </c>
      <c r="BE37" s="155">
        <f t="shared" si="38"/>
        <v>14.033333333333333</v>
      </c>
      <c r="BF37" s="224">
        <f t="shared" si="38"/>
        <v>56.966666666666669</v>
      </c>
      <c r="BG37" s="239">
        <f t="shared" si="38"/>
        <v>80.466666666666669</v>
      </c>
      <c r="BH37" s="118">
        <f>AVERAGE(BH6:BH36)</f>
        <v>25.946666666666665</v>
      </c>
      <c r="BI37" s="155">
        <f>AVERAGE(BI6:BI36)</f>
        <v>21.3</v>
      </c>
      <c r="BJ37" s="224">
        <f>AVERAGE(BJ6:BJ36)</f>
        <v>59.266666666666666</v>
      </c>
      <c r="BL37" s="151">
        <f>SUM(BL6:BL36)</f>
        <v>15780</v>
      </c>
      <c r="BN37" s="179">
        <f>SUM(BN6:BN36)</f>
        <v>0</v>
      </c>
      <c r="BP37" s="33"/>
      <c r="BQ37" s="33">
        <f>SUM(BQ6:BQ36)</f>
        <v>978</v>
      </c>
      <c r="BR37" s="247">
        <f>SUM(BR6:BR36)</f>
        <v>944</v>
      </c>
      <c r="BT37" s="33"/>
      <c r="BU37" s="33">
        <f>SUM(BU6:BU36)</f>
        <v>1150</v>
      </c>
      <c r="BV37" s="247">
        <f>SUM(BV6:BV36)</f>
        <v>1061</v>
      </c>
      <c r="BX37" s="33"/>
      <c r="BY37" s="33">
        <f>SUM(BY6:BY36)</f>
        <v>81</v>
      </c>
      <c r="BZ37" s="247">
        <f>SUM(BZ6:BZ36)</f>
        <v>5</v>
      </c>
      <c r="CB37" s="33"/>
      <c r="CC37" s="33">
        <f>SUM(CC6:CC36)</f>
        <v>1260</v>
      </c>
      <c r="CD37" s="247">
        <f>SUM(CD6:CD36)</f>
        <v>1564</v>
      </c>
      <c r="CF37" s="33"/>
      <c r="CG37" s="33">
        <f>SUM(CG6:CG36)</f>
        <v>240</v>
      </c>
      <c r="CH37" s="247">
        <f>SUM(CH6:CH36)</f>
        <v>0</v>
      </c>
      <c r="CI37" s="33"/>
      <c r="CJ37" s="33">
        <f>SUM(CJ6:CJ36)</f>
        <v>-6</v>
      </c>
      <c r="CK37" s="247">
        <f>SUM(CK6:CK36)</f>
        <v>0</v>
      </c>
      <c r="CM37" s="33">
        <f>SUM(CM6:CM36)</f>
        <v>3463</v>
      </c>
      <c r="CN37" s="33">
        <f>SUM(CN6:CN36)</f>
        <v>3574</v>
      </c>
      <c r="CP37" s="33"/>
      <c r="CQ37" s="33">
        <f>SUM(CQ6:CQ36)</f>
        <v>12613</v>
      </c>
      <c r="CR37" s="249">
        <f>AVERAGE(CR6:CR36)</f>
        <v>0.7522989224791452</v>
      </c>
      <c r="CS37" s="247">
        <f>SUM(CS6:CS35)</f>
        <v>6817</v>
      </c>
      <c r="CT37" s="282">
        <f>'[1]Reading.4.23'!CO35</f>
        <v>0.52997601918465231</v>
      </c>
      <c r="CV37" s="33"/>
      <c r="CW37" s="33">
        <f>SUM(CW6:CW36)</f>
        <v>63</v>
      </c>
      <c r="CX37" s="247">
        <f>SUM(CX6:CX36)</f>
        <v>47</v>
      </c>
      <c r="CZ37" s="33"/>
      <c r="DA37" s="33">
        <f>SUM(DA6:DA36)</f>
        <v>88</v>
      </c>
      <c r="DB37" s="247">
        <f>SUM(DB6:DB36)</f>
        <v>128</v>
      </c>
      <c r="DD37" s="33"/>
      <c r="DE37" s="33">
        <f>SUM(DE6:DE36)</f>
        <v>24561</v>
      </c>
      <c r="DF37" s="247">
        <f>SUM(DF6:DF36)</f>
        <v>25615</v>
      </c>
      <c r="DH37" s="33"/>
      <c r="DI37" s="33">
        <f>SUM(DI6:DI36)</f>
        <v>54380</v>
      </c>
      <c r="DJ37" s="247">
        <f>SUM(DJ6:DJ36)</f>
        <v>56368</v>
      </c>
      <c r="DL37" s="33"/>
      <c r="DM37" s="33">
        <f>SUM(DM6:DM36)</f>
        <v>15783</v>
      </c>
      <c r="DN37" s="247">
        <f>SUM(DN6:DN36)</f>
        <v>83010</v>
      </c>
      <c r="DP37" s="33"/>
      <c r="DQ37" s="33">
        <f>SUM(DQ6:DQ36)</f>
        <v>14438</v>
      </c>
      <c r="DR37" s="247">
        <f>SUM(DR6:DR36)</f>
        <v>22483</v>
      </c>
      <c r="DT37" s="33"/>
      <c r="DU37" s="33">
        <f>SUM(DU6:DU36)</f>
        <v>90754</v>
      </c>
      <c r="DV37" s="247">
        <f>SUM(DV6:DV36)</f>
        <v>1020</v>
      </c>
      <c r="DX37" s="33"/>
      <c r="DZ37" s="33">
        <f>SUM(DZ6:DZ36)</f>
        <v>142575</v>
      </c>
      <c r="EA37" s="247">
        <f>SUM(EA6:EA36)</f>
        <v>128113</v>
      </c>
      <c r="EC37" s="196">
        <f>SUM(EC6:EC36)</f>
        <v>88618.39999999998</v>
      </c>
      <c r="ED37" s="281">
        <f>SUM(ED6:ED36)</f>
        <v>84541.599999999991</v>
      </c>
      <c r="EF37" s="33"/>
      <c r="EG37" s="33">
        <f>SUM(EG6:EG36)</f>
        <v>1610</v>
      </c>
      <c r="EH37" s="247">
        <f>SUM(EH6:EH36)</f>
        <v>0</v>
      </c>
      <c r="EJ37" s="33"/>
      <c r="EK37" s="33">
        <f>SUM(EK6:EK36)</f>
        <v>710</v>
      </c>
      <c r="EL37" s="247">
        <f>SUM(EL6:EL36)</f>
        <v>0</v>
      </c>
    </row>
    <row r="38" spans="1:142" ht="13.8" thickTop="1" x14ac:dyDescent="0.25">
      <c r="C38" t="s">
        <v>33</v>
      </c>
      <c r="W38" s="32"/>
      <c r="AP38" s="152" t="s">
        <v>99</v>
      </c>
      <c r="AQ38" s="153">
        <v>2216</v>
      </c>
      <c r="CQ38">
        <v>0</v>
      </c>
    </row>
    <row r="39" spans="1:142" x14ac:dyDescent="0.25">
      <c r="C39">
        <f>SUM(C6:C36)</f>
        <v>17042</v>
      </c>
      <c r="K39" s="325"/>
      <c r="P39" s="325"/>
      <c r="AP39" s="152" t="s">
        <v>101</v>
      </c>
      <c r="AQ39" s="153">
        <v>2160</v>
      </c>
    </row>
    <row r="40" spans="1:142" x14ac:dyDescent="0.25">
      <c r="G40" s="328"/>
      <c r="U40" s="535" t="s">
        <v>49</v>
      </c>
      <c r="V40" s="132"/>
      <c r="W40" s="132"/>
      <c r="X40" s="132"/>
      <c r="Y40" s="132"/>
      <c r="Z40" s="132"/>
      <c r="AA40" s="132"/>
      <c r="AB40" s="137">
        <f>'[1]Cost.4.24'!BG39</f>
        <v>155.41202341381961</v>
      </c>
      <c r="AC40" s="536" t="s">
        <v>51</v>
      </c>
      <c r="AF40" s="33" t="s">
        <v>46</v>
      </c>
      <c r="AG40" s="33"/>
      <c r="AH40" s="33"/>
      <c r="AI40" s="130"/>
      <c r="AJ40" s="134">
        <f>AJ37</f>
        <v>0.56956666666666678</v>
      </c>
      <c r="AM40" s="33" t="s">
        <v>56</v>
      </c>
      <c r="AN40" s="33"/>
      <c r="AO40" s="33"/>
      <c r="AP40" s="130"/>
      <c r="AQ40" s="132"/>
      <c r="AR40" s="131">
        <f>AF37/AN37</f>
        <v>107.08356514966036</v>
      </c>
      <c r="AY40" s="588" t="s">
        <v>282</v>
      </c>
      <c r="AZ40" s="588"/>
      <c r="BA40" s="588"/>
      <c r="BB40" s="588"/>
      <c r="BC40" s="588"/>
      <c r="BD40" s="588"/>
      <c r="BE40" s="588"/>
      <c r="BF40" s="588"/>
      <c r="BG40" s="588"/>
      <c r="BH40" s="588"/>
      <c r="BI40" s="588"/>
      <c r="BJ40" s="220"/>
    </row>
    <row r="41" spans="1:142" x14ac:dyDescent="0.25">
      <c r="U41" s="535" t="s">
        <v>50</v>
      </c>
      <c r="V41" s="132"/>
      <c r="W41" s="132"/>
      <c r="X41" s="132"/>
      <c r="Y41" s="132"/>
      <c r="Z41" s="132"/>
      <c r="AA41" s="132"/>
      <c r="AB41" s="137">
        <f>'[1]Cost.4.24'!BI39</f>
        <v>155.63658894515976</v>
      </c>
      <c r="AC41" s="536" t="s">
        <v>51</v>
      </c>
      <c r="AF41" s="33" t="s">
        <v>45</v>
      </c>
      <c r="AG41" s="33"/>
      <c r="AH41" s="33"/>
      <c r="AI41" s="130"/>
      <c r="AJ41" s="134">
        <f>AI37</f>
        <v>0.63662000000000007</v>
      </c>
      <c r="AM41" s="33" t="s">
        <v>55</v>
      </c>
      <c r="AN41" s="33"/>
      <c r="AO41" s="33"/>
      <c r="AP41" s="130"/>
      <c r="AQ41" s="132"/>
      <c r="AR41" s="131">
        <f>AE37/AM37</f>
        <v>99.269360939676559</v>
      </c>
      <c r="AZ41" s="250"/>
      <c r="BA41" s="588"/>
      <c r="BB41" s="588"/>
      <c r="BC41" s="588"/>
      <c r="BD41" s="588"/>
      <c r="BE41" s="588"/>
      <c r="BF41" s="588"/>
      <c r="BG41" s="588"/>
      <c r="BH41" s="588"/>
      <c r="BI41" s="588"/>
      <c r="BJ41" s="588"/>
      <c r="BK41" s="588"/>
    </row>
    <row r="42" spans="1:142" x14ac:dyDescent="0.25">
      <c r="U42" s="535" t="s">
        <v>48</v>
      </c>
      <c r="V42" s="132"/>
      <c r="W42" s="132"/>
      <c r="X42" s="132"/>
      <c r="Y42" s="132"/>
      <c r="Z42" s="132"/>
      <c r="AA42" s="132"/>
      <c r="AB42" s="137">
        <f>'[1]Cost.4.24'!BH39</f>
        <v>145.70114257327361</v>
      </c>
      <c r="AC42" s="536" t="s">
        <v>51</v>
      </c>
      <c r="AF42" s="33" t="s">
        <v>47</v>
      </c>
      <c r="AG42" s="33"/>
      <c r="AH42" s="130"/>
      <c r="AI42" s="132"/>
      <c r="AJ42" s="134">
        <f>AK37</f>
        <v>2.1046666666666662</v>
      </c>
      <c r="AM42" s="33" t="s">
        <v>54</v>
      </c>
      <c r="AN42" s="33"/>
      <c r="AO42" s="33"/>
      <c r="AP42" s="130"/>
      <c r="AQ42" s="132"/>
      <c r="AR42" s="131">
        <f>AG37/AO37</f>
        <v>98.301937406855501</v>
      </c>
      <c r="CC42">
        <f>229975+25</f>
        <v>230000</v>
      </c>
    </row>
    <row r="43" spans="1:142" x14ac:dyDescent="0.25">
      <c r="K43" s="283"/>
      <c r="AY43" s="596"/>
      <c r="AZ43" s="596"/>
      <c r="BA43" s="596"/>
      <c r="BB43" s="596"/>
      <c r="BC43" s="596"/>
      <c r="BD43" s="596"/>
      <c r="BE43" s="596"/>
      <c r="BF43" s="596"/>
      <c r="BG43" s="596"/>
      <c r="BH43" s="596"/>
    </row>
    <row r="44" spans="1:142" x14ac:dyDescent="0.25">
      <c r="AM44" s="33" t="s">
        <v>57</v>
      </c>
      <c r="AN44" s="33"/>
      <c r="AO44" s="33"/>
      <c r="AP44" s="130"/>
      <c r="AQ44" s="132"/>
      <c r="AR44" s="131">
        <f>AF37/BL37</f>
        <v>60.98605830164751</v>
      </c>
    </row>
    <row r="45" spans="1:142" x14ac:dyDescent="0.25">
      <c r="AM45" s="33" t="s">
        <v>58</v>
      </c>
      <c r="AN45" s="33"/>
      <c r="AO45" s="33"/>
      <c r="AP45" s="130"/>
      <c r="AQ45" s="132"/>
      <c r="AR45" s="131">
        <f>AE37/BL37</f>
        <v>63.19771863117812</v>
      </c>
      <c r="BA45" s="150"/>
    </row>
    <row r="46" spans="1:142" x14ac:dyDescent="0.25">
      <c r="AM46" s="33" t="s">
        <v>59</v>
      </c>
      <c r="AN46" s="33"/>
      <c r="AO46" s="33"/>
      <c r="AP46" s="130"/>
      <c r="AQ46" s="132"/>
      <c r="AR46" s="131">
        <f>AG37/BL37</f>
        <v>62.700190114068477</v>
      </c>
      <c r="AV46" s="327"/>
    </row>
    <row r="49" spans="37:60" x14ac:dyDescent="0.25">
      <c r="AM49" s="236"/>
    </row>
    <row r="50" spans="37:60" x14ac:dyDescent="0.25">
      <c r="AK50" s="288"/>
      <c r="AL50" s="43"/>
      <c r="AM50" s="289"/>
      <c r="AN50" s="43"/>
    </row>
    <row r="51" spans="37:60" x14ac:dyDescent="0.25">
      <c r="AK51" s="288"/>
      <c r="AL51" s="43"/>
      <c r="AM51" s="289"/>
      <c r="AN51" s="43"/>
    </row>
    <row r="52" spans="37:60" x14ac:dyDescent="0.25">
      <c r="AK52" s="288"/>
      <c r="AL52" s="43"/>
      <c r="AM52" s="289"/>
      <c r="AN52" s="43"/>
    </row>
    <row r="53" spans="37:60" x14ac:dyDescent="0.25">
      <c r="AK53" s="288"/>
      <c r="AL53" s="43"/>
      <c r="AM53" s="289"/>
      <c r="AN53" s="43"/>
    </row>
    <row r="54" spans="37:60" x14ac:dyDescent="0.25">
      <c r="AK54" s="288"/>
      <c r="AL54" s="43"/>
      <c r="AM54" s="289"/>
      <c r="AN54" s="43"/>
    </row>
    <row r="55" spans="37:60" x14ac:dyDescent="0.25">
      <c r="AK55" s="288"/>
      <c r="AL55" s="43"/>
      <c r="AM55" s="289"/>
      <c r="AN55" s="43"/>
    </row>
    <row r="56" spans="37:60" x14ac:dyDescent="0.25">
      <c r="AK56" s="288"/>
      <c r="AL56" s="43"/>
      <c r="AM56" s="289"/>
      <c r="AN56" s="43"/>
    </row>
    <row r="57" spans="37:60" x14ac:dyDescent="0.25">
      <c r="AK57" s="288"/>
      <c r="AL57" s="43"/>
      <c r="AM57" s="289"/>
      <c r="AN57" s="43"/>
    </row>
    <row r="58" spans="37:60" x14ac:dyDescent="0.25">
      <c r="AK58" s="288"/>
      <c r="AL58" s="43"/>
      <c r="AM58" s="289"/>
      <c r="AN58" s="43"/>
      <c r="BF58" s="359"/>
      <c r="BG58" s="359"/>
      <c r="BH58" s="359"/>
    </row>
    <row r="59" spans="37:60" x14ac:dyDescent="0.25">
      <c r="AK59" s="288"/>
      <c r="AL59" s="43"/>
      <c r="AM59" s="289"/>
      <c r="AN59" s="43"/>
      <c r="BF59" s="359"/>
      <c r="BG59" s="359"/>
      <c r="BH59" s="359"/>
    </row>
    <row r="60" spans="37:60" x14ac:dyDescent="0.25">
      <c r="AK60" s="288"/>
      <c r="AL60" s="43"/>
      <c r="AM60" s="289"/>
      <c r="AN60" s="43"/>
      <c r="BF60" s="359"/>
      <c r="BG60" s="359"/>
      <c r="BH60" s="359"/>
    </row>
    <row r="61" spans="37:60" x14ac:dyDescent="0.25">
      <c r="AK61" s="288"/>
      <c r="AL61" s="43"/>
      <c r="AM61" s="289"/>
      <c r="AN61" s="43"/>
      <c r="BF61" s="359"/>
      <c r="BG61" s="359"/>
      <c r="BH61" s="359"/>
    </row>
    <row r="62" spans="37:60" x14ac:dyDescent="0.25">
      <c r="AK62" s="288"/>
      <c r="AL62" s="43"/>
      <c r="AM62" s="289"/>
      <c r="AN62" s="43"/>
      <c r="BF62" s="359"/>
      <c r="BG62" s="359"/>
      <c r="BH62" s="359"/>
    </row>
    <row r="63" spans="37:60" x14ac:dyDescent="0.25">
      <c r="AK63" s="288"/>
      <c r="AL63" s="43"/>
      <c r="AM63" s="289"/>
      <c r="AN63" s="43"/>
      <c r="BF63" s="359"/>
      <c r="BG63" s="359"/>
      <c r="BH63" s="359"/>
    </row>
    <row r="64" spans="37:60" x14ac:dyDescent="0.25">
      <c r="AK64" s="288"/>
      <c r="AL64" s="43"/>
      <c r="AM64" s="289"/>
      <c r="AN64" s="43"/>
      <c r="BF64" s="359"/>
      <c r="BG64" s="359"/>
      <c r="BH64" s="359"/>
    </row>
    <row r="65" spans="37:60" x14ac:dyDescent="0.25">
      <c r="AK65" s="288"/>
      <c r="AL65" s="43"/>
      <c r="AM65" s="289"/>
      <c r="AN65" s="43"/>
      <c r="BF65" s="359"/>
      <c r="BG65" s="359"/>
      <c r="BH65" s="359"/>
    </row>
    <row r="66" spans="37:60" x14ac:dyDescent="0.25">
      <c r="AK66" s="288"/>
      <c r="AL66" s="43"/>
      <c r="AM66" s="289"/>
      <c r="AN66" s="43"/>
      <c r="BF66" s="359"/>
      <c r="BG66" s="359"/>
      <c r="BH66" s="359"/>
    </row>
    <row r="67" spans="37:60" x14ac:dyDescent="0.25">
      <c r="AK67" s="288"/>
      <c r="AL67" s="43"/>
      <c r="AM67" s="289"/>
      <c r="AN67" s="43"/>
      <c r="BF67" s="359"/>
      <c r="BG67" s="359"/>
      <c r="BH67" s="359"/>
    </row>
    <row r="68" spans="37:60" x14ac:dyDescent="0.25">
      <c r="AK68" s="288"/>
      <c r="AL68" s="43"/>
      <c r="AM68" s="289"/>
      <c r="AN68" s="43"/>
      <c r="BF68" s="359"/>
      <c r="BG68" s="359"/>
      <c r="BH68" s="359"/>
    </row>
    <row r="69" spans="37:60" x14ac:dyDescent="0.25">
      <c r="AK69" s="288"/>
      <c r="AL69" s="43"/>
      <c r="AM69" s="289"/>
      <c r="AN69" s="43"/>
      <c r="BF69" s="359"/>
      <c r="BG69" s="359"/>
      <c r="BH69" s="359"/>
    </row>
    <row r="70" spans="37:60" x14ac:dyDescent="0.25">
      <c r="AK70" s="288"/>
      <c r="AL70" s="43"/>
      <c r="AM70" s="289"/>
      <c r="AN70" s="43"/>
      <c r="BF70" s="359"/>
      <c r="BG70" s="359"/>
      <c r="BH70" s="359"/>
    </row>
    <row r="71" spans="37:60" x14ac:dyDescent="0.25">
      <c r="AK71" s="288"/>
      <c r="AL71" s="43"/>
      <c r="AM71" s="289"/>
      <c r="AN71" s="43"/>
      <c r="BF71" s="359"/>
      <c r="BG71" s="359"/>
      <c r="BH71" s="359"/>
    </row>
    <row r="72" spans="37:60" x14ac:dyDescent="0.25">
      <c r="AK72" s="288"/>
      <c r="AL72" s="43"/>
      <c r="AM72" s="289"/>
      <c r="AN72" s="43"/>
      <c r="BF72" s="359"/>
      <c r="BG72" s="359"/>
      <c r="BH72" s="359"/>
    </row>
    <row r="73" spans="37:60" x14ac:dyDescent="0.25">
      <c r="AK73" s="288"/>
      <c r="AL73" s="43"/>
      <c r="AM73" s="290"/>
      <c r="AN73" s="43"/>
      <c r="BF73" s="359"/>
      <c r="BG73" s="359"/>
      <c r="BH73" s="359"/>
    </row>
    <row r="74" spans="37:60" x14ac:dyDescent="0.25">
      <c r="AK74" s="288"/>
      <c r="AL74" s="43"/>
      <c r="AM74" s="43"/>
      <c r="AN74" s="43"/>
      <c r="BF74" s="359"/>
      <c r="BG74" s="359"/>
      <c r="BH74" s="359"/>
    </row>
    <row r="75" spans="37:60" x14ac:dyDescent="0.25">
      <c r="AK75" s="43"/>
      <c r="AL75" s="43"/>
      <c r="AM75" s="43"/>
      <c r="AN75" s="43"/>
      <c r="BF75" s="359"/>
      <c r="BG75" s="359"/>
      <c r="BH75" s="359"/>
    </row>
    <row r="76" spans="37:60" x14ac:dyDescent="0.25">
      <c r="AK76" s="43"/>
      <c r="AL76" s="43"/>
      <c r="AM76" s="43"/>
      <c r="AN76" s="43"/>
      <c r="BF76" s="359"/>
      <c r="BG76" s="359"/>
      <c r="BH76" s="359"/>
    </row>
    <row r="77" spans="37:60" x14ac:dyDescent="0.25">
      <c r="AK77" s="43"/>
      <c r="AL77" s="43"/>
      <c r="AM77" s="43"/>
      <c r="AN77" s="43"/>
      <c r="BF77" s="359"/>
      <c r="BG77" s="359"/>
      <c r="BH77" s="359"/>
    </row>
    <row r="78" spans="37:60" x14ac:dyDescent="0.25">
      <c r="AK78" s="43"/>
      <c r="AL78" s="43"/>
      <c r="AM78" s="43"/>
      <c r="AN78" s="43"/>
      <c r="BF78" s="359"/>
      <c r="BG78" s="359"/>
      <c r="BH78" s="359"/>
    </row>
    <row r="79" spans="37:60" x14ac:dyDescent="0.25">
      <c r="AK79" s="43"/>
      <c r="AL79" s="43"/>
      <c r="AM79" s="43"/>
      <c r="AN79" s="43"/>
      <c r="BF79" s="359"/>
      <c r="BG79" s="359"/>
      <c r="BH79" s="359"/>
    </row>
    <row r="80" spans="37:60" x14ac:dyDescent="0.25">
      <c r="AK80" s="43"/>
      <c r="AL80" s="43"/>
      <c r="AM80" s="43"/>
      <c r="AN80" s="43"/>
      <c r="BF80" s="359"/>
      <c r="BG80" s="359"/>
      <c r="BH80" s="359"/>
    </row>
    <row r="81" spans="37:60" x14ac:dyDescent="0.25">
      <c r="AK81" s="43"/>
      <c r="AL81" s="43"/>
      <c r="AM81" s="43"/>
      <c r="AN81" s="43"/>
      <c r="BF81" s="359"/>
      <c r="BG81" s="359"/>
      <c r="BH81" s="359"/>
    </row>
    <row r="82" spans="37:60" x14ac:dyDescent="0.25">
      <c r="BF82" s="359"/>
      <c r="BG82" s="359"/>
      <c r="BH82" s="359"/>
    </row>
    <row r="83" spans="37:60" x14ac:dyDescent="0.25">
      <c r="BF83" s="359"/>
      <c r="BG83" s="359"/>
      <c r="BH83" s="359"/>
    </row>
    <row r="88" spans="37:60" x14ac:dyDescent="0.25">
      <c r="AM88" s="217"/>
    </row>
    <row r="89" spans="37:60" x14ac:dyDescent="0.25">
      <c r="AM89" s="217"/>
    </row>
    <row r="90" spans="37:60" x14ac:dyDescent="0.25">
      <c r="AM90" s="217"/>
    </row>
    <row r="91" spans="37:60" x14ac:dyDescent="0.25">
      <c r="AM91" s="217"/>
    </row>
    <row r="92" spans="37:60" x14ac:dyDescent="0.25">
      <c r="AM92" s="217"/>
    </row>
    <row r="93" spans="37:60" x14ac:dyDescent="0.25">
      <c r="AM93" s="217"/>
    </row>
    <row r="94" spans="37:60" x14ac:dyDescent="0.25">
      <c r="AM94" s="217"/>
    </row>
    <row r="95" spans="37:60" x14ac:dyDescent="0.25">
      <c r="AM95" s="217"/>
    </row>
    <row r="96" spans="37:60" x14ac:dyDescent="0.25">
      <c r="AM96" s="217"/>
    </row>
    <row r="97" spans="39:39" x14ac:dyDescent="0.25">
      <c r="AM97" s="217"/>
    </row>
    <row r="98" spans="39:39" x14ac:dyDescent="0.25">
      <c r="AM98" s="217"/>
    </row>
    <row r="99" spans="39:39" x14ac:dyDescent="0.25">
      <c r="AM99" s="217"/>
    </row>
    <row r="100" spans="39:39" x14ac:dyDescent="0.25">
      <c r="AM100" s="217"/>
    </row>
    <row r="101" spans="39:39" x14ac:dyDescent="0.25">
      <c r="AM101" s="217"/>
    </row>
    <row r="102" spans="39:39" x14ac:dyDescent="0.25">
      <c r="AM102" s="217"/>
    </row>
    <row r="103" spans="39:39" x14ac:dyDescent="0.25">
      <c r="AM103" s="217"/>
    </row>
    <row r="104" spans="39:39" x14ac:dyDescent="0.25">
      <c r="AM104" s="217"/>
    </row>
    <row r="105" spans="39:39" x14ac:dyDescent="0.25">
      <c r="AM105" s="217"/>
    </row>
    <row r="106" spans="39:39" x14ac:dyDescent="0.25">
      <c r="AM106" s="217"/>
    </row>
    <row r="107" spans="39:39" x14ac:dyDescent="0.25">
      <c r="AM107" s="217"/>
    </row>
    <row r="108" spans="39:39" x14ac:dyDescent="0.25">
      <c r="AM108" s="217"/>
    </row>
    <row r="109" spans="39:39" x14ac:dyDescent="0.25">
      <c r="AM109" s="217"/>
    </row>
    <row r="110" spans="39:39" x14ac:dyDescent="0.25">
      <c r="AM110" s="217"/>
    </row>
    <row r="151" spans="69:69" x14ac:dyDescent="0.25">
      <c r="BQ151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0">
    <mergeCell ref="CV2:CX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  <mergeCell ref="AY43:BH43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P2:CT2"/>
    <mergeCell ref="BA41:BK41"/>
    <mergeCell ref="CB2:CD2"/>
    <mergeCell ref="CI2:CK2"/>
    <mergeCell ref="BX2:BZ2"/>
    <mergeCell ref="BT2:BV2"/>
    <mergeCell ref="BP2:BR2"/>
    <mergeCell ref="BN2:BN4"/>
    <mergeCell ref="AY40:BI40"/>
    <mergeCell ref="BL2:BL4"/>
    <mergeCell ref="BC4:BF4"/>
    <mergeCell ref="BG4:BJ4"/>
    <mergeCell ref="BC2:BJ2"/>
    <mergeCell ref="CF2:CH2"/>
  </mergeCells>
  <hyperlinks>
    <hyperlink ref="AY40" r:id="rId1" xr:uid="{00000000-0004-0000-0F00-000000000000}"/>
  </hyperlinks>
  <pageMargins left="0.75" right="0.75" top="1" bottom="1" header="0.5" footer="0.5"/>
  <pageSetup orientation="portrait" horizontalDpi="300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A1:BL46"/>
  <sheetViews>
    <sheetView workbookViewId="0">
      <selection activeCell="K4" sqref="K4"/>
    </sheetView>
  </sheetViews>
  <sheetFormatPr defaultColWidth="9.109375" defaultRowHeight="13.2" x14ac:dyDescent="0.25"/>
  <cols>
    <col min="1" max="1" width="1.5546875" customWidth="1"/>
    <col min="2" max="2" width="11.44140625" customWidth="1"/>
    <col min="3" max="3" width="1.109375" customWidth="1"/>
    <col min="4" max="4" width="7.88671875" customWidth="1"/>
    <col min="5" max="5" width="1.109375" customWidth="1"/>
    <col min="6" max="6" width="11.109375" customWidth="1"/>
    <col min="7" max="7" width="1.109375" customWidth="1"/>
    <col min="8" max="8" width="11.109375" customWidth="1"/>
    <col min="9" max="9" width="1.109375" customWidth="1"/>
    <col min="10" max="10" width="10.109375" customWidth="1"/>
    <col min="11" max="11" width="9.5546875" customWidth="1"/>
    <col min="12" max="12" width="15.6640625" customWidth="1"/>
    <col min="13" max="13" width="9.44140625" customWidth="1"/>
    <col min="14" max="14" width="1.109375" style="43" customWidth="1"/>
    <col min="15" max="16" width="10.33203125" customWidth="1"/>
    <col min="17" max="17" width="12" customWidth="1"/>
    <col min="20" max="20" width="8.109375" customWidth="1"/>
    <col min="21" max="21" width="1.109375" style="43" customWidth="1"/>
    <col min="22" max="23" width="10.33203125" style="43" customWidth="1"/>
    <col min="24" max="26" width="9" style="43" customWidth="1"/>
    <col min="27" max="27" width="1.109375" style="43" customWidth="1"/>
    <col min="28" max="39" width="10.6640625" style="43" customWidth="1"/>
    <col min="40" max="42" width="10.109375" style="43" customWidth="1"/>
    <col min="43" max="44" width="9" style="43" customWidth="1"/>
    <col min="45" max="45" width="9.44140625" customWidth="1"/>
    <col min="46" max="46" width="3.44140625" customWidth="1"/>
    <col min="47" max="47" width="1.88671875" customWidth="1"/>
    <col min="48" max="48" width="12.5546875" customWidth="1"/>
    <col min="49" max="49" width="11.5546875" customWidth="1"/>
    <col min="50" max="50" width="10.33203125" customWidth="1"/>
    <col min="51" max="51" width="11" customWidth="1"/>
    <col min="52" max="52" width="10" customWidth="1"/>
    <col min="53" max="53" width="9.6640625" customWidth="1"/>
    <col min="54" max="54" width="1.6640625" customWidth="1"/>
    <col min="55" max="56" width="11.44140625" customWidth="1"/>
    <col min="57" max="57" width="12" customWidth="1"/>
    <col min="58" max="58" width="1.44140625" customWidth="1"/>
    <col min="59" max="59" width="11.88671875" customWidth="1"/>
    <col min="60" max="60" width="10.6640625" customWidth="1"/>
    <col min="61" max="61" width="13.6640625" customWidth="1"/>
    <col min="62" max="62" width="1.6640625" customWidth="1"/>
    <col min="63" max="63" width="16.33203125" customWidth="1"/>
  </cols>
  <sheetData>
    <row r="1" spans="1:64" ht="13.8" thickBot="1" x14ac:dyDescent="0.3">
      <c r="H1">
        <f>H8*31</f>
        <v>10400.5</v>
      </c>
      <c r="K1">
        <f>K8*31</f>
        <v>1349554</v>
      </c>
      <c r="N1"/>
      <c r="P1">
        <f>P8*31</f>
        <v>2290.9</v>
      </c>
      <c r="R1">
        <f>R8*31</f>
        <v>14983.333333333332</v>
      </c>
      <c r="U1"/>
      <c r="V1"/>
      <c r="W1">
        <f>W8*31</f>
        <v>18547.3</v>
      </c>
      <c r="X1">
        <f>X8*31</f>
        <v>90137.666666666657</v>
      </c>
      <c r="Y1"/>
      <c r="Z1"/>
      <c r="AA1"/>
      <c r="AB1"/>
      <c r="AC1"/>
      <c r="AD1">
        <f>AD8*31</f>
        <v>12041.949999999999</v>
      </c>
      <c r="AE1"/>
      <c r="AF1"/>
      <c r="AG1"/>
      <c r="AH1"/>
      <c r="AI1"/>
      <c r="AJ1">
        <f>AJ8*31</f>
        <v>4013.9833333333331</v>
      </c>
      <c r="AK1"/>
      <c r="AL1"/>
      <c r="AM1"/>
      <c r="AN1"/>
      <c r="AO1"/>
      <c r="AP1">
        <f>AP8*31</f>
        <v>16055.933333333332</v>
      </c>
      <c r="AQ1">
        <f>AQ8*31</f>
        <v>60689.733333333337</v>
      </c>
      <c r="AR1"/>
    </row>
    <row r="2" spans="1:64" ht="25.2" thickBot="1" x14ac:dyDescent="0.45">
      <c r="A2" s="609" t="s">
        <v>286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/>
      <c r="AB2" s="610"/>
      <c r="AC2" s="610"/>
      <c r="AD2" s="610"/>
      <c r="AE2" s="610"/>
      <c r="AF2" s="610"/>
      <c r="AG2" s="610"/>
      <c r="AH2" s="610"/>
      <c r="AI2" s="610"/>
      <c r="AJ2" s="610"/>
      <c r="AK2" s="610"/>
      <c r="AL2" s="610"/>
      <c r="AM2" s="610"/>
      <c r="AN2" s="610"/>
      <c r="AO2" s="610"/>
      <c r="AP2" s="610"/>
      <c r="AQ2" s="610"/>
      <c r="AR2" s="610"/>
      <c r="AS2" s="610"/>
      <c r="AT2" s="79"/>
      <c r="AU2" s="86"/>
      <c r="AV2" s="86" t="s">
        <v>263</v>
      </c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7"/>
      <c r="BK2" s="77"/>
      <c r="BL2" s="77"/>
    </row>
    <row r="3" spans="1:64" ht="25.2" thickBot="1" x14ac:dyDescent="0.45">
      <c r="A3" s="313"/>
      <c r="B3" s="314">
        <v>1</v>
      </c>
      <c r="C3" s="314">
        <v>2</v>
      </c>
      <c r="D3" s="314">
        <v>3</v>
      </c>
      <c r="E3" s="314">
        <v>4</v>
      </c>
      <c r="F3" s="314">
        <v>5</v>
      </c>
      <c r="G3" s="314">
        <v>6</v>
      </c>
      <c r="H3" s="314">
        <v>7</v>
      </c>
      <c r="I3" s="314">
        <v>8</v>
      </c>
      <c r="J3" s="314">
        <v>9</v>
      </c>
      <c r="K3" s="314">
        <v>10</v>
      </c>
      <c r="L3" s="314">
        <v>11</v>
      </c>
      <c r="M3" s="314">
        <v>12</v>
      </c>
      <c r="N3" s="314">
        <v>13</v>
      </c>
      <c r="O3" s="314">
        <v>14</v>
      </c>
      <c r="P3" s="314">
        <v>15</v>
      </c>
      <c r="Q3" s="314">
        <v>16</v>
      </c>
      <c r="R3" s="314">
        <v>17</v>
      </c>
      <c r="S3" s="314">
        <v>18</v>
      </c>
      <c r="T3" s="314">
        <v>19</v>
      </c>
      <c r="U3" s="314">
        <v>20</v>
      </c>
      <c r="V3" s="314">
        <v>21</v>
      </c>
      <c r="W3" s="314">
        <v>22</v>
      </c>
      <c r="X3" s="314">
        <v>23</v>
      </c>
      <c r="Y3" s="314">
        <v>24</v>
      </c>
      <c r="Z3" s="314">
        <v>25</v>
      </c>
      <c r="AA3" s="314">
        <v>26</v>
      </c>
      <c r="AB3" s="314">
        <v>27</v>
      </c>
      <c r="AC3" s="314">
        <v>28</v>
      </c>
      <c r="AD3" s="314">
        <v>29</v>
      </c>
      <c r="AE3" s="314">
        <v>30</v>
      </c>
      <c r="AF3" s="314">
        <v>31</v>
      </c>
      <c r="AG3" s="314">
        <v>32</v>
      </c>
      <c r="AH3" s="314">
        <v>33</v>
      </c>
      <c r="AI3" s="314">
        <v>34</v>
      </c>
      <c r="AJ3" s="314">
        <v>35</v>
      </c>
      <c r="AK3" s="314">
        <v>36</v>
      </c>
      <c r="AL3" s="314">
        <v>37</v>
      </c>
      <c r="AM3" s="314">
        <v>38</v>
      </c>
      <c r="AN3" s="314">
        <v>39</v>
      </c>
      <c r="AO3" s="314">
        <v>40</v>
      </c>
      <c r="AP3" s="314">
        <v>41</v>
      </c>
      <c r="AQ3" s="314">
        <v>42</v>
      </c>
      <c r="AR3" s="314">
        <v>43</v>
      </c>
      <c r="AS3" s="314">
        <v>44</v>
      </c>
      <c r="AT3" s="314">
        <v>45</v>
      </c>
      <c r="AU3" s="314">
        <v>46</v>
      </c>
      <c r="AV3" s="314">
        <v>47</v>
      </c>
      <c r="AW3" s="314">
        <v>48</v>
      </c>
      <c r="AX3" s="314">
        <v>49</v>
      </c>
      <c r="AY3" s="314">
        <v>50</v>
      </c>
      <c r="AZ3" s="314">
        <v>51</v>
      </c>
      <c r="BA3" s="314">
        <v>52</v>
      </c>
      <c r="BB3" s="314">
        <v>53</v>
      </c>
      <c r="BC3" s="314">
        <v>54</v>
      </c>
      <c r="BD3" s="314">
        <v>55</v>
      </c>
      <c r="BE3" s="314">
        <v>56</v>
      </c>
      <c r="BF3" s="314">
        <v>57</v>
      </c>
      <c r="BG3" s="314">
        <v>58</v>
      </c>
      <c r="BH3" s="314">
        <v>59</v>
      </c>
      <c r="BI3" s="314">
        <v>60</v>
      </c>
      <c r="BJ3" s="313"/>
      <c r="BK3" s="77"/>
      <c r="BL3" s="77"/>
    </row>
    <row r="4" spans="1:64" ht="37.950000000000003" customHeight="1" thickTop="1" thickBot="1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9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8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7"/>
      <c r="BJ4" s="2"/>
    </row>
    <row r="5" spans="1:64" ht="13.5" customHeight="1" thickBot="1" x14ac:dyDescent="0.3">
      <c r="A5" s="3"/>
      <c r="B5" s="8"/>
      <c r="C5" s="8"/>
      <c r="D5" s="8"/>
      <c r="E5" s="8"/>
      <c r="F5" s="8"/>
      <c r="G5" s="8"/>
      <c r="H5" s="8"/>
      <c r="I5" s="8"/>
      <c r="J5" s="623" t="s">
        <v>3</v>
      </c>
      <c r="K5" s="624"/>
      <c r="L5" s="624"/>
      <c r="M5" s="625"/>
      <c r="N5" s="58"/>
      <c r="O5" s="620" t="s">
        <v>2</v>
      </c>
      <c r="P5" s="621"/>
      <c r="Q5" s="621"/>
      <c r="R5" s="621"/>
      <c r="S5" s="621"/>
      <c r="T5" s="622"/>
      <c r="U5" s="9"/>
      <c r="V5" s="617" t="s">
        <v>1</v>
      </c>
      <c r="W5" s="618"/>
      <c r="X5" s="618"/>
      <c r="Y5" s="618"/>
      <c r="Z5" s="619"/>
      <c r="AA5" s="10"/>
      <c r="AB5" s="626" t="s">
        <v>24</v>
      </c>
      <c r="AC5" s="627"/>
      <c r="AD5" s="627"/>
      <c r="AE5" s="627"/>
      <c r="AF5" s="627"/>
      <c r="AG5" s="627"/>
      <c r="AH5" s="627"/>
      <c r="AI5" s="627"/>
      <c r="AJ5" s="627"/>
      <c r="AK5" s="627"/>
      <c r="AL5" s="627"/>
      <c r="AM5" s="627"/>
      <c r="AN5" s="627"/>
      <c r="AO5" s="627"/>
      <c r="AP5" s="627"/>
      <c r="AQ5" s="627"/>
      <c r="AR5" s="627"/>
      <c r="AS5" s="628"/>
      <c r="AT5" s="89"/>
      <c r="AU5" s="34"/>
      <c r="AV5" s="611" t="s">
        <v>3</v>
      </c>
      <c r="AW5" s="612"/>
      <c r="AX5" s="613" t="s">
        <v>1</v>
      </c>
      <c r="AY5" s="614"/>
      <c r="AZ5" s="615" t="s">
        <v>24</v>
      </c>
      <c r="BA5" s="616"/>
      <c r="BB5" s="10"/>
      <c r="BC5" s="607" t="s">
        <v>53</v>
      </c>
      <c r="BD5" s="607" t="s">
        <v>30</v>
      </c>
      <c r="BE5" s="607" t="s">
        <v>31</v>
      </c>
      <c r="BF5" s="69"/>
      <c r="BG5" s="607" t="s">
        <v>52</v>
      </c>
      <c r="BH5" s="607" t="s">
        <v>27</v>
      </c>
      <c r="BI5" s="607" t="s">
        <v>28</v>
      </c>
      <c r="BJ5" s="4"/>
    </row>
    <row r="6" spans="1:64" ht="54" thickBot="1" x14ac:dyDescent="0.3">
      <c r="A6" s="3"/>
      <c r="B6" s="11" t="s">
        <v>0</v>
      </c>
      <c r="C6" s="12"/>
      <c r="D6" s="11" t="s">
        <v>16</v>
      </c>
      <c r="E6" s="12"/>
      <c r="F6" s="11" t="s">
        <v>22</v>
      </c>
      <c r="G6" s="12"/>
      <c r="H6" s="11" t="s">
        <v>32</v>
      </c>
      <c r="I6" s="12"/>
      <c r="J6" s="17" t="s">
        <v>6</v>
      </c>
      <c r="K6" s="18" t="s">
        <v>7</v>
      </c>
      <c r="L6" s="272" t="s">
        <v>130</v>
      </c>
      <c r="M6" s="30" t="s">
        <v>4</v>
      </c>
      <c r="N6" s="58"/>
      <c r="O6" s="15" t="s">
        <v>5</v>
      </c>
      <c r="P6" s="61" t="s">
        <v>79</v>
      </c>
      <c r="Q6" s="61" t="s">
        <v>23</v>
      </c>
      <c r="R6" s="16" t="s">
        <v>7</v>
      </c>
      <c r="S6" s="273" t="s">
        <v>130</v>
      </c>
      <c r="T6" s="27" t="s">
        <v>4</v>
      </c>
      <c r="U6" s="12"/>
      <c r="V6" s="13" t="s">
        <v>15</v>
      </c>
      <c r="W6" s="172" t="s">
        <v>78</v>
      </c>
      <c r="X6" s="14" t="s">
        <v>7</v>
      </c>
      <c r="Y6" s="275" t="s">
        <v>130</v>
      </c>
      <c r="Z6" s="28" t="s">
        <v>4</v>
      </c>
      <c r="AA6" s="19"/>
      <c r="AB6" s="178" t="s">
        <v>81</v>
      </c>
      <c r="AC6" s="174" t="s">
        <v>131</v>
      </c>
      <c r="AD6" s="174" t="s">
        <v>82</v>
      </c>
      <c r="AE6" s="174" t="s">
        <v>138</v>
      </c>
      <c r="AF6" s="174" t="s">
        <v>136</v>
      </c>
      <c r="AG6" s="174" t="s">
        <v>133</v>
      </c>
      <c r="AH6" s="174" t="s">
        <v>83</v>
      </c>
      <c r="AI6" s="174" t="s">
        <v>132</v>
      </c>
      <c r="AJ6" s="174" t="s">
        <v>84</v>
      </c>
      <c r="AK6" s="174" t="s">
        <v>139</v>
      </c>
      <c r="AL6" s="174" t="s">
        <v>137</v>
      </c>
      <c r="AM6" s="174" t="s">
        <v>134</v>
      </c>
      <c r="AN6" s="174" t="s">
        <v>80</v>
      </c>
      <c r="AO6" s="174" t="s">
        <v>135</v>
      </c>
      <c r="AP6" s="174" t="s">
        <v>85</v>
      </c>
      <c r="AQ6" s="64" t="s">
        <v>7</v>
      </c>
      <c r="AR6" s="277" t="s">
        <v>130</v>
      </c>
      <c r="AS6" s="65" t="s">
        <v>4</v>
      </c>
      <c r="AT6" s="90"/>
      <c r="AU6" s="34"/>
      <c r="AV6" s="70" t="s">
        <v>29</v>
      </c>
      <c r="AW6" s="71" t="s">
        <v>26</v>
      </c>
      <c r="AX6" s="72" t="s">
        <v>25</v>
      </c>
      <c r="AY6" s="73" t="s">
        <v>26</v>
      </c>
      <c r="AZ6" s="74" t="s">
        <v>25</v>
      </c>
      <c r="BA6" s="75" t="s">
        <v>26</v>
      </c>
      <c r="BB6" s="68"/>
      <c r="BC6" s="608"/>
      <c r="BD6" s="608"/>
      <c r="BE6" s="608"/>
      <c r="BF6" s="69"/>
      <c r="BG6" s="608"/>
      <c r="BH6" s="608"/>
      <c r="BI6" s="608"/>
      <c r="BJ6" s="4"/>
    </row>
    <row r="7" spans="1:64" ht="5.4" customHeight="1" thickBot="1" x14ac:dyDescent="0.3">
      <c r="A7" s="3"/>
      <c r="B7" s="12"/>
      <c r="C7" s="12"/>
      <c r="D7" s="57"/>
      <c r="E7" s="12"/>
      <c r="F7" s="12"/>
      <c r="G7" s="12"/>
      <c r="H7" s="117"/>
      <c r="I7" s="12"/>
      <c r="J7" s="12"/>
      <c r="K7" s="12"/>
      <c r="L7" s="12"/>
      <c r="M7" s="19"/>
      <c r="N7" s="34"/>
      <c r="O7" s="12"/>
      <c r="P7" s="117"/>
      <c r="Q7" s="12"/>
      <c r="R7" s="117"/>
      <c r="S7" s="117"/>
      <c r="T7" s="19"/>
      <c r="U7" s="12"/>
      <c r="V7" s="12"/>
      <c r="W7" s="12"/>
      <c r="X7" s="117"/>
      <c r="Y7" s="117"/>
      <c r="Z7" s="175"/>
      <c r="AA7" s="19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17"/>
      <c r="AQ7" s="12"/>
      <c r="AR7" s="12"/>
      <c r="AS7" s="19"/>
      <c r="AT7" s="90"/>
      <c r="AU7" s="34"/>
      <c r="AV7" s="76"/>
      <c r="AW7" s="76"/>
      <c r="AX7" s="76"/>
      <c r="AY7" s="76"/>
      <c r="AZ7" s="76"/>
      <c r="BA7" s="76"/>
      <c r="BB7" s="34"/>
      <c r="BC7" s="12"/>
      <c r="BD7" s="12"/>
      <c r="BE7" s="12"/>
      <c r="BF7" s="12"/>
      <c r="BG7" s="34"/>
      <c r="BH7" s="34"/>
      <c r="BI7" s="34"/>
      <c r="BJ7" s="4"/>
    </row>
    <row r="8" spans="1:64" ht="13.8" thickBot="1" x14ac:dyDescent="0.3">
      <c r="A8" s="3"/>
      <c r="B8" s="101">
        <v>45383</v>
      </c>
      <c r="C8" s="20"/>
      <c r="D8" s="138">
        <f>'[1]Reading.4.24'!AI6</f>
        <v>0.52090000000000003</v>
      </c>
      <c r="E8" s="96"/>
      <c r="F8" s="139">
        <f>'[1]Reading.4.24'!AM6</f>
        <v>274</v>
      </c>
      <c r="G8" s="95"/>
      <c r="H8" s="139">
        <f>'[1]Reading.4.24'!AO6</f>
        <v>335.5</v>
      </c>
      <c r="I8" s="96"/>
      <c r="J8" s="140">
        <f>'[1]Reading.4.24'!X6</f>
        <v>27720.000000001164</v>
      </c>
      <c r="K8" s="206">
        <f>1306020/30</f>
        <v>43534</v>
      </c>
      <c r="L8" s="206">
        <f>'[1]Cost.4.23'!M8</f>
        <v>32760.000000015134</v>
      </c>
      <c r="M8" s="240">
        <f t="shared" ref="M8:M37" si="0">J8*1.39</f>
        <v>38530.800000001618</v>
      </c>
      <c r="N8" s="98"/>
      <c r="O8" s="141">
        <f>'[1]Reading.4.24'!T6</f>
        <v>0</v>
      </c>
      <c r="P8" s="264">
        <f t="shared" ref="P8:P37" si="1">2217/30</f>
        <v>73.900000000000006</v>
      </c>
      <c r="Q8" s="142">
        <f>'[1]Reading.4.24'!AB6</f>
        <v>0</v>
      </c>
      <c r="R8" s="207">
        <f t="shared" ref="R8:R37" si="2">14500/30</f>
        <v>483.33333333333331</v>
      </c>
      <c r="S8" s="274">
        <f>'[1]Cost.4.23'!T8</f>
        <v>0</v>
      </c>
      <c r="T8" s="143">
        <f t="shared" ref="T8:T37" si="3">O8*5.86</f>
        <v>0</v>
      </c>
      <c r="U8" s="99"/>
      <c r="V8" s="144">
        <f>'[1]Reading.4.24'!G6</f>
        <v>505</v>
      </c>
      <c r="W8" s="173">
        <f>17949/30</f>
        <v>598.29999999999995</v>
      </c>
      <c r="X8" s="208">
        <f>87230/30</f>
        <v>2907.6666666666665</v>
      </c>
      <c r="Y8" s="276">
        <f>'[1]Cost.4.23'!Z8</f>
        <v>2889.12</v>
      </c>
      <c r="Z8" s="29">
        <f>'[1]Reading.4.24'!G6*4.86</f>
        <v>2454.3000000000002</v>
      </c>
      <c r="AA8" s="100"/>
      <c r="AB8" s="145">
        <f>'[1]Reading.4.24'!O6</f>
        <v>391.85</v>
      </c>
      <c r="AC8" s="216">
        <f t="shared" ref="AC8:AC37" si="4">AB8*3.73</f>
        <v>1461.6005</v>
      </c>
      <c r="AD8" s="176">
        <f t="shared" ref="AD8:AD37" si="5">((15538/4)*3)/30</f>
        <v>388.45</v>
      </c>
      <c r="AE8" s="216">
        <f t="shared" ref="AE8:AE37" si="6">((58732/4)*3)/30</f>
        <v>1468.3</v>
      </c>
      <c r="AF8" s="216">
        <f>'[1]Cost.4.23'!AB8</f>
        <v>419.51000000000005</v>
      </c>
      <c r="AG8" s="216">
        <f>'[1]Cost.4.23'!AC8</f>
        <v>1564.7723000000001</v>
      </c>
      <c r="AH8" s="216">
        <f>'[1]Reading.4.24'!K6</f>
        <v>112.03200000000001</v>
      </c>
      <c r="AI8" s="216">
        <f t="shared" ref="AI8:AI37" si="7">AH8*3.73</f>
        <v>417.87936000000002</v>
      </c>
      <c r="AJ8" s="176">
        <f t="shared" ref="AJ8:AJ37" si="8">(15538/4)/30</f>
        <v>129.48333333333332</v>
      </c>
      <c r="AK8" s="216">
        <f t="shared" ref="AK8:AK37" si="9">(58732/4)/30</f>
        <v>489.43333333333334</v>
      </c>
      <c r="AL8" s="216">
        <f>'[1]Cost.4.23'!AH8</f>
        <v>149.376</v>
      </c>
      <c r="AM8" s="216">
        <f>'[1]Cost.4.23'!AI8</f>
        <v>557.17248000000006</v>
      </c>
      <c r="AN8" s="176">
        <f t="shared" ref="AN8:AN37" si="10">AB8+AH8</f>
        <v>503.88200000000006</v>
      </c>
      <c r="AO8" s="176">
        <f t="shared" ref="AO8:AO37" si="11">AF8+AL8</f>
        <v>568.88600000000008</v>
      </c>
      <c r="AP8" s="176">
        <f t="shared" ref="AP8:AP37" si="12">AD8+AJ8</f>
        <v>517.93333333333328</v>
      </c>
      <c r="AQ8" s="182">
        <f t="shared" ref="AQ8:AQ37" si="13">58732/30</f>
        <v>1957.7333333333333</v>
      </c>
      <c r="AR8" s="278">
        <f>'[1]Cost.4.23'!AS8</f>
        <v>2121.9447800000003</v>
      </c>
      <c r="AS8" s="66">
        <f t="shared" ref="AS8:AS37" si="14">AC8+AI8</f>
        <v>1879.4798599999999</v>
      </c>
      <c r="AT8" s="116"/>
      <c r="AU8" s="115"/>
      <c r="AV8" s="252">
        <f>'[1]Reading.4.24'!AE6/'[1]Cost.4.24'!F8</f>
        <v>101.16788321168308</v>
      </c>
      <c r="AW8" s="253">
        <f t="shared" ref="AW8:AW37" si="15">(M8+T8)/F8</f>
        <v>140.62335766423948</v>
      </c>
      <c r="AX8" s="254">
        <f t="shared" ref="AX8:AX37" si="16">V8/F8</f>
        <v>1.8430656934306568</v>
      </c>
      <c r="AY8" s="255">
        <f t="shared" ref="AY8:AY37" si="17">Z8/F8</f>
        <v>8.9572992700729941</v>
      </c>
      <c r="AZ8" s="256">
        <f t="shared" ref="AZ8:AZ37" si="18">AN8/F8</f>
        <v>1.8389854014598543</v>
      </c>
      <c r="BA8" s="257">
        <f t="shared" ref="BA8:BA37" si="19">AS8/F8</f>
        <v>6.8594155474452556</v>
      </c>
      <c r="BB8" s="114"/>
      <c r="BC8" s="146">
        <f>'[1]Cost.4.23'!BE8</f>
        <v>37771.064780015135</v>
      </c>
      <c r="BD8" s="146">
        <f t="shared" ref="BD8:BD37" si="20">K8+R8+X8+AQ8</f>
        <v>48882.73333333333</v>
      </c>
      <c r="BE8" s="147">
        <f t="shared" ref="BE8:BE37" si="21">M8+T8+Z8+AS8</f>
        <v>42864.579860001621</v>
      </c>
      <c r="BF8" s="99"/>
      <c r="BG8" s="148">
        <f>'[1]Cost.4.23'!BI8</f>
        <v>165.66256482462779</v>
      </c>
      <c r="BH8" s="148">
        <f t="shared" ref="BH8:BH37" si="22">BD8/H8</f>
        <v>145.7011425732737</v>
      </c>
      <c r="BI8" s="149">
        <f t="shared" ref="BI8:BI37" si="23">BE8/F8</f>
        <v>156.44007248175774</v>
      </c>
      <c r="BJ8" s="4"/>
    </row>
    <row r="9" spans="1:64" ht="13.8" thickBot="1" x14ac:dyDescent="0.3">
      <c r="A9" s="3"/>
      <c r="B9" s="101">
        <v>45384</v>
      </c>
      <c r="C9" s="20"/>
      <c r="D9" s="138">
        <f>'[1]Reading.4.24'!AI7</f>
        <v>0.4924</v>
      </c>
      <c r="E9" s="96"/>
      <c r="F9" s="139">
        <f>'[1]Reading.4.24'!AM7</f>
        <v>259</v>
      </c>
      <c r="G9" s="95"/>
      <c r="H9" s="139">
        <f>'[1]Reading.4.24'!AO7</f>
        <v>335.5</v>
      </c>
      <c r="I9" s="96"/>
      <c r="J9" s="140">
        <f>'[1]Reading.4.24'!X7</f>
        <v>28599.999999976717</v>
      </c>
      <c r="K9" s="206">
        <f t="shared" ref="K9:K37" si="24">1306020/30</f>
        <v>43534</v>
      </c>
      <c r="L9" s="206">
        <f>'[1]Cost.4.23'!M9</f>
        <v>33331.999999980326</v>
      </c>
      <c r="M9" s="240">
        <f t="shared" si="0"/>
        <v>39753.999999967637</v>
      </c>
      <c r="N9" s="98"/>
      <c r="O9" s="141">
        <f>'[1]Reading.4.24'!T7</f>
        <v>0</v>
      </c>
      <c r="P9" s="264">
        <f t="shared" si="1"/>
        <v>73.900000000000006</v>
      </c>
      <c r="Q9" s="142">
        <f>'[1]Reading.4.24'!AB7</f>
        <v>0</v>
      </c>
      <c r="R9" s="207">
        <f t="shared" si="2"/>
        <v>483.33333333333331</v>
      </c>
      <c r="S9" s="274">
        <f>'[1]Cost.4.23'!T9</f>
        <v>0</v>
      </c>
      <c r="T9" s="143">
        <f t="shared" si="3"/>
        <v>0</v>
      </c>
      <c r="U9" s="99"/>
      <c r="V9" s="144">
        <f>'[1]Reading.4.24'!G7</f>
        <v>460</v>
      </c>
      <c r="W9" s="173">
        <f t="shared" ref="W9:W37" si="25">17949/30</f>
        <v>598.29999999999995</v>
      </c>
      <c r="X9" s="208">
        <f t="shared" ref="X9:X37" si="26">87230/30</f>
        <v>2907.6666666666665</v>
      </c>
      <c r="Y9" s="276">
        <f>'[1]Cost.4.23'!Z9</f>
        <v>2495.5700000000002</v>
      </c>
      <c r="Z9" s="29">
        <f>'[1]Reading.4.24'!G7*4.86</f>
        <v>2235.6000000000004</v>
      </c>
      <c r="AA9" s="100"/>
      <c r="AB9" s="145">
        <f>'[1]Reading.4.24'!O7</f>
        <v>410.29</v>
      </c>
      <c r="AC9" s="216">
        <f t="shared" si="4"/>
        <v>1530.3817000000001</v>
      </c>
      <c r="AD9" s="176">
        <f t="shared" si="5"/>
        <v>388.45</v>
      </c>
      <c r="AE9" s="216">
        <f t="shared" si="6"/>
        <v>1468.3</v>
      </c>
      <c r="AF9" s="216">
        <f>'[1]Cost.4.23'!AB9</f>
        <v>410.29</v>
      </c>
      <c r="AG9" s="216">
        <f>'[1]Cost.4.23'!AC9</f>
        <v>1530.3817000000001</v>
      </c>
      <c r="AH9" s="216">
        <f>'[1]Reading.4.24'!K7</f>
        <v>121.36800000000001</v>
      </c>
      <c r="AI9" s="216">
        <f t="shared" si="7"/>
        <v>452.70264000000003</v>
      </c>
      <c r="AJ9" s="176">
        <f t="shared" si="8"/>
        <v>129.48333333333332</v>
      </c>
      <c r="AK9" s="216">
        <f t="shared" si="9"/>
        <v>489.43333333333334</v>
      </c>
      <c r="AL9" s="216">
        <f>'[1]Cost.4.23'!AH9</f>
        <v>135.37200000000001</v>
      </c>
      <c r="AM9" s="216">
        <f>'[1]Cost.4.23'!AI9</f>
        <v>504.93756000000008</v>
      </c>
      <c r="AN9" s="176">
        <f t="shared" si="10"/>
        <v>531.65800000000002</v>
      </c>
      <c r="AO9" s="176">
        <f t="shared" si="11"/>
        <v>545.66200000000003</v>
      </c>
      <c r="AP9" s="176">
        <f t="shared" si="12"/>
        <v>517.93333333333328</v>
      </c>
      <c r="AQ9" s="182">
        <f t="shared" si="13"/>
        <v>1957.7333333333333</v>
      </c>
      <c r="AR9" s="278">
        <f>'[1]Cost.4.23'!AS9</f>
        <v>2035.3192600000002</v>
      </c>
      <c r="AS9" s="66">
        <f t="shared" si="14"/>
        <v>1983.0843400000001</v>
      </c>
      <c r="AT9" s="116"/>
      <c r="AU9" s="115"/>
      <c r="AV9" s="252">
        <f>'[1]Reading.4.24'!AE7/'[1]Cost.4.24'!F9</f>
        <v>110.42471042462053</v>
      </c>
      <c r="AW9" s="253">
        <f t="shared" si="15"/>
        <v>153.49034749022255</v>
      </c>
      <c r="AX9" s="254">
        <f t="shared" si="16"/>
        <v>1.7760617760617761</v>
      </c>
      <c r="AY9" s="255">
        <f t="shared" si="17"/>
        <v>8.6316602316602324</v>
      </c>
      <c r="AZ9" s="256">
        <f t="shared" si="18"/>
        <v>2.0527335907335909</v>
      </c>
      <c r="BA9" s="257">
        <f t="shared" si="19"/>
        <v>7.6566962934362941</v>
      </c>
      <c r="BB9" s="114"/>
      <c r="BC9" s="146">
        <f>'[1]Cost.4.23'!BE9</f>
        <v>37862.889259980322</v>
      </c>
      <c r="BD9" s="146">
        <f t="shared" si="20"/>
        <v>48882.73333333333</v>
      </c>
      <c r="BE9" s="147">
        <f t="shared" si="21"/>
        <v>43972.684339967636</v>
      </c>
      <c r="BF9" s="99"/>
      <c r="BG9" s="148">
        <f>'[1]Cost.4.23'!BI9</f>
        <v>179.44497279611528</v>
      </c>
      <c r="BH9" s="148">
        <f t="shared" si="22"/>
        <v>145.7011425732737</v>
      </c>
      <c r="BI9" s="149">
        <f t="shared" si="23"/>
        <v>169.77870401531905</v>
      </c>
      <c r="BJ9" s="4"/>
    </row>
    <row r="10" spans="1:64" ht="13.8" thickBot="1" x14ac:dyDescent="0.3">
      <c r="A10" s="3"/>
      <c r="B10" s="101">
        <v>45385</v>
      </c>
      <c r="C10" s="20"/>
      <c r="D10" s="138">
        <f>'[1]Reading.4.24'!AI8</f>
        <v>0.49430000000000002</v>
      </c>
      <c r="E10" s="96"/>
      <c r="F10" s="139">
        <f>'[1]Reading.4.24'!AM8</f>
        <v>260</v>
      </c>
      <c r="G10" s="95"/>
      <c r="H10" s="139">
        <f>'[1]Reading.4.24'!AO8</f>
        <v>335.5</v>
      </c>
      <c r="I10" s="96"/>
      <c r="J10" s="140">
        <f>'[1]Reading.4.24'!X8</f>
        <v>29160.000000003492</v>
      </c>
      <c r="K10" s="206">
        <f t="shared" si="24"/>
        <v>43534</v>
      </c>
      <c r="L10" s="206">
        <f>'[1]Cost.4.23'!M10</f>
        <v>33488.000000012107</v>
      </c>
      <c r="M10" s="240">
        <f t="shared" si="0"/>
        <v>40532.400000004855</v>
      </c>
      <c r="N10" s="98"/>
      <c r="O10" s="141">
        <f>'[1]Reading.4.24'!T8</f>
        <v>0</v>
      </c>
      <c r="P10" s="264">
        <f t="shared" si="1"/>
        <v>73.900000000000006</v>
      </c>
      <c r="Q10" s="142">
        <f>'[1]Reading.4.24'!AB8</f>
        <v>0</v>
      </c>
      <c r="R10" s="207">
        <f t="shared" si="2"/>
        <v>483.33333333333331</v>
      </c>
      <c r="S10" s="274">
        <f>'[1]Cost.4.23'!T10</f>
        <v>0</v>
      </c>
      <c r="T10" s="143">
        <f t="shared" si="3"/>
        <v>0</v>
      </c>
      <c r="U10" s="99"/>
      <c r="V10" s="144">
        <f>'[1]Reading.4.24'!G8</f>
        <v>552</v>
      </c>
      <c r="W10" s="173">
        <f t="shared" si="25"/>
        <v>598.29999999999995</v>
      </c>
      <c r="X10" s="208">
        <f t="shared" si="26"/>
        <v>2907.6666666666665</v>
      </c>
      <c r="Y10" s="276">
        <f>'[1]Cost.4.23'!Z10</f>
        <v>2435.38</v>
      </c>
      <c r="Z10" s="29">
        <f>'[1]Reading.4.24'!G8*4.86</f>
        <v>2682.7200000000003</v>
      </c>
      <c r="AA10" s="100"/>
      <c r="AB10" s="145">
        <f>'[1]Reading.4.24'!O8</f>
        <v>387.24</v>
      </c>
      <c r="AC10" s="216">
        <f t="shared" si="4"/>
        <v>1444.4051999999999</v>
      </c>
      <c r="AD10" s="176">
        <f t="shared" si="5"/>
        <v>388.45</v>
      </c>
      <c r="AE10" s="216">
        <f t="shared" si="6"/>
        <v>1468.3</v>
      </c>
      <c r="AF10" s="216">
        <f>'[1]Cost.4.23'!AB10</f>
        <v>401.07000000000005</v>
      </c>
      <c r="AG10" s="216">
        <f>'[1]Cost.4.23'!AC10</f>
        <v>1495.9911000000002</v>
      </c>
      <c r="AH10" s="216">
        <f>'[1]Reading.4.24'!K8</f>
        <v>149.376</v>
      </c>
      <c r="AI10" s="216">
        <f t="shared" si="7"/>
        <v>557.17248000000006</v>
      </c>
      <c r="AJ10" s="176">
        <f t="shared" si="8"/>
        <v>129.48333333333332</v>
      </c>
      <c r="AK10" s="216">
        <f t="shared" si="9"/>
        <v>489.43333333333334</v>
      </c>
      <c r="AL10" s="216">
        <f>'[1]Cost.4.23'!AH10</f>
        <v>144.708</v>
      </c>
      <c r="AM10" s="216">
        <f>'[1]Cost.4.23'!AI10</f>
        <v>539.76084000000003</v>
      </c>
      <c r="AN10" s="176">
        <f t="shared" si="10"/>
        <v>536.61599999999999</v>
      </c>
      <c r="AO10" s="176">
        <f t="shared" si="11"/>
        <v>545.77800000000002</v>
      </c>
      <c r="AP10" s="176">
        <f t="shared" si="12"/>
        <v>517.93333333333328</v>
      </c>
      <c r="AQ10" s="182">
        <f t="shared" si="13"/>
        <v>1957.7333333333333</v>
      </c>
      <c r="AR10" s="278">
        <f>'[1]Cost.4.23'!AS10</f>
        <v>2035.7519400000001</v>
      </c>
      <c r="AS10" s="66">
        <f t="shared" si="14"/>
        <v>2001.5776799999999</v>
      </c>
      <c r="AT10" s="116"/>
      <c r="AU10" s="115"/>
      <c r="AV10" s="252">
        <f>'[1]Reading.4.24'!AE8/'[1]Cost.4.24'!F10</f>
        <v>112.15384615385959</v>
      </c>
      <c r="AW10" s="253">
        <f t="shared" si="15"/>
        <v>155.89384615386481</v>
      </c>
      <c r="AX10" s="254">
        <f t="shared" si="16"/>
        <v>2.1230769230769231</v>
      </c>
      <c r="AY10" s="255">
        <f t="shared" si="17"/>
        <v>10.318153846153848</v>
      </c>
      <c r="AZ10" s="256">
        <f t="shared" si="18"/>
        <v>2.0639076923076924</v>
      </c>
      <c r="BA10" s="257">
        <f t="shared" si="19"/>
        <v>7.6983756923076916</v>
      </c>
      <c r="BB10" s="114"/>
      <c r="BC10" s="146">
        <f>'[1]Cost.4.23'!BE10</f>
        <v>37959.131940012106</v>
      </c>
      <c r="BD10" s="146">
        <f t="shared" si="20"/>
        <v>48882.73333333333</v>
      </c>
      <c r="BE10" s="147">
        <f t="shared" si="21"/>
        <v>45216.697680004858</v>
      </c>
      <c r="BF10" s="99"/>
      <c r="BG10" s="148">
        <f>'[1]Cost.4.23'!BI10</f>
        <v>162.21851256415431</v>
      </c>
      <c r="BH10" s="148">
        <f t="shared" si="22"/>
        <v>145.7011425732737</v>
      </c>
      <c r="BI10" s="149">
        <f t="shared" si="23"/>
        <v>173.91037569232637</v>
      </c>
      <c r="BJ10" s="4"/>
    </row>
    <row r="11" spans="1:64" ht="13.8" thickBot="1" x14ac:dyDescent="0.3">
      <c r="A11" s="3"/>
      <c r="B11" s="101">
        <v>45386</v>
      </c>
      <c r="C11" s="20"/>
      <c r="D11" s="138">
        <f>'[1]Reading.4.24'!AI9</f>
        <v>0.54</v>
      </c>
      <c r="E11" s="96"/>
      <c r="F11" s="139">
        <f>'[1]Reading.4.24'!AM9</f>
        <v>286</v>
      </c>
      <c r="G11" s="95"/>
      <c r="H11" s="139">
        <f>'[1]Reading.4.24'!AO9</f>
        <v>335.5</v>
      </c>
      <c r="I11" s="96"/>
      <c r="J11" s="140">
        <f>'[1]Reading.4.24'!X9</f>
        <v>28200.000000011642</v>
      </c>
      <c r="K11" s="206">
        <f t="shared" si="24"/>
        <v>43534</v>
      </c>
      <c r="L11" s="206">
        <f>'[1]Cost.4.23'!M11</f>
        <v>33123.999999975786</v>
      </c>
      <c r="M11" s="240">
        <f t="shared" si="0"/>
        <v>39198.000000016182</v>
      </c>
      <c r="N11" s="98"/>
      <c r="O11" s="141">
        <f>'[1]Reading.4.24'!T9</f>
        <v>0</v>
      </c>
      <c r="P11" s="264">
        <f t="shared" si="1"/>
        <v>73.900000000000006</v>
      </c>
      <c r="Q11" s="142">
        <f>'[1]Reading.4.24'!AB9</f>
        <v>0</v>
      </c>
      <c r="R11" s="207">
        <f t="shared" si="2"/>
        <v>483.33333333333331</v>
      </c>
      <c r="S11" s="274">
        <f>'[1]Cost.4.23'!T11</f>
        <v>0</v>
      </c>
      <c r="T11" s="143">
        <f t="shared" si="3"/>
        <v>0</v>
      </c>
      <c r="U11" s="99"/>
      <c r="V11" s="144">
        <f>'[1]Reading.4.24'!G9</f>
        <v>519</v>
      </c>
      <c r="W11" s="173">
        <f t="shared" si="25"/>
        <v>598.29999999999995</v>
      </c>
      <c r="X11" s="208">
        <f t="shared" si="26"/>
        <v>2907.6666666666665</v>
      </c>
      <c r="Y11" s="276">
        <f>'[1]Cost.4.23'!Z11</f>
        <v>2463.16</v>
      </c>
      <c r="Z11" s="29">
        <f>'[1]Reading.4.24'!G9*4.86</f>
        <v>2522.34</v>
      </c>
      <c r="AA11" s="100"/>
      <c r="AB11" s="145">
        <f>'[1]Reading.4.24'!O9</f>
        <v>368.8</v>
      </c>
      <c r="AC11" s="216">
        <f t="shared" si="4"/>
        <v>1375.624</v>
      </c>
      <c r="AD11" s="176">
        <f t="shared" si="5"/>
        <v>388.45</v>
      </c>
      <c r="AE11" s="216">
        <f t="shared" si="6"/>
        <v>1468.3</v>
      </c>
      <c r="AF11" s="216">
        <f>'[1]Cost.4.23'!AB11</f>
        <v>391.85</v>
      </c>
      <c r="AG11" s="216">
        <f>'[1]Cost.4.23'!AC11</f>
        <v>1461.6005</v>
      </c>
      <c r="AH11" s="216">
        <f>'[1]Reading.4.24'!K9</f>
        <v>158.71200000000002</v>
      </c>
      <c r="AI11" s="216">
        <f t="shared" si="7"/>
        <v>591.99576000000002</v>
      </c>
      <c r="AJ11" s="176">
        <f t="shared" si="8"/>
        <v>129.48333333333332</v>
      </c>
      <c r="AK11" s="216">
        <f t="shared" si="9"/>
        <v>489.43333333333334</v>
      </c>
      <c r="AL11" s="216">
        <f>'[1]Cost.4.23'!AH11</f>
        <v>149.376</v>
      </c>
      <c r="AM11" s="216">
        <f>'[1]Cost.4.23'!AI11</f>
        <v>557.17248000000006</v>
      </c>
      <c r="AN11" s="176">
        <f t="shared" si="10"/>
        <v>527.51200000000006</v>
      </c>
      <c r="AO11" s="176">
        <f t="shared" si="11"/>
        <v>541.226</v>
      </c>
      <c r="AP11" s="176">
        <f t="shared" si="12"/>
        <v>517.93333333333328</v>
      </c>
      <c r="AQ11" s="182">
        <f t="shared" si="13"/>
        <v>1957.7333333333333</v>
      </c>
      <c r="AR11" s="278">
        <f>'[1]Cost.4.23'!AS11</f>
        <v>2018.7729800000002</v>
      </c>
      <c r="AS11" s="66">
        <f t="shared" si="14"/>
        <v>1967.61976</v>
      </c>
      <c r="AT11" s="116"/>
      <c r="AU11" s="115"/>
      <c r="AV11" s="252">
        <f>'[1]Reading.4.24'!AE9/'[1]Cost.4.24'!F11</f>
        <v>98.6013986014393</v>
      </c>
      <c r="AW11" s="253">
        <f t="shared" si="15"/>
        <v>137.05594405600064</v>
      </c>
      <c r="AX11" s="254">
        <f t="shared" si="16"/>
        <v>1.8146853146853146</v>
      </c>
      <c r="AY11" s="255">
        <f t="shared" si="17"/>
        <v>8.8193706293706295</v>
      </c>
      <c r="AZ11" s="256">
        <f t="shared" si="18"/>
        <v>1.8444475524475525</v>
      </c>
      <c r="BA11" s="257">
        <f t="shared" si="19"/>
        <v>6.8797893706293705</v>
      </c>
      <c r="BB11" s="114"/>
      <c r="BC11" s="146">
        <f>'[1]Cost.4.23'!BE11</f>
        <v>37605.932979975791</v>
      </c>
      <c r="BD11" s="146">
        <f t="shared" si="20"/>
        <v>48882.73333333333</v>
      </c>
      <c r="BE11" s="147">
        <f t="shared" si="21"/>
        <v>43687.95976001618</v>
      </c>
      <c r="BF11" s="99"/>
      <c r="BG11" s="148">
        <f>'[1]Cost.4.23'!BI11</f>
        <v>151.02784329307548</v>
      </c>
      <c r="BH11" s="148">
        <f t="shared" si="22"/>
        <v>145.7011425732737</v>
      </c>
      <c r="BI11" s="149">
        <f t="shared" si="23"/>
        <v>152.75510405600062</v>
      </c>
      <c r="BJ11" s="4"/>
    </row>
    <row r="12" spans="1:64" ht="13.8" thickBot="1" x14ac:dyDescent="0.3">
      <c r="A12" s="3"/>
      <c r="B12" s="101">
        <v>45387</v>
      </c>
      <c r="C12" s="20"/>
      <c r="D12" s="138">
        <f>'[1]Reading.4.24'!AI10</f>
        <v>0.48099999999999998</v>
      </c>
      <c r="E12" s="96"/>
      <c r="F12" s="139">
        <f>'[1]Reading.4.24'!AM10</f>
        <v>253</v>
      </c>
      <c r="G12" s="95"/>
      <c r="H12" s="139">
        <f>'[1]Reading.4.24'!AO10</f>
        <v>335.5</v>
      </c>
      <c r="I12" s="96"/>
      <c r="J12" s="140">
        <f>'[1]Reading.4.24'!X10</f>
        <v>30079.999999987194</v>
      </c>
      <c r="K12" s="206">
        <f t="shared" si="24"/>
        <v>43534</v>
      </c>
      <c r="L12" s="206">
        <f>'[1]Cost.4.23'!M12</f>
        <v>35880.000000007567</v>
      </c>
      <c r="M12" s="240">
        <f t="shared" si="0"/>
        <v>41811.1999999822</v>
      </c>
      <c r="N12" s="98"/>
      <c r="O12" s="141">
        <f>'[1]Reading.4.24'!T10</f>
        <v>0</v>
      </c>
      <c r="P12" s="264">
        <f t="shared" si="1"/>
        <v>73.900000000000006</v>
      </c>
      <c r="Q12" s="142">
        <f>'[1]Reading.4.24'!AB10</f>
        <v>0</v>
      </c>
      <c r="R12" s="207">
        <f t="shared" si="2"/>
        <v>483.33333333333331</v>
      </c>
      <c r="S12" s="274">
        <f>'[1]Cost.4.23'!T12</f>
        <v>0</v>
      </c>
      <c r="T12" s="143">
        <f t="shared" si="3"/>
        <v>0</v>
      </c>
      <c r="U12" s="99"/>
      <c r="V12" s="144">
        <f>'[1]Reading.4.24'!G10</f>
        <v>549</v>
      </c>
      <c r="W12" s="173">
        <f t="shared" si="25"/>
        <v>598.29999999999995</v>
      </c>
      <c r="X12" s="208">
        <f t="shared" si="26"/>
        <v>2907.6666666666665</v>
      </c>
      <c r="Y12" s="276">
        <f>'[1]Cost.4.23'!Z12</f>
        <v>2268.6999999999998</v>
      </c>
      <c r="Z12" s="29">
        <f>'[1]Reading.4.24'!G10*4.86</f>
        <v>2668.1400000000003</v>
      </c>
      <c r="AA12" s="100"/>
      <c r="AB12" s="145">
        <f>'[1]Reading.4.24'!O10</f>
        <v>414.90000000000003</v>
      </c>
      <c r="AC12" s="216">
        <f t="shared" si="4"/>
        <v>1547.5770000000002</v>
      </c>
      <c r="AD12" s="176">
        <f t="shared" si="5"/>
        <v>388.45</v>
      </c>
      <c r="AE12" s="216">
        <f t="shared" si="6"/>
        <v>1468.3</v>
      </c>
      <c r="AF12" s="216">
        <f>'[1]Cost.4.23'!AB12</f>
        <v>414.90000000000003</v>
      </c>
      <c r="AG12" s="216">
        <f>'[1]Cost.4.23'!AC12</f>
        <v>1547.5770000000002</v>
      </c>
      <c r="AH12" s="216">
        <f>'[1]Reading.4.24'!K10</f>
        <v>158.71200000000002</v>
      </c>
      <c r="AI12" s="216">
        <f t="shared" si="7"/>
        <v>591.99576000000002</v>
      </c>
      <c r="AJ12" s="176">
        <f t="shared" si="8"/>
        <v>129.48333333333332</v>
      </c>
      <c r="AK12" s="216">
        <f t="shared" si="9"/>
        <v>489.43333333333334</v>
      </c>
      <c r="AL12" s="216">
        <f>'[1]Cost.4.23'!AH12</f>
        <v>163.38</v>
      </c>
      <c r="AM12" s="216">
        <f>'[1]Cost.4.23'!AI12</f>
        <v>609.40739999999994</v>
      </c>
      <c r="AN12" s="176">
        <f t="shared" si="10"/>
        <v>573.61200000000008</v>
      </c>
      <c r="AO12" s="176">
        <f t="shared" si="11"/>
        <v>578.28</v>
      </c>
      <c r="AP12" s="176">
        <f t="shared" si="12"/>
        <v>517.93333333333328</v>
      </c>
      <c r="AQ12" s="182">
        <f t="shared" si="13"/>
        <v>1957.7333333333333</v>
      </c>
      <c r="AR12" s="278">
        <f>'[1]Cost.4.23'!AS12</f>
        <v>2156.9844000000003</v>
      </c>
      <c r="AS12" s="66">
        <f t="shared" si="14"/>
        <v>2139.57276</v>
      </c>
      <c r="AT12" s="116"/>
      <c r="AU12" s="115"/>
      <c r="AV12" s="252">
        <f>'[1]Reading.4.24'!AE10/'[1]Cost.4.24'!F12</f>
        <v>118.89328063236046</v>
      </c>
      <c r="AW12" s="253">
        <f t="shared" si="15"/>
        <v>165.26166007898104</v>
      </c>
      <c r="AX12" s="254">
        <f t="shared" si="16"/>
        <v>2.1699604743083003</v>
      </c>
      <c r="AY12" s="255">
        <f t="shared" si="17"/>
        <v>10.546007905138341</v>
      </c>
      <c r="AZ12" s="256">
        <f t="shared" si="18"/>
        <v>2.2672411067193678</v>
      </c>
      <c r="BA12" s="257">
        <f t="shared" si="19"/>
        <v>8.4568093280632404</v>
      </c>
      <c r="BB12" s="114"/>
      <c r="BC12" s="146">
        <f>'[1]Cost.4.23'!BE12</f>
        <v>40305.684400007565</v>
      </c>
      <c r="BD12" s="146">
        <f t="shared" si="20"/>
        <v>48882.73333333333</v>
      </c>
      <c r="BE12" s="147">
        <f t="shared" si="21"/>
        <v>46618.912759982202</v>
      </c>
      <c r="BF12" s="99"/>
      <c r="BG12" s="148">
        <f>'[1]Cost.4.23'!BI12</f>
        <v>161.87021847392597</v>
      </c>
      <c r="BH12" s="148">
        <f t="shared" si="22"/>
        <v>145.7011425732737</v>
      </c>
      <c r="BI12" s="149">
        <f t="shared" si="23"/>
        <v>184.26447731218261</v>
      </c>
      <c r="BJ12" s="4"/>
    </row>
    <row r="13" spans="1:64" ht="13.8" thickBot="1" x14ac:dyDescent="0.3">
      <c r="A13" s="3"/>
      <c r="B13" s="101">
        <v>45388</v>
      </c>
      <c r="C13" s="20"/>
      <c r="D13" s="138">
        <f>'[1]Reading.4.24'!AI11</f>
        <v>0.51900000000000002</v>
      </c>
      <c r="E13" s="96"/>
      <c r="F13" s="139">
        <f>'[1]Reading.4.24'!AM11</f>
        <v>273</v>
      </c>
      <c r="G13" s="95"/>
      <c r="H13" s="139">
        <f>'[1]Reading.4.24'!AO11</f>
        <v>335.5</v>
      </c>
      <c r="I13" s="96"/>
      <c r="J13" s="140">
        <f>'[1]Reading.4.24'!X11</f>
        <v>30160.000000003492</v>
      </c>
      <c r="K13" s="206">
        <f t="shared" si="24"/>
        <v>43534</v>
      </c>
      <c r="L13" s="206">
        <f>'[1]Cost.4.23'!M13</f>
        <v>35932.000000018161</v>
      </c>
      <c r="M13" s="240">
        <f t="shared" si="0"/>
        <v>41922.400000004855</v>
      </c>
      <c r="N13" s="98"/>
      <c r="O13" s="141">
        <f>'[1]Reading.4.24'!T11</f>
        <v>0</v>
      </c>
      <c r="P13" s="264">
        <f t="shared" si="1"/>
        <v>73.900000000000006</v>
      </c>
      <c r="Q13" s="142">
        <f>'[1]Reading.4.24'!AB11</f>
        <v>0</v>
      </c>
      <c r="R13" s="207">
        <f t="shared" si="2"/>
        <v>483.33333333333331</v>
      </c>
      <c r="S13" s="274">
        <f>'[1]Cost.4.23'!T13</f>
        <v>0</v>
      </c>
      <c r="T13" s="143">
        <f t="shared" si="3"/>
        <v>0</v>
      </c>
      <c r="U13" s="99"/>
      <c r="V13" s="144">
        <f>'[1]Reading.4.24'!G11</f>
        <v>525</v>
      </c>
      <c r="W13" s="173">
        <f t="shared" si="25"/>
        <v>598.29999999999995</v>
      </c>
      <c r="X13" s="208">
        <f t="shared" si="26"/>
        <v>2907.6666666666665</v>
      </c>
      <c r="Y13" s="276">
        <f>'[1]Cost.4.23'!Z13</f>
        <v>2694.66</v>
      </c>
      <c r="Z13" s="29">
        <f>'[1]Reading.4.24'!G11*4.86</f>
        <v>2551.5</v>
      </c>
      <c r="AA13" s="100"/>
      <c r="AB13" s="145">
        <f>'[1]Reading.4.24'!O11</f>
        <v>428.73</v>
      </c>
      <c r="AC13" s="216">
        <f t="shared" si="4"/>
        <v>1599.1629</v>
      </c>
      <c r="AD13" s="176">
        <f t="shared" si="5"/>
        <v>388.45</v>
      </c>
      <c r="AE13" s="216">
        <f t="shared" si="6"/>
        <v>1468.3</v>
      </c>
      <c r="AF13" s="216">
        <f>'[1]Cost.4.23'!AB13</f>
        <v>378.02000000000004</v>
      </c>
      <c r="AG13" s="216">
        <f>'[1]Cost.4.23'!AC13</f>
        <v>1410.0146000000002</v>
      </c>
      <c r="AH13" s="216">
        <f>'[1]Reading.4.24'!K11</f>
        <v>149.376</v>
      </c>
      <c r="AI13" s="216">
        <f t="shared" si="7"/>
        <v>557.17248000000006</v>
      </c>
      <c r="AJ13" s="176">
        <f t="shared" si="8"/>
        <v>129.48333333333332</v>
      </c>
      <c r="AK13" s="216">
        <f t="shared" si="9"/>
        <v>489.43333333333334</v>
      </c>
      <c r="AL13" s="216">
        <f>'[1]Cost.4.23'!AH13</f>
        <v>149.376</v>
      </c>
      <c r="AM13" s="216">
        <f>'[1]Cost.4.23'!AI13</f>
        <v>557.17248000000006</v>
      </c>
      <c r="AN13" s="176">
        <f t="shared" si="10"/>
        <v>578.10599999999999</v>
      </c>
      <c r="AO13" s="176">
        <f t="shared" si="11"/>
        <v>527.39600000000007</v>
      </c>
      <c r="AP13" s="176">
        <f t="shared" si="12"/>
        <v>517.93333333333328</v>
      </c>
      <c r="AQ13" s="182">
        <f t="shared" si="13"/>
        <v>1957.7333333333333</v>
      </c>
      <c r="AR13" s="278">
        <f>'[1]Cost.4.23'!AS13</f>
        <v>1967.1870800000002</v>
      </c>
      <c r="AS13" s="66">
        <f t="shared" si="14"/>
        <v>2156.33538</v>
      </c>
      <c r="AT13" s="116"/>
      <c r="AU13" s="115"/>
      <c r="AV13" s="252">
        <f>'[1]Reading.4.24'!AE11/'[1]Cost.4.24'!F13</f>
        <v>110.47619047620327</v>
      </c>
      <c r="AW13" s="253">
        <f t="shared" si="15"/>
        <v>153.56190476192253</v>
      </c>
      <c r="AX13" s="254">
        <f t="shared" si="16"/>
        <v>1.9230769230769231</v>
      </c>
      <c r="AY13" s="255">
        <f t="shared" si="17"/>
        <v>9.3461538461538467</v>
      </c>
      <c r="AZ13" s="256">
        <f t="shared" si="18"/>
        <v>2.1176043956043955</v>
      </c>
      <c r="BA13" s="257">
        <f t="shared" si="19"/>
        <v>7.8986643956043956</v>
      </c>
      <c r="BB13" s="114"/>
      <c r="BC13" s="146">
        <f>'[1]Cost.4.23'!BE13</f>
        <v>40593.847080018168</v>
      </c>
      <c r="BD13" s="146">
        <f t="shared" si="20"/>
        <v>48882.73333333333</v>
      </c>
      <c r="BE13" s="147">
        <f t="shared" si="21"/>
        <v>46630.235380004851</v>
      </c>
      <c r="BF13" s="99"/>
      <c r="BG13" s="148">
        <f>'[1]Cost.4.23'!BI13</f>
        <v>150.34758177784508</v>
      </c>
      <c r="BH13" s="148">
        <f t="shared" si="22"/>
        <v>145.7011425732737</v>
      </c>
      <c r="BI13" s="149">
        <f t="shared" si="23"/>
        <v>170.80672300368079</v>
      </c>
      <c r="BJ13" s="4"/>
    </row>
    <row r="14" spans="1:64" ht="13.8" thickBot="1" x14ac:dyDescent="0.3">
      <c r="A14" s="3"/>
      <c r="B14" s="101">
        <v>45389</v>
      </c>
      <c r="C14" s="20"/>
      <c r="D14" s="138">
        <f>'[1]Reading.4.24'!AI12</f>
        <v>0.4753</v>
      </c>
      <c r="E14" s="96"/>
      <c r="F14" s="139">
        <f>'[1]Reading.4.24'!AM12</f>
        <v>250</v>
      </c>
      <c r="G14" s="95"/>
      <c r="H14" s="139">
        <f>'[1]Reading.4.24'!AO12</f>
        <v>335.5</v>
      </c>
      <c r="I14" s="96"/>
      <c r="J14" s="140">
        <f>'[1]Reading.4.24'!X12</f>
        <v>28679.999999993015</v>
      </c>
      <c r="K14" s="206">
        <f t="shared" si="24"/>
        <v>43534</v>
      </c>
      <c r="L14" s="206">
        <f>'[1]Cost.4.23'!M14</f>
        <v>39051.999999972759</v>
      </c>
      <c r="M14" s="240">
        <f t="shared" si="0"/>
        <v>39865.199999990291</v>
      </c>
      <c r="N14" s="98"/>
      <c r="O14" s="141">
        <f>'[1]Reading.4.24'!T12</f>
        <v>0</v>
      </c>
      <c r="P14" s="264">
        <f t="shared" si="1"/>
        <v>73.900000000000006</v>
      </c>
      <c r="Q14" s="142">
        <f>'[1]Reading.4.24'!AB12</f>
        <v>20</v>
      </c>
      <c r="R14" s="207">
        <f t="shared" si="2"/>
        <v>483.33333333333331</v>
      </c>
      <c r="S14" s="274">
        <f>'[1]Cost.4.23'!T14</f>
        <v>0</v>
      </c>
      <c r="T14" s="143">
        <f t="shared" si="3"/>
        <v>0</v>
      </c>
      <c r="U14" s="99"/>
      <c r="V14" s="144">
        <f>'[1]Reading.4.24'!G12</f>
        <v>508</v>
      </c>
      <c r="W14" s="173">
        <f t="shared" si="25"/>
        <v>598.29999999999995</v>
      </c>
      <c r="X14" s="208">
        <f t="shared" si="26"/>
        <v>2907.6666666666665</v>
      </c>
      <c r="Y14" s="276">
        <f>'[1]Cost.4.23'!Z14</f>
        <v>2222.4</v>
      </c>
      <c r="Z14" s="29">
        <f>'[1]Reading.4.24'!G12*4.86</f>
        <v>2468.88</v>
      </c>
      <c r="AA14" s="100"/>
      <c r="AB14" s="145">
        <f>'[1]Reading.4.24'!O12</f>
        <v>414.90000000000003</v>
      </c>
      <c r="AC14" s="216">
        <f t="shared" si="4"/>
        <v>1547.5770000000002</v>
      </c>
      <c r="AD14" s="176">
        <f t="shared" si="5"/>
        <v>388.45</v>
      </c>
      <c r="AE14" s="216">
        <f t="shared" si="6"/>
        <v>1468.3</v>
      </c>
      <c r="AF14" s="216">
        <f>'[1]Cost.4.23'!AB14</f>
        <v>405.68</v>
      </c>
      <c r="AG14" s="216">
        <f>'[1]Cost.4.23'!AC14</f>
        <v>1513.1864</v>
      </c>
      <c r="AH14" s="216">
        <f>'[1]Reading.4.24'!K12</f>
        <v>158.71200000000002</v>
      </c>
      <c r="AI14" s="216">
        <f t="shared" si="7"/>
        <v>591.99576000000002</v>
      </c>
      <c r="AJ14" s="176">
        <f t="shared" si="8"/>
        <v>129.48333333333332</v>
      </c>
      <c r="AK14" s="216">
        <f t="shared" si="9"/>
        <v>489.43333333333334</v>
      </c>
      <c r="AL14" s="216">
        <f>'[1]Cost.4.23'!AH14</f>
        <v>177.38400000000001</v>
      </c>
      <c r="AM14" s="216">
        <f>'[1]Cost.4.23'!AI14</f>
        <v>661.64232000000004</v>
      </c>
      <c r="AN14" s="176">
        <f t="shared" si="10"/>
        <v>573.61200000000008</v>
      </c>
      <c r="AO14" s="176">
        <f t="shared" si="11"/>
        <v>583.06400000000008</v>
      </c>
      <c r="AP14" s="176">
        <f t="shared" si="12"/>
        <v>517.93333333333328</v>
      </c>
      <c r="AQ14" s="182">
        <f t="shared" si="13"/>
        <v>1957.7333333333333</v>
      </c>
      <c r="AR14" s="278">
        <f>'[1]Cost.4.23'!AS14</f>
        <v>2174.82872</v>
      </c>
      <c r="AS14" s="66">
        <f t="shared" si="14"/>
        <v>2139.57276</v>
      </c>
      <c r="AT14" s="116"/>
      <c r="AU14" s="115"/>
      <c r="AV14" s="252">
        <f>'[1]Reading.4.24'!AE12/'[1]Cost.4.24'!F14</f>
        <v>114.79999999997206</v>
      </c>
      <c r="AW14" s="253">
        <f t="shared" si="15"/>
        <v>159.46079999996115</v>
      </c>
      <c r="AX14" s="254">
        <f t="shared" si="16"/>
        <v>2.032</v>
      </c>
      <c r="AY14" s="255">
        <f t="shared" si="17"/>
        <v>9.8755199999999999</v>
      </c>
      <c r="AZ14" s="256">
        <f t="shared" si="18"/>
        <v>2.2944480000000005</v>
      </c>
      <c r="BA14" s="257">
        <f t="shared" si="19"/>
        <v>8.5582910400000003</v>
      </c>
      <c r="BB14" s="114"/>
      <c r="BC14" s="146">
        <f>'[1]Cost.4.23'!BE14</f>
        <v>43449.228719972758</v>
      </c>
      <c r="BD14" s="146">
        <f t="shared" si="20"/>
        <v>48882.73333333333</v>
      </c>
      <c r="BE14" s="147">
        <f t="shared" si="21"/>
        <v>44473.652759990291</v>
      </c>
      <c r="BF14" s="99"/>
      <c r="BG14" s="148">
        <f>'[1]Cost.4.23'!BI14</f>
        <v>164.58041181807863</v>
      </c>
      <c r="BH14" s="148">
        <f t="shared" si="22"/>
        <v>145.7011425732737</v>
      </c>
      <c r="BI14" s="149">
        <f t="shared" si="23"/>
        <v>177.89461103996118</v>
      </c>
      <c r="BJ14" s="4"/>
    </row>
    <row r="15" spans="1:64" ht="13.8" thickBot="1" x14ac:dyDescent="0.3">
      <c r="A15" s="3"/>
      <c r="B15" s="101">
        <v>45390</v>
      </c>
      <c r="C15" s="20"/>
      <c r="D15" s="138">
        <f>'[1]Reading.4.24'!AI13</f>
        <v>0.48480000000000001</v>
      </c>
      <c r="E15" s="96"/>
      <c r="F15" s="139">
        <f>'[1]Reading.4.24'!AM13</f>
        <v>255</v>
      </c>
      <c r="G15" s="95"/>
      <c r="H15" s="139">
        <f>'[1]Reading.4.24'!AO13</f>
        <v>335.5</v>
      </c>
      <c r="I15" s="96"/>
      <c r="J15" s="140">
        <f>'[1]Reading.4.24'!X13</f>
        <v>26559.999999997672</v>
      </c>
      <c r="K15" s="206">
        <f t="shared" si="24"/>
        <v>43534</v>
      </c>
      <c r="L15" s="206">
        <f>'[1]Cost.4.23'!M15</f>
        <v>39156.000000031781</v>
      </c>
      <c r="M15" s="240">
        <f t="shared" si="0"/>
        <v>36918.399999996764</v>
      </c>
      <c r="N15" s="98"/>
      <c r="O15" s="141">
        <f>'[1]Reading.4.24'!T13</f>
        <v>0</v>
      </c>
      <c r="P15" s="264">
        <f t="shared" si="1"/>
        <v>73.900000000000006</v>
      </c>
      <c r="Q15" s="142">
        <f>'[1]Reading.4.24'!AB13</f>
        <v>0</v>
      </c>
      <c r="R15" s="207">
        <f t="shared" si="2"/>
        <v>483.33333333333331</v>
      </c>
      <c r="S15" s="274">
        <f>'[1]Cost.4.23'!T15</f>
        <v>0</v>
      </c>
      <c r="T15" s="143">
        <f t="shared" si="3"/>
        <v>0</v>
      </c>
      <c r="U15" s="99"/>
      <c r="V15" s="144">
        <f>'[1]Reading.4.24'!G13</f>
        <v>527</v>
      </c>
      <c r="W15" s="173">
        <f t="shared" si="25"/>
        <v>598.29999999999995</v>
      </c>
      <c r="X15" s="208">
        <f t="shared" si="26"/>
        <v>2907.6666666666665</v>
      </c>
      <c r="Y15" s="276">
        <f>'[1]Cost.4.23'!Z15</f>
        <v>2074.2399999999998</v>
      </c>
      <c r="Z15" s="29">
        <f>'[1]Reading.4.24'!G13*4.86</f>
        <v>2561.2200000000003</v>
      </c>
      <c r="AA15" s="100"/>
      <c r="AB15" s="145">
        <f>'[1]Reading.4.24'!O13</f>
        <v>401.07000000000005</v>
      </c>
      <c r="AC15" s="216">
        <f t="shared" si="4"/>
        <v>1495.9911000000002</v>
      </c>
      <c r="AD15" s="176">
        <f t="shared" si="5"/>
        <v>388.45</v>
      </c>
      <c r="AE15" s="216">
        <f t="shared" si="6"/>
        <v>1468.3</v>
      </c>
      <c r="AF15" s="216">
        <f>'[1]Cost.4.23'!AB15</f>
        <v>424.12</v>
      </c>
      <c r="AG15" s="216">
        <f>'[1]Cost.4.23'!AC15</f>
        <v>1581.9675999999999</v>
      </c>
      <c r="AH15" s="216">
        <f>'[1]Reading.4.24'!K13</f>
        <v>144.708</v>
      </c>
      <c r="AI15" s="216">
        <f t="shared" si="7"/>
        <v>539.76084000000003</v>
      </c>
      <c r="AJ15" s="176">
        <f t="shared" si="8"/>
        <v>129.48333333333332</v>
      </c>
      <c r="AK15" s="216">
        <f t="shared" si="9"/>
        <v>489.43333333333334</v>
      </c>
      <c r="AL15" s="216">
        <f>'[1]Cost.4.23'!AH15</f>
        <v>144.708</v>
      </c>
      <c r="AM15" s="216">
        <f>'[1]Cost.4.23'!AI15</f>
        <v>539.76084000000003</v>
      </c>
      <c r="AN15" s="176">
        <f t="shared" si="10"/>
        <v>545.77800000000002</v>
      </c>
      <c r="AO15" s="176">
        <f t="shared" si="11"/>
        <v>568.82799999999997</v>
      </c>
      <c r="AP15" s="176">
        <f t="shared" si="12"/>
        <v>517.93333333333328</v>
      </c>
      <c r="AQ15" s="182">
        <f t="shared" si="13"/>
        <v>1957.7333333333333</v>
      </c>
      <c r="AR15" s="278">
        <f>'[1]Cost.4.23'!AS15</f>
        <v>2121.7284399999999</v>
      </c>
      <c r="AS15" s="66">
        <f t="shared" si="14"/>
        <v>2035.7519400000001</v>
      </c>
      <c r="AT15" s="116"/>
      <c r="AU15" s="115"/>
      <c r="AV15" s="252">
        <f>'[1]Reading.4.24'!AE13/'[1]Cost.4.24'!F15</f>
        <v>104.15686274508892</v>
      </c>
      <c r="AW15" s="253">
        <f t="shared" si="15"/>
        <v>144.77803921567357</v>
      </c>
      <c r="AX15" s="254">
        <f t="shared" si="16"/>
        <v>2.0666666666666669</v>
      </c>
      <c r="AY15" s="255">
        <f t="shared" si="17"/>
        <v>10.044</v>
      </c>
      <c r="AZ15" s="256">
        <f t="shared" si="18"/>
        <v>2.1403058823529411</v>
      </c>
      <c r="BA15" s="257">
        <f t="shared" si="19"/>
        <v>7.9833409411764711</v>
      </c>
      <c r="BB15" s="114"/>
      <c r="BC15" s="146">
        <f>'[1]Cost.4.23'!BE15</f>
        <v>43351.968440031778</v>
      </c>
      <c r="BD15" s="146">
        <f t="shared" si="20"/>
        <v>48882.73333333333</v>
      </c>
      <c r="BE15" s="147">
        <f t="shared" si="21"/>
        <v>41515.371939996767</v>
      </c>
      <c r="BF15" s="99"/>
      <c r="BG15" s="148">
        <f>'[1]Cost.4.23'!BI15</f>
        <v>157.072349420405</v>
      </c>
      <c r="BH15" s="148">
        <f t="shared" si="22"/>
        <v>145.7011425732737</v>
      </c>
      <c r="BI15" s="149">
        <f t="shared" si="23"/>
        <v>162.80538015685008</v>
      </c>
      <c r="BJ15" s="4"/>
    </row>
    <row r="16" spans="1:64" ht="13.8" thickBot="1" x14ac:dyDescent="0.3">
      <c r="A16" s="3"/>
      <c r="B16" s="101">
        <v>45391</v>
      </c>
      <c r="C16" s="20"/>
      <c r="D16" s="138">
        <f>'[1]Reading.4.24'!AI14</f>
        <v>0.55130000000000001</v>
      </c>
      <c r="E16" s="96"/>
      <c r="F16" s="139">
        <f>'[1]Reading.4.24'!AM14</f>
        <v>290</v>
      </c>
      <c r="G16" s="95"/>
      <c r="H16" s="139">
        <f>'[1]Reading.4.24'!AO14</f>
        <v>335.5</v>
      </c>
      <c r="I16" s="96"/>
      <c r="J16" s="140">
        <f>'[1]Reading.4.24'!X14</f>
        <v>29960.000000020955</v>
      </c>
      <c r="K16" s="206">
        <f t="shared" si="24"/>
        <v>43534</v>
      </c>
      <c r="L16" s="206">
        <f>'[1]Cost.4.23'!M16</f>
        <v>39259.999999977299</v>
      </c>
      <c r="M16" s="240">
        <f t="shared" si="0"/>
        <v>41644.400000029127</v>
      </c>
      <c r="N16" s="98"/>
      <c r="O16" s="141">
        <f>'[1]Reading.4.24'!T14</f>
        <v>0</v>
      </c>
      <c r="P16" s="264">
        <f t="shared" si="1"/>
        <v>73.900000000000006</v>
      </c>
      <c r="Q16" s="142">
        <f>'[1]Reading.4.24'!AB14</f>
        <v>0</v>
      </c>
      <c r="R16" s="207">
        <f t="shared" si="2"/>
        <v>483.33333333333331</v>
      </c>
      <c r="S16" s="274">
        <f>'[1]Cost.4.23'!T16</f>
        <v>0</v>
      </c>
      <c r="T16" s="143">
        <f t="shared" si="3"/>
        <v>0</v>
      </c>
      <c r="U16" s="99"/>
      <c r="V16" s="144">
        <f>'[1]Reading.4.24'!G14</f>
        <v>540</v>
      </c>
      <c r="W16" s="173">
        <f t="shared" si="25"/>
        <v>598.29999999999995</v>
      </c>
      <c r="X16" s="208">
        <f t="shared" si="26"/>
        <v>2907.6666666666665</v>
      </c>
      <c r="Y16" s="276">
        <f>'[1]Cost.4.23'!Z16</f>
        <v>2486.31</v>
      </c>
      <c r="Z16" s="29">
        <f>'[1]Reading.4.24'!G14*4.86</f>
        <v>2624.4</v>
      </c>
      <c r="AA16" s="100"/>
      <c r="AB16" s="145">
        <f>'[1]Reading.4.24'!O14</f>
        <v>419.51000000000005</v>
      </c>
      <c r="AC16" s="216">
        <f t="shared" si="4"/>
        <v>1564.7723000000001</v>
      </c>
      <c r="AD16" s="176">
        <f t="shared" si="5"/>
        <v>388.45</v>
      </c>
      <c r="AE16" s="216">
        <f t="shared" si="6"/>
        <v>1468.3</v>
      </c>
      <c r="AF16" s="216">
        <f>'[1]Cost.4.23'!AB16</f>
        <v>391.85</v>
      </c>
      <c r="AG16" s="216">
        <f>'[1]Cost.4.23'!AC16</f>
        <v>1461.6005</v>
      </c>
      <c r="AH16" s="216">
        <f>'[1]Reading.4.24'!K14</f>
        <v>154.04400000000001</v>
      </c>
      <c r="AI16" s="216">
        <f t="shared" si="7"/>
        <v>574.58411999999998</v>
      </c>
      <c r="AJ16" s="176">
        <f t="shared" si="8"/>
        <v>129.48333333333332</v>
      </c>
      <c r="AK16" s="216">
        <f t="shared" si="9"/>
        <v>489.43333333333334</v>
      </c>
      <c r="AL16" s="216">
        <f>'[1]Cost.4.23'!AH16</f>
        <v>130.70400000000001</v>
      </c>
      <c r="AM16" s="216">
        <f>'[1]Cost.4.23'!AI16</f>
        <v>487.52592000000004</v>
      </c>
      <c r="AN16" s="176">
        <f t="shared" si="10"/>
        <v>573.55400000000009</v>
      </c>
      <c r="AO16" s="176">
        <f t="shared" si="11"/>
        <v>522.55400000000009</v>
      </c>
      <c r="AP16" s="176">
        <f t="shared" si="12"/>
        <v>517.93333333333328</v>
      </c>
      <c r="AQ16" s="182">
        <f t="shared" si="13"/>
        <v>1957.7333333333333</v>
      </c>
      <c r="AR16" s="278">
        <f>'[1]Cost.4.23'!AS16</f>
        <v>1949.1264200000001</v>
      </c>
      <c r="AS16" s="66">
        <f t="shared" si="14"/>
        <v>2139.3564200000001</v>
      </c>
      <c r="AT16" s="116"/>
      <c r="AU16" s="115"/>
      <c r="AV16" s="252">
        <f>'[1]Reading.4.24'!AE14/'[1]Cost.4.24'!F16</f>
        <v>103.31034482765847</v>
      </c>
      <c r="AW16" s="253">
        <f t="shared" si="15"/>
        <v>143.60137931044525</v>
      </c>
      <c r="AX16" s="254">
        <f t="shared" si="16"/>
        <v>1.8620689655172413</v>
      </c>
      <c r="AY16" s="255">
        <f t="shared" si="17"/>
        <v>9.049655172413793</v>
      </c>
      <c r="AZ16" s="256">
        <f t="shared" si="18"/>
        <v>1.9777724137931036</v>
      </c>
      <c r="BA16" s="257">
        <f t="shared" si="19"/>
        <v>7.3770911034482758</v>
      </c>
      <c r="BB16" s="114"/>
      <c r="BC16" s="146">
        <f>'[1]Cost.4.23'!BE16</f>
        <v>43695.436419977297</v>
      </c>
      <c r="BD16" s="146">
        <f t="shared" si="20"/>
        <v>48882.73333333333</v>
      </c>
      <c r="BE16" s="147">
        <f t="shared" si="21"/>
        <v>46408.156420029132</v>
      </c>
      <c r="BF16" s="99"/>
      <c r="BG16" s="148">
        <f>'[1]Cost.4.23'!BI16</f>
        <v>166.77647488540953</v>
      </c>
      <c r="BH16" s="148">
        <f t="shared" si="22"/>
        <v>145.7011425732737</v>
      </c>
      <c r="BI16" s="149">
        <f t="shared" si="23"/>
        <v>160.02812558630734</v>
      </c>
      <c r="BJ16" s="4"/>
    </row>
    <row r="17" spans="1:62" ht="13.8" thickBot="1" x14ac:dyDescent="0.3">
      <c r="A17" s="3"/>
      <c r="B17" s="101">
        <v>45392</v>
      </c>
      <c r="C17" s="20"/>
      <c r="D17" s="138">
        <f>'[1]Reading.4.24'!AI15</f>
        <v>0.69199999999999995</v>
      </c>
      <c r="E17" s="96"/>
      <c r="F17" s="139">
        <f>'[1]Reading.4.24'!AM15</f>
        <v>364</v>
      </c>
      <c r="G17" s="95"/>
      <c r="H17" s="139">
        <f>'[1]Reading.4.24'!AO15</f>
        <v>335.5</v>
      </c>
      <c r="I17" s="96"/>
      <c r="J17" s="140">
        <f>'[1]Reading.4.24'!X15</f>
        <v>33079.999999987194</v>
      </c>
      <c r="K17" s="206">
        <f t="shared" si="24"/>
        <v>43534</v>
      </c>
      <c r="L17" s="206">
        <f>'[1]Cost.4.23'!M17</f>
        <v>41132.000000018161</v>
      </c>
      <c r="M17" s="240">
        <f t="shared" si="0"/>
        <v>45981.1999999822</v>
      </c>
      <c r="N17" s="98"/>
      <c r="O17" s="141">
        <f>'[1]Reading.4.24'!T15</f>
        <v>0</v>
      </c>
      <c r="P17" s="264">
        <f t="shared" si="1"/>
        <v>73.900000000000006</v>
      </c>
      <c r="Q17" s="142">
        <f>'[1]Reading.4.24'!AB15</f>
        <v>0</v>
      </c>
      <c r="R17" s="207">
        <f t="shared" si="2"/>
        <v>483.33333333333331</v>
      </c>
      <c r="S17" s="274">
        <f>'[1]Cost.4.23'!T17</f>
        <v>0</v>
      </c>
      <c r="T17" s="143">
        <f t="shared" si="3"/>
        <v>0</v>
      </c>
      <c r="U17" s="99"/>
      <c r="V17" s="144">
        <f>'[1]Reading.4.24'!G15</f>
        <v>599</v>
      </c>
      <c r="W17" s="173">
        <f t="shared" si="25"/>
        <v>598.29999999999995</v>
      </c>
      <c r="X17" s="208">
        <f t="shared" si="26"/>
        <v>2907.6666666666665</v>
      </c>
      <c r="Y17" s="276">
        <f>'[1]Cost.4.23'!Z17</f>
        <v>2176.1</v>
      </c>
      <c r="Z17" s="29">
        <f>'[1]Reading.4.24'!G15*4.86</f>
        <v>2911.1400000000003</v>
      </c>
      <c r="AA17" s="100"/>
      <c r="AB17" s="145">
        <f>'[1]Reading.4.24'!O15</f>
        <v>497.88000000000005</v>
      </c>
      <c r="AC17" s="216">
        <f t="shared" si="4"/>
        <v>1857.0924000000002</v>
      </c>
      <c r="AD17" s="176">
        <f t="shared" si="5"/>
        <v>388.45</v>
      </c>
      <c r="AE17" s="216">
        <f t="shared" si="6"/>
        <v>1468.3</v>
      </c>
      <c r="AF17" s="216">
        <f>'[1]Cost.4.23'!AB17</f>
        <v>414.90000000000003</v>
      </c>
      <c r="AG17" s="216">
        <f>'[1]Cost.4.23'!AC17</f>
        <v>1547.5770000000002</v>
      </c>
      <c r="AH17" s="216">
        <f>'[1]Reading.4.24'!K15</f>
        <v>247.404</v>
      </c>
      <c r="AI17" s="216">
        <f t="shared" si="7"/>
        <v>922.81691999999998</v>
      </c>
      <c r="AJ17" s="176">
        <f t="shared" si="8"/>
        <v>129.48333333333332</v>
      </c>
      <c r="AK17" s="216">
        <f t="shared" si="9"/>
        <v>489.43333333333334</v>
      </c>
      <c r="AL17" s="216">
        <f>'[1]Cost.4.23'!AH17</f>
        <v>149.376</v>
      </c>
      <c r="AM17" s="216">
        <f>'[1]Cost.4.23'!AI17</f>
        <v>557.17248000000006</v>
      </c>
      <c r="AN17" s="176">
        <f t="shared" si="10"/>
        <v>745.28400000000011</v>
      </c>
      <c r="AO17" s="176">
        <f t="shared" si="11"/>
        <v>564.27600000000007</v>
      </c>
      <c r="AP17" s="176">
        <f t="shared" si="12"/>
        <v>517.93333333333328</v>
      </c>
      <c r="AQ17" s="182">
        <f t="shared" si="13"/>
        <v>1957.7333333333333</v>
      </c>
      <c r="AR17" s="278">
        <f>'[1]Cost.4.23'!AS17</f>
        <v>2104.7494800000004</v>
      </c>
      <c r="AS17" s="66">
        <f t="shared" si="14"/>
        <v>2779.9093200000002</v>
      </c>
      <c r="AT17" s="116"/>
      <c r="AU17" s="115"/>
      <c r="AV17" s="252">
        <f>'[1]Reading.4.24'!AE15/'[1]Cost.4.24'!F17</f>
        <v>90.879120879085704</v>
      </c>
      <c r="AW17" s="253">
        <f t="shared" si="15"/>
        <v>126.32197802192913</v>
      </c>
      <c r="AX17" s="254">
        <f t="shared" si="16"/>
        <v>1.6456043956043955</v>
      </c>
      <c r="AY17" s="255">
        <f t="shared" si="17"/>
        <v>7.9976373626373638</v>
      </c>
      <c r="AZ17" s="256">
        <f t="shared" si="18"/>
        <v>2.0474835164835166</v>
      </c>
      <c r="BA17" s="257">
        <f t="shared" si="19"/>
        <v>7.6371135164835167</v>
      </c>
      <c r="BB17" s="114"/>
      <c r="BC17" s="146">
        <f>'[1]Cost.4.23'!BE17</f>
        <v>45412.849480018158</v>
      </c>
      <c r="BD17" s="146">
        <f t="shared" si="20"/>
        <v>48882.73333333333</v>
      </c>
      <c r="BE17" s="147">
        <f t="shared" si="21"/>
        <v>51672.249319982198</v>
      </c>
      <c r="BF17" s="99"/>
      <c r="BG17" s="148">
        <f>'[1]Cost.4.23'!BI17</f>
        <v>181.65139792007264</v>
      </c>
      <c r="BH17" s="148">
        <f t="shared" si="22"/>
        <v>145.7011425732737</v>
      </c>
      <c r="BI17" s="149">
        <f t="shared" si="23"/>
        <v>141.95672890104998</v>
      </c>
      <c r="BJ17" s="4"/>
    </row>
    <row r="18" spans="1:62" ht="13.8" thickBot="1" x14ac:dyDescent="0.3">
      <c r="A18" s="3"/>
      <c r="B18" s="101">
        <v>45393</v>
      </c>
      <c r="C18" s="20"/>
      <c r="D18" s="138">
        <f>'[1]Reading.4.24'!AI16</f>
        <v>0.83840000000000003</v>
      </c>
      <c r="E18" s="96"/>
      <c r="F18" s="139">
        <f>'[1]Reading.4.24'!AM16</f>
        <v>441</v>
      </c>
      <c r="G18" s="95"/>
      <c r="H18" s="139">
        <f>'[1]Reading.4.24'!AO16</f>
        <v>335.5</v>
      </c>
      <c r="I18" s="96"/>
      <c r="J18" s="140">
        <f>'[1]Reading.4.24'!X16</f>
        <v>34240.000000019791</v>
      </c>
      <c r="K18" s="206">
        <f t="shared" si="24"/>
        <v>43534</v>
      </c>
      <c r="L18" s="206">
        <f>'[1]Cost.4.23'!M18</f>
        <v>39208.00000000454</v>
      </c>
      <c r="M18" s="240">
        <f t="shared" si="0"/>
        <v>47593.600000027509</v>
      </c>
      <c r="N18" s="98"/>
      <c r="O18" s="141">
        <f>'[1]Reading.4.24'!T16</f>
        <v>0</v>
      </c>
      <c r="P18" s="264">
        <f t="shared" si="1"/>
        <v>73.900000000000006</v>
      </c>
      <c r="Q18" s="142">
        <f>'[1]Reading.4.24'!AB16</f>
        <v>0</v>
      </c>
      <c r="R18" s="207">
        <f t="shared" si="2"/>
        <v>483.33333333333331</v>
      </c>
      <c r="S18" s="274">
        <f>'[1]Cost.4.23'!T18</f>
        <v>0</v>
      </c>
      <c r="T18" s="143">
        <f t="shared" si="3"/>
        <v>0</v>
      </c>
      <c r="U18" s="99"/>
      <c r="V18" s="144">
        <f>'[1]Reading.4.24'!G16</f>
        <v>596</v>
      </c>
      <c r="W18" s="173">
        <f t="shared" si="25"/>
        <v>598.29999999999995</v>
      </c>
      <c r="X18" s="208">
        <f t="shared" si="26"/>
        <v>2907.6666666666665</v>
      </c>
      <c r="Y18" s="276">
        <f>'[1]Cost.4.23'!Z18</f>
        <v>2185.36</v>
      </c>
      <c r="Z18" s="29">
        <f>'[1]Reading.4.24'!G16*4.86</f>
        <v>2896.5600000000004</v>
      </c>
      <c r="AA18" s="100"/>
      <c r="AB18" s="145">
        <f>'[1]Reading.4.24'!O16</f>
        <v>525.54000000000008</v>
      </c>
      <c r="AC18" s="216">
        <f t="shared" si="4"/>
        <v>1960.2642000000003</v>
      </c>
      <c r="AD18" s="176">
        <f t="shared" si="5"/>
        <v>388.45</v>
      </c>
      <c r="AE18" s="216">
        <f t="shared" si="6"/>
        <v>1468.3</v>
      </c>
      <c r="AF18" s="216">
        <f>'[1]Cost.4.23'!AB18</f>
        <v>401.07000000000005</v>
      </c>
      <c r="AG18" s="216">
        <f>'[1]Cost.4.23'!AC18</f>
        <v>1495.9911000000002</v>
      </c>
      <c r="AH18" s="216">
        <f>'[1]Reading.4.24'!K16</f>
        <v>196.05600000000001</v>
      </c>
      <c r="AI18" s="216">
        <f t="shared" si="7"/>
        <v>731.28888000000006</v>
      </c>
      <c r="AJ18" s="176">
        <f t="shared" si="8"/>
        <v>129.48333333333332</v>
      </c>
      <c r="AK18" s="216">
        <f t="shared" si="9"/>
        <v>489.43333333333334</v>
      </c>
      <c r="AL18" s="216">
        <f>'[1]Cost.4.23'!AH18</f>
        <v>149.376</v>
      </c>
      <c r="AM18" s="216">
        <f>'[1]Cost.4.23'!AI18</f>
        <v>557.17248000000006</v>
      </c>
      <c r="AN18" s="176">
        <f t="shared" si="10"/>
        <v>721.59600000000012</v>
      </c>
      <c r="AO18" s="176">
        <f t="shared" si="11"/>
        <v>550.44600000000003</v>
      </c>
      <c r="AP18" s="176">
        <f t="shared" si="12"/>
        <v>517.93333333333328</v>
      </c>
      <c r="AQ18" s="182">
        <f t="shared" si="13"/>
        <v>1957.7333333333333</v>
      </c>
      <c r="AR18" s="278">
        <f>'[1]Cost.4.23'!AS18</f>
        <v>2053.1635800000004</v>
      </c>
      <c r="AS18" s="66">
        <f t="shared" si="14"/>
        <v>2691.5530800000006</v>
      </c>
      <c r="AT18" s="116"/>
      <c r="AU18" s="115"/>
      <c r="AV18" s="252">
        <f>'[1]Reading.4.24'!AE16/'[1]Cost.4.24'!F18</f>
        <v>77.641723356053944</v>
      </c>
      <c r="AW18" s="253">
        <f t="shared" si="15"/>
        <v>107.92199546491499</v>
      </c>
      <c r="AX18" s="254">
        <f t="shared" si="16"/>
        <v>1.3514739229024944</v>
      </c>
      <c r="AY18" s="255">
        <f t="shared" si="17"/>
        <v>6.568163265306123</v>
      </c>
      <c r="AZ18" s="256">
        <f t="shared" si="18"/>
        <v>1.6362721088435377</v>
      </c>
      <c r="BA18" s="257">
        <f t="shared" si="19"/>
        <v>6.1032949659863958</v>
      </c>
      <c r="BB18" s="114"/>
      <c r="BC18" s="146">
        <f>'[1]Cost.4.23'!BE18</f>
        <v>43446.523580004541</v>
      </c>
      <c r="BD18" s="146">
        <f t="shared" si="20"/>
        <v>48882.73333333333</v>
      </c>
      <c r="BE18" s="147">
        <f t="shared" si="21"/>
        <v>53181.713080027504</v>
      </c>
      <c r="BF18" s="99"/>
      <c r="BG18" s="148">
        <f>'[1]Cost.4.23'!BI18</f>
        <v>171.04930543308873</v>
      </c>
      <c r="BH18" s="148">
        <f t="shared" si="22"/>
        <v>145.7011425732737</v>
      </c>
      <c r="BI18" s="149">
        <f t="shared" si="23"/>
        <v>120.59345369620749</v>
      </c>
      <c r="BJ18" s="4"/>
    </row>
    <row r="19" spans="1:62" ht="13.8" thickBot="1" x14ac:dyDescent="0.3">
      <c r="A19" s="3"/>
      <c r="B19" s="101">
        <v>45394</v>
      </c>
      <c r="C19" s="20"/>
      <c r="D19" s="138">
        <f>'[1]Reading.4.24'!AI17</f>
        <v>0.85740000000000005</v>
      </c>
      <c r="E19" s="96"/>
      <c r="F19" s="139">
        <f>'[1]Reading.4.24'!AM17</f>
        <v>451</v>
      </c>
      <c r="G19" s="95"/>
      <c r="H19" s="139">
        <f>'[1]Reading.4.24'!AO17</f>
        <v>335.5</v>
      </c>
      <c r="I19" s="96"/>
      <c r="J19" s="140">
        <f>'[1]Reading.4.24'!X17</f>
        <v>35559.999999997672</v>
      </c>
      <c r="K19" s="206">
        <f t="shared" si="24"/>
        <v>43534</v>
      </c>
      <c r="L19" s="206">
        <f>'[1]Cost.4.23'!M19</f>
        <v>37595.999999978812</v>
      </c>
      <c r="M19" s="240">
        <f t="shared" si="0"/>
        <v>49428.399999996764</v>
      </c>
      <c r="N19" s="98"/>
      <c r="O19" s="141">
        <f>'[1]Reading.4.24'!T17</f>
        <v>0</v>
      </c>
      <c r="P19" s="264">
        <f t="shared" si="1"/>
        <v>73.900000000000006</v>
      </c>
      <c r="Q19" s="142">
        <f>'[1]Reading.4.24'!AB17</f>
        <v>0</v>
      </c>
      <c r="R19" s="207">
        <f t="shared" si="2"/>
        <v>483.33333333333331</v>
      </c>
      <c r="S19" s="274">
        <f>'[1]Cost.4.23'!T19</f>
        <v>0</v>
      </c>
      <c r="T19" s="143">
        <f t="shared" si="3"/>
        <v>0</v>
      </c>
      <c r="U19" s="99"/>
      <c r="V19" s="144">
        <f>'[1]Reading.4.24'!G17</f>
        <v>683</v>
      </c>
      <c r="W19" s="173">
        <f t="shared" si="25"/>
        <v>598.29999999999995</v>
      </c>
      <c r="X19" s="208">
        <f t="shared" si="26"/>
        <v>2907.6666666666665</v>
      </c>
      <c r="Y19" s="276">
        <f>'[1]Cost.4.23'!Z19</f>
        <v>2375.19</v>
      </c>
      <c r="Z19" s="29">
        <f>'[1]Reading.4.24'!G17*4.86</f>
        <v>3319.38</v>
      </c>
      <c r="AA19" s="100"/>
      <c r="AB19" s="145">
        <f>'[1]Reading.4.24'!O17</f>
        <v>534.76</v>
      </c>
      <c r="AC19" s="216">
        <f t="shared" si="4"/>
        <v>1994.6548</v>
      </c>
      <c r="AD19" s="176">
        <f t="shared" si="5"/>
        <v>388.45</v>
      </c>
      <c r="AE19" s="216">
        <f t="shared" si="6"/>
        <v>1468.3</v>
      </c>
      <c r="AF19" s="216">
        <f>'[1]Cost.4.23'!AB19</f>
        <v>461.00000000000006</v>
      </c>
      <c r="AG19" s="216">
        <f>'[1]Cost.4.23'!AC19</f>
        <v>1719.5300000000002</v>
      </c>
      <c r="AH19" s="216">
        <f>'[1]Reading.4.24'!K17</f>
        <v>200.72400000000002</v>
      </c>
      <c r="AI19" s="216">
        <f t="shared" si="7"/>
        <v>748.7005200000001</v>
      </c>
      <c r="AJ19" s="176">
        <f t="shared" si="8"/>
        <v>129.48333333333332</v>
      </c>
      <c r="AK19" s="216">
        <f t="shared" si="9"/>
        <v>489.43333333333334</v>
      </c>
      <c r="AL19" s="216">
        <f>'[1]Cost.4.23'!AH19</f>
        <v>168.048</v>
      </c>
      <c r="AM19" s="216">
        <f>'[1]Cost.4.23'!AI19</f>
        <v>626.81903999999997</v>
      </c>
      <c r="AN19" s="176">
        <f t="shared" si="10"/>
        <v>735.48400000000004</v>
      </c>
      <c r="AO19" s="176">
        <f t="shared" si="11"/>
        <v>629.048</v>
      </c>
      <c r="AP19" s="176">
        <f t="shared" si="12"/>
        <v>517.93333333333328</v>
      </c>
      <c r="AQ19" s="182">
        <f t="shared" si="13"/>
        <v>1957.7333333333333</v>
      </c>
      <c r="AR19" s="278">
        <f>'[1]Cost.4.23'!AS19</f>
        <v>2346.3490400000001</v>
      </c>
      <c r="AS19" s="66">
        <f t="shared" si="14"/>
        <v>2743.3553200000001</v>
      </c>
      <c r="AT19" s="116"/>
      <c r="AU19" s="115"/>
      <c r="AV19" s="252">
        <f>'[1]Reading.4.24'!AE17/'[1]Cost.4.24'!F19</f>
        <v>78.847006651879539</v>
      </c>
      <c r="AW19" s="253">
        <f t="shared" si="15"/>
        <v>109.59733924611255</v>
      </c>
      <c r="AX19" s="254">
        <f t="shared" si="16"/>
        <v>1.5144124168514412</v>
      </c>
      <c r="AY19" s="255">
        <f t="shared" si="17"/>
        <v>7.3600443458980047</v>
      </c>
      <c r="AZ19" s="256">
        <f t="shared" si="18"/>
        <v>1.6307849223946786</v>
      </c>
      <c r="BA19" s="257">
        <f t="shared" si="19"/>
        <v>6.082827760532151</v>
      </c>
      <c r="BB19" s="114"/>
      <c r="BC19" s="146">
        <f>'[1]Cost.4.23'!BE19</f>
        <v>42317.539039978816</v>
      </c>
      <c r="BD19" s="146">
        <f t="shared" si="20"/>
        <v>48882.73333333333</v>
      </c>
      <c r="BE19" s="147">
        <f t="shared" si="21"/>
        <v>55491.135319996763</v>
      </c>
      <c r="BF19" s="99"/>
      <c r="BG19" s="148">
        <f>'[1]Cost.4.23'!BI19</f>
        <v>169.27015615991527</v>
      </c>
      <c r="BH19" s="148">
        <f t="shared" si="22"/>
        <v>145.7011425732737</v>
      </c>
      <c r="BI19" s="149">
        <f t="shared" si="23"/>
        <v>123.04021135254271</v>
      </c>
      <c r="BJ19" s="4"/>
    </row>
    <row r="20" spans="1:62" ht="13.8" thickBot="1" x14ac:dyDescent="0.3">
      <c r="A20" s="3"/>
      <c r="B20" s="101">
        <v>45395</v>
      </c>
      <c r="C20" s="20"/>
      <c r="D20" s="138">
        <f>'[1]Reading.4.24'!AI18</f>
        <v>0.8327</v>
      </c>
      <c r="E20" s="96"/>
      <c r="F20" s="139">
        <f>'[1]Reading.4.24'!AM18</f>
        <v>438</v>
      </c>
      <c r="G20" s="95"/>
      <c r="H20" s="139">
        <f>'[1]Reading.4.24'!AO18</f>
        <v>335.5</v>
      </c>
      <c r="I20" s="96"/>
      <c r="J20" s="140">
        <f>'[1]Reading.4.24'!X18</f>
        <v>35959.999999991851</v>
      </c>
      <c r="K20" s="206">
        <f t="shared" si="24"/>
        <v>43534</v>
      </c>
      <c r="L20" s="206">
        <f>'[1]Cost.4.23'!M20</f>
        <v>37180.000000007567</v>
      </c>
      <c r="M20" s="240">
        <f t="shared" si="0"/>
        <v>49984.399999988673</v>
      </c>
      <c r="N20" s="98"/>
      <c r="O20" s="141">
        <f>'[1]Reading.4.24'!T18</f>
        <v>0</v>
      </c>
      <c r="P20" s="264">
        <f t="shared" si="1"/>
        <v>73.900000000000006</v>
      </c>
      <c r="Q20" s="142">
        <f>'[1]Reading.4.24'!AB18</f>
        <v>0</v>
      </c>
      <c r="R20" s="207">
        <f t="shared" si="2"/>
        <v>483.33333333333331</v>
      </c>
      <c r="S20" s="274">
        <f>'[1]Cost.4.23'!T20</f>
        <v>0</v>
      </c>
      <c r="T20" s="143">
        <f t="shared" si="3"/>
        <v>0</v>
      </c>
      <c r="U20" s="99"/>
      <c r="V20" s="144">
        <f>'[1]Reading.4.24'!G18</f>
        <v>667</v>
      </c>
      <c r="W20" s="173">
        <f t="shared" si="25"/>
        <v>598.29999999999995</v>
      </c>
      <c r="X20" s="208">
        <f t="shared" si="26"/>
        <v>2907.6666666666665</v>
      </c>
      <c r="Y20" s="276">
        <f>'[1]Cost.4.23'!Z20</f>
        <v>2240.92</v>
      </c>
      <c r="Z20" s="29">
        <f>'[1]Reading.4.24'!G18*4.86</f>
        <v>3241.6200000000003</v>
      </c>
      <c r="AA20" s="100"/>
      <c r="AB20" s="145">
        <f>'[1]Reading.4.24'!O18</f>
        <v>539.37</v>
      </c>
      <c r="AC20" s="216">
        <f t="shared" si="4"/>
        <v>2011.8501000000001</v>
      </c>
      <c r="AD20" s="176">
        <f t="shared" si="5"/>
        <v>388.45</v>
      </c>
      <c r="AE20" s="216">
        <f t="shared" si="6"/>
        <v>1468.3</v>
      </c>
      <c r="AF20" s="216">
        <f>'[1]Cost.4.23'!AB20</f>
        <v>401.07000000000005</v>
      </c>
      <c r="AG20" s="216">
        <f>'[1]Cost.4.23'!AC20</f>
        <v>1495.9911000000002</v>
      </c>
      <c r="AH20" s="216">
        <f>'[1]Reading.4.24'!K18</f>
        <v>224.06400000000002</v>
      </c>
      <c r="AI20" s="216">
        <f t="shared" si="7"/>
        <v>835.75872000000004</v>
      </c>
      <c r="AJ20" s="176">
        <f t="shared" si="8"/>
        <v>129.48333333333332</v>
      </c>
      <c r="AK20" s="216">
        <f t="shared" si="9"/>
        <v>489.43333333333334</v>
      </c>
      <c r="AL20" s="216">
        <f>'[1]Cost.4.23'!AH20</f>
        <v>154.04400000000001</v>
      </c>
      <c r="AM20" s="216">
        <f>'[1]Cost.4.23'!AI20</f>
        <v>574.58411999999998</v>
      </c>
      <c r="AN20" s="176">
        <f t="shared" si="10"/>
        <v>763.43399999999997</v>
      </c>
      <c r="AO20" s="176">
        <f t="shared" si="11"/>
        <v>555.11400000000003</v>
      </c>
      <c r="AP20" s="176">
        <f t="shared" si="12"/>
        <v>517.93333333333328</v>
      </c>
      <c r="AQ20" s="182">
        <f t="shared" si="13"/>
        <v>1957.7333333333333</v>
      </c>
      <c r="AR20" s="278">
        <f>'[1]Cost.4.23'!AS20</f>
        <v>2070.5752200000002</v>
      </c>
      <c r="AS20" s="66">
        <f t="shared" si="14"/>
        <v>2847.6088200000004</v>
      </c>
      <c r="AT20" s="116"/>
      <c r="AU20" s="115"/>
      <c r="AV20" s="252">
        <f>'[1]Reading.4.24'!AE18/'[1]Cost.4.24'!F20</f>
        <v>82.100456620985966</v>
      </c>
      <c r="AW20" s="253">
        <f t="shared" si="15"/>
        <v>114.11963470317049</v>
      </c>
      <c r="AX20" s="254">
        <f t="shared" si="16"/>
        <v>1.5228310502283104</v>
      </c>
      <c r="AY20" s="255">
        <f t="shared" si="17"/>
        <v>7.40095890410959</v>
      </c>
      <c r="AZ20" s="256">
        <f t="shared" si="18"/>
        <v>1.7429999999999999</v>
      </c>
      <c r="BA20" s="257">
        <f t="shared" si="19"/>
        <v>6.5013900000000007</v>
      </c>
      <c r="BB20" s="114"/>
      <c r="BC20" s="146">
        <f>'[1]Cost.4.23'!BE20</f>
        <v>41491.495220007564</v>
      </c>
      <c r="BD20" s="146">
        <f t="shared" si="20"/>
        <v>48882.73333333333</v>
      </c>
      <c r="BE20" s="147">
        <f t="shared" si="21"/>
        <v>56073.628819988677</v>
      </c>
      <c r="BF20" s="99"/>
      <c r="BG20" s="148">
        <f>'[1]Cost.4.23'!BI20</f>
        <v>161.44550669263643</v>
      </c>
      <c r="BH20" s="148">
        <f t="shared" si="22"/>
        <v>145.7011425732737</v>
      </c>
      <c r="BI20" s="149">
        <f t="shared" si="23"/>
        <v>128.02198360728008</v>
      </c>
      <c r="BJ20" s="4"/>
    </row>
    <row r="21" spans="1:62" ht="13.8" thickBot="1" x14ac:dyDescent="0.3">
      <c r="A21" s="3"/>
      <c r="B21" s="101">
        <v>45396</v>
      </c>
      <c r="C21" s="20"/>
      <c r="D21" s="138">
        <f>'[1]Reading.4.24'!AI19</f>
        <v>0.74519999999999997</v>
      </c>
      <c r="E21" s="96"/>
      <c r="F21" s="139">
        <f>'[1]Reading.4.24'!AM19</f>
        <v>392</v>
      </c>
      <c r="G21" s="95"/>
      <c r="H21" s="139">
        <f>'[1]Reading.4.24'!AO19</f>
        <v>335.5</v>
      </c>
      <c r="I21" s="96"/>
      <c r="J21" s="140">
        <f>'[1]Reading.4.24'!X19</f>
        <v>35239.999999990687</v>
      </c>
      <c r="K21" s="206">
        <f t="shared" si="24"/>
        <v>43534</v>
      </c>
      <c r="L21" s="206">
        <f>'[1]Cost.4.23'!M21</f>
        <v>38116.00000000908</v>
      </c>
      <c r="M21" s="240">
        <f t="shared" si="0"/>
        <v>48983.599999987055</v>
      </c>
      <c r="N21" s="98"/>
      <c r="O21" s="141">
        <f>'[1]Reading.4.24'!T19</f>
        <v>0</v>
      </c>
      <c r="P21" s="264">
        <f t="shared" si="1"/>
        <v>73.900000000000006</v>
      </c>
      <c r="Q21" s="142">
        <f>'[1]Reading.4.24'!AB19</f>
        <v>0</v>
      </c>
      <c r="R21" s="207">
        <f t="shared" si="2"/>
        <v>483.33333333333331</v>
      </c>
      <c r="S21" s="274">
        <f>'[1]Cost.4.23'!T21</f>
        <v>0</v>
      </c>
      <c r="T21" s="143">
        <f t="shared" si="3"/>
        <v>0</v>
      </c>
      <c r="U21" s="99"/>
      <c r="V21" s="144">
        <f>'[1]Reading.4.24'!G19</f>
        <v>631</v>
      </c>
      <c r="W21" s="173">
        <f t="shared" si="25"/>
        <v>598.29999999999995</v>
      </c>
      <c r="X21" s="208">
        <f t="shared" si="26"/>
        <v>2907.6666666666665</v>
      </c>
      <c r="Y21" s="276">
        <f>'[1]Cost.4.23'!Z21</f>
        <v>2347.41</v>
      </c>
      <c r="Z21" s="29">
        <f>'[1]Reading.4.24'!G19*4.86</f>
        <v>3066.6600000000003</v>
      </c>
      <c r="AA21" s="100"/>
      <c r="AB21" s="145">
        <f>'[1]Reading.4.24'!O19</f>
        <v>553.20000000000005</v>
      </c>
      <c r="AC21" s="216">
        <f t="shared" si="4"/>
        <v>2063.4360000000001</v>
      </c>
      <c r="AD21" s="176">
        <f t="shared" si="5"/>
        <v>388.45</v>
      </c>
      <c r="AE21" s="216">
        <f t="shared" si="6"/>
        <v>1468.3</v>
      </c>
      <c r="AF21" s="216">
        <f>'[1]Cost.4.23'!AB21</f>
        <v>424.12</v>
      </c>
      <c r="AG21" s="216">
        <f>'[1]Cost.4.23'!AC21</f>
        <v>1581.9675999999999</v>
      </c>
      <c r="AH21" s="216">
        <f>'[1]Reading.4.24'!K19</f>
        <v>182.05199999999999</v>
      </c>
      <c r="AI21" s="216">
        <f t="shared" si="7"/>
        <v>679.05395999999996</v>
      </c>
      <c r="AJ21" s="176">
        <f t="shared" si="8"/>
        <v>129.48333333333332</v>
      </c>
      <c r="AK21" s="216">
        <f t="shared" si="9"/>
        <v>489.43333333333334</v>
      </c>
      <c r="AL21" s="216">
        <f>'[1]Cost.4.23'!AH21</f>
        <v>163.38</v>
      </c>
      <c r="AM21" s="216">
        <f>'[1]Cost.4.23'!AI21</f>
        <v>609.40739999999994</v>
      </c>
      <c r="AN21" s="176">
        <f t="shared" si="10"/>
        <v>735.25200000000007</v>
      </c>
      <c r="AO21" s="176">
        <f t="shared" si="11"/>
        <v>587.5</v>
      </c>
      <c r="AP21" s="176">
        <f t="shared" si="12"/>
        <v>517.93333333333328</v>
      </c>
      <c r="AQ21" s="182">
        <f t="shared" si="13"/>
        <v>1957.7333333333333</v>
      </c>
      <c r="AR21" s="278">
        <f>'[1]Cost.4.23'!AS21</f>
        <v>2191.375</v>
      </c>
      <c r="AS21" s="66">
        <f t="shared" si="14"/>
        <v>2742.4899599999999</v>
      </c>
      <c r="AT21" s="116"/>
      <c r="AU21" s="115"/>
      <c r="AV21" s="252">
        <f>'[1]Reading.4.24'!AE19/'[1]Cost.4.24'!F21</f>
        <v>89.897959183649718</v>
      </c>
      <c r="AW21" s="253">
        <f t="shared" si="15"/>
        <v>124.9581632652731</v>
      </c>
      <c r="AX21" s="254">
        <f t="shared" si="16"/>
        <v>1.6096938775510203</v>
      </c>
      <c r="AY21" s="255">
        <f t="shared" si="17"/>
        <v>7.8231122448979598</v>
      </c>
      <c r="AZ21" s="256">
        <f t="shared" si="18"/>
        <v>1.8756428571428574</v>
      </c>
      <c r="BA21" s="257">
        <f t="shared" si="19"/>
        <v>6.9961478571428568</v>
      </c>
      <c r="BB21" s="114"/>
      <c r="BC21" s="146">
        <f>'[1]Cost.4.23'!BE21</f>
        <v>42654.785000009084</v>
      </c>
      <c r="BD21" s="146">
        <f t="shared" si="20"/>
        <v>48882.73333333333</v>
      </c>
      <c r="BE21" s="147">
        <f t="shared" si="21"/>
        <v>54792.749959987057</v>
      </c>
      <c r="BF21" s="99"/>
      <c r="BG21" s="148">
        <f>'[1]Cost.4.23'!BI21</f>
        <v>176.25944214879786</v>
      </c>
      <c r="BH21" s="148">
        <f t="shared" si="22"/>
        <v>145.7011425732737</v>
      </c>
      <c r="BI21" s="149">
        <f t="shared" si="23"/>
        <v>139.77742336731393</v>
      </c>
      <c r="BJ21" s="4"/>
    </row>
    <row r="22" spans="1:62" ht="13.8" thickBot="1" x14ac:dyDescent="0.3">
      <c r="A22" s="3"/>
      <c r="B22" s="101">
        <v>45397</v>
      </c>
      <c r="C22" s="20"/>
      <c r="D22" s="138">
        <f>'[1]Reading.4.24'!AI20</f>
        <v>0.68059999999999998</v>
      </c>
      <c r="E22" s="96"/>
      <c r="F22" s="139">
        <f>'[1]Reading.4.24'!AM20</f>
        <v>358</v>
      </c>
      <c r="G22" s="95"/>
      <c r="H22" s="139">
        <f>'[1]Reading.4.24'!AO20</f>
        <v>335.5</v>
      </c>
      <c r="I22" s="96"/>
      <c r="J22" s="140">
        <f>'[1]Reading.4.24'!X20</f>
        <v>34240.000000019791</v>
      </c>
      <c r="K22" s="206">
        <f t="shared" si="24"/>
        <v>43534</v>
      </c>
      <c r="L22" s="206">
        <f>'[1]Cost.4.23'!M22</f>
        <v>42275.999999986379</v>
      </c>
      <c r="M22" s="240">
        <f t="shared" si="0"/>
        <v>47593.600000027509</v>
      </c>
      <c r="N22" s="98"/>
      <c r="O22" s="141">
        <f>'[1]Reading.4.24'!T20</f>
        <v>0</v>
      </c>
      <c r="P22" s="264">
        <f t="shared" si="1"/>
        <v>73.900000000000006</v>
      </c>
      <c r="Q22" s="142">
        <f>'[1]Reading.4.24'!AB20</f>
        <v>0</v>
      </c>
      <c r="R22" s="207">
        <f t="shared" si="2"/>
        <v>483.33333333333331</v>
      </c>
      <c r="S22" s="274">
        <f>'[1]Cost.4.23'!T22</f>
        <v>0</v>
      </c>
      <c r="T22" s="143">
        <f t="shared" si="3"/>
        <v>0</v>
      </c>
      <c r="U22" s="99"/>
      <c r="V22" s="144">
        <f>'[1]Reading.4.24'!G20</f>
        <v>626</v>
      </c>
      <c r="W22" s="173">
        <f t="shared" si="25"/>
        <v>598.29999999999995</v>
      </c>
      <c r="X22" s="208">
        <f t="shared" si="26"/>
        <v>2907.6666666666665</v>
      </c>
      <c r="Y22" s="276">
        <f>'[1]Cost.4.23'!Z22</f>
        <v>2657.62</v>
      </c>
      <c r="Z22" s="29">
        <f>'[1]Reading.4.24'!G20*4.86</f>
        <v>3042.36</v>
      </c>
      <c r="AA22" s="100"/>
      <c r="AB22" s="145">
        <f>'[1]Reading.4.24'!O20</f>
        <v>543.98</v>
      </c>
      <c r="AC22" s="216">
        <f t="shared" si="4"/>
        <v>2029.0454</v>
      </c>
      <c r="AD22" s="176">
        <f t="shared" si="5"/>
        <v>388.45</v>
      </c>
      <c r="AE22" s="216">
        <f t="shared" si="6"/>
        <v>1468.3</v>
      </c>
      <c r="AF22" s="216">
        <f>'[1]Cost.4.23'!AB22</f>
        <v>428.73</v>
      </c>
      <c r="AG22" s="216">
        <f>'[1]Cost.4.23'!AC22</f>
        <v>1599.1629</v>
      </c>
      <c r="AH22" s="216">
        <f>'[1]Reading.4.24'!K20</f>
        <v>158.71200000000002</v>
      </c>
      <c r="AI22" s="216">
        <f t="shared" si="7"/>
        <v>591.99576000000002</v>
      </c>
      <c r="AJ22" s="176">
        <f t="shared" si="8"/>
        <v>129.48333333333332</v>
      </c>
      <c r="AK22" s="216">
        <f t="shared" si="9"/>
        <v>489.43333333333334</v>
      </c>
      <c r="AL22" s="216">
        <f>'[1]Cost.4.23'!AH22</f>
        <v>158.71200000000002</v>
      </c>
      <c r="AM22" s="216">
        <f>'[1]Cost.4.23'!AI22</f>
        <v>591.99576000000002</v>
      </c>
      <c r="AN22" s="176">
        <f t="shared" si="10"/>
        <v>702.69200000000001</v>
      </c>
      <c r="AO22" s="176">
        <f t="shared" si="11"/>
        <v>587.44200000000001</v>
      </c>
      <c r="AP22" s="176">
        <f t="shared" si="12"/>
        <v>517.93333333333328</v>
      </c>
      <c r="AQ22" s="182">
        <f t="shared" si="13"/>
        <v>1957.7333333333333</v>
      </c>
      <c r="AR22" s="278">
        <f>'[1]Cost.4.23'!AS22</f>
        <v>2191.1586600000001</v>
      </c>
      <c r="AS22" s="66">
        <f t="shared" si="14"/>
        <v>2621.0411599999998</v>
      </c>
      <c r="AT22" s="116"/>
      <c r="AU22" s="115"/>
      <c r="AV22" s="252">
        <f>'[1]Reading.4.24'!AE20/'[1]Cost.4.24'!F22</f>
        <v>95.642458100613936</v>
      </c>
      <c r="AW22" s="253">
        <f t="shared" si="15"/>
        <v>132.94301675985338</v>
      </c>
      <c r="AX22" s="254">
        <f t="shared" si="16"/>
        <v>1.7486033519553073</v>
      </c>
      <c r="AY22" s="255">
        <f t="shared" si="17"/>
        <v>8.4982122905027939</v>
      </c>
      <c r="AZ22" s="256">
        <f t="shared" si="18"/>
        <v>1.9628268156424582</v>
      </c>
      <c r="BA22" s="257">
        <f t="shared" si="19"/>
        <v>7.3213440223463682</v>
      </c>
      <c r="BB22" s="114"/>
      <c r="BC22" s="146">
        <f>'[1]Cost.4.23'!BE22</f>
        <v>47124.778659986383</v>
      </c>
      <c r="BD22" s="146">
        <f t="shared" si="20"/>
        <v>48882.73333333333</v>
      </c>
      <c r="BE22" s="147">
        <f t="shared" si="21"/>
        <v>53257.00116002751</v>
      </c>
      <c r="BF22" s="99"/>
      <c r="BG22" s="148">
        <f>'[1]Cost.4.23'!BI22</f>
        <v>176.49729835200893</v>
      </c>
      <c r="BH22" s="148">
        <f t="shared" si="22"/>
        <v>145.7011425732737</v>
      </c>
      <c r="BI22" s="149">
        <f t="shared" si="23"/>
        <v>148.76257307270254</v>
      </c>
      <c r="BJ22" s="4"/>
    </row>
    <row r="23" spans="1:62" ht="13.8" thickBot="1" x14ac:dyDescent="0.3">
      <c r="A23" s="3"/>
      <c r="B23" s="101">
        <v>45398</v>
      </c>
      <c r="C23" s="20"/>
      <c r="D23" s="138">
        <f>'[1]Reading.4.24'!AI21</f>
        <v>0.64639999999999997</v>
      </c>
      <c r="E23" s="96"/>
      <c r="F23" s="139">
        <f>'[1]Reading.4.24'!AM21</f>
        <v>340</v>
      </c>
      <c r="G23" s="95"/>
      <c r="H23" s="139">
        <f>'[1]Reading.4.24'!AO21</f>
        <v>335.5</v>
      </c>
      <c r="I23" s="96"/>
      <c r="J23" s="140">
        <f>'[1]Reading.4.24'!X21</f>
        <v>32839.999999996508</v>
      </c>
      <c r="K23" s="206">
        <f t="shared" si="24"/>
        <v>43534</v>
      </c>
      <c r="L23" s="206">
        <f>'[1]Cost.4.23'!M23</f>
        <v>34736.000000001513</v>
      </c>
      <c r="M23" s="240">
        <f t="shared" si="0"/>
        <v>45647.599999995145</v>
      </c>
      <c r="N23" s="98"/>
      <c r="O23" s="141">
        <f>'[1]Reading.4.24'!T21</f>
        <v>0</v>
      </c>
      <c r="P23" s="264">
        <f t="shared" si="1"/>
        <v>73.900000000000006</v>
      </c>
      <c r="Q23" s="142">
        <f>'[1]Reading.4.24'!AB21</f>
        <v>0</v>
      </c>
      <c r="R23" s="207">
        <f t="shared" si="2"/>
        <v>483.33333333333331</v>
      </c>
      <c r="S23" s="274">
        <f>'[1]Cost.4.23'!T23</f>
        <v>0</v>
      </c>
      <c r="T23" s="143">
        <f t="shared" si="3"/>
        <v>0</v>
      </c>
      <c r="U23" s="99"/>
      <c r="V23" s="144">
        <f>'[1]Reading.4.24'!G21</f>
        <v>554</v>
      </c>
      <c r="W23" s="173">
        <f t="shared" si="25"/>
        <v>598.29999999999995</v>
      </c>
      <c r="X23" s="208">
        <f t="shared" si="26"/>
        <v>2907.6666666666665</v>
      </c>
      <c r="Y23" s="276">
        <f>'[1]Cost.4.23'!Z23</f>
        <v>2194.62</v>
      </c>
      <c r="Z23" s="29">
        <f>'[1]Reading.4.24'!G21*4.86</f>
        <v>2692.44</v>
      </c>
      <c r="AA23" s="100"/>
      <c r="AB23" s="145">
        <f>'[1]Reading.4.24'!O21</f>
        <v>507.1</v>
      </c>
      <c r="AC23" s="216">
        <f t="shared" si="4"/>
        <v>1891.4830000000002</v>
      </c>
      <c r="AD23" s="176">
        <f t="shared" si="5"/>
        <v>388.45</v>
      </c>
      <c r="AE23" s="216">
        <f t="shared" si="6"/>
        <v>1468.3</v>
      </c>
      <c r="AF23" s="216">
        <f>'[1]Cost.4.23'!AB23</f>
        <v>419.51000000000005</v>
      </c>
      <c r="AG23" s="216">
        <f>'[1]Cost.4.23'!AC23</f>
        <v>1564.7723000000001</v>
      </c>
      <c r="AH23" s="216">
        <f>'[1]Reading.4.24'!K21</f>
        <v>177.38400000000001</v>
      </c>
      <c r="AI23" s="216">
        <f t="shared" si="7"/>
        <v>661.64232000000004</v>
      </c>
      <c r="AJ23" s="176">
        <f t="shared" si="8"/>
        <v>129.48333333333332</v>
      </c>
      <c r="AK23" s="216">
        <f t="shared" si="9"/>
        <v>489.43333333333334</v>
      </c>
      <c r="AL23" s="216">
        <f>'[1]Cost.4.23'!AH23</f>
        <v>168.048</v>
      </c>
      <c r="AM23" s="216">
        <f>'[1]Cost.4.23'!AI23</f>
        <v>626.81903999999997</v>
      </c>
      <c r="AN23" s="176">
        <f t="shared" si="10"/>
        <v>684.48400000000004</v>
      </c>
      <c r="AO23" s="176">
        <f t="shared" si="11"/>
        <v>587.55799999999999</v>
      </c>
      <c r="AP23" s="176">
        <f t="shared" si="12"/>
        <v>517.93333333333328</v>
      </c>
      <c r="AQ23" s="182">
        <f t="shared" si="13"/>
        <v>1957.7333333333333</v>
      </c>
      <c r="AR23" s="278">
        <f>'[1]Cost.4.23'!AS23</f>
        <v>2191.5913399999999</v>
      </c>
      <c r="AS23" s="66">
        <f t="shared" si="14"/>
        <v>2553.1253200000001</v>
      </c>
      <c r="AT23" s="116"/>
      <c r="AU23" s="115"/>
      <c r="AV23" s="252">
        <f>'[1]Reading.4.24'!AE21/'[1]Cost.4.24'!F23</f>
        <v>96.588235294107378</v>
      </c>
      <c r="AW23" s="253">
        <f t="shared" si="15"/>
        <v>134.25764705880925</v>
      </c>
      <c r="AX23" s="254">
        <f t="shared" si="16"/>
        <v>1.6294117647058823</v>
      </c>
      <c r="AY23" s="255">
        <f t="shared" si="17"/>
        <v>7.9189411764705886</v>
      </c>
      <c r="AZ23" s="256">
        <f t="shared" si="18"/>
        <v>2.0131882352941179</v>
      </c>
      <c r="BA23" s="257">
        <f t="shared" si="19"/>
        <v>7.5091921176470589</v>
      </c>
      <c r="BB23" s="114"/>
      <c r="BC23" s="146">
        <f>'[1]Cost.4.23'!BE23</f>
        <v>39122.211340001515</v>
      </c>
      <c r="BD23" s="146">
        <f t="shared" si="20"/>
        <v>48882.73333333333</v>
      </c>
      <c r="BE23" s="147">
        <f t="shared" si="21"/>
        <v>50893.165319995147</v>
      </c>
      <c r="BF23" s="99"/>
      <c r="BG23" s="148">
        <f>'[1]Cost.4.23'!BI23</f>
        <v>147.07598248120871</v>
      </c>
      <c r="BH23" s="148">
        <f t="shared" si="22"/>
        <v>145.7011425732737</v>
      </c>
      <c r="BI23" s="149">
        <f t="shared" si="23"/>
        <v>149.68578035292691</v>
      </c>
      <c r="BJ23" s="4"/>
    </row>
    <row r="24" spans="1:62" ht="13.8" thickBot="1" x14ac:dyDescent="0.3">
      <c r="A24" s="3"/>
      <c r="B24" s="101">
        <v>45399</v>
      </c>
      <c r="C24" s="20"/>
      <c r="D24" s="138">
        <f>'[1]Reading.4.24'!AI22</f>
        <v>0.64259999999999995</v>
      </c>
      <c r="E24" s="96"/>
      <c r="F24" s="139">
        <f>'[1]Reading.4.24'!AM22</f>
        <v>338</v>
      </c>
      <c r="G24" s="95"/>
      <c r="H24" s="139">
        <f>'[1]Reading.4.24'!AO22</f>
        <v>335.5</v>
      </c>
      <c r="I24" s="96"/>
      <c r="J24" s="140">
        <f>'[1]Reading.4.24'!X22</f>
        <v>34079.999999987194</v>
      </c>
      <c r="K24" s="206">
        <f t="shared" si="24"/>
        <v>43534</v>
      </c>
      <c r="L24" s="206">
        <f>'[1]Cost.4.23'!M24</f>
        <v>42796.000000016647</v>
      </c>
      <c r="M24" s="240">
        <f t="shared" si="0"/>
        <v>47371.1999999822</v>
      </c>
      <c r="N24" s="98"/>
      <c r="O24" s="141">
        <f>'[1]Reading.4.24'!T22</f>
        <v>0</v>
      </c>
      <c r="P24" s="264">
        <f t="shared" si="1"/>
        <v>73.900000000000006</v>
      </c>
      <c r="Q24" s="142">
        <f>'[1]Reading.4.24'!AB22</f>
        <v>0</v>
      </c>
      <c r="R24" s="207">
        <f t="shared" si="2"/>
        <v>483.33333333333331</v>
      </c>
      <c r="S24" s="274">
        <f>'[1]Cost.4.23'!T24</f>
        <v>0</v>
      </c>
      <c r="T24" s="143">
        <f t="shared" si="3"/>
        <v>0</v>
      </c>
      <c r="U24" s="99"/>
      <c r="V24" s="144">
        <f>'[1]Reading.4.24'!G22</f>
        <v>565</v>
      </c>
      <c r="W24" s="173">
        <f t="shared" si="25"/>
        <v>598.29999999999995</v>
      </c>
      <c r="X24" s="208">
        <f t="shared" si="26"/>
        <v>2907.6666666666665</v>
      </c>
      <c r="Y24" s="276">
        <f>'[1]Cost.4.23'!Z24</f>
        <v>2421.4899999999998</v>
      </c>
      <c r="Z24" s="29">
        <f>'[1]Reading.4.24'!G22*4.86</f>
        <v>2745.9</v>
      </c>
      <c r="AA24" s="100"/>
      <c r="AB24" s="145">
        <f>'[1]Reading.4.24'!O22</f>
        <v>507.1</v>
      </c>
      <c r="AC24" s="216">
        <f t="shared" si="4"/>
        <v>1891.4830000000002</v>
      </c>
      <c r="AD24" s="176">
        <f t="shared" si="5"/>
        <v>388.45</v>
      </c>
      <c r="AE24" s="216">
        <f t="shared" si="6"/>
        <v>1468.3</v>
      </c>
      <c r="AF24" s="216">
        <f>'[1]Cost.4.23'!AB24</f>
        <v>456.39000000000004</v>
      </c>
      <c r="AG24" s="216">
        <f>'[1]Cost.4.23'!AC24</f>
        <v>1702.3347000000001</v>
      </c>
      <c r="AH24" s="216">
        <f>'[1]Reading.4.24'!K22</f>
        <v>196.05600000000001</v>
      </c>
      <c r="AI24" s="216">
        <f t="shared" si="7"/>
        <v>731.28888000000006</v>
      </c>
      <c r="AJ24" s="176">
        <f t="shared" si="8"/>
        <v>129.48333333333332</v>
      </c>
      <c r="AK24" s="216">
        <f t="shared" si="9"/>
        <v>489.43333333333334</v>
      </c>
      <c r="AL24" s="216">
        <f>'[1]Cost.4.23'!AH24</f>
        <v>182.05199999999999</v>
      </c>
      <c r="AM24" s="216">
        <f>'[1]Cost.4.23'!AI24</f>
        <v>679.05395999999996</v>
      </c>
      <c r="AN24" s="176">
        <f t="shared" si="10"/>
        <v>703.15600000000006</v>
      </c>
      <c r="AO24" s="176">
        <f t="shared" si="11"/>
        <v>638.44200000000001</v>
      </c>
      <c r="AP24" s="176">
        <f t="shared" si="12"/>
        <v>517.93333333333328</v>
      </c>
      <c r="AQ24" s="182">
        <f t="shared" si="13"/>
        <v>1957.7333333333333</v>
      </c>
      <c r="AR24" s="278">
        <f>'[1]Cost.4.23'!AS24</f>
        <v>2381.3886600000001</v>
      </c>
      <c r="AS24" s="66">
        <f t="shared" si="14"/>
        <v>2622.7718800000002</v>
      </c>
      <c r="AT24" s="116"/>
      <c r="AU24" s="115"/>
      <c r="AV24" s="252">
        <f>'[1]Reading.4.24'!AE22/'[1]Cost.4.24'!F24</f>
        <v>100.82840236682601</v>
      </c>
      <c r="AW24" s="253">
        <f t="shared" si="15"/>
        <v>140.15147928988816</v>
      </c>
      <c r="AX24" s="254">
        <f t="shared" si="16"/>
        <v>1.6715976331360947</v>
      </c>
      <c r="AY24" s="255">
        <f t="shared" si="17"/>
        <v>8.1239644970414204</v>
      </c>
      <c r="AZ24" s="256">
        <f t="shared" si="18"/>
        <v>2.0803431952662725</v>
      </c>
      <c r="BA24" s="257">
        <f t="shared" si="19"/>
        <v>7.759680118343196</v>
      </c>
      <c r="BB24" s="114"/>
      <c r="BC24" s="146">
        <f>'[1]Cost.4.23'!BE24</f>
        <v>47598.878660016642</v>
      </c>
      <c r="BD24" s="146">
        <f t="shared" si="20"/>
        <v>48882.73333333333</v>
      </c>
      <c r="BE24" s="147">
        <f t="shared" si="21"/>
        <v>52739.871879982202</v>
      </c>
      <c r="BF24" s="99"/>
      <c r="BG24" s="148">
        <f>'[1]Cost.4.23'!BI24</f>
        <v>178.94315285720543</v>
      </c>
      <c r="BH24" s="148">
        <f t="shared" si="22"/>
        <v>145.7011425732737</v>
      </c>
      <c r="BI24" s="149">
        <f t="shared" si="23"/>
        <v>156.0351239052728</v>
      </c>
      <c r="BJ24" s="4"/>
    </row>
    <row r="25" spans="1:62" ht="13.8" thickBot="1" x14ac:dyDescent="0.3">
      <c r="A25" s="3"/>
      <c r="B25" s="101">
        <v>45400</v>
      </c>
      <c r="C25" s="20"/>
      <c r="D25" s="138">
        <f>'[1]Reading.4.24'!AI23</f>
        <v>0.64259999999999995</v>
      </c>
      <c r="E25" s="96"/>
      <c r="F25" s="139">
        <f>'[1]Reading.4.24'!AM23</f>
        <v>338</v>
      </c>
      <c r="G25" s="95"/>
      <c r="H25" s="139">
        <f>'[1]Reading.4.24'!AO23</f>
        <v>335.5</v>
      </c>
      <c r="I25" s="96"/>
      <c r="J25" s="140">
        <f>'[1]Reading.4.24'!X23</f>
        <v>33959.999999991851</v>
      </c>
      <c r="K25" s="206">
        <f t="shared" si="24"/>
        <v>43534</v>
      </c>
      <c r="L25" s="206">
        <f>'[1]Cost.4.23'!M25</f>
        <v>42743.999999968219</v>
      </c>
      <c r="M25" s="240">
        <f t="shared" si="0"/>
        <v>47204.399999988673</v>
      </c>
      <c r="N25" s="98"/>
      <c r="O25" s="141">
        <f>'[1]Reading.4.24'!T23</f>
        <v>0</v>
      </c>
      <c r="P25" s="264">
        <f t="shared" si="1"/>
        <v>73.900000000000006</v>
      </c>
      <c r="Q25" s="142">
        <f>'[1]Reading.4.24'!AB23</f>
        <v>0</v>
      </c>
      <c r="R25" s="207">
        <f t="shared" si="2"/>
        <v>483.33333333333331</v>
      </c>
      <c r="S25" s="274">
        <f>'[1]Cost.4.23'!T25</f>
        <v>0</v>
      </c>
      <c r="T25" s="143">
        <f t="shared" si="3"/>
        <v>0</v>
      </c>
      <c r="U25" s="99"/>
      <c r="V25" s="144">
        <f>'[1]Reading.4.24'!G23</f>
        <v>596</v>
      </c>
      <c r="W25" s="173">
        <f t="shared" si="25"/>
        <v>598.29999999999995</v>
      </c>
      <c r="X25" s="208">
        <f t="shared" si="26"/>
        <v>2907.6666666666665</v>
      </c>
      <c r="Y25" s="276">
        <f>'[1]Cost.4.23'!Z25</f>
        <v>2412.23</v>
      </c>
      <c r="Z25" s="29">
        <f>'[1]Reading.4.24'!G23*4.86</f>
        <v>2896.5600000000004</v>
      </c>
      <c r="AA25" s="100"/>
      <c r="AB25" s="145">
        <f>'[1]Reading.4.24'!O23</f>
        <v>470.22</v>
      </c>
      <c r="AC25" s="216">
        <f t="shared" si="4"/>
        <v>1753.9206000000001</v>
      </c>
      <c r="AD25" s="176">
        <f t="shared" si="5"/>
        <v>388.45</v>
      </c>
      <c r="AE25" s="216">
        <f t="shared" si="6"/>
        <v>1468.3</v>
      </c>
      <c r="AF25" s="216">
        <f>'[1]Cost.4.23'!AB25</f>
        <v>433.34000000000003</v>
      </c>
      <c r="AG25" s="216">
        <f>'[1]Cost.4.23'!AC25</f>
        <v>1616.3582000000001</v>
      </c>
      <c r="AH25" s="216">
        <f>'[1]Reading.4.24'!K23</f>
        <v>172.71600000000001</v>
      </c>
      <c r="AI25" s="216">
        <f t="shared" si="7"/>
        <v>644.23068000000001</v>
      </c>
      <c r="AJ25" s="176">
        <f t="shared" si="8"/>
        <v>129.48333333333332</v>
      </c>
      <c r="AK25" s="216">
        <f t="shared" si="9"/>
        <v>489.43333333333334</v>
      </c>
      <c r="AL25" s="216">
        <f>'[1]Cost.4.23'!AH25</f>
        <v>186.72</v>
      </c>
      <c r="AM25" s="216">
        <f>'[1]Cost.4.23'!AI25</f>
        <v>696.46559999999999</v>
      </c>
      <c r="AN25" s="176">
        <f t="shared" si="10"/>
        <v>642.93600000000004</v>
      </c>
      <c r="AO25" s="176">
        <f t="shared" si="11"/>
        <v>620.06000000000006</v>
      </c>
      <c r="AP25" s="176">
        <f t="shared" si="12"/>
        <v>517.93333333333328</v>
      </c>
      <c r="AQ25" s="182">
        <f t="shared" si="13"/>
        <v>1957.7333333333333</v>
      </c>
      <c r="AR25" s="278">
        <f>'[1]Cost.4.23'!AS25</f>
        <v>2312.8238000000001</v>
      </c>
      <c r="AS25" s="66">
        <f t="shared" si="14"/>
        <v>2398.15128</v>
      </c>
      <c r="AT25" s="116"/>
      <c r="AU25" s="115"/>
      <c r="AV25" s="252">
        <f>'[1]Reading.4.24'!AE23/'[1]Cost.4.24'!F25</f>
        <v>100.47337278104098</v>
      </c>
      <c r="AW25" s="253">
        <f t="shared" si="15"/>
        <v>139.65798816564697</v>
      </c>
      <c r="AX25" s="254">
        <f t="shared" si="16"/>
        <v>1.7633136094674555</v>
      </c>
      <c r="AY25" s="255">
        <f t="shared" si="17"/>
        <v>8.5697041420118349</v>
      </c>
      <c r="AZ25" s="256">
        <f t="shared" si="18"/>
        <v>1.9021775147928994</v>
      </c>
      <c r="BA25" s="257">
        <f t="shared" si="19"/>
        <v>7.0951221301775149</v>
      </c>
      <c r="BB25" s="114"/>
      <c r="BC25" s="146">
        <f>'[1]Cost.4.23'!BE25</f>
        <v>47469.05379996822</v>
      </c>
      <c r="BD25" s="146">
        <f t="shared" si="20"/>
        <v>48882.73333333333</v>
      </c>
      <c r="BE25" s="147">
        <f t="shared" si="21"/>
        <v>52499.111279988669</v>
      </c>
      <c r="BF25" s="99"/>
      <c r="BG25" s="148">
        <f>'[1]Cost.4.23'!BI25</f>
        <v>170.13997777766386</v>
      </c>
      <c r="BH25" s="148">
        <f t="shared" si="22"/>
        <v>145.7011425732737</v>
      </c>
      <c r="BI25" s="149">
        <f t="shared" si="23"/>
        <v>155.32281443783629</v>
      </c>
      <c r="BJ25" s="4"/>
    </row>
    <row r="26" spans="1:62" ht="12.75" customHeight="1" thickBot="1" x14ac:dyDescent="0.3">
      <c r="A26" s="3"/>
      <c r="B26" s="101">
        <v>45401</v>
      </c>
      <c r="C26" s="20"/>
      <c r="D26" s="138">
        <f>'[1]Reading.4.24'!AI24</f>
        <v>0.63880000000000003</v>
      </c>
      <c r="E26" s="96"/>
      <c r="F26" s="139">
        <f>'[1]Reading.4.24'!AM24</f>
        <v>336</v>
      </c>
      <c r="G26" s="95"/>
      <c r="H26" s="139">
        <f>'[1]Reading.4.24'!AO24</f>
        <v>335.5</v>
      </c>
      <c r="I26" s="96"/>
      <c r="J26" s="140">
        <f>'[1]Reading.4.24'!X24</f>
        <v>35640.00000001397</v>
      </c>
      <c r="K26" s="206">
        <f t="shared" si="24"/>
        <v>43534</v>
      </c>
      <c r="L26" s="206">
        <f>'[1]Cost.4.23'!M26</f>
        <v>44720.000000030268</v>
      </c>
      <c r="M26" s="240">
        <f t="shared" si="0"/>
        <v>49539.600000019418</v>
      </c>
      <c r="N26" s="98"/>
      <c r="O26" s="141">
        <f>'[1]Reading.4.24'!T24</f>
        <v>0</v>
      </c>
      <c r="P26" s="264">
        <f t="shared" si="1"/>
        <v>73.900000000000006</v>
      </c>
      <c r="Q26" s="142">
        <f>'[1]Reading.4.24'!AB24</f>
        <v>0</v>
      </c>
      <c r="R26" s="207">
        <f t="shared" si="2"/>
        <v>483.33333333333331</v>
      </c>
      <c r="S26" s="274">
        <f>'[1]Cost.4.23'!T26</f>
        <v>0</v>
      </c>
      <c r="T26" s="143">
        <f t="shared" si="3"/>
        <v>0</v>
      </c>
      <c r="U26" s="99"/>
      <c r="V26" s="144">
        <f>'[1]Reading.4.24'!G24</f>
        <v>661</v>
      </c>
      <c r="W26" s="173">
        <f t="shared" si="25"/>
        <v>598.29999999999995</v>
      </c>
      <c r="X26" s="208">
        <f t="shared" si="26"/>
        <v>2907.6666666666665</v>
      </c>
      <c r="Y26" s="276">
        <f>'[1]Cost.4.23'!Z26</f>
        <v>2282.59</v>
      </c>
      <c r="Z26" s="29">
        <f>'[1]Reading.4.24'!G24*4.86</f>
        <v>3212.46</v>
      </c>
      <c r="AA26" s="100"/>
      <c r="AB26" s="145">
        <f>'[1]Reading.4.24'!O24</f>
        <v>497.88000000000005</v>
      </c>
      <c r="AC26" s="216">
        <f t="shared" si="4"/>
        <v>1857.0924000000002</v>
      </c>
      <c r="AD26" s="176">
        <f t="shared" si="5"/>
        <v>388.45</v>
      </c>
      <c r="AE26" s="216">
        <f t="shared" si="6"/>
        <v>1468.3</v>
      </c>
      <c r="AF26" s="216">
        <f>'[1]Cost.4.23'!AB26</f>
        <v>396.46000000000004</v>
      </c>
      <c r="AG26" s="216">
        <f>'[1]Cost.4.23'!AC26</f>
        <v>1478.7958000000001</v>
      </c>
      <c r="AH26" s="216">
        <f>'[1]Reading.4.24'!K24</f>
        <v>168.048</v>
      </c>
      <c r="AI26" s="216">
        <f t="shared" si="7"/>
        <v>626.81903999999997</v>
      </c>
      <c r="AJ26" s="176">
        <f t="shared" si="8"/>
        <v>129.48333333333332</v>
      </c>
      <c r="AK26" s="216">
        <f t="shared" si="9"/>
        <v>489.43333333333334</v>
      </c>
      <c r="AL26" s="216">
        <f>'[1]Cost.4.23'!AH26</f>
        <v>210.06</v>
      </c>
      <c r="AM26" s="216">
        <f>'[1]Cost.4.23'!AI26</f>
        <v>783.52380000000005</v>
      </c>
      <c r="AN26" s="176">
        <f t="shared" si="10"/>
        <v>665.92800000000011</v>
      </c>
      <c r="AO26" s="176">
        <f t="shared" si="11"/>
        <v>606.52</v>
      </c>
      <c r="AP26" s="176">
        <f t="shared" si="12"/>
        <v>517.93333333333328</v>
      </c>
      <c r="AQ26" s="182">
        <f t="shared" si="13"/>
        <v>1957.7333333333333</v>
      </c>
      <c r="AR26" s="278">
        <f>'[1]Cost.4.23'!AS26</f>
        <v>2262.3196000000003</v>
      </c>
      <c r="AS26" s="66">
        <f t="shared" si="14"/>
        <v>2483.9114400000003</v>
      </c>
      <c r="AT26" s="116"/>
      <c r="AU26" s="115"/>
      <c r="AV26" s="252">
        <f>'[1]Reading.4.24'!AE24/'[1]Cost.4.24'!F26</f>
        <v>106.07142857147015</v>
      </c>
      <c r="AW26" s="253">
        <f t="shared" si="15"/>
        <v>147.4392857143435</v>
      </c>
      <c r="AX26" s="254">
        <f t="shared" si="16"/>
        <v>1.9672619047619047</v>
      </c>
      <c r="AY26" s="255">
        <f t="shared" si="17"/>
        <v>9.5608928571428571</v>
      </c>
      <c r="AZ26" s="256">
        <f t="shared" si="18"/>
        <v>1.9819285714285717</v>
      </c>
      <c r="BA26" s="257">
        <f t="shared" si="19"/>
        <v>7.3925935714285727</v>
      </c>
      <c r="BB26" s="114"/>
      <c r="BC26" s="146">
        <f>'[1]Cost.4.23'!BE26</f>
        <v>49264.909600030267</v>
      </c>
      <c r="BD26" s="146">
        <f t="shared" si="20"/>
        <v>48882.73333333333</v>
      </c>
      <c r="BE26" s="147">
        <f t="shared" si="21"/>
        <v>55235.971440019421</v>
      </c>
      <c r="BF26" s="99"/>
      <c r="BG26" s="148">
        <f>'[1]Cost.4.23'!BI26</f>
        <v>166.99969355942463</v>
      </c>
      <c r="BH26" s="148">
        <f t="shared" si="22"/>
        <v>145.7011425732737</v>
      </c>
      <c r="BI26" s="149">
        <f t="shared" si="23"/>
        <v>164.39277214291494</v>
      </c>
      <c r="BJ26" s="4"/>
    </row>
    <row r="27" spans="1:62" ht="13.8" thickBot="1" x14ac:dyDescent="0.3">
      <c r="A27" s="3"/>
      <c r="B27" s="101">
        <v>45402</v>
      </c>
      <c r="C27" s="20"/>
      <c r="D27" s="138">
        <f>'[1]Reading.4.24'!AI25</f>
        <v>0.66349999999999998</v>
      </c>
      <c r="E27" s="96"/>
      <c r="F27" s="139">
        <f>'[1]Reading.4.24'!AM25</f>
        <v>349</v>
      </c>
      <c r="G27" s="95"/>
      <c r="H27" s="139">
        <f>'[1]Reading.4.24'!AO25</f>
        <v>335.5</v>
      </c>
      <c r="I27" s="96"/>
      <c r="J27" s="140">
        <f>'[1]Reading.4.24'!X25</f>
        <v>34639.999999984866</v>
      </c>
      <c r="K27" s="206">
        <f t="shared" si="24"/>
        <v>43534</v>
      </c>
      <c r="L27" s="206">
        <f>'[1]Cost.4.23'!M27</f>
        <v>47683.99999999092</v>
      </c>
      <c r="M27" s="240">
        <f t="shared" si="0"/>
        <v>48149.599999978964</v>
      </c>
      <c r="N27" s="98"/>
      <c r="O27" s="141">
        <f>'[1]Reading.4.24'!T25</f>
        <v>0</v>
      </c>
      <c r="P27" s="264">
        <f t="shared" si="1"/>
        <v>73.900000000000006</v>
      </c>
      <c r="Q27" s="142">
        <f>'[1]Reading.4.24'!AB25</f>
        <v>0</v>
      </c>
      <c r="R27" s="207">
        <f t="shared" si="2"/>
        <v>483.33333333333331</v>
      </c>
      <c r="S27" s="274">
        <f>'[1]Cost.4.23'!T27</f>
        <v>0</v>
      </c>
      <c r="T27" s="143">
        <f t="shared" si="3"/>
        <v>0</v>
      </c>
      <c r="U27" s="99"/>
      <c r="V27" s="144">
        <f>'[1]Reading.4.24'!G25</f>
        <v>506</v>
      </c>
      <c r="W27" s="173">
        <f t="shared" si="25"/>
        <v>598.29999999999995</v>
      </c>
      <c r="X27" s="208">
        <f t="shared" si="26"/>
        <v>2907.6666666666665</v>
      </c>
      <c r="Y27" s="276">
        <f>'[1]Cost.4.23'!Z27</f>
        <v>2838.19</v>
      </c>
      <c r="Z27" s="29">
        <f>'[1]Reading.4.24'!G25*4.86</f>
        <v>2459.1600000000003</v>
      </c>
      <c r="AA27" s="100"/>
      <c r="AB27" s="145">
        <f>'[1]Reading.4.24'!O25</f>
        <v>456.39000000000004</v>
      </c>
      <c r="AC27" s="216">
        <f t="shared" si="4"/>
        <v>1702.3347000000001</v>
      </c>
      <c r="AD27" s="176">
        <f t="shared" si="5"/>
        <v>388.45</v>
      </c>
      <c r="AE27" s="216">
        <f t="shared" si="6"/>
        <v>1468.3</v>
      </c>
      <c r="AF27" s="216">
        <f>'[1]Cost.4.23'!AB27</f>
        <v>410.29</v>
      </c>
      <c r="AG27" s="216">
        <f>'[1]Cost.4.23'!AC27</f>
        <v>1530.3817000000001</v>
      </c>
      <c r="AH27" s="216">
        <f>'[1]Reading.4.24'!K25</f>
        <v>182.05199999999999</v>
      </c>
      <c r="AI27" s="216">
        <f t="shared" si="7"/>
        <v>679.05395999999996</v>
      </c>
      <c r="AJ27" s="176">
        <f t="shared" si="8"/>
        <v>129.48333333333332</v>
      </c>
      <c r="AK27" s="216">
        <f t="shared" si="9"/>
        <v>489.43333333333334</v>
      </c>
      <c r="AL27" s="216">
        <f>'[1]Cost.4.23'!AH27</f>
        <v>214.72800000000001</v>
      </c>
      <c r="AM27" s="216">
        <f>'[1]Cost.4.23'!AI27</f>
        <v>800.93544000000009</v>
      </c>
      <c r="AN27" s="176">
        <f t="shared" si="10"/>
        <v>638.44200000000001</v>
      </c>
      <c r="AO27" s="176">
        <f t="shared" si="11"/>
        <v>625.01800000000003</v>
      </c>
      <c r="AP27" s="176">
        <f t="shared" si="12"/>
        <v>517.93333333333328</v>
      </c>
      <c r="AQ27" s="182">
        <f t="shared" si="13"/>
        <v>1957.7333333333333</v>
      </c>
      <c r="AR27" s="278">
        <f>'[1]Cost.4.23'!AS27</f>
        <v>2331.3171400000001</v>
      </c>
      <c r="AS27" s="66">
        <f t="shared" si="14"/>
        <v>2381.3886600000001</v>
      </c>
      <c r="AT27" s="116"/>
      <c r="AU27" s="115"/>
      <c r="AV27" s="252">
        <f>'[1]Reading.4.24'!AE25/'[1]Cost.4.24'!F27</f>
        <v>99.255014326604197</v>
      </c>
      <c r="AW27" s="253">
        <f t="shared" si="15"/>
        <v>137.96446991397983</v>
      </c>
      <c r="AX27" s="254">
        <f t="shared" si="16"/>
        <v>1.4498567335243553</v>
      </c>
      <c r="AY27" s="255">
        <f t="shared" si="17"/>
        <v>7.046303724928368</v>
      </c>
      <c r="AZ27" s="256">
        <f t="shared" si="18"/>
        <v>1.8293467048710601</v>
      </c>
      <c r="BA27" s="257">
        <f t="shared" si="19"/>
        <v>6.8234632091690548</v>
      </c>
      <c r="BB27" s="114"/>
      <c r="BC27" s="146">
        <f>'[1]Cost.4.23'!BE27</f>
        <v>52853.507139990921</v>
      </c>
      <c r="BD27" s="146">
        <f t="shared" si="20"/>
        <v>48882.73333333333</v>
      </c>
      <c r="BE27" s="147">
        <f t="shared" si="21"/>
        <v>52990.148659978964</v>
      </c>
      <c r="BF27" s="99"/>
      <c r="BG27" s="148">
        <f>'[1]Cost.4.23'!BI27</f>
        <v>161.13874128046012</v>
      </c>
      <c r="BH27" s="148">
        <f t="shared" si="22"/>
        <v>145.7011425732737</v>
      </c>
      <c r="BI27" s="149">
        <f t="shared" si="23"/>
        <v>151.83423684807727</v>
      </c>
      <c r="BJ27" s="4"/>
    </row>
    <row r="28" spans="1:62" ht="13.8" thickBot="1" x14ac:dyDescent="0.3">
      <c r="A28" s="3"/>
      <c r="B28" s="101">
        <v>45403</v>
      </c>
      <c r="C28" s="20"/>
      <c r="D28" s="138">
        <f>'[1]Reading.4.24'!AI26</f>
        <v>0.70909999999999995</v>
      </c>
      <c r="E28" s="96"/>
      <c r="F28" s="139">
        <f>'[1]Reading.4.24'!AM26</f>
        <v>373</v>
      </c>
      <c r="G28" s="95"/>
      <c r="H28" s="139">
        <f>'[1]Reading.4.24'!AO26</f>
        <v>335.5</v>
      </c>
      <c r="I28" s="96"/>
      <c r="J28" s="140">
        <f>'[1]Reading.4.24'!X26</f>
        <v>33240.000000019791</v>
      </c>
      <c r="K28" s="206">
        <f t="shared" si="24"/>
        <v>43534</v>
      </c>
      <c r="L28" s="206">
        <f>'[1]Cost.4.23'!M28</f>
        <v>45967.999999981839</v>
      </c>
      <c r="M28" s="240">
        <f t="shared" si="0"/>
        <v>46203.600000027509</v>
      </c>
      <c r="N28" s="98"/>
      <c r="O28" s="141">
        <f>'[1]Reading.4.24'!T26</f>
        <v>0</v>
      </c>
      <c r="P28" s="264">
        <f t="shared" si="1"/>
        <v>73.900000000000006</v>
      </c>
      <c r="Q28" s="142">
        <f>'[1]Reading.4.24'!AB26</f>
        <v>0</v>
      </c>
      <c r="R28" s="207">
        <f t="shared" si="2"/>
        <v>483.33333333333331</v>
      </c>
      <c r="S28" s="274">
        <f>'[1]Cost.4.23'!T28</f>
        <v>0</v>
      </c>
      <c r="T28" s="143">
        <f t="shared" si="3"/>
        <v>0</v>
      </c>
      <c r="U28" s="99"/>
      <c r="V28" s="144">
        <f>'[1]Reading.4.24'!G26</f>
        <v>513</v>
      </c>
      <c r="W28" s="173">
        <f t="shared" si="25"/>
        <v>598.29999999999995</v>
      </c>
      <c r="X28" s="208">
        <f t="shared" si="26"/>
        <v>2907.6666666666665</v>
      </c>
      <c r="Y28" s="276">
        <f>'[1]Cost.4.23'!Z28</f>
        <v>2912.27</v>
      </c>
      <c r="Z28" s="29">
        <f>'[1]Reading.4.24'!G26*4.86</f>
        <v>2493.1800000000003</v>
      </c>
      <c r="AA28" s="100"/>
      <c r="AB28" s="145">
        <f>'[1]Reading.4.24'!O26</f>
        <v>470.22</v>
      </c>
      <c r="AC28" s="216">
        <f t="shared" si="4"/>
        <v>1753.9206000000001</v>
      </c>
      <c r="AD28" s="176">
        <f t="shared" si="5"/>
        <v>388.45</v>
      </c>
      <c r="AE28" s="216">
        <f t="shared" si="6"/>
        <v>1468.3</v>
      </c>
      <c r="AF28" s="216">
        <f>'[1]Cost.4.23'!AB28</f>
        <v>543.98</v>
      </c>
      <c r="AG28" s="216">
        <f>'[1]Cost.4.23'!AC28</f>
        <v>2029.0454</v>
      </c>
      <c r="AH28" s="216">
        <f>'[1]Reading.4.24'!K26</f>
        <v>191.38800000000001</v>
      </c>
      <c r="AI28" s="216">
        <f t="shared" si="7"/>
        <v>713.87724000000003</v>
      </c>
      <c r="AJ28" s="176">
        <f t="shared" si="8"/>
        <v>129.48333333333332</v>
      </c>
      <c r="AK28" s="216">
        <f t="shared" si="9"/>
        <v>489.43333333333334</v>
      </c>
      <c r="AL28" s="216">
        <f>'[1]Cost.4.23'!AH28</f>
        <v>210.06</v>
      </c>
      <c r="AM28" s="216">
        <f>'[1]Cost.4.23'!AI28</f>
        <v>783.52380000000005</v>
      </c>
      <c r="AN28" s="176">
        <f t="shared" si="10"/>
        <v>661.60800000000006</v>
      </c>
      <c r="AO28" s="176">
        <f t="shared" si="11"/>
        <v>754.04</v>
      </c>
      <c r="AP28" s="176">
        <f t="shared" si="12"/>
        <v>517.93333333333328</v>
      </c>
      <c r="AQ28" s="182">
        <f t="shared" si="13"/>
        <v>1957.7333333333333</v>
      </c>
      <c r="AR28" s="278">
        <f>'[1]Cost.4.23'!AS28</f>
        <v>2812.5691999999999</v>
      </c>
      <c r="AS28" s="66">
        <f t="shared" si="14"/>
        <v>2467.7978400000002</v>
      </c>
      <c r="AT28" s="116"/>
      <c r="AU28" s="115"/>
      <c r="AV28" s="252">
        <f>'[1]Reading.4.24'!AE26/'[1]Cost.4.24'!F28</f>
        <v>89.11528150139354</v>
      </c>
      <c r="AW28" s="253">
        <f t="shared" si="15"/>
        <v>123.87024128693702</v>
      </c>
      <c r="AX28" s="254">
        <f t="shared" si="16"/>
        <v>1.3753351206434317</v>
      </c>
      <c r="AY28" s="255">
        <f t="shared" si="17"/>
        <v>6.6841286863270781</v>
      </c>
      <c r="AZ28" s="256">
        <f t="shared" si="18"/>
        <v>1.7737479892761396</v>
      </c>
      <c r="BA28" s="257">
        <f t="shared" si="19"/>
        <v>6.6160800000000002</v>
      </c>
      <c r="BB28" s="114"/>
      <c r="BC28" s="146">
        <f>'[1]Cost.4.23'!BE28</f>
        <v>51692.839199981834</v>
      </c>
      <c r="BD28" s="146">
        <f t="shared" si="20"/>
        <v>48882.73333333333</v>
      </c>
      <c r="BE28" s="147">
        <f t="shared" si="21"/>
        <v>51164.577840027509</v>
      </c>
      <c r="BF28" s="99"/>
      <c r="BG28" s="148">
        <f>'[1]Cost.4.23'!BI28</f>
        <v>137.48095531910062</v>
      </c>
      <c r="BH28" s="148">
        <f t="shared" si="22"/>
        <v>145.7011425732737</v>
      </c>
      <c r="BI28" s="149">
        <f t="shared" si="23"/>
        <v>137.17044997326408</v>
      </c>
      <c r="BJ28" s="4"/>
    </row>
    <row r="29" spans="1:62" ht="13.8" thickBot="1" x14ac:dyDescent="0.3">
      <c r="A29" s="3"/>
      <c r="B29" s="101">
        <v>45404</v>
      </c>
      <c r="C29" s="20"/>
      <c r="D29" s="138">
        <f>'[1]Reading.4.24'!AI27</f>
        <v>0.73</v>
      </c>
      <c r="E29" s="96"/>
      <c r="F29" s="139">
        <f>'[1]Reading.4.24'!AM27</f>
        <v>384</v>
      </c>
      <c r="G29" s="95"/>
      <c r="H29" s="139">
        <f>'[1]Reading.4.24'!AO27</f>
        <v>335.5</v>
      </c>
      <c r="I29" s="96"/>
      <c r="J29" s="140">
        <f>'[1]Reading.4.24'!X27</f>
        <v>36679.999999993015</v>
      </c>
      <c r="K29" s="206">
        <f t="shared" si="24"/>
        <v>43534</v>
      </c>
      <c r="L29" s="206">
        <f>'[1]Cost.4.23'!M29</f>
        <v>50388.000000012107</v>
      </c>
      <c r="M29" s="240">
        <f t="shared" si="0"/>
        <v>50985.199999990291</v>
      </c>
      <c r="N29" s="98"/>
      <c r="O29" s="141">
        <f>'[1]Reading.4.24'!T27</f>
        <v>0</v>
      </c>
      <c r="P29" s="264">
        <f t="shared" si="1"/>
        <v>73.900000000000006</v>
      </c>
      <c r="Q29" s="142">
        <f>'[1]Reading.4.24'!AB27</f>
        <v>0</v>
      </c>
      <c r="R29" s="207">
        <f t="shared" si="2"/>
        <v>483.33333333333331</v>
      </c>
      <c r="S29" s="274">
        <f>'[1]Cost.4.23'!T29</f>
        <v>0</v>
      </c>
      <c r="T29" s="143">
        <f t="shared" si="3"/>
        <v>0</v>
      </c>
      <c r="U29" s="99"/>
      <c r="V29" s="144">
        <f>'[1]Reading.4.24'!G27</f>
        <v>541</v>
      </c>
      <c r="W29" s="173">
        <f t="shared" si="25"/>
        <v>598.29999999999995</v>
      </c>
      <c r="X29" s="208">
        <f t="shared" si="26"/>
        <v>2907.6666666666665</v>
      </c>
      <c r="Y29" s="276">
        <f>'[1]Cost.4.23'!Z29</f>
        <v>2819.67</v>
      </c>
      <c r="Z29" s="29">
        <f>'[1]Reading.4.24'!G27*4.86</f>
        <v>2629.26</v>
      </c>
      <c r="AA29" s="100"/>
      <c r="AB29" s="145">
        <f>'[1]Reading.4.24'!O27</f>
        <v>493.27000000000004</v>
      </c>
      <c r="AC29" s="216">
        <f t="shared" si="4"/>
        <v>1839.8971000000001</v>
      </c>
      <c r="AD29" s="176">
        <f t="shared" si="5"/>
        <v>388.45</v>
      </c>
      <c r="AE29" s="216">
        <f t="shared" si="6"/>
        <v>1468.3</v>
      </c>
      <c r="AF29" s="216">
        <f>'[1]Cost.4.23'!AB29</f>
        <v>571.64</v>
      </c>
      <c r="AG29" s="216">
        <f>'[1]Cost.4.23'!AC29</f>
        <v>2132.2172</v>
      </c>
      <c r="AH29" s="216">
        <f>'[1]Reading.4.24'!K27</f>
        <v>182.05199999999999</v>
      </c>
      <c r="AI29" s="216">
        <f t="shared" si="7"/>
        <v>679.05395999999996</v>
      </c>
      <c r="AJ29" s="176">
        <f t="shared" si="8"/>
        <v>129.48333333333332</v>
      </c>
      <c r="AK29" s="216">
        <f t="shared" si="9"/>
        <v>489.43333333333334</v>
      </c>
      <c r="AL29" s="216">
        <f>'[1]Cost.4.23'!AH29</f>
        <v>242.73600000000002</v>
      </c>
      <c r="AM29" s="216">
        <f>'[1]Cost.4.23'!AI29</f>
        <v>905.40528000000006</v>
      </c>
      <c r="AN29" s="176">
        <f t="shared" si="10"/>
        <v>675.322</v>
      </c>
      <c r="AO29" s="176">
        <f t="shared" si="11"/>
        <v>814.37599999999998</v>
      </c>
      <c r="AP29" s="176">
        <f t="shared" si="12"/>
        <v>517.93333333333328</v>
      </c>
      <c r="AQ29" s="182">
        <f t="shared" si="13"/>
        <v>1957.7333333333333</v>
      </c>
      <c r="AR29" s="278">
        <f>'[1]Cost.4.23'!AS29</f>
        <v>3037.62248</v>
      </c>
      <c r="AS29" s="66">
        <f t="shared" si="14"/>
        <v>2518.9510600000003</v>
      </c>
      <c r="AT29" s="116"/>
      <c r="AU29" s="115"/>
      <c r="AV29" s="252">
        <f>'[1]Reading.4.24'!AE27/'[1]Cost.4.24'!F29</f>
        <v>95.520833333315139</v>
      </c>
      <c r="AW29" s="253">
        <f t="shared" si="15"/>
        <v>132.77395833330806</v>
      </c>
      <c r="AX29" s="254">
        <f t="shared" si="16"/>
        <v>1.4088541666666667</v>
      </c>
      <c r="AY29" s="255">
        <f t="shared" si="17"/>
        <v>6.8470312500000006</v>
      </c>
      <c r="AZ29" s="256">
        <f t="shared" si="18"/>
        <v>1.7586510416666667</v>
      </c>
      <c r="BA29" s="257">
        <f t="shared" si="19"/>
        <v>6.5597683854166675</v>
      </c>
      <c r="BB29" s="114"/>
      <c r="BC29" s="146">
        <f>'[1]Cost.4.23'!BE29</f>
        <v>56245.292480012104</v>
      </c>
      <c r="BD29" s="146">
        <f t="shared" si="20"/>
        <v>48882.73333333333</v>
      </c>
      <c r="BE29" s="147">
        <f t="shared" si="21"/>
        <v>56133.411059990292</v>
      </c>
      <c r="BF29" s="99"/>
      <c r="BG29" s="148">
        <f>'[1]Cost.4.23'!BI29</f>
        <v>132.03120300472324</v>
      </c>
      <c r="BH29" s="148">
        <f t="shared" si="22"/>
        <v>145.7011425732737</v>
      </c>
      <c r="BI29" s="149">
        <f t="shared" si="23"/>
        <v>146.18075796872472</v>
      </c>
      <c r="BJ29" s="4"/>
    </row>
    <row r="30" spans="1:62" ht="13.8" thickBot="1" x14ac:dyDescent="0.3">
      <c r="A30" s="3"/>
      <c r="B30" s="101">
        <v>45405</v>
      </c>
      <c r="C30" s="20"/>
      <c r="D30" s="138">
        <f>'[1]Reading.4.24'!AI28</f>
        <v>0.65200000000000002</v>
      </c>
      <c r="E30" s="96"/>
      <c r="F30" s="139">
        <f>'[1]Reading.4.24'!AM28</f>
        <v>342</v>
      </c>
      <c r="G30" s="95"/>
      <c r="H30" s="139">
        <f>'[1]Reading.4.24'!AO28</f>
        <v>335.5</v>
      </c>
      <c r="I30" s="96"/>
      <c r="J30" s="140">
        <f>'[1]Reading.4.24'!X28</f>
        <v>34880.000000004657</v>
      </c>
      <c r="K30" s="206">
        <f t="shared" si="24"/>
        <v>43534</v>
      </c>
      <c r="L30" s="206">
        <f>'[1]Cost.4.23'!M30</f>
        <v>47372.000000003027</v>
      </c>
      <c r="M30" s="240">
        <f t="shared" si="0"/>
        <v>48483.200000006473</v>
      </c>
      <c r="N30" s="98"/>
      <c r="O30" s="141">
        <f>'[1]Reading.4.24'!T28</f>
        <v>0</v>
      </c>
      <c r="P30" s="264">
        <f t="shared" si="1"/>
        <v>73.900000000000006</v>
      </c>
      <c r="Q30" s="142">
        <f>'[1]Reading.4.24'!AB28</f>
        <v>0</v>
      </c>
      <c r="R30" s="207">
        <f t="shared" si="2"/>
        <v>483.33333333333331</v>
      </c>
      <c r="S30" s="274">
        <f>'[1]Cost.4.23'!T30</f>
        <v>0</v>
      </c>
      <c r="T30" s="143">
        <f t="shared" si="3"/>
        <v>0</v>
      </c>
      <c r="U30" s="99"/>
      <c r="V30" s="144">
        <f>'[1]Reading.4.24'!G28</f>
        <v>549</v>
      </c>
      <c r="W30" s="173">
        <f t="shared" si="25"/>
        <v>598.29999999999995</v>
      </c>
      <c r="X30" s="208">
        <f t="shared" si="26"/>
        <v>2907.6666666666665</v>
      </c>
      <c r="Y30" s="276">
        <f>'[1]Cost.4.23'!Z30</f>
        <v>2940.0499999999997</v>
      </c>
      <c r="Z30" s="29">
        <f>'[1]Reading.4.24'!G28*4.86</f>
        <v>2668.1400000000003</v>
      </c>
      <c r="AA30" s="100"/>
      <c r="AB30" s="145">
        <f>'[1]Reading.4.24'!O28</f>
        <v>396.46000000000004</v>
      </c>
      <c r="AC30" s="216">
        <f t="shared" si="4"/>
        <v>1478.7958000000001</v>
      </c>
      <c r="AD30" s="176">
        <f t="shared" si="5"/>
        <v>388.45</v>
      </c>
      <c r="AE30" s="216">
        <f t="shared" si="6"/>
        <v>1468.3</v>
      </c>
      <c r="AF30" s="216">
        <f>'[1]Cost.4.23'!AB30</f>
        <v>557.81000000000006</v>
      </c>
      <c r="AG30" s="216">
        <f>'[1]Cost.4.23'!AC30</f>
        <v>2080.6313</v>
      </c>
      <c r="AH30" s="216">
        <f>'[1]Reading.4.24'!K28</f>
        <v>158.71200000000002</v>
      </c>
      <c r="AI30" s="216">
        <f t="shared" si="7"/>
        <v>591.99576000000002</v>
      </c>
      <c r="AJ30" s="176">
        <f t="shared" si="8"/>
        <v>129.48333333333332</v>
      </c>
      <c r="AK30" s="216">
        <f t="shared" si="9"/>
        <v>489.43333333333334</v>
      </c>
      <c r="AL30" s="216">
        <f>'[1]Cost.4.23'!AH30</f>
        <v>270.74400000000003</v>
      </c>
      <c r="AM30" s="216">
        <f>'[1]Cost.4.23'!AI30</f>
        <v>1009.8751200000002</v>
      </c>
      <c r="AN30" s="176">
        <f t="shared" si="10"/>
        <v>555.17200000000003</v>
      </c>
      <c r="AO30" s="176">
        <f t="shared" si="11"/>
        <v>828.55400000000009</v>
      </c>
      <c r="AP30" s="176">
        <f t="shared" si="12"/>
        <v>517.93333333333328</v>
      </c>
      <c r="AQ30" s="182">
        <f t="shared" si="13"/>
        <v>1957.7333333333333</v>
      </c>
      <c r="AR30" s="278">
        <f>'[1]Cost.4.23'!AS30</f>
        <v>3090.5064200000002</v>
      </c>
      <c r="AS30" s="66">
        <f t="shared" si="14"/>
        <v>2070.7915600000001</v>
      </c>
      <c r="AT30" s="116"/>
      <c r="AU30" s="115"/>
      <c r="AV30" s="252">
        <f>'[1]Reading.4.24'!AE28/'[1]Cost.4.24'!F30</f>
        <v>101.98830409358087</v>
      </c>
      <c r="AW30" s="253">
        <f t="shared" si="15"/>
        <v>141.76374269007741</v>
      </c>
      <c r="AX30" s="254">
        <f t="shared" si="16"/>
        <v>1.6052631578947369</v>
      </c>
      <c r="AY30" s="255">
        <f t="shared" si="17"/>
        <v>7.8015789473684221</v>
      </c>
      <c r="AZ30" s="256">
        <f t="shared" si="18"/>
        <v>1.6233099415204679</v>
      </c>
      <c r="BA30" s="257">
        <f t="shared" si="19"/>
        <v>6.0549460818713454</v>
      </c>
      <c r="BB30" s="114"/>
      <c r="BC30" s="146">
        <f>'[1]Cost.4.23'!BE30</f>
        <v>53402.556420003028</v>
      </c>
      <c r="BD30" s="146">
        <f t="shared" si="20"/>
        <v>48882.73333333333</v>
      </c>
      <c r="BE30" s="147">
        <f t="shared" si="21"/>
        <v>53222.13156000647</v>
      </c>
      <c r="BF30" s="99"/>
      <c r="BG30" s="148">
        <f>'[1]Cost.4.23'!BI30</f>
        <v>119.4688063087316</v>
      </c>
      <c r="BH30" s="148">
        <f t="shared" si="22"/>
        <v>145.7011425732737</v>
      </c>
      <c r="BI30" s="149">
        <f t="shared" si="23"/>
        <v>155.62026771931716</v>
      </c>
      <c r="BJ30" s="4"/>
    </row>
    <row r="31" spans="1:62" ht="13.8" thickBot="1" x14ac:dyDescent="0.3">
      <c r="A31" s="3"/>
      <c r="B31" s="101">
        <v>45406</v>
      </c>
      <c r="C31" s="20"/>
      <c r="D31" s="138">
        <f>'[1]Reading.4.24'!AI29</f>
        <v>0.64829999999999999</v>
      </c>
      <c r="E31" s="96"/>
      <c r="F31" s="139">
        <f>'[1]Reading.4.24'!AM29</f>
        <v>341</v>
      </c>
      <c r="G31" s="95"/>
      <c r="H31" s="139">
        <f>'[1]Reading.4.24'!AO29</f>
        <v>335.5</v>
      </c>
      <c r="I31" s="96"/>
      <c r="J31" s="140">
        <f>'[1]Reading.4.24'!X29</f>
        <v>35639.999999984866</v>
      </c>
      <c r="K31" s="206">
        <f t="shared" si="24"/>
        <v>43534</v>
      </c>
      <c r="L31" s="206">
        <f>'[1]Cost.4.23'!M31</f>
        <v>54755.999999993946</v>
      </c>
      <c r="M31" s="240">
        <f t="shared" si="0"/>
        <v>49539.599999978964</v>
      </c>
      <c r="N31" s="98"/>
      <c r="O31" s="141">
        <f>'[1]Reading.4.24'!T29</f>
        <v>0</v>
      </c>
      <c r="P31" s="264">
        <f t="shared" si="1"/>
        <v>73.900000000000006</v>
      </c>
      <c r="Q31" s="142">
        <f>'[1]Reading.4.24'!AB29</f>
        <v>0</v>
      </c>
      <c r="R31" s="207">
        <f t="shared" si="2"/>
        <v>483.33333333333331</v>
      </c>
      <c r="S31" s="274">
        <f>'[1]Cost.4.23'!T31</f>
        <v>0</v>
      </c>
      <c r="T31" s="143">
        <f t="shared" si="3"/>
        <v>0</v>
      </c>
      <c r="U31" s="99"/>
      <c r="V31" s="144">
        <f>'[1]Reading.4.24'!G29</f>
        <v>435</v>
      </c>
      <c r="W31" s="173">
        <f t="shared" si="25"/>
        <v>598.29999999999995</v>
      </c>
      <c r="X31" s="208">
        <f t="shared" si="26"/>
        <v>2907.6666666666665</v>
      </c>
      <c r="Y31" s="276">
        <f>'[1]Cost.4.23'!Z31</f>
        <v>2861.34</v>
      </c>
      <c r="Z31" s="29">
        <f>'[1]Reading.4.24'!G29*4.86</f>
        <v>2114.1000000000004</v>
      </c>
      <c r="AA31" s="100"/>
      <c r="AB31" s="145">
        <f>'[1]Reading.4.24'!O29</f>
        <v>447.17</v>
      </c>
      <c r="AC31" s="216">
        <f t="shared" si="4"/>
        <v>1667.9441000000002</v>
      </c>
      <c r="AD31" s="176">
        <f t="shared" si="5"/>
        <v>388.45</v>
      </c>
      <c r="AE31" s="216">
        <f t="shared" si="6"/>
        <v>1468.3</v>
      </c>
      <c r="AF31" s="216">
        <f>'[1]Cost.4.23'!AB31</f>
        <v>594.69000000000005</v>
      </c>
      <c r="AG31" s="216">
        <f>'[1]Cost.4.23'!AC31</f>
        <v>2218.1937000000003</v>
      </c>
      <c r="AH31" s="216">
        <f>'[1]Reading.4.24'!K29</f>
        <v>200.72400000000002</v>
      </c>
      <c r="AI31" s="216">
        <f t="shared" si="7"/>
        <v>748.7005200000001</v>
      </c>
      <c r="AJ31" s="176">
        <f t="shared" si="8"/>
        <v>129.48333333333332</v>
      </c>
      <c r="AK31" s="216">
        <f t="shared" si="9"/>
        <v>489.43333333333334</v>
      </c>
      <c r="AL31" s="216">
        <f>'[1]Cost.4.23'!AH31</f>
        <v>219.39600000000002</v>
      </c>
      <c r="AM31" s="216">
        <f>'[1]Cost.4.23'!AI31</f>
        <v>818.34708000000001</v>
      </c>
      <c r="AN31" s="176">
        <f t="shared" si="10"/>
        <v>647.89400000000001</v>
      </c>
      <c r="AO31" s="176">
        <f t="shared" si="11"/>
        <v>814.08600000000001</v>
      </c>
      <c r="AP31" s="176">
        <f t="shared" si="12"/>
        <v>517.93333333333328</v>
      </c>
      <c r="AQ31" s="182">
        <f t="shared" si="13"/>
        <v>1957.7333333333333</v>
      </c>
      <c r="AR31" s="278">
        <f>'[1]Cost.4.23'!AS31</f>
        <v>3036.5407800000003</v>
      </c>
      <c r="AS31" s="66">
        <f t="shared" si="14"/>
        <v>2416.64462</v>
      </c>
      <c r="AT31" s="116"/>
      <c r="AU31" s="115"/>
      <c r="AV31" s="252">
        <f>'[1]Reading.4.24'!AE29/'[1]Cost.4.24'!F31</f>
        <v>104.51612903221368</v>
      </c>
      <c r="AW31" s="253">
        <f t="shared" si="15"/>
        <v>145.27741935477701</v>
      </c>
      <c r="AX31" s="254">
        <f t="shared" si="16"/>
        <v>1.2756598240469208</v>
      </c>
      <c r="AY31" s="255">
        <f t="shared" si="17"/>
        <v>6.1997067448680365</v>
      </c>
      <c r="AZ31" s="256">
        <f t="shared" si="18"/>
        <v>1.8999824046920821</v>
      </c>
      <c r="BA31" s="257">
        <f t="shared" si="19"/>
        <v>7.0869343695014662</v>
      </c>
      <c r="BB31" s="114"/>
      <c r="BC31" s="146">
        <f>'[1]Cost.4.23'!BE31</f>
        <v>60653.880779993946</v>
      </c>
      <c r="BD31" s="146">
        <f t="shared" si="20"/>
        <v>48882.73333333333</v>
      </c>
      <c r="BE31" s="147">
        <f t="shared" si="21"/>
        <v>54070.344619978961</v>
      </c>
      <c r="BF31" s="99"/>
      <c r="BG31" s="148">
        <f>'[1]Cost.4.23'!BI31</f>
        <v>138.79606585810973</v>
      </c>
      <c r="BH31" s="148">
        <f t="shared" si="22"/>
        <v>145.7011425732737</v>
      </c>
      <c r="BI31" s="149">
        <f t="shared" si="23"/>
        <v>158.56406046914651</v>
      </c>
      <c r="BJ31" s="4"/>
    </row>
    <row r="32" spans="1:62" ht="13.8" thickBot="1" x14ac:dyDescent="0.3">
      <c r="A32" s="3"/>
      <c r="B32" s="101">
        <v>45407</v>
      </c>
      <c r="C32" s="20"/>
      <c r="D32" s="138">
        <f>'[1]Reading.4.24'!AI30</f>
        <v>0.73</v>
      </c>
      <c r="E32" s="96"/>
      <c r="F32" s="139">
        <f>'[1]Reading.4.24'!AM30</f>
        <v>384</v>
      </c>
      <c r="G32" s="95"/>
      <c r="H32" s="139">
        <f>'[1]Reading.4.24'!AO30</f>
        <v>335.5</v>
      </c>
      <c r="I32" s="96"/>
      <c r="J32" s="140">
        <f>'[1]Reading.4.24'!X30</f>
        <v>35880.000000004657</v>
      </c>
      <c r="K32" s="206">
        <f t="shared" si="24"/>
        <v>43534</v>
      </c>
      <c r="L32" s="206">
        <f>'[1]Cost.4.23'!M32</f>
        <v>49191.99999999546</v>
      </c>
      <c r="M32" s="240">
        <f t="shared" si="0"/>
        <v>49873.200000006473</v>
      </c>
      <c r="N32" s="98"/>
      <c r="O32" s="141">
        <f>'[1]Reading.4.24'!T30</f>
        <v>0</v>
      </c>
      <c r="P32" s="264">
        <f t="shared" si="1"/>
        <v>73.900000000000006</v>
      </c>
      <c r="Q32" s="142">
        <f>'[1]Reading.4.24'!AB30</f>
        <v>0</v>
      </c>
      <c r="R32" s="207">
        <f t="shared" si="2"/>
        <v>483.33333333333331</v>
      </c>
      <c r="S32" s="274">
        <f>'[1]Cost.4.23'!T32</f>
        <v>0</v>
      </c>
      <c r="T32" s="143">
        <f t="shared" si="3"/>
        <v>0</v>
      </c>
      <c r="U32" s="99"/>
      <c r="V32" s="144">
        <f>'[1]Reading.4.24'!G30</f>
        <v>855</v>
      </c>
      <c r="W32" s="173">
        <f t="shared" si="25"/>
        <v>598.29999999999995</v>
      </c>
      <c r="X32" s="208">
        <f t="shared" si="26"/>
        <v>2907.6666666666665</v>
      </c>
      <c r="Y32" s="276">
        <f>'[1]Cost.4.23'!Z32</f>
        <v>3213.22</v>
      </c>
      <c r="Z32" s="29">
        <f>'[1]Reading.4.24'!G30*4.86</f>
        <v>4155.3</v>
      </c>
      <c r="AA32" s="100"/>
      <c r="AB32" s="145">
        <f>'[1]Reading.4.24'!O30</f>
        <v>507.1</v>
      </c>
      <c r="AC32" s="216">
        <f t="shared" si="4"/>
        <v>1891.4830000000002</v>
      </c>
      <c r="AD32" s="176">
        <f t="shared" si="5"/>
        <v>388.45</v>
      </c>
      <c r="AE32" s="216">
        <f t="shared" si="6"/>
        <v>1468.3</v>
      </c>
      <c r="AF32" s="216">
        <f>'[1]Cost.4.23'!AB32</f>
        <v>571.64</v>
      </c>
      <c r="AG32" s="216">
        <f>'[1]Cost.4.23'!AC32</f>
        <v>2132.2172</v>
      </c>
      <c r="AH32" s="216">
        <f>'[1]Reading.4.24'!K30</f>
        <v>149.376</v>
      </c>
      <c r="AI32" s="216">
        <f t="shared" si="7"/>
        <v>557.17248000000006</v>
      </c>
      <c r="AJ32" s="176">
        <f t="shared" si="8"/>
        <v>129.48333333333332</v>
      </c>
      <c r="AK32" s="216">
        <f t="shared" si="9"/>
        <v>489.43333333333334</v>
      </c>
      <c r="AL32" s="216">
        <f>'[1]Cost.4.23'!AH32</f>
        <v>219.39600000000002</v>
      </c>
      <c r="AM32" s="216">
        <f>'[1]Cost.4.23'!AI32</f>
        <v>818.34708000000001</v>
      </c>
      <c r="AN32" s="176">
        <f t="shared" si="10"/>
        <v>656.476</v>
      </c>
      <c r="AO32" s="176">
        <f t="shared" si="11"/>
        <v>791.03600000000006</v>
      </c>
      <c r="AP32" s="176">
        <f t="shared" si="12"/>
        <v>517.93333333333328</v>
      </c>
      <c r="AQ32" s="182">
        <f t="shared" si="13"/>
        <v>1957.7333333333333</v>
      </c>
      <c r="AR32" s="278">
        <f>'[1]Cost.4.23'!AS32</f>
        <v>2950.5642800000001</v>
      </c>
      <c r="AS32" s="66">
        <f t="shared" si="14"/>
        <v>2448.6554800000004</v>
      </c>
      <c r="AT32" s="116"/>
      <c r="AU32" s="115"/>
      <c r="AV32" s="252">
        <f>'[1]Reading.4.24'!AE30/'[1]Cost.4.24'!F32</f>
        <v>93.437500000012122</v>
      </c>
      <c r="AW32" s="253">
        <f t="shared" si="15"/>
        <v>129.87812500001687</v>
      </c>
      <c r="AX32" s="254">
        <f t="shared" si="16"/>
        <v>2.2265625</v>
      </c>
      <c r="AY32" s="255">
        <f t="shared" si="17"/>
        <v>10.821093750000001</v>
      </c>
      <c r="AZ32" s="256">
        <f t="shared" si="18"/>
        <v>1.7095729166666667</v>
      </c>
      <c r="BA32" s="257">
        <f t="shared" si="19"/>
        <v>6.3767069791666673</v>
      </c>
      <c r="BB32" s="114"/>
      <c r="BC32" s="146">
        <f>'[1]Cost.4.23'!BE32</f>
        <v>55355.78427999546</v>
      </c>
      <c r="BD32" s="146">
        <f t="shared" si="20"/>
        <v>48882.73333333333</v>
      </c>
      <c r="BE32" s="147">
        <f t="shared" si="21"/>
        <v>56477.155480006477</v>
      </c>
      <c r="BF32" s="99"/>
      <c r="BG32" s="148">
        <f>'[1]Cost.4.23'!BI32</f>
        <v>130.2489041882246</v>
      </c>
      <c r="BH32" s="148">
        <f t="shared" si="22"/>
        <v>145.7011425732737</v>
      </c>
      <c r="BI32" s="149">
        <f t="shared" si="23"/>
        <v>147.07592572918352</v>
      </c>
      <c r="BJ32" s="4"/>
    </row>
    <row r="33" spans="1:62" ht="13.8" thickBot="1" x14ac:dyDescent="0.3">
      <c r="A33" s="3"/>
      <c r="B33" s="101">
        <v>45408</v>
      </c>
      <c r="C33" s="20"/>
      <c r="D33" s="138">
        <f>'[1]Reading.4.24'!AI31</f>
        <v>0.71289999999999998</v>
      </c>
      <c r="E33" s="96"/>
      <c r="F33" s="139">
        <f>'[1]Reading.4.24'!AM31</f>
        <v>375</v>
      </c>
      <c r="G33" s="95"/>
      <c r="H33" s="139">
        <f>'[1]Reading.4.24'!AO31</f>
        <v>335.5</v>
      </c>
      <c r="I33" s="96"/>
      <c r="J33" s="140">
        <f>'[1]Reading.4.24'!X31</f>
        <v>39880.000000004657</v>
      </c>
      <c r="K33" s="206">
        <f t="shared" si="24"/>
        <v>43534</v>
      </c>
      <c r="L33" s="206">
        <f>'[1]Cost.4.23'!M33</f>
        <v>51116.00000000908</v>
      </c>
      <c r="M33" s="240">
        <f t="shared" si="0"/>
        <v>55433.200000006465</v>
      </c>
      <c r="N33" s="98"/>
      <c r="O33" s="141">
        <f>'[1]Reading.4.24'!T31</f>
        <v>0</v>
      </c>
      <c r="P33" s="264">
        <f t="shared" si="1"/>
        <v>73.900000000000006</v>
      </c>
      <c r="Q33" s="142">
        <f>'[1]Reading.4.24'!AB31</f>
        <v>0</v>
      </c>
      <c r="R33" s="207">
        <f t="shared" si="2"/>
        <v>483.33333333333331</v>
      </c>
      <c r="S33" s="274">
        <f>'[1]Cost.4.23'!T33</f>
        <v>0</v>
      </c>
      <c r="T33" s="143">
        <f t="shared" si="3"/>
        <v>0</v>
      </c>
      <c r="U33" s="99"/>
      <c r="V33" s="144">
        <f>'[1]Reading.4.24'!G31</f>
        <v>613</v>
      </c>
      <c r="W33" s="173">
        <f t="shared" si="25"/>
        <v>598.29999999999995</v>
      </c>
      <c r="X33" s="208">
        <f t="shared" si="26"/>
        <v>2907.6666666666665</v>
      </c>
      <c r="Y33" s="276">
        <f>'[1]Cost.4.23'!Z33</f>
        <v>2782.63</v>
      </c>
      <c r="Z33" s="29">
        <f>'[1]Reading.4.24'!G31*4.86</f>
        <v>2979.1800000000003</v>
      </c>
      <c r="AA33" s="100"/>
      <c r="AB33" s="145">
        <f>'[1]Reading.4.24'!O31</f>
        <v>373.41</v>
      </c>
      <c r="AC33" s="216">
        <f t="shared" si="4"/>
        <v>1392.8193000000001</v>
      </c>
      <c r="AD33" s="176">
        <f t="shared" si="5"/>
        <v>388.45</v>
      </c>
      <c r="AE33" s="216">
        <f t="shared" si="6"/>
        <v>1468.3</v>
      </c>
      <c r="AF33" s="216">
        <f>'[1]Cost.4.23'!AB33</f>
        <v>567.03000000000009</v>
      </c>
      <c r="AG33" s="216">
        <f>'[1]Cost.4.23'!AC33</f>
        <v>2115.0219000000002</v>
      </c>
      <c r="AH33" s="216">
        <f>'[1]Reading.4.24'!K31</f>
        <v>186.72</v>
      </c>
      <c r="AI33" s="216">
        <f t="shared" si="7"/>
        <v>696.46559999999999</v>
      </c>
      <c r="AJ33" s="176">
        <f t="shared" si="8"/>
        <v>129.48333333333332</v>
      </c>
      <c r="AK33" s="216">
        <f t="shared" si="9"/>
        <v>489.43333333333334</v>
      </c>
      <c r="AL33" s="216">
        <f>'[1]Cost.4.23'!AH33</f>
        <v>233.4</v>
      </c>
      <c r="AM33" s="216">
        <f>'[1]Cost.4.23'!AI33</f>
        <v>870.58199999999999</v>
      </c>
      <c r="AN33" s="176">
        <f t="shared" si="10"/>
        <v>560.13</v>
      </c>
      <c r="AO33" s="176">
        <f t="shared" si="11"/>
        <v>800.43000000000006</v>
      </c>
      <c r="AP33" s="176">
        <f t="shared" si="12"/>
        <v>517.93333333333328</v>
      </c>
      <c r="AQ33" s="182">
        <f t="shared" si="13"/>
        <v>1957.7333333333333</v>
      </c>
      <c r="AR33" s="278">
        <f>'[1]Cost.4.23'!AS33</f>
        <v>2985.6039000000001</v>
      </c>
      <c r="AS33" s="66">
        <f t="shared" si="14"/>
        <v>2089.2849000000001</v>
      </c>
      <c r="AT33" s="116"/>
      <c r="AU33" s="115"/>
      <c r="AV33" s="252">
        <f>'[1]Reading.4.24'!AE31/'[1]Cost.4.24'!F33</f>
        <v>106.34666666667908</v>
      </c>
      <c r="AW33" s="253">
        <f t="shared" si="15"/>
        <v>147.82186666668392</v>
      </c>
      <c r="AX33" s="254">
        <f t="shared" si="16"/>
        <v>1.6346666666666667</v>
      </c>
      <c r="AY33" s="255">
        <f t="shared" si="17"/>
        <v>7.9444800000000004</v>
      </c>
      <c r="AZ33" s="256">
        <f t="shared" si="18"/>
        <v>1.4936799999999999</v>
      </c>
      <c r="BA33" s="257">
        <f t="shared" si="19"/>
        <v>5.5714264</v>
      </c>
      <c r="BB33" s="114"/>
      <c r="BC33" s="146">
        <f>'[1]Cost.4.23'!BE33</f>
        <v>56884.23390000908</v>
      </c>
      <c r="BD33" s="146">
        <f t="shared" si="20"/>
        <v>48882.73333333333</v>
      </c>
      <c r="BE33" s="147">
        <f t="shared" si="21"/>
        <v>60501.664900006464</v>
      </c>
      <c r="BF33" s="99"/>
      <c r="BG33" s="148">
        <f>'[1]Cost.4.23'!BI33</f>
        <v>147.36848160624115</v>
      </c>
      <c r="BH33" s="148">
        <f t="shared" si="22"/>
        <v>145.7011425732737</v>
      </c>
      <c r="BI33" s="149">
        <f t="shared" si="23"/>
        <v>161.33777306668389</v>
      </c>
      <c r="BJ33" s="4"/>
    </row>
    <row r="34" spans="1:62" ht="13.8" thickBot="1" x14ac:dyDescent="0.3">
      <c r="A34" s="3"/>
      <c r="B34" s="101">
        <v>45409</v>
      </c>
      <c r="C34" s="20"/>
      <c r="D34" s="138">
        <f>'[1]Reading.4.24'!AI32</f>
        <v>0.74139999999999995</v>
      </c>
      <c r="E34" s="96"/>
      <c r="F34" s="139">
        <f>'[1]Reading.4.24'!AM32</f>
        <v>390</v>
      </c>
      <c r="G34" s="95"/>
      <c r="H34" s="139">
        <f>'[1]Reading.4.24'!AO32</f>
        <v>335.5</v>
      </c>
      <c r="I34" s="96"/>
      <c r="J34" s="140">
        <f>'[1]Reading.4.24'!X32</f>
        <v>38839.999999996508</v>
      </c>
      <c r="K34" s="206">
        <f t="shared" si="24"/>
        <v>43534</v>
      </c>
      <c r="L34" s="206">
        <f>'[1]Cost.4.23'!M34</f>
        <v>47111.999999987893</v>
      </c>
      <c r="M34" s="240">
        <f t="shared" si="0"/>
        <v>53987.599999995138</v>
      </c>
      <c r="N34" s="98"/>
      <c r="O34" s="141">
        <f>'[1]Reading.4.24'!T32</f>
        <v>0</v>
      </c>
      <c r="P34" s="264">
        <f t="shared" si="1"/>
        <v>73.900000000000006</v>
      </c>
      <c r="Q34" s="142">
        <f>'[1]Reading.4.24'!AB32</f>
        <v>0</v>
      </c>
      <c r="R34" s="207">
        <f t="shared" si="2"/>
        <v>483.33333333333331</v>
      </c>
      <c r="S34" s="274">
        <f>'[1]Cost.4.23'!T34</f>
        <v>0</v>
      </c>
      <c r="T34" s="143">
        <f t="shared" si="3"/>
        <v>0</v>
      </c>
      <c r="U34" s="99"/>
      <c r="V34" s="144">
        <f>'[1]Reading.4.24'!G32</f>
        <v>711</v>
      </c>
      <c r="W34" s="173">
        <f t="shared" si="25"/>
        <v>598.29999999999995</v>
      </c>
      <c r="X34" s="208">
        <f t="shared" si="26"/>
        <v>2907.6666666666665</v>
      </c>
      <c r="Y34" s="276">
        <f>'[1]Cost.4.23'!Z34</f>
        <v>2736.33</v>
      </c>
      <c r="Z34" s="29">
        <f>'[1]Reading.4.24'!G32*4.86</f>
        <v>3455.46</v>
      </c>
      <c r="AA34" s="100"/>
      <c r="AB34" s="145">
        <f>'[1]Reading.4.24'!O32</f>
        <v>507.1</v>
      </c>
      <c r="AC34" s="216">
        <f t="shared" si="4"/>
        <v>1891.4830000000002</v>
      </c>
      <c r="AD34" s="176">
        <f t="shared" si="5"/>
        <v>388.45</v>
      </c>
      <c r="AE34" s="216">
        <f t="shared" si="6"/>
        <v>1468.3</v>
      </c>
      <c r="AF34" s="216">
        <f>'[1]Cost.4.23'!AB34</f>
        <v>525.54000000000008</v>
      </c>
      <c r="AG34" s="216">
        <f>'[1]Cost.4.23'!AC34</f>
        <v>1960.2642000000003</v>
      </c>
      <c r="AH34" s="216">
        <f>'[1]Reading.4.24'!K32</f>
        <v>182.05199999999999</v>
      </c>
      <c r="AI34" s="216">
        <f t="shared" si="7"/>
        <v>679.05395999999996</v>
      </c>
      <c r="AJ34" s="176">
        <f t="shared" si="8"/>
        <v>129.48333333333332</v>
      </c>
      <c r="AK34" s="216">
        <f t="shared" si="9"/>
        <v>489.43333333333334</v>
      </c>
      <c r="AL34" s="216">
        <f>'[1]Cost.4.23'!AH34</f>
        <v>186.72</v>
      </c>
      <c r="AM34" s="216">
        <f>'[1]Cost.4.23'!AI34</f>
        <v>696.46559999999999</v>
      </c>
      <c r="AN34" s="176">
        <f t="shared" si="10"/>
        <v>689.15200000000004</v>
      </c>
      <c r="AO34" s="176">
        <f t="shared" si="11"/>
        <v>712.2600000000001</v>
      </c>
      <c r="AP34" s="176">
        <f t="shared" si="12"/>
        <v>517.93333333333328</v>
      </c>
      <c r="AQ34" s="182">
        <f t="shared" si="13"/>
        <v>1957.7333333333333</v>
      </c>
      <c r="AR34" s="278">
        <f>'[1]Cost.4.23'!AS34</f>
        <v>2656.7298000000001</v>
      </c>
      <c r="AS34" s="66">
        <f t="shared" si="14"/>
        <v>2570.5369600000004</v>
      </c>
      <c r="AT34" s="116"/>
      <c r="AU34" s="115"/>
      <c r="AV34" s="252">
        <f>'[1]Reading.4.24'!AE32/'[1]Cost.4.24'!F34</f>
        <v>99.589743589734638</v>
      </c>
      <c r="AW34" s="253">
        <f t="shared" si="15"/>
        <v>138.42974358973112</v>
      </c>
      <c r="AX34" s="254">
        <f t="shared" si="16"/>
        <v>1.823076923076923</v>
      </c>
      <c r="AY34" s="255">
        <f t="shared" si="17"/>
        <v>8.860153846153846</v>
      </c>
      <c r="AZ34" s="256">
        <f t="shared" si="18"/>
        <v>1.7670564102564104</v>
      </c>
      <c r="BA34" s="257">
        <f t="shared" si="19"/>
        <v>6.5911204102564112</v>
      </c>
      <c r="BB34" s="114"/>
      <c r="BC34" s="146">
        <f>'[1]Cost.4.23'!BE34</f>
        <v>52505.059799987896</v>
      </c>
      <c r="BD34" s="146">
        <f t="shared" si="20"/>
        <v>48882.73333333333</v>
      </c>
      <c r="BE34" s="147">
        <f t="shared" si="21"/>
        <v>60013.596959995135</v>
      </c>
      <c r="BF34" s="99"/>
      <c r="BG34" s="148">
        <f>'[1]Cost.4.23'!BI34</f>
        <v>141.14263387093521</v>
      </c>
      <c r="BH34" s="148">
        <f t="shared" si="22"/>
        <v>145.7011425732737</v>
      </c>
      <c r="BI34" s="149">
        <f t="shared" si="23"/>
        <v>153.88101784614136</v>
      </c>
      <c r="BJ34" s="4"/>
    </row>
    <row r="35" spans="1:62" ht="13.8" thickBot="1" x14ac:dyDescent="0.3">
      <c r="A35" s="3"/>
      <c r="B35" s="101">
        <v>45410</v>
      </c>
      <c r="C35" s="20"/>
      <c r="D35" s="138">
        <f>'[1]Reading.4.24'!AI33</f>
        <v>0.59889999999999999</v>
      </c>
      <c r="E35" s="96"/>
      <c r="F35" s="139">
        <f>'[1]Reading.4.24'!AM33</f>
        <v>315</v>
      </c>
      <c r="G35" s="95"/>
      <c r="H35" s="139">
        <f>'[1]Reading.4.24'!AO33</f>
        <v>335.5</v>
      </c>
      <c r="I35" s="96"/>
      <c r="J35" s="140">
        <f>'[1]Reading.4.24'!X33</f>
        <v>34600.000000005821</v>
      </c>
      <c r="K35" s="206">
        <f t="shared" si="24"/>
        <v>43534</v>
      </c>
      <c r="L35" s="206">
        <f>'[1]Cost.4.23'!M35</f>
        <v>50127.999999996973</v>
      </c>
      <c r="M35" s="240">
        <f t="shared" si="0"/>
        <v>48094.000000008091</v>
      </c>
      <c r="N35" s="98"/>
      <c r="O35" s="141">
        <f>'[1]Reading.4.24'!T33</f>
        <v>0</v>
      </c>
      <c r="P35" s="264">
        <f t="shared" si="1"/>
        <v>73.900000000000006</v>
      </c>
      <c r="Q35" s="142">
        <f>'[1]Reading.4.24'!AB33</f>
        <v>0</v>
      </c>
      <c r="R35" s="207">
        <f t="shared" si="2"/>
        <v>483.33333333333331</v>
      </c>
      <c r="S35" s="274">
        <f>'[1]Cost.4.23'!T35</f>
        <v>0</v>
      </c>
      <c r="T35" s="143">
        <f t="shared" si="3"/>
        <v>0</v>
      </c>
      <c r="U35" s="99"/>
      <c r="V35" s="144">
        <f>'[1]Reading.4.24'!G33</f>
        <v>379</v>
      </c>
      <c r="W35" s="173">
        <f t="shared" si="25"/>
        <v>598.29999999999995</v>
      </c>
      <c r="X35" s="208">
        <f t="shared" si="26"/>
        <v>2907.6666666666665</v>
      </c>
      <c r="Y35" s="276">
        <f>'[1]Cost.4.23'!Z35</f>
        <v>2546.5</v>
      </c>
      <c r="Z35" s="29">
        <f>'[1]Reading.4.24'!G33*4.86</f>
        <v>1841.94</v>
      </c>
      <c r="AA35" s="100"/>
      <c r="AB35" s="145">
        <f>'[1]Reading.4.24'!O33</f>
        <v>474.83000000000004</v>
      </c>
      <c r="AC35" s="216">
        <f t="shared" si="4"/>
        <v>1771.1159000000002</v>
      </c>
      <c r="AD35" s="176">
        <f t="shared" si="5"/>
        <v>388.45</v>
      </c>
      <c r="AE35" s="216">
        <f t="shared" si="6"/>
        <v>1468.3</v>
      </c>
      <c r="AF35" s="216">
        <f>'[1]Cost.4.23'!AB35</f>
        <v>511.71000000000004</v>
      </c>
      <c r="AG35" s="216">
        <f>'[1]Cost.4.23'!AC35</f>
        <v>1908.6783</v>
      </c>
      <c r="AH35" s="216">
        <f>'[1]Reading.4.24'!K33</f>
        <v>168.048</v>
      </c>
      <c r="AI35" s="216">
        <f t="shared" si="7"/>
        <v>626.81903999999997</v>
      </c>
      <c r="AJ35" s="176">
        <f t="shared" si="8"/>
        <v>129.48333333333332</v>
      </c>
      <c r="AK35" s="216">
        <f t="shared" si="9"/>
        <v>489.43333333333334</v>
      </c>
      <c r="AL35" s="216">
        <f>'[1]Cost.4.23'!AH35</f>
        <v>177.38400000000001</v>
      </c>
      <c r="AM35" s="216">
        <f>'[1]Cost.4.23'!AI35</f>
        <v>661.64232000000004</v>
      </c>
      <c r="AN35" s="176">
        <f t="shared" si="10"/>
        <v>642.87800000000004</v>
      </c>
      <c r="AO35" s="176">
        <f t="shared" si="11"/>
        <v>689.09400000000005</v>
      </c>
      <c r="AP35" s="176">
        <f t="shared" si="12"/>
        <v>517.93333333333328</v>
      </c>
      <c r="AQ35" s="182">
        <f t="shared" si="13"/>
        <v>1957.7333333333333</v>
      </c>
      <c r="AR35" s="278">
        <f>'[1]Cost.4.23'!AS35</f>
        <v>2570.32062</v>
      </c>
      <c r="AS35" s="66">
        <f t="shared" si="14"/>
        <v>2397.9349400000001</v>
      </c>
      <c r="AT35" s="116"/>
      <c r="AU35" s="115"/>
      <c r="AV35" s="252">
        <f>'[1]Reading.4.24'!AE33/'[1]Cost.4.24'!F35</f>
        <v>109.84126984128832</v>
      </c>
      <c r="AW35" s="253">
        <f t="shared" si="15"/>
        <v>152.67936507939078</v>
      </c>
      <c r="AX35" s="254">
        <f t="shared" si="16"/>
        <v>1.2031746031746031</v>
      </c>
      <c r="AY35" s="255">
        <f t="shared" si="17"/>
        <v>5.8474285714285719</v>
      </c>
      <c r="AZ35" s="256">
        <f t="shared" si="18"/>
        <v>2.0408825396825399</v>
      </c>
      <c r="BA35" s="257">
        <f t="shared" si="19"/>
        <v>7.6124918730158733</v>
      </c>
      <c r="BB35" s="114"/>
      <c r="BC35" s="146">
        <f>'[1]Cost.4.23'!BE35</f>
        <v>55244.820619996972</v>
      </c>
      <c r="BD35" s="146">
        <f t="shared" si="20"/>
        <v>48882.73333333333</v>
      </c>
      <c r="BE35" s="147">
        <f t="shared" si="21"/>
        <v>52333.874940008092</v>
      </c>
      <c r="BF35" s="99"/>
      <c r="BG35" s="148">
        <f>'[1]Cost.4.23'!BI35</f>
        <v>166.40006210842461</v>
      </c>
      <c r="BH35" s="148">
        <f t="shared" si="22"/>
        <v>145.7011425732737</v>
      </c>
      <c r="BI35" s="149">
        <f t="shared" si="23"/>
        <v>166.13928552383521</v>
      </c>
      <c r="BJ35" s="4"/>
    </row>
    <row r="36" spans="1:62" ht="13.8" thickBot="1" x14ac:dyDescent="0.3">
      <c r="A36" s="3"/>
      <c r="B36" s="101">
        <v>45411</v>
      </c>
      <c r="C36" s="20"/>
      <c r="D36" s="138">
        <f>'[1]Reading.4.24'!AI34</f>
        <v>0.58169999999999999</v>
      </c>
      <c r="E36" s="96"/>
      <c r="F36" s="139">
        <f>'[1]Reading.4.24'!AM34</f>
        <v>306</v>
      </c>
      <c r="G36" s="95"/>
      <c r="H36" s="139">
        <f>'[1]Reading.4.24'!AO34</f>
        <v>335.5</v>
      </c>
      <c r="I36" s="96"/>
      <c r="J36" s="140">
        <f>'[1]Reading.4.24'!X34</f>
        <v>36440.000000002328</v>
      </c>
      <c r="K36" s="206">
        <f t="shared" si="24"/>
        <v>43534</v>
      </c>
      <c r="L36" s="206">
        <f>'[1]Cost.4.23'!M36</f>
        <v>42172.000000003027</v>
      </c>
      <c r="M36" s="240">
        <f t="shared" si="0"/>
        <v>50651.600000003236</v>
      </c>
      <c r="N36" s="98"/>
      <c r="O36" s="141">
        <f>'[1]Reading.4.24'!T34</f>
        <v>0</v>
      </c>
      <c r="P36" s="264">
        <f t="shared" si="1"/>
        <v>73.900000000000006</v>
      </c>
      <c r="Q36" s="142">
        <f>'[1]Reading.4.24'!AB34</f>
        <v>0</v>
      </c>
      <c r="R36" s="207">
        <f t="shared" si="2"/>
        <v>483.33333333333331</v>
      </c>
      <c r="S36" s="274">
        <f>'[1]Cost.4.23'!T36</f>
        <v>0</v>
      </c>
      <c r="T36" s="143">
        <f t="shared" si="3"/>
        <v>0</v>
      </c>
      <c r="U36" s="99"/>
      <c r="V36" s="144">
        <f>'[1]Reading.4.24'!G34</f>
        <v>625</v>
      </c>
      <c r="W36" s="173">
        <f t="shared" si="25"/>
        <v>598.29999999999995</v>
      </c>
      <c r="X36" s="208">
        <f t="shared" si="26"/>
        <v>2907.6666666666665</v>
      </c>
      <c r="Y36" s="276">
        <f>'[1]Cost.4.23'!Z36</f>
        <v>2370.56</v>
      </c>
      <c r="Z36" s="29">
        <f>'[1]Reading.4.24'!G34*4.86</f>
        <v>3037.5</v>
      </c>
      <c r="AA36" s="100"/>
      <c r="AB36" s="145">
        <f>'[1]Reading.4.24'!O34</f>
        <v>497.88000000000005</v>
      </c>
      <c r="AC36" s="216">
        <f t="shared" si="4"/>
        <v>1857.0924000000002</v>
      </c>
      <c r="AD36" s="176">
        <f t="shared" si="5"/>
        <v>388.45</v>
      </c>
      <c r="AE36" s="216">
        <f t="shared" si="6"/>
        <v>1468.3</v>
      </c>
      <c r="AF36" s="216">
        <f>'[1]Cost.4.23'!AB36</f>
        <v>534.76</v>
      </c>
      <c r="AG36" s="216">
        <f>'[1]Cost.4.23'!AC36</f>
        <v>1994.6548</v>
      </c>
      <c r="AH36" s="216">
        <f>'[1]Reading.4.24'!K34</f>
        <v>126.036</v>
      </c>
      <c r="AI36" s="216">
        <f t="shared" si="7"/>
        <v>470.11428000000001</v>
      </c>
      <c r="AJ36" s="176">
        <f t="shared" si="8"/>
        <v>129.48333333333332</v>
      </c>
      <c r="AK36" s="216">
        <f t="shared" si="9"/>
        <v>489.43333333333334</v>
      </c>
      <c r="AL36" s="216">
        <f>'[1]Cost.4.23'!AH36</f>
        <v>182.05199999999999</v>
      </c>
      <c r="AM36" s="216">
        <f>'[1]Cost.4.23'!AI36</f>
        <v>679.05395999999996</v>
      </c>
      <c r="AN36" s="176">
        <f t="shared" si="10"/>
        <v>623.91600000000005</v>
      </c>
      <c r="AO36" s="176">
        <f t="shared" si="11"/>
        <v>716.81200000000001</v>
      </c>
      <c r="AP36" s="176">
        <f t="shared" si="12"/>
        <v>517.93333333333328</v>
      </c>
      <c r="AQ36" s="182">
        <f t="shared" si="13"/>
        <v>1957.7333333333333</v>
      </c>
      <c r="AR36" s="278">
        <f>'[1]Cost.4.23'!AS36</f>
        <v>2673.70876</v>
      </c>
      <c r="AS36" s="66">
        <f t="shared" si="14"/>
        <v>2327.2066800000002</v>
      </c>
      <c r="AT36" s="116"/>
      <c r="AU36" s="115"/>
      <c r="AV36" s="252">
        <f>'[1]Reading.4.24'!AE34/'[1]Cost.4.24'!F36</f>
        <v>119.08496732026904</v>
      </c>
      <c r="AW36" s="253">
        <f t="shared" si="15"/>
        <v>165.52810457517398</v>
      </c>
      <c r="AX36" s="254">
        <f t="shared" si="16"/>
        <v>2.0424836601307188</v>
      </c>
      <c r="AY36" s="255">
        <f t="shared" si="17"/>
        <v>9.9264705882352935</v>
      </c>
      <c r="AZ36" s="256">
        <f t="shared" si="18"/>
        <v>2.0389411764705883</v>
      </c>
      <c r="BA36" s="257">
        <f t="shared" si="19"/>
        <v>7.605250588235295</v>
      </c>
      <c r="BB36" s="114"/>
      <c r="BC36" s="146">
        <f>'[1]Cost.4.23'!BE36</f>
        <v>47216.268760003026</v>
      </c>
      <c r="BD36" s="146">
        <f t="shared" si="20"/>
        <v>48882.73333333333</v>
      </c>
      <c r="BE36" s="147">
        <f t="shared" si="21"/>
        <v>56016.306680003239</v>
      </c>
      <c r="BF36" s="99"/>
      <c r="BG36" s="148">
        <f>'[1]Cost.4.23'!BI36</f>
        <v>156.345260794712</v>
      </c>
      <c r="BH36" s="148">
        <f t="shared" si="22"/>
        <v>145.7011425732737</v>
      </c>
      <c r="BI36" s="149">
        <f t="shared" si="23"/>
        <v>183.05982575164458</v>
      </c>
      <c r="BJ36" s="4"/>
    </row>
    <row r="37" spans="1:62" ht="13.8" thickBot="1" x14ac:dyDescent="0.3">
      <c r="A37" s="3"/>
      <c r="B37" s="101">
        <v>45412</v>
      </c>
      <c r="C37" s="20"/>
      <c r="D37" s="138">
        <f>'[1]Reading.4.24'!AI35</f>
        <v>0.55510000000000004</v>
      </c>
      <c r="E37" s="96"/>
      <c r="F37" s="139">
        <f>'[1]Reading.4.24'!AM35</f>
        <v>291</v>
      </c>
      <c r="G37" s="95"/>
      <c r="H37" s="139">
        <f>'[1]Reading.4.24'!AO35</f>
        <v>335.5</v>
      </c>
      <c r="I37" s="96"/>
      <c r="J37" s="140">
        <f>'[1]Reading.4.24'!X35</f>
        <v>32559.999999997672</v>
      </c>
      <c r="K37" s="206">
        <f t="shared" si="24"/>
        <v>43534</v>
      </c>
      <c r="L37" s="206">
        <f>'[1]Cost.4.23'!M37</f>
        <v>41652.000000010594</v>
      </c>
      <c r="M37" s="240">
        <f t="shared" si="0"/>
        <v>45258.399999996764</v>
      </c>
      <c r="N37" s="98"/>
      <c r="O37" s="141">
        <f>'[1]Reading.4.24'!T35</f>
        <v>0</v>
      </c>
      <c r="P37" s="264">
        <f t="shared" si="1"/>
        <v>73.900000000000006</v>
      </c>
      <c r="Q37" s="142">
        <f>'[1]Reading.4.24'!AB35</f>
        <v>0</v>
      </c>
      <c r="R37" s="207">
        <f t="shared" si="2"/>
        <v>483.33333333333331</v>
      </c>
      <c r="S37" s="274">
        <f>'[1]Cost.4.23'!T37</f>
        <v>0</v>
      </c>
      <c r="T37" s="143">
        <f t="shared" si="3"/>
        <v>0</v>
      </c>
      <c r="U37" s="99"/>
      <c r="V37" s="144">
        <f>'[1]Reading.4.24'!G35</f>
        <v>512</v>
      </c>
      <c r="W37" s="173">
        <f t="shared" si="25"/>
        <v>598.29999999999995</v>
      </c>
      <c r="X37" s="208">
        <f t="shared" si="26"/>
        <v>2907.6666666666665</v>
      </c>
      <c r="Y37" s="276">
        <f>'[1]Cost.4.23'!Z37</f>
        <v>1930.71</v>
      </c>
      <c r="Z37" s="29">
        <f>'[1]Reading.4.24'!G35*4.86</f>
        <v>2488.3200000000002</v>
      </c>
      <c r="AA37" s="100"/>
      <c r="AB37" s="145">
        <f>'[1]Reading.4.24'!O35</f>
        <v>461.00000000000006</v>
      </c>
      <c r="AC37" s="216">
        <f t="shared" si="4"/>
        <v>1719.5300000000002</v>
      </c>
      <c r="AD37" s="176">
        <f t="shared" si="5"/>
        <v>388.45</v>
      </c>
      <c r="AE37" s="216">
        <f t="shared" si="6"/>
        <v>1468.3</v>
      </c>
      <c r="AF37" s="216">
        <f>'[1]Cost.4.23'!AB37</f>
        <v>516.32000000000005</v>
      </c>
      <c r="AG37" s="216">
        <f>'[1]Cost.4.23'!AC37</f>
        <v>1925.8736000000001</v>
      </c>
      <c r="AH37" s="216">
        <f>'[1]Reading.4.24'!K35</f>
        <v>154.04400000000001</v>
      </c>
      <c r="AI37" s="216">
        <f t="shared" si="7"/>
        <v>574.58411999999998</v>
      </c>
      <c r="AJ37" s="176">
        <f t="shared" si="8"/>
        <v>129.48333333333332</v>
      </c>
      <c r="AK37" s="216">
        <f t="shared" si="9"/>
        <v>489.43333333333334</v>
      </c>
      <c r="AL37" s="216">
        <f>'[1]Cost.4.23'!AH37</f>
        <v>168.048</v>
      </c>
      <c r="AM37" s="216">
        <f>'[1]Cost.4.23'!AI37</f>
        <v>626.81903999999997</v>
      </c>
      <c r="AN37" s="176">
        <f t="shared" si="10"/>
        <v>615.0440000000001</v>
      </c>
      <c r="AO37" s="176">
        <f t="shared" si="11"/>
        <v>684.36800000000005</v>
      </c>
      <c r="AP37" s="176">
        <f t="shared" si="12"/>
        <v>517.93333333333328</v>
      </c>
      <c r="AQ37" s="182">
        <f t="shared" si="13"/>
        <v>1957.7333333333333</v>
      </c>
      <c r="AR37" s="278">
        <f>'[1]Cost.4.23'!AS37</f>
        <v>2552.6926400000002</v>
      </c>
      <c r="AS37" s="66">
        <f t="shared" si="14"/>
        <v>2294.1141200000002</v>
      </c>
      <c r="AT37" s="116"/>
      <c r="AU37" s="115"/>
      <c r="AV37" s="252">
        <f>'[1]Reading.4.24'!AE35/'[1]Cost.4.24'!F37</f>
        <v>111.89003436425317</v>
      </c>
      <c r="AW37" s="253">
        <f t="shared" si="15"/>
        <v>155.52714776631191</v>
      </c>
      <c r="AX37" s="254">
        <f t="shared" si="16"/>
        <v>1.7594501718213058</v>
      </c>
      <c r="AY37" s="255">
        <f t="shared" si="17"/>
        <v>8.5509278350515476</v>
      </c>
      <c r="AZ37" s="256">
        <f t="shared" si="18"/>
        <v>2.1135532646048114</v>
      </c>
      <c r="BA37" s="257">
        <f t="shared" si="19"/>
        <v>7.8835536769759456</v>
      </c>
      <c r="BB37" s="114"/>
      <c r="BC37" s="146">
        <f>'[1]Cost.4.23'!BE37</f>
        <v>46135.402640010594</v>
      </c>
      <c r="BD37" s="146">
        <f t="shared" si="20"/>
        <v>48882.73333333333</v>
      </c>
      <c r="BE37" s="147">
        <f t="shared" si="21"/>
        <v>50040.834119996762</v>
      </c>
      <c r="BF37" s="99"/>
      <c r="BG37" s="148">
        <f>'[1]Cost.4.23'!BI37</f>
        <v>160.7505318467268</v>
      </c>
      <c r="BH37" s="148">
        <f t="shared" si="22"/>
        <v>145.7011425732737</v>
      </c>
      <c r="BI37" s="149">
        <f t="shared" si="23"/>
        <v>171.96162927833939</v>
      </c>
      <c r="BJ37" s="4"/>
    </row>
    <row r="38" spans="1:62" ht="13.8" thickBot="1" x14ac:dyDescent="0.3">
      <c r="A38" s="3"/>
      <c r="B38" s="101"/>
      <c r="C38" s="20"/>
      <c r="D38" s="138"/>
      <c r="E38" s="96"/>
      <c r="F38" s="139"/>
      <c r="G38" s="95"/>
      <c r="H38" s="139"/>
      <c r="I38" s="96"/>
      <c r="J38" s="140"/>
      <c r="K38" s="206"/>
      <c r="L38" s="206"/>
      <c r="M38" s="240"/>
      <c r="N38" s="98"/>
      <c r="O38" s="141"/>
      <c r="P38" s="264"/>
      <c r="Q38" s="142"/>
      <c r="R38" s="207"/>
      <c r="S38" s="274"/>
      <c r="T38" s="143"/>
      <c r="U38" s="99"/>
      <c r="V38" s="144"/>
      <c r="W38" s="173"/>
      <c r="X38" s="208"/>
      <c r="Y38" s="276"/>
      <c r="Z38" s="29"/>
      <c r="AA38" s="100"/>
      <c r="AB38" s="145"/>
      <c r="AC38" s="216"/>
      <c r="AD38" s="176"/>
      <c r="AE38" s="216"/>
      <c r="AF38" s="216"/>
      <c r="AG38" s="216"/>
      <c r="AH38" s="216"/>
      <c r="AI38" s="216"/>
      <c r="AJ38" s="176"/>
      <c r="AK38" s="216"/>
      <c r="AL38" s="216"/>
      <c r="AM38" s="216"/>
      <c r="AN38" s="176"/>
      <c r="AO38" s="176"/>
      <c r="AP38" s="176"/>
      <c r="AQ38" s="182"/>
      <c r="AR38" s="278"/>
      <c r="AS38" s="66"/>
      <c r="AT38" s="116"/>
      <c r="AU38" s="115"/>
      <c r="AV38" s="252"/>
      <c r="AW38" s="253"/>
      <c r="AX38" s="254"/>
      <c r="AY38" s="255"/>
      <c r="AZ38" s="256"/>
      <c r="BA38" s="257"/>
      <c r="BB38" s="114"/>
      <c r="BC38" s="146"/>
      <c r="BD38" s="146"/>
      <c r="BE38" s="147"/>
      <c r="BF38" s="99"/>
      <c r="BG38" s="148"/>
      <c r="BH38" s="148"/>
      <c r="BI38" s="149"/>
      <c r="BJ38" s="4"/>
    </row>
    <row r="39" spans="1:62" ht="27" customHeight="1" thickBot="1" x14ac:dyDescent="0.3">
      <c r="A39" s="3"/>
      <c r="B39" s="523" t="s">
        <v>13</v>
      </c>
      <c r="C39" s="23"/>
      <c r="D39" s="80">
        <f>AVERAGE(D8:D38)</f>
        <v>0.63662000000000007</v>
      </c>
      <c r="E39" s="97"/>
      <c r="F39" s="94">
        <f>SUM(F8:F38)</f>
        <v>10046</v>
      </c>
      <c r="G39" s="95"/>
      <c r="H39" s="94">
        <f>SUM(H8:H38)</f>
        <v>10065</v>
      </c>
      <c r="I39" s="23"/>
      <c r="J39" s="51">
        <f>SUM(J8:J38)</f>
        <v>997239.99999999069</v>
      </c>
      <c r="K39" s="52">
        <f>SUM(K8:K38)</f>
        <v>1306020</v>
      </c>
      <c r="L39" s="52">
        <f>SUM(L8:L38)</f>
        <v>1250027.9999999972</v>
      </c>
      <c r="M39" s="31">
        <f>SUM(M8:M38)</f>
        <v>1386163.5999999875</v>
      </c>
      <c r="N39" s="98"/>
      <c r="O39" s="49">
        <f t="shared" ref="O39:T39" si="27">SUM(O8:O38)</f>
        <v>0</v>
      </c>
      <c r="P39" s="85">
        <f t="shared" si="27"/>
        <v>2217.0000000000014</v>
      </c>
      <c r="Q39" s="85">
        <f t="shared" si="27"/>
        <v>20</v>
      </c>
      <c r="R39" s="50">
        <f t="shared" si="27"/>
        <v>14500.000000000005</v>
      </c>
      <c r="S39" s="50">
        <f t="shared" si="27"/>
        <v>0</v>
      </c>
      <c r="T39" s="48">
        <f t="shared" si="27"/>
        <v>0</v>
      </c>
      <c r="U39" s="21"/>
      <c r="V39" s="53">
        <f>SUM(V8:V38)</f>
        <v>17102</v>
      </c>
      <c r="W39" s="54">
        <f>SUM(W8:W38)</f>
        <v>17948.999999999989</v>
      </c>
      <c r="X39" s="54">
        <f>SUM(X8:X38)</f>
        <v>87230.000000000015</v>
      </c>
      <c r="Y39" s="54">
        <f>SUM(Y8:Y38)</f>
        <v>75274.540000000023</v>
      </c>
      <c r="Z39" s="29">
        <f>SUM(Z8:Z38)</f>
        <v>83115.720000000045</v>
      </c>
      <c r="AA39" s="22"/>
      <c r="AB39" s="177">
        <f t="shared" ref="AB39:AS39" si="28">SUM(AB8:AB38)</f>
        <v>13899.15</v>
      </c>
      <c r="AC39" s="67">
        <f t="shared" si="28"/>
        <v>51843.8295</v>
      </c>
      <c r="AD39" s="67">
        <f t="shared" si="28"/>
        <v>11653.500000000004</v>
      </c>
      <c r="AE39" s="67">
        <f t="shared" si="28"/>
        <v>44049.000000000007</v>
      </c>
      <c r="AF39" s="67">
        <f t="shared" si="28"/>
        <v>13779.290000000003</v>
      </c>
      <c r="AG39" s="67">
        <f t="shared" si="28"/>
        <v>51396.751699999993</v>
      </c>
      <c r="AH39" s="67">
        <f t="shared" si="28"/>
        <v>5111.46</v>
      </c>
      <c r="AI39" s="67">
        <f t="shared" si="28"/>
        <v>19065.745800000001</v>
      </c>
      <c r="AJ39" s="67">
        <f t="shared" si="28"/>
        <v>3884.4999999999968</v>
      </c>
      <c r="AK39" s="67">
        <f t="shared" si="28"/>
        <v>14682.999999999989</v>
      </c>
      <c r="AL39" s="67">
        <f t="shared" si="28"/>
        <v>5358.8639999999996</v>
      </c>
      <c r="AM39" s="67">
        <f t="shared" si="28"/>
        <v>19988.562719999998</v>
      </c>
      <c r="AN39" s="67">
        <f t="shared" si="28"/>
        <v>19010.610000000008</v>
      </c>
      <c r="AO39" s="67">
        <f t="shared" si="28"/>
        <v>19138.153999999999</v>
      </c>
      <c r="AP39" s="67">
        <f t="shared" si="28"/>
        <v>15537.999999999987</v>
      </c>
      <c r="AQ39" s="67">
        <f t="shared" si="28"/>
        <v>58731.999999999956</v>
      </c>
      <c r="AR39" s="67">
        <f t="shared" si="28"/>
        <v>71385.314419999981</v>
      </c>
      <c r="AS39" s="66">
        <f t="shared" si="28"/>
        <v>70909.575299999997</v>
      </c>
      <c r="AT39" s="91"/>
      <c r="AU39" s="34"/>
      <c r="AV39" s="81">
        <f t="shared" ref="AV39:BA39" si="29">AVERAGE(AV8:AV38)</f>
        <v>100.78468083159811</v>
      </c>
      <c r="AW39" s="83">
        <f t="shared" si="29"/>
        <v>140.0869996892547</v>
      </c>
      <c r="AX39" s="81">
        <f t="shared" si="29"/>
        <v>1.727975006387815</v>
      </c>
      <c r="AY39" s="82">
        <f t="shared" si="29"/>
        <v>8.3979585310447771</v>
      </c>
      <c r="AZ39" s="84">
        <f t="shared" si="29"/>
        <v>1.9173272720804944</v>
      </c>
      <c r="BA39" s="82">
        <f t="shared" si="29"/>
        <v>7.1516307248602464</v>
      </c>
      <c r="BB39" s="34"/>
      <c r="BC39" s="24">
        <f>SUM(BC8:BC38)</f>
        <v>1396687.8544199967</v>
      </c>
      <c r="BD39" s="24">
        <f>SUM(BD8:BD38)</f>
        <v>1466482</v>
      </c>
      <c r="BE39" s="78">
        <f>SUM(BE8:BE38)</f>
        <v>1540188.8952999869</v>
      </c>
      <c r="BF39" s="99"/>
      <c r="BG39" s="93">
        <f>BC39/'[1]Reading.4.24'!AN37</f>
        <v>155.41202341381961</v>
      </c>
      <c r="BH39" s="93">
        <f>AVERAGE(BH8:BH38)</f>
        <v>145.70114257327361</v>
      </c>
      <c r="BI39" s="93">
        <f>AVERAGE(BI8:BI38)</f>
        <v>155.63658894515976</v>
      </c>
      <c r="BJ39" s="4"/>
    </row>
    <row r="40" spans="1:62" ht="7.5" customHeight="1" thickBot="1" x14ac:dyDescent="0.3">
      <c r="A40" s="5"/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60"/>
      <c r="O40" s="25"/>
      <c r="P40" s="25"/>
      <c r="Q40" s="25"/>
      <c r="R40" s="26"/>
      <c r="S40" s="26"/>
      <c r="T40" s="26"/>
      <c r="U40" s="26"/>
      <c r="V40" s="25"/>
      <c r="W40" s="25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92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26"/>
      <c r="BJ40" s="6"/>
    </row>
    <row r="41" spans="1:62" ht="13.8" thickTop="1" x14ac:dyDescent="0.25"/>
    <row r="42" spans="1:62" x14ac:dyDescent="0.25">
      <c r="J42">
        <f>+J39/30</f>
        <v>33241.333333333023</v>
      </c>
      <c r="K42">
        <v>0.64</v>
      </c>
      <c r="M42" s="46"/>
      <c r="N42"/>
      <c r="T42" s="47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BG42" s="46"/>
      <c r="BH42" s="46"/>
    </row>
    <row r="43" spans="1:62" ht="13.8" thickBot="1" x14ac:dyDescent="0.3">
      <c r="J43">
        <f>+J42*K43</f>
        <v>27257.893333333079</v>
      </c>
      <c r="K43">
        <v>0.82</v>
      </c>
      <c r="M43" s="44"/>
      <c r="N43" s="44"/>
      <c r="O43" s="44"/>
      <c r="P43" s="44"/>
      <c r="Q43" s="44"/>
      <c r="R43" s="44"/>
      <c r="S43" s="44"/>
      <c r="T43" s="45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</row>
    <row r="44" spans="1:62" x14ac:dyDescent="0.25">
      <c r="J44" s="206">
        <f>+J43/K42</f>
        <v>42590.458333332936</v>
      </c>
      <c r="L44" s="206">
        <f>+J44*30</f>
        <v>1277713.7499999881</v>
      </c>
    </row>
    <row r="45" spans="1:62" ht="13.8" thickBot="1" x14ac:dyDescent="0.3"/>
    <row r="46" spans="1:62" x14ac:dyDescent="0.25">
      <c r="L46" s="206">
        <f>+L44*1.94</f>
        <v>2478764.674999977</v>
      </c>
    </row>
  </sheetData>
  <mergeCells count="14">
    <mergeCell ref="A2:AS2"/>
    <mergeCell ref="BH5:BH6"/>
    <mergeCell ref="BC5:BC6"/>
    <mergeCell ref="BG5:BG6"/>
    <mergeCell ref="BI5:BI6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ageMargins left="0.36" right="0.16" top="0.28999999999999998" bottom="0.39" header="0.28000000000000003" footer="0.34"/>
  <pageSetup paperSize="9" scale="80" fitToHeight="0" pageOrder="overThenDown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B5:R38"/>
  <sheetViews>
    <sheetView workbookViewId="0"/>
  </sheetViews>
  <sheetFormatPr defaultRowHeight="13.2" x14ac:dyDescent="0.25"/>
  <sheetData>
    <row r="5" spans="2:18" ht="30" customHeight="1" x14ac:dyDescent="0.25">
      <c r="B5" s="693" t="s">
        <v>145</v>
      </c>
      <c r="C5" s="693"/>
      <c r="D5" s="693"/>
      <c r="E5" s="693"/>
      <c r="F5" s="693"/>
      <c r="G5" s="693"/>
      <c r="H5" s="693"/>
      <c r="I5" s="693"/>
      <c r="J5" s="693"/>
      <c r="K5" s="693"/>
      <c r="L5" s="693"/>
      <c r="M5" s="693"/>
      <c r="N5" s="693"/>
      <c r="O5" s="693"/>
      <c r="P5" s="693"/>
      <c r="Q5" s="693"/>
      <c r="R5" s="693"/>
    </row>
    <row r="6" spans="2:18" ht="26.4" x14ac:dyDescent="0.25">
      <c r="B6" s="285" t="s">
        <v>146</v>
      </c>
      <c r="C6" s="694" t="s">
        <v>147</v>
      </c>
      <c r="D6" s="694"/>
      <c r="E6" s="694"/>
      <c r="F6" s="694" t="s">
        <v>148</v>
      </c>
      <c r="G6" s="694"/>
      <c r="H6" s="694"/>
      <c r="I6" s="694" t="s">
        <v>149</v>
      </c>
      <c r="J6" s="694"/>
      <c r="K6" s="694"/>
      <c r="L6" s="694" t="s">
        <v>150</v>
      </c>
      <c r="M6" s="694"/>
      <c r="N6" s="694"/>
      <c r="O6" s="694" t="s">
        <v>151</v>
      </c>
      <c r="P6" s="694"/>
      <c r="Q6" s="694"/>
      <c r="R6" s="285" t="s">
        <v>152</v>
      </c>
    </row>
    <row r="7" spans="2:18" x14ac:dyDescent="0.25">
      <c r="B7" s="286" t="s">
        <v>153</v>
      </c>
      <c r="C7" s="286" t="s">
        <v>154</v>
      </c>
      <c r="D7" s="286" t="s">
        <v>155</v>
      </c>
      <c r="E7" s="286" t="s">
        <v>156</v>
      </c>
      <c r="F7" s="286" t="s">
        <v>154</v>
      </c>
      <c r="G7" s="286" t="s">
        <v>155</v>
      </c>
      <c r="H7" s="286" t="s">
        <v>156</v>
      </c>
      <c r="I7" s="286" t="s">
        <v>154</v>
      </c>
      <c r="J7" s="286" t="s">
        <v>155</v>
      </c>
      <c r="K7" s="286" t="s">
        <v>156</v>
      </c>
      <c r="L7" s="286" t="s">
        <v>154</v>
      </c>
      <c r="M7" s="286" t="s">
        <v>155</v>
      </c>
      <c r="N7" s="286" t="s">
        <v>156</v>
      </c>
      <c r="O7" s="286" t="s">
        <v>154</v>
      </c>
      <c r="P7" s="286" t="s">
        <v>155</v>
      </c>
      <c r="Q7" s="286" t="s">
        <v>156</v>
      </c>
    </row>
    <row r="8" spans="2:18" x14ac:dyDescent="0.25">
      <c r="B8" s="286">
        <v>1</v>
      </c>
      <c r="C8" s="286">
        <v>35</v>
      </c>
      <c r="D8" s="286">
        <v>29.8</v>
      </c>
      <c r="E8" s="286">
        <v>25</v>
      </c>
      <c r="F8" s="286">
        <v>14</v>
      </c>
      <c r="G8" s="286">
        <v>10.3</v>
      </c>
      <c r="H8" s="286">
        <v>7</v>
      </c>
      <c r="I8" s="286">
        <v>50</v>
      </c>
      <c r="J8" s="286">
        <v>31</v>
      </c>
      <c r="K8" s="286">
        <v>20</v>
      </c>
      <c r="L8" s="286">
        <v>37</v>
      </c>
      <c r="M8" s="286">
        <v>23.4</v>
      </c>
      <c r="N8" s="286">
        <v>4</v>
      </c>
      <c r="O8" s="286">
        <v>1003.9</v>
      </c>
      <c r="P8" s="286">
        <v>1002.9</v>
      </c>
      <c r="Q8" s="286">
        <v>1001.9</v>
      </c>
    </row>
    <row r="9" spans="2:18" x14ac:dyDescent="0.25">
      <c r="B9" s="286">
        <v>2</v>
      </c>
      <c r="C9" s="286">
        <v>39</v>
      </c>
      <c r="D9" s="286">
        <v>33.4</v>
      </c>
      <c r="E9" s="286">
        <v>26</v>
      </c>
      <c r="F9" s="286">
        <v>12</v>
      </c>
      <c r="G9" s="286">
        <v>8.6</v>
      </c>
      <c r="H9" s="286">
        <v>4</v>
      </c>
      <c r="I9" s="286">
        <v>42</v>
      </c>
      <c r="J9" s="286">
        <v>22.9</v>
      </c>
      <c r="K9" s="286">
        <v>14</v>
      </c>
      <c r="L9" s="286">
        <v>33</v>
      </c>
      <c r="M9" s="286">
        <v>13.8</v>
      </c>
      <c r="N9" s="286">
        <v>0</v>
      </c>
      <c r="O9" s="286">
        <v>1001.9</v>
      </c>
      <c r="P9" s="286">
        <v>1000.2</v>
      </c>
      <c r="Q9" s="286">
        <v>998.9</v>
      </c>
    </row>
    <row r="10" spans="2:18" x14ac:dyDescent="0.25">
      <c r="B10" s="286">
        <v>3</v>
      </c>
      <c r="C10" s="286">
        <v>33</v>
      </c>
      <c r="D10" s="286">
        <v>28.9</v>
      </c>
      <c r="E10" s="286">
        <v>24</v>
      </c>
      <c r="F10" s="286">
        <v>17</v>
      </c>
      <c r="G10" s="286">
        <v>12.1</v>
      </c>
      <c r="H10" s="286">
        <v>7</v>
      </c>
      <c r="I10" s="286">
        <v>65</v>
      </c>
      <c r="J10" s="286">
        <v>37.200000000000003</v>
      </c>
      <c r="K10" s="286">
        <v>20</v>
      </c>
      <c r="L10" s="286">
        <v>30</v>
      </c>
      <c r="M10" s="286">
        <v>16.3</v>
      </c>
      <c r="N10" s="286">
        <v>0</v>
      </c>
      <c r="O10" s="286">
        <v>1005.9</v>
      </c>
      <c r="P10" s="286">
        <v>1003.7</v>
      </c>
      <c r="Q10" s="286">
        <v>1001.9</v>
      </c>
    </row>
    <row r="11" spans="2:18" x14ac:dyDescent="0.25">
      <c r="B11" s="286">
        <v>4</v>
      </c>
      <c r="C11" s="286">
        <v>36</v>
      </c>
      <c r="D11" s="286">
        <v>31.1</v>
      </c>
      <c r="E11" s="286">
        <v>26</v>
      </c>
      <c r="F11" s="286">
        <v>15</v>
      </c>
      <c r="G11" s="286">
        <v>11.7</v>
      </c>
      <c r="H11" s="286">
        <v>10</v>
      </c>
      <c r="I11" s="286">
        <v>51</v>
      </c>
      <c r="J11" s="286">
        <v>31.3</v>
      </c>
      <c r="K11" s="286">
        <v>20</v>
      </c>
      <c r="L11" s="286">
        <v>30</v>
      </c>
      <c r="M11" s="286">
        <v>16.100000000000001</v>
      </c>
      <c r="N11" s="286">
        <v>6</v>
      </c>
      <c r="O11" s="286">
        <v>1004.9</v>
      </c>
      <c r="P11" s="286">
        <v>1003.4</v>
      </c>
      <c r="Q11" s="286">
        <v>1001.9</v>
      </c>
    </row>
    <row r="12" spans="2:18" x14ac:dyDescent="0.25">
      <c r="B12" s="286">
        <v>5</v>
      </c>
      <c r="C12" s="286">
        <v>36</v>
      </c>
      <c r="D12" s="286">
        <v>30.8</v>
      </c>
      <c r="E12" s="286">
        <v>26</v>
      </c>
      <c r="F12" s="286">
        <v>18</v>
      </c>
      <c r="G12" s="286">
        <v>15.1</v>
      </c>
      <c r="H12" s="286">
        <v>12</v>
      </c>
      <c r="I12" s="286">
        <v>61</v>
      </c>
      <c r="J12" s="286">
        <v>39.5</v>
      </c>
      <c r="K12" s="286">
        <v>28</v>
      </c>
      <c r="L12" s="286">
        <v>35</v>
      </c>
      <c r="M12" s="286">
        <v>25.1</v>
      </c>
      <c r="N12" s="286">
        <v>11</v>
      </c>
      <c r="O12" s="286">
        <v>1004.9</v>
      </c>
      <c r="P12" s="286">
        <v>1002.9</v>
      </c>
      <c r="Q12" s="286">
        <v>1000.9</v>
      </c>
    </row>
    <row r="13" spans="2:18" x14ac:dyDescent="0.25">
      <c r="B13" s="286">
        <v>6</v>
      </c>
      <c r="C13" s="286">
        <v>37</v>
      </c>
      <c r="D13" s="286">
        <v>31.4</v>
      </c>
      <c r="E13" s="286">
        <v>27</v>
      </c>
      <c r="F13" s="286">
        <v>17</v>
      </c>
      <c r="G13" s="286">
        <v>14.7</v>
      </c>
      <c r="H13" s="286">
        <v>11</v>
      </c>
      <c r="I13" s="286">
        <v>54</v>
      </c>
      <c r="J13" s="286">
        <v>37.6</v>
      </c>
      <c r="K13" s="286">
        <v>21</v>
      </c>
      <c r="L13" s="286">
        <v>28</v>
      </c>
      <c r="M13" s="286">
        <v>14.5</v>
      </c>
      <c r="N13" s="286">
        <v>0</v>
      </c>
      <c r="O13" s="286">
        <v>1004.9</v>
      </c>
      <c r="P13" s="286">
        <v>1002.6</v>
      </c>
      <c r="Q13" s="286">
        <v>1000.9</v>
      </c>
    </row>
    <row r="14" spans="2:18" x14ac:dyDescent="0.25">
      <c r="B14" s="286">
        <v>7</v>
      </c>
      <c r="C14" s="286">
        <v>39</v>
      </c>
      <c r="D14" s="286">
        <v>32.200000000000003</v>
      </c>
      <c r="E14" s="286">
        <v>28</v>
      </c>
      <c r="F14" s="286">
        <v>18</v>
      </c>
      <c r="G14" s="286">
        <v>15.3</v>
      </c>
      <c r="H14" s="286">
        <v>13</v>
      </c>
      <c r="I14" s="286">
        <v>48</v>
      </c>
      <c r="J14" s="286">
        <v>36.9</v>
      </c>
      <c r="K14" s="286">
        <v>22</v>
      </c>
      <c r="L14" s="286">
        <v>22</v>
      </c>
      <c r="M14" s="286">
        <v>9.1999999999999993</v>
      </c>
      <c r="N14" s="286">
        <v>0</v>
      </c>
      <c r="O14" s="286">
        <v>1002.9</v>
      </c>
      <c r="P14" s="286">
        <v>1001</v>
      </c>
      <c r="Q14" s="286">
        <v>999.9</v>
      </c>
    </row>
    <row r="15" spans="2:18" x14ac:dyDescent="0.25">
      <c r="B15" s="286">
        <v>8</v>
      </c>
      <c r="C15" s="286">
        <v>39</v>
      </c>
      <c r="D15" s="286">
        <v>33.700000000000003</v>
      </c>
      <c r="E15" s="286">
        <v>26</v>
      </c>
      <c r="F15" s="286">
        <v>21</v>
      </c>
      <c r="G15" s="286">
        <v>15.5</v>
      </c>
      <c r="H15" s="286">
        <v>12</v>
      </c>
      <c r="I15" s="286">
        <v>51</v>
      </c>
      <c r="J15" s="286">
        <v>34.5</v>
      </c>
      <c r="K15" s="286">
        <v>20</v>
      </c>
      <c r="L15" s="286">
        <v>19</v>
      </c>
      <c r="M15" s="286">
        <v>8.4</v>
      </c>
      <c r="N15" s="286">
        <v>0</v>
      </c>
      <c r="O15" s="286">
        <v>1000.9</v>
      </c>
      <c r="P15" s="286">
        <v>999.3</v>
      </c>
      <c r="Q15" s="286">
        <v>997.9</v>
      </c>
    </row>
    <row r="16" spans="2:18" x14ac:dyDescent="0.25">
      <c r="B16" s="286">
        <v>9</v>
      </c>
      <c r="C16" s="286">
        <v>38</v>
      </c>
      <c r="D16" s="286">
        <v>33</v>
      </c>
      <c r="E16" s="286">
        <v>29</v>
      </c>
      <c r="F16" s="286">
        <v>16</v>
      </c>
      <c r="G16" s="286">
        <v>14.1</v>
      </c>
      <c r="H16" s="286">
        <v>12</v>
      </c>
      <c r="I16" s="286">
        <v>45</v>
      </c>
      <c r="J16" s="286">
        <v>32.299999999999997</v>
      </c>
      <c r="K16" s="286">
        <v>21</v>
      </c>
      <c r="L16" s="286">
        <v>28</v>
      </c>
      <c r="M16" s="286">
        <v>15.9</v>
      </c>
      <c r="N16" s="286">
        <v>6</v>
      </c>
      <c r="O16" s="286">
        <v>1001.9</v>
      </c>
      <c r="P16" s="286">
        <v>1000.1</v>
      </c>
      <c r="Q16" s="286">
        <v>998.9</v>
      </c>
    </row>
    <row r="17" spans="2:17" x14ac:dyDescent="0.25">
      <c r="B17" s="286">
        <v>10</v>
      </c>
      <c r="C17" s="286">
        <v>38</v>
      </c>
      <c r="D17" s="286">
        <v>33</v>
      </c>
      <c r="E17" s="286">
        <v>28</v>
      </c>
      <c r="F17" s="286">
        <v>17</v>
      </c>
      <c r="G17" s="286">
        <v>13.5</v>
      </c>
      <c r="H17" s="286">
        <v>9</v>
      </c>
      <c r="I17" s="286">
        <v>51</v>
      </c>
      <c r="J17" s="286">
        <v>32</v>
      </c>
      <c r="K17" s="286">
        <v>18</v>
      </c>
      <c r="L17" s="286">
        <v>37</v>
      </c>
      <c r="M17" s="286">
        <v>22.5</v>
      </c>
      <c r="N17" s="286">
        <v>9</v>
      </c>
      <c r="O17" s="286">
        <v>1002.9</v>
      </c>
      <c r="P17" s="286">
        <v>1001.9</v>
      </c>
      <c r="Q17" s="286">
        <v>1000.9</v>
      </c>
    </row>
    <row r="18" spans="2:17" x14ac:dyDescent="0.25">
      <c r="B18" s="286">
        <v>11</v>
      </c>
      <c r="C18" s="286">
        <v>38</v>
      </c>
      <c r="D18" s="286">
        <v>33.5</v>
      </c>
      <c r="E18" s="286">
        <v>29</v>
      </c>
      <c r="F18" s="286">
        <v>17</v>
      </c>
      <c r="G18" s="286">
        <v>14.2</v>
      </c>
      <c r="H18" s="286">
        <v>12</v>
      </c>
      <c r="I18" s="286">
        <v>45</v>
      </c>
      <c r="J18" s="286">
        <v>31.5</v>
      </c>
      <c r="K18" s="286">
        <v>22</v>
      </c>
      <c r="L18" s="286">
        <v>31</v>
      </c>
      <c r="M18" s="286">
        <v>23.9</v>
      </c>
      <c r="N18" s="286">
        <v>19</v>
      </c>
      <c r="O18" s="286">
        <v>1003.9</v>
      </c>
      <c r="P18" s="286">
        <v>1002.1</v>
      </c>
      <c r="Q18" s="286">
        <v>1000.9</v>
      </c>
    </row>
    <row r="19" spans="2:17" x14ac:dyDescent="0.25">
      <c r="B19" s="286">
        <v>12</v>
      </c>
      <c r="C19" s="286">
        <v>37</v>
      </c>
      <c r="D19" s="286">
        <v>31.9</v>
      </c>
      <c r="E19" s="286">
        <v>26</v>
      </c>
      <c r="F19" s="286">
        <v>17</v>
      </c>
      <c r="G19" s="286">
        <v>15.6</v>
      </c>
      <c r="H19" s="286">
        <v>14</v>
      </c>
      <c r="I19" s="286">
        <v>51</v>
      </c>
      <c r="J19" s="286">
        <v>37.9</v>
      </c>
      <c r="K19" s="286">
        <v>29</v>
      </c>
      <c r="L19" s="286">
        <v>44</v>
      </c>
      <c r="M19" s="286">
        <v>32.5</v>
      </c>
      <c r="N19" s="286">
        <v>20</v>
      </c>
      <c r="O19" s="286">
        <v>1002.9</v>
      </c>
      <c r="P19" s="286">
        <v>1001.6</v>
      </c>
      <c r="Q19" s="286">
        <v>1000.9</v>
      </c>
    </row>
    <row r="20" spans="2:17" x14ac:dyDescent="0.25">
      <c r="B20" s="286">
        <v>13</v>
      </c>
      <c r="C20" s="286">
        <v>38</v>
      </c>
      <c r="D20" s="286">
        <v>33.799999999999997</v>
      </c>
      <c r="E20" s="286">
        <v>28</v>
      </c>
      <c r="F20" s="286">
        <v>21</v>
      </c>
      <c r="G20" s="286">
        <v>16.3</v>
      </c>
      <c r="H20" s="286">
        <v>13</v>
      </c>
      <c r="I20" s="286">
        <v>48</v>
      </c>
      <c r="J20" s="286">
        <v>35.5</v>
      </c>
      <c r="K20" s="286">
        <v>25</v>
      </c>
      <c r="L20" s="286">
        <v>26</v>
      </c>
      <c r="M20" s="286">
        <v>11.1</v>
      </c>
      <c r="N20" s="286">
        <v>0</v>
      </c>
      <c r="O20" s="286">
        <v>1000.9</v>
      </c>
      <c r="P20" s="286">
        <v>1000</v>
      </c>
      <c r="Q20" s="286">
        <v>997.9</v>
      </c>
    </row>
    <row r="21" spans="2:17" x14ac:dyDescent="0.25">
      <c r="B21" s="286">
        <v>14</v>
      </c>
      <c r="C21" s="286">
        <v>38</v>
      </c>
      <c r="D21" s="286">
        <v>33.5</v>
      </c>
      <c r="E21" s="286">
        <v>30</v>
      </c>
      <c r="F21" s="286">
        <v>21</v>
      </c>
      <c r="G21" s="286">
        <v>19.3</v>
      </c>
      <c r="H21" s="286">
        <v>17</v>
      </c>
      <c r="I21" s="286">
        <v>55</v>
      </c>
      <c r="J21" s="286">
        <v>43.4</v>
      </c>
      <c r="K21" s="286">
        <v>35</v>
      </c>
      <c r="L21" s="286">
        <v>35</v>
      </c>
      <c r="M21" s="286">
        <v>20.7</v>
      </c>
      <c r="N21" s="286">
        <v>0</v>
      </c>
      <c r="O21" s="286">
        <v>998.9</v>
      </c>
      <c r="P21" s="286">
        <v>997.7</v>
      </c>
      <c r="Q21" s="286">
        <v>996</v>
      </c>
    </row>
    <row r="22" spans="2:17" x14ac:dyDescent="0.25">
      <c r="B22" s="286">
        <v>15</v>
      </c>
      <c r="C22" s="286">
        <v>35</v>
      </c>
      <c r="D22" s="286">
        <v>30.5</v>
      </c>
      <c r="E22" s="286">
        <v>26</v>
      </c>
      <c r="F22" s="286">
        <v>21</v>
      </c>
      <c r="G22" s="286">
        <v>19.7</v>
      </c>
      <c r="H22" s="286">
        <v>18</v>
      </c>
      <c r="I22" s="286">
        <v>61</v>
      </c>
      <c r="J22" s="286">
        <v>52.7</v>
      </c>
      <c r="K22" s="286">
        <v>44</v>
      </c>
      <c r="L22" s="286">
        <v>35</v>
      </c>
      <c r="M22" s="286">
        <v>26.9</v>
      </c>
      <c r="N22" s="286">
        <v>19</v>
      </c>
      <c r="O22" s="286">
        <v>1001.9</v>
      </c>
      <c r="P22" s="286">
        <v>1000.2</v>
      </c>
      <c r="Q22" s="286">
        <v>997.9</v>
      </c>
    </row>
    <row r="23" spans="2:17" x14ac:dyDescent="0.25">
      <c r="B23" s="286">
        <v>16</v>
      </c>
      <c r="C23" s="286">
        <v>37</v>
      </c>
      <c r="D23" s="286">
        <v>30.9</v>
      </c>
      <c r="E23" s="286">
        <v>26</v>
      </c>
      <c r="F23" s="286">
        <v>23</v>
      </c>
      <c r="G23" s="286">
        <v>19.5</v>
      </c>
      <c r="H23" s="286">
        <v>7</v>
      </c>
      <c r="I23" s="286">
        <v>65</v>
      </c>
      <c r="J23" s="286">
        <v>51.6</v>
      </c>
      <c r="K23" s="286">
        <v>26</v>
      </c>
      <c r="L23" s="286">
        <v>31</v>
      </c>
      <c r="M23" s="286">
        <v>21.7</v>
      </c>
      <c r="N23" s="286">
        <v>4</v>
      </c>
      <c r="O23" s="286">
        <v>1002.9</v>
      </c>
      <c r="P23" s="286">
        <v>1001.2</v>
      </c>
      <c r="Q23" s="286">
        <v>999.9</v>
      </c>
    </row>
    <row r="24" spans="2:17" x14ac:dyDescent="0.25">
      <c r="B24" s="286">
        <v>17</v>
      </c>
      <c r="C24" s="286">
        <v>41</v>
      </c>
      <c r="D24" s="286">
        <v>34.200000000000003</v>
      </c>
      <c r="E24" s="286">
        <v>29</v>
      </c>
      <c r="F24" s="286">
        <v>23</v>
      </c>
      <c r="G24" s="286">
        <v>20.399999999999999</v>
      </c>
      <c r="H24" s="286">
        <v>17</v>
      </c>
      <c r="I24" s="286">
        <v>70</v>
      </c>
      <c r="J24" s="286">
        <v>45.8</v>
      </c>
      <c r="K24" s="286">
        <v>27</v>
      </c>
      <c r="L24" s="286">
        <v>31</v>
      </c>
      <c r="M24" s="286">
        <v>21.3</v>
      </c>
      <c r="N24" s="286">
        <v>11</v>
      </c>
      <c r="O24" s="286">
        <v>1002.9</v>
      </c>
      <c r="P24" s="286">
        <v>1001.2</v>
      </c>
      <c r="Q24" s="286">
        <v>999.9</v>
      </c>
    </row>
    <row r="25" spans="2:17" x14ac:dyDescent="0.25">
      <c r="B25" s="286">
        <v>18</v>
      </c>
      <c r="C25" s="286">
        <v>39</v>
      </c>
      <c r="D25" s="286">
        <v>33.4</v>
      </c>
      <c r="E25" s="286">
        <v>29</v>
      </c>
      <c r="F25" s="286">
        <v>22</v>
      </c>
      <c r="G25" s="286">
        <v>18.3</v>
      </c>
      <c r="H25" s="286">
        <v>13</v>
      </c>
      <c r="I25" s="286">
        <v>66</v>
      </c>
      <c r="J25" s="286">
        <v>42.6</v>
      </c>
      <c r="K25" s="286">
        <v>22</v>
      </c>
      <c r="L25" s="286">
        <v>35</v>
      </c>
      <c r="M25" s="286">
        <v>14.3</v>
      </c>
      <c r="N25" s="286">
        <v>0</v>
      </c>
      <c r="O25" s="286">
        <v>1001.9</v>
      </c>
      <c r="P25" s="286">
        <v>1000.2</v>
      </c>
      <c r="Q25" s="286">
        <v>998.9</v>
      </c>
    </row>
    <row r="26" spans="2:17" x14ac:dyDescent="0.25">
      <c r="B26" s="286">
        <v>19</v>
      </c>
      <c r="C26" s="286">
        <v>36</v>
      </c>
      <c r="D26" s="286">
        <v>30.3</v>
      </c>
      <c r="E26" s="286">
        <v>26</v>
      </c>
      <c r="F26" s="286">
        <v>23</v>
      </c>
      <c r="G26" s="286">
        <v>20.6</v>
      </c>
      <c r="H26" s="286">
        <v>18</v>
      </c>
      <c r="I26" s="286">
        <v>74</v>
      </c>
      <c r="J26" s="286">
        <v>57.2</v>
      </c>
      <c r="K26" s="286">
        <v>34</v>
      </c>
      <c r="L26" s="286">
        <v>35</v>
      </c>
      <c r="M26" s="286">
        <v>28.3</v>
      </c>
      <c r="N26" s="286">
        <v>19</v>
      </c>
      <c r="O26" s="286">
        <v>1002.9</v>
      </c>
      <c r="P26" s="286">
        <v>1001.3</v>
      </c>
      <c r="Q26" s="286">
        <v>998.9</v>
      </c>
    </row>
    <row r="27" spans="2:17" x14ac:dyDescent="0.25">
      <c r="B27" s="286">
        <v>20</v>
      </c>
      <c r="C27" s="286">
        <v>35</v>
      </c>
      <c r="D27" s="286">
        <v>30.2</v>
      </c>
      <c r="E27" s="286">
        <v>25</v>
      </c>
      <c r="F27" s="286">
        <v>23</v>
      </c>
      <c r="G27" s="286">
        <v>20.8</v>
      </c>
      <c r="H27" s="286">
        <v>19</v>
      </c>
      <c r="I27" s="286">
        <v>74</v>
      </c>
      <c r="J27" s="286">
        <v>57.9</v>
      </c>
      <c r="K27" s="286">
        <v>44</v>
      </c>
      <c r="L27" s="286">
        <v>31</v>
      </c>
      <c r="M27" s="286">
        <v>25.1</v>
      </c>
      <c r="N27" s="286">
        <v>11</v>
      </c>
      <c r="O27" s="286">
        <v>1003.9</v>
      </c>
      <c r="P27" s="286">
        <v>1001.8</v>
      </c>
      <c r="Q27" s="286">
        <v>1000.9</v>
      </c>
    </row>
    <row r="28" spans="2:17" x14ac:dyDescent="0.25">
      <c r="B28" s="286">
        <v>21</v>
      </c>
      <c r="C28" s="286">
        <v>37</v>
      </c>
      <c r="D28" s="286">
        <v>31.8</v>
      </c>
      <c r="E28" s="286">
        <v>26</v>
      </c>
      <c r="F28" s="286">
        <v>26</v>
      </c>
      <c r="G28" s="286">
        <v>20.7</v>
      </c>
      <c r="H28" s="286">
        <v>14</v>
      </c>
      <c r="I28" s="286">
        <v>74</v>
      </c>
      <c r="J28" s="286">
        <v>53.5</v>
      </c>
      <c r="K28" s="286">
        <v>28</v>
      </c>
      <c r="L28" s="286">
        <v>30</v>
      </c>
      <c r="M28" s="286">
        <v>15.3</v>
      </c>
      <c r="N28" s="286">
        <v>0</v>
      </c>
      <c r="O28" s="286">
        <v>1003.9</v>
      </c>
      <c r="P28" s="286">
        <v>1002.1</v>
      </c>
      <c r="Q28" s="286">
        <v>1000.9</v>
      </c>
    </row>
    <row r="29" spans="2:17" x14ac:dyDescent="0.25">
      <c r="B29" s="286">
        <v>22</v>
      </c>
      <c r="C29" s="286">
        <v>40</v>
      </c>
      <c r="D29" s="286">
        <v>34.799999999999997</v>
      </c>
      <c r="E29" s="286">
        <v>28</v>
      </c>
      <c r="F29" s="286">
        <v>20</v>
      </c>
      <c r="G29" s="286">
        <v>13.3</v>
      </c>
      <c r="H29" s="286">
        <v>9</v>
      </c>
      <c r="I29" s="286">
        <v>48</v>
      </c>
      <c r="J29" s="286">
        <v>28.8</v>
      </c>
      <c r="K29" s="286">
        <v>17</v>
      </c>
      <c r="L29" s="286">
        <v>20</v>
      </c>
      <c r="M29" s="286">
        <v>9.1</v>
      </c>
      <c r="N29" s="286">
        <v>0</v>
      </c>
      <c r="O29" s="286">
        <v>1002.9</v>
      </c>
      <c r="P29" s="286">
        <v>1001.2</v>
      </c>
      <c r="Q29" s="286">
        <v>999.9</v>
      </c>
    </row>
    <row r="30" spans="2:17" x14ac:dyDescent="0.25">
      <c r="B30" s="286">
        <v>23</v>
      </c>
      <c r="C30" s="286">
        <v>39</v>
      </c>
      <c r="D30" s="286">
        <v>34.299999999999997</v>
      </c>
      <c r="E30" s="286">
        <v>29</v>
      </c>
      <c r="F30" s="286">
        <v>17</v>
      </c>
      <c r="G30" s="286">
        <v>11.7</v>
      </c>
      <c r="H30" s="286">
        <v>9</v>
      </c>
      <c r="I30" s="286">
        <v>48</v>
      </c>
      <c r="J30" s="286">
        <v>26.2</v>
      </c>
      <c r="K30" s="286">
        <v>17</v>
      </c>
      <c r="L30" s="286">
        <v>33</v>
      </c>
      <c r="M30" s="286">
        <v>23.9</v>
      </c>
      <c r="N30" s="286">
        <v>11</v>
      </c>
      <c r="O30" s="286">
        <v>1004.9</v>
      </c>
      <c r="P30" s="286">
        <v>1003.2</v>
      </c>
      <c r="Q30" s="286">
        <v>1000.9</v>
      </c>
    </row>
    <row r="31" spans="2:17" x14ac:dyDescent="0.25">
      <c r="B31" s="286">
        <v>24</v>
      </c>
      <c r="C31" s="286">
        <v>37</v>
      </c>
      <c r="D31" s="286">
        <v>32.200000000000003</v>
      </c>
      <c r="E31" s="286">
        <v>28</v>
      </c>
      <c r="F31" s="286">
        <v>16</v>
      </c>
      <c r="G31" s="286">
        <v>12.5</v>
      </c>
      <c r="H31" s="286">
        <v>9</v>
      </c>
      <c r="I31" s="286">
        <v>45</v>
      </c>
      <c r="J31" s="286">
        <v>30.5</v>
      </c>
      <c r="K31" s="286">
        <v>19</v>
      </c>
      <c r="L31" s="286">
        <v>37</v>
      </c>
      <c r="M31" s="286">
        <v>28.6</v>
      </c>
      <c r="N31" s="286">
        <v>19</v>
      </c>
      <c r="O31" s="286">
        <v>1005.9</v>
      </c>
      <c r="P31" s="286">
        <v>1004</v>
      </c>
      <c r="Q31" s="286">
        <v>1002.9</v>
      </c>
    </row>
    <row r="32" spans="2:17" x14ac:dyDescent="0.25">
      <c r="B32" s="286">
        <v>25</v>
      </c>
      <c r="C32" s="286">
        <v>36</v>
      </c>
      <c r="D32" s="286">
        <v>30.8</v>
      </c>
      <c r="E32" s="286">
        <v>26</v>
      </c>
      <c r="F32" s="286">
        <v>17</v>
      </c>
      <c r="G32" s="286">
        <v>14.5</v>
      </c>
      <c r="H32" s="286">
        <v>12</v>
      </c>
      <c r="I32" s="286">
        <v>57</v>
      </c>
      <c r="J32" s="286">
        <v>38.299999999999997</v>
      </c>
      <c r="K32" s="286">
        <v>26</v>
      </c>
      <c r="L32" s="286">
        <v>41</v>
      </c>
      <c r="M32" s="286">
        <v>28.1</v>
      </c>
      <c r="N32" s="286">
        <v>19</v>
      </c>
      <c r="O32" s="286">
        <v>1002.9</v>
      </c>
      <c r="P32" s="286">
        <v>1001</v>
      </c>
      <c r="Q32" s="286">
        <v>998.9</v>
      </c>
    </row>
    <row r="33" spans="2:17" x14ac:dyDescent="0.25">
      <c r="B33" s="286">
        <v>26</v>
      </c>
      <c r="C33" s="286">
        <v>36</v>
      </c>
      <c r="D33" s="286">
        <v>31.5</v>
      </c>
      <c r="E33" s="286">
        <v>26</v>
      </c>
      <c r="F33" s="286">
        <v>19</v>
      </c>
      <c r="G33" s="286">
        <v>15.4</v>
      </c>
      <c r="H33" s="286">
        <v>9</v>
      </c>
      <c r="I33" s="286">
        <v>65</v>
      </c>
      <c r="J33" s="286">
        <v>39.6</v>
      </c>
      <c r="K33" s="286">
        <v>19</v>
      </c>
      <c r="L33" s="286">
        <v>30</v>
      </c>
      <c r="M33" s="286">
        <v>23.5</v>
      </c>
      <c r="N33" s="286">
        <v>15</v>
      </c>
      <c r="O33" s="286">
        <v>999.9</v>
      </c>
      <c r="P33" s="286">
        <v>998.6</v>
      </c>
      <c r="Q33" s="286">
        <v>997</v>
      </c>
    </row>
    <row r="34" spans="2:17" x14ac:dyDescent="0.25">
      <c r="B34" s="286">
        <v>27</v>
      </c>
      <c r="C34" s="286">
        <v>38</v>
      </c>
      <c r="D34" s="286">
        <v>32.1</v>
      </c>
      <c r="E34" s="286">
        <v>28</v>
      </c>
      <c r="F34" s="286">
        <v>19</v>
      </c>
      <c r="G34" s="286">
        <v>16.2</v>
      </c>
      <c r="H34" s="286">
        <v>13</v>
      </c>
      <c r="I34" s="286">
        <v>58</v>
      </c>
      <c r="J34" s="286">
        <v>39.1</v>
      </c>
      <c r="K34" s="286">
        <v>25</v>
      </c>
      <c r="L34" s="286">
        <v>26</v>
      </c>
      <c r="M34" s="286">
        <v>15.1</v>
      </c>
      <c r="N34" s="286">
        <v>0</v>
      </c>
      <c r="O34" s="286">
        <v>999.9</v>
      </c>
      <c r="P34" s="286">
        <v>998.8</v>
      </c>
      <c r="Q34" s="286">
        <v>997.9</v>
      </c>
    </row>
    <row r="35" spans="2:17" x14ac:dyDescent="0.25">
      <c r="B35" s="286">
        <v>28</v>
      </c>
      <c r="C35" s="286">
        <v>39</v>
      </c>
      <c r="D35" s="286">
        <v>33.4</v>
      </c>
      <c r="E35" s="286">
        <v>28</v>
      </c>
      <c r="F35" s="286">
        <v>18</v>
      </c>
      <c r="G35" s="286">
        <v>15.5</v>
      </c>
      <c r="H35" s="286">
        <v>12</v>
      </c>
      <c r="I35" s="286">
        <v>54</v>
      </c>
      <c r="J35" s="286">
        <v>35.1</v>
      </c>
      <c r="K35" s="286">
        <v>20</v>
      </c>
      <c r="L35" s="286">
        <v>26</v>
      </c>
      <c r="M35" s="286">
        <v>14.2</v>
      </c>
      <c r="N35" s="286">
        <v>0</v>
      </c>
      <c r="O35" s="286">
        <v>999.9</v>
      </c>
      <c r="P35" s="286">
        <v>998.6</v>
      </c>
      <c r="Q35" s="286">
        <v>997</v>
      </c>
    </row>
    <row r="36" spans="2:17" x14ac:dyDescent="0.25">
      <c r="B36" s="286">
        <v>29</v>
      </c>
      <c r="C36" s="286">
        <v>38</v>
      </c>
      <c r="D36" s="286">
        <v>33.5</v>
      </c>
      <c r="E36" s="286">
        <v>29</v>
      </c>
      <c r="F36" s="286">
        <v>16</v>
      </c>
      <c r="G36" s="286">
        <v>13.3</v>
      </c>
      <c r="H36" s="286">
        <v>10</v>
      </c>
      <c r="I36" s="286">
        <v>45</v>
      </c>
      <c r="J36" s="286">
        <v>30</v>
      </c>
      <c r="K36" s="286">
        <v>20</v>
      </c>
      <c r="L36" s="286">
        <v>31</v>
      </c>
      <c r="M36" s="286">
        <v>18.2</v>
      </c>
      <c r="N36" s="286">
        <v>0</v>
      </c>
      <c r="O36" s="286">
        <v>998.9</v>
      </c>
      <c r="P36" s="286">
        <v>997.7</v>
      </c>
      <c r="Q36" s="286">
        <v>996</v>
      </c>
    </row>
    <row r="37" spans="2:17" x14ac:dyDescent="0.25">
      <c r="B37" s="286">
        <v>30</v>
      </c>
      <c r="C37" s="286">
        <v>37</v>
      </c>
      <c r="D37" s="286">
        <v>33.700000000000003</v>
      </c>
      <c r="E37" s="286">
        <v>29</v>
      </c>
      <c r="F37" s="286">
        <v>15</v>
      </c>
      <c r="G37" s="286">
        <v>11.5</v>
      </c>
      <c r="H37" s="286">
        <v>8</v>
      </c>
      <c r="I37" s="286">
        <v>40</v>
      </c>
      <c r="J37" s="286">
        <v>26.3</v>
      </c>
      <c r="K37" s="286">
        <v>19</v>
      </c>
      <c r="L37" s="286">
        <v>26</v>
      </c>
      <c r="M37" s="286">
        <v>17.100000000000001</v>
      </c>
      <c r="N37" s="286">
        <v>7</v>
      </c>
      <c r="O37" s="286">
        <v>998.9</v>
      </c>
      <c r="P37" s="286">
        <v>997</v>
      </c>
      <c r="Q37" s="286">
        <v>996</v>
      </c>
    </row>
    <row r="38" spans="2:17" ht="13.8" x14ac:dyDescent="0.25">
      <c r="L38" s="284"/>
      <c r="M38" s="284"/>
      <c r="N38" s="284"/>
    </row>
  </sheetData>
  <mergeCells count="6">
    <mergeCell ref="B5:R5"/>
    <mergeCell ref="C6:E6"/>
    <mergeCell ref="F6:H6"/>
    <mergeCell ref="I6:K6"/>
    <mergeCell ref="L6:N6"/>
    <mergeCell ref="O6:Q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1:M61"/>
  <sheetViews>
    <sheetView topLeftCell="A4" workbookViewId="0">
      <selection activeCell="B9" sqref="B9"/>
    </sheetView>
  </sheetViews>
  <sheetFormatPr defaultColWidth="9.109375" defaultRowHeight="13.2" x14ac:dyDescent="0.25"/>
  <cols>
    <col min="1" max="1" width="39.33203125" customWidth="1"/>
    <col min="2" max="7" width="13.6640625" customWidth="1"/>
  </cols>
  <sheetData>
    <row r="1" spans="1:13" x14ac:dyDescent="0.25">
      <c r="A1" s="161"/>
      <c r="B1" s="161"/>
      <c r="C1" s="161"/>
      <c r="D1" s="161"/>
      <c r="E1" s="161"/>
      <c r="F1" s="161"/>
      <c r="G1" s="161"/>
    </row>
    <row r="2" spans="1:13" ht="17.399999999999999" x14ac:dyDescent="0.25">
      <c r="A2" s="162" t="s">
        <v>66</v>
      </c>
      <c r="B2" s="695">
        <f ca="1">TODAY()-1</f>
        <v>45752</v>
      </c>
      <c r="C2" s="695"/>
      <c r="D2" s="311"/>
      <c r="E2" s="161"/>
      <c r="F2" s="161"/>
      <c r="G2" s="161"/>
    </row>
    <row r="3" spans="1:13" ht="6" customHeight="1" x14ac:dyDescent="0.25">
      <c r="A3" s="161"/>
      <c r="B3" s="161"/>
      <c r="C3" s="161"/>
      <c r="D3" s="161"/>
      <c r="E3" s="161"/>
      <c r="F3" s="161"/>
      <c r="G3" s="161"/>
    </row>
    <row r="4" spans="1:13" ht="17.399999999999999" x14ac:dyDescent="0.25">
      <c r="A4" s="198" t="s">
        <v>65</v>
      </c>
      <c r="B4" s="161"/>
      <c r="C4" s="161"/>
      <c r="D4" s="161"/>
      <c r="E4" s="161"/>
      <c r="F4" s="161"/>
      <c r="G4" s="161"/>
    </row>
    <row r="5" spans="1:13" x14ac:dyDescent="0.25">
      <c r="A5" s="161"/>
      <c r="B5" s="161"/>
      <c r="C5" s="161"/>
      <c r="D5" s="161"/>
      <c r="E5" s="161"/>
      <c r="F5" s="161"/>
      <c r="G5" s="161"/>
      <c r="I5" s="696" t="s">
        <v>93</v>
      </c>
      <c r="J5" s="696"/>
      <c r="K5" s="696"/>
      <c r="L5" s="696"/>
      <c r="M5" s="696"/>
    </row>
    <row r="6" spans="1:13" x14ac:dyDescent="0.25">
      <c r="A6" s="161"/>
      <c r="B6" s="568" t="s">
        <v>68</v>
      </c>
      <c r="C6" s="569"/>
      <c r="D6" s="570"/>
      <c r="E6" s="567" t="s">
        <v>70</v>
      </c>
      <c r="F6" s="567"/>
      <c r="G6" s="567"/>
    </row>
    <row r="7" spans="1:13" x14ac:dyDescent="0.25">
      <c r="A7" s="161"/>
      <c r="B7" s="165" t="s">
        <v>69</v>
      </c>
      <c r="C7" s="165" t="s">
        <v>17</v>
      </c>
      <c r="D7" s="165" t="s">
        <v>18</v>
      </c>
      <c r="E7" s="166" t="s">
        <v>69</v>
      </c>
      <c r="F7" s="166" t="s">
        <v>17</v>
      </c>
      <c r="G7" s="166" t="s">
        <v>18</v>
      </c>
    </row>
    <row r="8" spans="1:13" ht="6" customHeight="1" x14ac:dyDescent="0.25">
      <c r="A8" s="161"/>
      <c r="B8" s="167"/>
      <c r="C8" s="167"/>
      <c r="D8" s="167"/>
      <c r="E8" s="167"/>
      <c r="F8" s="167"/>
      <c r="G8" s="167"/>
    </row>
    <row r="9" spans="1:13" ht="20.100000000000001" customHeight="1" x14ac:dyDescent="0.25">
      <c r="A9" s="170" t="s">
        <v>22</v>
      </c>
      <c r="B9" s="181">
        <v>274</v>
      </c>
      <c r="C9" s="163">
        <f>'Reading.4.25'!AO6</f>
        <v>341.9</v>
      </c>
      <c r="D9" s="181">
        <v>225</v>
      </c>
      <c r="E9" s="180">
        <f>'Reading.4.25'!AM36</f>
        <v>1366.1271999999999</v>
      </c>
      <c r="F9" s="164">
        <f>'cost.4.25'!H38</f>
        <v>640.28571428571422</v>
      </c>
      <c r="G9" s="164">
        <f>'Reading.4.25'!AN36</f>
        <v>793</v>
      </c>
    </row>
    <row r="10" spans="1:13" ht="20.100000000000001" customHeight="1" x14ac:dyDescent="0.25">
      <c r="A10" s="170" t="s">
        <v>67</v>
      </c>
      <c r="B10" s="299">
        <v>0.57999999999999996</v>
      </c>
      <c r="C10" s="184">
        <f>'Reading.4.25'!AK6</f>
        <v>0.65</v>
      </c>
      <c r="D10" s="183">
        <v>0.43</v>
      </c>
      <c r="E10" s="185">
        <f>'Reading.4.25'!AI36</f>
        <v>0.86573333333333335</v>
      </c>
      <c r="F10" s="185">
        <f>'Reading.4.25'!AK36:AK36</f>
        <v>0.65</v>
      </c>
      <c r="G10" s="185">
        <f>'Reading.4.25'!AJ36</f>
        <v>0.50253333333333339</v>
      </c>
    </row>
    <row r="11" spans="1:13" ht="6.75" customHeight="1" x14ac:dyDescent="0.25">
      <c r="A11" s="168"/>
      <c r="B11" s="169"/>
      <c r="C11" s="169"/>
      <c r="D11" s="169"/>
      <c r="E11" s="169"/>
      <c r="F11" s="169"/>
      <c r="G11" s="169"/>
    </row>
    <row r="12" spans="1:13" ht="20.100000000000001" customHeight="1" x14ac:dyDescent="0.25">
      <c r="A12" s="170" t="s">
        <v>86</v>
      </c>
      <c r="B12" s="209">
        <f>'Reading.4.25'!AE30</f>
        <v>0</v>
      </c>
      <c r="C12" s="163">
        <f>'Reading.4.25'!AG6</f>
        <v>26554.533333333333</v>
      </c>
      <c r="D12" s="181">
        <f>'Reading.4.25'!AF30</f>
        <v>0</v>
      </c>
      <c r="E12" s="210">
        <f>'Reading.4.25'!AE36</f>
        <v>103619.99999999418</v>
      </c>
      <c r="F12" s="164">
        <f>'Reading.4.25'!AG36</f>
        <v>79663.600000000006</v>
      </c>
      <c r="G12" s="164">
        <f>'Reading.4.25'!AF36</f>
        <v>85479.999999981374</v>
      </c>
    </row>
    <row r="13" spans="1:13" ht="20.100000000000001" customHeight="1" x14ac:dyDescent="0.25">
      <c r="A13" s="170" t="s">
        <v>74</v>
      </c>
      <c r="B13" s="181">
        <v>0</v>
      </c>
      <c r="C13" s="163">
        <f>'cost.4.25'!P8</f>
        <v>83.967741935483872</v>
      </c>
      <c r="D13" s="181">
        <v>0</v>
      </c>
      <c r="E13" s="164">
        <f>'Reading.4.25'!T36</f>
        <v>0</v>
      </c>
      <c r="F13" s="164">
        <f>'cost.4.25'!P38</f>
        <v>251.90322580645162</v>
      </c>
      <c r="G13" s="164">
        <f>'Reading.4.25'!U36</f>
        <v>0</v>
      </c>
    </row>
    <row r="14" spans="1:13" ht="7.5" customHeight="1" x14ac:dyDescent="0.25">
      <c r="A14" s="168"/>
      <c r="B14" s="169"/>
      <c r="C14" s="169"/>
      <c r="D14" s="169"/>
      <c r="E14" s="169"/>
      <c r="F14" s="169"/>
      <c r="G14" s="169"/>
    </row>
    <row r="15" spans="1:13" ht="20.100000000000001" customHeight="1" x14ac:dyDescent="0.25">
      <c r="A15" s="170" t="s">
        <v>75</v>
      </c>
      <c r="B15" s="181">
        <f>'Reading.4.25'!O30</f>
        <v>0</v>
      </c>
      <c r="C15" s="163">
        <f>'cost.4.25'!AD8</f>
        <v>487.5</v>
      </c>
      <c r="D15" s="181">
        <f>'Reading.4.25'!P30</f>
        <v>0</v>
      </c>
      <c r="E15" s="164">
        <f>'Reading.4.25'!O36</f>
        <v>2000.7400000000002</v>
      </c>
      <c r="F15" s="164">
        <f>'cost.4.25'!AD38</f>
        <v>1462.5</v>
      </c>
      <c r="G15" s="164">
        <f>'Reading.4.25'!P36</f>
        <v>1189.3800000000001</v>
      </c>
    </row>
    <row r="16" spans="1:13" ht="20.100000000000001" customHeight="1" x14ac:dyDescent="0.25">
      <c r="A16" s="170" t="s">
        <v>71</v>
      </c>
      <c r="B16" s="181">
        <f>'Reading.4.25'!K30</f>
        <v>0</v>
      </c>
      <c r="C16" s="163">
        <f>'cost.4.25'!AJ8</f>
        <v>162.5</v>
      </c>
      <c r="D16" s="181">
        <f>'Reading.4.25'!L30</f>
        <v>0</v>
      </c>
      <c r="E16" s="164">
        <f>'Reading.4.25'!K36</f>
        <v>830.904</v>
      </c>
      <c r="F16" s="164">
        <f>'cost.4.25'!AJ38</f>
        <v>487.5</v>
      </c>
      <c r="G16" s="164">
        <f>'Reading.4.25'!L36</f>
        <v>382.77600000000007</v>
      </c>
    </row>
    <row r="17" spans="1:10" ht="6" customHeight="1" x14ac:dyDescent="0.25">
      <c r="A17" s="168"/>
      <c r="B17" s="169"/>
      <c r="C17" s="169"/>
      <c r="D17" s="169"/>
      <c r="E17" s="169"/>
      <c r="F17" s="169"/>
      <c r="G17" s="169"/>
    </row>
    <row r="18" spans="1:10" ht="20.100000000000001" customHeight="1" x14ac:dyDescent="0.25">
      <c r="A18" s="170" t="s">
        <v>72</v>
      </c>
      <c r="B18" s="181">
        <f>'Reading.4.25'!CJ30</f>
        <v>0</v>
      </c>
      <c r="C18" s="163">
        <v>0</v>
      </c>
      <c r="D18" s="181">
        <v>0</v>
      </c>
      <c r="E18" s="164" t="e">
        <f>'Reading.4.25'!#REF!</f>
        <v>#REF!</v>
      </c>
      <c r="F18" s="164">
        <v>0</v>
      </c>
      <c r="G18" s="164">
        <f>'Reading.4.25'!BN36</f>
        <v>0</v>
      </c>
    </row>
    <row r="19" spans="1:10" ht="20.100000000000001" customHeight="1" x14ac:dyDescent="0.25">
      <c r="A19" s="170" t="s">
        <v>73</v>
      </c>
      <c r="B19" s="181">
        <v>493</v>
      </c>
      <c r="C19" s="163">
        <v>496</v>
      </c>
      <c r="D19" s="181">
        <v>529</v>
      </c>
      <c r="E19" s="164">
        <f>'Reading.4.25'!G36</f>
        <v>2284</v>
      </c>
      <c r="F19" s="164">
        <f>'cost.4.25'!W38</f>
        <v>1480.4516129032259</v>
      </c>
      <c r="G19" s="164">
        <f>'Reading.4.25'!H36</f>
        <v>1517</v>
      </c>
    </row>
    <row r="20" spans="1:10" x14ac:dyDescent="0.25">
      <c r="A20" s="161"/>
      <c r="B20" s="161"/>
      <c r="C20" s="161"/>
      <c r="D20" s="161"/>
      <c r="E20" s="161"/>
      <c r="F20" s="161"/>
      <c r="G20" s="161"/>
    </row>
    <row r="21" spans="1:10" ht="15.6" x14ac:dyDescent="0.25">
      <c r="A21" s="171" t="s">
        <v>76</v>
      </c>
      <c r="B21" s="270">
        <f>'cost.4.25'!BE32</f>
        <v>0</v>
      </c>
      <c r="C21" s="201">
        <f>'cost.4.25'!BD8</f>
        <v>71443.80860215053</v>
      </c>
      <c r="D21" s="200">
        <f>'cost.4.25'!BC32</f>
        <v>0</v>
      </c>
      <c r="E21" s="269">
        <f>'cost.4.25'!BE38</f>
        <v>223030.77619998873</v>
      </c>
      <c r="F21" s="203">
        <f>'cost.4.25'!BD38</f>
        <v>214331.42580645159</v>
      </c>
      <c r="G21" s="203">
        <f>'cost.4.25'!BC38</f>
        <v>86837.264199969257</v>
      </c>
    </row>
    <row r="22" spans="1:10" ht="15.6" x14ac:dyDescent="0.25">
      <c r="A22" s="171" t="s">
        <v>77</v>
      </c>
      <c r="B22" s="241">
        <f>B21/B9</f>
        <v>0</v>
      </c>
      <c r="C22" s="202">
        <f>C21/C9</f>
        <v>208.96112489660877</v>
      </c>
      <c r="D22" s="202">
        <f>D21/D9</f>
        <v>0</v>
      </c>
      <c r="E22" s="242">
        <f>'cost.4.25'!BI38</f>
        <v>163.33877245660815</v>
      </c>
      <c r="F22" s="204">
        <f>F21/F9</f>
        <v>334.74341379856344</v>
      </c>
      <c r="G22" s="204">
        <f>G21/G9</f>
        <v>109.50474678432441</v>
      </c>
      <c r="H22" s="43"/>
    </row>
    <row r="23" spans="1:10" ht="15.6" x14ac:dyDescent="0.25">
      <c r="A23" s="171" t="s">
        <v>158</v>
      </c>
      <c r="B23" s="241">
        <f>B21/526</f>
        <v>0</v>
      </c>
      <c r="C23" s="202">
        <f>C21/526</f>
        <v>135.82473118279569</v>
      </c>
      <c r="D23" s="202">
        <f>D22/D10</f>
        <v>0</v>
      </c>
      <c r="E23" s="242">
        <f>E21/(526*25)</f>
        <v>16.96051530037937</v>
      </c>
      <c r="F23" s="204">
        <f>F21/11572</f>
        <v>18.521554252199412</v>
      </c>
      <c r="G23" s="204">
        <f>G22/G10</f>
        <v>217.90543934264605</v>
      </c>
      <c r="H23" s="43"/>
    </row>
    <row r="24" spans="1:10" ht="15.6" x14ac:dyDescent="0.25">
      <c r="A24" s="171" t="s">
        <v>159</v>
      </c>
      <c r="B24" s="241">
        <f>B22</f>
        <v>0</v>
      </c>
      <c r="C24" s="202">
        <v>213</v>
      </c>
      <c r="D24" s="202" t="e">
        <f>D23/D11</f>
        <v>#DIV/0!</v>
      </c>
      <c r="E24" s="242">
        <f>E22</f>
        <v>163.33877245660815</v>
      </c>
      <c r="F24" s="204">
        <f>C24</f>
        <v>213</v>
      </c>
      <c r="G24" s="204" t="e">
        <f>G23/G11</f>
        <v>#DIV/0!</v>
      </c>
      <c r="H24" s="43"/>
    </row>
    <row r="25" spans="1:10" ht="15.6" x14ac:dyDescent="0.25">
      <c r="A25" s="171" t="s">
        <v>160</v>
      </c>
      <c r="B25" s="241">
        <f>B23</f>
        <v>0</v>
      </c>
      <c r="C25" s="202">
        <v>76.819999999999993</v>
      </c>
      <c r="D25" s="202" t="e">
        <f>D23/D11</f>
        <v>#DIV/0!</v>
      </c>
      <c r="E25" s="242">
        <f>E23</f>
        <v>16.96051530037937</v>
      </c>
      <c r="F25" s="204">
        <f>C25</f>
        <v>76.819999999999993</v>
      </c>
      <c r="G25" s="204" t="e">
        <f>G23/G11</f>
        <v>#DIV/0!</v>
      </c>
      <c r="H25" s="43"/>
    </row>
    <row r="26" spans="1:10" ht="15.6" x14ac:dyDescent="0.25">
      <c r="A26" s="293"/>
      <c r="B26" s="294"/>
      <c r="C26" s="295"/>
      <c r="D26" s="295"/>
      <c r="E26" s="294"/>
      <c r="F26" s="295"/>
      <c r="G26" s="295"/>
      <c r="H26" s="296"/>
      <c r="I26" s="297"/>
      <c r="J26" s="297"/>
    </row>
    <row r="27" spans="1:10" x14ac:dyDescent="0.25">
      <c r="A27" s="161"/>
      <c r="B27" s="161"/>
      <c r="C27" s="161"/>
      <c r="D27" s="161"/>
      <c r="E27" s="161"/>
      <c r="F27" s="161"/>
      <c r="G27" s="161"/>
    </row>
    <row r="28" spans="1:10" x14ac:dyDescent="0.25">
      <c r="A28" s="161"/>
      <c r="B28" s="161"/>
      <c r="C28" s="161"/>
      <c r="D28" s="161"/>
      <c r="E28" s="161"/>
      <c r="F28" s="161"/>
      <c r="G28" s="161"/>
    </row>
    <row r="29" spans="1:10" x14ac:dyDescent="0.25">
      <c r="A29" s="161"/>
      <c r="B29" s="161"/>
      <c r="C29" s="161"/>
      <c r="D29" s="161"/>
      <c r="E29" s="161"/>
      <c r="F29" s="161"/>
      <c r="G29" s="161"/>
    </row>
    <row r="30" spans="1:10" x14ac:dyDescent="0.25">
      <c r="A30" s="161"/>
      <c r="B30" s="161"/>
      <c r="C30" s="161"/>
      <c r="D30" s="161"/>
      <c r="E30" s="161"/>
      <c r="F30" s="161"/>
      <c r="G30" s="161"/>
    </row>
    <row r="31" spans="1:10" x14ac:dyDescent="0.25">
      <c r="A31" s="161"/>
      <c r="B31" s="161"/>
      <c r="C31" s="161"/>
      <c r="D31" s="161"/>
      <c r="E31" s="161"/>
      <c r="F31" s="161"/>
      <c r="G31" s="161"/>
    </row>
    <row r="32" spans="1:10" x14ac:dyDescent="0.25">
      <c r="A32" s="161"/>
      <c r="B32" s="161"/>
      <c r="C32" s="161"/>
      <c r="D32" s="161"/>
      <c r="E32" s="161"/>
      <c r="F32" s="161"/>
      <c r="G32" s="161"/>
    </row>
    <row r="33" spans="1:13" x14ac:dyDescent="0.25">
      <c r="A33" s="161"/>
      <c r="B33" s="161"/>
      <c r="C33" s="161"/>
      <c r="D33" s="161"/>
      <c r="E33" s="161"/>
      <c r="F33" s="161"/>
      <c r="G33" s="161"/>
    </row>
    <row r="34" spans="1:13" x14ac:dyDescent="0.25">
      <c r="A34" s="161"/>
      <c r="B34" s="161"/>
      <c r="C34" s="161"/>
      <c r="D34" s="161"/>
      <c r="E34" s="161"/>
      <c r="F34" s="161"/>
      <c r="G34" s="161"/>
    </row>
    <row r="35" spans="1:13" x14ac:dyDescent="0.25">
      <c r="A35" s="161"/>
      <c r="B35" s="161"/>
      <c r="C35" s="161"/>
      <c r="D35" s="161"/>
      <c r="E35" s="161"/>
      <c r="F35" s="161"/>
      <c r="G35" s="161"/>
    </row>
    <row r="36" spans="1:13" x14ac:dyDescent="0.25">
      <c r="A36" s="161"/>
      <c r="B36" s="161"/>
      <c r="C36" s="161"/>
      <c r="D36" s="161"/>
      <c r="E36" s="161"/>
      <c r="F36" s="161"/>
      <c r="G36" s="161"/>
    </row>
    <row r="46" spans="1:13" x14ac:dyDescent="0.25">
      <c r="A46" s="573" t="s">
        <v>91</v>
      </c>
      <c r="B46" s="573"/>
      <c r="C46" s="199"/>
      <c r="D46" s="573" t="s">
        <v>87</v>
      </c>
      <c r="E46" s="573"/>
      <c r="F46" s="573"/>
      <c r="I46" s="573" t="s">
        <v>89</v>
      </c>
      <c r="J46" s="573"/>
      <c r="K46" s="573"/>
      <c r="L46" s="573"/>
      <c r="M46" s="573"/>
    </row>
    <row r="47" spans="1:13" ht="13.8" thickBot="1" x14ac:dyDescent="0.3">
      <c r="A47" s="280"/>
      <c r="B47" s="280"/>
      <c r="C47" s="199"/>
      <c r="D47" s="596" t="s">
        <v>88</v>
      </c>
      <c r="E47" s="596"/>
      <c r="F47" s="596"/>
      <c r="I47" s="596" t="s">
        <v>90</v>
      </c>
      <c r="J47" s="596"/>
      <c r="K47" s="596"/>
      <c r="L47" s="596"/>
      <c r="M47" s="596"/>
    </row>
    <row r="48" spans="1:13" x14ac:dyDescent="0.25">
      <c r="A48" s="574" t="s">
        <v>98</v>
      </c>
      <c r="B48" s="561" t="s">
        <v>68</v>
      </c>
      <c r="C48" s="572"/>
      <c r="D48" s="238" t="s">
        <v>96</v>
      </c>
      <c r="E48" s="237" t="s">
        <v>18</v>
      </c>
      <c r="F48" s="150"/>
      <c r="I48" s="150"/>
      <c r="J48" s="150"/>
      <c r="K48" s="150"/>
      <c r="L48" s="150"/>
      <c r="M48" s="150"/>
    </row>
    <row r="49" spans="1:13" x14ac:dyDescent="0.25">
      <c r="A49" s="575"/>
      <c r="B49" s="211" t="s">
        <v>69</v>
      </c>
      <c r="C49" s="213" t="s">
        <v>100</v>
      </c>
      <c r="D49" s="214" t="s">
        <v>97</v>
      </c>
      <c r="E49" s="214" t="s">
        <v>97</v>
      </c>
      <c r="F49" s="150"/>
      <c r="I49" s="150"/>
      <c r="J49" s="150"/>
      <c r="K49" s="150"/>
      <c r="L49" s="150"/>
      <c r="M49" s="150"/>
    </row>
    <row r="50" spans="1:13" ht="13.8" thickBot="1" x14ac:dyDescent="0.3">
      <c r="A50" s="576"/>
      <c r="B50" s="268">
        <f>'Reading.4.25'!AQ36</f>
        <v>1332</v>
      </c>
      <c r="C50" s="235">
        <f>'Reading.4.25'!AQ37</f>
        <v>2216</v>
      </c>
      <c r="D50" s="215">
        <v>2180</v>
      </c>
      <c r="E50" s="215">
        <v>2120</v>
      </c>
      <c r="F50" s="150"/>
      <c r="I50" s="150"/>
      <c r="J50" s="150"/>
      <c r="K50" s="150"/>
      <c r="L50" s="150"/>
      <c r="M50" s="150"/>
    </row>
    <row r="51" spans="1:13" ht="13.8" thickBot="1" x14ac:dyDescent="0.3"/>
    <row r="52" spans="1:13" x14ac:dyDescent="0.25">
      <c r="A52" s="559" t="s">
        <v>95</v>
      </c>
      <c r="B52" s="561" t="s">
        <v>68</v>
      </c>
      <c r="C52" s="562"/>
      <c r="D52" s="563" t="s">
        <v>70</v>
      </c>
      <c r="E52" s="564"/>
    </row>
    <row r="53" spans="1:13" x14ac:dyDescent="0.25">
      <c r="A53" s="560"/>
      <c r="B53" s="211" t="s">
        <v>69</v>
      </c>
      <c r="C53" s="212" t="s">
        <v>94</v>
      </c>
      <c r="D53" s="228" t="s">
        <v>69</v>
      </c>
      <c r="E53" s="212" t="s">
        <v>18</v>
      </c>
    </row>
    <row r="54" spans="1:13" x14ac:dyDescent="0.25">
      <c r="A54" s="560"/>
      <c r="B54" s="225">
        <v>36</v>
      </c>
      <c r="C54" s="226">
        <v>31</v>
      </c>
      <c r="D54" s="229">
        <f>'Reading.4.25'!BC36</f>
        <v>16</v>
      </c>
      <c r="E54" s="227">
        <f>'Reading.4.25'!BG36</f>
        <v>80</v>
      </c>
    </row>
    <row r="55" spans="1:13" ht="13.8" thickBot="1" x14ac:dyDescent="0.3">
      <c r="A55" s="230" t="s">
        <v>109</v>
      </c>
      <c r="B55" s="233">
        <v>50</v>
      </c>
      <c r="C55" s="234">
        <v>60</v>
      </c>
      <c r="D55" s="231">
        <f>'Reading.4.25'!BF36</f>
        <v>25</v>
      </c>
      <c r="E55" s="232">
        <f>'Reading.4.25'!BJ36</f>
        <v>56</v>
      </c>
    </row>
    <row r="57" spans="1:13" x14ac:dyDescent="0.25">
      <c r="A57" s="205" t="s">
        <v>92</v>
      </c>
    </row>
    <row r="58" spans="1:13" x14ac:dyDescent="0.25">
      <c r="A58" s="43"/>
    </row>
    <row r="60" spans="1:13" x14ac:dyDescent="0.25">
      <c r="A60" s="43"/>
    </row>
    <row r="61" spans="1:13" x14ac:dyDescent="0.25">
      <c r="A61" s="43"/>
    </row>
  </sheetData>
  <mergeCells count="14">
    <mergeCell ref="D47:F47"/>
    <mergeCell ref="I47:M47"/>
    <mergeCell ref="A48:A50"/>
    <mergeCell ref="B48:C48"/>
    <mergeCell ref="A52:A54"/>
    <mergeCell ref="B52:C52"/>
    <mergeCell ref="D52:E52"/>
    <mergeCell ref="B2:C2"/>
    <mergeCell ref="I5:M5"/>
    <mergeCell ref="B6:D6"/>
    <mergeCell ref="E6:G6"/>
    <mergeCell ref="A46:B46"/>
    <mergeCell ref="D46:F46"/>
    <mergeCell ref="I46:M46"/>
  </mergeCells>
  <pageMargins left="0.7" right="1.1200000000000001" top="0.85" bottom="0.68" header="0.3" footer="0.3"/>
  <pageSetup scale="6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36" baseType="lpstr">
      <vt:lpstr>Total</vt:lpstr>
      <vt:lpstr>Daily Consumption</vt:lpstr>
      <vt:lpstr>Reading.4.25</vt:lpstr>
      <vt:lpstr>cost.4.25</vt:lpstr>
      <vt:lpstr>Domestic Water</vt:lpstr>
      <vt:lpstr>Main Pool</vt:lpstr>
      <vt:lpstr>Heated Pool</vt:lpstr>
      <vt:lpstr>Kids pool </vt:lpstr>
      <vt:lpstr>Jacuzzi</vt:lpstr>
      <vt:lpstr>Fountains &amp; Lagoons</vt:lpstr>
      <vt:lpstr>Boilers</vt:lpstr>
      <vt:lpstr>Chillers</vt:lpstr>
      <vt:lpstr>Reading.4.24</vt:lpstr>
      <vt:lpstr>Cost.4.24</vt:lpstr>
      <vt:lpstr>Sheet1</vt:lpstr>
      <vt:lpstr>Daily Consumption new</vt:lpstr>
      <vt:lpstr>Sheet2</vt:lpstr>
      <vt:lpstr>Sheet3</vt:lpstr>
      <vt:lpstr>Electricity Chart</vt:lpstr>
      <vt:lpstr>Boiler Gas Chart</vt:lpstr>
      <vt:lpstr>Kitchen Gas Chart</vt:lpstr>
      <vt:lpstr>Water Consumption</vt:lpstr>
      <vt:lpstr>Boilers!Print_Area</vt:lpstr>
      <vt:lpstr>'Daily Consumption'!Print_Area</vt:lpstr>
      <vt:lpstr>'Daily Consumption new'!Print_Area</vt:lpstr>
      <vt:lpstr>'Domestic Water'!Print_Area</vt:lpstr>
      <vt:lpstr>'Fountains &amp; Lagoons'!Print_Area</vt:lpstr>
      <vt:lpstr>'Heated Pool'!Print_Area</vt:lpstr>
      <vt:lpstr>Jacuzzi!Print_Area</vt:lpstr>
      <vt:lpstr>'Kids pool '!Print_Area</vt:lpstr>
      <vt:lpstr>'Main Pool'!Print_Area</vt:lpstr>
      <vt:lpstr>Reading.4.25!Print_Area</vt:lpstr>
      <vt:lpstr>Chillers!Print_Titles</vt:lpstr>
      <vt:lpstr>Cost.4.24!Print_Titles</vt:lpstr>
      <vt:lpstr>cost.4.25!Print_Titles</vt:lpstr>
      <vt:lpstr>شت8</vt:lpstr>
    </vt:vector>
  </TitlesOfParts>
  <Company>Rotana Hotels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T.Elserougi</dc:creator>
  <cp:lastModifiedBy>Joe Alkhoury</cp:lastModifiedBy>
  <cp:lastPrinted>2025-04-04T08:24:47Z</cp:lastPrinted>
  <dcterms:created xsi:type="dcterms:W3CDTF">2006-04-11T08:27:10Z</dcterms:created>
  <dcterms:modified xsi:type="dcterms:W3CDTF">2025-04-06T16:28:30Z</dcterms:modified>
</cp:coreProperties>
</file>