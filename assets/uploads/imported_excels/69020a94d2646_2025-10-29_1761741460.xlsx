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modongroup-my.sharepoint.com/personal/thomas_chacko_babalnojoum_com/Documents/Desktop/HEP 2025/"/>
    </mc:Choice>
  </mc:AlternateContent>
  <xr:revisionPtr revIDLastSave="31" documentId="8_{E810000A-5A4B-4569-886D-59C8AD952873}" xr6:coauthVersionLast="47" xr6:coauthVersionMax="47" xr10:uidLastSave="{3CBDAD48-73F4-40CD-A5B4-CA78AAD136E8}"/>
  <bookViews>
    <workbookView xWindow="-108" yWindow="-108" windowWidth="23256" windowHeight="13896" tabRatio="783" firstSheet="1" xr2:uid="{00000000-000D-0000-FFFF-FFFF00000000}"/>
  </bookViews>
  <sheets>
    <sheet name="Total" sheetId="15" r:id="rId1"/>
    <sheet name="BAN-M Electrical &amp; Water July25" sheetId="14" r:id="rId2"/>
  </sheets>
  <externalReferences>
    <externalReference r:id="rId3"/>
  </externalReferences>
  <definedNames>
    <definedName name="_xlnm.Print_Area" localSheetId="1">'BAN-M Electrical &amp; Water July25'!$C$1:$K$35</definedName>
    <definedName name="شت8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4" l="1"/>
  <c r="G16" i="14"/>
  <c r="E23" i="14"/>
  <c r="E16" i="14"/>
  <c r="C23" i="14"/>
  <c r="C16" i="14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H34" i="14"/>
  <c r="D13" i="14" l="1"/>
  <c r="J37" i="14" l="1"/>
  <c r="J38" i="14" s="1"/>
  <c r="H37" i="14"/>
  <c r="F37" i="14"/>
  <c r="D37" i="14"/>
  <c r="D38" i="14" s="1"/>
  <c r="J36" i="14"/>
  <c r="H36" i="14"/>
  <c r="G31" i="15" s="1"/>
  <c r="F36" i="14"/>
  <c r="E31" i="15" s="1"/>
  <c r="D36" i="14"/>
  <c r="J35" i="14"/>
  <c r="H35" i="14"/>
  <c r="G30" i="15" s="1"/>
  <c r="F35" i="14"/>
  <c r="E30" i="15" s="1"/>
  <c r="D35" i="14"/>
  <c r="J34" i="14"/>
  <c r="G29" i="15" s="1"/>
  <c r="F34" i="14"/>
  <c r="E29" i="15" s="1"/>
  <c r="D34" i="14"/>
  <c r="J33" i="14"/>
  <c r="H33" i="14"/>
  <c r="G28" i="15" s="1"/>
  <c r="F33" i="14"/>
  <c r="E28" i="15" s="1"/>
  <c r="D33" i="14"/>
  <c r="J32" i="14"/>
  <c r="H32" i="14"/>
  <c r="G27" i="15" s="1"/>
  <c r="F32" i="14"/>
  <c r="E27" i="15" s="1"/>
  <c r="D32" i="14"/>
  <c r="J31" i="14"/>
  <c r="H31" i="14"/>
  <c r="G26" i="15" s="1"/>
  <c r="F31" i="14"/>
  <c r="E26" i="15" s="1"/>
  <c r="D31" i="14"/>
  <c r="J30" i="14"/>
  <c r="H30" i="14"/>
  <c r="F30" i="14"/>
  <c r="E25" i="15" s="1"/>
  <c r="D30" i="14"/>
  <c r="J29" i="14"/>
  <c r="H29" i="14"/>
  <c r="G24" i="15" s="1"/>
  <c r="F29" i="14"/>
  <c r="E24" i="15" s="1"/>
  <c r="D29" i="14"/>
  <c r="J28" i="14"/>
  <c r="H28" i="14"/>
  <c r="G23" i="15" s="1"/>
  <c r="F28" i="14"/>
  <c r="E23" i="15" s="1"/>
  <c r="D28" i="14"/>
  <c r="J27" i="14"/>
  <c r="H27" i="14"/>
  <c r="G22" i="15" s="1"/>
  <c r="F27" i="14"/>
  <c r="E22" i="15" s="1"/>
  <c r="D27" i="14"/>
  <c r="J26" i="14"/>
  <c r="H26" i="14"/>
  <c r="G21" i="15" s="1"/>
  <c r="F26" i="14"/>
  <c r="E21" i="15" s="1"/>
  <c r="D26" i="14"/>
  <c r="J25" i="14"/>
  <c r="H25" i="14"/>
  <c r="G20" i="15" s="1"/>
  <c r="F25" i="14"/>
  <c r="E20" i="15" s="1"/>
  <c r="D25" i="14"/>
  <c r="J24" i="14"/>
  <c r="H24" i="14"/>
  <c r="G19" i="15" s="1"/>
  <c r="F24" i="14"/>
  <c r="E19" i="15" s="1"/>
  <c r="D24" i="14"/>
  <c r="J23" i="14"/>
  <c r="H23" i="14"/>
  <c r="F23" i="14"/>
  <c r="E18" i="15" s="1"/>
  <c r="D23" i="14"/>
  <c r="J22" i="14"/>
  <c r="H22" i="14"/>
  <c r="G17" i="15" s="1"/>
  <c r="F22" i="14"/>
  <c r="E17" i="15" s="1"/>
  <c r="D22" i="14"/>
  <c r="J21" i="14"/>
  <c r="H21" i="14"/>
  <c r="G16" i="15" s="1"/>
  <c r="F21" i="14"/>
  <c r="E16" i="15" s="1"/>
  <c r="D21" i="14"/>
  <c r="J20" i="14"/>
  <c r="H20" i="14"/>
  <c r="G15" i="15" s="1"/>
  <c r="F20" i="14"/>
  <c r="E15" i="15" s="1"/>
  <c r="D20" i="14"/>
  <c r="J19" i="14"/>
  <c r="H19" i="14"/>
  <c r="G14" i="15" s="1"/>
  <c r="F19" i="14"/>
  <c r="E14" i="15" s="1"/>
  <c r="D19" i="14"/>
  <c r="J18" i="14"/>
  <c r="H18" i="14"/>
  <c r="G13" i="15" s="1"/>
  <c r="F18" i="14"/>
  <c r="E13" i="15" s="1"/>
  <c r="D18" i="14"/>
  <c r="J17" i="14"/>
  <c r="H17" i="14"/>
  <c r="G12" i="15" s="1"/>
  <c r="F17" i="14"/>
  <c r="E12" i="15" s="1"/>
  <c r="D17" i="14"/>
  <c r="J16" i="14"/>
  <c r="H16" i="14"/>
  <c r="F16" i="14"/>
  <c r="E11" i="15" s="1"/>
  <c r="D16" i="14"/>
  <c r="J15" i="14"/>
  <c r="H15" i="14"/>
  <c r="G10" i="15" s="1"/>
  <c r="F15" i="14"/>
  <c r="E10" i="15" s="1"/>
  <c r="D15" i="14"/>
  <c r="J14" i="14"/>
  <c r="H14" i="14"/>
  <c r="G9" i="15" s="1"/>
  <c r="F14" i="14"/>
  <c r="E9" i="15" s="1"/>
  <c r="D14" i="14"/>
  <c r="J13" i="14"/>
  <c r="H13" i="14"/>
  <c r="G8" i="15" s="1"/>
  <c r="F13" i="14"/>
  <c r="E8" i="15" s="1"/>
  <c r="J12" i="14"/>
  <c r="H12" i="14"/>
  <c r="G7" i="15" s="1"/>
  <c r="F12" i="14"/>
  <c r="E7" i="15" s="1"/>
  <c r="D12" i="14"/>
  <c r="J11" i="14"/>
  <c r="H11" i="14"/>
  <c r="G6" i="15" s="1"/>
  <c r="F11" i="14"/>
  <c r="E6" i="15" s="1"/>
  <c r="D11" i="14"/>
  <c r="J10" i="14"/>
  <c r="H10" i="14"/>
  <c r="G5" i="15" s="1"/>
  <c r="F10" i="14"/>
  <c r="E5" i="15" s="1"/>
  <c r="D10" i="14"/>
  <c r="J9" i="14"/>
  <c r="H9" i="14"/>
  <c r="G4" i="15" s="1"/>
  <c r="F9" i="14"/>
  <c r="E4" i="15" s="1"/>
  <c r="D9" i="14"/>
  <c r="J8" i="14"/>
  <c r="H8" i="14"/>
  <c r="G3" i="15" s="1"/>
  <c r="F8" i="14"/>
  <c r="E3" i="15" s="1"/>
  <c r="D8" i="14"/>
  <c r="J7" i="14"/>
  <c r="H7" i="14"/>
  <c r="G2" i="15" s="1"/>
  <c r="F7" i="14"/>
  <c r="E2" i="15" s="1"/>
  <c r="D7" i="14"/>
  <c r="G11" i="15" l="1"/>
  <c r="G18" i="15"/>
  <c r="G25" i="15"/>
  <c r="H38" i="14"/>
  <c r="G32" i="15"/>
  <c r="F38" i="14"/>
  <c r="E32" i="15"/>
</calcChain>
</file>

<file path=xl/sharedStrings.xml><?xml version="1.0" encoding="utf-8"?>
<sst xmlns="http://schemas.openxmlformats.org/spreadsheetml/2006/main" count="65" uniqueCount="26">
  <si>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</si>
  <si>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</si>
  <si>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</si>
  <si>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</si>
  <si>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</si>
  <si>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</si>
  <si>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</si>
  <si>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</si>
  <si>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</si>
  <si>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</si>
  <si>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Al Mugheirah</t>
  </si>
  <si>
    <t xml:space="preserve">BAN- Mugheirah Utility Readings </t>
  </si>
  <si>
    <t>TYPE</t>
  </si>
  <si>
    <t>Time</t>
  </si>
  <si>
    <t xml:space="preserve">BAN- Mugheirah Utility Readings -ADDC Electrical </t>
  </si>
  <si>
    <t xml:space="preserve">Daily Consumptions </t>
  </si>
  <si>
    <t>BAN- Mugheirah Utility Readings - ADDC Water.                   ( Villas)</t>
  </si>
  <si>
    <t>BAN- Mugheirah Utility Readings - ADDC Water (Irrigations)</t>
  </si>
  <si>
    <t xml:space="preserve">Remarks </t>
  </si>
  <si>
    <t>Meter</t>
  </si>
  <si>
    <t>AC No 0405438373</t>
  </si>
  <si>
    <t>AC N0 33777729225</t>
  </si>
  <si>
    <t>DATE</t>
  </si>
  <si>
    <t>Electricity (kWH)</t>
  </si>
  <si>
    <t>KWH</t>
  </si>
  <si>
    <t>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</si>
</sst>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1"/>
      <name val="Aptos Display"/>
      <family val="2"/>
    </font>
    <font>
      <b/>
      <sz val="11"/>
      <color rgb="FF00B05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3"/>
      <name val="Aptos Display"/>
      <family val="2"/>
    </font>
    <font>
      <b/>
      <sz val="13"/>
      <color rgb="FFFF0000"/>
      <name val="Aptos Display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 wrapText="1"/>
    </xf>
    <xf numFmtId="2" fontId="14" fillId="0" borderId="4" xfId="1" applyNumberFormat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15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12" fillId="0" borderId="0" xfId="1" applyNumberFormat="1" applyAlignment="1">
      <alignment horizontal="center"/>
    </xf>
    <xf numFmtId="2" fontId="13" fillId="0" borderId="0" xfId="1" applyNumberFormat="1" applyFont="1" applyAlignment="1">
      <alignment horizontal="center"/>
    </xf>
    <xf numFmtId="0" fontId="12" fillId="0" borderId="0" xfId="1" applyAlignment="1">
      <alignment horizontal="center"/>
    </xf>
    <xf numFmtId="0" fontId="13" fillId="0" borderId="0" xfId="1" applyFont="1" applyAlignment="1">
      <alignment horizontal="center"/>
    </xf>
    <xf numFmtId="0" fontId="1" fillId="0" borderId="0" xfId="1" applyFont="1"/>
    <xf numFmtId="0" fontId="12" fillId="0" borderId="0" xfId="1"/>
    <xf numFmtId="1" fontId="12" fillId="7" borderId="0" xfId="1" applyNumberFormat="1" applyFill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16" fillId="8" borderId="0" xfId="0" applyFont="1" applyFill="1" applyBorder="1" applyAlignment="1"/>
  </cellXfs>
  <cellStyles count="2">
    <cellStyle name="Normal" xfId="0" builtinId="0"/>
    <cellStyle name="Normal 5" xfId="1" xr:uid="{7F99A16C-EA25-477D-ACE3-910BFA5174D0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'[1]BAN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0B7-4C05-8572-E247B5CE2A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0410544"/>
        <c:axId val="1540407632"/>
        <c:axId val="0"/>
      </c:bar3DChart>
      <c:dateAx>
        <c:axId val="15404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'BAN-M Electrical &amp; Water July25'!$D$6:$D$35</c:f>
              <c:numCache>
                <c:formatCode>General</c:formatCode>
                <c:ptCount val="30"/>
                <c:pt idx="0">
                  <c:v>0</c:v>
                </c:pt>
                <c:pt idx="1">
                  <c:v>4378</c:v>
                </c:pt>
                <c:pt idx="2">
                  <c:v>724</c:v>
                </c:pt>
                <c:pt idx="3">
                  <c:v>2125</c:v>
                </c:pt>
                <c:pt idx="4">
                  <c:v>2133</c:v>
                </c:pt>
                <c:pt idx="5">
                  <c:v>2186</c:v>
                </c:pt>
                <c:pt idx="6">
                  <c:v>2575</c:v>
                </c:pt>
                <c:pt idx="7">
                  <c:v>2356</c:v>
                </c:pt>
                <c:pt idx="8">
                  <c:v>2346</c:v>
                </c:pt>
                <c:pt idx="9">
                  <c:v>2211</c:v>
                </c:pt>
                <c:pt idx="10">
                  <c:v>2361</c:v>
                </c:pt>
                <c:pt idx="11">
                  <c:v>2272</c:v>
                </c:pt>
                <c:pt idx="12">
                  <c:v>2521</c:v>
                </c:pt>
                <c:pt idx="13">
                  <c:v>2587</c:v>
                </c:pt>
                <c:pt idx="14">
                  <c:v>2626</c:v>
                </c:pt>
                <c:pt idx="15">
                  <c:v>2339</c:v>
                </c:pt>
                <c:pt idx="16">
                  <c:v>1982</c:v>
                </c:pt>
                <c:pt idx="17">
                  <c:v>2105</c:v>
                </c:pt>
                <c:pt idx="18">
                  <c:v>2713</c:v>
                </c:pt>
                <c:pt idx="19">
                  <c:v>2280</c:v>
                </c:pt>
                <c:pt idx="20">
                  <c:v>2075</c:v>
                </c:pt>
                <c:pt idx="21">
                  <c:v>2318</c:v>
                </c:pt>
                <c:pt idx="22">
                  <c:v>2355</c:v>
                </c:pt>
                <c:pt idx="23">
                  <c:v>2801</c:v>
                </c:pt>
                <c:pt idx="24">
                  <c:v>2064</c:v>
                </c:pt>
                <c:pt idx="25">
                  <c:v>2220</c:v>
                </c:pt>
                <c:pt idx="26">
                  <c:v>1995</c:v>
                </c:pt>
                <c:pt idx="27">
                  <c:v>1755</c:v>
                </c:pt>
                <c:pt idx="28">
                  <c:v>1941</c:v>
                </c:pt>
                <c:pt idx="29">
                  <c:v>2853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0D3-42AF-9718-7CCB679205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75889040"/>
        <c:axId val="1775889456"/>
        <c:axId val="0"/>
      </c:bar3DChart>
      <c:catAx>
        <c:axId val="177588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52CE-4CC6-A81F-47EAD812BA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'BAN-M Electrical &amp; Water July25'!$H$6:$H$35</c:f>
              <c:numCache>
                <c:formatCode>General</c:formatCode>
                <c:ptCount val="30"/>
                <c:pt idx="0">
                  <c:v>0</c:v>
                </c:pt>
                <c:pt idx="1">
                  <c:v>54</c:v>
                </c:pt>
                <c:pt idx="2">
                  <c:v>5</c:v>
                </c:pt>
                <c:pt idx="3">
                  <c:v>18</c:v>
                </c:pt>
                <c:pt idx="4">
                  <c:v>28</c:v>
                </c:pt>
                <c:pt idx="5">
                  <c:v>35</c:v>
                </c:pt>
                <c:pt idx="6">
                  <c:v>46</c:v>
                </c:pt>
                <c:pt idx="7">
                  <c:v>38</c:v>
                </c:pt>
                <c:pt idx="8">
                  <c:v>28</c:v>
                </c:pt>
                <c:pt idx="9">
                  <c:v>23</c:v>
                </c:pt>
                <c:pt idx="10">
                  <c:v>13</c:v>
                </c:pt>
                <c:pt idx="11">
                  <c:v>43</c:v>
                </c:pt>
                <c:pt idx="12">
                  <c:v>43</c:v>
                </c:pt>
                <c:pt idx="13">
                  <c:v>27</c:v>
                </c:pt>
                <c:pt idx="14">
                  <c:v>24</c:v>
                </c:pt>
                <c:pt idx="15">
                  <c:v>42</c:v>
                </c:pt>
                <c:pt idx="16">
                  <c:v>24</c:v>
                </c:pt>
                <c:pt idx="17">
                  <c:v>33</c:v>
                </c:pt>
                <c:pt idx="18">
                  <c:v>31</c:v>
                </c:pt>
                <c:pt idx="19">
                  <c:v>31</c:v>
                </c:pt>
                <c:pt idx="20">
                  <c:v>73</c:v>
                </c:pt>
                <c:pt idx="21">
                  <c:v>90</c:v>
                </c:pt>
                <c:pt idx="22">
                  <c:v>57</c:v>
                </c:pt>
                <c:pt idx="23">
                  <c:v>27</c:v>
                </c:pt>
                <c:pt idx="24">
                  <c:v>31</c:v>
                </c:pt>
                <c:pt idx="25">
                  <c:v>30</c:v>
                </c:pt>
                <c:pt idx="26">
                  <c:v>26</c:v>
                </c:pt>
                <c:pt idx="27">
                  <c:v>43</c:v>
                </c:pt>
                <c:pt idx="28">
                  <c:v>35</c:v>
                </c:pt>
                <c:pt idx="29">
                  <c:v>48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2CE-4CC6-A81F-47EAD812BA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9474160"/>
        <c:axId val="1346893408"/>
        <c:axId val="0"/>
      </c:bar3DChart>
      <c:catAx>
        <c:axId val="154947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550407</xdr:colOff>
      <xdr:row>5</xdr:row>
      <xdr:rowOff>149678</xdr:rowOff>
    </xdr:from>
    <xdr:to>
      <xdr:col>27</xdr:col>
      <xdr:colOff>163285</xdr:colOff>
      <xdr:row>13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03A27-F565-4A9A-9817-0712753E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530998</xdr:colOff>
      <xdr:row>14</xdr:row>
      <xdr:rowOff>176891</xdr:rowOff>
    </xdr:from>
    <xdr:to>
      <xdr:col>27</xdr:col>
      <xdr:colOff>176893</xdr:colOff>
      <xdr:row>22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A8D5E-0F97-4F9E-87E0-6B0BB6206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550689</xdr:colOff>
      <xdr:row>23</xdr:row>
      <xdr:rowOff>248929</xdr:rowOff>
    </xdr:from>
    <xdr:to>
      <xdr:col>27</xdr:col>
      <xdr:colOff>163286</xdr:colOff>
      <xdr:row>31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099EB0-8673-4BED-B1F4-B2CECD168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1490868</xdr:colOff>
      <xdr:row>0</xdr:row>
      <xdr:rowOff>47400</xdr:rowOff>
    </xdr:from>
    <xdr:to>
      <xdr:col>3</xdr:col>
      <xdr:colOff>2037356</xdr:colOff>
      <xdr:row>0</xdr:row>
      <xdr:rowOff>1104348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F288D4-3609-4812-BEF3-7DEE00B89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738" y="47400"/>
          <a:ext cx="4163227" cy="1056948"/>
        </a:xfrm>
        <a:prstGeom prst="rect">
          <a:avLst/>
        </a:prstGeom>
      </xdr:spPr>
    </xdr:pic>
    <xdr:clientData/>
  </xdr:twoCellAnchor>
  <xdr:twoCellAnchor editAs="oneCell">
    <xdr:from>
      <xdr:col>9</xdr:col>
      <xdr:colOff>1394240</xdr:colOff>
      <xdr:row>0</xdr:row>
      <xdr:rowOff>124240</xdr:rowOff>
    </xdr:from>
    <xdr:to>
      <xdr:col>10</xdr:col>
      <xdr:colOff>1808370</xdr:colOff>
      <xdr:row>0</xdr:row>
      <xdr:rowOff>1090544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B755A8-E038-4DE5-A51B-C4948559478F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98805" y="124240"/>
          <a:ext cx="2470978" cy="966304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N%20Extension%2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 Extension 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87A4-0886-45E5-8BA9-8489A8CB7D7B}">
  <dimension ref="A1:V33"/>
  <sheetViews>
    <sheetView tabSelected="1" workbookViewId="0">
      <selection activeCell="J14" sqref="J14"/>
    </sheetView>
  </sheetViews>
  <sheetFormatPr defaultColWidth="11.5703125" defaultRowHeight="14.45"/>
  <cols>
    <col min="1" max="1" width="29.140625" style="33" bestFit="1" customWidth="1"/>
    <col min="2" max="3" width="11.5703125" style="28"/>
    <col min="4" max="4" width="13.42578125" style="28" customWidth="1"/>
    <col min="5" max="5" width="12.5703125" style="31" customWidth="1"/>
    <col min="6" max="6" width="12.5703125" style="30" customWidth="1"/>
    <col min="7" max="7" width="11.5703125" style="31"/>
    <col min="8" max="8" width="11.5703125" style="32"/>
    <col min="9" max="22" width="11.5703125" style="31"/>
    <col min="23" max="16384" width="11.5703125" style="34"/>
  </cols>
  <sheetData>
    <row r="1" spans="1:10" s="26" customFormat="1" ht="43.15">
      <c r="A1" s="22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5" t="s">
        <v>7</v>
      </c>
      <c r="I1" s="23" t="s">
        <v>8</v>
      </c>
      <c r="J1" s="23" t="s">
        <v>9</v>
      </c>
    </row>
    <row r="2" spans="1:10" ht="15">
      <c r="A2" s="27" t="s">
        <v>10</v>
      </c>
      <c r="B2" s="28">
        <v>1</v>
      </c>
      <c r="C2" s="28">
        <v>9</v>
      </c>
      <c r="D2" s="28">
        <v>2025</v>
      </c>
      <c r="E2" s="29">
        <f>IF('BAN-M Electrical &amp; Water July25'!F7&gt;0,'BAN-M Electrical &amp; Water July25'!F7,0)</f>
        <v>10343</v>
      </c>
      <c r="F2" s="30">
        <v>0.2</v>
      </c>
      <c r="G2" s="29">
        <f>IF('BAN-M Electrical &amp; Water July25'!H7+'BAN-M Electrical &amp; Water July25'!J7&gt;0,'BAN-M Electrical &amp; Water July25'!H7+'BAN-M Electrical &amp; Water July25'!J7,0)</f>
        <v>54</v>
      </c>
      <c r="H2" s="30">
        <v>7.84</v>
      </c>
      <c r="I2" s="42">
        <v>7</v>
      </c>
      <c r="J2" s="42">
        <v>10</v>
      </c>
    </row>
    <row r="3" spans="1:10" ht="15">
      <c r="A3" s="27" t="s">
        <v>10</v>
      </c>
      <c r="B3" s="28">
        <f>B2+1</f>
        <v>2</v>
      </c>
      <c r="C3" s="28">
        <v>9</v>
      </c>
      <c r="D3" s="28">
        <v>2025</v>
      </c>
      <c r="E3" s="29">
        <f>IF('BAN-M Electrical &amp; Water July25'!F8&gt;0,'BAN-M Electrical &amp; Water July25'!F8,0)</f>
        <v>1275</v>
      </c>
      <c r="F3" s="30">
        <v>0.2</v>
      </c>
      <c r="G3" s="29">
        <f>IF('BAN-M Electrical &amp; Water July25'!H8+'BAN-M Electrical &amp; Water July25'!J8&gt;0,'BAN-M Electrical &amp; Water July25'!H8+'BAN-M Electrical &amp; Water July25'!J8,0)</f>
        <v>5</v>
      </c>
      <c r="H3" s="30">
        <v>7.84</v>
      </c>
      <c r="I3" s="42">
        <v>9</v>
      </c>
      <c r="J3" s="42">
        <v>14</v>
      </c>
    </row>
    <row r="4" spans="1:10" ht="15">
      <c r="A4" s="27" t="s">
        <v>10</v>
      </c>
      <c r="B4" s="28">
        <f t="shared" ref="B4:B32" si="0">B3+1</f>
        <v>3</v>
      </c>
      <c r="C4" s="28">
        <v>9</v>
      </c>
      <c r="D4" s="28">
        <v>2025</v>
      </c>
      <c r="E4" s="29">
        <f>IF('BAN-M Electrical &amp; Water July25'!F9&gt;0,'BAN-M Electrical &amp; Water July25'!F9,0)</f>
        <v>4916</v>
      </c>
      <c r="F4" s="30">
        <v>0.2</v>
      </c>
      <c r="G4" s="29">
        <f>IF('BAN-M Electrical &amp; Water July25'!H9+'BAN-M Electrical &amp; Water July25'!J9&gt;0,'BAN-M Electrical &amp; Water July25'!H9+'BAN-M Electrical &amp; Water July25'!J9,0)</f>
        <v>18</v>
      </c>
      <c r="H4" s="30">
        <v>7.84</v>
      </c>
      <c r="I4" s="42">
        <v>3</v>
      </c>
      <c r="J4" s="42">
        <v>4</v>
      </c>
    </row>
    <row r="5" spans="1:10" ht="15">
      <c r="A5" s="27" t="s">
        <v>10</v>
      </c>
      <c r="B5" s="28">
        <f t="shared" si="0"/>
        <v>4</v>
      </c>
      <c r="C5" s="28">
        <v>9</v>
      </c>
      <c r="D5" s="28">
        <v>2025</v>
      </c>
      <c r="E5" s="29">
        <f>IF('BAN-M Electrical &amp; Water July25'!F10&gt;0,'BAN-M Electrical &amp; Water July25'!F10,0)</f>
        <v>5216</v>
      </c>
      <c r="F5" s="30">
        <v>0.2</v>
      </c>
      <c r="G5" s="29">
        <f>IF('BAN-M Electrical &amp; Water July25'!H10+'BAN-M Electrical &amp; Water July25'!J10&gt;0,'BAN-M Electrical &amp; Water July25'!H10+'BAN-M Electrical &amp; Water July25'!J10,0)</f>
        <v>28</v>
      </c>
      <c r="H5" s="30">
        <v>7.84</v>
      </c>
      <c r="I5" s="42">
        <v>7</v>
      </c>
      <c r="J5" s="42">
        <v>20</v>
      </c>
    </row>
    <row r="6" spans="1:10" ht="15">
      <c r="A6" s="27" t="s">
        <v>10</v>
      </c>
      <c r="B6" s="28">
        <f t="shared" si="0"/>
        <v>5</v>
      </c>
      <c r="C6" s="28">
        <v>9</v>
      </c>
      <c r="D6" s="28">
        <v>2025</v>
      </c>
      <c r="E6" s="29">
        <f>IF('BAN-M Electrical &amp; Water July25'!F11&gt;0,'BAN-M Electrical &amp; Water July25'!F11,0)</f>
        <v>5809</v>
      </c>
      <c r="F6" s="30">
        <v>0.2</v>
      </c>
      <c r="G6" s="29">
        <f>IF('BAN-M Electrical &amp; Water July25'!H11+'BAN-M Electrical &amp; Water July25'!J11&gt;0,'BAN-M Electrical &amp; Water July25'!H11+'BAN-M Electrical &amp; Water July25'!J11,0)</f>
        <v>35</v>
      </c>
      <c r="H6" s="30">
        <v>7.84</v>
      </c>
      <c r="I6" s="42">
        <v>37</v>
      </c>
      <c r="J6" s="42">
        <v>85</v>
      </c>
    </row>
    <row r="7" spans="1:10" ht="15">
      <c r="A7" s="27" t="s">
        <v>10</v>
      </c>
      <c r="B7" s="28">
        <f t="shared" si="0"/>
        <v>6</v>
      </c>
      <c r="C7" s="28">
        <v>9</v>
      </c>
      <c r="D7" s="28">
        <v>2025</v>
      </c>
      <c r="E7" s="29">
        <f>IF('BAN-M Electrical &amp; Water July25'!F12&gt;0,'BAN-M Electrical &amp; Water July25'!F12,0)</f>
        <v>6865</v>
      </c>
      <c r="F7" s="30">
        <v>0.2</v>
      </c>
      <c r="G7" s="29">
        <f>IF('BAN-M Electrical &amp; Water July25'!H12+'BAN-M Electrical &amp; Water July25'!J12&gt;0,'BAN-M Electrical &amp; Water July25'!H12+'BAN-M Electrical &amp; Water July25'!J12,0)</f>
        <v>46</v>
      </c>
      <c r="H7" s="30">
        <v>7.84</v>
      </c>
      <c r="I7" s="42">
        <v>23</v>
      </c>
      <c r="J7" s="42">
        <v>57</v>
      </c>
    </row>
    <row r="8" spans="1:10" ht="15">
      <c r="A8" s="27" t="s">
        <v>10</v>
      </c>
      <c r="B8" s="28">
        <f t="shared" si="0"/>
        <v>7</v>
      </c>
      <c r="C8" s="28">
        <v>9</v>
      </c>
      <c r="D8" s="28">
        <v>2025</v>
      </c>
      <c r="E8" s="29">
        <f>IF('BAN-M Electrical &amp; Water July25'!F13&gt;0,'BAN-M Electrical &amp; Water July25'!F13,0)</f>
        <v>6331</v>
      </c>
      <c r="F8" s="30">
        <v>0.2</v>
      </c>
      <c r="G8" s="29">
        <f>IF('BAN-M Electrical &amp; Water July25'!H13+'BAN-M Electrical &amp; Water July25'!J13&gt;0,'BAN-M Electrical &amp; Water July25'!H13+'BAN-M Electrical &amp; Water July25'!J13,0)</f>
        <v>38</v>
      </c>
      <c r="H8" s="30">
        <v>7.84</v>
      </c>
      <c r="I8" s="42">
        <v>16</v>
      </c>
      <c r="J8" s="42">
        <v>21</v>
      </c>
    </row>
    <row r="9" spans="1:10" ht="15">
      <c r="A9" s="27" t="s">
        <v>10</v>
      </c>
      <c r="B9" s="28">
        <f t="shared" si="0"/>
        <v>8</v>
      </c>
      <c r="C9" s="28">
        <v>9</v>
      </c>
      <c r="D9" s="28">
        <v>2025</v>
      </c>
      <c r="E9" s="29">
        <f>IF('BAN-M Electrical &amp; Water July25'!F14&gt;0,'BAN-M Electrical &amp; Water July25'!F14,0)</f>
        <v>5579</v>
      </c>
      <c r="F9" s="30">
        <v>0.2</v>
      </c>
      <c r="G9" s="29">
        <f>IF('BAN-M Electrical &amp; Water July25'!H14+'BAN-M Electrical &amp; Water July25'!J14&gt;0,'BAN-M Electrical &amp; Water July25'!H14+'BAN-M Electrical &amp; Water July25'!J14,0)</f>
        <v>28</v>
      </c>
      <c r="H9" s="30">
        <v>7.84</v>
      </c>
      <c r="I9" s="42">
        <v>15</v>
      </c>
      <c r="J9" s="42">
        <v>17</v>
      </c>
    </row>
    <row r="10" spans="1:10" ht="15">
      <c r="A10" s="27" t="s">
        <v>10</v>
      </c>
      <c r="B10" s="28">
        <f t="shared" si="0"/>
        <v>9</v>
      </c>
      <c r="C10" s="28">
        <v>9</v>
      </c>
      <c r="D10" s="28">
        <v>2025</v>
      </c>
      <c r="E10" s="29">
        <f>IF('BAN-M Electrical &amp; Water July25'!F15&gt;0,'BAN-M Electrical &amp; Water July25'!F15,0)</f>
        <v>5148</v>
      </c>
      <c r="F10" s="30">
        <v>0.2</v>
      </c>
      <c r="G10" s="29">
        <f>IF('BAN-M Electrical &amp; Water July25'!H15+'BAN-M Electrical &amp; Water July25'!J15&gt;0,'BAN-M Electrical &amp; Water July25'!H15+'BAN-M Electrical &amp; Water July25'!J15,0)</f>
        <v>23</v>
      </c>
      <c r="H10" s="30">
        <v>7.84</v>
      </c>
      <c r="I10" s="42">
        <v>14</v>
      </c>
      <c r="J10" s="42">
        <v>15</v>
      </c>
    </row>
    <row r="11" spans="1:10" ht="15">
      <c r="A11" s="27" t="s">
        <v>10</v>
      </c>
      <c r="B11" s="28">
        <f t="shared" si="0"/>
        <v>10</v>
      </c>
      <c r="C11" s="28">
        <v>9</v>
      </c>
      <c r="D11" s="28">
        <v>2025</v>
      </c>
      <c r="E11" s="29">
        <f>IF('BAN-M Electrical &amp; Water July25'!F16&gt;0,'BAN-M Electrical &amp; Water July25'!F16,0)</f>
        <v>6438</v>
      </c>
      <c r="F11" s="30">
        <v>0.2</v>
      </c>
      <c r="G11" s="29">
        <f>IF('BAN-M Electrical &amp; Water July25'!H16+'BAN-M Electrical &amp; Water July25'!J16&gt;0,'BAN-M Electrical &amp; Water July25'!H16+'BAN-M Electrical &amp; Water July25'!J16,0)</f>
        <v>13</v>
      </c>
      <c r="H11" s="30">
        <v>7.84</v>
      </c>
      <c r="I11" s="42">
        <v>27</v>
      </c>
      <c r="J11" s="42">
        <v>31</v>
      </c>
    </row>
    <row r="12" spans="1:10" ht="15">
      <c r="A12" s="27" t="s">
        <v>10</v>
      </c>
      <c r="B12" s="28">
        <f t="shared" si="0"/>
        <v>11</v>
      </c>
      <c r="C12" s="28">
        <v>9</v>
      </c>
      <c r="D12" s="28">
        <v>2025</v>
      </c>
      <c r="E12" s="29">
        <f>IF('BAN-M Electrical &amp; Water July25'!F17&gt;0,'BAN-M Electrical &amp; Water July25'!F17,0)</f>
        <v>6716</v>
      </c>
      <c r="F12" s="30">
        <v>0.2</v>
      </c>
      <c r="G12" s="29">
        <f>IF('BAN-M Electrical &amp; Water July25'!H17+'BAN-M Electrical &amp; Water July25'!J17&gt;0,'BAN-M Electrical &amp; Water July25'!H17+'BAN-M Electrical &amp; Water July25'!J17,0)</f>
        <v>43</v>
      </c>
      <c r="H12" s="30">
        <v>7.84</v>
      </c>
      <c r="I12" s="42">
        <v>27</v>
      </c>
      <c r="J12" s="42">
        <v>31</v>
      </c>
    </row>
    <row r="13" spans="1:10" ht="15">
      <c r="A13" s="27" t="s">
        <v>10</v>
      </c>
      <c r="B13" s="28">
        <f t="shared" si="0"/>
        <v>12</v>
      </c>
      <c r="C13" s="28">
        <v>9</v>
      </c>
      <c r="D13" s="28">
        <v>2025</v>
      </c>
      <c r="E13" s="29">
        <f>IF('BAN-M Electrical &amp; Water July25'!F18&gt;0,'BAN-M Electrical &amp; Water July25'!F18,0)</f>
        <v>7092</v>
      </c>
      <c r="F13" s="30">
        <v>0.2</v>
      </c>
      <c r="G13" s="29">
        <f>IF('BAN-M Electrical &amp; Water July25'!H18+'BAN-M Electrical &amp; Water July25'!J18&gt;0,'BAN-M Electrical &amp; Water July25'!H18+'BAN-M Electrical &amp; Water July25'!J18,0)</f>
        <v>43</v>
      </c>
      <c r="H13" s="30">
        <v>7.84</v>
      </c>
      <c r="I13" s="42">
        <v>31</v>
      </c>
      <c r="J13" s="42">
        <v>39</v>
      </c>
    </row>
    <row r="14" spans="1:10" ht="15">
      <c r="A14" s="27" t="s">
        <v>10</v>
      </c>
      <c r="B14" s="28">
        <f t="shared" si="0"/>
        <v>13</v>
      </c>
      <c r="C14" s="28">
        <v>9</v>
      </c>
      <c r="D14" s="28">
        <v>2025</v>
      </c>
      <c r="E14" s="29">
        <f>IF('BAN-M Electrical &amp; Water July25'!F19&gt;0,'BAN-M Electrical &amp; Water July25'!F19,0)</f>
        <v>6350</v>
      </c>
      <c r="F14" s="30">
        <v>0.2</v>
      </c>
      <c r="G14" s="29">
        <f>IF('BAN-M Electrical &amp; Water July25'!H19+'BAN-M Electrical &amp; Water July25'!J19&gt;0,'BAN-M Electrical &amp; Water July25'!H19+'BAN-M Electrical &amp; Water July25'!J19,0)</f>
        <v>27</v>
      </c>
      <c r="H14" s="30">
        <v>7.84</v>
      </c>
      <c r="I14" s="42">
        <v>36</v>
      </c>
      <c r="J14" s="42">
        <v>50</v>
      </c>
    </row>
    <row r="15" spans="1:10" ht="15">
      <c r="A15" s="27" t="s">
        <v>10</v>
      </c>
      <c r="B15" s="28">
        <f t="shared" si="0"/>
        <v>14</v>
      </c>
      <c r="C15" s="28">
        <v>9</v>
      </c>
      <c r="D15" s="28">
        <v>2025</v>
      </c>
      <c r="E15" s="29">
        <f>IF('BAN-M Electrical &amp; Water July25'!F20&gt;0,'BAN-M Electrical &amp; Water July25'!F20,0)</f>
        <v>6950</v>
      </c>
      <c r="F15" s="30">
        <v>0.2</v>
      </c>
      <c r="G15" s="29">
        <f>IF('BAN-M Electrical &amp; Water July25'!H20+'BAN-M Electrical &amp; Water July25'!J20&gt;0,'BAN-M Electrical &amp; Water July25'!H20+'BAN-M Electrical &amp; Water July25'!J20,0)</f>
        <v>24</v>
      </c>
      <c r="H15" s="30">
        <v>7.84</v>
      </c>
      <c r="I15" s="42">
        <v>30</v>
      </c>
      <c r="J15" s="42">
        <v>37</v>
      </c>
    </row>
    <row r="16" spans="1:10" ht="15">
      <c r="A16" s="27" t="s">
        <v>10</v>
      </c>
      <c r="B16" s="28">
        <f t="shared" si="0"/>
        <v>15</v>
      </c>
      <c r="C16" s="28">
        <v>9</v>
      </c>
      <c r="D16" s="28">
        <v>2025</v>
      </c>
      <c r="E16" s="29">
        <f>IF('BAN-M Electrical &amp; Water July25'!F21&gt;0,'BAN-M Electrical &amp; Water July25'!F21,0)</f>
        <v>6656</v>
      </c>
      <c r="F16" s="30">
        <v>0.2</v>
      </c>
      <c r="G16" s="29">
        <f>IF('BAN-M Electrical &amp; Water July25'!H21+'BAN-M Electrical &amp; Water July25'!J21&gt;0,'BAN-M Electrical &amp; Water July25'!H21+'BAN-M Electrical &amp; Water July25'!J21,0)</f>
        <v>42</v>
      </c>
      <c r="H16" s="30">
        <v>7.84</v>
      </c>
      <c r="I16" s="42">
        <v>28</v>
      </c>
      <c r="J16" s="42">
        <v>33</v>
      </c>
    </row>
    <row r="17" spans="1:10" ht="15">
      <c r="A17" s="27" t="s">
        <v>10</v>
      </c>
      <c r="B17" s="28">
        <f t="shared" si="0"/>
        <v>16</v>
      </c>
      <c r="C17" s="28">
        <v>9</v>
      </c>
      <c r="D17" s="28">
        <v>2025</v>
      </c>
      <c r="E17" s="29">
        <f>IF('BAN-M Electrical &amp; Water July25'!F22&gt;0,'BAN-M Electrical &amp; Water July25'!F22,0)</f>
        <v>4859</v>
      </c>
      <c r="F17" s="30">
        <v>0.2</v>
      </c>
      <c r="G17" s="29">
        <f>IF('BAN-M Electrical &amp; Water July25'!H22+'BAN-M Electrical &amp; Water July25'!J22&gt;0,'BAN-M Electrical &amp; Water July25'!H22+'BAN-M Electrical &amp; Water July25'!J22,0)</f>
        <v>24</v>
      </c>
      <c r="H17" s="30">
        <v>7.84</v>
      </c>
      <c r="I17" s="42">
        <v>28</v>
      </c>
      <c r="J17" s="42">
        <v>33</v>
      </c>
    </row>
    <row r="18" spans="1:10" ht="15">
      <c r="A18" s="27" t="s">
        <v>10</v>
      </c>
      <c r="B18" s="28">
        <f t="shared" si="0"/>
        <v>17</v>
      </c>
      <c r="C18" s="28">
        <v>9</v>
      </c>
      <c r="D18" s="28">
        <v>2025</v>
      </c>
      <c r="E18" s="29">
        <f>IF('BAN-M Electrical &amp; Water July25'!F23&gt;0,'BAN-M Electrical &amp; Water July25'!F23,0)</f>
        <v>6443</v>
      </c>
      <c r="F18" s="30">
        <v>0.2</v>
      </c>
      <c r="G18" s="29">
        <f>IF('BAN-M Electrical &amp; Water July25'!H23+'BAN-M Electrical &amp; Water July25'!J23&gt;0,'BAN-M Electrical &amp; Water July25'!H23+'BAN-M Electrical &amp; Water July25'!J23,0)</f>
        <v>33</v>
      </c>
      <c r="H18" s="30">
        <v>7.84</v>
      </c>
      <c r="I18" s="42">
        <v>32</v>
      </c>
      <c r="J18" s="42">
        <v>39</v>
      </c>
    </row>
    <row r="19" spans="1:10" ht="15">
      <c r="A19" s="27" t="s">
        <v>10</v>
      </c>
      <c r="B19" s="28">
        <f t="shared" si="0"/>
        <v>18</v>
      </c>
      <c r="C19" s="28">
        <v>9</v>
      </c>
      <c r="D19" s="28">
        <v>2025</v>
      </c>
      <c r="E19" s="29">
        <f>IF('BAN-M Electrical &amp; Water July25'!F24&gt;0,'BAN-M Electrical &amp; Water July25'!F24,0)</f>
        <v>6518</v>
      </c>
      <c r="F19" s="30">
        <v>0.2</v>
      </c>
      <c r="G19" s="29">
        <f>IF('BAN-M Electrical &amp; Water July25'!H24+'BAN-M Electrical &amp; Water July25'!J24&gt;0,'BAN-M Electrical &amp; Water July25'!H24+'BAN-M Electrical &amp; Water July25'!J24,0)</f>
        <v>31</v>
      </c>
      <c r="H19" s="30">
        <v>7.84</v>
      </c>
      <c r="I19" s="42">
        <v>38</v>
      </c>
      <c r="J19" s="42">
        <v>52</v>
      </c>
    </row>
    <row r="20" spans="1:10" ht="15">
      <c r="A20" s="27" t="s">
        <v>10</v>
      </c>
      <c r="B20" s="28">
        <f t="shared" si="0"/>
        <v>19</v>
      </c>
      <c r="C20" s="28">
        <v>9</v>
      </c>
      <c r="D20" s="28">
        <v>2025</v>
      </c>
      <c r="E20" s="29">
        <f>IF('BAN-M Electrical &amp; Water July25'!F25&gt;0,'BAN-M Electrical &amp; Water July25'!F25,0)</f>
        <v>6157</v>
      </c>
      <c r="F20" s="30">
        <v>0.2</v>
      </c>
      <c r="G20" s="29">
        <f>IF('BAN-M Electrical &amp; Water July25'!H25+'BAN-M Electrical &amp; Water July25'!J25&gt;0,'BAN-M Electrical &amp; Water July25'!H25+'BAN-M Electrical &amp; Water July25'!J25,0)</f>
        <v>31</v>
      </c>
      <c r="H20" s="30">
        <v>7.84</v>
      </c>
      <c r="I20" s="42">
        <v>38</v>
      </c>
      <c r="J20" s="42">
        <v>54</v>
      </c>
    </row>
    <row r="21" spans="1:10" ht="15">
      <c r="A21" s="27" t="s">
        <v>10</v>
      </c>
      <c r="B21" s="28">
        <f t="shared" si="0"/>
        <v>20</v>
      </c>
      <c r="C21" s="28">
        <v>9</v>
      </c>
      <c r="D21" s="28">
        <v>2025</v>
      </c>
      <c r="E21" s="29">
        <f>IF('BAN-M Electrical &amp; Water July25'!F26&gt;0,'BAN-M Electrical &amp; Water July25'!F26,0)</f>
        <v>5616</v>
      </c>
      <c r="F21" s="30">
        <v>0.2</v>
      </c>
      <c r="G21" s="29">
        <f>IF('BAN-M Electrical &amp; Water July25'!H26+'BAN-M Electrical &amp; Water July25'!J26&gt;0,'BAN-M Electrical &amp; Water July25'!H26+'BAN-M Electrical &amp; Water July25'!J26,0)</f>
        <v>73</v>
      </c>
      <c r="H21" s="30">
        <v>7.84</v>
      </c>
      <c r="I21" s="42">
        <v>38</v>
      </c>
      <c r="J21" s="42">
        <v>53</v>
      </c>
    </row>
    <row r="22" spans="1:10" ht="15">
      <c r="A22" s="27" t="s">
        <v>10</v>
      </c>
      <c r="B22" s="28">
        <f t="shared" si="0"/>
        <v>21</v>
      </c>
      <c r="C22" s="28">
        <v>9</v>
      </c>
      <c r="D22" s="28">
        <v>2025</v>
      </c>
      <c r="E22" s="29">
        <f>IF('BAN-M Electrical &amp; Water July25'!F27&gt;0,'BAN-M Electrical &amp; Water July25'!F27,0)</f>
        <v>6119</v>
      </c>
      <c r="F22" s="30">
        <v>0.2</v>
      </c>
      <c r="G22" s="29">
        <f>IF('BAN-M Electrical &amp; Water July25'!H27+'BAN-M Electrical &amp; Water July25'!J27&gt;0,'BAN-M Electrical &amp; Water July25'!H27+'BAN-M Electrical &amp; Water July25'!J27,0)</f>
        <v>90</v>
      </c>
      <c r="H22" s="30">
        <v>7.84</v>
      </c>
      <c r="I22" s="42">
        <v>34</v>
      </c>
      <c r="J22" s="42">
        <v>43</v>
      </c>
    </row>
    <row r="23" spans="1:10" ht="15">
      <c r="A23" s="27" t="s">
        <v>10</v>
      </c>
      <c r="B23" s="28">
        <f t="shared" si="0"/>
        <v>22</v>
      </c>
      <c r="C23" s="28">
        <v>9</v>
      </c>
      <c r="D23" s="28">
        <v>2025</v>
      </c>
      <c r="E23" s="29">
        <f>IF('BAN-M Electrical &amp; Water July25'!F28&gt;0,'BAN-M Electrical &amp; Water July25'!F28,0)</f>
        <v>5953</v>
      </c>
      <c r="F23" s="30">
        <v>0.2</v>
      </c>
      <c r="G23" s="29">
        <f>IF('BAN-M Electrical &amp; Water July25'!H28+'BAN-M Electrical &amp; Water July25'!J28&gt;0,'BAN-M Electrical &amp; Water July25'!H28+'BAN-M Electrical &amp; Water July25'!J28,0)</f>
        <v>57</v>
      </c>
      <c r="H23" s="30">
        <v>7.84</v>
      </c>
      <c r="I23" s="42">
        <v>33</v>
      </c>
      <c r="J23" s="42">
        <v>42</v>
      </c>
    </row>
    <row r="24" spans="1:10" ht="15">
      <c r="A24" s="27" t="s">
        <v>10</v>
      </c>
      <c r="B24" s="28">
        <f t="shared" si="0"/>
        <v>23</v>
      </c>
      <c r="C24" s="28">
        <v>9</v>
      </c>
      <c r="D24" s="28">
        <v>2025</v>
      </c>
      <c r="E24" s="29">
        <f>IF('BAN-M Electrical &amp; Water July25'!F29&gt;0,'BAN-M Electrical &amp; Water July25'!F29,0)</f>
        <v>6976</v>
      </c>
      <c r="F24" s="30">
        <v>0.2</v>
      </c>
      <c r="G24" s="29">
        <f>IF('BAN-M Electrical &amp; Water July25'!H29+'BAN-M Electrical &amp; Water July25'!J29&gt;0,'BAN-M Electrical &amp; Water July25'!H29+'BAN-M Electrical &amp; Water July25'!J29,0)</f>
        <v>27</v>
      </c>
      <c r="H24" s="30">
        <v>7.84</v>
      </c>
      <c r="I24" s="42">
        <v>33</v>
      </c>
      <c r="J24" s="42">
        <v>42</v>
      </c>
    </row>
    <row r="25" spans="1:10" ht="15">
      <c r="A25" s="27" t="s">
        <v>10</v>
      </c>
      <c r="B25" s="28">
        <f t="shared" si="0"/>
        <v>24</v>
      </c>
      <c r="C25" s="28">
        <v>9</v>
      </c>
      <c r="D25" s="28">
        <v>2025</v>
      </c>
      <c r="E25" s="29">
        <f>IF('BAN-M Electrical &amp; Water July25'!F30&gt;0,'BAN-M Electrical &amp; Water July25'!F30,0)</f>
        <v>4748</v>
      </c>
      <c r="F25" s="30">
        <v>0.2</v>
      </c>
      <c r="G25" s="29">
        <f>IF('BAN-M Electrical &amp; Water July25'!H30+'BAN-M Electrical &amp; Water July25'!J30&gt;0,'BAN-M Electrical &amp; Water July25'!H30+'BAN-M Electrical &amp; Water July25'!J30,0)</f>
        <v>31</v>
      </c>
      <c r="H25" s="30">
        <v>7.84</v>
      </c>
      <c r="I25" s="42">
        <v>33</v>
      </c>
      <c r="J25" s="42">
        <v>41</v>
      </c>
    </row>
    <row r="26" spans="1:10" ht="15">
      <c r="A26" s="27" t="s">
        <v>10</v>
      </c>
      <c r="B26" s="28">
        <f>B25+1</f>
        <v>25</v>
      </c>
      <c r="C26" s="28">
        <v>9</v>
      </c>
      <c r="D26" s="28">
        <v>2025</v>
      </c>
      <c r="E26" s="29">
        <f>IF('BAN-M Electrical &amp; Water July25'!F31&gt;0,'BAN-M Electrical &amp; Water July25'!F31,0)</f>
        <v>5953</v>
      </c>
      <c r="F26" s="30">
        <v>0.2</v>
      </c>
      <c r="G26" s="29">
        <f>IF('BAN-M Electrical &amp; Water July25'!H31+'BAN-M Electrical &amp; Water July25'!J31&gt;0,'BAN-M Electrical &amp; Water July25'!H31+'BAN-M Electrical &amp; Water July25'!J31,0)</f>
        <v>30</v>
      </c>
      <c r="H26" s="30">
        <v>7.84</v>
      </c>
      <c r="I26" s="42">
        <v>36</v>
      </c>
      <c r="J26" s="42">
        <v>48</v>
      </c>
    </row>
    <row r="27" spans="1:10" ht="15">
      <c r="A27" s="27" t="s">
        <v>10</v>
      </c>
      <c r="B27" s="28">
        <f t="shared" si="0"/>
        <v>26</v>
      </c>
      <c r="C27" s="28">
        <v>9</v>
      </c>
      <c r="D27" s="28">
        <v>2025</v>
      </c>
      <c r="E27" s="29">
        <f>IF('BAN-M Electrical &amp; Water July25'!F32&gt;0,'BAN-M Electrical &amp; Water July25'!F32,0)</f>
        <v>5317</v>
      </c>
      <c r="F27" s="30">
        <v>0.2</v>
      </c>
      <c r="G27" s="29">
        <f>IF('BAN-M Electrical &amp; Water July25'!H32+'BAN-M Electrical &amp; Water July25'!J32&gt;0,'BAN-M Electrical &amp; Water July25'!H32+'BAN-M Electrical &amp; Water July25'!J32,0)</f>
        <v>26</v>
      </c>
      <c r="H27" s="30">
        <v>7.84</v>
      </c>
      <c r="I27" s="42">
        <v>38</v>
      </c>
      <c r="J27" s="42">
        <v>52</v>
      </c>
    </row>
    <row r="28" spans="1:10" ht="15">
      <c r="A28" s="27" t="s">
        <v>10</v>
      </c>
      <c r="B28" s="28">
        <f t="shared" si="0"/>
        <v>27</v>
      </c>
      <c r="C28" s="28">
        <v>9</v>
      </c>
      <c r="D28" s="28">
        <v>2025</v>
      </c>
      <c r="E28" s="29">
        <f>IF('BAN-M Electrical &amp; Water July25'!F33&gt;0,'BAN-M Electrical &amp; Water July25'!F33,0)</f>
        <v>4554</v>
      </c>
      <c r="F28" s="30">
        <v>0.2</v>
      </c>
      <c r="G28" s="29">
        <f>IF('BAN-M Electrical &amp; Water July25'!H33+'BAN-M Electrical &amp; Water July25'!J33&gt;0,'BAN-M Electrical &amp; Water July25'!H33+'BAN-M Electrical &amp; Water July25'!J33,0)</f>
        <v>43</v>
      </c>
      <c r="H28" s="30">
        <v>7.84</v>
      </c>
      <c r="I28" s="42">
        <v>38</v>
      </c>
      <c r="J28" s="42">
        <v>51</v>
      </c>
    </row>
    <row r="29" spans="1:10" ht="15">
      <c r="A29" s="27" t="s">
        <v>10</v>
      </c>
      <c r="B29" s="28">
        <f t="shared" si="0"/>
        <v>28</v>
      </c>
      <c r="C29" s="28">
        <v>9</v>
      </c>
      <c r="D29" s="28">
        <v>2025</v>
      </c>
      <c r="E29" s="29">
        <f>IF('BAN-M Electrical &amp; Water July25'!F34&gt;0,'BAN-M Electrical &amp; Water July25'!F34,0)</f>
        <v>5244</v>
      </c>
      <c r="F29" s="30">
        <v>0.2</v>
      </c>
      <c r="G29" s="29">
        <f>IF('BAN-M Electrical &amp; Water July25'!H34+'BAN-M Electrical &amp; Water July25'!J34&gt;0,'BAN-M Electrical &amp; Water July25'!H34+'BAN-M Electrical &amp; Water July25'!J34,0)</f>
        <v>35</v>
      </c>
      <c r="H29" s="30">
        <v>7.84</v>
      </c>
      <c r="I29" s="42">
        <v>34</v>
      </c>
      <c r="J29" s="42">
        <v>44</v>
      </c>
    </row>
    <row r="30" spans="1:10" ht="15">
      <c r="A30" s="27" t="s">
        <v>10</v>
      </c>
      <c r="B30" s="28">
        <f t="shared" si="0"/>
        <v>29</v>
      </c>
      <c r="C30" s="28">
        <v>9</v>
      </c>
      <c r="D30" s="28">
        <v>2025</v>
      </c>
      <c r="E30" s="29">
        <f>IF('BAN-M Electrical &amp; Water July25'!F35&gt;0,'BAN-M Electrical &amp; Water July25'!F35,0)</f>
        <v>6998</v>
      </c>
      <c r="F30" s="30">
        <v>0.2</v>
      </c>
      <c r="G30" s="29">
        <f>IF('BAN-M Electrical &amp; Water July25'!H35+'BAN-M Electrical &amp; Water July25'!J35&gt;0,'BAN-M Electrical &amp; Water July25'!H35+'BAN-M Electrical &amp; Water July25'!J35,0)</f>
        <v>48</v>
      </c>
      <c r="H30" s="30">
        <v>7.84</v>
      </c>
      <c r="I30" s="42">
        <v>34</v>
      </c>
      <c r="J30" s="42">
        <v>46</v>
      </c>
    </row>
    <row r="31" spans="1:10" ht="15">
      <c r="A31" s="27" t="s">
        <v>10</v>
      </c>
      <c r="B31" s="28">
        <f t="shared" si="0"/>
        <v>30</v>
      </c>
      <c r="C31" s="28">
        <v>9</v>
      </c>
      <c r="D31" s="28">
        <v>2025</v>
      </c>
      <c r="E31" s="29">
        <f>IF('BAN-M Electrical &amp; Water July25'!F36&gt;0,'BAN-M Electrical &amp; Water July25'!F36,0)</f>
        <v>5154</v>
      </c>
      <c r="F31" s="30">
        <v>0.2</v>
      </c>
      <c r="G31" s="29">
        <f>IF('BAN-M Electrical &amp; Water July25'!H36+'BAN-M Electrical &amp; Water July25'!J36&gt;0,'BAN-M Electrical &amp; Water July25'!H36+'BAN-M Electrical &amp; Water July25'!J36,0)</f>
        <v>32</v>
      </c>
      <c r="H31" s="30">
        <v>7.84</v>
      </c>
      <c r="I31" s="42">
        <v>35</v>
      </c>
      <c r="J31" s="42">
        <v>50</v>
      </c>
    </row>
    <row r="32" spans="1:10">
      <c r="A32" s="27" t="s">
        <v>10</v>
      </c>
      <c r="B32" s="28">
        <f t="shared" si="0"/>
        <v>31</v>
      </c>
      <c r="C32" s="28">
        <v>9</v>
      </c>
      <c r="D32" s="28">
        <v>2025</v>
      </c>
      <c r="E32" s="29">
        <f>IF('BAN-M Electrical &amp; Water July25'!F37&gt;0,'BAN-M Electrical &amp; Water July25'!F37,0)</f>
        <v>0</v>
      </c>
      <c r="F32" s="30">
        <v>0.2</v>
      </c>
      <c r="G32" s="29">
        <f>IF('BAN-M Electrical &amp; Water July25'!H37+'BAN-M Electrical &amp; Water July25'!J37&gt;0,'BAN-M Electrical &amp; Water July25'!H37+'BAN-M Electrical &amp; Water July25'!J37,0)</f>
        <v>0</v>
      </c>
      <c r="H32" s="30">
        <v>7.84</v>
      </c>
      <c r="I32" s="35"/>
      <c r="J32" s="35"/>
    </row>
    <row r="33" spans="7:7">
      <c r="G33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A63C-B111-40AA-B9A8-2E91F350E8C1}">
  <dimension ref="A1:N38"/>
  <sheetViews>
    <sheetView zoomScale="60" zoomScaleNormal="60" zoomScaleSheetLayoutView="90" zoomScalePageLayoutView="52" workbookViewId="0">
      <selection activeCell="G24" sqref="G24"/>
    </sheetView>
  </sheetViews>
  <sheetFormatPr defaultRowHeight="14.45"/>
  <cols>
    <col min="1" max="2" width="21.28515625" customWidth="1"/>
    <col min="3" max="3" width="30.28515625" style="1" bestFit="1" customWidth="1"/>
    <col min="4" max="4" width="31.28515625" style="1" customWidth="1"/>
    <col min="5" max="5" width="33.28515625" style="1" customWidth="1"/>
    <col min="6" max="6" width="31.28515625" style="1" customWidth="1"/>
    <col min="7" max="7" width="30.85546875" style="6" customWidth="1"/>
    <col min="8" max="8" width="30.28515625" style="6" customWidth="1"/>
    <col min="9" max="9" width="32.140625" style="6" customWidth="1"/>
    <col min="10" max="10" width="29.42578125" style="6" customWidth="1"/>
    <col min="11" max="11" width="55.7109375" style="1" bestFit="1" customWidth="1"/>
  </cols>
  <sheetData>
    <row r="1" spans="1:14" ht="94.9" customHeight="1" thickBot="1">
      <c r="C1" s="37" t="s">
        <v>11</v>
      </c>
      <c r="D1" s="38"/>
      <c r="E1" s="38"/>
      <c r="F1" s="38"/>
      <c r="G1" s="38"/>
      <c r="H1" s="38"/>
      <c r="I1" s="38"/>
      <c r="J1" s="38"/>
      <c r="K1" s="38"/>
      <c r="N1" s="2"/>
    </row>
    <row r="2" spans="1:14" s="1" customFormat="1" ht="54.75" customHeight="1" thickBot="1">
      <c r="A2" s="10" t="s">
        <v>12</v>
      </c>
      <c r="B2" s="36" t="s">
        <v>13</v>
      </c>
      <c r="C2" s="15" t="s">
        <v>14</v>
      </c>
      <c r="D2" s="39" t="s">
        <v>15</v>
      </c>
      <c r="E2" s="15" t="s">
        <v>14</v>
      </c>
      <c r="F2" s="39" t="s">
        <v>15</v>
      </c>
      <c r="G2" s="40" t="s">
        <v>16</v>
      </c>
      <c r="H2" s="40" t="s">
        <v>15</v>
      </c>
      <c r="I2" s="40" t="s">
        <v>17</v>
      </c>
      <c r="J2" s="40" t="s">
        <v>15</v>
      </c>
      <c r="K2" s="41" t="s">
        <v>18</v>
      </c>
    </row>
    <row r="3" spans="1:14" ht="60" customHeight="1" thickBot="1">
      <c r="A3" s="10" t="s">
        <v>19</v>
      </c>
      <c r="B3" s="36"/>
      <c r="C3" s="18" t="s">
        <v>20</v>
      </c>
      <c r="D3" s="39"/>
      <c r="E3" s="18" t="s">
        <v>21</v>
      </c>
      <c r="F3" s="39"/>
      <c r="G3" s="40"/>
      <c r="H3" s="40"/>
      <c r="I3" s="40"/>
      <c r="J3" s="40"/>
      <c r="K3" s="41"/>
    </row>
    <row r="4" spans="1:14" ht="46.5" customHeight="1" thickBot="1">
      <c r="A4" s="36" t="s">
        <v>22</v>
      </c>
      <c r="B4" s="36"/>
      <c r="C4" s="39" t="s">
        <v>23</v>
      </c>
      <c r="D4" s="39"/>
      <c r="E4" s="39" t="s">
        <v>23</v>
      </c>
      <c r="F4" s="39"/>
      <c r="G4" s="40"/>
      <c r="H4" s="40"/>
      <c r="I4" s="40"/>
      <c r="J4" s="40"/>
      <c r="K4" s="41"/>
    </row>
    <row r="5" spans="1:14" ht="24.95" customHeight="1" thickBot="1">
      <c r="A5" s="36"/>
      <c r="B5" s="36"/>
      <c r="C5" s="39"/>
      <c r="D5" s="16" t="s">
        <v>24</v>
      </c>
      <c r="E5" s="39"/>
      <c r="F5" s="16" t="s">
        <v>24</v>
      </c>
      <c r="G5" s="17" t="s">
        <v>25</v>
      </c>
      <c r="H5" s="17" t="s">
        <v>25</v>
      </c>
      <c r="I5" s="17" t="s">
        <v>25</v>
      </c>
      <c r="J5" s="17" t="s">
        <v>25</v>
      </c>
      <c r="K5" s="41"/>
    </row>
    <row r="6" spans="1:14" ht="39" customHeight="1">
      <c r="A6" s="7">
        <v>45900</v>
      </c>
      <c r="B6" s="20">
        <v>0.21875</v>
      </c>
      <c r="C6" s="8">
        <v>2837394</v>
      </c>
      <c r="D6" s="4">
        <v>0</v>
      </c>
      <c r="E6" s="8">
        <v>7602856</v>
      </c>
      <c r="F6" s="4">
        <v>0</v>
      </c>
      <c r="G6" s="11">
        <v>1053</v>
      </c>
      <c r="H6" s="11">
        <v>0</v>
      </c>
      <c r="I6" s="11"/>
      <c r="J6" s="11">
        <v>0</v>
      </c>
      <c r="K6" s="9"/>
    </row>
    <row r="7" spans="1:14" ht="39" customHeight="1">
      <c r="A7" s="7">
        <v>45901</v>
      </c>
      <c r="B7" s="21">
        <v>0.99930555555555556</v>
      </c>
      <c r="C7" s="4">
        <v>2841772</v>
      </c>
      <c r="D7" s="4">
        <f>C7-C6</f>
        <v>4378</v>
      </c>
      <c r="E7" s="4">
        <v>7613199</v>
      </c>
      <c r="F7" s="4">
        <f>E7-E6</f>
        <v>10343</v>
      </c>
      <c r="G7" s="12">
        <v>1107</v>
      </c>
      <c r="H7" s="12">
        <f>G7-G6</f>
        <v>54</v>
      </c>
      <c r="I7" s="12"/>
      <c r="J7" s="12">
        <f>I7-I6</f>
        <v>0</v>
      </c>
      <c r="K7" s="3"/>
    </row>
    <row r="8" spans="1:14" ht="39" customHeight="1">
      <c r="A8" s="7">
        <v>45902</v>
      </c>
      <c r="B8" s="21">
        <v>0.28472222222222221</v>
      </c>
      <c r="C8" s="4">
        <v>2842496</v>
      </c>
      <c r="D8" s="4">
        <f t="shared" ref="D8:D35" si="0">C8-C7</f>
        <v>724</v>
      </c>
      <c r="E8" s="4">
        <v>7614474</v>
      </c>
      <c r="F8" s="4">
        <f t="shared" ref="F8:F35" si="1">E8-E7</f>
        <v>1275</v>
      </c>
      <c r="G8" s="12">
        <v>1112</v>
      </c>
      <c r="H8" s="12">
        <f t="shared" ref="H8:H35" si="2">G8-G7</f>
        <v>5</v>
      </c>
      <c r="I8" s="12"/>
      <c r="J8" s="12">
        <f t="shared" ref="J8:J35" si="3">I8-I7</f>
        <v>0</v>
      </c>
      <c r="K8" s="3"/>
    </row>
    <row r="9" spans="1:14" ht="39" customHeight="1">
      <c r="A9" s="7">
        <v>45903</v>
      </c>
      <c r="B9" s="21">
        <v>0.20833333333333334</v>
      </c>
      <c r="C9" s="4">
        <v>2844621</v>
      </c>
      <c r="D9" s="4">
        <f t="shared" si="0"/>
        <v>2125</v>
      </c>
      <c r="E9" s="4">
        <v>7619390</v>
      </c>
      <c r="F9" s="4">
        <f t="shared" si="1"/>
        <v>4916</v>
      </c>
      <c r="G9" s="12">
        <v>1130</v>
      </c>
      <c r="H9" s="12">
        <f t="shared" si="2"/>
        <v>18</v>
      </c>
      <c r="I9" s="12"/>
      <c r="J9" s="12">
        <f t="shared" si="3"/>
        <v>0</v>
      </c>
      <c r="K9" s="3"/>
    </row>
    <row r="10" spans="1:14" ht="39" customHeight="1">
      <c r="A10" s="7">
        <v>45904</v>
      </c>
      <c r="B10" s="21">
        <v>0.21875</v>
      </c>
      <c r="C10" s="4">
        <v>2846754</v>
      </c>
      <c r="D10" s="4">
        <f t="shared" si="0"/>
        <v>2133</v>
      </c>
      <c r="E10" s="4">
        <v>7624606</v>
      </c>
      <c r="F10" s="4">
        <f t="shared" si="1"/>
        <v>5216</v>
      </c>
      <c r="G10" s="12">
        <v>1158</v>
      </c>
      <c r="H10" s="12">
        <f t="shared" si="2"/>
        <v>28</v>
      </c>
      <c r="I10" s="12"/>
      <c r="J10" s="12">
        <f t="shared" si="3"/>
        <v>0</v>
      </c>
      <c r="K10" s="3"/>
    </row>
    <row r="11" spans="1:14" ht="39" customHeight="1">
      <c r="A11" s="7">
        <v>45905</v>
      </c>
      <c r="B11" s="21">
        <v>0.20833333333333334</v>
      </c>
      <c r="C11" s="4">
        <v>2848940</v>
      </c>
      <c r="D11" s="4">
        <f t="shared" si="0"/>
        <v>2186</v>
      </c>
      <c r="E11" s="4">
        <v>7630415</v>
      </c>
      <c r="F11" s="4">
        <f t="shared" si="1"/>
        <v>5809</v>
      </c>
      <c r="G11" s="12">
        <v>1193</v>
      </c>
      <c r="H11" s="12">
        <f t="shared" si="2"/>
        <v>35</v>
      </c>
      <c r="I11" s="12"/>
      <c r="J11" s="12">
        <f t="shared" si="3"/>
        <v>0</v>
      </c>
      <c r="K11" s="3"/>
    </row>
    <row r="12" spans="1:14" ht="39" customHeight="1">
      <c r="A12" s="7">
        <v>45906</v>
      </c>
      <c r="B12" s="21">
        <v>0.25</v>
      </c>
      <c r="C12" s="4">
        <v>2851515</v>
      </c>
      <c r="D12" s="4">
        <f t="shared" si="0"/>
        <v>2575</v>
      </c>
      <c r="E12" s="4">
        <v>7637280</v>
      </c>
      <c r="F12" s="4">
        <f t="shared" si="1"/>
        <v>6865</v>
      </c>
      <c r="G12" s="12">
        <v>1239</v>
      </c>
      <c r="H12" s="12">
        <f t="shared" si="2"/>
        <v>46</v>
      </c>
      <c r="I12" s="12"/>
      <c r="J12" s="12">
        <f t="shared" si="3"/>
        <v>0</v>
      </c>
      <c r="K12" s="3"/>
    </row>
    <row r="13" spans="1:14" ht="39" customHeight="1">
      <c r="A13" s="7">
        <v>45907</v>
      </c>
      <c r="B13" s="21">
        <v>0.21527777777777779</v>
      </c>
      <c r="C13" s="4">
        <v>2853871</v>
      </c>
      <c r="D13" s="4">
        <f t="shared" si="0"/>
        <v>2356</v>
      </c>
      <c r="E13" s="4">
        <v>7643611</v>
      </c>
      <c r="F13" s="4">
        <f t="shared" si="1"/>
        <v>6331</v>
      </c>
      <c r="G13" s="12">
        <v>1277</v>
      </c>
      <c r="H13" s="12">
        <f t="shared" si="2"/>
        <v>38</v>
      </c>
      <c r="I13" s="12"/>
      <c r="J13" s="12">
        <f t="shared" si="3"/>
        <v>0</v>
      </c>
      <c r="K13" s="3"/>
    </row>
    <row r="14" spans="1:14" ht="39" customHeight="1">
      <c r="A14" s="7">
        <v>45908</v>
      </c>
      <c r="B14" s="21">
        <v>0.22222222222222221</v>
      </c>
      <c r="C14" s="4">
        <v>2856217</v>
      </c>
      <c r="D14" s="4">
        <f t="shared" si="0"/>
        <v>2346</v>
      </c>
      <c r="E14" s="4">
        <v>7649190</v>
      </c>
      <c r="F14" s="4">
        <f t="shared" si="1"/>
        <v>5579</v>
      </c>
      <c r="G14" s="12">
        <v>1305</v>
      </c>
      <c r="H14" s="12">
        <f t="shared" si="2"/>
        <v>28</v>
      </c>
      <c r="I14" s="12"/>
      <c r="J14" s="12">
        <f t="shared" si="3"/>
        <v>0</v>
      </c>
      <c r="K14" s="3"/>
    </row>
    <row r="15" spans="1:14" ht="39" customHeight="1">
      <c r="A15" s="7">
        <v>45909</v>
      </c>
      <c r="B15" s="21">
        <v>0.20833333333333334</v>
      </c>
      <c r="C15" s="4">
        <v>2858428</v>
      </c>
      <c r="D15" s="4">
        <f t="shared" si="0"/>
        <v>2211</v>
      </c>
      <c r="E15" s="4">
        <v>7654338</v>
      </c>
      <c r="F15" s="4">
        <f t="shared" si="1"/>
        <v>5148</v>
      </c>
      <c r="G15" s="12">
        <v>1328</v>
      </c>
      <c r="H15" s="12">
        <f t="shared" si="2"/>
        <v>23</v>
      </c>
      <c r="I15" s="12"/>
      <c r="J15" s="12">
        <f t="shared" si="3"/>
        <v>0</v>
      </c>
      <c r="K15" s="3"/>
    </row>
    <row r="16" spans="1:14" ht="39" customHeight="1">
      <c r="A16" s="7">
        <v>45910</v>
      </c>
      <c r="B16" s="21">
        <v>0.22222222222222221</v>
      </c>
      <c r="C16" s="4">
        <f>C15+2361</f>
        <v>2860789</v>
      </c>
      <c r="D16" s="4">
        <f t="shared" si="0"/>
        <v>2361</v>
      </c>
      <c r="E16" s="4">
        <f>E15+6438</f>
        <v>7660776</v>
      </c>
      <c r="F16" s="4">
        <f t="shared" si="1"/>
        <v>6438</v>
      </c>
      <c r="G16" s="12">
        <f>G15+13</f>
        <v>1341</v>
      </c>
      <c r="H16" s="12">
        <f t="shared" si="2"/>
        <v>13</v>
      </c>
      <c r="I16" s="12"/>
      <c r="J16" s="12">
        <f t="shared" si="3"/>
        <v>0</v>
      </c>
      <c r="K16" s="3"/>
    </row>
    <row r="17" spans="1:11" ht="39" customHeight="1">
      <c r="A17" s="7">
        <v>45911</v>
      </c>
      <c r="B17" s="21">
        <v>0.21875</v>
      </c>
      <c r="C17" s="4">
        <v>2863061</v>
      </c>
      <c r="D17" s="4">
        <f t="shared" si="0"/>
        <v>2272</v>
      </c>
      <c r="E17" s="4">
        <v>7667492</v>
      </c>
      <c r="F17" s="4">
        <f t="shared" si="1"/>
        <v>6716</v>
      </c>
      <c r="G17" s="12">
        <v>1384</v>
      </c>
      <c r="H17" s="12">
        <f t="shared" si="2"/>
        <v>43</v>
      </c>
      <c r="I17" s="12"/>
      <c r="J17" s="12">
        <f t="shared" si="3"/>
        <v>0</v>
      </c>
      <c r="K17" s="3"/>
    </row>
    <row r="18" spans="1:11" ht="39" customHeight="1">
      <c r="A18" s="7">
        <v>45912</v>
      </c>
      <c r="B18" s="21">
        <v>0.20833333333333334</v>
      </c>
      <c r="C18" s="4">
        <v>2865582</v>
      </c>
      <c r="D18" s="4">
        <f t="shared" si="0"/>
        <v>2521</v>
      </c>
      <c r="E18" s="4">
        <v>7674584</v>
      </c>
      <c r="F18" s="4">
        <f t="shared" si="1"/>
        <v>7092</v>
      </c>
      <c r="G18" s="12">
        <v>1427</v>
      </c>
      <c r="H18" s="12">
        <f t="shared" si="2"/>
        <v>43</v>
      </c>
      <c r="I18" s="12"/>
      <c r="J18" s="12">
        <f t="shared" si="3"/>
        <v>0</v>
      </c>
      <c r="K18" s="3"/>
    </row>
    <row r="19" spans="1:11" ht="39" customHeight="1">
      <c r="A19" s="7">
        <v>45913</v>
      </c>
      <c r="B19" s="21">
        <v>0.21527777777777779</v>
      </c>
      <c r="C19" s="4">
        <v>2868169</v>
      </c>
      <c r="D19" s="4">
        <f t="shared" si="0"/>
        <v>2587</v>
      </c>
      <c r="E19" s="4">
        <v>7680934</v>
      </c>
      <c r="F19" s="4">
        <f t="shared" si="1"/>
        <v>6350</v>
      </c>
      <c r="G19" s="12">
        <v>1454</v>
      </c>
      <c r="H19" s="12">
        <f t="shared" si="2"/>
        <v>27</v>
      </c>
      <c r="I19" s="12"/>
      <c r="J19" s="12">
        <f t="shared" si="3"/>
        <v>0</v>
      </c>
      <c r="K19" s="3"/>
    </row>
    <row r="20" spans="1:11" ht="39" customHeight="1">
      <c r="A20" s="7">
        <v>45914</v>
      </c>
      <c r="B20" s="21">
        <v>0.20833333333333334</v>
      </c>
      <c r="C20" s="4">
        <v>2870795</v>
      </c>
      <c r="D20" s="4">
        <f t="shared" si="0"/>
        <v>2626</v>
      </c>
      <c r="E20" s="4">
        <v>7687884</v>
      </c>
      <c r="F20" s="4">
        <f t="shared" si="1"/>
        <v>6950</v>
      </c>
      <c r="G20" s="12">
        <v>1478</v>
      </c>
      <c r="H20" s="12">
        <f t="shared" si="2"/>
        <v>24</v>
      </c>
      <c r="I20" s="12"/>
      <c r="J20" s="12">
        <f t="shared" si="3"/>
        <v>0</v>
      </c>
      <c r="K20" s="3"/>
    </row>
    <row r="21" spans="1:11" ht="39" customHeight="1">
      <c r="A21" s="7">
        <v>45915</v>
      </c>
      <c r="B21" s="21">
        <v>0.22222222222222221</v>
      </c>
      <c r="C21" s="4">
        <v>2873134</v>
      </c>
      <c r="D21" s="4">
        <f t="shared" si="0"/>
        <v>2339</v>
      </c>
      <c r="E21" s="4">
        <v>7694540</v>
      </c>
      <c r="F21" s="4">
        <f t="shared" si="1"/>
        <v>6656</v>
      </c>
      <c r="G21" s="12">
        <v>1520</v>
      </c>
      <c r="H21" s="12">
        <f t="shared" si="2"/>
        <v>42</v>
      </c>
      <c r="I21" s="12"/>
      <c r="J21" s="12">
        <f t="shared" si="3"/>
        <v>0</v>
      </c>
      <c r="K21" s="3"/>
    </row>
    <row r="22" spans="1:11" ht="39" customHeight="1">
      <c r="A22" s="7">
        <v>45916</v>
      </c>
      <c r="B22" s="21">
        <v>0.20833333333333334</v>
      </c>
      <c r="C22" s="4">
        <v>2875116</v>
      </c>
      <c r="D22" s="4">
        <f t="shared" si="0"/>
        <v>1982</v>
      </c>
      <c r="E22" s="4">
        <v>7699399</v>
      </c>
      <c r="F22" s="4">
        <f t="shared" si="1"/>
        <v>4859</v>
      </c>
      <c r="G22" s="12">
        <v>1544</v>
      </c>
      <c r="H22" s="12">
        <f t="shared" si="2"/>
        <v>24</v>
      </c>
      <c r="I22" s="12"/>
      <c r="J22" s="12">
        <f t="shared" si="3"/>
        <v>0</v>
      </c>
      <c r="K22" s="3"/>
    </row>
    <row r="23" spans="1:11" ht="39" customHeight="1">
      <c r="A23" s="7">
        <v>45917</v>
      </c>
      <c r="B23" s="21">
        <v>0.22222222222222221</v>
      </c>
      <c r="C23" s="4">
        <f>C22+2105</f>
        <v>2877221</v>
      </c>
      <c r="D23" s="4">
        <f t="shared" si="0"/>
        <v>2105</v>
      </c>
      <c r="E23" s="4">
        <f>E22+6443</f>
        <v>7705842</v>
      </c>
      <c r="F23" s="4">
        <f t="shared" si="1"/>
        <v>6443</v>
      </c>
      <c r="G23" s="12">
        <f>G22+33</f>
        <v>1577</v>
      </c>
      <c r="H23" s="12">
        <f t="shared" si="2"/>
        <v>33</v>
      </c>
      <c r="I23" s="12"/>
      <c r="J23" s="12">
        <f t="shared" si="3"/>
        <v>0</v>
      </c>
      <c r="K23" s="3"/>
    </row>
    <row r="24" spans="1:11" ht="39" customHeight="1">
      <c r="A24" s="7">
        <v>45918</v>
      </c>
      <c r="B24" s="21">
        <v>0.20833333333333334</v>
      </c>
      <c r="C24" s="4">
        <v>2879934</v>
      </c>
      <c r="D24" s="4">
        <f t="shared" si="0"/>
        <v>2713</v>
      </c>
      <c r="E24" s="4">
        <v>7712360</v>
      </c>
      <c r="F24" s="4">
        <f t="shared" si="1"/>
        <v>6518</v>
      </c>
      <c r="G24" s="12">
        <v>1608</v>
      </c>
      <c r="H24" s="12">
        <f t="shared" si="2"/>
        <v>31</v>
      </c>
      <c r="I24" s="12"/>
      <c r="J24" s="12">
        <f t="shared" si="3"/>
        <v>0</v>
      </c>
      <c r="K24" s="3"/>
    </row>
    <row r="25" spans="1:11" ht="39" customHeight="1">
      <c r="A25" s="7">
        <v>45919</v>
      </c>
      <c r="B25" s="21">
        <v>0.22222222222222221</v>
      </c>
      <c r="C25" s="4">
        <v>2882214</v>
      </c>
      <c r="D25" s="4">
        <f t="shared" si="0"/>
        <v>2280</v>
      </c>
      <c r="E25" s="4">
        <v>7718517</v>
      </c>
      <c r="F25" s="4">
        <f t="shared" si="1"/>
        <v>6157</v>
      </c>
      <c r="G25" s="12">
        <v>1639</v>
      </c>
      <c r="H25" s="12">
        <f t="shared" si="2"/>
        <v>31</v>
      </c>
      <c r="I25" s="12"/>
      <c r="J25" s="12">
        <f t="shared" si="3"/>
        <v>0</v>
      </c>
      <c r="K25" s="3"/>
    </row>
    <row r="26" spans="1:11" ht="39" customHeight="1">
      <c r="A26" s="7">
        <v>45920</v>
      </c>
      <c r="B26" s="21">
        <v>0.20833333333333334</v>
      </c>
      <c r="C26" s="4">
        <v>2884289</v>
      </c>
      <c r="D26" s="4">
        <f t="shared" si="0"/>
        <v>2075</v>
      </c>
      <c r="E26" s="4">
        <v>7724133</v>
      </c>
      <c r="F26" s="4">
        <f t="shared" si="1"/>
        <v>5616</v>
      </c>
      <c r="G26" s="12">
        <v>1712</v>
      </c>
      <c r="H26" s="12">
        <f t="shared" si="2"/>
        <v>73</v>
      </c>
      <c r="I26" s="12"/>
      <c r="J26" s="12">
        <f t="shared" si="3"/>
        <v>0</v>
      </c>
      <c r="K26" s="3"/>
    </row>
    <row r="27" spans="1:11" ht="39" customHeight="1">
      <c r="A27" s="7">
        <v>45921</v>
      </c>
      <c r="B27" s="21">
        <v>0.21875</v>
      </c>
      <c r="C27" s="4">
        <v>2886607</v>
      </c>
      <c r="D27" s="4">
        <f t="shared" si="0"/>
        <v>2318</v>
      </c>
      <c r="E27" s="4">
        <v>7730252</v>
      </c>
      <c r="F27" s="4">
        <f t="shared" si="1"/>
        <v>6119</v>
      </c>
      <c r="G27" s="13">
        <v>1802</v>
      </c>
      <c r="H27" s="12">
        <f t="shared" si="2"/>
        <v>90</v>
      </c>
      <c r="I27" s="12"/>
      <c r="J27" s="12">
        <f t="shared" si="3"/>
        <v>0</v>
      </c>
      <c r="K27" s="3"/>
    </row>
    <row r="28" spans="1:11" ht="39" customHeight="1">
      <c r="A28" s="7">
        <v>45922</v>
      </c>
      <c r="B28" s="21">
        <v>0.20833333333333334</v>
      </c>
      <c r="C28" s="5">
        <v>2888962</v>
      </c>
      <c r="D28" s="4">
        <f t="shared" si="0"/>
        <v>2355</v>
      </c>
      <c r="E28" s="4">
        <v>7736205</v>
      </c>
      <c r="F28" s="4">
        <f t="shared" si="1"/>
        <v>5953</v>
      </c>
      <c r="G28" s="14">
        <v>1859</v>
      </c>
      <c r="H28" s="12">
        <f t="shared" si="2"/>
        <v>57</v>
      </c>
      <c r="I28" s="12"/>
      <c r="J28" s="12">
        <f t="shared" si="3"/>
        <v>0</v>
      </c>
      <c r="K28" s="3"/>
    </row>
    <row r="29" spans="1:11" ht="39" customHeight="1">
      <c r="A29" s="7">
        <v>45923</v>
      </c>
      <c r="B29" s="21">
        <v>0.21666666666666667</v>
      </c>
      <c r="C29" s="5">
        <v>2891763</v>
      </c>
      <c r="D29" s="4">
        <f t="shared" si="0"/>
        <v>2801</v>
      </c>
      <c r="E29" s="4">
        <v>7743181</v>
      </c>
      <c r="F29" s="4">
        <f t="shared" si="1"/>
        <v>6976</v>
      </c>
      <c r="G29" s="14">
        <v>1886</v>
      </c>
      <c r="H29" s="12">
        <f t="shared" si="2"/>
        <v>27</v>
      </c>
      <c r="I29" s="12"/>
      <c r="J29" s="12">
        <f t="shared" si="3"/>
        <v>0</v>
      </c>
      <c r="K29" s="3"/>
    </row>
    <row r="30" spans="1:11" ht="39" customHeight="1">
      <c r="A30" s="7">
        <v>45924</v>
      </c>
      <c r="B30" s="21">
        <v>0.20833333333333334</v>
      </c>
      <c r="C30" s="5">
        <v>2893827</v>
      </c>
      <c r="D30" s="4">
        <f t="shared" si="0"/>
        <v>2064</v>
      </c>
      <c r="E30" s="4">
        <v>7747929</v>
      </c>
      <c r="F30" s="4">
        <f t="shared" si="1"/>
        <v>4748</v>
      </c>
      <c r="G30" s="14">
        <v>1917</v>
      </c>
      <c r="H30" s="12">
        <f t="shared" si="2"/>
        <v>31</v>
      </c>
      <c r="I30" s="12"/>
      <c r="J30" s="12">
        <f t="shared" si="3"/>
        <v>0</v>
      </c>
      <c r="K30" s="3"/>
    </row>
    <row r="31" spans="1:11" ht="39" customHeight="1">
      <c r="A31" s="7">
        <v>45925</v>
      </c>
      <c r="B31" s="21">
        <v>0.22222222222222221</v>
      </c>
      <c r="C31" s="5">
        <v>2896047</v>
      </c>
      <c r="D31" s="4">
        <f t="shared" si="0"/>
        <v>2220</v>
      </c>
      <c r="E31" s="4">
        <v>7753882</v>
      </c>
      <c r="F31" s="4">
        <f t="shared" si="1"/>
        <v>5953</v>
      </c>
      <c r="G31" s="12">
        <v>1947</v>
      </c>
      <c r="H31" s="12">
        <f t="shared" si="2"/>
        <v>30</v>
      </c>
      <c r="I31" s="12"/>
      <c r="J31" s="12">
        <f t="shared" si="3"/>
        <v>0</v>
      </c>
      <c r="K31" s="3"/>
    </row>
    <row r="32" spans="1:11" ht="39" customHeight="1">
      <c r="A32" s="7">
        <v>45926</v>
      </c>
      <c r="B32" s="21">
        <v>0.21527777777777779</v>
      </c>
      <c r="C32" s="4">
        <v>2898042</v>
      </c>
      <c r="D32" s="4">
        <f t="shared" si="0"/>
        <v>1995</v>
      </c>
      <c r="E32" s="4">
        <v>7759199</v>
      </c>
      <c r="F32" s="4">
        <f t="shared" si="1"/>
        <v>5317</v>
      </c>
      <c r="G32" s="12">
        <v>1973</v>
      </c>
      <c r="H32" s="12">
        <f t="shared" si="2"/>
        <v>26</v>
      </c>
      <c r="I32" s="12"/>
      <c r="J32" s="12">
        <f t="shared" si="3"/>
        <v>0</v>
      </c>
      <c r="K32" s="3"/>
    </row>
    <row r="33" spans="1:11" ht="39" customHeight="1">
      <c r="A33" s="7">
        <v>45927</v>
      </c>
      <c r="B33" s="21">
        <v>0.22916666666666666</v>
      </c>
      <c r="C33" s="4">
        <v>2899797</v>
      </c>
      <c r="D33" s="4">
        <f t="shared" si="0"/>
        <v>1755</v>
      </c>
      <c r="E33" s="4">
        <v>7763753</v>
      </c>
      <c r="F33" s="4">
        <f t="shared" si="1"/>
        <v>4554</v>
      </c>
      <c r="G33" s="12">
        <v>2016</v>
      </c>
      <c r="H33" s="12">
        <f t="shared" si="2"/>
        <v>43</v>
      </c>
      <c r="I33" s="12"/>
      <c r="J33" s="12">
        <f t="shared" si="3"/>
        <v>0</v>
      </c>
      <c r="K33" s="3"/>
    </row>
    <row r="34" spans="1:11" ht="39" customHeight="1">
      <c r="A34" s="7">
        <v>45928</v>
      </c>
      <c r="B34" s="21">
        <v>0.20833333333333334</v>
      </c>
      <c r="C34" s="4">
        <v>2901738</v>
      </c>
      <c r="D34" s="4">
        <f t="shared" si="0"/>
        <v>1941</v>
      </c>
      <c r="E34" s="4">
        <v>7768997</v>
      </c>
      <c r="F34" s="4">
        <f t="shared" si="1"/>
        <v>5244</v>
      </c>
      <c r="G34" s="12">
        <v>2051</v>
      </c>
      <c r="H34" s="12">
        <f t="shared" si="2"/>
        <v>35</v>
      </c>
      <c r="I34" s="12"/>
      <c r="J34" s="12">
        <f t="shared" si="3"/>
        <v>0</v>
      </c>
      <c r="K34" s="3"/>
    </row>
    <row r="35" spans="1:11" ht="39" customHeight="1">
      <c r="A35" s="7">
        <v>45929</v>
      </c>
      <c r="B35" s="21">
        <v>0.20833333333333334</v>
      </c>
      <c r="C35" s="4">
        <v>2904591</v>
      </c>
      <c r="D35" s="4">
        <f t="shared" si="0"/>
        <v>2853</v>
      </c>
      <c r="E35" s="4">
        <v>7775995</v>
      </c>
      <c r="F35" s="4">
        <f t="shared" si="1"/>
        <v>6998</v>
      </c>
      <c r="G35" s="12">
        <v>2099</v>
      </c>
      <c r="H35" s="12">
        <f t="shared" si="2"/>
        <v>48</v>
      </c>
      <c r="I35" s="12"/>
      <c r="J35" s="12">
        <f t="shared" si="3"/>
        <v>0</v>
      </c>
      <c r="K35" s="3"/>
    </row>
    <row r="36" spans="1:11" ht="39" customHeight="1">
      <c r="A36" s="7">
        <v>45930</v>
      </c>
      <c r="B36" s="21">
        <v>0.27083333333333331</v>
      </c>
      <c r="C36" s="4">
        <v>2906648</v>
      </c>
      <c r="D36" s="4">
        <f>C36-C35</f>
        <v>2057</v>
      </c>
      <c r="E36" s="4">
        <v>7781149</v>
      </c>
      <c r="F36" s="4">
        <f>E36-E35</f>
        <v>5154</v>
      </c>
      <c r="G36" s="12">
        <v>2131</v>
      </c>
      <c r="H36" s="12">
        <f>G36-G35</f>
        <v>32</v>
      </c>
      <c r="I36" s="12"/>
      <c r="J36" s="12">
        <f>I36-I35</f>
        <v>0</v>
      </c>
      <c r="K36" s="3"/>
    </row>
    <row r="37" spans="1:11" ht="39" customHeight="1">
      <c r="A37" s="7">
        <v>45931</v>
      </c>
      <c r="B37" s="19"/>
      <c r="C37" s="4"/>
      <c r="D37" s="4">
        <f>C37-C36</f>
        <v>-2906648</v>
      </c>
      <c r="E37" s="4"/>
      <c r="F37" s="4">
        <f>E37-E36</f>
        <v>-7781149</v>
      </c>
      <c r="G37" s="12"/>
      <c r="H37" s="12">
        <f>G37-G36</f>
        <v>-2131</v>
      </c>
      <c r="I37" s="12"/>
      <c r="J37" s="12">
        <f>I37-I36</f>
        <v>0</v>
      </c>
      <c r="K37" s="3"/>
    </row>
    <row r="38" spans="1:11">
      <c r="D38" s="1">
        <f>D37-D6</f>
        <v>-2906648</v>
      </c>
      <c r="F38" s="1">
        <f>F37-F6</f>
        <v>-7781149</v>
      </c>
      <c r="H38" s="1">
        <f>H37-H6</f>
        <v>-2131</v>
      </c>
      <c r="J38" s="1">
        <f>J37-J6</f>
        <v>0</v>
      </c>
    </row>
  </sheetData>
  <mergeCells count="12">
    <mergeCell ref="A4:A5"/>
    <mergeCell ref="C1:K1"/>
    <mergeCell ref="D2:D4"/>
    <mergeCell ref="H2:H4"/>
    <mergeCell ref="K2:K5"/>
    <mergeCell ref="F2:F4"/>
    <mergeCell ref="J2:J4"/>
    <mergeCell ref="G2:G4"/>
    <mergeCell ref="I2:I4"/>
    <mergeCell ref="B2:B5"/>
    <mergeCell ref="C4:C5"/>
    <mergeCell ref="E4:E5"/>
  </mergeCells>
  <pageMargins left="0.25" right="0.25" top="0.75" bottom="0.75" header="0.3" footer="0.3"/>
  <pageSetup paperSize="9" scale="55" fitToWidth="0" orientation="portrait" r:id="rId1"/>
  <headerFooter>
    <oddFooter>&amp;LPage &amp;P of &amp;N&amp;C_x000D_&amp;1#&amp;"Calibri"&amp;12&amp;K000000 Internal&amp;RQAH/DCT/eFM/IMS/OPHS/METREADPWR-FMC/0058 Rev 00 01/23/2019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Rushan</dc:creator>
  <cp:keywords/>
  <dc:description/>
  <cp:lastModifiedBy>Guest User</cp:lastModifiedBy>
  <cp:revision/>
  <dcterms:created xsi:type="dcterms:W3CDTF">2018-12-27T05:07:34Z</dcterms:created>
  <dcterms:modified xsi:type="dcterms:W3CDTF">2025-10-22T07:13:10Z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</Properties>
</file>