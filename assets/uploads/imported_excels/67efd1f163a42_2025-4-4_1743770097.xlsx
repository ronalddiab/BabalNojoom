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defaultThemeVersion="124226"/>
  <xr:revisionPtr revIDLastSave="0" documentId="13_ncr:1_{EF91162E-4668-4A56-B395-442FE8B24AF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2" l="1"/>
  <c r="K39" i="2" s="1"/>
  <c r="F39" i="2"/>
  <c r="G39" i="2" s="1"/>
  <c r="J38" i="2"/>
  <c r="K38" i="2" s="1"/>
  <c r="I32" i="3" s="1"/>
  <c r="F38" i="2"/>
  <c r="J37" i="2"/>
  <c r="K37" i="2" s="1"/>
  <c r="F37" i="2"/>
  <c r="G38" i="2" s="1"/>
  <c r="J36" i="2"/>
  <c r="K36" i="2" s="1"/>
  <c r="F36" i="2"/>
  <c r="G36" i="2" s="1"/>
  <c r="J35" i="2"/>
  <c r="F35" i="2"/>
  <c r="G35" i="2" s="1"/>
  <c r="J34" i="2"/>
  <c r="K35" i="2" s="1"/>
  <c r="F34" i="2"/>
  <c r="J33" i="2"/>
  <c r="K33" i="2" s="1"/>
  <c r="F33" i="2"/>
  <c r="C33" i="2"/>
  <c r="J32" i="2"/>
  <c r="K32" i="2" s="1"/>
  <c r="F32" i="2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K27" i="2" s="1"/>
  <c r="F26" i="2"/>
  <c r="C26" i="2"/>
  <c r="J25" i="2"/>
  <c r="K25" i="2" s="1"/>
  <c r="F25" i="2"/>
  <c r="C25" i="2"/>
  <c r="J24" i="2"/>
  <c r="K24" i="2" s="1"/>
  <c r="F24" i="2"/>
  <c r="G25" i="2" s="1"/>
  <c r="C24" i="2"/>
  <c r="J23" i="2"/>
  <c r="F23" i="2"/>
  <c r="G23" i="2" s="1"/>
  <c r="C23" i="2"/>
  <c r="J22" i="2"/>
  <c r="K23" i="2" s="1"/>
  <c r="F22" i="2"/>
  <c r="C22" i="2"/>
  <c r="J21" i="2"/>
  <c r="F21" i="2"/>
  <c r="C21" i="2"/>
  <c r="J20" i="2"/>
  <c r="F20" i="2"/>
  <c r="C20" i="2"/>
  <c r="J19" i="2"/>
  <c r="F19" i="2"/>
  <c r="C19" i="2"/>
  <c r="J18" i="2"/>
  <c r="K19" i="2" s="1"/>
  <c r="F18" i="2"/>
  <c r="C18" i="2"/>
  <c r="J17" i="2"/>
  <c r="K17" i="2" s="1"/>
  <c r="F17" i="2"/>
  <c r="C17" i="2"/>
  <c r="J16" i="2"/>
  <c r="K16" i="2" s="1"/>
  <c r="F16" i="2"/>
  <c r="G17" i="2" s="1"/>
  <c r="C16" i="2"/>
  <c r="J15" i="2"/>
  <c r="F15" i="2"/>
  <c r="G15" i="2" s="1"/>
  <c r="C15" i="2"/>
  <c r="J14" i="2"/>
  <c r="K15" i="2" s="1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K9" i="2" s="1"/>
  <c r="F9" i="2"/>
  <c r="C9" i="2"/>
  <c r="J8" i="2"/>
  <c r="F8" i="2"/>
  <c r="G9" i="2" s="1"/>
  <c r="C8" i="2"/>
  <c r="J7" i="2"/>
  <c r="K7" i="2" s="1"/>
  <c r="G7" i="2"/>
  <c r="F7" i="2"/>
  <c r="G32" i="2" l="1"/>
  <c r="K34" i="2"/>
  <c r="G30" i="2"/>
  <c r="G13" i="2"/>
  <c r="G21" i="2"/>
  <c r="G29" i="2"/>
  <c r="K30" i="2"/>
  <c r="K31" i="2"/>
  <c r="G34" i="2"/>
  <c r="K8" i="2"/>
  <c r="G14" i="2"/>
  <c r="G22" i="2"/>
  <c r="G10" i="2"/>
  <c r="K12" i="2"/>
  <c r="G18" i="2"/>
  <c r="G19" i="2"/>
  <c r="K20" i="2"/>
  <c r="K21" i="2"/>
  <c r="G26" i="2"/>
  <c r="G27" i="2"/>
  <c r="K28" i="2"/>
  <c r="K29" i="2"/>
  <c r="G33" i="2"/>
  <c r="G8" i="2"/>
  <c r="K10" i="2"/>
  <c r="G12" i="2"/>
  <c r="K14" i="2"/>
  <c r="G16" i="2"/>
  <c r="K18" i="2"/>
  <c r="G20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<sst xmlns="http://schemas.openxmlformats.org/spreadsheetml/2006/main" count="64" uniqueCount="32">
  <si>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</si>
  <si>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</si>
  <si>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</si>
  <si>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</si>
  <si>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</si>
  <si>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</si>
  <si>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</si>
  <si>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</si>
  <si>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</si>
  <si>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</si>
  <si>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</si>
  <si>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</si>
  <si>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</si>
  <si>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</si>
  <si>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</si>
  <si>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</si>
  <si>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</si>
  <si>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</si>
  <si>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</si>
  <si>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</si>
  <si>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</si>
  <si>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</si>
  <si>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</si>
  <si>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</si>
  <si>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</si>
  <si>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</si>
  <si>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</si>
  <si>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</si>
  <si>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</si>
  <si>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</si>
  <si>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</si>
  <si>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March-2025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</si>
</sst>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workbookViewId="0">
      <selection activeCell="M27" sqref="M27:M31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3</v>
      </c>
      <c r="D2" s="43">
        <v>2025</v>
      </c>
      <c r="E2" s="44">
        <f>Sheet2!G8</f>
        <v>3998</v>
      </c>
      <c r="F2" s="45">
        <v>0.2</v>
      </c>
      <c r="G2" s="44"/>
      <c r="I2" s="44">
        <f>Sheet2!K8</f>
        <v>25.804000000003725</v>
      </c>
      <c r="J2" s="46">
        <v>7.84</v>
      </c>
      <c r="K2" s="44">
        <v>93</v>
      </c>
      <c r="L2" s="44">
        <v>128</v>
      </c>
    </row>
    <row r="3" spans="1:12">
      <c r="A3" s="42" t="s">
        <v>24</v>
      </c>
      <c r="B3" s="43">
        <f>B2+1</f>
        <v>2</v>
      </c>
      <c r="C3" s="43">
        <v>3</v>
      </c>
      <c r="D3" s="43">
        <v>2025</v>
      </c>
      <c r="E3" s="44">
        <f>Sheet2!G9</f>
        <v>4062</v>
      </c>
      <c r="F3" s="45">
        <v>0.2</v>
      </c>
      <c r="G3" s="44"/>
      <c r="I3" s="44">
        <f>Sheet2!K9</f>
        <v>34.082999999998719</v>
      </c>
      <c r="J3" s="46">
        <v>7.84</v>
      </c>
      <c r="K3" s="44">
        <v>90</v>
      </c>
      <c r="L3" s="44">
        <v>119</v>
      </c>
    </row>
    <row r="4" spans="1:12">
      <c r="A4" s="42" t="s">
        <v>24</v>
      </c>
      <c r="B4" s="43">
        <f t="shared" ref="B4:B32" si="0">B3+1</f>
        <v>3</v>
      </c>
      <c r="C4" s="43">
        <v>3</v>
      </c>
      <c r="D4" s="43">
        <v>2025</v>
      </c>
      <c r="E4" s="44">
        <f>Sheet2!G10</f>
        <v>4095</v>
      </c>
      <c r="F4" s="45">
        <v>0.2</v>
      </c>
      <c r="G4" s="44"/>
      <c r="I4" s="44">
        <f>Sheet2!K10</f>
        <v>26.642000000007101</v>
      </c>
      <c r="J4" s="46">
        <v>7.84</v>
      </c>
      <c r="K4" s="44">
        <v>88</v>
      </c>
      <c r="L4" s="44">
        <v>115</v>
      </c>
    </row>
    <row r="5" spans="1:12">
      <c r="A5" s="42" t="s">
        <v>24</v>
      </c>
      <c r="B5" s="43">
        <f t="shared" si="0"/>
        <v>4</v>
      </c>
      <c r="C5" s="43">
        <v>3</v>
      </c>
      <c r="D5" s="43">
        <v>2025</v>
      </c>
      <c r="E5" s="44">
        <f>Sheet2!G11</f>
        <v>3954</v>
      </c>
      <c r="F5" s="45">
        <v>0.2</v>
      </c>
      <c r="G5" s="44"/>
      <c r="I5" s="44">
        <f>Sheet2!K11</f>
        <v>64.395000000004075</v>
      </c>
      <c r="J5" s="46">
        <v>7.84</v>
      </c>
      <c r="K5" s="44">
        <v>89</v>
      </c>
      <c r="L5" s="44">
        <v>115</v>
      </c>
    </row>
    <row r="6" spans="1:12">
      <c r="A6" s="42" t="s">
        <v>24</v>
      </c>
      <c r="B6" s="43">
        <f t="shared" si="0"/>
        <v>5</v>
      </c>
      <c r="C6" s="43">
        <v>3</v>
      </c>
      <c r="D6" s="43">
        <v>2025</v>
      </c>
      <c r="E6" s="44">
        <f>Sheet2!G12</f>
        <v>4084</v>
      </c>
      <c r="F6" s="45">
        <v>0.2</v>
      </c>
      <c r="G6" s="44"/>
      <c r="I6" s="44">
        <f>Sheet2!K12</f>
        <v>28.731999999989057</v>
      </c>
      <c r="J6" s="46">
        <v>7.84</v>
      </c>
      <c r="K6" s="44">
        <v>90</v>
      </c>
      <c r="L6" s="44">
        <v>114</v>
      </c>
    </row>
    <row r="7" spans="1:12">
      <c r="A7" s="42" t="s">
        <v>24</v>
      </c>
      <c r="B7" s="43">
        <f t="shared" si="0"/>
        <v>6</v>
      </c>
      <c r="C7" s="43">
        <v>3</v>
      </c>
      <c r="D7" s="43">
        <v>2025</v>
      </c>
      <c r="E7" s="44">
        <f>Sheet2!G13</f>
        <v>4188</v>
      </c>
      <c r="F7" s="45">
        <v>0.2</v>
      </c>
      <c r="G7" s="44"/>
      <c r="I7" s="44">
        <f>Sheet2!K13</f>
        <v>20.839000000007218</v>
      </c>
      <c r="J7" s="46">
        <v>7.84</v>
      </c>
      <c r="K7" s="44">
        <v>94</v>
      </c>
      <c r="L7" s="44">
        <v>121</v>
      </c>
    </row>
    <row r="8" spans="1:12">
      <c r="A8" s="42" t="s">
        <v>24</v>
      </c>
      <c r="B8" s="43">
        <f t="shared" si="0"/>
        <v>7</v>
      </c>
      <c r="C8" s="43">
        <v>3</v>
      </c>
      <c r="D8" s="43">
        <v>2025</v>
      </c>
      <c r="E8" s="44">
        <f>Sheet2!G14</f>
        <v>4235</v>
      </c>
      <c r="F8" s="45">
        <v>0.2</v>
      </c>
      <c r="G8" s="44"/>
      <c r="I8" s="44">
        <f>Sheet2!K14</f>
        <v>27.168999999994412</v>
      </c>
      <c r="J8" s="46">
        <v>7.84</v>
      </c>
      <c r="K8" s="44">
        <v>100</v>
      </c>
      <c r="L8" s="44">
        <v>140</v>
      </c>
    </row>
    <row r="9" spans="1:12">
      <c r="A9" s="42" t="s">
        <v>24</v>
      </c>
      <c r="B9" s="43">
        <f t="shared" si="0"/>
        <v>8</v>
      </c>
      <c r="C9" s="43">
        <v>3</v>
      </c>
      <c r="D9" s="43">
        <v>2025</v>
      </c>
      <c r="E9" s="44">
        <f>Sheet2!G15</f>
        <v>4489</v>
      </c>
      <c r="F9" s="45">
        <v>0.2</v>
      </c>
      <c r="G9" s="44"/>
      <c r="I9" s="44">
        <f>Sheet2!K15</f>
        <v>25.236000000004424</v>
      </c>
      <c r="J9" s="46">
        <v>7.84</v>
      </c>
      <c r="K9" s="44">
        <v>92</v>
      </c>
      <c r="L9" s="44">
        <v>123</v>
      </c>
    </row>
    <row r="10" spans="1:12">
      <c r="A10" s="42" t="s">
        <v>24</v>
      </c>
      <c r="B10" s="43">
        <f t="shared" si="0"/>
        <v>9</v>
      </c>
      <c r="C10" s="43">
        <v>3</v>
      </c>
      <c r="D10" s="43">
        <v>2025</v>
      </c>
      <c r="E10" s="44">
        <f>Sheet2!G16</f>
        <v>4902</v>
      </c>
      <c r="F10" s="45">
        <v>0.2</v>
      </c>
      <c r="G10" s="44"/>
      <c r="I10" s="44">
        <f>Sheet2!K16</f>
        <v>31.69100000000617</v>
      </c>
      <c r="J10" s="46">
        <v>7.84</v>
      </c>
      <c r="K10" s="44">
        <v>95</v>
      </c>
      <c r="L10" s="44">
        <v>125</v>
      </c>
    </row>
    <row r="11" spans="1:12">
      <c r="A11" s="42" t="s">
        <v>24</v>
      </c>
      <c r="B11" s="43">
        <f t="shared" si="0"/>
        <v>10</v>
      </c>
      <c r="C11" s="43">
        <v>3</v>
      </c>
      <c r="D11" s="43">
        <v>2025</v>
      </c>
      <c r="E11" s="44">
        <f>Sheet2!G17</f>
        <v>4705</v>
      </c>
      <c r="F11" s="45">
        <v>0.2</v>
      </c>
      <c r="G11" s="44"/>
      <c r="I11" s="44">
        <f>Sheet2!K17</f>
        <v>21.706999999994878</v>
      </c>
      <c r="J11" s="46">
        <v>7.84</v>
      </c>
      <c r="K11" s="44">
        <v>94</v>
      </c>
      <c r="L11" s="44">
        <v>123</v>
      </c>
    </row>
    <row r="12" spans="1:12">
      <c r="A12" s="42" t="s">
        <v>24</v>
      </c>
      <c r="B12" s="43">
        <f t="shared" si="0"/>
        <v>11</v>
      </c>
      <c r="C12" s="43">
        <v>3</v>
      </c>
      <c r="D12" s="43">
        <v>2025</v>
      </c>
      <c r="E12" s="44">
        <f>Sheet2!G18</f>
        <v>4568</v>
      </c>
      <c r="F12" s="45">
        <v>0.2</v>
      </c>
      <c r="G12" s="44"/>
      <c r="I12" s="44">
        <f>Sheet2!K18</f>
        <v>26.266999999992549</v>
      </c>
      <c r="J12" s="46">
        <v>7.84</v>
      </c>
      <c r="K12" s="44">
        <v>97</v>
      </c>
      <c r="L12" s="44">
        <v>125</v>
      </c>
    </row>
    <row r="13" spans="1:12">
      <c r="A13" s="42" t="s">
        <v>24</v>
      </c>
      <c r="B13" s="43">
        <f t="shared" si="0"/>
        <v>12</v>
      </c>
      <c r="C13" s="43">
        <v>3</v>
      </c>
      <c r="D13" s="43">
        <v>2025</v>
      </c>
      <c r="E13" s="44">
        <f>Sheet2!G19</f>
        <v>4566</v>
      </c>
      <c r="F13" s="45">
        <v>0.2</v>
      </c>
      <c r="G13" s="44"/>
      <c r="I13" s="44">
        <f>Sheet2!K19</f>
        <v>34.094000000011874</v>
      </c>
      <c r="J13" s="46">
        <v>7.84</v>
      </c>
      <c r="K13" s="44">
        <v>99</v>
      </c>
      <c r="L13" s="44">
        <v>126</v>
      </c>
    </row>
    <row r="14" spans="1:12">
      <c r="A14" s="42" t="s">
        <v>24</v>
      </c>
      <c r="B14" s="43">
        <f t="shared" si="0"/>
        <v>13</v>
      </c>
      <c r="C14" s="43">
        <v>3</v>
      </c>
      <c r="D14" s="43">
        <v>2025</v>
      </c>
      <c r="E14" s="44">
        <f>Sheet2!G20</f>
        <v>4633</v>
      </c>
      <c r="F14" s="45">
        <v>0.2</v>
      </c>
      <c r="G14" s="44"/>
      <c r="I14" s="44">
        <f>Sheet2!K20</f>
        <v>22.938999999998487</v>
      </c>
      <c r="J14" s="46">
        <v>7.84</v>
      </c>
      <c r="K14" s="44">
        <v>99</v>
      </c>
      <c r="L14" s="44">
        <v>132</v>
      </c>
    </row>
    <row r="15" spans="1:12">
      <c r="A15" s="42" t="s">
        <v>24</v>
      </c>
      <c r="B15" s="43">
        <f t="shared" si="0"/>
        <v>14</v>
      </c>
      <c r="C15" s="43">
        <v>3</v>
      </c>
      <c r="D15" s="43">
        <v>2025</v>
      </c>
      <c r="E15" s="44">
        <f>Sheet2!G21</f>
        <v>4338</v>
      </c>
      <c r="F15" s="45">
        <v>0.2</v>
      </c>
      <c r="G15" s="44"/>
      <c r="I15" s="44">
        <f>Sheet2!K21</f>
        <v>25.961999999999534</v>
      </c>
      <c r="J15" s="46">
        <v>7.84</v>
      </c>
      <c r="K15" s="44">
        <v>97</v>
      </c>
      <c r="L15" s="44">
        <v>129</v>
      </c>
    </row>
    <row r="16" spans="1:12">
      <c r="A16" s="42" t="s">
        <v>24</v>
      </c>
      <c r="B16" s="43">
        <f t="shared" si="0"/>
        <v>15</v>
      </c>
      <c r="C16" s="43">
        <v>3</v>
      </c>
      <c r="D16" s="43">
        <v>2025</v>
      </c>
      <c r="E16" s="44">
        <f>Sheet2!G22</f>
        <v>4261</v>
      </c>
      <c r="F16" s="45">
        <v>0.2</v>
      </c>
      <c r="G16" s="44"/>
      <c r="I16" s="44">
        <f>Sheet2!K22</f>
        <v>32.260999999998603</v>
      </c>
      <c r="J16" s="46">
        <v>7.84</v>
      </c>
      <c r="K16" s="44">
        <v>98</v>
      </c>
      <c r="L16" s="44">
        <v>127</v>
      </c>
    </row>
    <row r="17" spans="1:12">
      <c r="A17" s="42" t="s">
        <v>24</v>
      </c>
      <c r="B17" s="43">
        <f t="shared" si="0"/>
        <v>16</v>
      </c>
      <c r="C17" s="43">
        <v>3</v>
      </c>
      <c r="D17" s="43">
        <v>2025</v>
      </c>
      <c r="E17" s="44">
        <f>Sheet2!G23</f>
        <v>4265</v>
      </c>
      <c r="F17" s="45">
        <v>0.2</v>
      </c>
      <c r="G17" s="44"/>
      <c r="I17" s="44">
        <f>Sheet2!K23</f>
        <v>29.137999999991735</v>
      </c>
      <c r="J17" s="46">
        <v>7.84</v>
      </c>
      <c r="K17" s="44">
        <v>100</v>
      </c>
      <c r="L17" s="44">
        <v>121</v>
      </c>
    </row>
    <row r="18" spans="1:12">
      <c r="A18" s="42" t="s">
        <v>24</v>
      </c>
      <c r="B18" s="43">
        <f t="shared" si="0"/>
        <v>17</v>
      </c>
      <c r="C18" s="43">
        <v>3</v>
      </c>
      <c r="D18" s="43">
        <v>2025</v>
      </c>
      <c r="E18" s="44">
        <f>Sheet2!G24</f>
        <v>4405</v>
      </c>
      <c r="F18" s="45">
        <v>0.2</v>
      </c>
      <c r="G18" s="44"/>
      <c r="I18" s="44">
        <f>Sheet2!K24</f>
        <v>29.4490000000078</v>
      </c>
      <c r="J18" s="46">
        <v>7.84</v>
      </c>
      <c r="K18" s="44">
        <v>95</v>
      </c>
      <c r="L18" s="44">
        <v>115</v>
      </c>
    </row>
    <row r="19" spans="1:12">
      <c r="A19" s="42" t="s">
        <v>24</v>
      </c>
      <c r="B19" s="43">
        <f t="shared" si="0"/>
        <v>18</v>
      </c>
      <c r="C19" s="43">
        <v>3</v>
      </c>
      <c r="D19" s="43">
        <v>2025</v>
      </c>
      <c r="E19" s="44">
        <f>Sheet2!G25</f>
        <v>4345</v>
      </c>
      <c r="F19" s="45">
        <v>0.2</v>
      </c>
      <c r="G19" s="44"/>
      <c r="I19" s="44">
        <f>Sheet2!K25</f>
        <v>25.237999999997555</v>
      </c>
      <c r="J19" s="46">
        <v>7.84</v>
      </c>
      <c r="K19" s="44">
        <v>101</v>
      </c>
      <c r="L19" s="44">
        <v>123</v>
      </c>
    </row>
    <row r="20" spans="1:12">
      <c r="A20" s="42" t="s">
        <v>24</v>
      </c>
      <c r="B20" s="43">
        <f t="shared" si="0"/>
        <v>19</v>
      </c>
      <c r="C20" s="43">
        <v>3</v>
      </c>
      <c r="D20" s="43">
        <v>2025</v>
      </c>
      <c r="E20" s="44">
        <f>Sheet2!G26</f>
        <v>4320</v>
      </c>
      <c r="F20" s="45">
        <v>0.2</v>
      </c>
      <c r="G20" s="44"/>
      <c r="I20" s="44">
        <f>Sheet2!K26</f>
        <v>30.667000000001281</v>
      </c>
      <c r="J20" s="46">
        <v>7.84</v>
      </c>
      <c r="K20" s="44">
        <v>104</v>
      </c>
      <c r="L20" s="44">
        <v>127</v>
      </c>
    </row>
    <row r="21" spans="1:12">
      <c r="A21" s="42" t="s">
        <v>24</v>
      </c>
      <c r="B21" s="43">
        <f t="shared" si="0"/>
        <v>20</v>
      </c>
      <c r="C21" s="43">
        <v>3</v>
      </c>
      <c r="D21" s="43">
        <v>2025</v>
      </c>
      <c r="E21" s="44">
        <f>Sheet2!G27</f>
        <v>4307</v>
      </c>
      <c r="F21" s="45">
        <v>0.2</v>
      </c>
      <c r="G21" s="44"/>
      <c r="I21" s="44">
        <f>Sheet2!K27</f>
        <v>22.892999999996391</v>
      </c>
      <c r="J21" s="46">
        <v>7.84</v>
      </c>
      <c r="K21" s="44">
        <v>96</v>
      </c>
      <c r="L21" s="44">
        <v>117</v>
      </c>
    </row>
    <row r="22" spans="1:12">
      <c r="A22" s="42" t="s">
        <v>24</v>
      </c>
      <c r="B22" s="43">
        <f t="shared" si="0"/>
        <v>21</v>
      </c>
      <c r="C22" s="43">
        <v>3</v>
      </c>
      <c r="D22" s="43">
        <v>2025</v>
      </c>
      <c r="E22" s="44">
        <f>Sheet2!G28</f>
        <v>4659</v>
      </c>
      <c r="F22" s="45">
        <v>0.2</v>
      </c>
      <c r="G22" s="44"/>
      <c r="I22" s="44">
        <f>Sheet2!K28</f>
        <v>27.070999999996275</v>
      </c>
      <c r="J22" s="46">
        <v>7.84</v>
      </c>
      <c r="K22" s="44">
        <v>94</v>
      </c>
      <c r="L22" s="44">
        <v>115</v>
      </c>
    </row>
    <row r="23" spans="1:12">
      <c r="A23" s="42" t="s">
        <v>24</v>
      </c>
      <c r="B23" s="43">
        <f t="shared" si="0"/>
        <v>22</v>
      </c>
      <c r="C23" s="43">
        <v>3</v>
      </c>
      <c r="D23" s="43">
        <v>2025</v>
      </c>
      <c r="E23" s="44">
        <f>Sheet2!G29</f>
        <v>4860</v>
      </c>
      <c r="F23" s="45">
        <v>0.2</v>
      </c>
      <c r="G23" s="44"/>
      <c r="I23" s="44">
        <f>Sheet2!K29</f>
        <v>27.548999999999069</v>
      </c>
      <c r="J23" s="46">
        <v>7.84</v>
      </c>
      <c r="K23" s="44">
        <v>91</v>
      </c>
      <c r="L23" s="44">
        <v>111</v>
      </c>
    </row>
    <row r="24" spans="1:12">
      <c r="A24" s="42" t="s">
        <v>24</v>
      </c>
      <c r="B24" s="43">
        <f t="shared" si="0"/>
        <v>23</v>
      </c>
      <c r="C24" s="43">
        <v>3</v>
      </c>
      <c r="D24" s="43">
        <v>2025</v>
      </c>
      <c r="E24" s="44">
        <f>Sheet2!G30</f>
        <v>5035</v>
      </c>
      <c r="F24" s="45">
        <v>0.2</v>
      </c>
      <c r="G24" s="44"/>
      <c r="I24" s="44">
        <f>Sheet2!K30</f>
        <v>28.302999999999884</v>
      </c>
      <c r="J24" s="46">
        <v>7.84</v>
      </c>
      <c r="K24" s="44">
        <v>88</v>
      </c>
      <c r="L24" s="44">
        <v>109</v>
      </c>
    </row>
    <row r="25" spans="1:12">
      <c r="A25" s="42" t="s">
        <v>24</v>
      </c>
      <c r="B25" s="43">
        <f t="shared" si="0"/>
        <v>24</v>
      </c>
      <c r="C25" s="43">
        <v>3</v>
      </c>
      <c r="D25" s="43">
        <v>2025</v>
      </c>
      <c r="E25" s="44">
        <f>Sheet2!G31</f>
        <v>4798</v>
      </c>
      <c r="F25" s="45">
        <v>0.2</v>
      </c>
      <c r="G25" s="44"/>
      <c r="I25" s="44">
        <f>Sheet2!K31</f>
        <v>30.146000000007916</v>
      </c>
      <c r="J25" s="46">
        <v>7.84</v>
      </c>
      <c r="K25" s="44">
        <v>87</v>
      </c>
      <c r="L25" s="44">
        <v>106</v>
      </c>
    </row>
    <row r="26" spans="1:12">
      <c r="A26" s="42" t="s">
        <v>24</v>
      </c>
      <c r="B26" s="43">
        <f>B25+1</f>
        <v>25</v>
      </c>
      <c r="C26" s="43">
        <v>3</v>
      </c>
      <c r="D26" s="43">
        <v>2025</v>
      </c>
      <c r="E26" s="44">
        <f>Sheet2!G32</f>
        <v>4394</v>
      </c>
      <c r="F26" s="45">
        <v>0.2</v>
      </c>
      <c r="G26" s="44"/>
      <c r="I26" s="44">
        <f>Sheet2!K32</f>
        <v>27.194000000003143</v>
      </c>
      <c r="J26" s="46">
        <v>7.84</v>
      </c>
      <c r="K26" s="44">
        <v>83</v>
      </c>
      <c r="L26" s="44">
        <v>102</v>
      </c>
    </row>
    <row r="27" spans="1:12">
      <c r="A27" s="42" t="s">
        <v>24</v>
      </c>
      <c r="B27" s="43">
        <f t="shared" si="0"/>
        <v>26</v>
      </c>
      <c r="C27" s="43">
        <v>3</v>
      </c>
      <c r="D27" s="43">
        <v>2025</v>
      </c>
      <c r="E27" s="44">
        <f>Sheet2!G33</f>
        <v>4083</v>
      </c>
      <c r="F27" s="45">
        <v>0.2</v>
      </c>
      <c r="G27" s="44"/>
      <c r="I27" s="44">
        <f>Sheet2!K33</f>
        <v>27.403999999994994</v>
      </c>
      <c r="J27" s="46">
        <v>7.84</v>
      </c>
      <c r="K27" s="44">
        <v>81</v>
      </c>
      <c r="L27" s="44">
        <v>100</v>
      </c>
    </row>
    <row r="28" spans="1:12">
      <c r="A28" s="42" t="s">
        <v>24</v>
      </c>
      <c r="B28" s="43">
        <f t="shared" si="0"/>
        <v>27</v>
      </c>
      <c r="C28" s="43">
        <v>3</v>
      </c>
      <c r="D28" s="43">
        <v>2025</v>
      </c>
      <c r="E28" s="44">
        <f>Sheet2!G34</f>
        <v>4069</v>
      </c>
      <c r="F28" s="45">
        <v>0.2</v>
      </c>
      <c r="G28" s="44"/>
      <c r="I28" s="44">
        <f>Sheet2!K34</f>
        <v>18.94999999999709</v>
      </c>
      <c r="J28" s="46">
        <v>7.84</v>
      </c>
      <c r="K28" s="44">
        <v>81</v>
      </c>
      <c r="L28" s="44">
        <v>98</v>
      </c>
    </row>
    <row r="29" spans="1:12">
      <c r="A29" s="42" t="s">
        <v>24</v>
      </c>
      <c r="B29" s="43">
        <f t="shared" si="0"/>
        <v>28</v>
      </c>
      <c r="C29" s="43">
        <v>3</v>
      </c>
      <c r="D29" s="43">
        <v>2025</v>
      </c>
      <c r="E29" s="44">
        <f>Sheet2!G35</f>
        <v>4125</v>
      </c>
      <c r="F29" s="45">
        <v>0.2</v>
      </c>
      <c r="G29" s="44"/>
      <c r="I29" s="44">
        <f>Sheet2!K35</f>
        <v>25.709000000002561</v>
      </c>
      <c r="J29" s="46">
        <v>7.84</v>
      </c>
      <c r="K29" s="44">
        <v>92</v>
      </c>
      <c r="L29" s="44">
        <v>121</v>
      </c>
    </row>
    <row r="30" spans="1:12">
      <c r="A30" s="42" t="s">
        <v>24</v>
      </c>
      <c r="B30" s="43">
        <f t="shared" si="0"/>
        <v>29</v>
      </c>
      <c r="C30" s="43">
        <v>3</v>
      </c>
      <c r="D30" s="43">
        <v>2025</v>
      </c>
      <c r="E30" s="44">
        <f>Sheet2!G36</f>
        <v>4363</v>
      </c>
      <c r="F30" s="45">
        <v>0.2</v>
      </c>
      <c r="G30" s="44"/>
      <c r="I30" s="44">
        <f>Sheet2!K36</f>
        <v>28.585999999995693</v>
      </c>
      <c r="J30" s="46">
        <v>7.84</v>
      </c>
      <c r="K30" s="44">
        <v>103</v>
      </c>
      <c r="L30" s="44">
        <v>140</v>
      </c>
    </row>
    <row r="31" spans="1:12">
      <c r="A31" s="42" t="s">
        <v>24</v>
      </c>
      <c r="B31" s="43">
        <f t="shared" si="0"/>
        <v>30</v>
      </c>
      <c r="C31" s="43">
        <v>3</v>
      </c>
      <c r="D31" s="43">
        <v>2025</v>
      </c>
      <c r="E31" s="44">
        <f>Sheet2!G37</f>
        <v>4473</v>
      </c>
      <c r="F31" s="45">
        <v>0.2</v>
      </c>
      <c r="G31" s="44"/>
      <c r="I31" s="44">
        <f>Sheet2!K37</f>
        <v>27.062000000005355</v>
      </c>
      <c r="J31" s="46">
        <v>7.84</v>
      </c>
      <c r="K31" s="44">
        <v>108</v>
      </c>
      <c r="L31" s="44">
        <v>154</v>
      </c>
    </row>
    <row r="32" spans="1:12">
      <c r="A32" s="42" t="s">
        <v>24</v>
      </c>
      <c r="B32" s="43">
        <f t="shared" si="0"/>
        <v>31</v>
      </c>
      <c r="C32" s="43">
        <v>3</v>
      </c>
      <c r="D32" s="43">
        <v>2025</v>
      </c>
      <c r="E32" s="44">
        <f>Sheet2!G38</f>
        <v>4709</v>
      </c>
      <c r="F32" s="45">
        <v>0.2</v>
      </c>
      <c r="G32" s="44"/>
      <c r="I32" s="44">
        <f>Sheet2!K38</f>
        <v>30.217999999993481</v>
      </c>
      <c r="J32" s="46">
        <v>7.84</v>
      </c>
      <c r="K32" s="44">
        <v>108</v>
      </c>
      <c r="L32" s="44">
        <v>150</v>
      </c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zoomScaleNormal="100" workbookViewId="0">
      <selection activeCell="J44" sqref="J44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2" t="s">
        <v>25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ht="29.25" customHeight="1" thickBot="1">
      <c r="A2" s="84" t="s">
        <v>31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4">
      <c r="A3" s="1" t="s">
        <v>0</v>
      </c>
      <c r="B3" s="66" t="s">
        <v>1</v>
      </c>
      <c r="C3" s="67"/>
      <c r="D3" s="70" t="s">
        <v>2</v>
      </c>
      <c r="E3" s="71"/>
      <c r="F3" s="71"/>
      <c r="G3" s="72"/>
      <c r="H3" s="76" t="s">
        <v>3</v>
      </c>
      <c r="I3" s="77"/>
      <c r="J3" s="77"/>
      <c r="K3" s="78"/>
      <c r="L3" s="86" t="s">
        <v>26</v>
      </c>
      <c r="M3" s="87"/>
      <c r="N3" s="87"/>
    </row>
    <row r="4" spans="1:14">
      <c r="A4" s="1"/>
      <c r="B4" s="68"/>
      <c r="C4" s="69"/>
      <c r="D4" s="73"/>
      <c r="E4" s="74"/>
      <c r="F4" s="74"/>
      <c r="G4" s="75"/>
      <c r="H4" s="79"/>
      <c r="I4" s="80"/>
      <c r="J4" s="80"/>
      <c r="K4" s="81"/>
      <c r="L4" s="51" t="s">
        <v>27</v>
      </c>
      <c r="M4" s="88" t="s">
        <v>28</v>
      </c>
      <c r="N4" s="90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89"/>
      <c r="N5" s="91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21" hidden="1" customHeight="1">
      <c r="A7" s="20">
        <v>28</v>
      </c>
      <c r="B7" s="21"/>
      <c r="C7" s="22"/>
      <c r="D7" s="23">
        <v>34068107</v>
      </c>
      <c r="E7" s="24"/>
      <c r="F7" s="25">
        <f t="shared" ref="F7:F39" si="0">(D7+E7)</f>
        <v>34068107</v>
      </c>
      <c r="G7" s="26">
        <f t="shared" ref="G7:G39" si="1">(F7-F6)</f>
        <v>34068107</v>
      </c>
      <c r="H7" s="23">
        <v>77192.047999999995</v>
      </c>
      <c r="I7" s="24">
        <v>578.59100000000001</v>
      </c>
      <c r="J7" s="25">
        <f>H7+I7</f>
        <v>77770.638999999996</v>
      </c>
      <c r="K7" s="22">
        <f t="shared" ref="K7:K39" si="2">(J7-J6)</f>
        <v>77770.638999999996</v>
      </c>
      <c r="L7" s="21"/>
      <c r="M7" s="56"/>
      <c r="N7" s="57"/>
    </row>
    <row r="8" spans="1:14" ht="15.75" thickBot="1">
      <c r="A8" s="20">
        <v>1</v>
      </c>
      <c r="B8" s="27"/>
      <c r="C8" s="28">
        <f t="shared" ref="C8:C33" si="3">(229/100*B8)</f>
        <v>0</v>
      </c>
      <c r="D8" s="23">
        <v>34072105</v>
      </c>
      <c r="E8" s="24">
        <v>0</v>
      </c>
      <c r="F8" s="25">
        <f t="shared" si="0"/>
        <v>34072105</v>
      </c>
      <c r="G8" s="29">
        <f t="shared" si="1"/>
        <v>3998</v>
      </c>
      <c r="H8" s="30">
        <v>77217.851999999999</v>
      </c>
      <c r="I8" s="24">
        <v>578.59100000000001</v>
      </c>
      <c r="J8" s="25">
        <f>H8+I8</f>
        <v>77796.442999999999</v>
      </c>
      <c r="K8" s="22">
        <f t="shared" si="2"/>
        <v>25.804000000003725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3"/>
        <v>0</v>
      </c>
      <c r="D9" s="24">
        <v>34076167</v>
      </c>
      <c r="E9" s="24">
        <v>0</v>
      </c>
      <c r="F9" s="25">
        <f t="shared" si="0"/>
        <v>34076167</v>
      </c>
      <c r="G9" s="26">
        <f t="shared" si="1"/>
        <v>4062</v>
      </c>
      <c r="H9" s="33">
        <v>77251.934999999998</v>
      </c>
      <c r="I9" s="24">
        <v>578.59100000000001</v>
      </c>
      <c r="J9" s="25">
        <f t="shared" ref="J9:J38" si="4">H9+I9</f>
        <v>77830.525999999998</v>
      </c>
      <c r="K9" s="22">
        <f t="shared" si="2"/>
        <v>34.082999999998719</v>
      </c>
      <c r="L9" s="60"/>
      <c r="M9" s="56"/>
      <c r="N9" s="61"/>
    </row>
    <row r="10" spans="1:14">
      <c r="A10" s="20">
        <v>3</v>
      </c>
      <c r="B10" s="21"/>
      <c r="C10" s="22">
        <f t="shared" si="3"/>
        <v>0</v>
      </c>
      <c r="D10" s="33">
        <v>34080262</v>
      </c>
      <c r="E10" s="24">
        <v>0</v>
      </c>
      <c r="F10" s="25">
        <f t="shared" si="0"/>
        <v>34080262</v>
      </c>
      <c r="G10" s="26">
        <f t="shared" si="1"/>
        <v>4095</v>
      </c>
      <c r="H10" s="23">
        <v>77278.577000000005</v>
      </c>
      <c r="I10" s="24">
        <v>578.59100000000001</v>
      </c>
      <c r="J10" s="25">
        <f t="shared" si="4"/>
        <v>77857.168000000005</v>
      </c>
      <c r="K10" s="22">
        <f t="shared" si="2"/>
        <v>26.642000000007101</v>
      </c>
      <c r="L10" s="60"/>
      <c r="M10" s="56"/>
      <c r="N10" s="61"/>
    </row>
    <row r="11" spans="1:14">
      <c r="A11" s="20">
        <v>4</v>
      </c>
      <c r="B11" s="21"/>
      <c r="C11" s="22">
        <f t="shared" si="3"/>
        <v>0</v>
      </c>
      <c r="D11" s="23">
        <v>34084216</v>
      </c>
      <c r="E11" s="24">
        <v>0</v>
      </c>
      <c r="F11" s="25">
        <f t="shared" si="0"/>
        <v>34084216</v>
      </c>
      <c r="G11" s="26">
        <f t="shared" si="1"/>
        <v>3954</v>
      </c>
      <c r="H11" s="23">
        <v>77306.297000000006</v>
      </c>
      <c r="I11" s="24">
        <v>615.26599999999996</v>
      </c>
      <c r="J11" s="25">
        <f t="shared" si="4"/>
        <v>77921.563000000009</v>
      </c>
      <c r="K11" s="22">
        <f t="shared" si="2"/>
        <v>64.395000000004075</v>
      </c>
      <c r="L11" s="60"/>
      <c r="M11" s="56"/>
      <c r="N11" s="61"/>
    </row>
    <row r="12" spans="1:14">
      <c r="A12" s="20">
        <v>5</v>
      </c>
      <c r="B12" s="21"/>
      <c r="C12" s="22">
        <f t="shared" si="3"/>
        <v>0</v>
      </c>
      <c r="D12" s="23">
        <v>34088300</v>
      </c>
      <c r="E12" s="24">
        <v>0</v>
      </c>
      <c r="F12" s="25">
        <f t="shared" si="0"/>
        <v>34088300</v>
      </c>
      <c r="G12" s="26">
        <f t="shared" si="1"/>
        <v>4084</v>
      </c>
      <c r="H12" s="23">
        <v>77335.028999999995</v>
      </c>
      <c r="I12" s="24">
        <v>615.26599999999996</v>
      </c>
      <c r="J12" s="25">
        <f t="shared" si="4"/>
        <v>77950.294999999998</v>
      </c>
      <c r="K12" s="22">
        <f t="shared" si="2"/>
        <v>28.731999999989057</v>
      </c>
      <c r="L12" s="60"/>
      <c r="M12" s="56"/>
      <c r="N12" s="61"/>
    </row>
    <row r="13" spans="1:14">
      <c r="A13" s="20">
        <v>6</v>
      </c>
      <c r="B13" s="21"/>
      <c r="C13" s="22">
        <f t="shared" si="3"/>
        <v>0</v>
      </c>
      <c r="D13" s="23">
        <v>34092488</v>
      </c>
      <c r="E13" s="24">
        <v>0</v>
      </c>
      <c r="F13" s="25">
        <f t="shared" si="0"/>
        <v>34092488</v>
      </c>
      <c r="G13" s="26">
        <f t="shared" si="1"/>
        <v>4188</v>
      </c>
      <c r="H13" s="23">
        <v>77355.868000000002</v>
      </c>
      <c r="I13" s="24">
        <v>615.26599999999996</v>
      </c>
      <c r="J13" s="25">
        <f t="shared" si="4"/>
        <v>77971.134000000005</v>
      </c>
      <c r="K13" s="22">
        <f t="shared" si="2"/>
        <v>20.839000000007218</v>
      </c>
      <c r="L13" s="60"/>
      <c r="M13" s="56"/>
      <c r="N13" s="61"/>
    </row>
    <row r="14" spans="1:14">
      <c r="A14" s="20">
        <v>7</v>
      </c>
      <c r="B14" s="21"/>
      <c r="C14" s="22">
        <f t="shared" si="3"/>
        <v>0</v>
      </c>
      <c r="D14" s="23">
        <v>34096723</v>
      </c>
      <c r="E14" s="24">
        <v>0</v>
      </c>
      <c r="F14" s="25">
        <f t="shared" si="0"/>
        <v>34096723</v>
      </c>
      <c r="G14" s="26">
        <f t="shared" si="1"/>
        <v>4235</v>
      </c>
      <c r="H14" s="23">
        <v>77383.036999999997</v>
      </c>
      <c r="I14" s="24">
        <v>615.26599999999996</v>
      </c>
      <c r="J14" s="25">
        <f t="shared" si="4"/>
        <v>77998.303</v>
      </c>
      <c r="K14" s="22">
        <f t="shared" si="2"/>
        <v>27.168999999994412</v>
      </c>
      <c r="L14" s="60"/>
      <c r="M14" s="56"/>
      <c r="N14" s="61"/>
    </row>
    <row r="15" spans="1:14">
      <c r="A15" s="20">
        <v>8</v>
      </c>
      <c r="B15" s="21"/>
      <c r="C15" s="22">
        <f t="shared" si="3"/>
        <v>0</v>
      </c>
      <c r="D15" s="23">
        <v>34101212</v>
      </c>
      <c r="E15" s="24">
        <v>0</v>
      </c>
      <c r="F15" s="25">
        <f t="shared" si="0"/>
        <v>34101212</v>
      </c>
      <c r="G15" s="26">
        <f t="shared" si="1"/>
        <v>4489</v>
      </c>
      <c r="H15" s="23">
        <v>77408.273000000001</v>
      </c>
      <c r="I15" s="24">
        <v>615.26599999999996</v>
      </c>
      <c r="J15" s="25">
        <f t="shared" si="4"/>
        <v>78023.539000000004</v>
      </c>
      <c r="K15" s="22">
        <f t="shared" si="2"/>
        <v>25.236000000004424</v>
      </c>
      <c r="L15" s="60"/>
      <c r="M15" s="56"/>
      <c r="N15" s="61"/>
    </row>
    <row r="16" spans="1:14">
      <c r="A16" s="20">
        <v>9</v>
      </c>
      <c r="B16" s="21"/>
      <c r="C16" s="22">
        <f t="shared" si="3"/>
        <v>0</v>
      </c>
      <c r="D16" s="23">
        <v>34106114</v>
      </c>
      <c r="E16" s="24">
        <v>0</v>
      </c>
      <c r="F16" s="25">
        <f t="shared" si="0"/>
        <v>34106114</v>
      </c>
      <c r="G16" s="26">
        <f t="shared" si="1"/>
        <v>4902</v>
      </c>
      <c r="H16" s="23">
        <v>77439.964000000007</v>
      </c>
      <c r="I16" s="24">
        <v>615.26599999999996</v>
      </c>
      <c r="J16" s="25">
        <f t="shared" si="4"/>
        <v>78055.23000000001</v>
      </c>
      <c r="K16" s="22">
        <f t="shared" si="2"/>
        <v>31.69100000000617</v>
      </c>
      <c r="L16" s="21"/>
      <c r="M16" s="56"/>
      <c r="N16" s="61"/>
    </row>
    <row r="17" spans="1:14">
      <c r="A17" s="20">
        <v>10</v>
      </c>
      <c r="B17" s="21"/>
      <c r="C17" s="22">
        <f t="shared" si="3"/>
        <v>0</v>
      </c>
      <c r="D17" s="23">
        <v>34110819</v>
      </c>
      <c r="E17" s="24">
        <v>0</v>
      </c>
      <c r="F17" s="25">
        <f t="shared" si="0"/>
        <v>34110819</v>
      </c>
      <c r="G17" s="26">
        <f t="shared" si="1"/>
        <v>4705</v>
      </c>
      <c r="H17" s="23">
        <v>77461.671000000002</v>
      </c>
      <c r="I17" s="24">
        <v>615.26599999999996</v>
      </c>
      <c r="J17" s="25">
        <f t="shared" si="4"/>
        <v>78076.937000000005</v>
      </c>
      <c r="K17" s="22">
        <f t="shared" si="2"/>
        <v>21.706999999994878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>
        <v>34115387</v>
      </c>
      <c r="E18" s="24">
        <v>0</v>
      </c>
      <c r="F18" s="25">
        <f t="shared" si="0"/>
        <v>34115387</v>
      </c>
      <c r="G18" s="26">
        <f t="shared" si="1"/>
        <v>4568</v>
      </c>
      <c r="H18" s="23">
        <v>77487.937999999995</v>
      </c>
      <c r="I18" s="24">
        <v>615.26599999999996</v>
      </c>
      <c r="J18" s="25">
        <f t="shared" si="4"/>
        <v>78103.203999999998</v>
      </c>
      <c r="K18" s="22">
        <f t="shared" si="2"/>
        <v>26.266999999992549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>
        <v>34119953</v>
      </c>
      <c r="E19" s="24">
        <v>0</v>
      </c>
      <c r="F19" s="25">
        <f t="shared" si="0"/>
        <v>34119953</v>
      </c>
      <c r="G19" s="26">
        <f t="shared" si="1"/>
        <v>4566</v>
      </c>
      <c r="H19" s="23">
        <v>77522.032000000007</v>
      </c>
      <c r="I19" s="24">
        <v>615.26599999999996</v>
      </c>
      <c r="J19" s="25">
        <f t="shared" si="4"/>
        <v>78137.29800000001</v>
      </c>
      <c r="K19" s="22">
        <f t="shared" si="2"/>
        <v>34.094000000011874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>
        <v>34124586</v>
      </c>
      <c r="E20" s="24">
        <v>0</v>
      </c>
      <c r="F20" s="25">
        <f t="shared" si="0"/>
        <v>34124586</v>
      </c>
      <c r="G20" s="26">
        <f t="shared" si="1"/>
        <v>4633</v>
      </c>
      <c r="H20" s="23">
        <v>77544.971000000005</v>
      </c>
      <c r="I20" s="24">
        <v>615.26599999999996</v>
      </c>
      <c r="J20" s="25">
        <f t="shared" si="4"/>
        <v>78160.237000000008</v>
      </c>
      <c r="K20" s="22">
        <f t="shared" si="2"/>
        <v>22.938999999998487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>
        <v>34128924</v>
      </c>
      <c r="E21" s="24">
        <v>0</v>
      </c>
      <c r="F21" s="25">
        <f t="shared" si="0"/>
        <v>34128924</v>
      </c>
      <c r="G21" s="26">
        <f t="shared" si="1"/>
        <v>4338</v>
      </c>
      <c r="H21" s="23">
        <v>77570.933000000005</v>
      </c>
      <c r="I21" s="24">
        <v>615.26599999999996</v>
      </c>
      <c r="J21" s="25">
        <f t="shared" si="4"/>
        <v>78186.199000000008</v>
      </c>
      <c r="K21" s="22">
        <f t="shared" si="2"/>
        <v>25.961999999999534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>
        <v>34133185</v>
      </c>
      <c r="E22" s="24">
        <v>0</v>
      </c>
      <c r="F22" s="25">
        <f t="shared" si="0"/>
        <v>34133185</v>
      </c>
      <c r="G22" s="26">
        <f t="shared" si="1"/>
        <v>4261</v>
      </c>
      <c r="H22" s="23">
        <v>77603.194000000003</v>
      </c>
      <c r="I22" s="24">
        <v>615.26599999999996</v>
      </c>
      <c r="J22" s="25">
        <f t="shared" si="4"/>
        <v>78218.460000000006</v>
      </c>
      <c r="K22" s="22">
        <f t="shared" si="2"/>
        <v>32.260999999998603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>
        <v>34137450</v>
      </c>
      <c r="E23" s="24">
        <v>0</v>
      </c>
      <c r="F23" s="25">
        <f t="shared" si="0"/>
        <v>34137450</v>
      </c>
      <c r="G23" s="26">
        <f t="shared" si="1"/>
        <v>4265</v>
      </c>
      <c r="H23" s="23">
        <v>77632.331999999995</v>
      </c>
      <c r="I23" s="24">
        <v>615.26599999999996</v>
      </c>
      <c r="J23" s="25">
        <f t="shared" si="4"/>
        <v>78247.597999999998</v>
      </c>
      <c r="K23" s="22">
        <f t="shared" si="2"/>
        <v>29.137999999991735</v>
      </c>
      <c r="L23" s="21"/>
      <c r="M23" s="56"/>
      <c r="N23" s="61"/>
    </row>
    <row r="24" spans="1:14">
      <c r="A24" s="20">
        <v>17</v>
      </c>
      <c r="B24" s="21"/>
      <c r="C24" s="22">
        <f t="shared" si="3"/>
        <v>0</v>
      </c>
      <c r="D24" s="23">
        <v>34141855</v>
      </c>
      <c r="E24" s="24">
        <v>0</v>
      </c>
      <c r="F24" s="25">
        <f t="shared" si="0"/>
        <v>34141855</v>
      </c>
      <c r="G24" s="26">
        <f t="shared" si="1"/>
        <v>4405</v>
      </c>
      <c r="H24" s="23">
        <v>77661.781000000003</v>
      </c>
      <c r="I24" s="24">
        <v>615.26599999999996</v>
      </c>
      <c r="J24" s="25">
        <f t="shared" si="4"/>
        <v>78277.047000000006</v>
      </c>
      <c r="K24" s="22">
        <f t="shared" si="2"/>
        <v>29.4490000000078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>
        <v>34146200</v>
      </c>
      <c r="E25" s="24">
        <v>0</v>
      </c>
      <c r="F25" s="25">
        <f t="shared" si="0"/>
        <v>34146200</v>
      </c>
      <c r="G25" s="26">
        <f t="shared" si="1"/>
        <v>4345</v>
      </c>
      <c r="H25" s="23">
        <v>77687.019</v>
      </c>
      <c r="I25" s="24">
        <v>615.26599999999996</v>
      </c>
      <c r="J25" s="25">
        <f t="shared" si="4"/>
        <v>78302.285000000003</v>
      </c>
      <c r="K25" s="22">
        <f t="shared" si="2"/>
        <v>25.237999999997555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>
        <v>34150520</v>
      </c>
      <c r="E26" s="24">
        <v>0</v>
      </c>
      <c r="F26" s="25">
        <f t="shared" si="0"/>
        <v>34150520</v>
      </c>
      <c r="G26" s="26">
        <f t="shared" si="1"/>
        <v>4320</v>
      </c>
      <c r="H26" s="23">
        <v>77717.686000000002</v>
      </c>
      <c r="I26" s="24">
        <v>615.26599999999996</v>
      </c>
      <c r="J26" s="25">
        <f t="shared" si="4"/>
        <v>78332.952000000005</v>
      </c>
      <c r="K26" s="22">
        <f t="shared" si="2"/>
        <v>30.667000000001281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>
        <v>34154827</v>
      </c>
      <c r="E27" s="24">
        <v>0</v>
      </c>
      <c r="F27" s="25">
        <f t="shared" si="0"/>
        <v>34154827</v>
      </c>
      <c r="G27" s="26">
        <f t="shared" si="1"/>
        <v>4307</v>
      </c>
      <c r="H27" s="23">
        <v>77740.578999999998</v>
      </c>
      <c r="I27" s="24">
        <v>615.26599999999996</v>
      </c>
      <c r="J27" s="25">
        <f t="shared" si="4"/>
        <v>78355.845000000001</v>
      </c>
      <c r="K27" s="22">
        <f t="shared" si="2"/>
        <v>22.892999999996391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>
        <v>34159486</v>
      </c>
      <c r="E28" s="24">
        <v>0</v>
      </c>
      <c r="F28" s="25">
        <f t="shared" si="0"/>
        <v>34159486</v>
      </c>
      <c r="G28" s="26">
        <f t="shared" si="1"/>
        <v>4659</v>
      </c>
      <c r="H28" s="23">
        <v>77767.649999999994</v>
      </c>
      <c r="I28" s="24">
        <v>615.26599999999996</v>
      </c>
      <c r="J28" s="25">
        <f t="shared" si="4"/>
        <v>78382.915999999997</v>
      </c>
      <c r="K28" s="22">
        <f t="shared" si="2"/>
        <v>27.070999999996275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>
        <v>34164346</v>
      </c>
      <c r="E29" s="24">
        <v>0</v>
      </c>
      <c r="F29" s="25">
        <f t="shared" si="0"/>
        <v>34164346</v>
      </c>
      <c r="G29" s="26">
        <f t="shared" si="1"/>
        <v>4860</v>
      </c>
      <c r="H29" s="23">
        <v>77795.198999999993</v>
      </c>
      <c r="I29" s="24">
        <v>615.26599999999996</v>
      </c>
      <c r="J29" s="25">
        <f t="shared" si="4"/>
        <v>78410.464999999997</v>
      </c>
      <c r="K29" s="22">
        <f t="shared" si="2"/>
        <v>27.548999999999069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>
        <v>34169381</v>
      </c>
      <c r="E30" s="24">
        <v>0</v>
      </c>
      <c r="F30" s="25">
        <f t="shared" si="0"/>
        <v>34169381</v>
      </c>
      <c r="G30" s="26">
        <f t="shared" si="1"/>
        <v>5035</v>
      </c>
      <c r="H30" s="23">
        <v>77823.501999999993</v>
      </c>
      <c r="I30" s="24">
        <v>615.26599999999996</v>
      </c>
      <c r="J30" s="25">
        <f t="shared" si="4"/>
        <v>78438.767999999996</v>
      </c>
      <c r="K30" s="22">
        <f t="shared" si="2"/>
        <v>28.302999999999884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>
        <v>34174179</v>
      </c>
      <c r="E31" s="24">
        <v>0</v>
      </c>
      <c r="F31" s="25">
        <f t="shared" si="0"/>
        <v>34174179</v>
      </c>
      <c r="G31" s="26">
        <f t="shared" si="1"/>
        <v>4798</v>
      </c>
      <c r="H31" s="23">
        <v>77853.648000000001</v>
      </c>
      <c r="I31" s="24">
        <v>615.26599999999996</v>
      </c>
      <c r="J31" s="25">
        <f t="shared" si="4"/>
        <v>78468.914000000004</v>
      </c>
      <c r="K31" s="22">
        <f t="shared" si="2"/>
        <v>30.146000000007916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>
        <v>34178573</v>
      </c>
      <c r="E32" s="24">
        <v>0</v>
      </c>
      <c r="F32" s="25">
        <f t="shared" si="0"/>
        <v>34178573</v>
      </c>
      <c r="G32" s="26">
        <f t="shared" si="1"/>
        <v>4394</v>
      </c>
      <c r="H32" s="23">
        <v>77880.842000000004</v>
      </c>
      <c r="I32" s="24">
        <v>615.26599999999996</v>
      </c>
      <c r="J32" s="25">
        <f t="shared" si="4"/>
        <v>78496.108000000007</v>
      </c>
      <c r="K32" s="22">
        <f t="shared" si="2"/>
        <v>27.194000000003143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>
        <v>34182656</v>
      </c>
      <c r="E33" s="24">
        <v>0</v>
      </c>
      <c r="F33" s="25">
        <f t="shared" si="0"/>
        <v>34182656</v>
      </c>
      <c r="G33" s="26">
        <f t="shared" si="1"/>
        <v>4083</v>
      </c>
      <c r="H33" s="35">
        <v>77908.245999999999</v>
      </c>
      <c r="I33" s="24">
        <v>615.26599999999996</v>
      </c>
      <c r="J33" s="25">
        <f t="shared" si="4"/>
        <v>78523.512000000002</v>
      </c>
      <c r="K33" s="22">
        <f t="shared" si="2"/>
        <v>27.403999999994994</v>
      </c>
      <c r="L33" s="21"/>
      <c r="M33" s="56"/>
      <c r="N33" s="61"/>
    </row>
    <row r="34" spans="1:14">
      <c r="A34" s="20">
        <v>27</v>
      </c>
      <c r="B34" s="21"/>
      <c r="C34" s="22"/>
      <c r="D34" s="23">
        <v>34186725</v>
      </c>
      <c r="E34" s="24">
        <v>0</v>
      </c>
      <c r="F34" s="25">
        <f t="shared" si="0"/>
        <v>34186725</v>
      </c>
      <c r="G34" s="26">
        <f t="shared" si="1"/>
        <v>4069</v>
      </c>
      <c r="H34" s="23">
        <v>77927.195999999996</v>
      </c>
      <c r="I34" s="24">
        <v>615.26599999999996</v>
      </c>
      <c r="J34" s="25">
        <f t="shared" si="4"/>
        <v>78542.462</v>
      </c>
      <c r="K34" s="22">
        <f t="shared" si="2"/>
        <v>18.94999999999709</v>
      </c>
      <c r="L34" s="21"/>
      <c r="M34" s="56"/>
      <c r="N34" s="61"/>
    </row>
    <row r="35" spans="1:14">
      <c r="A35" s="20">
        <v>28</v>
      </c>
      <c r="B35" s="21"/>
      <c r="C35" s="22"/>
      <c r="D35" s="23">
        <v>34190850</v>
      </c>
      <c r="E35" s="24">
        <v>0</v>
      </c>
      <c r="F35" s="25">
        <f t="shared" si="0"/>
        <v>34190850</v>
      </c>
      <c r="G35" s="26">
        <f t="shared" si="1"/>
        <v>4125</v>
      </c>
      <c r="H35" s="23">
        <v>77952.904999999999</v>
      </c>
      <c r="I35" s="24">
        <v>615.26599999999996</v>
      </c>
      <c r="J35" s="25">
        <f t="shared" si="4"/>
        <v>78568.171000000002</v>
      </c>
      <c r="K35" s="22">
        <f t="shared" si="2"/>
        <v>25.709000000002561</v>
      </c>
      <c r="L35" s="21"/>
      <c r="M35" s="56"/>
      <c r="N35" s="61"/>
    </row>
    <row r="36" spans="1:14">
      <c r="A36" s="20">
        <v>29</v>
      </c>
      <c r="B36" s="21"/>
      <c r="C36" s="22"/>
      <c r="D36" s="63">
        <v>34195213</v>
      </c>
      <c r="E36" s="64">
        <v>0</v>
      </c>
      <c r="F36" s="25">
        <f t="shared" si="0"/>
        <v>34195213</v>
      </c>
      <c r="G36" s="26">
        <f t="shared" si="1"/>
        <v>4363</v>
      </c>
      <c r="H36" s="63">
        <v>77981.490999999995</v>
      </c>
      <c r="I36" s="64">
        <v>615.26599999999996</v>
      </c>
      <c r="J36" s="25">
        <f t="shared" si="4"/>
        <v>78596.756999999998</v>
      </c>
      <c r="K36" s="22">
        <f t="shared" si="2"/>
        <v>28.585999999995693</v>
      </c>
      <c r="L36" s="21"/>
      <c r="M36" s="56"/>
      <c r="N36" s="61"/>
    </row>
    <row r="37" spans="1:14">
      <c r="A37" s="20">
        <v>30</v>
      </c>
      <c r="B37" s="21"/>
      <c r="C37" s="22"/>
      <c r="D37" s="63">
        <v>34199686</v>
      </c>
      <c r="E37" s="64">
        <v>0</v>
      </c>
      <c r="F37" s="25">
        <f t="shared" si="0"/>
        <v>34199686</v>
      </c>
      <c r="G37" s="26">
        <f t="shared" si="1"/>
        <v>4473</v>
      </c>
      <c r="H37" s="63">
        <v>78008.553</v>
      </c>
      <c r="I37" s="64">
        <v>615.26599999999996</v>
      </c>
      <c r="J37" s="25">
        <f t="shared" si="4"/>
        <v>78623.819000000003</v>
      </c>
      <c r="K37" s="22">
        <f t="shared" si="2"/>
        <v>27.062000000005355</v>
      </c>
      <c r="L37" s="21"/>
      <c r="M37" s="56"/>
      <c r="N37" s="61"/>
    </row>
    <row r="38" spans="1:14">
      <c r="A38" s="20">
        <v>31</v>
      </c>
      <c r="B38" s="21"/>
      <c r="C38" s="22"/>
      <c r="D38" s="63">
        <v>34204395</v>
      </c>
      <c r="E38" s="64">
        <v>0</v>
      </c>
      <c r="F38" s="25">
        <f t="shared" si="0"/>
        <v>34204395</v>
      </c>
      <c r="G38" s="26">
        <f t="shared" si="1"/>
        <v>4709</v>
      </c>
      <c r="H38" s="63">
        <v>78038.770999999993</v>
      </c>
      <c r="I38" s="64">
        <v>615.26599999999996</v>
      </c>
      <c r="J38" s="25">
        <f t="shared" si="4"/>
        <v>78654.036999999997</v>
      </c>
      <c r="K38" s="22">
        <f t="shared" si="2"/>
        <v>30.217999999993481</v>
      </c>
      <c r="L38" s="21"/>
      <c r="M38" s="56"/>
      <c r="N38" s="65"/>
    </row>
    <row r="39" spans="1:14">
      <c r="A39" s="20">
        <v>1</v>
      </c>
      <c r="B39" s="21"/>
      <c r="C39" s="22"/>
      <c r="D39" s="23">
        <v>34209544</v>
      </c>
      <c r="E39" s="24">
        <v>0</v>
      </c>
      <c r="F39" s="25">
        <f t="shared" si="0"/>
        <v>34209544</v>
      </c>
      <c r="G39" s="29">
        <f t="shared" si="1"/>
        <v>5149</v>
      </c>
      <c r="H39" s="30">
        <v>78075.645000000004</v>
      </c>
      <c r="I39" s="24">
        <v>615.26599999999996</v>
      </c>
      <c r="J39" s="25">
        <f>H39+I39</f>
        <v>78690.911000000007</v>
      </c>
      <c r="K39" s="22">
        <f t="shared" si="2"/>
        <v>36.87400000001071</v>
      </c>
      <c r="L39" s="21"/>
      <c r="M39" s="56"/>
      <c r="N39" s="57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2025-04-04T09:25:37Z</dcterms:modified>
</cp:coreProperties>
</file>